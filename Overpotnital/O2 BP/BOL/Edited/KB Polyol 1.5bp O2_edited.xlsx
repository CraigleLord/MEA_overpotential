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3595" windowHeight="11265" tabRatio="600" firstSheet="0" activeTab="0" autoFilterDateGrouping="1"/>
  </bookViews>
  <sheets>
    <sheet name="Sheet1" sheetId="1" state="visible" r:id="rId1"/>
    <sheet name="Sheet2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3">
    <font>
      <name val="맑은 고딕"/>
      <charset val="129"/>
      <family val="2"/>
      <color theme="1"/>
      <sz val="11"/>
      <scheme val="minor"/>
    </font>
    <font>
      <name val="맑은 고딕"/>
      <charset val="129"/>
      <family val="2"/>
      <sz val="8"/>
      <scheme val="minor"/>
    </font>
    <font>
      <name val="맑은 고딕"/>
      <charset val="129"/>
      <family val="3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Alignment="1">
      <alignment vertical="center"/>
    </xf>
  </cellStyleXfs>
  <cellXfs count="5">
    <xf numFmtId="0" fontId="0" fillId="0" borderId="0" applyAlignment="1" pivotButton="0" quotePrefix="0" xfId="0">
      <alignment vertical="center"/>
    </xf>
    <xf numFmtId="0" fontId="0" fillId="0" borderId="0" pivotButton="0" quotePrefix="0" xfId="0"/>
    <xf numFmtId="0" fontId="2" fillId="0" borderId="0" applyAlignment="1" pivotButton="0" quotePrefix="0" xfId="0">
      <alignment vertical="center"/>
    </xf>
    <xf numFmtId="0" fontId="2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303"/>
  <sheetViews>
    <sheetView tabSelected="1" topLeftCell="K1" zoomScaleNormal="100" workbookViewId="0">
      <selection activeCell="V3" sqref="V3"/>
    </sheetView>
  </sheetViews>
  <sheetFormatPr baseColWidth="8" defaultRowHeight="16.5"/>
  <cols>
    <col width="12.25" customWidth="1" style="1" min="10" max="10"/>
    <col width="13.625" bestFit="1" customWidth="1" style="1" min="11" max="11"/>
    <col width="14" bestFit="1" customWidth="1" style="1" min="28" max="28"/>
  </cols>
  <sheetData>
    <row r="1">
      <c r="A1" s="2" t="inlineStr">
        <is>
          <t>Overpotential Calculation</t>
        </is>
      </c>
      <c r="R1" s="3" t="inlineStr">
        <is>
          <t>T</t>
        </is>
      </c>
      <c r="S1" s="3" t="inlineStr">
        <is>
          <t>Log()</t>
        </is>
      </c>
      <c r="T1" s="3" t="inlineStr">
        <is>
          <t>P_H2</t>
        </is>
      </c>
      <c r="U1" s="3" t="inlineStr">
        <is>
          <t>P_O2</t>
        </is>
      </c>
    </row>
    <row r="2">
      <c r="A2" s="0" t="inlineStr">
        <is>
          <t>Raw</t>
        </is>
      </c>
      <c r="F2" s="0" t="inlineStr">
        <is>
          <t>mA/cm2</t>
        </is>
      </c>
      <c r="H2" s="0" t="inlineStr">
        <is>
          <t>mW/cm2</t>
        </is>
      </c>
      <c r="J2" s="2" t="inlineStr">
        <is>
          <t>Total Opot</t>
        </is>
      </c>
      <c r="M2" s="0" t="inlineStr">
        <is>
          <t>Erev</t>
        </is>
      </c>
      <c r="N2" s="2">
        <f>1.23-0.0009*(R2-298)+(2.303*8.314*R2/(4*96485))*LOG(S2)</f>
        <v/>
      </c>
      <c r="R2" s="4" t="n">
        <v>353</v>
      </c>
      <c r="S2" s="4">
        <f>(((T2/101.3)^2)*((U2/101.3)))^2</f>
        <v/>
      </c>
      <c r="T2" s="4" t="n">
        <v>250</v>
      </c>
      <c r="U2" s="4" t="n">
        <v>250</v>
      </c>
      <c r="Y2" s="0" t="inlineStr">
        <is>
          <t>EIS</t>
        </is>
      </c>
    </row>
    <row r="3">
      <c r="A3" s="0" t="inlineStr">
        <is>
          <t>I</t>
        </is>
      </c>
      <c r="B3" s="0" t="inlineStr">
        <is>
          <t>V</t>
        </is>
      </c>
      <c r="C3" s="0" t="inlineStr">
        <is>
          <t>P</t>
        </is>
      </c>
      <c r="D3" s="0" t="inlineStr">
        <is>
          <t>IR</t>
        </is>
      </c>
      <c r="F3" s="0" t="inlineStr">
        <is>
          <t>I</t>
        </is>
      </c>
      <c r="G3" s="0" t="inlineStr">
        <is>
          <t>V</t>
        </is>
      </c>
      <c r="H3" s="0" t="inlineStr">
        <is>
          <t>P</t>
        </is>
      </c>
      <c r="J3" s="0" t="inlineStr">
        <is>
          <t>Ln(i)</t>
        </is>
      </c>
      <c r="K3" s="0" t="inlineStr">
        <is>
          <t>Total Opot</t>
        </is>
      </c>
      <c r="M3" s="0" t="inlineStr">
        <is>
          <t>Kin Opot</t>
        </is>
      </c>
      <c r="N3" s="0" t="inlineStr">
        <is>
          <t>Ohmic</t>
        </is>
      </c>
      <c r="O3" s="0" t="inlineStr">
        <is>
          <t>proton</t>
        </is>
      </c>
      <c r="P3" s="0" t="inlineStr">
        <is>
          <t>Mass</t>
        </is>
      </c>
      <c r="V3" s="0" t="inlineStr">
        <is>
          <t>x</t>
        </is>
      </c>
      <c r="W3" s="0" t="inlineStr">
        <is>
          <t>y</t>
        </is>
      </c>
      <c r="Y3" s="0" t="inlineStr">
        <is>
          <t>X</t>
        </is>
      </c>
      <c r="Z3" s="0" t="inlineStr">
        <is>
          <t>Y</t>
        </is>
      </c>
      <c r="AB3" s="0" t="n">
        <v>-0.63372</v>
      </c>
      <c r="AC3" s="0" t="inlineStr">
        <is>
          <t>intercept</t>
        </is>
      </c>
    </row>
    <row r="4">
      <c r="A4" s="0" t="n">
        <v>0.01572415</v>
      </c>
      <c r="B4" s="0" t="n">
        <v>0.99446</v>
      </c>
      <c r="C4" s="0">
        <f>A4*B4</f>
        <v/>
      </c>
      <c r="D4" s="0" t="n">
        <v>0.016</v>
      </c>
      <c r="E4" s="0" t="n">
        <v>0.008999999999999999</v>
      </c>
      <c r="F4" s="0">
        <f>A4*200</f>
        <v/>
      </c>
      <c r="G4" s="0">
        <f>-B4</f>
        <v/>
      </c>
      <c r="H4" s="0">
        <f>-C4*200</f>
        <v/>
      </c>
      <c r="I4" s="0" t="n">
        <v>1</v>
      </c>
      <c r="J4" s="0">
        <f>LN(F4/1000)</f>
        <v/>
      </c>
      <c r="K4" s="0">
        <f>((-G4)-$N$2)</f>
        <v/>
      </c>
      <c r="L4" s="0" t="n">
        <v>1</v>
      </c>
      <c r="M4" s="0">
        <f>-1*($S$4+($S$5*J4))</f>
        <v/>
      </c>
      <c r="N4" s="0">
        <f>D4*A4</f>
        <v/>
      </c>
      <c r="O4" s="0">
        <f>E4*A4</f>
        <v/>
      </c>
      <c r="P4" s="0">
        <f>-K4-M4-N4-O4</f>
        <v/>
      </c>
      <c r="R4" s="2" t="inlineStr">
        <is>
          <t>Intercept</t>
        </is>
      </c>
      <c r="S4" s="0" t="n">
        <v>-0.48</v>
      </c>
      <c r="V4" s="0" t="n">
        <v>-6</v>
      </c>
      <c r="W4" s="0">
        <f>V4*$S$5+$S$4</f>
        <v/>
      </c>
      <c r="Y4" s="0" t="n">
        <v>0</v>
      </c>
      <c r="Z4" s="0">
        <f>$AB$4*Y4+$AB$3</f>
        <v/>
      </c>
      <c r="AB4" s="0" t="n">
        <v>18.10456</v>
      </c>
      <c r="AC4" s="0" t="inlineStr">
        <is>
          <t>slope</t>
        </is>
      </c>
    </row>
    <row r="5">
      <c r="A5" s="0" t="n">
        <v>0.06817005</v>
      </c>
      <c r="B5" s="0" t="n">
        <v>0.99279</v>
      </c>
      <c r="C5" s="0">
        <f>A5*B5</f>
        <v/>
      </c>
      <c r="D5" s="0" t="n">
        <v>0.016</v>
      </c>
      <c r="E5" s="0" t="n">
        <v>0.008999999999999999</v>
      </c>
      <c r="F5" s="0">
        <f>A5*200</f>
        <v/>
      </c>
      <c r="G5" s="0">
        <f>-B5</f>
        <v/>
      </c>
      <c r="H5" s="0">
        <f>-C5*200</f>
        <v/>
      </c>
      <c r="I5" s="0" t="n">
        <v>1</v>
      </c>
      <c r="J5" s="0">
        <f>LN(F5/1000)</f>
        <v/>
      </c>
      <c r="K5" s="0">
        <f>((-G5)-$N$2)</f>
        <v/>
      </c>
      <c r="L5" s="0" t="n">
        <v>1</v>
      </c>
      <c r="M5" s="0">
        <f>-1*($S$4+($S$5*J5))</f>
        <v/>
      </c>
      <c r="N5" s="0">
        <f>D5*A5</f>
        <v/>
      </c>
      <c r="O5" s="0">
        <f>E5*A5</f>
        <v/>
      </c>
      <c r="P5" s="0">
        <f>-K5-M5-N5-O5</f>
        <v/>
      </c>
      <c r="R5" s="2" t="inlineStr">
        <is>
          <t>Slope</t>
        </is>
      </c>
      <c r="S5" s="0" t="n">
        <v>-0.0482</v>
      </c>
      <c r="V5" s="0" t="n">
        <v>-5.9</v>
      </c>
      <c r="W5" s="0">
        <f>V5*$S$5+$S$4</f>
        <v/>
      </c>
      <c r="Y5" s="0" t="n">
        <v>0.01</v>
      </c>
      <c r="Z5" s="0">
        <f>$AB$4*Y5+$AB$3</f>
        <v/>
      </c>
    </row>
    <row r="6">
      <c r="A6" s="0" t="n">
        <v>0.11959755</v>
      </c>
      <c r="B6" s="0" t="n">
        <v>0.90357</v>
      </c>
      <c r="C6" s="0">
        <f>A6*B6</f>
        <v/>
      </c>
      <c r="D6" s="0" t="n">
        <v>0.016</v>
      </c>
      <c r="E6" s="0" t="n">
        <v>0.008999999999999999</v>
      </c>
      <c r="F6" s="0">
        <f>A6*200</f>
        <v/>
      </c>
      <c r="G6" s="0">
        <f>-B6</f>
        <v/>
      </c>
      <c r="H6" s="0">
        <f>-C6*200</f>
        <v/>
      </c>
      <c r="I6" s="0" t="n">
        <v>1</v>
      </c>
      <c r="J6" s="0">
        <f>LN(F6/1000)</f>
        <v/>
      </c>
      <c r="K6" s="0">
        <f>((-G6)-$N$2)</f>
        <v/>
      </c>
      <c r="L6" s="0" t="n">
        <v>1</v>
      </c>
      <c r="M6" s="0">
        <f>-1*($S$4+($S$5*J6))</f>
        <v/>
      </c>
      <c r="N6" s="0">
        <f>D6*A6</f>
        <v/>
      </c>
      <c r="O6" s="0">
        <f>E6*A6</f>
        <v/>
      </c>
      <c r="P6" s="0">
        <f>-K6-M6-N6-O6</f>
        <v/>
      </c>
      <c r="V6" s="0" t="n">
        <v>-5.8</v>
      </c>
      <c r="W6" s="0">
        <f>V6*$S$5+$S$4</f>
        <v/>
      </c>
      <c r="Y6" s="0" t="n">
        <v>0.02</v>
      </c>
      <c r="Z6" s="0">
        <f>$AB$4*Y6+$AB$3</f>
        <v/>
      </c>
      <c r="AB6" s="0" t="inlineStr">
        <is>
          <t>y=0</t>
        </is>
      </c>
    </row>
    <row r="7">
      <c r="A7" s="0" t="n">
        <v>0.17102505</v>
      </c>
      <c r="B7" s="0" t="n">
        <v>0.87774</v>
      </c>
      <c r="C7" s="0">
        <f>A7*B7</f>
        <v/>
      </c>
      <c r="D7" s="0" t="n">
        <v>0.016</v>
      </c>
      <c r="E7" s="0" t="n">
        <v>0.008999999999999999</v>
      </c>
      <c r="F7" s="0">
        <f>A7*200</f>
        <v/>
      </c>
      <c r="G7" s="0">
        <f>-B7</f>
        <v/>
      </c>
      <c r="H7" s="0">
        <f>-C7*200</f>
        <v/>
      </c>
      <c r="I7" s="0" t="n">
        <v>1</v>
      </c>
      <c r="J7" s="0">
        <f>LN(F7/1000)</f>
        <v/>
      </c>
      <c r="K7" s="0">
        <f>((-G7)-$N$2)</f>
        <v/>
      </c>
      <c r="L7" s="0" t="n">
        <v>1</v>
      </c>
      <c r="M7" s="0">
        <f>-1*($S$4+($S$5*J7))</f>
        <v/>
      </c>
      <c r="N7" s="0">
        <f>D7*A7</f>
        <v/>
      </c>
      <c r="O7" s="0">
        <f>E7*A7</f>
        <v/>
      </c>
      <c r="P7" s="0">
        <f>-K7-M7-N7-O7</f>
        <v/>
      </c>
      <c r="V7" s="0" t="n">
        <v>-5.7</v>
      </c>
      <c r="W7" s="0">
        <f>V7*$S$5+$S$4</f>
        <v/>
      </c>
      <c r="Y7" s="0" t="n">
        <v>0.03</v>
      </c>
      <c r="Z7" s="0">
        <f>$AB$4*Y7+$AB$3</f>
        <v/>
      </c>
      <c r="AB7" s="0" t="inlineStr">
        <is>
          <t>x=</t>
        </is>
      </c>
      <c r="AC7" s="0">
        <f>-AB3/AB4</f>
        <v/>
      </c>
    </row>
    <row r="8">
      <c r="A8" s="0" t="n">
        <v>0.2224526</v>
      </c>
      <c r="B8" s="0" t="n">
        <v>0.8646200000000001</v>
      </c>
      <c r="C8" s="0">
        <f>A8*B8</f>
        <v/>
      </c>
      <c r="D8" s="0" t="n">
        <v>0.016</v>
      </c>
      <c r="E8" s="0" t="n">
        <v>0.008999999999999999</v>
      </c>
      <c r="F8" s="0">
        <f>A8*200</f>
        <v/>
      </c>
      <c r="G8" s="0">
        <f>-B8</f>
        <v/>
      </c>
      <c r="H8" s="0">
        <f>-C8*200</f>
        <v/>
      </c>
      <c r="I8" s="0" t="n">
        <v>1</v>
      </c>
      <c r="J8" s="0">
        <f>LN(F8/1000)</f>
        <v/>
      </c>
      <c r="K8" s="0">
        <f>((-G8)-$N$2)</f>
        <v/>
      </c>
      <c r="L8" s="0" t="n">
        <v>1</v>
      </c>
      <c r="M8" s="0">
        <f>-1*($S$4+($S$5*J8))</f>
        <v/>
      </c>
      <c r="N8" s="0">
        <f>D8*A8</f>
        <v/>
      </c>
      <c r="O8" s="0">
        <f>E8*A8</f>
        <v/>
      </c>
      <c r="P8" s="0">
        <f>-K8-M8-N8-O8</f>
        <v/>
      </c>
      <c r="V8" s="0" t="n">
        <v>-5.6</v>
      </c>
      <c r="W8" s="0">
        <f>V8*$S$5+$S$4</f>
        <v/>
      </c>
      <c r="Y8" s="0" t="n">
        <v>0.04</v>
      </c>
      <c r="Z8" s="0">
        <f>$AB$4*Y8+$AB$3</f>
        <v/>
      </c>
    </row>
    <row r="9">
      <c r="A9" s="0" t="n">
        <v>0.2738801</v>
      </c>
      <c r="B9" s="0" t="n">
        <v>0.85489</v>
      </c>
      <c r="C9" s="0">
        <f>A9*B9</f>
        <v/>
      </c>
      <c r="D9" s="0" t="n">
        <v>0.016</v>
      </c>
      <c r="E9" s="0" t="n">
        <v>0.008999999999999999</v>
      </c>
      <c r="F9" s="0">
        <f>A9*200</f>
        <v/>
      </c>
      <c r="G9" s="0">
        <f>-B9</f>
        <v/>
      </c>
      <c r="H9" s="0">
        <f>-C9*200</f>
        <v/>
      </c>
      <c r="I9" s="0" t="n">
        <v>1</v>
      </c>
      <c r="J9" s="0">
        <f>LN(F9/1000)</f>
        <v/>
      </c>
      <c r="K9" s="0">
        <f>((-G9)-$N$2)</f>
        <v/>
      </c>
      <c r="L9" s="0" t="n">
        <v>1</v>
      </c>
      <c r="M9" s="0">
        <f>-1*($S$4+($S$5*J9))</f>
        <v/>
      </c>
      <c r="N9" s="0">
        <f>D9*A9</f>
        <v/>
      </c>
      <c r="O9" s="0">
        <f>E9*A9</f>
        <v/>
      </c>
      <c r="P9" s="0">
        <f>-K9-M9-N9-O9</f>
        <v/>
      </c>
      <c r="V9" s="0" t="n">
        <v>-5.5</v>
      </c>
      <c r="W9" s="0">
        <f>V9*$S$5+$S$4</f>
        <v/>
      </c>
      <c r="Y9" s="0" t="n">
        <v>0.05</v>
      </c>
      <c r="Z9" s="0">
        <f>$AB$4*Y9+$AB$3</f>
        <v/>
      </c>
      <c r="AB9" s="0" t="inlineStr">
        <is>
          <t>y intercept EIS</t>
        </is>
      </c>
      <c r="AC9" s="0" t="n">
        <v>0.03194</v>
      </c>
    </row>
    <row r="10">
      <c r="A10" s="0" t="n">
        <v>0.3283627</v>
      </c>
      <c r="B10" s="0" t="n">
        <v>0.84624</v>
      </c>
      <c r="C10" s="0">
        <f>A10*B10</f>
        <v/>
      </c>
      <c r="D10" s="0" t="n">
        <v>0.016</v>
      </c>
      <c r="E10" s="0" t="n">
        <v>0.008999999999999999</v>
      </c>
      <c r="F10" s="0">
        <f>A10*200</f>
        <v/>
      </c>
      <c r="G10" s="0">
        <f>-B10</f>
        <v/>
      </c>
      <c r="H10" s="0">
        <f>-C10*200</f>
        <v/>
      </c>
      <c r="I10" s="0" t="n">
        <v>1</v>
      </c>
      <c r="J10" s="0">
        <f>LN(F10/1000)</f>
        <v/>
      </c>
      <c r="K10" s="0">
        <f>((-G10)-$N$2)</f>
        <v/>
      </c>
      <c r="L10" s="0" t="n">
        <v>1</v>
      </c>
      <c r="M10" s="0">
        <f>-1*($S$4+($S$5*J10))</f>
        <v/>
      </c>
      <c r="N10" s="0">
        <f>D10*A10</f>
        <v/>
      </c>
      <c r="O10" s="0">
        <f>E10*A10</f>
        <v/>
      </c>
      <c r="P10" s="0">
        <f>-K10-M10-N10-O10</f>
        <v/>
      </c>
      <c r="V10" s="0" t="n">
        <v>-5.4</v>
      </c>
      <c r="W10" s="0">
        <f>V10*$S$5+$S$4</f>
        <v/>
      </c>
      <c r="Y10" s="0" t="n">
        <v>0.06</v>
      </c>
      <c r="Z10" s="0">
        <f>$AB$4*Y10+$AB$3</f>
        <v/>
      </c>
    </row>
    <row r="11">
      <c r="A11" s="0" t="n">
        <v>0.38080855</v>
      </c>
      <c r="B11" s="0" t="n">
        <v>0.839</v>
      </c>
      <c r="C11" s="0">
        <f>A11*B11</f>
        <v/>
      </c>
      <c r="D11" s="0" t="n">
        <v>0.016</v>
      </c>
      <c r="E11" s="0" t="n">
        <v>0.008999999999999999</v>
      </c>
      <c r="F11" s="0">
        <f>A11*200</f>
        <v/>
      </c>
      <c r="G11" s="0">
        <f>-B11</f>
        <v/>
      </c>
      <c r="H11" s="0">
        <f>-C11*200</f>
        <v/>
      </c>
      <c r="I11" s="0" t="n">
        <v>1</v>
      </c>
      <c r="J11" s="0">
        <f>LN(F11/1000)</f>
        <v/>
      </c>
      <c r="K11" s="0">
        <f>((-G11)-$N$2)</f>
        <v/>
      </c>
      <c r="L11" s="0" t="n">
        <v>1</v>
      </c>
      <c r="M11" s="0">
        <f>-1*($S$4+($S$5*J11))</f>
        <v/>
      </c>
      <c r="N11" s="0">
        <f>D11*A11</f>
        <v/>
      </c>
      <c r="O11" s="0">
        <f>E11*A11</f>
        <v/>
      </c>
      <c r="P11" s="0">
        <f>-K11-M11-N11-O11</f>
        <v/>
      </c>
      <c r="V11" s="0" t="n">
        <v>-5.3</v>
      </c>
      <c r="W11" s="0">
        <f>V11*$S$5+$S$4</f>
        <v/>
      </c>
      <c r="Y11" s="0" t="n">
        <v>0.07000000000000001</v>
      </c>
      <c r="Z11" s="0">
        <f>$AB$4*Y11+$AB$3</f>
        <v/>
      </c>
      <c r="AB11" s="0" t="inlineStr">
        <is>
          <t>R=</t>
        </is>
      </c>
      <c r="AC11" s="0">
        <f>AC7-AC9</f>
        <v/>
      </c>
    </row>
    <row r="12">
      <c r="A12" s="0" t="n">
        <v>0.4312177</v>
      </c>
      <c r="B12" s="0" t="n">
        <v>0.83257</v>
      </c>
      <c r="C12" s="0">
        <f>A12*B12</f>
        <v/>
      </c>
      <c r="D12" s="0" t="n">
        <v>0.016</v>
      </c>
      <c r="E12" s="0" t="n">
        <v>0.008999999999999999</v>
      </c>
      <c r="F12" s="0">
        <f>A12*200</f>
        <v/>
      </c>
      <c r="G12" s="0">
        <f>-B12</f>
        <v/>
      </c>
      <c r="H12" s="0">
        <f>-C12*200</f>
        <v/>
      </c>
      <c r="I12" s="0" t="n">
        <v>1</v>
      </c>
      <c r="J12" s="0">
        <f>LN(F12/1000)</f>
        <v/>
      </c>
      <c r="K12" s="0">
        <f>((-G12)-$N$2)</f>
        <v/>
      </c>
      <c r="L12" s="0" t="n">
        <v>1</v>
      </c>
      <c r="M12" s="0">
        <f>-1*($S$4+($S$5*J12))</f>
        <v/>
      </c>
      <c r="N12" s="0">
        <f>D12*A12</f>
        <v/>
      </c>
      <c r="O12" s="0">
        <f>E12*A12</f>
        <v/>
      </c>
      <c r="P12" s="0">
        <f>-K12-M12-N12-O12</f>
        <v/>
      </c>
      <c r="V12" s="0" t="n">
        <v>-5.2</v>
      </c>
      <c r="W12" s="0">
        <f>V12*$S$5+$S$4</f>
        <v/>
      </c>
      <c r="Y12" s="0" t="n">
        <v>0.08</v>
      </c>
      <c r="Z12" s="0">
        <f>$AB$4*Y12+$AB$3</f>
        <v/>
      </c>
      <c r="AC12" s="0">
        <f>AC11*3</f>
        <v/>
      </c>
    </row>
    <row r="13">
      <c r="A13" s="0" t="n">
        <v>0.482136</v>
      </c>
      <c r="B13" s="0" t="n">
        <v>0.82718</v>
      </c>
      <c r="C13" s="0">
        <f>A13*B13</f>
        <v/>
      </c>
      <c r="D13" s="0" t="n">
        <v>0.016</v>
      </c>
      <c r="E13" s="0" t="n">
        <v>0.008999999999999999</v>
      </c>
      <c r="F13" s="0">
        <f>A13*200</f>
        <v/>
      </c>
      <c r="G13" s="0">
        <f>-B13</f>
        <v/>
      </c>
      <c r="H13" s="0">
        <f>-C13*200</f>
        <v/>
      </c>
      <c r="I13" s="0" t="n">
        <v>1</v>
      </c>
      <c r="J13" s="0">
        <f>LN(F13/1000)</f>
        <v/>
      </c>
      <c r="K13" s="0">
        <f>((-G13)-$N$2)</f>
        <v/>
      </c>
      <c r="L13" s="0" t="n">
        <v>1</v>
      </c>
      <c r="M13" s="0">
        <f>-1*($S$4+($S$5*J13))</f>
        <v/>
      </c>
      <c r="N13" s="0">
        <f>D13*A13</f>
        <v/>
      </c>
      <c r="O13" s="0">
        <f>E13*A13</f>
        <v/>
      </c>
      <c r="P13" s="0">
        <f>-K13-M13-N13-O13</f>
        <v/>
      </c>
      <c r="V13" s="0" t="n">
        <v>-5.1</v>
      </c>
      <c r="W13" s="0">
        <f>V13*$S$5+$S$4</f>
        <v/>
      </c>
      <c r="Y13" s="0" t="n">
        <v>0.09</v>
      </c>
      <c r="Z13" s="0">
        <f>$AB$4*Y13+$AB$3</f>
        <v/>
      </c>
    </row>
    <row r="14">
      <c r="A14" s="0" t="n">
        <v>0.53458195</v>
      </c>
      <c r="B14" s="0" t="n">
        <v>0.82203</v>
      </c>
      <c r="C14" s="0">
        <f>A14*B14</f>
        <v/>
      </c>
      <c r="D14" s="0" t="n">
        <v>0.016</v>
      </c>
      <c r="E14" s="0" t="n">
        <v>0.008999999999999999</v>
      </c>
      <c r="F14" s="0">
        <f>A14*200</f>
        <v/>
      </c>
      <c r="G14" s="0">
        <f>-B14</f>
        <v/>
      </c>
      <c r="H14" s="0">
        <f>-C14*200</f>
        <v/>
      </c>
      <c r="I14" s="0" t="n">
        <v>1</v>
      </c>
      <c r="J14" s="0">
        <f>LN(F14/1000)</f>
        <v/>
      </c>
      <c r="K14" s="0">
        <f>((-G14)-$N$2)</f>
        <v/>
      </c>
      <c r="L14" s="0" t="n">
        <v>1</v>
      </c>
      <c r="M14" s="0">
        <f>-1*($S$4+($S$5*J14))</f>
        <v/>
      </c>
      <c r="N14" s="0">
        <f>D14*A14</f>
        <v/>
      </c>
      <c r="O14" s="0">
        <f>E14*A14</f>
        <v/>
      </c>
      <c r="P14" s="0">
        <f>-K14-M14-N14-O14</f>
        <v/>
      </c>
      <c r="V14" s="0" t="n">
        <v>-5</v>
      </c>
      <c r="W14" s="0">
        <f>V14*$S$5+$S$4</f>
        <v/>
      </c>
      <c r="Y14" s="0" t="n">
        <v>0.1</v>
      </c>
      <c r="Z14" s="0">
        <f>$AB$4*Y14+$AB$3</f>
        <v/>
      </c>
    </row>
    <row r="15">
      <c r="A15" s="0" t="n">
        <v>0.5880462</v>
      </c>
      <c r="B15" s="0" t="n">
        <v>0.8172</v>
      </c>
      <c r="C15" s="0">
        <f>A15*B15</f>
        <v/>
      </c>
      <c r="D15" s="0" t="n">
        <v>0.016</v>
      </c>
      <c r="E15" s="0" t="n">
        <v>0.008999999999999999</v>
      </c>
      <c r="F15" s="0">
        <f>A15*200</f>
        <v/>
      </c>
      <c r="G15" s="0">
        <f>-B15</f>
        <v/>
      </c>
      <c r="H15" s="0">
        <f>-C15*200</f>
        <v/>
      </c>
      <c r="I15" s="0" t="n">
        <v>1</v>
      </c>
      <c r="J15" s="0">
        <f>LN(F15/1000)</f>
        <v/>
      </c>
      <c r="K15" s="0">
        <f>((-G15)-$N$2)</f>
        <v/>
      </c>
      <c r="L15" s="0" t="n">
        <v>1</v>
      </c>
      <c r="M15" s="0">
        <f>-1*($S$4+($S$5*J15))</f>
        <v/>
      </c>
      <c r="N15" s="0">
        <f>D15*A15</f>
        <v/>
      </c>
      <c r="O15" s="0">
        <f>E15*A15</f>
        <v/>
      </c>
      <c r="P15" s="0">
        <f>-K15-M15-N15-O15</f>
        <v/>
      </c>
      <c r="V15" s="0" t="n">
        <v>-4.9</v>
      </c>
      <c r="W15" s="0">
        <f>V15*$S$5+$S$4</f>
        <v/>
      </c>
      <c r="Y15" s="0" t="n">
        <v>0.11</v>
      </c>
      <c r="Z15" s="0">
        <f>$AB$4*Y15+$AB$3</f>
        <v/>
      </c>
    </row>
    <row r="16">
      <c r="A16" s="0" t="n">
        <v>0.63998285</v>
      </c>
      <c r="B16" s="0" t="n">
        <v>0.8123899999999999</v>
      </c>
      <c r="C16" s="0">
        <f>A16*B16</f>
        <v/>
      </c>
      <c r="D16" s="0" t="n">
        <v>0.016</v>
      </c>
      <c r="E16" s="0" t="n">
        <v>0.008999999999999999</v>
      </c>
      <c r="F16" s="0">
        <f>A16*200</f>
        <v/>
      </c>
      <c r="G16" s="0">
        <f>-B16</f>
        <v/>
      </c>
      <c r="H16" s="0">
        <f>-C16*200</f>
        <v/>
      </c>
      <c r="I16" s="0" t="n">
        <v>1</v>
      </c>
      <c r="J16" s="0">
        <f>LN(F16/1000)</f>
        <v/>
      </c>
      <c r="K16" s="0">
        <f>((-G16)-$N$2)</f>
        <v/>
      </c>
      <c r="L16" s="0" t="n">
        <v>1</v>
      </c>
      <c r="M16" s="0">
        <f>-1*($S$4+($S$5*J16))</f>
        <v/>
      </c>
      <c r="N16" s="0">
        <f>D16*A16</f>
        <v/>
      </c>
      <c r="O16" s="0">
        <f>E16*A16</f>
        <v/>
      </c>
      <c r="P16" s="0">
        <f>-K16-M16-N16-O16</f>
        <v/>
      </c>
      <c r="V16" s="0" t="n">
        <v>-4.8</v>
      </c>
      <c r="W16" s="0">
        <f>V16*$S$5+$S$4</f>
        <v/>
      </c>
      <c r="Y16" s="0" t="n">
        <v>0.12</v>
      </c>
      <c r="Z16" s="0">
        <f>$AB$4*Y16+$AB$3</f>
        <v/>
      </c>
    </row>
    <row r="17">
      <c r="A17" s="0" t="n">
        <v>0.69039195</v>
      </c>
      <c r="B17" s="0" t="n">
        <v>0.80849</v>
      </c>
      <c r="C17" s="0">
        <f>A17*B17</f>
        <v/>
      </c>
      <c r="D17" s="0" t="n">
        <v>0.016</v>
      </c>
      <c r="E17" s="0" t="n">
        <v>0.008999999999999999</v>
      </c>
      <c r="F17" s="0">
        <f>A17*200</f>
        <v/>
      </c>
      <c r="G17" s="0">
        <f>-B17</f>
        <v/>
      </c>
      <c r="H17" s="0">
        <f>-C17*200</f>
        <v/>
      </c>
      <c r="I17" s="0" t="n">
        <v>1</v>
      </c>
      <c r="J17" s="0">
        <f>LN(F17/1000)</f>
        <v/>
      </c>
      <c r="K17" s="0">
        <f>((-G17)-$N$2)</f>
        <v/>
      </c>
      <c r="L17" s="0" t="n">
        <v>1</v>
      </c>
      <c r="M17" s="0">
        <f>-1*($S$4+($S$5*J17))</f>
        <v/>
      </c>
      <c r="N17" s="0">
        <f>D17*A17</f>
        <v/>
      </c>
      <c r="O17" s="0">
        <f>E17*A17</f>
        <v/>
      </c>
      <c r="P17" s="0">
        <f>-K17-M17-N17-O17</f>
        <v/>
      </c>
      <c r="V17" s="0" t="n">
        <v>-4.7</v>
      </c>
      <c r="W17" s="0">
        <f>V17*$S$5+$S$4</f>
        <v/>
      </c>
      <c r="Y17" s="0" t="n">
        <v>0.13</v>
      </c>
      <c r="Z17" s="0">
        <f>$AB$4*Y17+$AB$3</f>
        <v/>
      </c>
    </row>
    <row r="18">
      <c r="A18" s="0" t="n">
        <v>0.74131035</v>
      </c>
      <c r="B18" s="0" t="n">
        <v>0.80446</v>
      </c>
      <c r="C18" s="0">
        <f>A18*B18</f>
        <v/>
      </c>
      <c r="D18" s="0" t="n">
        <v>0.016</v>
      </c>
      <c r="E18" s="0" t="n">
        <v>0.008999999999999999</v>
      </c>
      <c r="F18" s="0">
        <f>A18*200</f>
        <v/>
      </c>
      <c r="G18" s="0">
        <f>-B18</f>
        <v/>
      </c>
      <c r="H18" s="0">
        <f>-C18*200</f>
        <v/>
      </c>
      <c r="I18" s="0" t="n">
        <v>1</v>
      </c>
      <c r="J18" s="0">
        <f>LN(F18/1000)</f>
        <v/>
      </c>
      <c r="K18" s="0">
        <f>((-G18)-$N$2)</f>
        <v/>
      </c>
      <c r="L18" s="0" t="n">
        <v>1</v>
      </c>
      <c r="M18" s="0">
        <f>-1*($S$4+($S$5*J18))</f>
        <v/>
      </c>
      <c r="N18" s="0">
        <f>D18*A18</f>
        <v/>
      </c>
      <c r="O18" s="0">
        <f>E18*A18</f>
        <v/>
      </c>
      <c r="P18" s="0">
        <f>-K18-M18-N18-O18</f>
        <v/>
      </c>
      <c r="V18" s="0" t="n">
        <v>-4.6</v>
      </c>
      <c r="W18" s="0">
        <f>V18*$S$5+$S$4</f>
        <v/>
      </c>
      <c r="Y18" s="0" t="n">
        <v>0.14</v>
      </c>
      <c r="Z18" s="0">
        <f>$AB$4*Y18+$AB$3</f>
        <v/>
      </c>
    </row>
    <row r="19">
      <c r="A19" s="0" t="n">
        <v>0.7922287</v>
      </c>
      <c r="B19" s="0" t="n">
        <v>0.80041</v>
      </c>
      <c r="C19" s="0">
        <f>A19*B19</f>
        <v/>
      </c>
      <c r="D19" s="0" t="n">
        <v>0.016</v>
      </c>
      <c r="E19" s="0" t="n">
        <v>0.008999999999999999</v>
      </c>
      <c r="F19" s="0">
        <f>A19*200</f>
        <v/>
      </c>
      <c r="G19" s="0">
        <f>-B19</f>
        <v/>
      </c>
      <c r="H19" s="0">
        <f>-C19*200</f>
        <v/>
      </c>
      <c r="I19" s="0" t="n">
        <v>1</v>
      </c>
      <c r="J19" s="0">
        <f>LN(F19/1000)</f>
        <v/>
      </c>
      <c r="K19" s="0">
        <f>((-G19)-$N$2)</f>
        <v/>
      </c>
      <c r="L19" s="0" t="n">
        <v>1</v>
      </c>
      <c r="M19" s="0">
        <f>-1*($S$4+($S$5*J19))</f>
        <v/>
      </c>
      <c r="N19" s="0">
        <f>D19*A19</f>
        <v/>
      </c>
      <c r="O19" s="0">
        <f>E19*A19</f>
        <v/>
      </c>
      <c r="P19" s="0">
        <f>-K19-M19-N19-O19</f>
        <v/>
      </c>
      <c r="V19" s="0" t="n">
        <v>-4.50000000000001</v>
      </c>
      <c r="W19" s="0">
        <f>V19*$S$5+$S$4</f>
        <v/>
      </c>
      <c r="Y19" s="0" t="n">
        <v>0.15</v>
      </c>
      <c r="Z19" s="0">
        <f>$AB$4*Y19+$AB$3</f>
        <v/>
      </c>
    </row>
    <row r="20">
      <c r="A20" s="0" t="n">
        <v>0.8431469</v>
      </c>
      <c r="B20" s="0" t="n">
        <v>0.79681</v>
      </c>
      <c r="C20" s="0">
        <f>A20*B20</f>
        <v/>
      </c>
      <c r="D20" s="0" t="n">
        <v>0.016</v>
      </c>
      <c r="E20" s="0" t="n">
        <v>0.008999999999999999</v>
      </c>
      <c r="F20" s="0">
        <f>A20*200</f>
        <v/>
      </c>
      <c r="G20" s="0">
        <f>-B20</f>
        <v/>
      </c>
      <c r="H20" s="0">
        <f>-C20*200</f>
        <v/>
      </c>
      <c r="I20" s="0" t="n">
        <v>1</v>
      </c>
      <c r="J20" s="0">
        <f>LN(F20/1000)</f>
        <v/>
      </c>
      <c r="K20" s="0">
        <f>((-G20)-$N$2)</f>
        <v/>
      </c>
      <c r="L20" s="0" t="n">
        <v>1</v>
      </c>
      <c r="M20" s="0">
        <f>-1*($S$4+($S$5*J20))</f>
        <v/>
      </c>
      <c r="N20" s="0">
        <f>D20*A20</f>
        <v/>
      </c>
      <c r="O20" s="0">
        <f>E20*A20</f>
        <v/>
      </c>
      <c r="P20" s="0">
        <f>-K20-M20-N20-O20</f>
        <v/>
      </c>
      <c r="V20" s="0" t="n">
        <v>-4.40000000000001</v>
      </c>
      <c r="W20" s="0">
        <f>V20*$S$5+$S$4</f>
        <v/>
      </c>
      <c r="Y20" s="0" t="n">
        <v>0.16</v>
      </c>
      <c r="Z20" s="0">
        <f>$AB$4*Y20+$AB$3</f>
        <v/>
      </c>
    </row>
    <row r="21">
      <c r="A21" s="0" t="n">
        <v>0.8950837</v>
      </c>
      <c r="B21" s="0" t="n">
        <v>0.79306</v>
      </c>
      <c r="C21" s="0">
        <f>A21*B21</f>
        <v/>
      </c>
      <c r="D21" s="0" t="n">
        <v>0.016</v>
      </c>
      <c r="E21" s="0" t="n">
        <v>0.008999999999999999</v>
      </c>
      <c r="F21" s="0">
        <f>A21*200</f>
        <v/>
      </c>
      <c r="G21" s="0">
        <f>-B21</f>
        <v/>
      </c>
      <c r="H21" s="0">
        <f>-C21*200</f>
        <v/>
      </c>
      <c r="I21" s="0" t="n">
        <v>1</v>
      </c>
      <c r="J21" s="0">
        <f>LN(F21/1000)</f>
        <v/>
      </c>
      <c r="K21" s="0">
        <f>((-G21)-$N$2)</f>
        <v/>
      </c>
      <c r="L21" s="0" t="n">
        <v>1</v>
      </c>
      <c r="M21" s="0">
        <f>-1*($S$4+($S$5*J21))</f>
        <v/>
      </c>
      <c r="N21" s="0">
        <f>D21*A21</f>
        <v/>
      </c>
      <c r="O21" s="0">
        <f>E21*A21</f>
        <v/>
      </c>
      <c r="P21" s="0">
        <f>-K21-M21-N21-O21</f>
        <v/>
      </c>
      <c r="V21" s="0" t="n">
        <v>-4.30000000000001</v>
      </c>
      <c r="W21" s="0">
        <f>V21*$S$5+$S$4</f>
        <v/>
      </c>
      <c r="Y21" s="0" t="n">
        <v>0.17</v>
      </c>
      <c r="Z21" s="0">
        <f>$AB$4*Y21+$AB$3</f>
        <v/>
      </c>
    </row>
    <row r="22">
      <c r="A22" s="0" t="n">
        <v>0.9454928</v>
      </c>
      <c r="B22" s="0" t="n">
        <v>0.7896300000000001</v>
      </c>
      <c r="C22" s="0">
        <f>A22*B22</f>
        <v/>
      </c>
      <c r="D22" s="0" t="n">
        <v>0.016</v>
      </c>
      <c r="E22" s="0" t="n">
        <v>0.008999999999999999</v>
      </c>
      <c r="F22" s="0">
        <f>A22*200</f>
        <v/>
      </c>
      <c r="G22" s="0">
        <f>-B22</f>
        <v/>
      </c>
      <c r="H22" s="0">
        <f>-C22*200</f>
        <v/>
      </c>
      <c r="I22" s="0" t="n">
        <v>1</v>
      </c>
      <c r="J22" s="0">
        <f>LN(F22/1000)</f>
        <v/>
      </c>
      <c r="K22" s="0">
        <f>((-G22)-$N$2)</f>
        <v/>
      </c>
      <c r="L22" s="0" t="n">
        <v>1</v>
      </c>
      <c r="M22" s="0">
        <f>-1*($S$4+($S$5*J22))</f>
        <v/>
      </c>
      <c r="N22" s="0">
        <f>D22*A22</f>
        <v/>
      </c>
      <c r="O22" s="0">
        <f>E22*A22</f>
        <v/>
      </c>
      <c r="P22" s="0">
        <f>-K22-M22-N22-O22</f>
        <v/>
      </c>
      <c r="V22" s="0" t="n">
        <v>-4.20000000000001</v>
      </c>
      <c r="W22" s="0">
        <f>V22*$S$5+$S$4</f>
        <v/>
      </c>
      <c r="Y22" s="0" t="n">
        <v>0.18</v>
      </c>
      <c r="Z22" s="0">
        <f>$AB$4*Y22+$AB$3</f>
        <v/>
      </c>
    </row>
    <row r="23">
      <c r="A23" s="0" t="n">
        <v>0.9979388</v>
      </c>
      <c r="B23" s="0" t="n">
        <v>0.78604</v>
      </c>
      <c r="C23" s="0">
        <f>A23*B23</f>
        <v/>
      </c>
      <c r="D23" s="0" t="n">
        <v>0.016</v>
      </c>
      <c r="E23" s="0" t="n">
        <v>0.008999999999999999</v>
      </c>
      <c r="F23" s="0">
        <f>A23*200</f>
        <v/>
      </c>
      <c r="G23" s="0">
        <f>-B23</f>
        <v/>
      </c>
      <c r="H23" s="0">
        <f>-C23*200</f>
        <v/>
      </c>
      <c r="I23" s="0" t="n">
        <v>1</v>
      </c>
      <c r="J23" s="0">
        <f>LN(F23/1000)</f>
        <v/>
      </c>
      <c r="K23" s="0">
        <f>((-G23)-$N$2)</f>
        <v/>
      </c>
      <c r="L23" s="0" t="n">
        <v>1</v>
      </c>
      <c r="M23" s="0">
        <f>-1*($S$4+($S$5*J23))</f>
        <v/>
      </c>
      <c r="N23" s="0">
        <f>D23*A23</f>
        <v/>
      </c>
      <c r="O23" s="0">
        <f>E23*A23</f>
        <v/>
      </c>
      <c r="P23" s="0">
        <f>-K23-M23-N23-O23</f>
        <v/>
      </c>
      <c r="V23" s="0" t="n">
        <v>-4.10000000000001</v>
      </c>
      <c r="W23" s="0">
        <f>V23*$S$5+$S$4</f>
        <v/>
      </c>
      <c r="Y23" s="0" t="n">
        <v>0.19</v>
      </c>
      <c r="Z23" s="0">
        <f>$AB$4*Y23+$AB$3</f>
        <v/>
      </c>
    </row>
    <row r="24">
      <c r="A24" s="0" t="n">
        <v>1.0493663</v>
      </c>
      <c r="B24" s="0" t="n">
        <v>0.78315</v>
      </c>
      <c r="C24" s="0">
        <f>A24*B24</f>
        <v/>
      </c>
      <c r="D24" s="0" t="n">
        <v>0.016</v>
      </c>
      <c r="E24" s="0" t="n">
        <v>0.008999999999999999</v>
      </c>
      <c r="F24" s="0">
        <f>A24*200</f>
        <v/>
      </c>
      <c r="G24" s="0">
        <f>-B24</f>
        <v/>
      </c>
      <c r="H24" s="0">
        <f>-C24*200</f>
        <v/>
      </c>
      <c r="I24" s="0" t="n">
        <v>1</v>
      </c>
      <c r="J24" s="0">
        <f>LN(F24/1000)</f>
        <v/>
      </c>
      <c r="K24" s="0">
        <f>((-G24)-$N$2)</f>
        <v/>
      </c>
      <c r="L24" s="0" t="n">
        <v>1</v>
      </c>
      <c r="M24" s="0">
        <f>-1*($S$4+($S$5*J24))</f>
        <v/>
      </c>
      <c r="N24" s="0">
        <f>D24*A24</f>
        <v/>
      </c>
      <c r="O24" s="0">
        <f>E24*A24</f>
        <v/>
      </c>
      <c r="P24" s="0">
        <f>-K24-M24-N24-O24</f>
        <v/>
      </c>
      <c r="V24" s="0" t="n">
        <v>-4.00000000000001</v>
      </c>
      <c r="W24" s="0">
        <f>V24*$S$5+$S$4</f>
        <v/>
      </c>
      <c r="Y24" s="0" t="n">
        <v>0.2</v>
      </c>
      <c r="Z24" s="0">
        <f>$AB$4*Y24+$AB$3</f>
        <v/>
      </c>
    </row>
    <row r="25">
      <c r="A25" s="0" t="n">
        <v>1.1007938</v>
      </c>
      <c r="B25" s="0" t="n">
        <v>0.77951</v>
      </c>
      <c r="C25" s="0">
        <f>A25*B25</f>
        <v/>
      </c>
      <c r="D25" s="0" t="n">
        <v>0.016</v>
      </c>
      <c r="E25" s="0" t="n">
        <v>0.008999999999999999</v>
      </c>
      <c r="F25" s="0">
        <f>A25*200</f>
        <v/>
      </c>
      <c r="G25" s="0">
        <f>-B25</f>
        <v/>
      </c>
      <c r="H25" s="0">
        <f>-C25*200</f>
        <v/>
      </c>
      <c r="I25" s="0" t="n">
        <v>1</v>
      </c>
      <c r="J25" s="0">
        <f>LN(F25/1000)</f>
        <v/>
      </c>
      <c r="K25" s="0">
        <f>((-G25)-$N$2)</f>
        <v/>
      </c>
      <c r="L25" s="0" t="n">
        <v>1</v>
      </c>
      <c r="M25" s="0">
        <f>-1*($S$4+($S$5*J25))</f>
        <v/>
      </c>
      <c r="N25" s="0">
        <f>D25*A25</f>
        <v/>
      </c>
      <c r="O25" s="0">
        <f>E25*A25</f>
        <v/>
      </c>
      <c r="P25" s="0">
        <f>-K25-M25-N25-O25</f>
        <v/>
      </c>
      <c r="V25" s="0" t="n">
        <v>-3.90000000000001</v>
      </c>
      <c r="W25" s="0">
        <f>V25*$S$5+$S$4</f>
        <v/>
      </c>
      <c r="Y25" s="0" t="n">
        <v>0.21</v>
      </c>
      <c r="Z25" s="0">
        <f>$AB$4*Y25+$AB$3</f>
        <v/>
      </c>
    </row>
    <row r="26">
      <c r="A26" s="0" t="n">
        <v>1.1522213</v>
      </c>
      <c r="B26" s="0" t="n">
        <v>0.77634</v>
      </c>
      <c r="C26" s="0">
        <f>A26*B26</f>
        <v/>
      </c>
      <c r="D26" s="0" t="n">
        <v>0.016</v>
      </c>
      <c r="E26" s="0" t="n">
        <v>0.008999999999999999</v>
      </c>
      <c r="F26" s="0">
        <f>A26*200</f>
        <v/>
      </c>
      <c r="G26" s="0">
        <f>-B26</f>
        <v/>
      </c>
      <c r="H26" s="0">
        <f>-C26*200</f>
        <v/>
      </c>
      <c r="I26" s="0" t="n">
        <v>1</v>
      </c>
      <c r="J26" s="0">
        <f>LN(F26/1000)</f>
        <v/>
      </c>
      <c r="K26" s="0">
        <f>((-G26)-$N$2)</f>
        <v/>
      </c>
      <c r="L26" s="0" t="n">
        <v>1</v>
      </c>
      <c r="M26" s="0">
        <f>-1*($S$4+($S$5*J26))</f>
        <v/>
      </c>
      <c r="N26" s="0">
        <f>D26*A26</f>
        <v/>
      </c>
      <c r="O26" s="0">
        <f>E26*A26</f>
        <v/>
      </c>
      <c r="P26" s="0">
        <f>-K26-M26-N26-O26</f>
        <v/>
      </c>
      <c r="V26" s="0" t="n">
        <v>-3.80000000000001</v>
      </c>
      <c r="W26" s="0">
        <f>V26*$S$5+$S$4</f>
        <v/>
      </c>
      <c r="Y26" s="0" t="n">
        <v>0.22</v>
      </c>
      <c r="Z26" s="0">
        <f>$AB$4*Y26+$AB$3</f>
        <v/>
      </c>
    </row>
    <row r="27">
      <c r="A27" s="0" t="n">
        <v>1.2026305</v>
      </c>
      <c r="B27" s="0" t="n">
        <v>0.77332</v>
      </c>
      <c r="C27" s="0">
        <f>A27*B27</f>
        <v/>
      </c>
      <c r="D27" s="0" t="n">
        <v>0.016</v>
      </c>
      <c r="E27" s="0" t="n">
        <v>0.008999999999999999</v>
      </c>
      <c r="F27" s="0">
        <f>A27*200</f>
        <v/>
      </c>
      <c r="G27" s="0">
        <f>-B27</f>
        <v/>
      </c>
      <c r="H27" s="0">
        <f>-C27*200</f>
        <v/>
      </c>
      <c r="I27" s="0" t="n">
        <v>1</v>
      </c>
      <c r="J27" s="0">
        <f>LN(F27/1000)</f>
        <v/>
      </c>
      <c r="K27" s="0">
        <f>((-G27)-$N$2)</f>
        <v/>
      </c>
      <c r="L27" s="0" t="n">
        <v>1</v>
      </c>
      <c r="M27" s="0">
        <f>-1*($S$4+($S$5*J27))</f>
        <v/>
      </c>
      <c r="N27" s="0">
        <f>D27*A27</f>
        <v/>
      </c>
      <c r="O27" s="0">
        <f>E27*A27</f>
        <v/>
      </c>
      <c r="P27" s="0">
        <f>-K27-M27-N27-O27</f>
        <v/>
      </c>
      <c r="V27" s="0" t="n">
        <v>-3.70000000000001</v>
      </c>
      <c r="W27" s="0">
        <f>V27*$S$5+$S$4</f>
        <v/>
      </c>
      <c r="Y27" s="0" t="n">
        <v>0.23</v>
      </c>
      <c r="Z27" s="0">
        <f>$AB$4*Y27+$AB$3</f>
        <v/>
      </c>
    </row>
    <row r="28">
      <c r="A28" s="0" t="n">
        <v>1.2530396</v>
      </c>
      <c r="B28" s="0" t="n">
        <v>0.77032</v>
      </c>
      <c r="C28" s="0">
        <f>A28*B28</f>
        <v/>
      </c>
      <c r="D28" s="0" t="n">
        <v>0.016</v>
      </c>
      <c r="E28" s="0" t="n">
        <v>0.008999999999999999</v>
      </c>
      <c r="F28" s="0">
        <f>A28*200</f>
        <v/>
      </c>
      <c r="G28" s="0">
        <f>-B28</f>
        <v/>
      </c>
      <c r="H28" s="0">
        <f>-C28*200</f>
        <v/>
      </c>
      <c r="I28" s="0" t="n">
        <v>1</v>
      </c>
      <c r="J28" s="0">
        <f>LN(F28/1000)</f>
        <v/>
      </c>
      <c r="K28" s="0">
        <f>((-G28)-$N$2)</f>
        <v/>
      </c>
      <c r="L28" s="0" t="n">
        <v>1</v>
      </c>
      <c r="M28" s="0">
        <f>-1*($S$4+($S$5*J28))</f>
        <v/>
      </c>
      <c r="N28" s="0">
        <f>D28*A28</f>
        <v/>
      </c>
      <c r="O28" s="0">
        <f>E28*A28</f>
        <v/>
      </c>
      <c r="P28" s="0">
        <f>-K28-M28-N28-O28</f>
        <v/>
      </c>
      <c r="V28" s="0" t="n">
        <v>-3.60000000000001</v>
      </c>
      <c r="W28" s="0">
        <f>V28*$S$5+$S$4</f>
        <v/>
      </c>
      <c r="Y28" s="0" t="n">
        <v>0.24</v>
      </c>
      <c r="Z28" s="0">
        <f>$AB$4*Y28+$AB$3</f>
        <v/>
      </c>
    </row>
    <row r="29">
      <c r="A29" s="0" t="n">
        <v>1.3049762</v>
      </c>
      <c r="B29" s="0" t="n">
        <v>0.76735</v>
      </c>
      <c r="C29" s="0">
        <f>A29*B29</f>
        <v/>
      </c>
      <c r="D29" s="0" t="n">
        <v>0.016</v>
      </c>
      <c r="E29" s="0" t="n">
        <v>0.008999999999999999</v>
      </c>
      <c r="F29" s="0">
        <f>A29*200</f>
        <v/>
      </c>
      <c r="G29" s="0">
        <f>-B29</f>
        <v/>
      </c>
      <c r="H29" s="0">
        <f>-C29*200</f>
        <v/>
      </c>
      <c r="I29" s="0" t="n">
        <v>1</v>
      </c>
      <c r="J29" s="0">
        <f>LN(F29/1000)</f>
        <v/>
      </c>
      <c r="K29" s="0">
        <f>((-G29)-$N$2)</f>
        <v/>
      </c>
      <c r="L29" s="0" t="n">
        <v>1</v>
      </c>
      <c r="M29" s="0">
        <f>-1*($S$4+($S$5*J29))</f>
        <v/>
      </c>
      <c r="N29" s="0">
        <f>D29*A29</f>
        <v/>
      </c>
      <c r="O29" s="0">
        <f>E29*A29</f>
        <v/>
      </c>
      <c r="P29" s="0">
        <f>-K29-M29-N29-O29</f>
        <v/>
      </c>
      <c r="V29" s="0" t="n">
        <v>-3.50000000000001</v>
      </c>
      <c r="W29" s="0">
        <f>V29*$S$5+$S$4</f>
        <v/>
      </c>
      <c r="Y29" s="0" t="n">
        <v>0.25</v>
      </c>
      <c r="Z29" s="0">
        <f>$AB$4*Y29+$AB$3</f>
        <v/>
      </c>
    </row>
    <row r="30">
      <c r="A30" s="0" t="n">
        <v>1.3564037</v>
      </c>
      <c r="B30" s="0" t="n">
        <v>0.76454</v>
      </c>
      <c r="C30" s="0">
        <f>A30*B30</f>
        <v/>
      </c>
      <c r="D30" s="0" t="n">
        <v>0.016</v>
      </c>
      <c r="E30" s="0" t="n">
        <v>0.008999999999999999</v>
      </c>
      <c r="F30" s="0">
        <f>A30*200</f>
        <v/>
      </c>
      <c r="G30" s="0">
        <f>-B30</f>
        <v/>
      </c>
      <c r="H30" s="0">
        <f>-C30*200</f>
        <v/>
      </c>
      <c r="I30" s="0" t="n">
        <v>1</v>
      </c>
      <c r="J30" s="0">
        <f>LN(F30/1000)</f>
        <v/>
      </c>
      <c r="K30" s="0">
        <f>((-G30)-$N$2)</f>
        <v/>
      </c>
      <c r="L30" s="0" t="n">
        <v>1</v>
      </c>
      <c r="M30" s="0">
        <f>-1*($S$4+($S$5*J30))</f>
        <v/>
      </c>
      <c r="N30" s="0">
        <f>D30*A30</f>
        <v/>
      </c>
      <c r="O30" s="0">
        <f>E30*A30</f>
        <v/>
      </c>
      <c r="P30" s="0">
        <f>-K30-M30-N30-O30</f>
        <v/>
      </c>
      <c r="V30" s="0" t="n">
        <v>-3.40000000000001</v>
      </c>
      <c r="W30" s="0">
        <f>V30*$S$5+$S$4</f>
        <v/>
      </c>
      <c r="Y30" s="0" t="n">
        <v>0.26</v>
      </c>
      <c r="Z30" s="0">
        <f>$AB$4*Y30+$AB$3</f>
        <v/>
      </c>
    </row>
    <row r="31">
      <c r="A31" s="0" t="n">
        <v>1.4078312</v>
      </c>
      <c r="B31" s="0" t="n">
        <v>0.76137</v>
      </c>
      <c r="C31" s="0">
        <f>A31*B31</f>
        <v/>
      </c>
      <c r="D31" s="0" t="n">
        <v>0.016</v>
      </c>
      <c r="E31" s="0" t="n">
        <v>0.008999999999999999</v>
      </c>
      <c r="F31" s="0">
        <f>A31*200</f>
        <v/>
      </c>
      <c r="G31" s="0">
        <f>-B31</f>
        <v/>
      </c>
      <c r="H31" s="0">
        <f>-C31*200</f>
        <v/>
      </c>
      <c r="I31" s="0" t="n">
        <v>1</v>
      </c>
      <c r="J31" s="0">
        <f>LN(F31/1000)</f>
        <v/>
      </c>
      <c r="K31" s="0">
        <f>((-G31)-$N$2)</f>
        <v/>
      </c>
      <c r="L31" s="0" t="n">
        <v>1</v>
      </c>
      <c r="M31" s="0">
        <f>-1*($S$4+($S$5*J31))</f>
        <v/>
      </c>
      <c r="N31" s="0">
        <f>D31*A31</f>
        <v/>
      </c>
      <c r="O31" s="0">
        <f>E31*A31</f>
        <v/>
      </c>
      <c r="P31" s="0">
        <f>-K31-M31-N31-O31</f>
        <v/>
      </c>
      <c r="V31" s="0" t="n">
        <v>-3.30000000000001</v>
      </c>
      <c r="W31" s="0">
        <f>V31*$S$5+$S$4</f>
        <v/>
      </c>
      <c r="Y31" s="0" t="n">
        <v>0.27</v>
      </c>
      <c r="Z31" s="0">
        <f>$AB$4*Y31+$AB$3</f>
        <v/>
      </c>
    </row>
    <row r="32">
      <c r="A32" s="0" t="n">
        <v>1.4628231</v>
      </c>
      <c r="B32" s="0" t="n">
        <v>0.75843</v>
      </c>
      <c r="C32" s="0">
        <f>A32*B32</f>
        <v/>
      </c>
      <c r="D32" s="0" t="n">
        <v>0.016</v>
      </c>
      <c r="E32" s="0" t="n">
        <v>0.008999999999999999</v>
      </c>
      <c r="F32" s="0">
        <f>A32*200</f>
        <v/>
      </c>
      <c r="G32" s="0">
        <f>-B32</f>
        <v/>
      </c>
      <c r="H32" s="0">
        <f>-C32*200</f>
        <v/>
      </c>
      <c r="I32" s="0" t="n">
        <v>1</v>
      </c>
      <c r="J32" s="0">
        <f>LN(F32/1000)</f>
        <v/>
      </c>
      <c r="K32" s="0">
        <f>((-G32)-$N$2)</f>
        <v/>
      </c>
      <c r="L32" s="0" t="n">
        <v>1</v>
      </c>
      <c r="M32" s="0">
        <f>-1*($S$4+($S$5*J32))</f>
        <v/>
      </c>
      <c r="N32" s="0">
        <f>D32*A32</f>
        <v/>
      </c>
      <c r="O32" s="0">
        <f>E32*A32</f>
        <v/>
      </c>
      <c r="P32" s="0">
        <f>-K32-M32-N32-O32</f>
        <v/>
      </c>
      <c r="V32" s="0" t="n">
        <v>-3.20000000000001</v>
      </c>
      <c r="W32" s="0">
        <f>V32*$S$5+$S$4</f>
        <v/>
      </c>
    </row>
    <row r="33">
      <c r="A33" s="0" t="n">
        <v>1.5173058</v>
      </c>
      <c r="B33" s="0" t="n">
        <v>0.75537</v>
      </c>
      <c r="C33" s="0">
        <f>A33*B33</f>
        <v/>
      </c>
      <c r="D33" s="0" t="n">
        <v>0.016</v>
      </c>
      <c r="E33" s="0" t="n">
        <v>0.008999999999999999</v>
      </c>
      <c r="F33" s="0">
        <f>A33*200</f>
        <v/>
      </c>
      <c r="G33" s="0">
        <f>-B33</f>
        <v/>
      </c>
      <c r="H33" s="0">
        <f>-C33*200</f>
        <v/>
      </c>
      <c r="I33" s="0" t="n">
        <v>1</v>
      </c>
      <c r="J33" s="0">
        <f>LN(F33/1000)</f>
        <v/>
      </c>
      <c r="K33" s="0">
        <f>((-G33)-$N$2)</f>
        <v/>
      </c>
      <c r="L33" s="0" t="n">
        <v>1</v>
      </c>
      <c r="M33" s="0">
        <f>-1*($S$4+($S$5*J33))</f>
        <v/>
      </c>
      <c r="N33" s="0">
        <f>D33*A33</f>
        <v/>
      </c>
      <c r="O33" s="0">
        <f>E33*A33</f>
        <v/>
      </c>
      <c r="P33" s="0">
        <f>-K33-M33-N33-O33</f>
        <v/>
      </c>
      <c r="V33" s="0" t="n">
        <v>-3.10000000000001</v>
      </c>
      <c r="W33" s="0">
        <f>V33*$S$5+$S$4</f>
        <v/>
      </c>
    </row>
    <row r="34">
      <c r="A34" s="0" t="n">
        <v>1.5677148</v>
      </c>
      <c r="B34" s="0" t="n">
        <v>0.75253</v>
      </c>
      <c r="C34" s="0">
        <f>A34*B34</f>
        <v/>
      </c>
      <c r="D34" s="0" t="n">
        <v>0.016</v>
      </c>
      <c r="E34" s="0" t="n">
        <v>0.008999999999999999</v>
      </c>
      <c r="F34" s="0">
        <f>A34*200</f>
        <v/>
      </c>
      <c r="G34" s="0">
        <f>-B34</f>
        <v/>
      </c>
      <c r="H34" s="0">
        <f>-C34*200</f>
        <v/>
      </c>
      <c r="I34" s="0" t="n">
        <v>1</v>
      </c>
      <c r="J34" s="0">
        <f>LN(F34/1000)</f>
        <v/>
      </c>
      <c r="K34" s="0">
        <f>((-G34)-$N$2)</f>
        <v/>
      </c>
      <c r="L34" s="0" t="n">
        <v>1</v>
      </c>
      <c r="M34" s="0">
        <f>-1*($S$4+($S$5*J34))</f>
        <v/>
      </c>
      <c r="N34" s="0">
        <f>D34*A34</f>
        <v/>
      </c>
      <c r="O34" s="0">
        <f>E34*A34</f>
        <v/>
      </c>
      <c r="P34" s="0">
        <f>-K34-M34-N34-O34</f>
        <v/>
      </c>
      <c r="V34" s="0" t="n">
        <v>-3.00000000000001</v>
      </c>
      <c r="W34" s="0">
        <f>V34*$S$5+$S$4</f>
        <v/>
      </c>
    </row>
    <row r="35">
      <c r="A35" s="0" t="n">
        <v>1.6191423</v>
      </c>
      <c r="B35" s="0" t="n">
        <v>0.7497</v>
      </c>
      <c r="C35" s="0">
        <f>A35*B35</f>
        <v/>
      </c>
      <c r="D35" s="0" t="n">
        <v>0.016</v>
      </c>
      <c r="E35" s="0" t="n">
        <v>0.008999999999999999</v>
      </c>
      <c r="F35" s="0">
        <f>A35*200</f>
        <v/>
      </c>
      <c r="G35" s="0">
        <f>-B35</f>
        <v/>
      </c>
      <c r="H35" s="0">
        <f>-C35*200</f>
        <v/>
      </c>
      <c r="I35" s="0" t="n">
        <v>1</v>
      </c>
      <c r="J35" s="0">
        <f>LN(F35/1000)</f>
        <v/>
      </c>
      <c r="K35" s="0">
        <f>((-G35)-$N$2)</f>
        <v/>
      </c>
      <c r="L35" s="0" t="n">
        <v>1</v>
      </c>
      <c r="M35" s="0">
        <f>-1*($S$4+($S$5*J35))</f>
        <v/>
      </c>
      <c r="N35" s="0">
        <f>D35*A35</f>
        <v/>
      </c>
      <c r="O35" s="0">
        <f>E35*A35</f>
        <v/>
      </c>
      <c r="P35" s="0">
        <f>-K35-M35-N35-O35</f>
        <v/>
      </c>
      <c r="V35" s="0" t="n">
        <v>-2.90000000000001</v>
      </c>
      <c r="W35" s="0">
        <f>V35*$S$5+$S$4</f>
        <v/>
      </c>
    </row>
    <row r="36">
      <c r="A36" s="0" t="n">
        <v>1.6715881</v>
      </c>
      <c r="B36" s="0" t="n">
        <v>0.74678</v>
      </c>
      <c r="C36" s="0">
        <f>A36*B36</f>
        <v/>
      </c>
      <c r="D36" s="0" t="n">
        <v>0.016</v>
      </c>
      <c r="E36" s="0" t="n">
        <v>0.008999999999999999</v>
      </c>
      <c r="F36" s="0">
        <f>A36*200</f>
        <v/>
      </c>
      <c r="G36" s="0">
        <f>-B36</f>
        <v/>
      </c>
      <c r="H36" s="0">
        <f>-C36*200</f>
        <v/>
      </c>
      <c r="I36" s="0" t="n">
        <v>1</v>
      </c>
      <c r="J36" s="0">
        <f>LN(F36/1000)</f>
        <v/>
      </c>
      <c r="K36" s="0">
        <f>((-G36)-$N$2)</f>
        <v/>
      </c>
      <c r="L36" s="0" t="n">
        <v>1</v>
      </c>
      <c r="M36" s="0">
        <f>-1*($S$4+($S$5*J36))</f>
        <v/>
      </c>
      <c r="N36" s="0">
        <f>D36*A36</f>
        <v/>
      </c>
      <c r="O36" s="0">
        <f>E36*A36</f>
        <v/>
      </c>
      <c r="P36" s="0">
        <f>-K36-M36-N36-O36</f>
        <v/>
      </c>
      <c r="V36" s="0" t="n">
        <v>-2.80000000000001</v>
      </c>
      <c r="W36" s="0">
        <f>V36*$S$5+$S$4</f>
        <v/>
      </c>
    </row>
    <row r="37">
      <c r="A37" s="0" t="n">
        <v>1.7240341</v>
      </c>
      <c r="B37" s="0" t="n">
        <v>0.74409</v>
      </c>
      <c r="C37" s="0">
        <f>A37*B37</f>
        <v/>
      </c>
      <c r="D37" s="0" t="n">
        <v>0.016</v>
      </c>
      <c r="E37" s="0" t="n">
        <v>0.008999999999999999</v>
      </c>
      <c r="F37" s="0">
        <f>A37*200</f>
        <v/>
      </c>
      <c r="G37" s="0">
        <f>-B37</f>
        <v/>
      </c>
      <c r="H37" s="0">
        <f>-C37*200</f>
        <v/>
      </c>
      <c r="I37" s="0" t="n">
        <v>1</v>
      </c>
      <c r="J37" s="0">
        <f>LN(F37/1000)</f>
        <v/>
      </c>
      <c r="K37" s="0">
        <f>((-G37)-$N$2)</f>
        <v/>
      </c>
      <c r="L37" s="0" t="n">
        <v>1</v>
      </c>
      <c r="M37" s="0">
        <f>-1*($S$4+($S$5*J37))</f>
        <v/>
      </c>
      <c r="N37" s="0">
        <f>D37*A37</f>
        <v/>
      </c>
      <c r="O37" s="0">
        <f>E37*A37</f>
        <v/>
      </c>
      <c r="P37" s="0">
        <f>-K37-M37-N37-O37</f>
        <v/>
      </c>
      <c r="V37" s="0" t="n">
        <v>-2.70000000000001</v>
      </c>
      <c r="W37" s="0">
        <f>V37*$S$5+$S$4</f>
        <v/>
      </c>
    </row>
    <row r="38">
      <c r="A38" s="0" t="n">
        <v>1.7759707</v>
      </c>
      <c r="B38" s="0" t="n">
        <v>0.74155</v>
      </c>
      <c r="C38" s="0">
        <f>A38*B38</f>
        <v/>
      </c>
      <c r="D38" s="0" t="n">
        <v>0.016</v>
      </c>
      <c r="E38" s="0" t="n">
        <v>0.008999999999999999</v>
      </c>
      <c r="F38" s="0">
        <f>A38*200</f>
        <v/>
      </c>
      <c r="G38" s="0">
        <f>-B38</f>
        <v/>
      </c>
      <c r="H38" s="0">
        <f>-C38*200</f>
        <v/>
      </c>
      <c r="I38" s="0" t="n">
        <v>1</v>
      </c>
      <c r="J38" s="0">
        <f>LN(F38/1000)</f>
        <v/>
      </c>
      <c r="K38" s="0">
        <f>((-G38)-$N$2)</f>
        <v/>
      </c>
      <c r="L38" s="0" t="n">
        <v>1</v>
      </c>
      <c r="M38" s="0">
        <f>-1*($S$4+($S$5*J38))</f>
        <v/>
      </c>
      <c r="N38" s="0">
        <f>D38*A38</f>
        <v/>
      </c>
      <c r="O38" s="0">
        <f>E38*A38</f>
        <v/>
      </c>
      <c r="P38" s="0">
        <f>-K38-M38-N38-O38</f>
        <v/>
      </c>
      <c r="V38" s="0" t="n">
        <v>-2.60000000000001</v>
      </c>
      <c r="W38" s="0">
        <f>V38*$S$5+$S$4</f>
        <v/>
      </c>
    </row>
    <row r="39">
      <c r="A39" s="0" t="n">
        <v>1.8279073</v>
      </c>
      <c r="B39" s="0" t="n">
        <v>0.73892</v>
      </c>
      <c r="C39" s="0">
        <f>A39*B39</f>
        <v/>
      </c>
      <c r="D39" s="0" t="n">
        <v>0.016</v>
      </c>
      <c r="E39" s="0" t="n">
        <v>0.008999999999999999</v>
      </c>
      <c r="F39" s="0">
        <f>A39*200</f>
        <v/>
      </c>
      <c r="G39" s="0">
        <f>-B39</f>
        <v/>
      </c>
      <c r="H39" s="0">
        <f>-C39*200</f>
        <v/>
      </c>
      <c r="I39" s="0" t="n">
        <v>1</v>
      </c>
      <c r="J39" s="0">
        <f>LN(F39/1000)</f>
        <v/>
      </c>
      <c r="K39" s="0">
        <f>((-G39)-$N$2)</f>
        <v/>
      </c>
      <c r="L39" s="0" t="n">
        <v>1</v>
      </c>
      <c r="M39" s="0">
        <f>-1*($S$4+($S$5*J39))</f>
        <v/>
      </c>
      <c r="N39" s="0">
        <f>D39*A39</f>
        <v/>
      </c>
      <c r="O39" s="0">
        <f>E39*A39</f>
        <v/>
      </c>
      <c r="P39" s="0">
        <f>-K39-M39-N39-O39</f>
        <v/>
      </c>
      <c r="V39" s="0" t="n">
        <v>-2.50000000000001</v>
      </c>
      <c r="W39" s="0">
        <f>V39*$S$5+$S$4</f>
        <v/>
      </c>
    </row>
    <row r="40">
      <c r="A40" s="0" t="n">
        <v>1.8783164</v>
      </c>
      <c r="B40" s="0" t="n">
        <v>0.73642</v>
      </c>
      <c r="C40" s="0">
        <f>A40*B40</f>
        <v/>
      </c>
      <c r="D40" s="0" t="n">
        <v>0.016</v>
      </c>
      <c r="E40" s="0" t="n">
        <v>0.008999999999999999</v>
      </c>
      <c r="F40" s="0">
        <f>A40*200</f>
        <v/>
      </c>
      <c r="G40" s="0">
        <f>-B40</f>
        <v/>
      </c>
      <c r="H40" s="0">
        <f>-C40*200</f>
        <v/>
      </c>
      <c r="I40" s="0" t="n">
        <v>1</v>
      </c>
      <c r="J40" s="0">
        <f>LN(F40/1000)</f>
        <v/>
      </c>
      <c r="K40" s="0">
        <f>((-G40)-$N$2)</f>
        <v/>
      </c>
      <c r="L40" s="0" t="n">
        <v>1</v>
      </c>
      <c r="M40" s="0">
        <f>-1*($S$4+($S$5*J40))</f>
        <v/>
      </c>
      <c r="N40" s="0">
        <f>D40*A40</f>
        <v/>
      </c>
      <c r="O40" s="0">
        <f>E40*A40</f>
        <v/>
      </c>
      <c r="P40" s="0">
        <f>-K40-M40-N40-O40</f>
        <v/>
      </c>
      <c r="V40" s="0" t="n">
        <v>-2.40000000000001</v>
      </c>
      <c r="W40" s="0">
        <f>V40*$S$5+$S$4</f>
        <v/>
      </c>
    </row>
    <row r="41">
      <c r="A41" s="0" t="n">
        <v>1.9287257</v>
      </c>
      <c r="B41" s="0" t="n">
        <v>0.73391</v>
      </c>
      <c r="C41" s="0">
        <f>A41*B41</f>
        <v/>
      </c>
      <c r="D41" s="0" t="n">
        <v>0.016</v>
      </c>
      <c r="E41" s="0" t="n">
        <v>0.008999999999999999</v>
      </c>
      <c r="F41" s="0">
        <f>A41*200</f>
        <v/>
      </c>
      <c r="G41" s="0">
        <f>-B41</f>
        <v/>
      </c>
      <c r="H41" s="0">
        <f>-C41*200</f>
        <v/>
      </c>
      <c r="I41" s="0" t="n">
        <v>1</v>
      </c>
      <c r="J41" s="0">
        <f>LN(F41/1000)</f>
        <v/>
      </c>
      <c r="K41" s="0">
        <f>((-G41)-$N$2)</f>
        <v/>
      </c>
      <c r="L41" s="0" t="n">
        <v>1</v>
      </c>
      <c r="M41" s="0">
        <f>-1*($S$4+($S$5*J41))</f>
        <v/>
      </c>
      <c r="N41" s="0">
        <f>D41*A41</f>
        <v/>
      </c>
      <c r="O41" s="0">
        <f>E41*A41</f>
        <v/>
      </c>
      <c r="P41" s="0">
        <f>-K41-M41-N41-O41</f>
        <v/>
      </c>
      <c r="V41" s="0" t="n">
        <v>-2.30000000000001</v>
      </c>
      <c r="W41" s="0">
        <f>V41*$S$5+$S$4</f>
        <v/>
      </c>
    </row>
    <row r="42">
      <c r="A42" s="0" t="n">
        <v>1.9826992</v>
      </c>
      <c r="B42" s="0" t="n">
        <v>0.73103</v>
      </c>
      <c r="C42" s="0">
        <f>A42*B42</f>
        <v/>
      </c>
      <c r="D42" s="0" t="n">
        <v>0.016</v>
      </c>
      <c r="E42" s="0" t="n">
        <v>0.008999999999999999</v>
      </c>
      <c r="F42" s="0">
        <f>A42*200</f>
        <v/>
      </c>
      <c r="G42" s="0">
        <f>-B42</f>
        <v/>
      </c>
      <c r="H42" s="0">
        <f>-C42*200</f>
        <v/>
      </c>
      <c r="I42" s="0" t="n">
        <v>1</v>
      </c>
      <c r="J42" s="0">
        <f>LN(F42/1000)</f>
        <v/>
      </c>
      <c r="K42" s="0">
        <f>((-G42)-$N$2)</f>
        <v/>
      </c>
      <c r="L42" s="0" t="n">
        <v>1</v>
      </c>
      <c r="M42" s="0">
        <f>-1*($S$4+($S$5*J42))</f>
        <v/>
      </c>
      <c r="N42" s="0">
        <f>D42*A42</f>
        <v/>
      </c>
      <c r="O42" s="0">
        <f>E42*A42</f>
        <v/>
      </c>
      <c r="P42" s="0">
        <f>-K42-M42-N42-O42</f>
        <v/>
      </c>
      <c r="V42" s="0" t="n">
        <v>-2.20000000000001</v>
      </c>
      <c r="W42" s="0">
        <f>V42*$S$5+$S$4</f>
        <v/>
      </c>
    </row>
    <row r="43">
      <c r="A43" s="0" t="n">
        <v>2.0336176</v>
      </c>
      <c r="B43" s="0" t="n">
        <v>0.7284</v>
      </c>
      <c r="C43" s="0">
        <f>A43*B43</f>
        <v/>
      </c>
      <c r="D43" s="0" t="n">
        <v>0.016</v>
      </c>
      <c r="E43" s="0" t="n">
        <v>0.008999999999999999</v>
      </c>
      <c r="F43" s="0">
        <f>A43*200</f>
        <v/>
      </c>
      <c r="G43" s="0">
        <f>-B43</f>
        <v/>
      </c>
      <c r="H43" s="0">
        <f>-C43*200</f>
        <v/>
      </c>
      <c r="I43" s="0" t="n">
        <v>1</v>
      </c>
      <c r="J43" s="0">
        <f>LN(F43/1000)</f>
        <v/>
      </c>
      <c r="K43" s="0">
        <f>((-G43)-$N$2)</f>
        <v/>
      </c>
      <c r="L43" s="0" t="n">
        <v>1</v>
      </c>
      <c r="M43" s="0">
        <f>-1*($S$4+($S$5*J43))</f>
        <v/>
      </c>
      <c r="N43" s="0">
        <f>D43*A43</f>
        <v/>
      </c>
      <c r="O43" s="0">
        <f>E43*A43</f>
        <v/>
      </c>
      <c r="P43" s="0">
        <f>-K43-M43-N43-O43</f>
        <v/>
      </c>
      <c r="V43" s="0" t="n">
        <v>-2.10000000000001</v>
      </c>
      <c r="W43" s="0">
        <f>V43*$S$5+$S$4</f>
        <v/>
      </c>
    </row>
    <row r="44">
      <c r="A44" s="0" t="n">
        <v>2.0845361</v>
      </c>
      <c r="B44" s="0" t="n">
        <v>0.72595</v>
      </c>
      <c r="C44" s="0">
        <f>A44*B44</f>
        <v/>
      </c>
      <c r="D44" s="0" t="n">
        <v>0.016</v>
      </c>
      <c r="E44" s="0" t="n">
        <v>0.008999999999999999</v>
      </c>
      <c r="F44" s="0">
        <f>A44*200</f>
        <v/>
      </c>
      <c r="G44" s="0">
        <f>-B44</f>
        <v/>
      </c>
      <c r="H44" s="0">
        <f>-C44*200</f>
        <v/>
      </c>
      <c r="I44" s="0" t="n">
        <v>1</v>
      </c>
      <c r="J44" s="0">
        <f>LN(F44/1000)</f>
        <v/>
      </c>
      <c r="K44" s="0">
        <f>((-G44)-$N$2)</f>
        <v/>
      </c>
      <c r="L44" s="0" t="n">
        <v>1</v>
      </c>
      <c r="M44" s="0">
        <f>-1*($S$4+($S$5*J44))</f>
        <v/>
      </c>
      <c r="N44" s="0">
        <f>D44*A44</f>
        <v/>
      </c>
      <c r="O44" s="0">
        <f>E44*A44</f>
        <v/>
      </c>
      <c r="P44" s="0">
        <f>-K44-M44-N44-O44</f>
        <v/>
      </c>
      <c r="V44" s="0" t="n">
        <v>-2.00000000000001</v>
      </c>
      <c r="W44" s="0">
        <f>V44*$S$5+$S$4</f>
        <v/>
      </c>
    </row>
    <row r="45">
      <c r="A45" s="0" t="n">
        <v>2.1369817</v>
      </c>
      <c r="B45" s="0" t="n">
        <v>0.72353</v>
      </c>
      <c r="C45" s="0">
        <f>A45*B45</f>
        <v/>
      </c>
      <c r="D45" s="0" t="n">
        <v>0.016</v>
      </c>
      <c r="E45" s="0" t="n">
        <v>0.008999999999999999</v>
      </c>
      <c r="F45" s="0">
        <f>A45*200</f>
        <v/>
      </c>
      <c r="G45" s="0">
        <f>-B45</f>
        <v/>
      </c>
      <c r="H45" s="0">
        <f>-C45*200</f>
        <v/>
      </c>
      <c r="I45" s="0" t="n">
        <v>1</v>
      </c>
      <c r="J45" s="0">
        <f>LN(F45/1000)</f>
        <v/>
      </c>
      <c r="K45" s="0">
        <f>((-G45)-$N$2)</f>
        <v/>
      </c>
      <c r="L45" s="0" t="n">
        <v>1</v>
      </c>
      <c r="M45" s="0">
        <f>-1*($S$4+($S$5*J45))</f>
        <v/>
      </c>
      <c r="N45" s="0">
        <f>D45*A45</f>
        <v/>
      </c>
      <c r="O45" s="0">
        <f>E45*A45</f>
        <v/>
      </c>
      <c r="P45" s="0">
        <f>-K45-M45-N45-O45</f>
        <v/>
      </c>
      <c r="V45" s="0" t="n">
        <v>-1.90000000000001</v>
      </c>
      <c r="W45" s="0">
        <f>V45*$S$5+$S$4</f>
        <v/>
      </c>
    </row>
    <row r="46">
      <c r="A46" s="0" t="n">
        <v>2.1873909</v>
      </c>
      <c r="B46" s="0" t="n">
        <v>0.72106</v>
      </c>
      <c r="C46" s="0">
        <f>A46*B46</f>
        <v/>
      </c>
      <c r="D46" s="0" t="n">
        <v>0.016</v>
      </c>
      <c r="E46" s="0" t="n">
        <v>0.008999999999999999</v>
      </c>
      <c r="F46" s="0">
        <f>A46*200</f>
        <v/>
      </c>
      <c r="G46" s="0">
        <f>-B46</f>
        <v/>
      </c>
      <c r="H46" s="0">
        <f>-C46*200</f>
        <v/>
      </c>
      <c r="I46" s="0" t="n">
        <v>1</v>
      </c>
      <c r="J46" s="0">
        <f>LN(F46/1000)</f>
        <v/>
      </c>
      <c r="K46" s="0">
        <f>((-G46)-$N$2)</f>
        <v/>
      </c>
      <c r="L46" s="0" t="n">
        <v>1</v>
      </c>
      <c r="M46" s="0">
        <f>-1*($S$4+($S$5*J46))</f>
        <v/>
      </c>
      <c r="N46" s="0">
        <f>D46*A46</f>
        <v/>
      </c>
      <c r="O46" s="0">
        <f>E46*A46</f>
        <v/>
      </c>
      <c r="P46" s="0">
        <f>-K46-M46-N46-O46</f>
        <v/>
      </c>
      <c r="V46" s="0" t="n">
        <v>-1.80000000000001</v>
      </c>
      <c r="W46" s="0">
        <f>V46*$S$5+$S$4</f>
        <v/>
      </c>
    </row>
    <row r="47">
      <c r="A47" s="0" t="n">
        <v>2.2398369</v>
      </c>
      <c r="B47" s="0" t="n">
        <v>0.71854</v>
      </c>
      <c r="C47" s="0">
        <f>A47*B47</f>
        <v/>
      </c>
      <c r="D47" s="0" t="n">
        <v>0.016</v>
      </c>
      <c r="E47" s="0" t="n">
        <v>0.008999999999999999</v>
      </c>
      <c r="F47" s="0">
        <f>A47*200</f>
        <v/>
      </c>
      <c r="G47" s="0">
        <f>-B47</f>
        <v/>
      </c>
      <c r="H47" s="0">
        <f>-C47*200</f>
        <v/>
      </c>
      <c r="I47" s="0" t="n">
        <v>1</v>
      </c>
      <c r="J47" s="0">
        <f>LN(F47/1000)</f>
        <v/>
      </c>
      <c r="K47" s="0">
        <f>((-G47)-$N$2)</f>
        <v/>
      </c>
      <c r="L47" s="0" t="n">
        <v>1</v>
      </c>
      <c r="M47" s="0">
        <f>-1*($S$4+($S$5*J47))</f>
        <v/>
      </c>
      <c r="N47" s="0">
        <f>D47*A47</f>
        <v/>
      </c>
      <c r="O47" s="0">
        <f>E47*A47</f>
        <v/>
      </c>
      <c r="P47" s="0">
        <f>-K47-M47-N47-O47</f>
        <v/>
      </c>
      <c r="V47" s="0" t="n">
        <v>-1.70000000000002</v>
      </c>
      <c r="W47" s="0">
        <f>V47*$S$5+$S$4</f>
        <v/>
      </c>
    </row>
    <row r="48">
      <c r="A48" s="0" t="n">
        <v>2.2902461</v>
      </c>
      <c r="B48" s="0" t="n">
        <v>0.71599</v>
      </c>
      <c r="C48" s="0">
        <f>A48*B48</f>
        <v/>
      </c>
      <c r="D48" s="0" t="n">
        <v>0.016</v>
      </c>
      <c r="E48" s="0" t="n">
        <v>0.008999999999999999</v>
      </c>
      <c r="F48" s="0">
        <f>A48*200</f>
        <v/>
      </c>
      <c r="G48" s="0">
        <f>-B48</f>
        <v/>
      </c>
      <c r="H48" s="0">
        <f>-C48*200</f>
        <v/>
      </c>
      <c r="I48" s="0" t="n">
        <v>1</v>
      </c>
      <c r="J48" s="0">
        <f>LN(F48/1000)</f>
        <v/>
      </c>
      <c r="K48" s="0">
        <f>((-G48)-$N$2)</f>
        <v/>
      </c>
      <c r="L48" s="0" t="n">
        <v>1</v>
      </c>
      <c r="M48" s="0">
        <f>-1*($S$4+($S$5*J48))</f>
        <v/>
      </c>
      <c r="N48" s="0">
        <f>D48*A48</f>
        <v/>
      </c>
      <c r="O48" s="0">
        <f>E48*A48</f>
        <v/>
      </c>
      <c r="P48" s="0">
        <f>-K48-M48-N48-O48</f>
        <v/>
      </c>
      <c r="V48" s="0" t="n">
        <v>-1.60000000000002</v>
      </c>
      <c r="W48" s="0">
        <f>V48*$S$5+$S$4</f>
        <v/>
      </c>
    </row>
    <row r="49">
      <c r="A49" s="0" t="n">
        <v>2.3447285</v>
      </c>
      <c r="B49" s="0" t="n">
        <v>0.71335</v>
      </c>
      <c r="C49" s="0">
        <f>A49*B49</f>
        <v/>
      </c>
      <c r="D49" s="0" t="n">
        <v>0.016</v>
      </c>
      <c r="E49" s="0" t="n">
        <v>0.008999999999999999</v>
      </c>
      <c r="F49" s="0">
        <f>A49*200</f>
        <v/>
      </c>
      <c r="G49" s="0">
        <f>-B49</f>
        <v/>
      </c>
      <c r="H49" s="0">
        <f>-C49*200</f>
        <v/>
      </c>
      <c r="I49" s="0" t="n">
        <v>1</v>
      </c>
      <c r="J49" s="0">
        <f>LN(F49/1000)</f>
        <v/>
      </c>
      <c r="K49" s="0">
        <f>((-G49)-$N$2)</f>
        <v/>
      </c>
      <c r="L49" s="0" t="n">
        <v>1</v>
      </c>
      <c r="M49" s="0">
        <f>-1*($S$4+($S$5*J49))</f>
        <v/>
      </c>
      <c r="N49" s="0">
        <f>D49*A49</f>
        <v/>
      </c>
      <c r="O49" s="0">
        <f>E49*A49</f>
        <v/>
      </c>
      <c r="P49" s="0">
        <f>-K49-M49-N49-O49</f>
        <v/>
      </c>
      <c r="V49" s="0" t="n">
        <v>-1.50000000000002</v>
      </c>
      <c r="W49" s="0">
        <f>V49*$S$5+$S$4</f>
        <v/>
      </c>
    </row>
    <row r="50">
      <c r="A50" s="0" t="n">
        <v>2.3966653</v>
      </c>
      <c r="B50" s="0" t="n">
        <v>0.711</v>
      </c>
      <c r="C50" s="0">
        <f>A50*B50</f>
        <v/>
      </c>
      <c r="D50" s="0" t="n">
        <v>0.016</v>
      </c>
      <c r="E50" s="0" t="n">
        <v>0.008999999999999999</v>
      </c>
      <c r="F50" s="0">
        <f>A50*200</f>
        <v/>
      </c>
      <c r="G50" s="0">
        <f>-B50</f>
        <v/>
      </c>
      <c r="H50" s="0">
        <f>-C50*200</f>
        <v/>
      </c>
      <c r="I50" s="0" t="n">
        <v>1</v>
      </c>
      <c r="J50" s="0">
        <f>LN(F50/1000)</f>
        <v/>
      </c>
      <c r="K50" s="0">
        <f>((-G50)-$N$2)</f>
        <v/>
      </c>
      <c r="L50" s="0" t="n">
        <v>1</v>
      </c>
      <c r="M50" s="0">
        <f>-1*($S$4+($S$5*J50))</f>
        <v/>
      </c>
      <c r="N50" s="0">
        <f>D50*A50</f>
        <v/>
      </c>
      <c r="O50" s="0">
        <f>E50*A50</f>
        <v/>
      </c>
      <c r="P50" s="0">
        <f>-K50-M50-N50-O50</f>
        <v/>
      </c>
      <c r="V50" s="0" t="n">
        <v>-1.40000000000002</v>
      </c>
      <c r="W50" s="0">
        <f>V50*$S$5+$S$4</f>
        <v/>
      </c>
    </row>
    <row r="51">
      <c r="A51" s="0" t="n">
        <v>2.4536938</v>
      </c>
      <c r="B51" s="0" t="n">
        <v>0.70825</v>
      </c>
      <c r="C51" s="0">
        <f>A51*B51</f>
        <v/>
      </c>
      <c r="D51" s="0" t="n">
        <v>0.016</v>
      </c>
      <c r="E51" s="0" t="n">
        <v>0.008999999999999999</v>
      </c>
      <c r="F51" s="0">
        <f>A51*200</f>
        <v/>
      </c>
      <c r="G51" s="0">
        <f>-B51</f>
        <v/>
      </c>
      <c r="H51" s="0">
        <f>-C51*200</f>
        <v/>
      </c>
      <c r="I51" s="0" t="n">
        <v>1</v>
      </c>
      <c r="J51" s="0">
        <f>LN(F51/1000)</f>
        <v/>
      </c>
      <c r="K51" s="0">
        <f>((-G51)-$N$2)</f>
        <v/>
      </c>
      <c r="L51" s="0" t="n">
        <v>1</v>
      </c>
      <c r="M51" s="0">
        <f>-1*($S$4+($S$5*J51))</f>
        <v/>
      </c>
      <c r="N51" s="0">
        <f>D51*A51</f>
        <v/>
      </c>
      <c r="O51" s="0">
        <f>E51*A51</f>
        <v/>
      </c>
      <c r="P51" s="0">
        <f>-K51-M51-N51-O51</f>
        <v/>
      </c>
      <c r="V51" s="0" t="n">
        <v>-1.30000000000002</v>
      </c>
      <c r="W51" s="0">
        <f>V51*$S$5+$S$4</f>
        <v/>
      </c>
    </row>
    <row r="52">
      <c r="A52" s="0" t="n">
        <v>2.5051213</v>
      </c>
      <c r="B52" s="0" t="n">
        <v>0.7057</v>
      </c>
      <c r="C52" s="0">
        <f>A52*B52</f>
        <v/>
      </c>
      <c r="D52" s="0" t="n">
        <v>0.016</v>
      </c>
      <c r="E52" s="0" t="n">
        <v>0.008999999999999999</v>
      </c>
      <c r="F52" s="0">
        <f>A52*200</f>
        <v/>
      </c>
      <c r="G52" s="0">
        <f>-B52</f>
        <v/>
      </c>
      <c r="H52" s="0">
        <f>-C52*200</f>
        <v/>
      </c>
      <c r="I52" s="0" t="n">
        <v>1</v>
      </c>
      <c r="J52" s="0">
        <f>LN(F52/1000)</f>
        <v/>
      </c>
      <c r="K52" s="0">
        <f>((-G52)-$N$2)</f>
        <v/>
      </c>
      <c r="L52" s="0" t="n">
        <v>1</v>
      </c>
      <c r="M52" s="0">
        <f>-1*($S$4+($S$5*J52))</f>
        <v/>
      </c>
      <c r="N52" s="0">
        <f>D52*A52</f>
        <v/>
      </c>
      <c r="O52" s="0">
        <f>E52*A52</f>
        <v/>
      </c>
      <c r="P52" s="0">
        <f>-K52-M52-N52-O52</f>
        <v/>
      </c>
      <c r="V52" s="0" t="n">
        <v>-1.20000000000002</v>
      </c>
      <c r="W52" s="0">
        <f>V52*$S$5+$S$4</f>
        <v/>
      </c>
    </row>
    <row r="53">
      <c r="A53" s="0" t="n">
        <v>2.5565488</v>
      </c>
      <c r="B53" s="0" t="n">
        <v>0.70331</v>
      </c>
      <c r="C53" s="0">
        <f>A53*B53</f>
        <v/>
      </c>
      <c r="D53" s="0" t="n">
        <v>0.016</v>
      </c>
      <c r="E53" s="0" t="n">
        <v>0.008999999999999999</v>
      </c>
      <c r="F53" s="0">
        <f>A53*200</f>
        <v/>
      </c>
      <c r="G53" s="0">
        <f>-B53</f>
        <v/>
      </c>
      <c r="H53" s="0">
        <f>-C53*200</f>
        <v/>
      </c>
      <c r="I53" s="0" t="n">
        <v>1</v>
      </c>
      <c r="J53" s="0">
        <f>LN(F53/1000)</f>
        <v/>
      </c>
      <c r="K53" s="0">
        <f>((-G53)-$N$2)</f>
        <v/>
      </c>
      <c r="L53" s="0" t="n">
        <v>1</v>
      </c>
      <c r="M53" s="0">
        <f>-1*($S$4+($S$5*J53))</f>
        <v/>
      </c>
      <c r="N53" s="0">
        <f>D53*A53</f>
        <v/>
      </c>
      <c r="O53" s="0">
        <f>E53*A53</f>
        <v/>
      </c>
      <c r="P53" s="0">
        <f>-K53-M53-N53-O53</f>
        <v/>
      </c>
      <c r="V53" s="0" t="n">
        <v>-1.10000000000002</v>
      </c>
      <c r="W53" s="0">
        <f>V53*$S$5+$S$4</f>
        <v/>
      </c>
    </row>
    <row r="54">
      <c r="A54" s="0" t="n">
        <v>2.607467</v>
      </c>
      <c r="B54" s="0" t="n">
        <v>0.70079</v>
      </c>
      <c r="C54" s="0">
        <f>A54*B54</f>
        <v/>
      </c>
      <c r="D54" s="0" t="n">
        <v>0.016</v>
      </c>
      <c r="E54" s="0" t="n">
        <v>0.008999999999999999</v>
      </c>
      <c r="F54" s="0">
        <f>A54*200</f>
        <v/>
      </c>
      <c r="G54" s="0">
        <f>-B54</f>
        <v/>
      </c>
      <c r="H54" s="0">
        <f>-C54*200</f>
        <v/>
      </c>
      <c r="I54" s="0" t="n">
        <v>1</v>
      </c>
      <c r="J54" s="0">
        <f>LN(F54/1000)</f>
        <v/>
      </c>
      <c r="K54" s="0">
        <f>((-G54)-$N$2)</f>
        <v/>
      </c>
      <c r="L54" s="0" t="n">
        <v>1</v>
      </c>
      <c r="M54" s="0">
        <f>-1*($S$4+($S$5*J54))</f>
        <v/>
      </c>
      <c r="N54" s="0">
        <f>D54*A54</f>
        <v/>
      </c>
      <c r="O54" s="0">
        <f>E54*A54</f>
        <v/>
      </c>
      <c r="P54" s="0">
        <f>-K54-M54-N54-O54</f>
        <v/>
      </c>
      <c r="V54" s="0" t="n">
        <v>-1.00000000000002</v>
      </c>
      <c r="W54" s="0">
        <f>V54*$S$5+$S$4</f>
        <v/>
      </c>
    </row>
    <row r="55">
      <c r="A55" s="0" t="n">
        <v>2.6578762</v>
      </c>
      <c r="B55" s="0" t="n">
        <v>0.69848</v>
      </c>
      <c r="C55" s="0">
        <f>A55*B55</f>
        <v/>
      </c>
      <c r="D55" s="0" t="n">
        <v>0.016</v>
      </c>
      <c r="E55" s="0" t="n">
        <v>0.008999999999999999</v>
      </c>
      <c r="F55" s="0">
        <f>A55*200</f>
        <v/>
      </c>
      <c r="G55" s="0">
        <f>-B55</f>
        <v/>
      </c>
      <c r="H55" s="0">
        <f>-C55*200</f>
        <v/>
      </c>
      <c r="I55" s="0" t="n">
        <v>1</v>
      </c>
      <c r="J55" s="0">
        <f>LN(F55/1000)</f>
        <v/>
      </c>
      <c r="K55" s="0">
        <f>((-G55)-$N$2)</f>
        <v/>
      </c>
      <c r="L55" s="0" t="n">
        <v>1</v>
      </c>
      <c r="M55" s="0">
        <f>-1*($S$4+($S$5*J55))</f>
        <v/>
      </c>
      <c r="N55" s="0">
        <f>D55*A55</f>
        <v/>
      </c>
      <c r="O55" s="0">
        <f>E55*A55</f>
        <v/>
      </c>
      <c r="P55" s="0">
        <f>-K55-M55-N55-O55</f>
        <v/>
      </c>
      <c r="V55" s="0" t="n">
        <v>-0.90000000000002</v>
      </c>
      <c r="W55" s="0">
        <f>V55*$S$5+$S$4</f>
        <v/>
      </c>
    </row>
    <row r="56">
      <c r="A56" s="0" t="n">
        <v>2.7103223</v>
      </c>
      <c r="B56" s="0" t="n">
        <v>0.6963</v>
      </c>
      <c r="C56" s="0">
        <f>A56*B56</f>
        <v/>
      </c>
      <c r="D56" s="0" t="n">
        <v>0.016</v>
      </c>
      <c r="E56" s="0" t="n">
        <v>0.008999999999999999</v>
      </c>
      <c r="F56" s="0">
        <f>A56*200</f>
        <v/>
      </c>
      <c r="G56" s="0">
        <f>-B56</f>
        <v/>
      </c>
      <c r="H56" s="0">
        <f>-C56*200</f>
        <v/>
      </c>
      <c r="I56" s="0" t="n">
        <v>1</v>
      </c>
      <c r="J56" s="0">
        <f>LN(F56/1000)</f>
        <v/>
      </c>
      <c r="K56" s="0">
        <f>((-G56)-$N$2)</f>
        <v/>
      </c>
      <c r="L56" s="0" t="n">
        <v>1</v>
      </c>
      <c r="M56" s="0">
        <f>-1*($S$4+($S$5*J56))</f>
        <v/>
      </c>
      <c r="N56" s="0">
        <f>D56*A56</f>
        <v/>
      </c>
      <c r="O56" s="0">
        <f>E56*A56</f>
        <v/>
      </c>
      <c r="P56" s="0">
        <f>-K56-M56-N56-O56</f>
        <v/>
      </c>
      <c r="V56" s="0" t="n">
        <v>-0.80000000000002</v>
      </c>
      <c r="W56" s="0">
        <f>V56*$S$5+$S$4</f>
        <v/>
      </c>
    </row>
    <row r="57">
      <c r="A57" s="0" t="n">
        <v>2.7627681</v>
      </c>
      <c r="B57" s="0" t="n">
        <v>0.69376</v>
      </c>
      <c r="C57" s="0">
        <f>A57*B57</f>
        <v/>
      </c>
      <c r="D57" s="0" t="n">
        <v>0.016</v>
      </c>
      <c r="E57" s="0" t="n">
        <v>0.008999999999999999</v>
      </c>
      <c r="F57" s="0">
        <f>A57*200</f>
        <v/>
      </c>
      <c r="G57" s="0">
        <f>-B57</f>
        <v/>
      </c>
      <c r="H57" s="0">
        <f>-C57*200</f>
        <v/>
      </c>
      <c r="I57" s="0" t="n">
        <v>1</v>
      </c>
      <c r="J57" s="0">
        <f>LN(F57/1000)</f>
        <v/>
      </c>
      <c r="K57" s="0">
        <f>((-G57)-$N$2)</f>
        <v/>
      </c>
      <c r="L57" s="0" t="n">
        <v>1</v>
      </c>
      <c r="M57" s="0">
        <f>-1*($S$4+($S$5*J57))</f>
        <v/>
      </c>
      <c r="N57" s="0">
        <f>D57*A57</f>
        <v/>
      </c>
      <c r="O57" s="0">
        <f>E57*A57</f>
        <v/>
      </c>
      <c r="P57" s="0">
        <f>-K57-M57-N57-O57</f>
        <v/>
      </c>
      <c r="V57" s="0" t="n">
        <v>-0.7000000000000201</v>
      </c>
      <c r="W57" s="0">
        <f>V57*$S$5+$S$4</f>
        <v/>
      </c>
    </row>
    <row r="58">
      <c r="A58" s="0" t="n">
        <v>2.8147048</v>
      </c>
      <c r="B58" s="0" t="n">
        <v>0.69155</v>
      </c>
      <c r="C58" s="0">
        <f>A58*B58</f>
        <v/>
      </c>
      <c r="D58" s="0" t="n">
        <v>0.016</v>
      </c>
      <c r="E58" s="0" t="n">
        <v>0.008999999999999999</v>
      </c>
      <c r="F58" s="0">
        <f>A58*200</f>
        <v/>
      </c>
      <c r="G58" s="0">
        <f>-B58</f>
        <v/>
      </c>
      <c r="H58" s="0">
        <f>-C58*200</f>
        <v/>
      </c>
      <c r="I58" s="0" t="n">
        <v>1</v>
      </c>
      <c r="J58" s="0">
        <f>LN(F58/1000)</f>
        <v/>
      </c>
      <c r="K58" s="0">
        <f>((-G58)-$N$2)</f>
        <v/>
      </c>
      <c r="L58" s="0" t="n">
        <v>1</v>
      </c>
      <c r="M58" s="0">
        <f>-1*($S$4+($S$5*J58))</f>
        <v/>
      </c>
      <c r="N58" s="0">
        <f>D58*A58</f>
        <v/>
      </c>
      <c r="O58" s="0">
        <f>E58*A58</f>
        <v/>
      </c>
      <c r="P58" s="0">
        <f>-K58-M58-N58-O58</f>
        <v/>
      </c>
      <c r="V58" s="0" t="n">
        <v>-0.60000000000002</v>
      </c>
      <c r="W58" s="0">
        <f>V58*$S$5+$S$4</f>
        <v/>
      </c>
    </row>
    <row r="59">
      <c r="A59" s="0" t="n">
        <v>2.865623</v>
      </c>
      <c r="B59" s="0" t="n">
        <v>0.6891</v>
      </c>
      <c r="C59" s="0">
        <f>A59*B59</f>
        <v/>
      </c>
      <c r="D59" s="0" t="n">
        <v>0.016</v>
      </c>
      <c r="E59" s="0" t="n">
        <v>0.008999999999999999</v>
      </c>
      <c r="F59" s="0">
        <f>A59*200</f>
        <v/>
      </c>
      <c r="G59" s="0">
        <f>-B59</f>
        <v/>
      </c>
      <c r="H59" s="0">
        <f>-C59*200</f>
        <v/>
      </c>
      <c r="I59" s="0" t="n">
        <v>1</v>
      </c>
      <c r="J59" s="0">
        <f>LN(F59/1000)</f>
        <v/>
      </c>
      <c r="K59" s="0">
        <f>((-G59)-$N$2)</f>
        <v/>
      </c>
      <c r="L59" s="0" t="n">
        <v>1</v>
      </c>
      <c r="M59" s="0">
        <f>-1*($S$4+($S$5*J59))</f>
        <v/>
      </c>
      <c r="N59" s="0">
        <f>D59*A59</f>
        <v/>
      </c>
      <c r="O59" s="0">
        <f>E59*A59</f>
        <v/>
      </c>
      <c r="P59" s="0">
        <f>-K59-M59-N59-O59</f>
        <v/>
      </c>
      <c r="V59" s="0" t="n">
        <v>-0.50000000000002</v>
      </c>
      <c r="W59" s="0">
        <f>V59*$S$5+$S$4</f>
        <v/>
      </c>
    </row>
    <row r="60">
      <c r="A60" s="0" t="n">
        <v>2.9160322</v>
      </c>
      <c r="B60" s="0" t="n">
        <v>0.68681</v>
      </c>
      <c r="C60" s="0">
        <f>A60*B60</f>
        <v/>
      </c>
      <c r="D60" s="0" t="n">
        <v>0.016</v>
      </c>
      <c r="E60" s="0" t="n">
        <v>0.008999999999999999</v>
      </c>
      <c r="F60" s="0">
        <f>A60*200</f>
        <v/>
      </c>
      <c r="G60" s="0">
        <f>-B60</f>
        <v/>
      </c>
      <c r="H60" s="0">
        <f>-C60*200</f>
        <v/>
      </c>
      <c r="I60" s="0" t="n">
        <v>1</v>
      </c>
      <c r="J60" s="0">
        <f>LN(F60/1000)</f>
        <v/>
      </c>
      <c r="K60" s="0">
        <f>((-G60)-$N$2)</f>
        <v/>
      </c>
      <c r="L60" s="0" t="n">
        <v>1</v>
      </c>
      <c r="M60" s="0">
        <f>-1*($S$4+($S$5*J60))</f>
        <v/>
      </c>
      <c r="N60" s="0">
        <f>D60*A60</f>
        <v/>
      </c>
      <c r="O60" s="0">
        <f>E60*A60</f>
        <v/>
      </c>
      <c r="P60" s="0">
        <f>-K60-M60-N60-O60</f>
        <v/>
      </c>
      <c r="V60" s="0" t="n">
        <v>-0.40000000000002</v>
      </c>
      <c r="W60" s="0">
        <f>V60*$S$5+$S$4</f>
        <v/>
      </c>
    </row>
    <row r="61">
      <c r="A61" s="0" t="n">
        <v>2.9689873</v>
      </c>
      <c r="B61" s="0" t="n">
        <v>0.68441</v>
      </c>
      <c r="C61" s="0">
        <f>A61*B61</f>
        <v/>
      </c>
      <c r="D61" s="0" t="n">
        <v>0.016</v>
      </c>
      <c r="E61" s="0" t="n">
        <v>0.008999999999999999</v>
      </c>
      <c r="F61" s="0">
        <f>A61*200</f>
        <v/>
      </c>
      <c r="G61" s="0">
        <f>-B61</f>
        <v/>
      </c>
      <c r="H61" s="0">
        <f>-C61*200</f>
        <v/>
      </c>
      <c r="I61" s="0" t="n">
        <v>1</v>
      </c>
      <c r="J61" s="0">
        <f>LN(F61/1000)</f>
        <v/>
      </c>
      <c r="K61" s="0">
        <f>((-G61)-$N$2)</f>
        <v/>
      </c>
      <c r="L61" s="0" t="n">
        <v>1</v>
      </c>
      <c r="M61" s="0">
        <f>-1*($S$4+($S$5*J61))</f>
        <v/>
      </c>
      <c r="N61" s="0">
        <f>D61*A61</f>
        <v/>
      </c>
      <c r="O61" s="0">
        <f>E61*A61</f>
        <v/>
      </c>
      <c r="P61" s="0">
        <f>-K61-M61-N61-O61</f>
        <v/>
      </c>
      <c r="V61" s="0" t="n">
        <v>-0.30000000000002</v>
      </c>
      <c r="W61" s="0">
        <f>V61*$S$5+$S$4</f>
        <v/>
      </c>
    </row>
    <row r="62">
      <c r="A62" s="0" t="n">
        <v>3.0193965</v>
      </c>
      <c r="B62" s="0" t="n">
        <v>0.68206</v>
      </c>
      <c r="C62" s="0">
        <f>A62*B62</f>
        <v/>
      </c>
      <c r="D62" s="0" t="n">
        <v>0.016</v>
      </c>
      <c r="E62" s="0" t="n">
        <v>0.008999999999999999</v>
      </c>
      <c r="F62" s="0">
        <f>A62*200</f>
        <v/>
      </c>
      <c r="G62" s="0">
        <f>-B62</f>
        <v/>
      </c>
      <c r="H62" s="0">
        <f>-C62*200</f>
        <v/>
      </c>
      <c r="I62" s="0" t="n">
        <v>1</v>
      </c>
      <c r="J62" s="0">
        <f>LN(F62/1000)</f>
        <v/>
      </c>
      <c r="K62" s="0">
        <f>((-G62)-$N$2)</f>
        <v/>
      </c>
      <c r="L62" s="0" t="n">
        <v>1</v>
      </c>
      <c r="M62" s="0">
        <f>-1*($S$4+($S$5*J62))</f>
        <v/>
      </c>
      <c r="N62" s="0">
        <f>D62*A62</f>
        <v/>
      </c>
      <c r="O62" s="0">
        <f>E62*A62</f>
        <v/>
      </c>
      <c r="P62" s="0">
        <f>-K62-M62-N62-O62</f>
        <v/>
      </c>
      <c r="V62" s="0" t="n">
        <v>-0.20000000000002</v>
      </c>
      <c r="W62" s="0">
        <f>V62*$S$5+$S$4</f>
        <v/>
      </c>
    </row>
    <row r="63">
      <c r="A63" s="0" t="n">
        <v>3.0713333</v>
      </c>
      <c r="B63" s="0" t="n">
        <v>0.67977</v>
      </c>
      <c r="C63" s="0">
        <f>A63*B63</f>
        <v/>
      </c>
      <c r="D63" s="0" t="n">
        <v>0.016</v>
      </c>
      <c r="E63" s="0" t="n">
        <v>0.008999999999999999</v>
      </c>
      <c r="F63" s="0">
        <f>A63*200</f>
        <v/>
      </c>
      <c r="G63" s="0">
        <f>-B63</f>
        <v/>
      </c>
      <c r="H63" s="0">
        <f>-C63*200</f>
        <v/>
      </c>
      <c r="I63" s="0" t="n">
        <v>1</v>
      </c>
      <c r="J63" s="0">
        <f>LN(F63/1000)</f>
        <v/>
      </c>
      <c r="K63" s="0">
        <f>((-G63)-$N$2)</f>
        <v/>
      </c>
      <c r="L63" s="0" t="n">
        <v>1</v>
      </c>
      <c r="M63" s="0">
        <f>-1*($S$4+($S$5*J63))</f>
        <v/>
      </c>
      <c r="N63" s="0">
        <f>D63*A63</f>
        <v/>
      </c>
      <c r="O63" s="0">
        <f>E63*A63</f>
        <v/>
      </c>
      <c r="P63" s="0">
        <f>-K63-M63-N63-O63</f>
        <v/>
      </c>
      <c r="V63" s="0" t="n">
        <v>-0.10000000000002</v>
      </c>
      <c r="W63" s="0">
        <f>V63*$S$5+$S$4</f>
        <v/>
      </c>
    </row>
    <row r="64">
      <c r="A64" s="0" t="n">
        <v>3.1222512</v>
      </c>
      <c r="B64" s="0" t="n">
        <v>0.6774</v>
      </c>
      <c r="C64" s="0">
        <f>A64*B64</f>
        <v/>
      </c>
      <c r="D64" s="0" t="n">
        <v>0.016</v>
      </c>
      <c r="E64" s="0" t="n">
        <v>0.008999999999999999</v>
      </c>
      <c r="F64" s="0">
        <f>A64*200</f>
        <v/>
      </c>
      <c r="G64" s="0">
        <f>-B64</f>
        <v/>
      </c>
      <c r="H64" s="0">
        <f>-C64*200</f>
        <v/>
      </c>
      <c r="I64" s="0" t="n">
        <v>1</v>
      </c>
      <c r="J64" s="0">
        <f>LN(F64/1000)</f>
        <v/>
      </c>
      <c r="K64" s="0">
        <f>((-G64)-$N$2)</f>
        <v/>
      </c>
      <c r="L64" s="0" t="n">
        <v>1</v>
      </c>
      <c r="M64" s="0">
        <f>-1*($S$4+($S$5*J64))</f>
        <v/>
      </c>
      <c r="N64" s="0">
        <f>D64*A64</f>
        <v/>
      </c>
      <c r="O64" s="0">
        <f>E64*A64</f>
        <v/>
      </c>
      <c r="P64" s="0">
        <f>-K64-M64-N64-O64</f>
        <v/>
      </c>
      <c r="V64" s="0" t="n">
        <v>-2.04281036531029e-14</v>
      </c>
      <c r="W64" s="0">
        <f>V64*$S$5+$S$4</f>
        <v/>
      </c>
    </row>
    <row r="65">
      <c r="A65" s="0" t="n">
        <v>3.1787708</v>
      </c>
      <c r="B65" s="0" t="n">
        <v>0.67528</v>
      </c>
      <c r="C65" s="0">
        <f>A65*B65</f>
        <v/>
      </c>
      <c r="D65" s="0" t="n">
        <v>0.016</v>
      </c>
      <c r="E65" s="0" t="n">
        <v>0.008999999999999999</v>
      </c>
      <c r="F65" s="0">
        <f>A65*200</f>
        <v/>
      </c>
      <c r="G65" s="0">
        <f>-B65</f>
        <v/>
      </c>
      <c r="H65" s="0">
        <f>-C65*200</f>
        <v/>
      </c>
      <c r="I65" s="0" t="n">
        <v>1</v>
      </c>
      <c r="J65" s="0">
        <f>LN(F65/1000)</f>
        <v/>
      </c>
      <c r="K65" s="0">
        <f>((-G65)-$N$2)</f>
        <v/>
      </c>
      <c r="L65" s="0" t="n">
        <v>1</v>
      </c>
      <c r="M65" s="0">
        <f>-1*($S$4+($S$5*J65))</f>
        <v/>
      </c>
      <c r="N65" s="0">
        <f>D65*A65</f>
        <v/>
      </c>
      <c r="O65" s="0">
        <f>E65*A65</f>
        <v/>
      </c>
      <c r="P65" s="0">
        <f>-K65-M65-N65-O65</f>
        <v/>
      </c>
      <c r="V65" s="0" t="n">
        <v>0.0999999999999801</v>
      </c>
      <c r="W65" s="0">
        <f>V65*$S$5+$S$4</f>
        <v/>
      </c>
    </row>
    <row r="66">
      <c r="A66" s="0" t="n">
        <v>3.2312168</v>
      </c>
      <c r="B66" s="0" t="n">
        <v>0.67244</v>
      </c>
      <c r="C66" s="0">
        <f>A66*B66</f>
        <v/>
      </c>
      <c r="D66" s="0" t="n">
        <v>0.016</v>
      </c>
      <c r="E66" s="0" t="n">
        <v>0.008999999999999999</v>
      </c>
      <c r="F66" s="0">
        <f>A66*200</f>
        <v/>
      </c>
      <c r="G66" s="0">
        <f>-B66</f>
        <v/>
      </c>
      <c r="H66" s="0">
        <f>-C66*200</f>
        <v/>
      </c>
      <c r="I66" s="0" t="n">
        <v>1</v>
      </c>
      <c r="J66" s="0">
        <f>LN(F66/1000)</f>
        <v/>
      </c>
      <c r="K66" s="0">
        <f>((-G66)-$N$2)</f>
        <v/>
      </c>
      <c r="L66" s="0" t="n">
        <v>1</v>
      </c>
      <c r="M66" s="0">
        <f>-1*($S$4+($S$5*J66))</f>
        <v/>
      </c>
      <c r="N66" s="0">
        <f>D66*A66</f>
        <v/>
      </c>
      <c r="O66" s="0">
        <f>E66*A66</f>
        <v/>
      </c>
      <c r="P66" s="0">
        <f>-K66-M66-N66-O66</f>
        <v/>
      </c>
      <c r="V66" s="0" t="n">
        <v>0.19999999999998</v>
      </c>
      <c r="W66" s="0">
        <f>V66*$S$5+$S$4</f>
        <v/>
      </c>
    </row>
    <row r="67">
      <c r="A67" s="0" t="n">
        <v>3.281626</v>
      </c>
      <c r="B67" s="0" t="n">
        <v>0.67043</v>
      </c>
      <c r="C67" s="0">
        <f>A67*B67</f>
        <v/>
      </c>
      <c r="D67" s="0" t="n">
        <v>0.016</v>
      </c>
      <c r="E67" s="0" t="n">
        <v>0.008999999999999999</v>
      </c>
      <c r="F67" s="0">
        <f>A67*200</f>
        <v/>
      </c>
      <c r="G67" s="0">
        <f>-B67</f>
        <v/>
      </c>
      <c r="H67" s="0">
        <f>-C67*200</f>
        <v/>
      </c>
      <c r="I67" s="0" t="n">
        <v>1</v>
      </c>
      <c r="J67" s="0">
        <f>LN(F67/1000)</f>
        <v/>
      </c>
      <c r="K67" s="0">
        <f>((-G67)-$N$2)</f>
        <v/>
      </c>
      <c r="L67" s="0" t="n">
        <v>1</v>
      </c>
      <c r="M67" s="0">
        <f>-1*($S$4+($S$5*J67))</f>
        <v/>
      </c>
      <c r="N67" s="0">
        <f>D67*A67</f>
        <v/>
      </c>
      <c r="O67" s="0">
        <f>E67*A67</f>
        <v/>
      </c>
      <c r="P67" s="0">
        <f>-K67-M67-N67-O67</f>
        <v/>
      </c>
      <c r="V67" s="0" t="n">
        <v>0.29999999999998</v>
      </c>
      <c r="W67" s="0">
        <f>V67*$S$5+$S$4</f>
        <v/>
      </c>
    </row>
    <row r="68">
      <c r="A68" s="0" t="n">
        <v>3.3325442</v>
      </c>
      <c r="B68" s="0" t="n">
        <v>0.6681</v>
      </c>
      <c r="C68" s="0">
        <f>A68*B68</f>
        <v/>
      </c>
      <c r="D68" s="0" t="n">
        <v>0.016</v>
      </c>
      <c r="E68" s="0" t="n">
        <v>0.008999999999999999</v>
      </c>
      <c r="F68" s="0">
        <f>A68*200</f>
        <v/>
      </c>
      <c r="G68" s="0">
        <f>-B68</f>
        <v/>
      </c>
      <c r="H68" s="0">
        <f>-C68*200</f>
        <v/>
      </c>
      <c r="I68" s="0" t="n">
        <v>1</v>
      </c>
      <c r="J68" s="0">
        <f>LN(F68/1000)</f>
        <v/>
      </c>
      <c r="K68" s="0">
        <f>((-G68)-$N$2)</f>
        <v/>
      </c>
      <c r="L68" s="0" t="n">
        <v>1</v>
      </c>
      <c r="M68" s="0">
        <f>-1*($S$4+($S$5*J68))</f>
        <v/>
      </c>
      <c r="N68" s="0">
        <f>D68*A68</f>
        <v/>
      </c>
      <c r="O68" s="0">
        <f>E68*A68</f>
        <v/>
      </c>
      <c r="P68" s="0">
        <f>-K68-M68-N68-O68</f>
        <v/>
      </c>
      <c r="V68" s="0" t="n">
        <v>0.39999999999998</v>
      </c>
      <c r="W68" s="0">
        <f>V68*$S$5+$S$4</f>
        <v/>
      </c>
    </row>
    <row r="69">
      <c r="A69" s="0" t="n">
        <v>3.3834622</v>
      </c>
      <c r="B69" s="0" t="n">
        <v>0.66589</v>
      </c>
      <c r="C69" s="0">
        <f>A69*B69</f>
        <v/>
      </c>
      <c r="D69" s="0" t="n">
        <v>0.016</v>
      </c>
      <c r="E69" s="0" t="n">
        <v>0.008999999999999999</v>
      </c>
      <c r="F69" s="0">
        <f>A69*200</f>
        <v/>
      </c>
      <c r="G69" s="0">
        <f>-B69</f>
        <v/>
      </c>
      <c r="H69" s="0">
        <f>-C69*200</f>
        <v/>
      </c>
      <c r="I69" s="0" t="n">
        <v>1</v>
      </c>
      <c r="J69" s="0">
        <f>LN(F69/1000)</f>
        <v/>
      </c>
      <c r="K69" s="0">
        <f>((-G69)-$N$2)</f>
        <v/>
      </c>
      <c r="L69" s="0" t="n">
        <v>1</v>
      </c>
      <c r="M69" s="0">
        <f>-1*($S$4+($S$5*J69))</f>
        <v/>
      </c>
      <c r="N69" s="0">
        <f>D69*A69</f>
        <v/>
      </c>
      <c r="O69" s="0">
        <f>E69*A69</f>
        <v/>
      </c>
      <c r="P69" s="0">
        <f>-K69-M69-N69-O69</f>
        <v/>
      </c>
      <c r="V69" s="0" t="n">
        <v>0.49999999999998</v>
      </c>
      <c r="W69" s="0">
        <f>V69*$S$5+$S$4</f>
        <v/>
      </c>
    </row>
    <row r="70">
      <c r="A70" s="0" t="n">
        <v>3.4338713</v>
      </c>
      <c r="B70" s="0" t="n">
        <v>0.66354</v>
      </c>
      <c r="C70" s="0">
        <f>A70*B70</f>
        <v/>
      </c>
      <c r="D70" s="0" t="n">
        <v>0.016</v>
      </c>
      <c r="E70" s="0" t="n">
        <v>0.008999999999999999</v>
      </c>
      <c r="F70" s="0">
        <f>A70*200</f>
        <v/>
      </c>
      <c r="G70" s="0">
        <f>-B70</f>
        <v/>
      </c>
      <c r="H70" s="0">
        <f>-C70*200</f>
        <v/>
      </c>
      <c r="I70" s="0" t="n">
        <v>1</v>
      </c>
      <c r="J70" s="0">
        <f>LN(F70/1000)</f>
        <v/>
      </c>
      <c r="K70" s="0">
        <f>((-G70)-$N$2)</f>
        <v/>
      </c>
      <c r="L70" s="0" t="n">
        <v>1</v>
      </c>
      <c r="M70" s="0">
        <f>-1*($S$4+($S$5*J70))</f>
        <v/>
      </c>
      <c r="N70" s="0">
        <f>D70*A70</f>
        <v/>
      </c>
      <c r="O70" s="0">
        <f>E70*A70</f>
        <v/>
      </c>
      <c r="P70" s="0">
        <f>-K70-M70-N70-O70</f>
        <v/>
      </c>
      <c r="V70" s="0" t="n">
        <v>0.59999999999998</v>
      </c>
      <c r="W70" s="0">
        <f>V70*$S$5+$S$4</f>
        <v/>
      </c>
    </row>
    <row r="71">
      <c r="A71" s="0" t="n">
        <v>3.4842805</v>
      </c>
      <c r="B71" s="0" t="n">
        <v>0.66108</v>
      </c>
      <c r="C71" s="0">
        <f>A71*B71</f>
        <v/>
      </c>
      <c r="D71" s="0" t="n">
        <v>0.016</v>
      </c>
      <c r="E71" s="0" t="n">
        <v>0.008999999999999999</v>
      </c>
      <c r="F71" s="0">
        <f>A71*200</f>
        <v/>
      </c>
      <c r="G71" s="0">
        <f>-B71</f>
        <v/>
      </c>
      <c r="H71" s="0">
        <f>-C71*200</f>
        <v/>
      </c>
      <c r="I71" s="0" t="n">
        <v>1</v>
      </c>
      <c r="J71" s="0">
        <f>LN(F71/1000)</f>
        <v/>
      </c>
      <c r="K71" s="0">
        <f>((-G71)-$N$2)</f>
        <v/>
      </c>
      <c r="L71" s="0" t="n">
        <v>1</v>
      </c>
      <c r="M71" s="0">
        <f>-1*($S$4+($S$5*J71))</f>
        <v/>
      </c>
      <c r="N71" s="0">
        <f>D71*A71</f>
        <v/>
      </c>
      <c r="O71" s="0">
        <f>E71*A71</f>
        <v/>
      </c>
      <c r="P71" s="0">
        <f>-K71-M71-N71-O71</f>
        <v/>
      </c>
      <c r="V71" s="0" t="n">
        <v>0.69999999999998</v>
      </c>
      <c r="W71" s="0">
        <f>V71*$S$5+$S$4</f>
        <v/>
      </c>
    </row>
    <row r="72">
      <c r="A72" s="0" t="n">
        <v>3.5346897</v>
      </c>
      <c r="B72" s="0" t="n">
        <v>0.65899</v>
      </c>
      <c r="C72" s="0">
        <f>A72*B72</f>
        <v/>
      </c>
      <c r="D72" s="0" t="n">
        <v>0.016</v>
      </c>
      <c r="E72" s="0" t="n">
        <v>0.008999999999999999</v>
      </c>
      <c r="F72" s="0">
        <f>A72*200</f>
        <v/>
      </c>
      <c r="G72" s="0">
        <f>-B72</f>
        <v/>
      </c>
      <c r="H72" s="0">
        <f>-C72*200</f>
        <v/>
      </c>
      <c r="I72" s="0" t="n">
        <v>1</v>
      </c>
      <c r="J72" s="0">
        <f>LN(F72/1000)</f>
        <v/>
      </c>
      <c r="K72" s="0">
        <f>((-G72)-$N$2)</f>
        <v/>
      </c>
      <c r="L72" s="0" t="n">
        <v>1</v>
      </c>
      <c r="M72" s="0">
        <f>-1*($S$4+($S$5*J72))</f>
        <v/>
      </c>
      <c r="N72" s="0">
        <f>D72*A72</f>
        <v/>
      </c>
      <c r="O72" s="0">
        <f>E72*A72</f>
        <v/>
      </c>
      <c r="P72" s="0">
        <f>-K72-M72-N72-O72</f>
        <v/>
      </c>
      <c r="V72" s="0" t="n">
        <v>0.7999999999999799</v>
      </c>
      <c r="W72" s="0">
        <f>V72*$S$5+$S$4</f>
        <v/>
      </c>
    </row>
    <row r="73">
      <c r="A73" s="0" t="n">
        <v>3.5850989</v>
      </c>
      <c r="B73" s="0" t="n">
        <v>0.65716</v>
      </c>
      <c r="C73" s="0">
        <f>A73*B73</f>
        <v/>
      </c>
      <c r="D73" s="0" t="n">
        <v>0.016</v>
      </c>
      <c r="E73" s="0" t="n">
        <v>0.008999999999999999</v>
      </c>
      <c r="F73" s="0">
        <f>A73*200</f>
        <v/>
      </c>
      <c r="G73" s="0">
        <f>-B73</f>
        <v/>
      </c>
      <c r="H73" s="0">
        <f>-C73*200</f>
        <v/>
      </c>
      <c r="I73" s="0" t="n">
        <v>1</v>
      </c>
      <c r="J73" s="0">
        <f>LN(F73/1000)</f>
        <v/>
      </c>
      <c r="K73" s="0">
        <f>((-G73)-$N$2)</f>
        <v/>
      </c>
      <c r="L73" s="0" t="n">
        <v>1</v>
      </c>
      <c r="M73" s="0">
        <f>-1*($S$4+($S$5*J73))</f>
        <v/>
      </c>
      <c r="N73" s="0">
        <f>D73*A73</f>
        <v/>
      </c>
      <c r="O73" s="0">
        <f>E73*A73</f>
        <v/>
      </c>
      <c r="P73" s="0">
        <f>-K73-M73-N73-O73</f>
        <v/>
      </c>
      <c r="V73" s="0" t="n">
        <v>0.89999999999998</v>
      </c>
      <c r="W73" s="0">
        <f>V73*$S$5+$S$4</f>
        <v/>
      </c>
    </row>
    <row r="74">
      <c r="A74" s="0" t="n">
        <v>3.6360173</v>
      </c>
      <c r="B74" s="0" t="n">
        <v>0.65477</v>
      </c>
      <c r="C74" s="0">
        <f>A74*B74</f>
        <v/>
      </c>
      <c r="D74" s="0" t="n">
        <v>0.016</v>
      </c>
      <c r="E74" s="0" t="n">
        <v>0.008999999999999999</v>
      </c>
      <c r="F74" s="0">
        <f>A74*200</f>
        <v/>
      </c>
      <c r="G74" s="0">
        <f>-B74</f>
        <v/>
      </c>
      <c r="H74" s="0">
        <f>-C74*200</f>
        <v/>
      </c>
      <c r="I74" s="0" t="n">
        <v>1</v>
      </c>
      <c r="J74" s="0">
        <f>LN(F74/1000)</f>
        <v/>
      </c>
      <c r="K74" s="0">
        <f>((-G74)-$N$2)</f>
        <v/>
      </c>
      <c r="L74" s="0" t="n">
        <v>1</v>
      </c>
      <c r="M74" s="0">
        <f>-1*($S$4+($S$5*J74))</f>
        <v/>
      </c>
      <c r="N74" s="0">
        <f>D74*A74</f>
        <v/>
      </c>
      <c r="O74" s="0">
        <f>E74*A74</f>
        <v/>
      </c>
      <c r="P74" s="0">
        <f>-K74-M74-N74-O74</f>
        <v/>
      </c>
      <c r="V74" s="0" t="n">
        <v>0.99999999999998</v>
      </c>
      <c r="W74" s="0">
        <f>V74*$S$5+$S$4</f>
        <v/>
      </c>
    </row>
    <row r="75">
      <c r="A75" s="0" t="n">
        <v>3.6864265</v>
      </c>
      <c r="B75" s="0" t="n">
        <v>0.65267</v>
      </c>
      <c r="C75" s="0">
        <f>A75*B75</f>
        <v/>
      </c>
      <c r="D75" s="0" t="n">
        <v>0.016</v>
      </c>
      <c r="E75" s="0" t="n">
        <v>0.008999999999999999</v>
      </c>
      <c r="F75" s="0">
        <f>A75*200</f>
        <v/>
      </c>
      <c r="G75" s="0">
        <f>-B75</f>
        <v/>
      </c>
      <c r="H75" s="0">
        <f>-C75*200</f>
        <v/>
      </c>
      <c r="I75" s="0" t="n">
        <v>1</v>
      </c>
      <c r="J75" s="0">
        <f>LN(F75/1000)</f>
        <v/>
      </c>
      <c r="K75" s="0">
        <f>((-G75)-$N$2)</f>
        <v/>
      </c>
      <c r="L75" s="0" t="n">
        <v>1</v>
      </c>
      <c r="M75" s="0">
        <f>-1*($S$4+($S$5*J75))</f>
        <v/>
      </c>
      <c r="N75" s="0">
        <f>D75*A75</f>
        <v/>
      </c>
      <c r="O75" s="0">
        <f>E75*A75</f>
        <v/>
      </c>
      <c r="P75" s="0">
        <f>-K75-M75-N75-O75</f>
        <v/>
      </c>
      <c r="V75" s="0" t="n">
        <v>1.09999999999997</v>
      </c>
      <c r="W75" s="0">
        <f>V75*$S$5+$S$4</f>
        <v/>
      </c>
    </row>
    <row r="76">
      <c r="A76" s="0" t="n">
        <v>3.737854</v>
      </c>
      <c r="B76" s="0" t="n">
        <v>0.65034</v>
      </c>
      <c r="C76" s="0">
        <f>A76*B76</f>
        <v/>
      </c>
      <c r="D76" s="0" t="n">
        <v>0.016</v>
      </c>
      <c r="E76" s="0" t="n">
        <v>0.008999999999999999</v>
      </c>
      <c r="F76" s="0">
        <f>A76*200</f>
        <v/>
      </c>
      <c r="G76" s="0">
        <f>-B76</f>
        <v/>
      </c>
      <c r="H76" s="0">
        <f>-C76*200</f>
        <v/>
      </c>
      <c r="I76" s="0" t="n">
        <v>1</v>
      </c>
      <c r="J76" s="0">
        <f>LN(F76/1000)</f>
        <v/>
      </c>
      <c r="K76" s="0">
        <f>((-G76)-$N$2)</f>
        <v/>
      </c>
      <c r="L76" s="0" t="n">
        <v>1</v>
      </c>
      <c r="M76" s="0">
        <f>-1*($S$4+($S$5*J76))</f>
        <v/>
      </c>
      <c r="N76" s="0">
        <f>D76*A76</f>
        <v/>
      </c>
      <c r="O76" s="0">
        <f>E76*A76</f>
        <v/>
      </c>
      <c r="P76" s="0">
        <f>-K76-M76-N76-O76</f>
        <v/>
      </c>
      <c r="V76" s="0" t="n">
        <v>1.19999999999997</v>
      </c>
      <c r="W76" s="0">
        <f>V76*$S$5+$S$4</f>
        <v/>
      </c>
    </row>
    <row r="77">
      <c r="A77" s="0" t="n">
        <v>3.7882629</v>
      </c>
      <c r="B77" s="0" t="n">
        <v>0.64824</v>
      </c>
      <c r="C77" s="0">
        <f>A77*B77</f>
        <v/>
      </c>
      <c r="D77" s="0" t="n">
        <v>0.016</v>
      </c>
      <c r="E77" s="0" t="n">
        <v>0.008999999999999999</v>
      </c>
      <c r="F77" s="0">
        <f>A77*200</f>
        <v/>
      </c>
      <c r="G77" s="0">
        <f>-B77</f>
        <v/>
      </c>
      <c r="H77" s="0">
        <f>-C77*200</f>
        <v/>
      </c>
      <c r="I77" s="0" t="n">
        <v>1</v>
      </c>
      <c r="J77" s="0">
        <f>LN(F77/1000)</f>
        <v/>
      </c>
      <c r="K77" s="0">
        <f>((-G77)-$N$2)</f>
        <v/>
      </c>
      <c r="L77" s="0" t="n">
        <v>1</v>
      </c>
      <c r="M77" s="0">
        <f>-1*($S$4+($S$5*J77))</f>
        <v/>
      </c>
      <c r="N77" s="0">
        <f>D77*A77</f>
        <v/>
      </c>
      <c r="O77" s="0">
        <f>E77*A77</f>
        <v/>
      </c>
      <c r="P77" s="0">
        <f>-K77-M77-N77-O77</f>
        <v/>
      </c>
      <c r="V77" s="0" t="n">
        <v>1.29999999999997</v>
      </c>
      <c r="W77" s="0">
        <f>V77*$S$5+$S$4</f>
        <v/>
      </c>
    </row>
    <row r="78">
      <c r="A78" s="0" t="n">
        <v>3.8386721</v>
      </c>
      <c r="B78" s="0" t="n">
        <v>0.6463</v>
      </c>
      <c r="C78" s="0">
        <f>A78*B78</f>
        <v/>
      </c>
      <c r="D78" s="0" t="n">
        <v>0.016</v>
      </c>
      <c r="E78" s="0" t="n">
        <v>0.008999999999999999</v>
      </c>
      <c r="F78" s="0">
        <f>A78*200</f>
        <v/>
      </c>
      <c r="G78" s="0">
        <f>-B78</f>
        <v/>
      </c>
      <c r="H78" s="0">
        <f>-C78*200</f>
        <v/>
      </c>
      <c r="I78" s="0" t="n">
        <v>1</v>
      </c>
      <c r="J78" s="0">
        <f>LN(F78/1000)</f>
        <v/>
      </c>
      <c r="K78" s="0">
        <f>((-G78)-$N$2)</f>
        <v/>
      </c>
      <c r="L78" s="0" t="n">
        <v>1</v>
      </c>
      <c r="M78" s="0">
        <f>-1*($S$4+($S$5*J78))</f>
        <v/>
      </c>
      <c r="N78" s="0">
        <f>D78*A78</f>
        <v/>
      </c>
      <c r="O78" s="0">
        <f>E78*A78</f>
        <v/>
      </c>
      <c r="P78" s="0">
        <f>-K78-M78-N78-O78</f>
        <v/>
      </c>
      <c r="V78" s="0" t="n">
        <v>1.39999999999997</v>
      </c>
      <c r="W78" s="0">
        <f>V78*$S$5+$S$4</f>
        <v/>
      </c>
    </row>
    <row r="79">
      <c r="A79" s="0" t="n">
        <v>3.8936641</v>
      </c>
      <c r="B79" s="0" t="n">
        <v>0.6440399999999999</v>
      </c>
      <c r="C79" s="0">
        <f>A79*B79</f>
        <v/>
      </c>
      <c r="D79" s="0" t="n">
        <v>0.016</v>
      </c>
      <c r="E79" s="0" t="n">
        <v>0.008999999999999999</v>
      </c>
      <c r="F79" s="0">
        <f>A79*200</f>
        <v/>
      </c>
      <c r="G79" s="0">
        <f>-B79</f>
        <v/>
      </c>
      <c r="H79" s="0">
        <f>-C79*200</f>
        <v/>
      </c>
      <c r="I79" s="0" t="n">
        <v>1</v>
      </c>
      <c r="J79" s="0">
        <f>LN(F79/1000)</f>
        <v/>
      </c>
      <c r="K79" s="0">
        <f>((-G79)-$N$2)</f>
        <v/>
      </c>
      <c r="L79" s="0" t="n">
        <v>1</v>
      </c>
      <c r="M79" s="0">
        <f>-1*($S$4+($S$5*J79))</f>
        <v/>
      </c>
      <c r="N79" s="0">
        <f>D79*A79</f>
        <v/>
      </c>
      <c r="O79" s="0">
        <f>E79*A79</f>
        <v/>
      </c>
      <c r="P79" s="0">
        <f>-K79-M79-N79-O79</f>
        <v/>
      </c>
      <c r="V79" s="0" t="n">
        <v>1.49999999999997</v>
      </c>
      <c r="W79" s="0">
        <f>V79*$S$5+$S$4</f>
        <v/>
      </c>
    </row>
    <row r="80">
      <c r="A80" s="0" t="n">
        <v>3.9456006</v>
      </c>
      <c r="B80" s="0" t="n">
        <v>0.64191</v>
      </c>
      <c r="C80" s="0">
        <f>A80*B80</f>
        <v/>
      </c>
      <c r="D80" s="0" t="n">
        <v>0.016</v>
      </c>
      <c r="E80" s="0" t="n">
        <v>0.008999999999999999</v>
      </c>
      <c r="F80" s="0">
        <f>A80*200</f>
        <v/>
      </c>
      <c r="G80" s="0">
        <f>-B80</f>
        <v/>
      </c>
      <c r="H80" s="0">
        <f>-C80*200</f>
        <v/>
      </c>
      <c r="I80" s="0" t="n">
        <v>1</v>
      </c>
      <c r="J80" s="0">
        <f>LN(F80/1000)</f>
        <v/>
      </c>
      <c r="K80" s="0">
        <f>((-G80)-$N$2)</f>
        <v/>
      </c>
      <c r="L80" s="0" t="n">
        <v>1</v>
      </c>
      <c r="M80" s="0">
        <f>-1*($S$4+($S$5*J80))</f>
        <v/>
      </c>
      <c r="N80" s="0">
        <f>D80*A80</f>
        <v/>
      </c>
      <c r="O80" s="0">
        <f>E80*A80</f>
        <v/>
      </c>
      <c r="P80" s="0">
        <f>-K80-M80-N80-O80</f>
        <v/>
      </c>
      <c r="V80" s="0" t="n">
        <v>1.59999999999997</v>
      </c>
      <c r="W80" s="0">
        <f>V80*$S$5+$S$4</f>
        <v/>
      </c>
    </row>
    <row r="81">
      <c r="A81" s="0" t="n">
        <v>3.9970283</v>
      </c>
      <c r="B81" s="0" t="n">
        <v>0.6397699999999999</v>
      </c>
      <c r="C81" s="0">
        <f>A81*B81</f>
        <v/>
      </c>
      <c r="D81" s="0" t="n">
        <v>0.016</v>
      </c>
      <c r="E81" s="0" t="n">
        <v>0.008999999999999999</v>
      </c>
      <c r="F81" s="0">
        <f>A81*200</f>
        <v/>
      </c>
      <c r="G81" s="0">
        <f>-B81</f>
        <v/>
      </c>
      <c r="H81" s="0">
        <f>-C81*200</f>
        <v/>
      </c>
      <c r="I81" s="0" t="n">
        <v>1</v>
      </c>
      <c r="J81" s="0">
        <f>LN(F81/1000)</f>
        <v/>
      </c>
      <c r="K81" s="0">
        <f>((-G81)-$N$2)</f>
        <v/>
      </c>
      <c r="L81" s="0" t="n">
        <v>1</v>
      </c>
      <c r="M81" s="0">
        <f>-1*($S$4+($S$5*J81))</f>
        <v/>
      </c>
      <c r="N81" s="0">
        <f>D81*A81</f>
        <v/>
      </c>
      <c r="O81" s="0">
        <f>E81*A81</f>
        <v/>
      </c>
      <c r="P81" s="0">
        <f>-K81-M81-N81-O81</f>
        <v/>
      </c>
      <c r="V81" s="0" t="n">
        <v>1.69999999999997</v>
      </c>
      <c r="W81" s="0">
        <f>V81*$S$5+$S$4</f>
        <v/>
      </c>
    </row>
    <row r="82">
      <c r="A82" s="0" t="n">
        <v>4.0479465</v>
      </c>
      <c r="B82" s="0" t="n">
        <v>0.6376500000000001</v>
      </c>
      <c r="C82" s="0">
        <f>A82*B82</f>
        <v/>
      </c>
      <c r="D82" s="0" t="n">
        <v>0.016</v>
      </c>
      <c r="E82" s="0" t="n">
        <v>0.008999999999999999</v>
      </c>
      <c r="F82" s="0">
        <f>A82*200</f>
        <v/>
      </c>
      <c r="G82" s="0">
        <f>-B82</f>
        <v/>
      </c>
      <c r="H82" s="0">
        <f>-C82*200</f>
        <v/>
      </c>
      <c r="I82" s="0" t="n">
        <v>1</v>
      </c>
      <c r="J82" s="0">
        <f>LN(F82/1000)</f>
        <v/>
      </c>
      <c r="K82" s="0">
        <f>((-G82)-$N$2)</f>
        <v/>
      </c>
      <c r="L82" s="0" t="n">
        <v>1</v>
      </c>
      <c r="M82" s="0">
        <f>-1*($S$4+($S$5*J82))</f>
        <v/>
      </c>
      <c r="N82" s="0">
        <f>D82*A82</f>
        <v/>
      </c>
      <c r="O82" s="0">
        <f>E82*A82</f>
        <v/>
      </c>
      <c r="P82" s="0">
        <f>-K82-M82-N82-O82</f>
        <v/>
      </c>
      <c r="V82" s="0" t="n">
        <v>1.79999999999997</v>
      </c>
      <c r="W82" s="0">
        <f>V82*$S$5+$S$4</f>
        <v/>
      </c>
    </row>
    <row r="83">
      <c r="A83" s="0" t="n">
        <v>4.0988652</v>
      </c>
      <c r="B83" s="0" t="n">
        <v>0.6354300000000001</v>
      </c>
      <c r="C83" s="0">
        <f>A83*B83</f>
        <v/>
      </c>
      <c r="D83" s="0" t="n">
        <v>0.016</v>
      </c>
      <c r="E83" s="0" t="n">
        <v>0.008999999999999999</v>
      </c>
      <c r="F83" s="0">
        <f>A83*200</f>
        <v/>
      </c>
      <c r="G83" s="0">
        <f>-B83</f>
        <v/>
      </c>
      <c r="H83" s="0">
        <f>-C83*200</f>
        <v/>
      </c>
      <c r="I83" s="0" t="n">
        <v>1</v>
      </c>
      <c r="J83" s="0">
        <f>LN(F83/1000)</f>
        <v/>
      </c>
      <c r="K83" s="0">
        <f>((-G83)-$N$2)</f>
        <v/>
      </c>
      <c r="L83" s="0" t="n">
        <v>1</v>
      </c>
      <c r="M83" s="0">
        <f>-1*($S$4+($S$5*J83))</f>
        <v/>
      </c>
      <c r="N83" s="0">
        <f>D83*A83</f>
        <v/>
      </c>
      <c r="O83" s="0">
        <f>E83*A83</f>
        <v/>
      </c>
      <c r="P83" s="0">
        <f>-K83-M83-N83-O83</f>
        <v/>
      </c>
      <c r="V83" s="0" t="n">
        <v>1.89999999999997</v>
      </c>
      <c r="W83" s="0">
        <f>V83*$S$5+$S$4</f>
        <v/>
      </c>
    </row>
    <row r="84">
      <c r="A84" s="0" t="n">
        <v>4.1508018</v>
      </c>
      <c r="B84" s="0" t="n">
        <v>0.6332</v>
      </c>
      <c r="C84" s="0">
        <f>A84*B84</f>
        <v/>
      </c>
      <c r="D84" s="0" t="n">
        <v>0.016</v>
      </c>
      <c r="E84" s="0" t="n">
        <v>0.008999999999999999</v>
      </c>
      <c r="F84" s="0">
        <f>A84*200</f>
        <v/>
      </c>
      <c r="G84" s="0">
        <f>-B84</f>
        <v/>
      </c>
      <c r="H84" s="0">
        <f>-C84*200</f>
        <v/>
      </c>
      <c r="I84" s="0" t="n">
        <v>1</v>
      </c>
      <c r="J84" s="0">
        <f>LN(F84/1000)</f>
        <v/>
      </c>
      <c r="K84" s="0">
        <f>((-G84)-$N$2)</f>
        <v/>
      </c>
      <c r="L84" s="0" t="n">
        <v>1</v>
      </c>
      <c r="M84" s="0">
        <f>-1*($S$4+($S$5*J84))</f>
        <v/>
      </c>
      <c r="N84" s="0">
        <f>D84*A84</f>
        <v/>
      </c>
      <c r="O84" s="0">
        <f>E84*A84</f>
        <v/>
      </c>
      <c r="P84" s="0">
        <f>-K84-M84-N84-O84</f>
        <v/>
      </c>
      <c r="V84" s="0" t="n">
        <v>1.99999999999997</v>
      </c>
      <c r="W84" s="0">
        <f>V84*$S$5+$S$4</f>
        <v/>
      </c>
    </row>
    <row r="85">
      <c r="A85" s="0" t="n">
        <v>4.2042661</v>
      </c>
      <c r="B85" s="0" t="n">
        <v>0.63131</v>
      </c>
      <c r="C85" s="0">
        <f>A85*B85</f>
        <v/>
      </c>
      <c r="D85" s="0" t="n">
        <v>0.016</v>
      </c>
      <c r="E85" s="0" t="n">
        <v>0.008999999999999999</v>
      </c>
      <c r="F85" s="0">
        <f>A85*200</f>
        <v/>
      </c>
      <c r="G85" s="0">
        <f>-B85</f>
        <v/>
      </c>
      <c r="H85" s="0">
        <f>-C85*200</f>
        <v/>
      </c>
      <c r="I85" s="0" t="n">
        <v>1</v>
      </c>
      <c r="J85" s="0">
        <f>LN(F85/1000)</f>
        <v/>
      </c>
      <c r="K85" s="0">
        <f>((-G85)-$N$2)</f>
        <v/>
      </c>
      <c r="L85" s="0" t="n">
        <v>1</v>
      </c>
      <c r="M85" s="0">
        <f>-1*($S$4+($S$5*J85))</f>
        <v/>
      </c>
      <c r="N85" s="0">
        <f>D85*A85</f>
        <v/>
      </c>
      <c r="O85" s="0">
        <f>E85*A85</f>
        <v/>
      </c>
      <c r="P85" s="0">
        <f>-K85-M85-N85-O85</f>
        <v/>
      </c>
      <c r="V85" s="0" t="n">
        <v>2.09999999999997</v>
      </c>
      <c r="W85" s="0">
        <f>V85*$S$5+$S$4</f>
        <v/>
      </c>
    </row>
    <row r="86">
      <c r="A86" s="0" t="n">
        <v>4.2556938</v>
      </c>
      <c r="B86" s="0" t="n">
        <v>0.62904</v>
      </c>
      <c r="C86" s="0">
        <f>A86*B86</f>
        <v/>
      </c>
      <c r="D86" s="0" t="n">
        <v>0.016</v>
      </c>
      <c r="E86" s="0" t="n">
        <v>0.008999999999999999</v>
      </c>
      <c r="F86" s="0">
        <f>A86*200</f>
        <v/>
      </c>
      <c r="G86" s="0">
        <f>-B86</f>
        <v/>
      </c>
      <c r="H86" s="0">
        <f>-C86*200</f>
        <v/>
      </c>
      <c r="I86" s="0" t="n">
        <v>1</v>
      </c>
      <c r="J86" s="0">
        <f>LN(F86/1000)</f>
        <v/>
      </c>
      <c r="K86" s="0">
        <f>((-G86)-$N$2)</f>
        <v/>
      </c>
      <c r="L86" s="0" t="n">
        <v>1</v>
      </c>
      <c r="M86" s="0">
        <f>-1*($S$4+($S$5*J86))</f>
        <v/>
      </c>
      <c r="N86" s="0">
        <f>D86*A86</f>
        <v/>
      </c>
      <c r="O86" s="0">
        <f>E86*A86</f>
        <v/>
      </c>
      <c r="P86" s="0">
        <f>-K86-M86-N86-O86</f>
        <v/>
      </c>
      <c r="V86" s="0" t="n">
        <v>2.19999999999997</v>
      </c>
      <c r="W86" s="0">
        <f>V86*$S$5+$S$4</f>
        <v/>
      </c>
    </row>
    <row r="87">
      <c r="A87" s="0" t="n">
        <v>4.3076304</v>
      </c>
      <c r="B87" s="0" t="n">
        <v>0.6269400000000001</v>
      </c>
      <c r="C87" s="0">
        <f>A87*B87</f>
        <v/>
      </c>
      <c r="D87" s="0" t="n">
        <v>0.016</v>
      </c>
      <c r="E87" s="0" t="n">
        <v>0.008999999999999999</v>
      </c>
      <c r="F87" s="0">
        <f>A87*200</f>
        <v/>
      </c>
      <c r="G87" s="0">
        <f>-B87</f>
        <v/>
      </c>
      <c r="H87" s="0">
        <f>-C87*200</f>
        <v/>
      </c>
      <c r="I87" s="0" t="n">
        <v>1</v>
      </c>
      <c r="J87" s="0">
        <f>LN(F87/1000)</f>
        <v/>
      </c>
      <c r="K87" s="0">
        <f>((-G87)-$N$2)</f>
        <v/>
      </c>
      <c r="L87" s="0" t="n">
        <v>1</v>
      </c>
      <c r="M87" s="0">
        <f>-1*($S$4+($S$5*J87))</f>
        <v/>
      </c>
      <c r="N87" s="0">
        <f>D87*A87</f>
        <v/>
      </c>
      <c r="O87" s="0">
        <f>E87*A87</f>
        <v/>
      </c>
      <c r="P87" s="0">
        <f>-K87-M87-N87-O87</f>
        <v/>
      </c>
      <c r="V87" s="0" t="n">
        <v>2.29999999999997</v>
      </c>
      <c r="W87" s="0">
        <f>V87*$S$5+$S$4</f>
        <v/>
      </c>
    </row>
    <row r="88">
      <c r="A88" s="0" t="n">
        <v>4.3590576</v>
      </c>
      <c r="B88" s="0" t="n">
        <v>0.62509</v>
      </c>
      <c r="C88" s="0">
        <f>A88*B88</f>
        <v/>
      </c>
      <c r="D88" s="0" t="n">
        <v>0.016</v>
      </c>
      <c r="E88" s="0" t="n">
        <v>0.008999999999999999</v>
      </c>
      <c r="F88" s="0">
        <f>A88*200</f>
        <v/>
      </c>
      <c r="G88" s="0">
        <f>-B88</f>
        <v/>
      </c>
      <c r="H88" s="0">
        <f>-C88*200</f>
        <v/>
      </c>
      <c r="I88" s="0" t="n">
        <v>1</v>
      </c>
      <c r="J88" s="0">
        <f>LN(F88/1000)</f>
        <v/>
      </c>
      <c r="K88" s="0">
        <f>((-G88)-$N$2)</f>
        <v/>
      </c>
      <c r="L88" s="0" t="n">
        <v>1</v>
      </c>
      <c r="M88" s="0">
        <f>-1*($S$4+($S$5*J88))</f>
        <v/>
      </c>
      <c r="N88" s="0">
        <f>D88*A88</f>
        <v/>
      </c>
      <c r="O88" s="0">
        <f>E88*A88</f>
        <v/>
      </c>
      <c r="P88" s="0">
        <f>-K88-M88-N88-O88</f>
        <v/>
      </c>
      <c r="V88" s="0" t="n">
        <v>2.39999999999997</v>
      </c>
      <c r="W88" s="0">
        <f>V88*$S$5+$S$4</f>
        <v/>
      </c>
    </row>
    <row r="89">
      <c r="A89" s="0" t="n">
        <v>4.4094668</v>
      </c>
      <c r="B89" s="0" t="n">
        <v>0.62298</v>
      </c>
      <c r="C89" s="0">
        <f>A89*B89</f>
        <v/>
      </c>
      <c r="D89" s="0" t="n">
        <v>0.016</v>
      </c>
      <c r="E89" s="0" t="n">
        <v>0.008999999999999999</v>
      </c>
      <c r="F89" s="0">
        <f>A89*200</f>
        <v/>
      </c>
      <c r="G89" s="0">
        <f>-B89</f>
        <v/>
      </c>
      <c r="H89" s="0">
        <f>-C89*200</f>
        <v/>
      </c>
      <c r="I89" s="0" t="n">
        <v>1</v>
      </c>
      <c r="J89" s="0">
        <f>LN(F89/1000)</f>
        <v/>
      </c>
      <c r="K89" s="0">
        <f>((-G89)-$N$2)</f>
        <v/>
      </c>
      <c r="L89" s="0" t="n">
        <v>1</v>
      </c>
      <c r="M89" s="0">
        <f>-1*($S$4+($S$5*J89))</f>
        <v/>
      </c>
      <c r="N89" s="0">
        <f>D89*A89</f>
        <v/>
      </c>
      <c r="O89" s="0">
        <f>E89*A89</f>
        <v/>
      </c>
      <c r="P89" s="0">
        <f>-K89-M89-N89-O89</f>
        <v/>
      </c>
      <c r="V89" s="0" t="n">
        <v>2.49999999999997</v>
      </c>
      <c r="W89" s="0">
        <f>V89*$S$5+$S$4</f>
        <v/>
      </c>
    </row>
    <row r="90">
      <c r="A90" s="0" t="n">
        <v>4.4603853</v>
      </c>
      <c r="B90" s="0" t="n">
        <v>0.6206</v>
      </c>
      <c r="C90" s="0">
        <f>A90*B90</f>
        <v/>
      </c>
      <c r="D90" s="0" t="n">
        <v>0.016</v>
      </c>
      <c r="E90" s="0" t="n">
        <v>0.008999999999999999</v>
      </c>
      <c r="F90" s="0">
        <f>A90*200</f>
        <v/>
      </c>
      <c r="G90" s="0">
        <f>-B90</f>
        <v/>
      </c>
      <c r="H90" s="0">
        <f>-C90*200</f>
        <v/>
      </c>
      <c r="I90" s="0" t="n">
        <v>1</v>
      </c>
      <c r="J90" s="0">
        <f>LN(F90/1000)</f>
        <v/>
      </c>
      <c r="K90" s="0">
        <f>((-G90)-$N$2)</f>
        <v/>
      </c>
      <c r="L90" s="0" t="n">
        <v>1</v>
      </c>
      <c r="M90" s="0">
        <f>-1*($S$4+($S$5*J90))</f>
        <v/>
      </c>
      <c r="N90" s="0">
        <f>D90*A90</f>
        <v/>
      </c>
      <c r="O90" s="0">
        <f>E90*A90</f>
        <v/>
      </c>
      <c r="P90" s="0">
        <f>-K90-M90-N90-O90</f>
        <v/>
      </c>
      <c r="V90" s="0" t="n">
        <v>2.59999999999997</v>
      </c>
      <c r="W90" s="0">
        <f>V90*$S$5+$S$4</f>
        <v/>
      </c>
    </row>
    <row r="91">
      <c r="A91" s="0" t="n">
        <v>4.5128311</v>
      </c>
      <c r="B91" s="0" t="n">
        <v>0.61846</v>
      </c>
      <c r="C91" s="0">
        <f>A91*B91</f>
        <v/>
      </c>
      <c r="D91" s="0" t="n">
        <v>0.016</v>
      </c>
      <c r="E91" s="0" t="n">
        <v>0.008999999999999999</v>
      </c>
      <c r="F91" s="0">
        <f>A91*200</f>
        <v/>
      </c>
      <c r="G91" s="0">
        <f>-B91</f>
        <v/>
      </c>
      <c r="H91" s="0">
        <f>-C91*200</f>
        <v/>
      </c>
      <c r="I91" s="0" t="n">
        <v>1</v>
      </c>
      <c r="J91" s="0">
        <f>LN(F91/1000)</f>
        <v/>
      </c>
      <c r="K91" s="0">
        <f>((-G91)-$N$2)</f>
        <v/>
      </c>
      <c r="L91" s="0" t="n">
        <v>1</v>
      </c>
      <c r="M91" s="0">
        <f>-1*($S$4+($S$5*J91))</f>
        <v/>
      </c>
      <c r="N91" s="0">
        <f>D91*A91</f>
        <v/>
      </c>
      <c r="O91" s="0">
        <f>E91*A91</f>
        <v/>
      </c>
      <c r="P91" s="0">
        <f>-K91-M91-N91-O91</f>
        <v/>
      </c>
      <c r="V91" s="0" t="n">
        <v>2.69999999999997</v>
      </c>
      <c r="W91" s="0">
        <f>V91*$S$5+$S$4</f>
        <v/>
      </c>
    </row>
    <row r="92">
      <c r="A92" s="0" t="n">
        <v>4.5642588</v>
      </c>
      <c r="B92" s="0" t="n">
        <v>0.61657</v>
      </c>
      <c r="C92" s="0">
        <f>A92*B92</f>
        <v/>
      </c>
      <c r="D92" s="0" t="n">
        <v>0.016</v>
      </c>
      <c r="E92" s="0" t="n">
        <v>0.008999999999999999</v>
      </c>
      <c r="F92" s="0">
        <f>A92*200</f>
        <v/>
      </c>
      <c r="G92" s="0">
        <f>-B92</f>
        <v/>
      </c>
      <c r="H92" s="0">
        <f>-C92*200</f>
        <v/>
      </c>
      <c r="I92" s="0" t="n">
        <v>1</v>
      </c>
      <c r="J92" s="0">
        <f>LN(F92/1000)</f>
        <v/>
      </c>
      <c r="K92" s="0">
        <f>((-G92)-$N$2)</f>
        <v/>
      </c>
      <c r="L92" s="0" t="n">
        <v>1</v>
      </c>
      <c r="M92" s="0">
        <f>-1*($S$4+($S$5*J92))</f>
        <v/>
      </c>
      <c r="N92" s="0">
        <f>D92*A92</f>
        <v/>
      </c>
      <c r="O92" s="0">
        <f>E92*A92</f>
        <v/>
      </c>
      <c r="P92" s="0">
        <f>-K92-M92-N92-O92</f>
        <v/>
      </c>
      <c r="V92" s="0" t="n">
        <v>2.79999999999997</v>
      </c>
      <c r="W92" s="0">
        <f>V92*$S$5+$S$4</f>
        <v/>
      </c>
    </row>
    <row r="93">
      <c r="A93" s="0" t="n">
        <v>4.6202686</v>
      </c>
      <c r="B93" s="0" t="n">
        <v>0.61435</v>
      </c>
      <c r="C93" s="0">
        <f>A93*B93</f>
        <v/>
      </c>
      <c r="D93" s="0" t="n">
        <v>0.016</v>
      </c>
      <c r="E93" s="0" t="n">
        <v>0.008999999999999999</v>
      </c>
      <c r="F93" s="0">
        <f>A93*200</f>
        <v/>
      </c>
      <c r="G93" s="0">
        <f>-B93</f>
        <v/>
      </c>
      <c r="H93" s="0">
        <f>-C93*200</f>
        <v/>
      </c>
      <c r="I93" s="0" t="n">
        <v>1</v>
      </c>
      <c r="J93" s="0">
        <f>LN(F93/1000)</f>
        <v/>
      </c>
      <c r="K93" s="0">
        <f>((-G93)-$N$2)</f>
        <v/>
      </c>
      <c r="L93" s="0" t="n">
        <v>1</v>
      </c>
      <c r="M93" s="0">
        <f>-1*($S$4+($S$5*J93))</f>
        <v/>
      </c>
      <c r="N93" s="0">
        <f>D93*A93</f>
        <v/>
      </c>
      <c r="O93" s="0">
        <f>E93*A93</f>
        <v/>
      </c>
      <c r="P93" s="0">
        <f>-K93-M93-N93-O93</f>
        <v/>
      </c>
      <c r="V93" s="0" t="n">
        <v>2.89999999999997</v>
      </c>
      <c r="W93" s="0">
        <f>V93*$S$5+$S$4</f>
        <v/>
      </c>
    </row>
    <row r="94">
      <c r="A94" s="0" t="n">
        <v>4.6742422</v>
      </c>
      <c r="B94" s="0" t="n">
        <v>0.61187</v>
      </c>
      <c r="C94" s="0">
        <f>A94*B94</f>
        <v/>
      </c>
      <c r="D94" s="0" t="n">
        <v>0.016</v>
      </c>
      <c r="E94" s="0" t="n">
        <v>0.008999999999999999</v>
      </c>
      <c r="F94" s="0">
        <f>A94*200</f>
        <v/>
      </c>
      <c r="G94" s="0">
        <f>-B94</f>
        <v/>
      </c>
      <c r="H94" s="0">
        <f>-C94*200</f>
        <v/>
      </c>
      <c r="I94" s="0" t="n">
        <v>1</v>
      </c>
      <c r="J94" s="0">
        <f>LN(F94/1000)</f>
        <v/>
      </c>
      <c r="K94" s="0">
        <f>((-G94)-$N$2)</f>
        <v/>
      </c>
      <c r="L94" s="0" t="n">
        <v>1</v>
      </c>
      <c r="M94" s="0">
        <f>-1*($S$4+($S$5*J94))</f>
        <v/>
      </c>
      <c r="N94" s="0">
        <f>D94*A94</f>
        <v/>
      </c>
      <c r="O94" s="0">
        <f>E94*A94</f>
        <v/>
      </c>
      <c r="P94" s="0">
        <f>-K94-M94-N94-O94</f>
        <v/>
      </c>
      <c r="V94" s="0" t="n">
        <v>2.99999999999997</v>
      </c>
      <c r="W94" s="0">
        <f>V94*$S$5+$S$4</f>
        <v/>
      </c>
    </row>
    <row r="95">
      <c r="A95" s="0" t="n">
        <v>4.7251606</v>
      </c>
      <c r="B95" s="0" t="n">
        <v>0.60989</v>
      </c>
      <c r="C95" s="0">
        <f>A95*B95</f>
        <v/>
      </c>
      <c r="D95" s="0" t="n">
        <v>0.016</v>
      </c>
      <c r="E95" s="0" t="n">
        <v>0.008999999999999999</v>
      </c>
      <c r="F95" s="0">
        <f>A95*200</f>
        <v/>
      </c>
      <c r="G95" s="0">
        <f>-B95</f>
        <v/>
      </c>
      <c r="H95" s="0">
        <f>-C95*200</f>
        <v/>
      </c>
      <c r="I95" s="0" t="n">
        <v>1</v>
      </c>
      <c r="J95" s="0">
        <f>LN(F95/1000)</f>
        <v/>
      </c>
      <c r="K95" s="0">
        <f>((-G95)-$N$2)</f>
        <v/>
      </c>
      <c r="L95" s="0" t="n">
        <v>1</v>
      </c>
      <c r="M95" s="0">
        <f>-1*($S$4+($S$5*J95))</f>
        <v/>
      </c>
      <c r="N95" s="0">
        <f>D95*A95</f>
        <v/>
      </c>
      <c r="O95" s="0">
        <f>E95*A95</f>
        <v/>
      </c>
      <c r="P95" s="0">
        <f>-K95-M95-N95-O95</f>
        <v/>
      </c>
      <c r="V95" s="0" t="n">
        <v>3.09999999999997</v>
      </c>
      <c r="W95" s="0">
        <f>V95*$S$5+$S$4</f>
        <v/>
      </c>
    </row>
    <row r="96">
      <c r="A96" s="0" t="n">
        <v>4.7781157</v>
      </c>
      <c r="B96" s="0" t="n">
        <v>0.60783</v>
      </c>
      <c r="C96" s="0">
        <f>A96*B96</f>
        <v/>
      </c>
      <c r="D96" s="0" t="n">
        <v>0.016</v>
      </c>
      <c r="E96" s="0" t="n">
        <v>0.008999999999999999</v>
      </c>
      <c r="F96" s="0">
        <f>A96*200</f>
        <v/>
      </c>
      <c r="G96" s="0">
        <f>-B96</f>
        <v/>
      </c>
      <c r="H96" s="0">
        <f>-C96*200</f>
        <v/>
      </c>
      <c r="I96" s="0" t="n">
        <v>1</v>
      </c>
      <c r="J96" s="0">
        <f>LN(F96/1000)</f>
        <v/>
      </c>
      <c r="K96" s="0">
        <f>((-G96)-$N$2)</f>
        <v/>
      </c>
      <c r="L96" s="0" t="n">
        <v>1</v>
      </c>
      <c r="M96" s="0">
        <f>-1*($S$4+($S$5*J96))</f>
        <v/>
      </c>
      <c r="N96" s="0">
        <f>D96*A96</f>
        <v/>
      </c>
      <c r="O96" s="0">
        <f>E96*A96</f>
        <v/>
      </c>
      <c r="P96" s="0">
        <f>-K96-M96-N96-O96</f>
        <v/>
      </c>
      <c r="V96" s="0" t="n">
        <v>3.19999999999997</v>
      </c>
      <c r="W96" s="0">
        <f>V96*$S$5+$S$4</f>
        <v/>
      </c>
    </row>
    <row r="97">
      <c r="A97" s="0" t="n">
        <v>4.8320894</v>
      </c>
      <c r="B97" s="0" t="n">
        <v>0.60567</v>
      </c>
      <c r="C97" s="0">
        <f>A97*B97</f>
        <v/>
      </c>
      <c r="D97" s="0" t="n">
        <v>0.016</v>
      </c>
      <c r="E97" s="0" t="n">
        <v>0.008999999999999999</v>
      </c>
      <c r="F97" s="0">
        <f>A97*200</f>
        <v/>
      </c>
      <c r="G97" s="0">
        <f>-B97</f>
        <v/>
      </c>
      <c r="H97" s="0">
        <f>-C97*200</f>
        <v/>
      </c>
      <c r="I97" s="0" t="n">
        <v>1</v>
      </c>
      <c r="J97" s="0">
        <f>LN(F97/1000)</f>
        <v/>
      </c>
      <c r="K97" s="0">
        <f>((-G97)-$N$2)</f>
        <v/>
      </c>
      <c r="L97" s="0" t="n">
        <v>1</v>
      </c>
      <c r="M97" s="0">
        <f>-1*($S$4+($S$5*J97))</f>
        <v/>
      </c>
      <c r="N97" s="0">
        <f>D97*A97</f>
        <v/>
      </c>
      <c r="O97" s="0">
        <f>E97*A97</f>
        <v/>
      </c>
      <c r="P97" s="0">
        <f>-K97-M97-N97-O97</f>
        <v/>
      </c>
      <c r="V97" s="0" t="n">
        <v>3.29999999999997</v>
      </c>
      <c r="W97" s="0">
        <f>V97*$S$5+$S$4</f>
        <v/>
      </c>
    </row>
    <row r="98">
      <c r="A98" s="0" t="n">
        <v>4.8830073</v>
      </c>
      <c r="B98" s="0" t="n">
        <v>0.60326</v>
      </c>
      <c r="C98" s="0">
        <f>A98*B98</f>
        <v/>
      </c>
      <c r="D98" s="0" t="n">
        <v>0.016</v>
      </c>
      <c r="E98" s="0" t="n">
        <v>0.008999999999999999</v>
      </c>
      <c r="F98" s="0">
        <f>A98*200</f>
        <v/>
      </c>
      <c r="G98" s="0">
        <f>-B98</f>
        <v/>
      </c>
      <c r="H98" s="0">
        <f>-C98*200</f>
        <v/>
      </c>
      <c r="I98" s="0" t="n">
        <v>1</v>
      </c>
      <c r="J98" s="0">
        <f>LN(F98/1000)</f>
        <v/>
      </c>
      <c r="K98" s="0">
        <f>((-G98)-$N$2)</f>
        <v/>
      </c>
      <c r="L98" s="0" t="n">
        <v>1</v>
      </c>
      <c r="M98" s="0">
        <f>-1*($S$4+($S$5*J98))</f>
        <v/>
      </c>
      <c r="N98" s="0">
        <f>D98*A98</f>
        <v/>
      </c>
      <c r="O98" s="0">
        <f>E98*A98</f>
        <v/>
      </c>
      <c r="P98" s="0">
        <f>-K98-M98-N98-O98</f>
        <v/>
      </c>
      <c r="V98" s="0" t="n">
        <v>3.39999999999997</v>
      </c>
      <c r="W98" s="0">
        <f>V98*$S$5+$S$4</f>
        <v/>
      </c>
    </row>
    <row r="99">
      <c r="A99" s="0" t="n">
        <v>4.9400361</v>
      </c>
      <c r="B99" s="0" t="n">
        <v>0.60122</v>
      </c>
      <c r="C99" s="0">
        <f>A99*B99</f>
        <v/>
      </c>
      <c r="D99" s="0" t="n">
        <v>0.016</v>
      </c>
      <c r="E99" s="0" t="n">
        <v>0.008999999999999999</v>
      </c>
      <c r="F99" s="0">
        <f>A99*200</f>
        <v/>
      </c>
      <c r="G99" s="0">
        <f>-B99</f>
        <v/>
      </c>
      <c r="H99" s="0">
        <f>-C99*200</f>
        <v/>
      </c>
      <c r="I99" s="0" t="n">
        <v>1</v>
      </c>
      <c r="J99" s="0">
        <f>LN(F99/1000)</f>
        <v/>
      </c>
      <c r="K99" s="0">
        <f>((-G99)-$N$2)</f>
        <v/>
      </c>
      <c r="L99" s="0" t="n">
        <v>1</v>
      </c>
      <c r="M99" s="0">
        <f>-1*($S$4+($S$5*J99))</f>
        <v/>
      </c>
      <c r="N99" s="0">
        <f>D99*A99</f>
        <v/>
      </c>
      <c r="O99" s="0">
        <f>E99*A99</f>
        <v/>
      </c>
      <c r="P99" s="0">
        <f>-K99-M99-N99-O99</f>
        <v/>
      </c>
      <c r="V99" s="0" t="n">
        <v>3.49999999999997</v>
      </c>
      <c r="W99" s="0">
        <f>V99*$S$5+$S$4</f>
        <v/>
      </c>
    </row>
    <row r="100">
      <c r="A100" s="0" t="n">
        <v>4.9904453</v>
      </c>
      <c r="B100" s="0" t="n">
        <v>0.59912</v>
      </c>
      <c r="C100" s="0">
        <f>A100*B100</f>
        <v/>
      </c>
      <c r="D100" s="0" t="n">
        <v>0.016</v>
      </c>
      <c r="E100" s="0" t="n">
        <v>0.008999999999999999</v>
      </c>
      <c r="F100" s="0">
        <f>A100*200</f>
        <v/>
      </c>
      <c r="G100" s="0">
        <f>-B100</f>
        <v/>
      </c>
      <c r="H100" s="0">
        <f>-C100*200</f>
        <v/>
      </c>
      <c r="I100" s="0" t="n">
        <v>1</v>
      </c>
      <c r="J100" s="0">
        <f>LN(F100/1000)</f>
        <v/>
      </c>
      <c r="K100" s="0">
        <f>((-G100)-$N$2)</f>
        <v/>
      </c>
      <c r="L100" s="0" t="n">
        <v>1</v>
      </c>
      <c r="M100" s="0">
        <f>-1*($S$4+($S$5*J100))</f>
        <v/>
      </c>
      <c r="N100" s="0">
        <f>D100*A100</f>
        <v/>
      </c>
      <c r="O100" s="0">
        <f>E100*A100</f>
        <v/>
      </c>
      <c r="P100" s="0">
        <f>-K100-M100-N100-O100</f>
        <v/>
      </c>
      <c r="V100" s="0" t="n">
        <v>3.59999999999997</v>
      </c>
      <c r="W100" s="0">
        <f>V100*$S$5+$S$4</f>
        <v/>
      </c>
    </row>
    <row r="101">
      <c r="A101" s="0" t="n">
        <v>5.0434004</v>
      </c>
      <c r="B101" s="0" t="n">
        <v>0.59685</v>
      </c>
      <c r="C101" s="0">
        <f>A101*B101</f>
        <v/>
      </c>
      <c r="D101" s="0" t="n">
        <v>0.016</v>
      </c>
      <c r="E101" s="0" t="n">
        <v>0.008999999999999999</v>
      </c>
      <c r="F101" s="0">
        <f>A101*200</f>
        <v/>
      </c>
      <c r="G101" s="0">
        <f>-B101</f>
        <v/>
      </c>
      <c r="H101" s="0">
        <f>-C101*200</f>
        <v/>
      </c>
      <c r="I101" s="0" t="n">
        <v>1</v>
      </c>
      <c r="J101" s="0">
        <f>LN(F101/1000)</f>
        <v/>
      </c>
      <c r="K101" s="0">
        <f>((-G101)-$N$2)</f>
        <v/>
      </c>
      <c r="L101" s="0" t="n">
        <v>1</v>
      </c>
      <c r="M101" s="0">
        <f>-1*($S$4+($S$5*J101))</f>
        <v/>
      </c>
      <c r="N101" s="0">
        <f>D101*A101</f>
        <v/>
      </c>
      <c r="O101" s="0">
        <f>E101*A101</f>
        <v/>
      </c>
      <c r="P101" s="0">
        <f>-K101-M101-N101-O101</f>
        <v/>
      </c>
      <c r="V101" s="0" t="n">
        <v>3.69999999999997</v>
      </c>
      <c r="W101" s="0">
        <f>V101*$S$5+$S$4</f>
        <v/>
      </c>
    </row>
    <row r="102">
      <c r="A102" s="0" t="n">
        <v>5.0958462</v>
      </c>
      <c r="B102" s="0" t="n">
        <v>0.59488</v>
      </c>
      <c r="C102" s="0">
        <f>A102*B102</f>
        <v/>
      </c>
      <c r="D102" s="0" t="n">
        <v>0.016</v>
      </c>
      <c r="E102" s="0" t="n">
        <v>0.008999999999999999</v>
      </c>
      <c r="F102" s="0">
        <f>A102*200</f>
        <v/>
      </c>
      <c r="G102" s="0">
        <f>-B102</f>
        <v/>
      </c>
      <c r="H102" s="0">
        <f>-C102*200</f>
        <v/>
      </c>
      <c r="I102" s="0" t="n">
        <v>1</v>
      </c>
      <c r="J102" s="0">
        <f>LN(F102/1000)</f>
        <v/>
      </c>
      <c r="K102" s="0">
        <f>((-G102)-$N$2)</f>
        <v/>
      </c>
      <c r="L102" s="0" t="n">
        <v>1</v>
      </c>
      <c r="M102" s="0">
        <f>-1*($S$4+($S$5*J102))</f>
        <v/>
      </c>
      <c r="N102" s="0">
        <f>D102*A102</f>
        <v/>
      </c>
      <c r="O102" s="0">
        <f>E102*A102</f>
        <v/>
      </c>
      <c r="P102" s="0">
        <f>-K102-M102-N102-O102</f>
        <v/>
      </c>
      <c r="V102" s="0" t="n">
        <v>3.79999999999997</v>
      </c>
      <c r="W102" s="0">
        <f>V102*$S$5+$S$4</f>
        <v/>
      </c>
    </row>
    <row r="103">
      <c r="A103" s="0" t="n">
        <v>5.1488008</v>
      </c>
      <c r="B103" s="0" t="n">
        <v>0.59255</v>
      </c>
      <c r="C103" s="0">
        <f>A103*B103</f>
        <v/>
      </c>
      <c r="D103" s="0" t="n">
        <v>0.016</v>
      </c>
      <c r="E103" s="0" t="n">
        <v>0.008999999999999999</v>
      </c>
      <c r="F103" s="0">
        <f>A103*200</f>
        <v/>
      </c>
      <c r="G103" s="0">
        <f>-B103</f>
        <v/>
      </c>
      <c r="H103" s="0">
        <f>-C103*200</f>
        <v/>
      </c>
      <c r="I103" s="0" t="n">
        <v>1</v>
      </c>
      <c r="J103" s="0">
        <f>LN(F103/1000)</f>
        <v/>
      </c>
      <c r="K103" s="0">
        <f>((-G103)-$N$2)</f>
        <v/>
      </c>
      <c r="L103" s="0" t="n">
        <v>1</v>
      </c>
      <c r="M103" s="0">
        <f>-1*($S$4+($S$5*J103))</f>
        <v/>
      </c>
      <c r="N103" s="0">
        <f>D103*A103</f>
        <v/>
      </c>
      <c r="O103" s="0">
        <f>E103*A103</f>
        <v/>
      </c>
      <c r="P103" s="0">
        <f>-K103-M103-N103-O103</f>
        <v/>
      </c>
      <c r="V103" s="0" t="n">
        <v>3.89999999999996</v>
      </c>
      <c r="W103" s="0">
        <f>V103*$S$5+$S$4</f>
        <v/>
      </c>
    </row>
    <row r="104">
      <c r="A104" s="0" t="n">
        <v>5.2002285</v>
      </c>
      <c r="B104" s="0" t="n">
        <v>0.59041</v>
      </c>
      <c r="C104" s="0">
        <f>A104*B104</f>
        <v/>
      </c>
      <c r="D104" s="0" t="n">
        <v>0.016</v>
      </c>
      <c r="E104" s="0" t="n">
        <v>0.008999999999999999</v>
      </c>
      <c r="F104" s="0">
        <f>A104*200</f>
        <v/>
      </c>
      <c r="G104" s="0">
        <f>-B104</f>
        <v/>
      </c>
      <c r="H104" s="0">
        <f>-C104*200</f>
        <v/>
      </c>
      <c r="I104" s="0" t="n">
        <v>1</v>
      </c>
      <c r="J104" s="0">
        <f>LN(F104/1000)</f>
        <v/>
      </c>
      <c r="K104" s="0">
        <f>((-G104)-$N$2)</f>
        <v/>
      </c>
      <c r="L104" s="0" t="n">
        <v>1</v>
      </c>
      <c r="M104" s="0">
        <f>-1*($S$4+($S$5*J104))</f>
        <v/>
      </c>
      <c r="N104" s="0">
        <f>D104*A104</f>
        <v/>
      </c>
      <c r="O104" s="0">
        <f>E104*A104</f>
        <v/>
      </c>
      <c r="P104" s="0">
        <f>-K104-M104-N104-O104</f>
        <v/>
      </c>
      <c r="V104" s="0" t="n">
        <v>3.99999999999996</v>
      </c>
      <c r="W104" s="0">
        <f>V104*$S$5+$S$4</f>
        <v/>
      </c>
    </row>
    <row r="105">
      <c r="A105" s="0" t="n">
        <v>5.2506377</v>
      </c>
      <c r="B105" s="0" t="n">
        <v>0.58841</v>
      </c>
      <c r="C105" s="0">
        <f>A105*B105</f>
        <v/>
      </c>
      <c r="D105" s="0" t="n">
        <v>0.016</v>
      </c>
      <c r="E105" s="0" t="n">
        <v>0.008999999999999999</v>
      </c>
      <c r="F105" s="0">
        <f>A105*200</f>
        <v/>
      </c>
      <c r="G105" s="0">
        <f>-B105</f>
        <v/>
      </c>
      <c r="H105" s="0">
        <f>-C105*200</f>
        <v/>
      </c>
      <c r="I105" s="0" t="n">
        <v>1</v>
      </c>
      <c r="J105" s="0">
        <f>LN(F105/1000)</f>
        <v/>
      </c>
      <c r="K105" s="0">
        <f>((-G105)-$N$2)</f>
        <v/>
      </c>
      <c r="L105" s="0" t="n">
        <v>1</v>
      </c>
      <c r="M105" s="0">
        <f>-1*($S$4+($S$5*J105))</f>
        <v/>
      </c>
      <c r="N105" s="0">
        <f>D105*A105</f>
        <v/>
      </c>
      <c r="O105" s="0">
        <f>E105*A105</f>
        <v/>
      </c>
      <c r="P105" s="0">
        <f>-K105-M105-N105-O105</f>
        <v/>
      </c>
      <c r="V105" s="0" t="n">
        <v>4.1</v>
      </c>
      <c r="W105" s="0">
        <f>V105*$S$5+$S$4</f>
        <v/>
      </c>
    </row>
    <row r="106">
      <c r="A106" s="0" t="n">
        <v>5.3020654</v>
      </c>
      <c r="B106" s="0" t="n">
        <v>0.58619</v>
      </c>
      <c r="C106" s="0">
        <f>A106*B106</f>
        <v/>
      </c>
      <c r="D106" s="0" t="n">
        <v>0.016</v>
      </c>
      <c r="E106" s="0" t="n">
        <v>0.008999999999999999</v>
      </c>
      <c r="F106" s="0">
        <f>A106*200</f>
        <v/>
      </c>
      <c r="G106" s="0">
        <f>-B106</f>
        <v/>
      </c>
      <c r="H106" s="0">
        <f>-C106*200</f>
        <v/>
      </c>
      <c r="I106" s="0" t="n">
        <v>1</v>
      </c>
      <c r="J106" s="0">
        <f>LN(F106/1000)</f>
        <v/>
      </c>
      <c r="K106" s="0">
        <f>((-G106)-$N$2)</f>
        <v/>
      </c>
      <c r="L106" s="0" t="n">
        <v>1</v>
      </c>
      <c r="M106" s="0">
        <f>-1*($S$4+($S$5*J106))</f>
        <v/>
      </c>
      <c r="N106" s="0">
        <f>D106*A106</f>
        <v/>
      </c>
      <c r="O106" s="0">
        <f>E106*A106</f>
        <v/>
      </c>
      <c r="P106" s="0">
        <f>-K106-M106-N106-O106</f>
        <v/>
      </c>
      <c r="V106" s="0" t="n">
        <v>4.2</v>
      </c>
      <c r="W106" s="0">
        <f>V106*$S$5+$S$4</f>
        <v/>
      </c>
    </row>
    <row r="107">
      <c r="A107" s="0" t="n">
        <v>5.3555293</v>
      </c>
      <c r="B107" s="0" t="n">
        <v>0.58421</v>
      </c>
      <c r="C107" s="0">
        <f>A107*B107</f>
        <v/>
      </c>
      <c r="D107" s="0" t="n">
        <v>0.016</v>
      </c>
      <c r="E107" s="0" t="n">
        <v>0.008999999999999999</v>
      </c>
      <c r="F107" s="0">
        <f>A107*200</f>
        <v/>
      </c>
      <c r="G107" s="0">
        <f>-B107</f>
        <v/>
      </c>
      <c r="H107" s="0">
        <f>-C107*200</f>
        <v/>
      </c>
      <c r="I107" s="0" t="n">
        <v>1</v>
      </c>
      <c r="J107" s="0">
        <f>LN(F107/1000)</f>
        <v/>
      </c>
      <c r="K107" s="0">
        <f>((-G107)-$N$2)</f>
        <v/>
      </c>
      <c r="L107" s="0" t="n">
        <v>1</v>
      </c>
      <c r="M107" s="0">
        <f>-1*($S$4+($S$5*J107))</f>
        <v/>
      </c>
      <c r="N107" s="0">
        <f>D107*A107</f>
        <v/>
      </c>
      <c r="O107" s="0">
        <f>E107*A107</f>
        <v/>
      </c>
      <c r="P107" s="0">
        <f>-K107-M107-N107-O107</f>
        <v/>
      </c>
      <c r="V107" s="0" t="n">
        <v>4.3</v>
      </c>
      <c r="W107" s="0">
        <f>V107*$S$5+$S$4</f>
        <v/>
      </c>
    </row>
    <row r="108">
      <c r="A108" s="0" t="n">
        <v>5.4064478</v>
      </c>
      <c r="B108" s="0" t="n">
        <v>0.58201</v>
      </c>
      <c r="C108" s="0">
        <f>A108*B108</f>
        <v/>
      </c>
      <c r="D108" s="0" t="n">
        <v>0.016</v>
      </c>
      <c r="E108" s="0" t="n">
        <v>0.008999999999999999</v>
      </c>
      <c r="F108" s="0">
        <f>A108*200</f>
        <v/>
      </c>
      <c r="G108" s="0">
        <f>-B108</f>
        <v/>
      </c>
      <c r="H108" s="0">
        <f>-C108*200</f>
        <v/>
      </c>
      <c r="I108" s="0" t="n">
        <v>1</v>
      </c>
      <c r="J108" s="0">
        <f>LN(F108/1000)</f>
        <v/>
      </c>
      <c r="K108" s="0">
        <f>((-G108)-$N$2)</f>
        <v/>
      </c>
      <c r="L108" s="0" t="n">
        <v>1</v>
      </c>
      <c r="M108" s="0">
        <f>-1*($S$4+($S$5*J108))</f>
        <v/>
      </c>
      <c r="N108" s="0">
        <f>D108*A108</f>
        <v/>
      </c>
      <c r="O108" s="0">
        <f>E108*A108</f>
        <v/>
      </c>
      <c r="P108" s="0">
        <f>-K108-M108-N108-O108</f>
        <v/>
      </c>
      <c r="V108" s="0" t="n">
        <v>4.4</v>
      </c>
      <c r="W108" s="0">
        <f>V108*$S$5+$S$4</f>
        <v/>
      </c>
    </row>
    <row r="109">
      <c r="A109" s="0" t="n">
        <v>5.4609307</v>
      </c>
      <c r="B109" s="0" t="n">
        <v>0.57987</v>
      </c>
      <c r="C109" s="0">
        <f>A109*B109</f>
        <v/>
      </c>
      <c r="D109" s="0" t="n">
        <v>0.016</v>
      </c>
      <c r="E109" s="0" t="n">
        <v>0.008999999999999999</v>
      </c>
      <c r="F109" s="0">
        <f>A109*200</f>
        <v/>
      </c>
      <c r="G109" s="0">
        <f>-B109</f>
        <v/>
      </c>
      <c r="H109" s="0">
        <f>-C109*200</f>
        <v/>
      </c>
      <c r="I109" s="0" t="n">
        <v>1</v>
      </c>
      <c r="J109" s="0">
        <f>LN(F109/1000)</f>
        <v/>
      </c>
      <c r="K109" s="0">
        <f>((-G109)-$N$2)</f>
        <v/>
      </c>
      <c r="L109" s="0" t="n">
        <v>1</v>
      </c>
      <c r="M109" s="0">
        <f>-1*($S$4+($S$5*J109))</f>
        <v/>
      </c>
      <c r="N109" s="0">
        <f>D109*A109</f>
        <v/>
      </c>
      <c r="O109" s="0">
        <f>E109*A109</f>
        <v/>
      </c>
      <c r="P109" s="0">
        <f>-K109-M109-N109-O109</f>
        <v/>
      </c>
      <c r="V109" s="0" t="n">
        <v>4.5</v>
      </c>
      <c r="W109" s="0">
        <f>V109*$S$5+$S$4</f>
        <v/>
      </c>
    </row>
    <row r="110">
      <c r="A110" s="0" t="n">
        <v>5.5133765</v>
      </c>
      <c r="B110" s="0" t="n">
        <v>0.57758</v>
      </c>
      <c r="C110" s="0">
        <f>A110*B110</f>
        <v/>
      </c>
      <c r="D110" s="0" t="n">
        <v>0.016</v>
      </c>
      <c r="E110" s="0" t="n">
        <v>0.008999999999999999</v>
      </c>
      <c r="F110" s="0">
        <f>A110*200</f>
        <v/>
      </c>
      <c r="G110" s="0">
        <f>-B110</f>
        <v/>
      </c>
      <c r="H110" s="0">
        <f>-C110*200</f>
        <v/>
      </c>
      <c r="I110" s="0" t="n">
        <v>1</v>
      </c>
      <c r="J110" s="0">
        <f>LN(F110/1000)</f>
        <v/>
      </c>
      <c r="K110" s="0">
        <f>((-G110)-$N$2)</f>
        <v/>
      </c>
      <c r="L110" s="0" t="n">
        <v>1</v>
      </c>
      <c r="M110" s="0">
        <f>-1*($S$4+($S$5*J110))</f>
        <v/>
      </c>
      <c r="N110" s="0">
        <f>D110*A110</f>
        <v/>
      </c>
      <c r="O110" s="0">
        <f>E110*A110</f>
        <v/>
      </c>
      <c r="P110" s="0">
        <f>-K110-M110-N110-O110</f>
        <v/>
      </c>
      <c r="V110" s="0" t="n">
        <v>4.6</v>
      </c>
      <c r="W110" s="0">
        <f>V110*$S$5+$S$4</f>
        <v/>
      </c>
    </row>
    <row r="111">
      <c r="A111" s="0" t="n">
        <v>5.5648037</v>
      </c>
      <c r="B111" s="0" t="n">
        <v>0.57544</v>
      </c>
      <c r="C111" s="0">
        <f>A111*B111</f>
        <v/>
      </c>
      <c r="D111" s="0" t="n">
        <v>0.016</v>
      </c>
      <c r="E111" s="0" t="n">
        <v>0.008999999999999999</v>
      </c>
      <c r="F111" s="0">
        <f>A111*200</f>
        <v/>
      </c>
      <c r="G111" s="0">
        <f>-B111</f>
        <v/>
      </c>
      <c r="H111" s="0">
        <f>-C111*200</f>
        <v/>
      </c>
      <c r="I111" s="0" t="n">
        <v>1</v>
      </c>
      <c r="J111" s="0">
        <f>LN(F111/1000)</f>
        <v/>
      </c>
      <c r="K111" s="0">
        <f>((-G111)-$N$2)</f>
        <v/>
      </c>
      <c r="L111" s="0" t="n">
        <v>1</v>
      </c>
      <c r="M111" s="0">
        <f>-1*($S$4+($S$5*J111))</f>
        <v/>
      </c>
      <c r="N111" s="0">
        <f>D111*A111</f>
        <v/>
      </c>
      <c r="O111" s="0">
        <f>E111*A111</f>
        <v/>
      </c>
      <c r="P111" s="0">
        <f>-K111-M111-N111-O111</f>
        <v/>
      </c>
      <c r="V111" s="0" t="n">
        <v>4.7</v>
      </c>
      <c r="W111" s="0">
        <f>V111*$S$5+$S$4</f>
        <v/>
      </c>
    </row>
    <row r="112">
      <c r="A112" s="0" t="n">
        <v>5.6152134</v>
      </c>
      <c r="B112" s="0" t="n">
        <v>0.5734</v>
      </c>
      <c r="C112" s="0">
        <f>A112*B112</f>
        <v/>
      </c>
      <c r="D112" s="0" t="n">
        <v>0.016</v>
      </c>
      <c r="E112" s="0" t="n">
        <v>0.008999999999999999</v>
      </c>
      <c r="F112" s="0">
        <f>A112*200</f>
        <v/>
      </c>
      <c r="G112" s="0">
        <f>-B112</f>
        <v/>
      </c>
      <c r="H112" s="0">
        <f>-C112*200</f>
        <v/>
      </c>
      <c r="I112" s="0" t="n">
        <v>1</v>
      </c>
      <c r="J112" s="0">
        <f>LN(F112/1000)</f>
        <v/>
      </c>
      <c r="K112" s="0">
        <f>((-G112)-$N$2)</f>
        <v/>
      </c>
      <c r="L112" s="0" t="n">
        <v>1</v>
      </c>
      <c r="M112" s="0">
        <f>-1*($S$4+($S$5*J112))</f>
        <v/>
      </c>
      <c r="N112" s="0">
        <f>D112*A112</f>
        <v/>
      </c>
      <c r="O112" s="0">
        <f>E112*A112</f>
        <v/>
      </c>
      <c r="P112" s="0">
        <f>-K112-M112-N112-O112</f>
        <v/>
      </c>
      <c r="V112" s="0" t="n">
        <v>4.8</v>
      </c>
      <c r="W112" s="0">
        <f>V112*$S$5+$S$4</f>
        <v/>
      </c>
    </row>
    <row r="113">
      <c r="A113" s="0" t="n">
        <v>5.6661309</v>
      </c>
      <c r="B113" s="0" t="n">
        <v>0.57113</v>
      </c>
      <c r="C113" s="0">
        <f>A113*B113</f>
        <v/>
      </c>
      <c r="D113" s="0" t="n">
        <v>0.016</v>
      </c>
      <c r="E113" s="0" t="n">
        <v>0.008999999999999999</v>
      </c>
      <c r="F113" s="0">
        <f>A113*200</f>
        <v/>
      </c>
      <c r="G113" s="0">
        <f>-B113</f>
        <v/>
      </c>
      <c r="H113" s="0">
        <f>-C113*200</f>
        <v/>
      </c>
      <c r="I113" s="0" t="n">
        <v>1</v>
      </c>
      <c r="J113" s="0">
        <f>LN(F113/1000)</f>
        <v/>
      </c>
      <c r="K113" s="0">
        <f>((-G113)-$N$2)</f>
        <v/>
      </c>
      <c r="L113" s="0" t="n">
        <v>1</v>
      </c>
      <c r="M113" s="0">
        <f>-1*($S$4+($S$5*J113))</f>
        <v/>
      </c>
      <c r="N113" s="0">
        <f>D113*A113</f>
        <v/>
      </c>
      <c r="O113" s="0">
        <f>E113*A113</f>
        <v/>
      </c>
      <c r="P113" s="0">
        <f>-K113-M113-N113-O113</f>
        <v/>
      </c>
      <c r="V113" s="0" t="n">
        <v>4.9</v>
      </c>
      <c r="W113" s="0">
        <f>V113*$S$5+$S$4</f>
        <v/>
      </c>
    </row>
    <row r="114">
      <c r="A114" s="0" t="n">
        <v>5.7206138</v>
      </c>
      <c r="B114" s="0" t="n">
        <v>0.56893</v>
      </c>
      <c r="C114" s="0">
        <f>A114*B114</f>
        <v/>
      </c>
      <c r="D114" s="0" t="n">
        <v>0.016</v>
      </c>
      <c r="E114" s="0" t="n">
        <v>0.008999999999999999</v>
      </c>
      <c r="F114" s="0">
        <f>A114*200</f>
        <v/>
      </c>
      <c r="G114" s="0">
        <f>-B114</f>
        <v/>
      </c>
      <c r="H114" s="0">
        <f>-C114*200</f>
        <v/>
      </c>
      <c r="I114" s="0" t="n">
        <v>1</v>
      </c>
      <c r="J114" s="0">
        <f>LN(F114/1000)</f>
        <v/>
      </c>
      <c r="K114" s="0">
        <f>((-G114)-$N$2)</f>
        <v/>
      </c>
      <c r="L114" s="0" t="n">
        <v>1</v>
      </c>
      <c r="M114" s="0">
        <f>-1*($S$4+($S$5*J114))</f>
        <v/>
      </c>
      <c r="N114" s="0">
        <f>D114*A114</f>
        <v/>
      </c>
      <c r="O114" s="0">
        <f>E114*A114</f>
        <v/>
      </c>
      <c r="P114" s="0">
        <f>-K114-M114-N114-O114</f>
        <v/>
      </c>
      <c r="V114" s="0" t="n">
        <v>5</v>
      </c>
      <c r="W114" s="0">
        <f>V114*$S$5+$S$4</f>
        <v/>
      </c>
    </row>
    <row r="115">
      <c r="A115" s="0" t="n">
        <v>5.7745869</v>
      </c>
      <c r="B115" s="0" t="n">
        <v>0.5667</v>
      </c>
      <c r="C115" s="0">
        <f>A115*B115</f>
        <v/>
      </c>
      <c r="D115" s="0" t="n">
        <v>0.016</v>
      </c>
      <c r="E115" s="0" t="n">
        <v>0.008999999999999999</v>
      </c>
      <c r="F115" s="0">
        <f>A115*200</f>
        <v/>
      </c>
      <c r="G115" s="0">
        <f>-B115</f>
        <v/>
      </c>
      <c r="H115" s="0">
        <f>-C115*200</f>
        <v/>
      </c>
      <c r="I115" s="0" t="n">
        <v>1</v>
      </c>
      <c r="J115" s="0">
        <f>LN(F115/1000)</f>
        <v/>
      </c>
      <c r="K115" s="0">
        <f>((-G115)-$N$2)</f>
        <v/>
      </c>
      <c r="L115" s="0" t="n">
        <v>1</v>
      </c>
      <c r="M115" s="0">
        <f>-1*($S$4+($S$5*J115))</f>
        <v/>
      </c>
      <c r="N115" s="0">
        <f>D115*A115</f>
        <v/>
      </c>
      <c r="O115" s="0">
        <f>E115*A115</f>
        <v/>
      </c>
      <c r="P115" s="0">
        <f>-K115-M115-N115-O115</f>
        <v/>
      </c>
      <c r="V115" s="0" t="n">
        <v>5.1</v>
      </c>
      <c r="W115" s="0">
        <f>V115*$S$5+$S$4</f>
        <v/>
      </c>
    </row>
    <row r="116">
      <c r="A116" s="0" t="n">
        <v>5.8270332</v>
      </c>
      <c r="B116" s="0" t="n">
        <v>0.56441</v>
      </c>
      <c r="C116" s="0">
        <f>A116*B116</f>
        <v/>
      </c>
      <c r="D116" s="0" t="n">
        <v>0.016</v>
      </c>
      <c r="E116" s="0" t="n">
        <v>0.008999999999999999</v>
      </c>
      <c r="F116" s="0">
        <f>A116*200</f>
        <v/>
      </c>
      <c r="G116" s="0">
        <f>-B116</f>
        <v/>
      </c>
      <c r="H116" s="0">
        <f>-C116*200</f>
        <v/>
      </c>
      <c r="I116" s="0" t="n">
        <v>1</v>
      </c>
      <c r="J116" s="0">
        <f>LN(F116/1000)</f>
        <v/>
      </c>
      <c r="K116" s="0">
        <f>((-G116)-$N$2)</f>
        <v/>
      </c>
      <c r="L116" s="0" t="n">
        <v>1</v>
      </c>
      <c r="M116" s="0">
        <f>-1*($S$4+($S$5*J116))</f>
        <v/>
      </c>
      <c r="N116" s="0">
        <f>D116*A116</f>
        <v/>
      </c>
      <c r="O116" s="0">
        <f>E116*A116</f>
        <v/>
      </c>
      <c r="P116" s="0">
        <f>-K116-M116-N116-O116</f>
        <v/>
      </c>
      <c r="V116" s="0" t="n">
        <v>5.2</v>
      </c>
      <c r="W116" s="0">
        <f>V116*$S$5+$S$4</f>
        <v/>
      </c>
    </row>
    <row r="117">
      <c r="A117" s="0" t="n">
        <v>5.8810068</v>
      </c>
      <c r="B117" s="0" t="n">
        <v>0.56212</v>
      </c>
      <c r="C117" s="0">
        <f>A117*B117</f>
        <v/>
      </c>
      <c r="D117" s="0" t="n">
        <v>0.016</v>
      </c>
      <c r="E117" s="0" t="n">
        <v>0.008999999999999999</v>
      </c>
      <c r="F117" s="0">
        <f>A117*200</f>
        <v/>
      </c>
      <c r="G117" s="0">
        <f>-B117</f>
        <v/>
      </c>
      <c r="H117" s="0">
        <f>-C117*200</f>
        <v/>
      </c>
      <c r="I117" s="0" t="n">
        <v>1</v>
      </c>
      <c r="J117" s="0">
        <f>LN(F117/1000)</f>
        <v/>
      </c>
      <c r="K117" s="0">
        <f>((-G117)-$N$2)</f>
        <v/>
      </c>
      <c r="L117" s="0" t="n">
        <v>1</v>
      </c>
      <c r="M117" s="0">
        <f>-1*($S$4+($S$5*J117))</f>
        <v/>
      </c>
      <c r="N117" s="0">
        <f>D117*A117</f>
        <v/>
      </c>
      <c r="O117" s="0">
        <f>E117*A117</f>
        <v/>
      </c>
      <c r="P117" s="0">
        <f>-K117-M117-N117-O117</f>
        <v/>
      </c>
      <c r="V117" s="0" t="n">
        <v>5.3</v>
      </c>
      <c r="W117" s="0">
        <f>V117*$S$5+$S$4</f>
        <v/>
      </c>
    </row>
    <row r="118">
      <c r="A118" s="0" t="n">
        <v>5.935998</v>
      </c>
      <c r="B118" s="0" t="n">
        <v>0.55967</v>
      </c>
      <c r="C118" s="0">
        <f>A118*B118</f>
        <v/>
      </c>
      <c r="D118" s="0" t="n">
        <v>0.016</v>
      </c>
      <c r="E118" s="0" t="n">
        <v>0.008999999999999999</v>
      </c>
      <c r="F118" s="0">
        <f>A118*200</f>
        <v/>
      </c>
      <c r="G118" s="0">
        <f>-B118</f>
        <v/>
      </c>
      <c r="H118" s="0">
        <f>-C118*200</f>
        <v/>
      </c>
      <c r="I118" s="0" t="n">
        <v>1</v>
      </c>
      <c r="J118" s="0">
        <f>LN(F118/1000)</f>
        <v/>
      </c>
      <c r="K118" s="0">
        <f>((-G118)-$N$2)</f>
        <v/>
      </c>
      <c r="L118" s="0" t="n">
        <v>1</v>
      </c>
      <c r="M118" s="0">
        <f>-1*($S$4+($S$5*J118))</f>
        <v/>
      </c>
      <c r="N118" s="0">
        <f>D118*A118</f>
        <v/>
      </c>
      <c r="O118" s="0">
        <f>E118*A118</f>
        <v/>
      </c>
      <c r="P118" s="0">
        <f>-K118-M118-N118-O118</f>
        <v/>
      </c>
      <c r="V118" s="0" t="n">
        <v>5.4</v>
      </c>
      <c r="W118" s="0">
        <f>V118*$S$5+$S$4</f>
        <v/>
      </c>
    </row>
    <row r="119">
      <c r="A119" s="0" t="n">
        <v>5.9909902</v>
      </c>
      <c r="B119" s="0" t="n">
        <v>0.5573399999999999</v>
      </c>
      <c r="C119" s="0">
        <f>A119*B119</f>
        <v/>
      </c>
      <c r="D119" s="0" t="n">
        <v>0.016</v>
      </c>
      <c r="E119" s="0" t="n">
        <v>0.008999999999999999</v>
      </c>
      <c r="F119" s="0">
        <f>A119*200</f>
        <v/>
      </c>
      <c r="G119" s="0">
        <f>-B119</f>
        <v/>
      </c>
      <c r="H119" s="0">
        <f>-C119*200</f>
        <v/>
      </c>
      <c r="I119" s="0" t="n">
        <v>1</v>
      </c>
      <c r="J119" s="0">
        <f>LN(F119/1000)</f>
        <v/>
      </c>
      <c r="K119" s="0">
        <f>((-G119)-$N$2)</f>
        <v/>
      </c>
      <c r="L119" s="0" t="n">
        <v>1</v>
      </c>
      <c r="M119" s="0">
        <f>-1*($S$4+($S$5*J119))</f>
        <v/>
      </c>
      <c r="N119" s="0">
        <f>D119*A119</f>
        <v/>
      </c>
      <c r="O119" s="0">
        <f>E119*A119</f>
        <v/>
      </c>
      <c r="P119" s="0">
        <f>-K119-M119-N119-O119</f>
        <v/>
      </c>
      <c r="V119" s="0" t="n">
        <v>5.5</v>
      </c>
      <c r="W119" s="0">
        <f>V119*$S$5+$S$4</f>
        <v/>
      </c>
    </row>
    <row r="120">
      <c r="A120" s="0" t="n">
        <v>6.0429272</v>
      </c>
      <c r="B120" s="0" t="n">
        <v>0.55522</v>
      </c>
      <c r="C120" s="0">
        <f>A120*B120</f>
        <v/>
      </c>
      <c r="D120" s="0" t="n">
        <v>0.016</v>
      </c>
      <c r="E120" s="0" t="n">
        <v>0.008999999999999999</v>
      </c>
      <c r="F120" s="0">
        <f>A120*200</f>
        <v/>
      </c>
      <c r="G120" s="0">
        <f>-B120</f>
        <v/>
      </c>
      <c r="H120" s="0">
        <f>-C120*200</f>
        <v/>
      </c>
      <c r="I120" s="0" t="n">
        <v>1</v>
      </c>
      <c r="J120" s="0">
        <f>LN(F120/1000)</f>
        <v/>
      </c>
      <c r="K120" s="0">
        <f>((-G120)-$N$2)</f>
        <v/>
      </c>
      <c r="L120" s="0" t="n">
        <v>1</v>
      </c>
      <c r="M120" s="0">
        <f>-1*($S$4+($S$5*J120))</f>
        <v/>
      </c>
      <c r="N120" s="0">
        <f>D120*A120</f>
        <v/>
      </c>
      <c r="O120" s="0">
        <f>E120*A120</f>
        <v/>
      </c>
      <c r="P120" s="0">
        <f>-K120-M120-N120-O120</f>
        <v/>
      </c>
      <c r="V120" s="0" t="n">
        <v>5.6</v>
      </c>
      <c r="W120" s="0">
        <f>V120*$S$5+$S$4</f>
        <v/>
      </c>
    </row>
    <row r="121">
      <c r="A121" s="0" t="n">
        <v>6.0958818</v>
      </c>
      <c r="B121" s="0" t="n">
        <v>0.55301</v>
      </c>
      <c r="C121" s="0">
        <f>A121*B121</f>
        <v/>
      </c>
      <c r="D121" s="0" t="n">
        <v>0.016</v>
      </c>
      <c r="E121" s="0" t="n">
        <v>0.008999999999999999</v>
      </c>
      <c r="F121" s="0">
        <f>A121*200</f>
        <v/>
      </c>
      <c r="G121" s="0">
        <f>-B121</f>
        <v/>
      </c>
      <c r="H121" s="0">
        <f>-C121*200</f>
        <v/>
      </c>
      <c r="I121" s="0" t="n">
        <v>1</v>
      </c>
      <c r="J121" s="0">
        <f>LN(F121/1000)</f>
        <v/>
      </c>
      <c r="K121" s="0">
        <f>((-G121)-$N$2)</f>
        <v/>
      </c>
      <c r="L121" s="0" t="n">
        <v>1</v>
      </c>
      <c r="M121" s="0">
        <f>-1*($S$4+($S$5*J121))</f>
        <v/>
      </c>
      <c r="N121" s="0">
        <f>D121*A121</f>
        <v/>
      </c>
      <c r="O121" s="0">
        <f>E121*A121</f>
        <v/>
      </c>
      <c r="P121" s="0">
        <f>-K121-M121-N121-O121</f>
        <v/>
      </c>
      <c r="V121" s="0" t="n">
        <v>5.7</v>
      </c>
      <c r="W121" s="0">
        <f>V121*$S$5+$S$4</f>
        <v/>
      </c>
    </row>
    <row r="122">
      <c r="A122" s="0" t="n">
        <v>6.1478184</v>
      </c>
      <c r="B122" s="0" t="n">
        <v>0.55072</v>
      </c>
      <c r="C122" s="0">
        <f>A122*B122</f>
        <v/>
      </c>
      <c r="D122" s="0" t="n">
        <v>0.016</v>
      </c>
      <c r="E122" s="0" t="n">
        <v>0.008999999999999999</v>
      </c>
      <c r="F122" s="0">
        <f>A122*200</f>
        <v/>
      </c>
      <c r="G122" s="0">
        <f>-B122</f>
        <v/>
      </c>
      <c r="H122" s="0">
        <f>-C122*200</f>
        <v/>
      </c>
      <c r="I122" s="0" t="n">
        <v>1</v>
      </c>
      <c r="J122" s="0">
        <f>LN(F122/1000)</f>
        <v/>
      </c>
      <c r="K122" s="0">
        <f>((-G122)-$N$2)</f>
        <v/>
      </c>
      <c r="L122" s="0" t="n">
        <v>1</v>
      </c>
      <c r="M122" s="0">
        <f>-1*($S$4+($S$5*J122))</f>
        <v/>
      </c>
      <c r="N122" s="0">
        <f>D122*A122</f>
        <v/>
      </c>
      <c r="O122" s="0">
        <f>E122*A122</f>
        <v/>
      </c>
      <c r="P122" s="0">
        <f>-K122-M122-N122-O122</f>
        <v/>
      </c>
      <c r="V122" s="0" t="n">
        <v>5.8</v>
      </c>
      <c r="W122" s="0">
        <f>V122*$S$5+$S$4</f>
        <v/>
      </c>
    </row>
    <row r="123">
      <c r="A123" s="0" t="n">
        <v>6.1982275</v>
      </c>
      <c r="B123" s="0" t="n">
        <v>0.5485</v>
      </c>
      <c r="C123" s="0">
        <f>A123*B123</f>
        <v/>
      </c>
      <c r="D123" s="0" t="n">
        <v>0.016</v>
      </c>
      <c r="E123" s="0" t="n">
        <v>0.008999999999999999</v>
      </c>
      <c r="F123" s="0">
        <f>A123*200</f>
        <v/>
      </c>
      <c r="G123" s="0">
        <f>-B123</f>
        <v/>
      </c>
      <c r="H123" s="0">
        <f>-C123*200</f>
        <v/>
      </c>
      <c r="I123" s="0" t="n">
        <v>1</v>
      </c>
      <c r="J123" s="0">
        <f>LN(F123/1000)</f>
        <v/>
      </c>
      <c r="K123" s="0">
        <f>((-G123)-$N$2)</f>
        <v/>
      </c>
      <c r="L123" s="0" t="n">
        <v>1</v>
      </c>
      <c r="M123" s="0">
        <f>-1*($S$4+($S$5*J123))</f>
        <v/>
      </c>
      <c r="N123" s="0">
        <f>D123*A123</f>
        <v/>
      </c>
      <c r="O123" s="0">
        <f>E123*A123</f>
        <v/>
      </c>
      <c r="P123" s="0">
        <f>-K123-M123-N123-O123</f>
        <v/>
      </c>
      <c r="V123" s="0" t="n">
        <v>5.9</v>
      </c>
      <c r="W123" s="0">
        <f>V123*$S$5+$S$4</f>
        <v/>
      </c>
    </row>
    <row r="124">
      <c r="A124" s="0" t="n">
        <v>6.2496553</v>
      </c>
      <c r="B124" s="0" t="n">
        <v>0.54627</v>
      </c>
      <c r="C124" s="0">
        <f>A124*B124</f>
        <v/>
      </c>
      <c r="D124" s="0" t="n">
        <v>0.016</v>
      </c>
      <c r="E124" s="0" t="n">
        <v>0.008999999999999999</v>
      </c>
      <c r="F124" s="0">
        <f>A124*200</f>
        <v/>
      </c>
      <c r="G124" s="0">
        <f>-B124</f>
        <v/>
      </c>
      <c r="H124" s="0">
        <f>-C124*200</f>
        <v/>
      </c>
      <c r="I124" s="0" t="n">
        <v>1</v>
      </c>
      <c r="J124" s="0">
        <f>LN(F124/1000)</f>
        <v/>
      </c>
      <c r="K124" s="0">
        <f>((-G124)-$N$2)</f>
        <v/>
      </c>
      <c r="L124" s="0" t="n">
        <v>1</v>
      </c>
      <c r="M124" s="0">
        <f>-1*($S$4+($S$5*J124))</f>
        <v/>
      </c>
      <c r="N124" s="0">
        <f>D124*A124</f>
        <v/>
      </c>
      <c r="O124" s="0">
        <f>E124*A124</f>
        <v/>
      </c>
      <c r="P124" s="0">
        <f>-K124-M124-N124-O124</f>
        <v/>
      </c>
      <c r="V124" s="0" t="n">
        <v>6</v>
      </c>
      <c r="W124" s="0">
        <f>V124*$S$5+$S$4</f>
        <v/>
      </c>
    </row>
    <row r="125">
      <c r="A125" s="0" t="n">
        <v>6.3005728</v>
      </c>
      <c r="B125" s="0" t="n">
        <v>0.54379</v>
      </c>
      <c r="C125" s="0">
        <f>A125*B125</f>
        <v/>
      </c>
      <c r="D125" s="0" t="n">
        <v>0.016</v>
      </c>
      <c r="E125" s="0" t="n">
        <v>0.008999999999999999</v>
      </c>
      <c r="F125" s="0">
        <f>A125*200</f>
        <v/>
      </c>
      <c r="G125" s="0">
        <f>-B125</f>
        <v/>
      </c>
      <c r="H125" s="0">
        <f>-C125*200</f>
        <v/>
      </c>
      <c r="I125" s="0" t="n">
        <v>1</v>
      </c>
      <c r="J125" s="0">
        <f>LN(F125/1000)</f>
        <v/>
      </c>
      <c r="K125" s="0">
        <f>((-G125)-$N$2)</f>
        <v/>
      </c>
      <c r="L125" s="0" t="n">
        <v>1</v>
      </c>
      <c r="M125" s="0">
        <f>-1*($S$4+($S$5*J125))</f>
        <v/>
      </c>
      <c r="N125" s="0">
        <f>D125*A125</f>
        <v/>
      </c>
      <c r="O125" s="0">
        <f>E125*A125</f>
        <v/>
      </c>
      <c r="P125" s="0">
        <f>-K125-M125-N125-O125</f>
        <v/>
      </c>
      <c r="V125" s="0" t="n">
        <v>6.1</v>
      </c>
      <c r="W125" s="0">
        <f>V125*$S$5+$S$4</f>
        <v/>
      </c>
    </row>
    <row r="126">
      <c r="A126" s="0" t="n">
        <v>6.3560742</v>
      </c>
      <c r="B126" s="0" t="n">
        <v>0.5416299999999999</v>
      </c>
      <c r="C126" s="0">
        <f>A126*B126</f>
        <v/>
      </c>
      <c r="D126" s="0" t="n">
        <v>0.016</v>
      </c>
      <c r="E126" s="0" t="n">
        <v>0.008999999999999999</v>
      </c>
      <c r="F126" s="0">
        <f>A126*200</f>
        <v/>
      </c>
      <c r="G126" s="0">
        <f>-B126</f>
        <v/>
      </c>
      <c r="H126" s="0">
        <f>-C126*200</f>
        <v/>
      </c>
      <c r="I126" s="0" t="n">
        <v>1</v>
      </c>
      <c r="J126" s="0">
        <f>LN(F126/1000)</f>
        <v/>
      </c>
      <c r="K126" s="0">
        <f>((-G126)-$N$2)</f>
        <v/>
      </c>
      <c r="L126" s="0" t="n">
        <v>1</v>
      </c>
      <c r="M126" s="0">
        <f>-1*($S$4+($S$5*J126))</f>
        <v/>
      </c>
      <c r="N126" s="0">
        <f>D126*A126</f>
        <v/>
      </c>
      <c r="O126" s="0">
        <f>E126*A126</f>
        <v/>
      </c>
      <c r="P126" s="0">
        <f>-K126-M126-N126-O126</f>
        <v/>
      </c>
      <c r="V126" s="0" t="n">
        <v>6.2</v>
      </c>
      <c r="W126" s="0">
        <f>V126*$S$5+$S$4</f>
        <v/>
      </c>
    </row>
    <row r="127">
      <c r="A127" s="0" t="n">
        <v>6.4100483</v>
      </c>
      <c r="B127" s="0" t="n">
        <v>0.5393</v>
      </c>
      <c r="C127" s="0">
        <f>A127*B127</f>
        <v/>
      </c>
      <c r="D127" s="0" t="n">
        <v>0.016</v>
      </c>
      <c r="E127" s="0" t="n">
        <v>0.008999999999999999</v>
      </c>
      <c r="F127" s="0">
        <f>A127*200</f>
        <v/>
      </c>
      <c r="G127" s="0">
        <f>-B127</f>
        <v/>
      </c>
      <c r="H127" s="0">
        <f>-C127*200</f>
        <v/>
      </c>
      <c r="I127" s="0" t="n">
        <v>1</v>
      </c>
      <c r="J127" s="0">
        <f>LN(F127/1000)</f>
        <v/>
      </c>
      <c r="K127" s="0">
        <f>((-G127)-$N$2)</f>
        <v/>
      </c>
      <c r="L127" s="0" t="n">
        <v>1</v>
      </c>
      <c r="M127" s="0">
        <f>-1*($S$4+($S$5*J127))</f>
        <v/>
      </c>
      <c r="N127" s="0">
        <f>D127*A127</f>
        <v/>
      </c>
      <c r="O127" s="0">
        <f>E127*A127</f>
        <v/>
      </c>
      <c r="P127" s="0">
        <f>-K127-M127-N127-O127</f>
        <v/>
      </c>
      <c r="V127" s="0" t="n">
        <v>6.3</v>
      </c>
      <c r="W127" s="0">
        <f>V127*$S$5+$S$4</f>
        <v/>
      </c>
    </row>
    <row r="128">
      <c r="A128" s="0" t="n">
        <v>6.460457</v>
      </c>
      <c r="B128" s="0" t="n">
        <v>0.53659</v>
      </c>
      <c r="C128" s="0">
        <f>A128*B128</f>
        <v/>
      </c>
      <c r="D128" s="0" t="n">
        <v>0.016</v>
      </c>
      <c r="E128" s="0" t="n">
        <v>0.008999999999999999</v>
      </c>
      <c r="F128" s="0">
        <f>A128*200</f>
        <v/>
      </c>
      <c r="G128" s="0">
        <f>-B128</f>
        <v/>
      </c>
      <c r="H128" s="0">
        <f>-C128*200</f>
        <v/>
      </c>
      <c r="I128" s="0" t="n">
        <v>1</v>
      </c>
      <c r="J128" s="0">
        <f>LN(F128/1000)</f>
        <v/>
      </c>
      <c r="K128" s="0">
        <f>((-G128)-$N$2)</f>
        <v/>
      </c>
      <c r="L128" s="0" t="n">
        <v>1</v>
      </c>
      <c r="M128" s="0">
        <f>-1*($S$4+($S$5*J128))</f>
        <v/>
      </c>
      <c r="N128" s="0">
        <f>D128*A128</f>
        <v/>
      </c>
      <c r="O128" s="0">
        <f>E128*A128</f>
        <v/>
      </c>
      <c r="P128" s="0">
        <f>-K128-M128-N128-O128</f>
        <v/>
      </c>
      <c r="V128" s="0" t="n">
        <v>6.4</v>
      </c>
      <c r="W128" s="0">
        <f>V128*$S$5+$S$4</f>
        <v/>
      </c>
    </row>
    <row r="129">
      <c r="A129" s="0" t="n">
        <v>6.5108667</v>
      </c>
      <c r="B129" s="0" t="n">
        <v>0.53434</v>
      </c>
      <c r="C129" s="0">
        <f>A129*B129</f>
        <v/>
      </c>
      <c r="D129" s="0" t="n">
        <v>0.016</v>
      </c>
      <c r="E129" s="0" t="n">
        <v>0.008999999999999999</v>
      </c>
      <c r="F129" s="0">
        <f>A129*200</f>
        <v/>
      </c>
      <c r="G129" s="0">
        <f>-B129</f>
        <v/>
      </c>
      <c r="H129" s="0">
        <f>-C129*200</f>
        <v/>
      </c>
      <c r="I129" s="0" t="n">
        <v>1</v>
      </c>
      <c r="J129" s="0">
        <f>LN(F129/1000)</f>
        <v/>
      </c>
      <c r="K129" s="0">
        <f>((-G129)-$N$2)</f>
        <v/>
      </c>
      <c r="L129" s="0" t="n">
        <v>1</v>
      </c>
      <c r="M129" s="0">
        <f>-1*($S$4+($S$5*J129))</f>
        <v/>
      </c>
      <c r="N129" s="0">
        <f>D129*A129</f>
        <v/>
      </c>
      <c r="O129" s="0">
        <f>E129*A129</f>
        <v/>
      </c>
      <c r="P129" s="0">
        <f>-K129-M129-N129-O129</f>
        <v/>
      </c>
      <c r="V129" s="0" t="n">
        <v>6.5</v>
      </c>
      <c r="W129" s="0">
        <f>V129*$S$5+$S$4</f>
        <v/>
      </c>
    </row>
    <row r="130">
      <c r="A130" s="0" t="n">
        <v>6.5643306</v>
      </c>
      <c r="B130" s="0" t="n">
        <v>0.5321399999999999</v>
      </c>
      <c r="C130" s="0">
        <f>A130*B130</f>
        <v/>
      </c>
      <c r="D130" s="0" t="n">
        <v>0.016</v>
      </c>
      <c r="E130" s="0" t="n">
        <v>0.008999999999999999</v>
      </c>
      <c r="F130" s="0">
        <f>A130*200</f>
        <v/>
      </c>
      <c r="G130" s="0">
        <f>-B130</f>
        <v/>
      </c>
      <c r="H130" s="0">
        <f>-C130*200</f>
        <v/>
      </c>
      <c r="I130" s="0" t="n">
        <v>1</v>
      </c>
      <c r="J130" s="0">
        <f>LN(F130/1000)</f>
        <v/>
      </c>
      <c r="K130" s="0">
        <f>((-G130)-$N$2)</f>
        <v/>
      </c>
      <c r="L130" s="0" t="n">
        <v>1</v>
      </c>
      <c r="M130" s="0">
        <f>-1*($S$4+($S$5*J130))</f>
        <v/>
      </c>
      <c r="N130" s="0">
        <f>D130*A130</f>
        <v/>
      </c>
      <c r="O130" s="0">
        <f>E130*A130</f>
        <v/>
      </c>
      <c r="P130" s="0">
        <f>-K130-M130-N130-O130</f>
        <v/>
      </c>
      <c r="V130" s="0" t="n">
        <v>6.6</v>
      </c>
      <c r="W130" s="0">
        <f>V130*$S$5+$S$4</f>
        <v/>
      </c>
    </row>
    <row r="131">
      <c r="A131" s="0" t="n">
        <v>6.6152485</v>
      </c>
      <c r="B131" s="0" t="n">
        <v>0.52968</v>
      </c>
      <c r="C131" s="0">
        <f>A131*B131</f>
        <v/>
      </c>
      <c r="D131" s="0" t="n">
        <v>0.016</v>
      </c>
      <c r="E131" s="0" t="n">
        <v>0.008999999999999999</v>
      </c>
      <c r="F131" s="0">
        <f>A131*200</f>
        <v/>
      </c>
      <c r="G131" s="0">
        <f>-B131</f>
        <v/>
      </c>
      <c r="H131" s="0">
        <f>-C131*200</f>
        <v/>
      </c>
      <c r="I131" s="0" t="n">
        <v>1</v>
      </c>
      <c r="J131" s="0">
        <f>LN(F131/1000)</f>
        <v/>
      </c>
      <c r="K131" s="0">
        <f>((-G131)-$N$2)</f>
        <v/>
      </c>
      <c r="L131" s="0" t="n">
        <v>1</v>
      </c>
      <c r="M131" s="0">
        <f>-1*($S$4+($S$5*J131))</f>
        <v/>
      </c>
      <c r="N131" s="0">
        <f>D131*A131</f>
        <v/>
      </c>
      <c r="O131" s="0">
        <f>E131*A131</f>
        <v/>
      </c>
      <c r="P131" s="0">
        <f>-K131-M131-N131-O131</f>
        <v/>
      </c>
      <c r="V131" s="0" t="n">
        <v>6.7</v>
      </c>
      <c r="W131" s="0">
        <f>V131*$S$5+$S$4</f>
        <v/>
      </c>
    </row>
    <row r="132">
      <c r="A132" s="0" t="n">
        <v>6.666167</v>
      </c>
      <c r="B132" s="0" t="n">
        <v>0.52756</v>
      </c>
      <c r="C132" s="0">
        <f>A132*B132</f>
        <v/>
      </c>
      <c r="D132" s="0" t="n">
        <v>0.016</v>
      </c>
      <c r="E132" s="0" t="n">
        <v>0.008999999999999999</v>
      </c>
      <c r="F132" s="0">
        <f>A132*200</f>
        <v/>
      </c>
      <c r="G132" s="0">
        <f>-B132</f>
        <v/>
      </c>
      <c r="H132" s="0">
        <f>-C132*200</f>
        <v/>
      </c>
      <c r="I132" s="0" t="n">
        <v>1</v>
      </c>
      <c r="J132" s="0">
        <f>LN(F132/1000)</f>
        <v/>
      </c>
      <c r="K132" s="0">
        <f>((-G132)-$N$2)</f>
        <v/>
      </c>
      <c r="L132" s="0" t="n">
        <v>1</v>
      </c>
      <c r="M132" s="0">
        <f>-1*($S$4+($S$5*J132))</f>
        <v/>
      </c>
      <c r="N132" s="0">
        <f>D132*A132</f>
        <v/>
      </c>
      <c r="O132" s="0">
        <f>E132*A132</f>
        <v/>
      </c>
      <c r="P132" s="0">
        <f>-K132-M132-N132-O132</f>
        <v/>
      </c>
      <c r="V132" s="0" t="n">
        <v>6.8</v>
      </c>
      <c r="W132" s="0">
        <f>V132*$S$5+$S$4</f>
        <v/>
      </c>
    </row>
    <row r="133">
      <c r="A133" s="0" t="n">
        <v>6.7170854</v>
      </c>
      <c r="B133" s="0" t="n">
        <v>0.525</v>
      </c>
      <c r="C133" s="0">
        <f>A133*B133</f>
        <v/>
      </c>
      <c r="D133" s="0" t="n">
        <v>0.016</v>
      </c>
      <c r="E133" s="0" t="n">
        <v>0.008999999999999999</v>
      </c>
      <c r="F133" s="0">
        <f>A133*200</f>
        <v/>
      </c>
      <c r="G133" s="0">
        <f>-B133</f>
        <v/>
      </c>
      <c r="H133" s="0">
        <f>-C133*200</f>
        <v/>
      </c>
      <c r="I133" s="0" t="n">
        <v>1</v>
      </c>
      <c r="J133" s="0">
        <f>LN(F133/1000)</f>
        <v/>
      </c>
      <c r="K133" s="0">
        <f>((-G133)-$N$2)</f>
        <v/>
      </c>
      <c r="L133" s="0" t="n">
        <v>1</v>
      </c>
      <c r="M133" s="0">
        <f>-1*($S$4+($S$5*J133))</f>
        <v/>
      </c>
      <c r="N133" s="0">
        <f>D133*A133</f>
        <v/>
      </c>
      <c r="O133" s="0">
        <f>E133*A133</f>
        <v/>
      </c>
      <c r="P133" s="0">
        <f>-K133-M133-N133-O133</f>
        <v/>
      </c>
      <c r="V133" s="0" t="n">
        <v>6.9</v>
      </c>
      <c r="W133" s="0">
        <f>V133*$S$5+$S$4</f>
        <v/>
      </c>
    </row>
    <row r="134">
      <c r="A134" s="0" t="n">
        <v>6.7680034</v>
      </c>
      <c r="B134" s="0" t="n">
        <v>0.52258</v>
      </c>
      <c r="C134" s="0">
        <f>A134*B134</f>
        <v/>
      </c>
      <c r="D134" s="0" t="n">
        <v>0.016</v>
      </c>
      <c r="E134" s="0" t="n">
        <v>0.008999999999999999</v>
      </c>
      <c r="F134" s="0">
        <f>A134*200</f>
        <v/>
      </c>
      <c r="G134" s="0">
        <f>-B134</f>
        <v/>
      </c>
      <c r="H134" s="0">
        <f>-C134*200</f>
        <v/>
      </c>
      <c r="I134" s="0" t="n">
        <v>1</v>
      </c>
      <c r="J134" s="0">
        <f>LN(F134/1000)</f>
        <v/>
      </c>
      <c r="K134" s="0">
        <f>((-G134)-$N$2)</f>
        <v/>
      </c>
      <c r="L134" s="0" t="n">
        <v>1</v>
      </c>
      <c r="M134" s="0">
        <f>-1*($S$4+($S$5*J134))</f>
        <v/>
      </c>
      <c r="N134" s="0">
        <f>D134*A134</f>
        <v/>
      </c>
      <c r="O134" s="0">
        <f>E134*A134</f>
        <v/>
      </c>
      <c r="P134" s="0">
        <f>-K134-M134-N134-O134</f>
        <v/>
      </c>
      <c r="V134" s="0" t="n">
        <v>7</v>
      </c>
      <c r="W134" s="0">
        <f>V134*$S$5+$S$4</f>
        <v/>
      </c>
    </row>
    <row r="135">
      <c r="A135" s="0" t="n">
        <v>6.8189219</v>
      </c>
      <c r="B135" s="0" t="n">
        <v>0.52046</v>
      </c>
      <c r="C135" s="0">
        <f>A135*B135</f>
        <v/>
      </c>
      <c r="D135" s="0" t="n">
        <v>0.016</v>
      </c>
      <c r="E135" s="0" t="n">
        <v>0.008999999999999999</v>
      </c>
      <c r="F135" s="0">
        <f>A135*200</f>
        <v/>
      </c>
      <c r="G135" s="0">
        <f>-B135</f>
        <v/>
      </c>
      <c r="H135" s="0">
        <f>-C135*200</f>
        <v/>
      </c>
      <c r="I135" s="0" t="n">
        <v>1</v>
      </c>
      <c r="J135" s="0">
        <f>LN(F135/1000)</f>
        <v/>
      </c>
      <c r="K135" s="0">
        <f>((-G135)-$N$2)</f>
        <v/>
      </c>
      <c r="L135" s="0" t="n">
        <v>1</v>
      </c>
      <c r="M135" s="0">
        <f>-1*($S$4+($S$5*J135))</f>
        <v/>
      </c>
      <c r="N135" s="0">
        <f>D135*A135</f>
        <v/>
      </c>
      <c r="O135" s="0">
        <f>E135*A135</f>
        <v/>
      </c>
      <c r="P135" s="0">
        <f>-K135-M135-N135-O135</f>
        <v/>
      </c>
      <c r="V135" s="0" t="n">
        <v>7.1</v>
      </c>
      <c r="W135" s="0">
        <f>V135*$S$5+$S$4</f>
        <v/>
      </c>
    </row>
    <row r="136">
      <c r="A136" s="0" t="n">
        <v>6.8703491</v>
      </c>
      <c r="B136" s="0" t="n">
        <v>0.5178</v>
      </c>
      <c r="C136" s="0">
        <f>A136*B136</f>
        <v/>
      </c>
      <c r="D136" s="0" t="n">
        <v>0.016</v>
      </c>
      <c r="E136" s="0" t="n">
        <v>0.008999999999999999</v>
      </c>
      <c r="F136" s="0">
        <f>A136*200</f>
        <v/>
      </c>
      <c r="G136" s="0">
        <f>-B136</f>
        <v/>
      </c>
      <c r="H136" s="0">
        <f>-C136*200</f>
        <v/>
      </c>
      <c r="I136" s="0" t="n">
        <v>1</v>
      </c>
      <c r="J136" s="0">
        <f>LN(F136/1000)</f>
        <v/>
      </c>
      <c r="K136" s="0">
        <f>((-G136)-$N$2)</f>
        <v/>
      </c>
      <c r="L136" s="0" t="n">
        <v>1</v>
      </c>
      <c r="M136" s="0">
        <f>-1*($S$4+($S$5*J136))</f>
        <v/>
      </c>
      <c r="N136" s="0">
        <f>D136*A136</f>
        <v/>
      </c>
      <c r="O136" s="0">
        <f>E136*A136</f>
        <v/>
      </c>
      <c r="P136" s="0">
        <f>-K136-M136-N136-O136</f>
        <v/>
      </c>
      <c r="V136" s="0" t="n">
        <v>7.2</v>
      </c>
      <c r="W136" s="0">
        <f>V136*$S$5+$S$4</f>
        <v/>
      </c>
    </row>
    <row r="137">
      <c r="A137" s="0" t="n">
        <v>6.9212676</v>
      </c>
      <c r="B137" s="0" t="n">
        <v>0.5153</v>
      </c>
      <c r="C137" s="0">
        <f>A137*B137</f>
        <v/>
      </c>
      <c r="D137" s="0" t="n">
        <v>0.016</v>
      </c>
      <c r="E137" s="0" t="n">
        <v>0.008999999999999999</v>
      </c>
      <c r="F137" s="0">
        <f>A137*200</f>
        <v/>
      </c>
      <c r="G137" s="0">
        <f>-B137</f>
        <v/>
      </c>
      <c r="H137" s="0">
        <f>-C137*200</f>
        <v/>
      </c>
      <c r="I137" s="0" t="n">
        <v>1</v>
      </c>
      <c r="J137" s="0">
        <f>LN(F137/1000)</f>
        <v/>
      </c>
      <c r="K137" s="0">
        <f>((-G137)-$N$2)</f>
        <v/>
      </c>
      <c r="L137" s="0" t="n">
        <v>1</v>
      </c>
      <c r="M137" s="0">
        <f>-1*($S$4+($S$5*J137))</f>
        <v/>
      </c>
      <c r="N137" s="0">
        <f>D137*A137</f>
        <v/>
      </c>
      <c r="O137" s="0">
        <f>E137*A137</f>
        <v/>
      </c>
      <c r="P137" s="0">
        <f>-K137-M137-N137-O137</f>
        <v/>
      </c>
      <c r="V137" s="0" t="n">
        <v>7.3</v>
      </c>
      <c r="W137" s="0">
        <f>V137*$S$5+$S$4</f>
        <v/>
      </c>
    </row>
    <row r="138">
      <c r="A138" s="0" t="n">
        <v>6.972186</v>
      </c>
      <c r="B138" s="0" t="n">
        <v>0.51286</v>
      </c>
      <c r="C138" s="0">
        <f>A138*B138</f>
        <v/>
      </c>
      <c r="D138" s="0" t="n">
        <v>0.016</v>
      </c>
      <c r="E138" s="0" t="n">
        <v>0.008999999999999999</v>
      </c>
      <c r="F138" s="0">
        <f>A138*200</f>
        <v/>
      </c>
      <c r="G138" s="0">
        <f>-B138</f>
        <v/>
      </c>
      <c r="H138" s="0">
        <f>-C138*200</f>
        <v/>
      </c>
      <c r="I138" s="0" t="n">
        <v>1</v>
      </c>
      <c r="J138" s="0">
        <f>LN(F138/1000)</f>
        <v/>
      </c>
      <c r="K138" s="0">
        <f>((-G138)-$N$2)</f>
        <v/>
      </c>
      <c r="L138" s="0" t="n">
        <v>1</v>
      </c>
      <c r="M138" s="0">
        <f>-1*($S$4+($S$5*J138))</f>
        <v/>
      </c>
      <c r="N138" s="0">
        <f>D138*A138</f>
        <v/>
      </c>
      <c r="O138" s="0">
        <f>E138*A138</f>
        <v/>
      </c>
      <c r="P138" s="0">
        <f>-K138-M138-N138-O138</f>
        <v/>
      </c>
      <c r="V138" s="0" t="n">
        <v>7.4</v>
      </c>
      <c r="W138" s="0">
        <f>V138*$S$5+$S$4</f>
        <v/>
      </c>
    </row>
    <row r="139">
      <c r="A139" s="0" t="n">
        <v>7.0261592</v>
      </c>
      <c r="B139" s="0" t="n">
        <v>0.5104300000000001</v>
      </c>
      <c r="C139" s="0">
        <f>A139*B139</f>
        <v/>
      </c>
      <c r="D139" s="0" t="n">
        <v>0.016</v>
      </c>
      <c r="E139" s="0" t="n">
        <v>0.008999999999999999</v>
      </c>
      <c r="F139" s="0">
        <f>A139*200</f>
        <v/>
      </c>
      <c r="G139" s="0">
        <f>-B139</f>
        <v/>
      </c>
      <c r="H139" s="0">
        <f>-C139*200</f>
        <v/>
      </c>
      <c r="I139" s="0" t="n">
        <v>1</v>
      </c>
      <c r="J139" s="0">
        <f>LN(F139/1000)</f>
        <v/>
      </c>
      <c r="K139" s="0">
        <f>((-G139)-$N$2)</f>
        <v/>
      </c>
      <c r="L139" s="0" t="n">
        <v>1</v>
      </c>
      <c r="M139" s="0">
        <f>-1*($S$4+($S$5*J139))</f>
        <v/>
      </c>
      <c r="N139" s="0">
        <f>D139*A139</f>
        <v/>
      </c>
      <c r="O139" s="0">
        <f>E139*A139</f>
        <v/>
      </c>
      <c r="P139" s="0">
        <f>-K139-M139-N139-O139</f>
        <v/>
      </c>
      <c r="V139" s="0" t="n">
        <v>7.5</v>
      </c>
      <c r="W139" s="0">
        <f>V139*$S$5+$S$4</f>
        <v/>
      </c>
    </row>
    <row r="140">
      <c r="A140" s="0" t="n">
        <v>7.0780957</v>
      </c>
      <c r="B140" s="0" t="n">
        <v>0.50768</v>
      </c>
      <c r="C140" s="0">
        <f>A140*B140</f>
        <v/>
      </c>
      <c r="D140" s="0" t="n">
        <v>0.016</v>
      </c>
      <c r="E140" s="0" t="n">
        <v>0.008999999999999999</v>
      </c>
      <c r="F140" s="0">
        <f>A140*200</f>
        <v/>
      </c>
      <c r="G140" s="0">
        <f>-B140</f>
        <v/>
      </c>
      <c r="H140" s="0">
        <f>-C140*200</f>
        <v/>
      </c>
      <c r="I140" s="0" t="n">
        <v>1</v>
      </c>
      <c r="J140" s="0">
        <f>LN(F140/1000)</f>
        <v/>
      </c>
      <c r="K140" s="0">
        <f>((-G140)-$N$2)</f>
        <v/>
      </c>
      <c r="L140" s="0" t="n">
        <v>1</v>
      </c>
      <c r="M140" s="0">
        <f>-1*($S$4+($S$5*J140))</f>
        <v/>
      </c>
      <c r="N140" s="0">
        <f>D140*A140</f>
        <v/>
      </c>
      <c r="O140" s="0">
        <f>E140*A140</f>
        <v/>
      </c>
      <c r="P140" s="0">
        <f>-K140-M140-N140-O140</f>
        <v/>
      </c>
    </row>
    <row r="141">
      <c r="A141" s="0" t="n">
        <v>7.1320698</v>
      </c>
      <c r="B141" s="0" t="n">
        <v>0.50505</v>
      </c>
      <c r="C141" s="0">
        <f>A141*B141</f>
        <v/>
      </c>
      <c r="D141" s="0" t="n">
        <v>0.016</v>
      </c>
      <c r="E141" s="0" t="n">
        <v>0.008999999999999999</v>
      </c>
      <c r="F141" s="0">
        <f>A141*200</f>
        <v/>
      </c>
      <c r="G141" s="0">
        <f>-B141</f>
        <v/>
      </c>
      <c r="H141" s="0">
        <f>-C141*200</f>
        <v/>
      </c>
      <c r="I141" s="0" t="n">
        <v>1</v>
      </c>
      <c r="J141" s="0">
        <f>LN(F141/1000)</f>
        <v/>
      </c>
      <c r="K141" s="0">
        <f>((-G141)-$N$2)</f>
        <v/>
      </c>
      <c r="L141" s="0" t="n">
        <v>1</v>
      </c>
      <c r="M141" s="0">
        <f>-1*($S$4+($S$5*J141))</f>
        <v/>
      </c>
      <c r="N141" s="0">
        <f>D141*A141</f>
        <v/>
      </c>
      <c r="O141" s="0">
        <f>E141*A141</f>
        <v/>
      </c>
      <c r="P141" s="0">
        <f>-K141-M141-N141-O141</f>
        <v/>
      </c>
    </row>
    <row r="142">
      <c r="A142" s="0" t="n">
        <v>7.1840063</v>
      </c>
      <c r="B142" s="0" t="n">
        <v>0.50257</v>
      </c>
      <c r="C142" s="0">
        <f>A142*B142</f>
        <v/>
      </c>
      <c r="D142" s="0" t="n">
        <v>0.016</v>
      </c>
      <c r="E142" s="0" t="n">
        <v>0.008999999999999999</v>
      </c>
      <c r="F142" s="0">
        <f>A142*200</f>
        <v/>
      </c>
      <c r="G142" s="0">
        <f>-B142</f>
        <v/>
      </c>
      <c r="H142" s="0">
        <f>-C142*200</f>
        <v/>
      </c>
      <c r="I142" s="0" t="n">
        <v>1</v>
      </c>
      <c r="J142" s="0">
        <f>LN(F142/1000)</f>
        <v/>
      </c>
      <c r="K142" s="0">
        <f>((-G142)-$N$2)</f>
        <v/>
      </c>
      <c r="L142" s="0" t="n">
        <v>1</v>
      </c>
      <c r="M142" s="0">
        <f>-1*($S$4+($S$5*J142))</f>
        <v/>
      </c>
      <c r="N142" s="0">
        <f>D142*A142</f>
        <v/>
      </c>
      <c r="O142" s="0">
        <f>E142*A142</f>
        <v/>
      </c>
      <c r="P142" s="0">
        <f>-K142-M142-N142-O142</f>
        <v/>
      </c>
    </row>
    <row r="143">
      <c r="A143" s="0" t="n">
        <v>7.2354336</v>
      </c>
      <c r="B143" s="0" t="n">
        <v>0.49995</v>
      </c>
      <c r="C143" s="0">
        <f>A143*B143</f>
        <v/>
      </c>
      <c r="D143" s="0" t="n">
        <v>0.016</v>
      </c>
      <c r="E143" s="0" t="n">
        <v>0.008999999999999999</v>
      </c>
      <c r="F143" s="0">
        <f>A143*200</f>
        <v/>
      </c>
      <c r="G143" s="0">
        <f>-B143</f>
        <v/>
      </c>
      <c r="H143" s="0">
        <f>-C143*200</f>
        <v/>
      </c>
      <c r="I143" s="0" t="n">
        <v>1</v>
      </c>
      <c r="J143" s="0">
        <f>LN(F143/1000)</f>
        <v/>
      </c>
      <c r="K143" s="0">
        <f>((-G143)-$N$2)</f>
        <v/>
      </c>
      <c r="L143" s="0" t="n">
        <v>1</v>
      </c>
      <c r="M143" s="0">
        <f>-1*($S$4+($S$5*J143))</f>
        <v/>
      </c>
      <c r="N143" s="0">
        <f>D143*A143</f>
        <v/>
      </c>
      <c r="O143" s="0">
        <f>E143*A143</f>
        <v/>
      </c>
      <c r="P143" s="0">
        <f>-K143-M143-N143-O143</f>
        <v/>
      </c>
    </row>
    <row r="144">
      <c r="A144" s="0" t="n">
        <v>7.2873701</v>
      </c>
      <c r="B144" s="0" t="n">
        <v>0.49739</v>
      </c>
      <c r="C144" s="0">
        <f>A144*B144</f>
        <v/>
      </c>
      <c r="D144" s="0" t="n">
        <v>0.016</v>
      </c>
      <c r="E144" s="0" t="n">
        <v>0.008999999999999999</v>
      </c>
      <c r="F144" s="0">
        <f>A144*200</f>
        <v/>
      </c>
      <c r="G144" s="0">
        <f>-B144</f>
        <v/>
      </c>
      <c r="H144" s="0">
        <f>-C144*200</f>
        <v/>
      </c>
      <c r="I144" s="0" t="n">
        <v>1</v>
      </c>
      <c r="J144" s="0">
        <f>LN(F144/1000)</f>
        <v/>
      </c>
      <c r="K144" s="0">
        <f>((-G144)-$N$2)</f>
        <v/>
      </c>
      <c r="L144" s="0" t="n">
        <v>1</v>
      </c>
      <c r="M144" s="0">
        <f>-1*($S$4+($S$5*J144))</f>
        <v/>
      </c>
      <c r="N144" s="0">
        <f>D144*A144</f>
        <v/>
      </c>
      <c r="O144" s="0">
        <f>E144*A144</f>
        <v/>
      </c>
      <c r="P144" s="0">
        <f>-K144-M144-N144-O144</f>
        <v/>
      </c>
    </row>
    <row r="145">
      <c r="A145" s="0" t="n">
        <v>7.3377798</v>
      </c>
      <c r="B145" s="0" t="n">
        <v>0.49476</v>
      </c>
      <c r="C145" s="0">
        <f>A145*B145</f>
        <v/>
      </c>
      <c r="D145" s="0" t="n">
        <v>0.016</v>
      </c>
      <c r="E145" s="0" t="n">
        <v>0.008999999999999999</v>
      </c>
      <c r="F145" s="0">
        <f>A145*200</f>
        <v/>
      </c>
      <c r="G145" s="0">
        <f>-B145</f>
        <v/>
      </c>
      <c r="H145" s="0">
        <f>-C145*200</f>
        <v/>
      </c>
      <c r="I145" s="0" t="n">
        <v>1</v>
      </c>
      <c r="J145" s="0">
        <f>LN(F145/1000)</f>
        <v/>
      </c>
      <c r="K145" s="0">
        <f>((-G145)-$N$2)</f>
        <v/>
      </c>
      <c r="L145" s="0" t="n">
        <v>1</v>
      </c>
      <c r="M145" s="0">
        <f>-1*($S$4+($S$5*J145))</f>
        <v/>
      </c>
      <c r="N145" s="0">
        <f>D145*A145</f>
        <v/>
      </c>
      <c r="O145" s="0">
        <f>E145*A145</f>
        <v/>
      </c>
      <c r="P145" s="0">
        <f>-K145-M145-N145-O145</f>
        <v/>
      </c>
    </row>
    <row r="146">
      <c r="A146" s="0" t="n">
        <v>7.3892075</v>
      </c>
      <c r="B146" s="0" t="n">
        <v>0.49208</v>
      </c>
      <c r="C146" s="0">
        <f>A146*B146</f>
        <v/>
      </c>
      <c r="D146" s="0" t="n">
        <v>0.016</v>
      </c>
      <c r="E146" s="0" t="n">
        <v>0.008999999999999999</v>
      </c>
      <c r="F146" s="0">
        <f>A146*200</f>
        <v/>
      </c>
      <c r="G146" s="0">
        <f>-B146</f>
        <v/>
      </c>
      <c r="H146" s="0">
        <f>-C146*200</f>
        <v/>
      </c>
      <c r="I146" s="0" t="n">
        <v>1</v>
      </c>
      <c r="J146" s="0">
        <f>LN(F146/1000)</f>
        <v/>
      </c>
      <c r="K146" s="0">
        <f>((-G146)-$N$2)</f>
        <v/>
      </c>
      <c r="L146" s="0" t="n">
        <v>1</v>
      </c>
      <c r="M146" s="0">
        <f>-1*($S$4+($S$5*J146))</f>
        <v/>
      </c>
      <c r="N146" s="0">
        <f>D146*A146</f>
        <v/>
      </c>
      <c r="O146" s="0">
        <f>E146*A146</f>
        <v/>
      </c>
      <c r="P146" s="0">
        <f>-K146-M146-N146-O146</f>
        <v/>
      </c>
    </row>
    <row r="147">
      <c r="A147" s="0" t="n">
        <v>7.441144</v>
      </c>
      <c r="B147" s="0" t="n">
        <v>0.48962</v>
      </c>
      <c r="C147" s="0">
        <f>A147*B147</f>
        <v/>
      </c>
      <c r="D147" s="0" t="n">
        <v>0.016</v>
      </c>
      <c r="E147" s="0" t="n">
        <v>0.008999999999999999</v>
      </c>
      <c r="F147" s="0">
        <f>A147*200</f>
        <v/>
      </c>
      <c r="G147" s="0">
        <f>-B147</f>
        <v/>
      </c>
      <c r="H147" s="0">
        <f>-C147*200</f>
        <v/>
      </c>
      <c r="I147" s="0" t="n">
        <v>1</v>
      </c>
      <c r="J147" s="0">
        <f>LN(F147/1000)</f>
        <v/>
      </c>
      <c r="K147" s="0">
        <f>((-G147)-$N$2)</f>
        <v/>
      </c>
      <c r="L147" s="0" t="n">
        <v>1</v>
      </c>
      <c r="M147" s="0">
        <f>-1*($S$4+($S$5*J147))</f>
        <v/>
      </c>
      <c r="N147" s="0">
        <f>D147*A147</f>
        <v/>
      </c>
      <c r="O147" s="0">
        <f>E147*A147</f>
        <v/>
      </c>
      <c r="P147" s="0">
        <f>-K147-M147-N147-O147</f>
        <v/>
      </c>
    </row>
    <row r="148">
      <c r="A148" s="0" t="n">
        <v>7.4925718</v>
      </c>
      <c r="B148" s="0" t="n">
        <v>0.48666</v>
      </c>
      <c r="C148" s="0">
        <f>A148*B148</f>
        <v/>
      </c>
      <c r="D148" s="0" t="n">
        <v>0.016</v>
      </c>
      <c r="E148" s="0" t="n">
        <v>0.008999999999999999</v>
      </c>
      <c r="F148" s="0">
        <f>A148*200</f>
        <v/>
      </c>
      <c r="G148" s="0">
        <f>-B148</f>
        <v/>
      </c>
      <c r="H148" s="0">
        <f>-C148*200</f>
        <v/>
      </c>
      <c r="I148" s="0" t="n">
        <v>1</v>
      </c>
      <c r="J148" s="0">
        <f>LN(F148/1000)</f>
        <v/>
      </c>
      <c r="K148" s="0">
        <f>((-G148)-$N$2)</f>
        <v/>
      </c>
      <c r="L148" s="0" t="n">
        <v>1</v>
      </c>
      <c r="M148" s="0">
        <f>-1*($S$4+($S$5*J148))</f>
        <v/>
      </c>
      <c r="N148" s="0">
        <f>D148*A148</f>
        <v/>
      </c>
      <c r="O148" s="0">
        <f>E148*A148</f>
        <v/>
      </c>
      <c r="P148" s="0">
        <f>-K148-M148-N148-O148</f>
        <v/>
      </c>
    </row>
    <row r="149">
      <c r="A149" s="0" t="n">
        <v>7.5429805</v>
      </c>
      <c r="B149" s="0" t="n">
        <v>0.48426</v>
      </c>
      <c r="C149" s="0">
        <f>A149*B149</f>
        <v/>
      </c>
      <c r="D149" s="0" t="n">
        <v>0.016</v>
      </c>
      <c r="E149" s="0" t="n">
        <v>0.008999999999999999</v>
      </c>
      <c r="F149" s="0">
        <f>A149*200</f>
        <v/>
      </c>
      <c r="G149" s="0">
        <f>-B149</f>
        <v/>
      </c>
      <c r="H149" s="0">
        <f>-C149*200</f>
        <v/>
      </c>
      <c r="I149" s="0" t="n">
        <v>1</v>
      </c>
      <c r="J149" s="0">
        <f>LN(F149/1000)</f>
        <v/>
      </c>
      <c r="K149" s="0">
        <f>((-G149)-$N$2)</f>
        <v/>
      </c>
      <c r="L149" s="0" t="n">
        <v>1</v>
      </c>
      <c r="M149" s="0">
        <f>-1*($S$4+($S$5*J149))</f>
        <v/>
      </c>
      <c r="N149" s="0">
        <f>D149*A149</f>
        <v/>
      </c>
      <c r="O149" s="0">
        <f>E149*A149</f>
        <v/>
      </c>
      <c r="P149" s="0">
        <f>-K149-M149-N149-O149</f>
        <v/>
      </c>
    </row>
    <row r="150">
      <c r="A150" s="0" t="n">
        <v>7.5964448</v>
      </c>
      <c r="B150" s="0" t="n">
        <v>0.48143</v>
      </c>
      <c r="C150" s="0">
        <f>A150*B150</f>
        <v/>
      </c>
      <c r="D150" s="0" t="n">
        <v>0.016</v>
      </c>
      <c r="E150" s="0" t="n">
        <v>0.008999999999999999</v>
      </c>
      <c r="F150" s="0">
        <f>A150*200</f>
        <v/>
      </c>
      <c r="G150" s="0">
        <f>-B150</f>
        <v/>
      </c>
      <c r="H150" s="0">
        <f>-C150*200</f>
        <v/>
      </c>
      <c r="I150" s="0" t="n">
        <v>1</v>
      </c>
      <c r="J150" s="0">
        <f>LN(F150/1000)</f>
        <v/>
      </c>
      <c r="K150" s="0">
        <f>((-G150)-$N$2)</f>
        <v/>
      </c>
      <c r="L150" s="0" t="n">
        <v>1</v>
      </c>
      <c r="M150" s="0">
        <f>-1*($S$4+($S$5*J150))</f>
        <v/>
      </c>
      <c r="N150" s="0">
        <f>D150*A150</f>
        <v/>
      </c>
      <c r="O150" s="0">
        <f>E150*A150</f>
        <v/>
      </c>
      <c r="P150" s="0">
        <f>-K150-M150-N150-O150</f>
        <v/>
      </c>
    </row>
    <row r="151">
      <c r="A151" s="0" t="n">
        <v>7.6478721</v>
      </c>
      <c r="B151" s="0" t="n">
        <v>0.47847</v>
      </c>
      <c r="C151" s="0">
        <f>A151*B151</f>
        <v/>
      </c>
      <c r="D151" s="0" t="n">
        <v>0.016</v>
      </c>
      <c r="E151" s="0" t="n">
        <v>0.008999999999999999</v>
      </c>
      <c r="F151" s="0">
        <f>A151*200</f>
        <v/>
      </c>
      <c r="G151" s="0">
        <f>-B151</f>
        <v/>
      </c>
      <c r="H151" s="0">
        <f>-C151*200</f>
        <v/>
      </c>
      <c r="I151" s="0" t="n">
        <v>1</v>
      </c>
      <c r="J151" s="0">
        <f>LN(F151/1000)</f>
        <v/>
      </c>
      <c r="K151" s="0">
        <f>((-G151)-$N$2)</f>
        <v/>
      </c>
      <c r="L151" s="0" t="n">
        <v>1</v>
      </c>
      <c r="M151" s="0">
        <f>-1*($S$4+($S$5*J151))</f>
        <v/>
      </c>
      <c r="N151" s="0">
        <f>D151*A151</f>
        <v/>
      </c>
      <c r="O151" s="0">
        <f>E151*A151</f>
        <v/>
      </c>
      <c r="P151" s="0">
        <f>-K151-M151-N151-O151</f>
        <v/>
      </c>
    </row>
    <row r="152">
      <c r="A152" s="0" t="n">
        <v>7.6993003</v>
      </c>
      <c r="B152" s="0" t="n">
        <v>0.47599</v>
      </c>
      <c r="C152" s="0">
        <f>A152*B152</f>
        <v/>
      </c>
      <c r="D152" s="0" t="n">
        <v>0.016</v>
      </c>
      <c r="E152" s="0" t="n">
        <v>0.008999999999999999</v>
      </c>
      <c r="F152" s="0">
        <f>A152*200</f>
        <v/>
      </c>
      <c r="G152" s="0">
        <f>-B152</f>
        <v/>
      </c>
      <c r="H152" s="0">
        <f>-C152*200</f>
        <v/>
      </c>
      <c r="I152" s="0" t="n">
        <v>1</v>
      </c>
      <c r="J152" s="0">
        <f>LN(F152/1000)</f>
        <v/>
      </c>
      <c r="K152" s="0">
        <f>((-G152)-$N$2)</f>
        <v/>
      </c>
      <c r="L152" s="0" t="n">
        <v>1</v>
      </c>
      <c r="M152" s="0">
        <f>-1*($S$4+($S$5*J152))</f>
        <v/>
      </c>
      <c r="N152" s="0">
        <f>D152*A152</f>
        <v/>
      </c>
      <c r="O152" s="0">
        <f>E152*A152</f>
        <v/>
      </c>
      <c r="P152" s="0">
        <f>-K152-M152-N152-O152</f>
        <v/>
      </c>
    </row>
    <row r="153">
      <c r="A153" s="0" t="n">
        <v>7.7522549</v>
      </c>
      <c r="B153" s="0" t="n">
        <v>0.47293</v>
      </c>
      <c r="C153" s="0">
        <f>A153*B153</f>
        <v/>
      </c>
      <c r="D153" s="0" t="n">
        <v>0.016</v>
      </c>
      <c r="E153" s="0" t="n">
        <v>0.008999999999999999</v>
      </c>
      <c r="F153" s="0">
        <f>A153*200</f>
        <v/>
      </c>
      <c r="G153" s="0">
        <f>-B153</f>
        <v/>
      </c>
      <c r="H153" s="0">
        <f>-C153*200</f>
        <v/>
      </c>
      <c r="I153" s="0" t="n">
        <v>1</v>
      </c>
      <c r="J153" s="0">
        <f>LN(F153/1000)</f>
        <v/>
      </c>
      <c r="K153" s="0">
        <f>((-G153)-$N$2)</f>
        <v/>
      </c>
      <c r="L153" s="0" t="n">
        <v>1</v>
      </c>
      <c r="M153" s="0">
        <f>-1*($S$4+($S$5*J153))</f>
        <v/>
      </c>
      <c r="N153" s="0">
        <f>D153*A153</f>
        <v/>
      </c>
      <c r="O153" s="0">
        <f>E153*A153</f>
        <v/>
      </c>
      <c r="P153" s="0">
        <f>-K153-M153-N153-O153</f>
        <v/>
      </c>
    </row>
    <row r="154">
      <c r="A154" s="0" t="n">
        <v>7.8041914</v>
      </c>
      <c r="B154" s="0" t="n">
        <v>0.46994</v>
      </c>
      <c r="C154" s="0">
        <f>A154*B154</f>
        <v/>
      </c>
      <c r="D154" s="0" t="n">
        <v>0.016</v>
      </c>
      <c r="E154" s="0" t="n">
        <v>0.008999999999999999</v>
      </c>
      <c r="F154" s="0">
        <f>A154*200</f>
        <v/>
      </c>
      <c r="G154" s="0">
        <f>-B154</f>
        <v/>
      </c>
      <c r="H154" s="0">
        <f>-C154*200</f>
        <v/>
      </c>
      <c r="I154" s="0" t="n">
        <v>1</v>
      </c>
      <c r="J154" s="0">
        <f>LN(F154/1000)</f>
        <v/>
      </c>
      <c r="K154" s="0">
        <f>((-G154)-$N$2)</f>
        <v/>
      </c>
      <c r="L154" s="0" t="n">
        <v>1</v>
      </c>
      <c r="M154" s="0">
        <f>-1*($S$4+($S$5*J154))</f>
        <v/>
      </c>
      <c r="N154" s="0">
        <f>D154*A154</f>
        <v/>
      </c>
      <c r="O154" s="0">
        <f>E154*A154</f>
        <v/>
      </c>
      <c r="P154" s="0">
        <f>-K154-M154-N154-O154</f>
        <v/>
      </c>
    </row>
    <row r="155">
      <c r="A155" s="0" t="n">
        <v>7.8551104</v>
      </c>
      <c r="B155" s="0" t="n">
        <v>0.46715</v>
      </c>
      <c r="C155" s="0">
        <f>A155*B155</f>
        <v/>
      </c>
      <c r="D155" s="0" t="n">
        <v>0.016</v>
      </c>
      <c r="E155" s="0" t="n">
        <v>0.008999999999999999</v>
      </c>
      <c r="F155" s="0">
        <f>A155*200</f>
        <v/>
      </c>
      <c r="G155" s="0">
        <f>-B155</f>
        <v/>
      </c>
      <c r="H155" s="0">
        <f>-C155*200</f>
        <v/>
      </c>
      <c r="I155" s="0" t="n">
        <v>1</v>
      </c>
      <c r="J155" s="0">
        <f>LN(F155/1000)</f>
        <v/>
      </c>
      <c r="K155" s="0">
        <f>((-G155)-$N$2)</f>
        <v/>
      </c>
      <c r="L155" s="0" t="n">
        <v>1</v>
      </c>
      <c r="M155" s="0">
        <f>-1*($S$4+($S$5*J155))</f>
        <v/>
      </c>
      <c r="N155" s="0">
        <f>D155*A155</f>
        <v/>
      </c>
      <c r="O155" s="0">
        <f>E155*A155</f>
        <v/>
      </c>
      <c r="P155" s="0">
        <f>-K155-M155-N155-O155</f>
        <v/>
      </c>
    </row>
    <row r="156">
      <c r="A156" s="0" t="n">
        <v>7.905519</v>
      </c>
      <c r="B156" s="0" t="n">
        <v>0.46453</v>
      </c>
      <c r="C156" s="0">
        <f>A156*B156</f>
        <v/>
      </c>
      <c r="D156" s="0" t="n">
        <v>0.016</v>
      </c>
      <c r="E156" s="0" t="n">
        <v>0.008999999999999999</v>
      </c>
      <c r="F156" s="0">
        <f>A156*200</f>
        <v/>
      </c>
      <c r="G156" s="0">
        <f>-B156</f>
        <v/>
      </c>
      <c r="H156" s="0">
        <f>-C156*200</f>
        <v/>
      </c>
      <c r="I156" s="0" t="n">
        <v>1</v>
      </c>
      <c r="J156" s="0">
        <f>LN(F156/1000)</f>
        <v/>
      </c>
      <c r="K156" s="0">
        <f>((-G156)-$N$2)</f>
        <v/>
      </c>
      <c r="L156" s="0" t="n">
        <v>1</v>
      </c>
      <c r="M156" s="0">
        <f>-1*($S$4+($S$5*J156))</f>
        <v/>
      </c>
      <c r="N156" s="0">
        <f>D156*A156</f>
        <v/>
      </c>
      <c r="O156" s="0">
        <f>E156*A156</f>
        <v/>
      </c>
      <c r="P156" s="0">
        <f>-K156-M156-N156-O156</f>
        <v/>
      </c>
    </row>
    <row r="157">
      <c r="A157" s="0" t="n">
        <v>7.9559287</v>
      </c>
      <c r="B157" s="0" t="n">
        <v>0.46136</v>
      </c>
      <c r="C157" s="0">
        <f>A157*B157</f>
        <v/>
      </c>
      <c r="D157" s="0" t="n">
        <v>0.016</v>
      </c>
      <c r="E157" s="0" t="n">
        <v>0.008999999999999999</v>
      </c>
      <c r="F157" s="0">
        <f>A157*200</f>
        <v/>
      </c>
      <c r="G157" s="0">
        <f>-B157</f>
        <v/>
      </c>
      <c r="H157" s="0">
        <f>-C157*200</f>
        <v/>
      </c>
      <c r="I157" s="0" t="n">
        <v>1</v>
      </c>
      <c r="J157" s="0">
        <f>LN(F157/1000)</f>
        <v/>
      </c>
      <c r="K157" s="0">
        <f>((-G157)-$N$2)</f>
        <v/>
      </c>
      <c r="L157" s="0" t="n">
        <v>1</v>
      </c>
      <c r="M157" s="0">
        <f>-1*($S$4+($S$5*J157))</f>
        <v/>
      </c>
      <c r="N157" s="0">
        <f>D157*A157</f>
        <v/>
      </c>
      <c r="O157" s="0">
        <f>E157*A157</f>
        <v/>
      </c>
      <c r="P157" s="0">
        <f>-K157-M157-N157-O157</f>
        <v/>
      </c>
    </row>
    <row r="158">
      <c r="A158" s="0" t="n">
        <v>8.007355499999999</v>
      </c>
      <c r="B158" s="0" t="n">
        <v>0.459</v>
      </c>
      <c r="C158" s="0">
        <f>A158*B158</f>
        <v/>
      </c>
      <c r="D158" s="0" t="n">
        <v>0.016</v>
      </c>
      <c r="E158" s="0" t="n">
        <v>0.008999999999999999</v>
      </c>
      <c r="F158" s="0">
        <f>A158*200</f>
        <v/>
      </c>
      <c r="G158" s="0">
        <f>-B158</f>
        <v/>
      </c>
      <c r="H158" s="0">
        <f>-C158*200</f>
        <v/>
      </c>
      <c r="I158" s="0" t="n">
        <v>1</v>
      </c>
      <c r="J158" s="0">
        <f>LN(F158/1000)</f>
        <v/>
      </c>
      <c r="K158" s="0">
        <f>((-G158)-$N$2)</f>
        <v/>
      </c>
      <c r="L158" s="0" t="n">
        <v>1</v>
      </c>
      <c r="M158" s="0">
        <f>-1*($S$4+($S$5*J158))</f>
        <v/>
      </c>
      <c r="N158" s="0">
        <f>D158*A158</f>
        <v/>
      </c>
      <c r="O158" s="0">
        <f>E158*A158</f>
        <v/>
      </c>
      <c r="P158" s="0">
        <f>-K158-M158-N158-O158</f>
        <v/>
      </c>
    </row>
    <row r="159">
      <c r="A159" s="0" t="n">
        <v>8.0592925</v>
      </c>
      <c r="B159" s="0" t="n">
        <v>0.45567</v>
      </c>
      <c r="C159" s="0">
        <f>A159*B159</f>
        <v/>
      </c>
      <c r="D159" s="0" t="n">
        <v>0.016</v>
      </c>
      <c r="E159" s="0" t="n">
        <v>0.008999999999999999</v>
      </c>
      <c r="F159" s="0">
        <f>A159*200</f>
        <v/>
      </c>
      <c r="G159" s="0">
        <f>-B159</f>
        <v/>
      </c>
      <c r="H159" s="0">
        <f>-C159*200</f>
        <v/>
      </c>
      <c r="I159" s="0" t="n">
        <v>1</v>
      </c>
      <c r="J159" s="0">
        <f>LN(F159/1000)</f>
        <v/>
      </c>
      <c r="K159" s="0">
        <f>((-G159)-$N$2)</f>
        <v/>
      </c>
      <c r="L159" s="0" t="n">
        <v>1</v>
      </c>
      <c r="M159" s="0">
        <f>-1*($S$4+($S$5*J159))</f>
        <v/>
      </c>
      <c r="N159" s="0">
        <f>D159*A159</f>
        <v/>
      </c>
      <c r="O159" s="0">
        <f>E159*A159</f>
        <v/>
      </c>
      <c r="P159" s="0">
        <f>-K159-M159-N159-O159</f>
        <v/>
      </c>
    </row>
    <row r="160">
      <c r="A160" s="0" t="n">
        <v>8.111229</v>
      </c>
      <c r="B160" s="0" t="n">
        <v>0.45268</v>
      </c>
      <c r="C160" s="0">
        <f>A160*B160</f>
        <v/>
      </c>
      <c r="D160" s="0" t="n">
        <v>0.016</v>
      </c>
      <c r="E160" s="0" t="n">
        <v>0.008999999999999999</v>
      </c>
      <c r="F160" s="0">
        <f>A160*200</f>
        <v/>
      </c>
      <c r="G160" s="0">
        <f>-B160</f>
        <v/>
      </c>
      <c r="H160" s="0">
        <f>-C160*200</f>
        <v/>
      </c>
      <c r="I160" s="0" t="n">
        <v>1</v>
      </c>
      <c r="J160" s="0">
        <f>LN(F160/1000)</f>
        <v/>
      </c>
      <c r="K160" s="0">
        <f>((-G160)-$N$2)</f>
        <v/>
      </c>
      <c r="L160" s="0" t="n">
        <v>1</v>
      </c>
      <c r="M160" s="0">
        <f>-1*($S$4+($S$5*J160))</f>
        <v/>
      </c>
      <c r="N160" s="0">
        <f>D160*A160</f>
        <v/>
      </c>
      <c r="O160" s="0">
        <f>E160*A160</f>
        <v/>
      </c>
      <c r="P160" s="0">
        <f>-K160-M160-N160-O160</f>
        <v/>
      </c>
    </row>
    <row r="161">
      <c r="A161" s="0" t="n">
        <v>8.162656699999999</v>
      </c>
      <c r="B161" s="0" t="n">
        <v>0.44985</v>
      </c>
      <c r="C161" s="0">
        <f>A161*B161</f>
        <v/>
      </c>
      <c r="D161" s="0" t="n">
        <v>0.016</v>
      </c>
      <c r="E161" s="0" t="n">
        <v>0.008999999999999999</v>
      </c>
      <c r="F161" s="0">
        <f>A161*200</f>
        <v/>
      </c>
      <c r="G161" s="0">
        <f>-B161</f>
        <v/>
      </c>
      <c r="H161" s="0">
        <f>-C161*200</f>
        <v/>
      </c>
      <c r="I161" s="0" t="n">
        <v>1</v>
      </c>
      <c r="J161" s="0">
        <f>LN(F161/1000)</f>
        <v/>
      </c>
      <c r="K161" s="0">
        <f>((-G161)-$N$2)</f>
        <v/>
      </c>
      <c r="L161" s="0" t="n">
        <v>1</v>
      </c>
      <c r="M161" s="0">
        <f>-1*($S$4+($S$5*J161))</f>
        <v/>
      </c>
      <c r="N161" s="0">
        <f>D161*A161</f>
        <v/>
      </c>
      <c r="O161" s="0">
        <f>E161*A161</f>
        <v/>
      </c>
      <c r="P161" s="0">
        <f>-K161-M161-N161-O161</f>
        <v/>
      </c>
    </row>
    <row r="162">
      <c r="A162" s="0" t="n">
        <v>8.214084</v>
      </c>
      <c r="B162" s="0" t="n">
        <v>0.44664</v>
      </c>
      <c r="C162" s="0">
        <f>A162*B162</f>
        <v/>
      </c>
      <c r="D162" s="0" t="n">
        <v>0.016</v>
      </c>
      <c r="E162" s="0" t="n">
        <v>0.008999999999999999</v>
      </c>
      <c r="F162" s="0">
        <f>A162*200</f>
        <v/>
      </c>
      <c r="G162" s="0">
        <f>-B162</f>
        <v/>
      </c>
      <c r="H162" s="0">
        <f>-C162*200</f>
        <v/>
      </c>
      <c r="I162" s="0" t="n">
        <v>1</v>
      </c>
      <c r="J162" s="0">
        <f>LN(F162/1000)</f>
        <v/>
      </c>
      <c r="K162" s="0">
        <f>((-G162)-$N$2)</f>
        <v/>
      </c>
      <c r="L162" s="0" t="n">
        <v>1</v>
      </c>
      <c r="M162" s="0">
        <f>-1*($S$4+($S$5*J162))</f>
        <v/>
      </c>
      <c r="N162" s="0">
        <f>D162*A162</f>
        <v/>
      </c>
      <c r="O162" s="0">
        <f>E162*A162</f>
        <v/>
      </c>
      <c r="P162" s="0">
        <f>-K162-M162-N162-O162</f>
        <v/>
      </c>
    </row>
    <row r="163">
      <c r="A163" s="0" t="n">
        <v>8.265002000000001</v>
      </c>
      <c r="B163" s="0" t="n">
        <v>0.44384</v>
      </c>
      <c r="C163" s="0">
        <f>A163*B163</f>
        <v/>
      </c>
      <c r="D163" s="0" t="n">
        <v>0.016</v>
      </c>
      <c r="E163" s="0" t="n">
        <v>0.008999999999999999</v>
      </c>
      <c r="F163" s="0">
        <f>A163*200</f>
        <v/>
      </c>
      <c r="G163" s="0">
        <f>-B163</f>
        <v/>
      </c>
      <c r="H163" s="0">
        <f>-C163*200</f>
        <v/>
      </c>
      <c r="I163" s="0" t="n">
        <v>1</v>
      </c>
      <c r="J163" s="0">
        <f>LN(F163/1000)</f>
        <v/>
      </c>
      <c r="K163" s="0">
        <f>((-G163)-$N$2)</f>
        <v/>
      </c>
      <c r="L163" s="0" t="n">
        <v>1</v>
      </c>
      <c r="M163" s="0">
        <f>-1*($S$4+($S$5*J163))</f>
        <v/>
      </c>
      <c r="N163" s="0">
        <f>D163*A163</f>
        <v/>
      </c>
      <c r="O163" s="0">
        <f>E163*A163</f>
        <v/>
      </c>
      <c r="P163" s="0">
        <f>-K163-M163-N163-O163</f>
        <v/>
      </c>
    </row>
    <row r="164">
      <c r="A164" s="0" t="n">
        <v>8.3154121</v>
      </c>
      <c r="B164" s="0" t="n">
        <v>0.44113</v>
      </c>
      <c r="C164" s="0">
        <f>A164*B164</f>
        <v/>
      </c>
      <c r="D164" s="0" t="n">
        <v>0.016</v>
      </c>
      <c r="E164" s="0" t="n">
        <v>0.008999999999999999</v>
      </c>
      <c r="F164" s="0">
        <f>A164*200</f>
        <v/>
      </c>
      <c r="G164" s="0">
        <f>-B164</f>
        <v/>
      </c>
      <c r="H164" s="0">
        <f>-C164*200</f>
        <v/>
      </c>
      <c r="I164" s="0" t="n">
        <v>1</v>
      </c>
      <c r="J164" s="0">
        <f>LN(F164/1000)</f>
        <v/>
      </c>
      <c r="K164" s="0">
        <f>((-G164)-$N$2)</f>
        <v/>
      </c>
      <c r="L164" s="0" t="n">
        <v>1</v>
      </c>
      <c r="M164" s="0">
        <f>-1*($S$4+($S$5*J164))</f>
        <v/>
      </c>
      <c r="N164" s="0">
        <f>D164*A164</f>
        <v/>
      </c>
      <c r="O164" s="0">
        <f>E164*A164</f>
        <v/>
      </c>
      <c r="P164" s="0">
        <f>-K164-M164-N164-O164</f>
        <v/>
      </c>
    </row>
    <row r="165">
      <c r="A165" s="0" t="n">
        <v>8.3678574</v>
      </c>
      <c r="B165" s="0" t="n">
        <v>0.43796</v>
      </c>
      <c r="C165" s="0">
        <f>A165*B165</f>
        <v/>
      </c>
      <c r="D165" s="0" t="n">
        <v>0.016</v>
      </c>
      <c r="E165" s="0" t="n">
        <v>0.008999999999999999</v>
      </c>
      <c r="F165" s="0">
        <f>A165*200</f>
        <v/>
      </c>
      <c r="G165" s="0">
        <f>-B165</f>
        <v/>
      </c>
      <c r="H165" s="0">
        <f>-C165*200</f>
        <v/>
      </c>
      <c r="I165" s="0" t="n">
        <v>1</v>
      </c>
      <c r="J165" s="0">
        <f>LN(F165/1000)</f>
        <v/>
      </c>
      <c r="K165" s="0">
        <f>((-G165)-$N$2)</f>
        <v/>
      </c>
      <c r="L165" s="0" t="n">
        <v>1</v>
      </c>
      <c r="M165" s="0">
        <f>-1*($S$4+($S$5*J165))</f>
        <v/>
      </c>
      <c r="N165" s="0">
        <f>D165*A165</f>
        <v/>
      </c>
      <c r="O165" s="0">
        <f>E165*A165</f>
        <v/>
      </c>
      <c r="P165" s="0">
        <f>-K165-M165-N165-O165</f>
        <v/>
      </c>
    </row>
    <row r="166">
      <c r="A166" s="0" t="n">
        <v>8.418266600000001</v>
      </c>
      <c r="B166" s="0" t="n">
        <v>0.43526</v>
      </c>
      <c r="C166" s="0">
        <f>A166*B166</f>
        <v/>
      </c>
      <c r="D166" s="0" t="n">
        <v>0.016</v>
      </c>
      <c r="E166" s="0" t="n">
        <v>0.008999999999999999</v>
      </c>
      <c r="F166" s="0">
        <f>A166*200</f>
        <v/>
      </c>
      <c r="G166" s="0">
        <f>-B166</f>
        <v/>
      </c>
      <c r="H166" s="0">
        <f>-C166*200</f>
        <v/>
      </c>
      <c r="I166" s="0" t="n">
        <v>1</v>
      </c>
      <c r="J166" s="0">
        <f>LN(F166/1000)</f>
        <v/>
      </c>
      <c r="K166" s="0">
        <f>((-G166)-$N$2)</f>
        <v/>
      </c>
      <c r="L166" s="0" t="n">
        <v>1</v>
      </c>
      <c r="M166" s="0">
        <f>-1*($S$4+($S$5*J166))</f>
        <v/>
      </c>
      <c r="N166" s="0">
        <f>D166*A166</f>
        <v/>
      </c>
      <c r="O166" s="0">
        <f>E166*A166</f>
        <v/>
      </c>
      <c r="P166" s="0">
        <f>-K166-M166-N166-O166</f>
        <v/>
      </c>
    </row>
    <row r="167">
      <c r="A167" s="0" t="n">
        <v>8.4696943</v>
      </c>
      <c r="B167" s="0" t="n">
        <v>0.43204</v>
      </c>
      <c r="C167" s="0">
        <f>A167*B167</f>
        <v/>
      </c>
      <c r="D167" s="0" t="n">
        <v>0.016</v>
      </c>
      <c r="E167" s="0" t="n">
        <v>0.008999999999999999</v>
      </c>
      <c r="F167" s="0">
        <f>A167*200</f>
        <v/>
      </c>
      <c r="G167" s="0">
        <f>-B167</f>
        <v/>
      </c>
      <c r="H167" s="0">
        <f>-C167*200</f>
        <v/>
      </c>
      <c r="I167" s="0" t="n">
        <v>1</v>
      </c>
      <c r="J167" s="0">
        <f>LN(F167/1000)</f>
        <v/>
      </c>
      <c r="K167" s="0">
        <f>((-G167)-$N$2)</f>
        <v/>
      </c>
      <c r="L167" s="0" t="n">
        <v>1</v>
      </c>
      <c r="M167" s="0">
        <f>-1*($S$4+($S$5*J167))</f>
        <v/>
      </c>
      <c r="N167" s="0">
        <f>D167*A167</f>
        <v/>
      </c>
      <c r="O167" s="0">
        <f>E167*A167</f>
        <v/>
      </c>
      <c r="P167" s="0">
        <f>-K167-M167-N167-O167</f>
        <v/>
      </c>
    </row>
    <row r="168">
      <c r="A168" s="0" t="n">
        <v>8.5221406</v>
      </c>
      <c r="B168" s="0" t="n">
        <v>0.42906</v>
      </c>
      <c r="C168" s="0">
        <f>A168*B168</f>
        <v/>
      </c>
      <c r="D168" s="0" t="n">
        <v>0.016</v>
      </c>
      <c r="E168" s="0" t="n">
        <v>0.008999999999999999</v>
      </c>
      <c r="F168" s="0">
        <f>A168*200</f>
        <v/>
      </c>
      <c r="G168" s="0">
        <f>-B168</f>
        <v/>
      </c>
      <c r="H168" s="0">
        <f>-C168*200</f>
        <v/>
      </c>
      <c r="I168" s="0" t="n">
        <v>1</v>
      </c>
      <c r="J168" s="0">
        <f>LN(F168/1000)</f>
        <v/>
      </c>
      <c r="K168" s="0">
        <f>((-G168)-$N$2)</f>
        <v/>
      </c>
      <c r="L168" s="0" t="n">
        <v>1</v>
      </c>
      <c r="M168" s="0">
        <f>-1*($S$4+($S$5*J168))</f>
        <v/>
      </c>
      <c r="N168" s="0">
        <f>D168*A168</f>
        <v/>
      </c>
      <c r="O168" s="0">
        <f>E168*A168</f>
        <v/>
      </c>
      <c r="P168" s="0">
        <f>-K168-M168-N168-O168</f>
        <v/>
      </c>
    </row>
    <row r="169">
      <c r="A169" s="0" t="n">
        <v>8.5806963</v>
      </c>
      <c r="B169" s="0" t="n">
        <v>0.42591</v>
      </c>
      <c r="C169" s="0">
        <f>A169*B169</f>
        <v/>
      </c>
      <c r="D169" s="0" t="n">
        <v>0.016</v>
      </c>
      <c r="E169" s="0" t="n">
        <v>0.008999999999999999</v>
      </c>
      <c r="F169" s="0">
        <f>A169*200</f>
        <v/>
      </c>
      <c r="G169" s="0">
        <f>-B169</f>
        <v/>
      </c>
      <c r="H169" s="0">
        <f>-C169*200</f>
        <v/>
      </c>
      <c r="I169" s="0" t="n">
        <v>1</v>
      </c>
      <c r="J169" s="0">
        <f>LN(F169/1000)</f>
        <v/>
      </c>
      <c r="K169" s="0">
        <f>((-G169)-$N$2)</f>
        <v/>
      </c>
      <c r="L169" s="0" t="n">
        <v>1</v>
      </c>
      <c r="M169" s="0">
        <f>-1*($S$4+($S$5*J169))</f>
        <v/>
      </c>
      <c r="N169" s="0">
        <f>D169*A169</f>
        <v/>
      </c>
      <c r="O169" s="0">
        <f>E169*A169</f>
        <v/>
      </c>
      <c r="P169" s="0">
        <f>-K169-M169-N169-O169</f>
        <v/>
      </c>
    </row>
    <row r="170">
      <c r="A170" s="0" t="n">
        <v>8.6377256</v>
      </c>
      <c r="B170" s="0" t="n">
        <v>0.42219</v>
      </c>
      <c r="C170" s="0">
        <f>A170*B170</f>
        <v/>
      </c>
      <c r="D170" s="0" t="n">
        <v>0.016</v>
      </c>
      <c r="E170" s="0" t="n">
        <v>0.008999999999999999</v>
      </c>
      <c r="F170" s="0">
        <f>A170*200</f>
        <v/>
      </c>
      <c r="G170" s="0">
        <f>-B170</f>
        <v/>
      </c>
      <c r="H170" s="0">
        <f>-C170*200</f>
        <v/>
      </c>
      <c r="I170" s="0" t="n">
        <v>1</v>
      </c>
      <c r="J170" s="0">
        <f>LN(F170/1000)</f>
        <v/>
      </c>
      <c r="K170" s="0">
        <f>((-G170)-$N$2)</f>
        <v/>
      </c>
      <c r="L170" s="0" t="n">
        <v>1</v>
      </c>
      <c r="M170" s="0">
        <f>-1*($S$4+($S$5*J170))</f>
        <v/>
      </c>
      <c r="N170" s="0">
        <f>D170*A170</f>
        <v/>
      </c>
      <c r="O170" s="0">
        <f>E170*A170</f>
        <v/>
      </c>
      <c r="P170" s="0">
        <f>-K170-M170-N170-O170</f>
        <v/>
      </c>
    </row>
    <row r="171">
      <c r="A171" s="0" t="n">
        <v>8.688643600000001</v>
      </c>
      <c r="B171" s="0" t="n">
        <v>0.4193</v>
      </c>
      <c r="C171" s="0">
        <f>A171*B171</f>
        <v/>
      </c>
      <c r="D171" s="0" t="n">
        <v>0.016</v>
      </c>
      <c r="E171" s="0" t="n">
        <v>0.008999999999999999</v>
      </c>
      <c r="F171" s="0">
        <f>A171*200</f>
        <v/>
      </c>
      <c r="G171" s="0">
        <f>-B171</f>
        <v/>
      </c>
      <c r="H171" s="0">
        <f>-C171*200</f>
        <v/>
      </c>
      <c r="I171" s="0" t="n">
        <v>1</v>
      </c>
      <c r="J171" s="0">
        <f>LN(F171/1000)</f>
        <v/>
      </c>
      <c r="K171" s="0">
        <f>((-G171)-$N$2)</f>
        <v/>
      </c>
      <c r="L171" s="0" t="n">
        <v>1</v>
      </c>
      <c r="M171" s="0">
        <f>-1*($S$4+($S$5*J171))</f>
        <v/>
      </c>
      <c r="N171" s="0">
        <f>D171*A171</f>
        <v/>
      </c>
      <c r="O171" s="0">
        <f>E171*A171</f>
        <v/>
      </c>
      <c r="P171" s="0">
        <f>-K171-M171-N171-O171</f>
        <v/>
      </c>
    </row>
    <row r="172">
      <c r="A172" s="0" t="n">
        <v>8.739561500000001</v>
      </c>
      <c r="B172" s="0" t="n">
        <v>0.41619</v>
      </c>
      <c r="C172" s="0">
        <f>A172*B172</f>
        <v/>
      </c>
      <c r="D172" s="0" t="n">
        <v>0.016</v>
      </c>
      <c r="E172" s="0" t="n">
        <v>0.008999999999999999</v>
      </c>
      <c r="F172" s="0">
        <f>A172*200</f>
        <v/>
      </c>
      <c r="G172" s="0">
        <f>-B172</f>
        <v/>
      </c>
      <c r="H172" s="0">
        <f>-C172*200</f>
        <v/>
      </c>
      <c r="I172" s="0" t="n">
        <v>1</v>
      </c>
      <c r="J172" s="0">
        <f>LN(F172/1000)</f>
        <v/>
      </c>
      <c r="K172" s="0">
        <f>((-G172)-$N$2)</f>
        <v/>
      </c>
      <c r="L172" s="0" t="n">
        <v>1</v>
      </c>
      <c r="M172" s="0">
        <f>-1*($S$4+($S$5*J172))</f>
        <v/>
      </c>
      <c r="N172" s="0">
        <f>D172*A172</f>
        <v/>
      </c>
      <c r="O172" s="0">
        <f>E172*A172</f>
        <v/>
      </c>
      <c r="P172" s="0">
        <f>-K172-M172-N172-O172</f>
        <v/>
      </c>
    </row>
    <row r="173">
      <c r="A173" s="0" t="n">
        <v>8.790480499999999</v>
      </c>
      <c r="B173" s="0" t="n">
        <v>0.41325</v>
      </c>
      <c r="C173" s="0">
        <f>A173*B173</f>
        <v/>
      </c>
      <c r="D173" s="0" t="n">
        <v>0.016</v>
      </c>
      <c r="E173" s="0" t="n">
        <v>0.008999999999999999</v>
      </c>
      <c r="F173" s="0">
        <f>A173*200</f>
        <v/>
      </c>
      <c r="G173" s="0">
        <f>-B173</f>
        <v/>
      </c>
      <c r="H173" s="0">
        <f>-C173*200</f>
        <v/>
      </c>
      <c r="I173" s="0" t="n">
        <v>1</v>
      </c>
      <c r="J173" s="0">
        <f>LN(F173/1000)</f>
        <v/>
      </c>
      <c r="K173" s="0">
        <f>((-G173)-$N$2)</f>
        <v/>
      </c>
      <c r="L173" s="0" t="n">
        <v>1</v>
      </c>
      <c r="M173" s="0">
        <f>-1*($S$4+($S$5*J173))</f>
        <v/>
      </c>
      <c r="N173" s="0">
        <f>D173*A173</f>
        <v/>
      </c>
      <c r="O173" s="0">
        <f>E173*A173</f>
        <v/>
      </c>
      <c r="P173" s="0">
        <f>-K173-M173-N173-O173</f>
        <v/>
      </c>
    </row>
    <row r="174">
      <c r="A174" s="0" t="n">
        <v>8.840889600000001</v>
      </c>
      <c r="B174" s="0" t="n">
        <v>0.41027</v>
      </c>
      <c r="C174" s="0">
        <f>A174*B174</f>
        <v/>
      </c>
      <c r="D174" s="0" t="n">
        <v>0.016</v>
      </c>
      <c r="E174" s="0" t="n">
        <v>0.008999999999999999</v>
      </c>
      <c r="F174" s="0">
        <f>A174*200</f>
        <v/>
      </c>
      <c r="G174" s="0">
        <f>-B174</f>
        <v/>
      </c>
      <c r="H174" s="0">
        <f>-C174*200</f>
        <v/>
      </c>
      <c r="I174" s="0" t="n">
        <v>1</v>
      </c>
      <c r="J174" s="0">
        <f>LN(F174/1000)</f>
        <v/>
      </c>
      <c r="K174" s="0">
        <f>((-G174)-$N$2)</f>
        <v/>
      </c>
      <c r="L174" s="0" t="n">
        <v>1</v>
      </c>
      <c r="M174" s="0">
        <f>-1*($S$4+($S$5*J174))</f>
        <v/>
      </c>
      <c r="N174" s="0">
        <f>D174*A174</f>
        <v/>
      </c>
      <c r="O174" s="0">
        <f>E174*A174</f>
        <v/>
      </c>
      <c r="P174" s="0">
        <f>-K174-M174-N174-O174</f>
        <v/>
      </c>
    </row>
    <row r="175">
      <c r="A175" s="0" t="n">
        <v>8.8948623</v>
      </c>
      <c r="B175" s="0" t="n">
        <v>0.40712</v>
      </c>
      <c r="C175" s="0">
        <f>A175*B175</f>
        <v/>
      </c>
      <c r="D175" s="0" t="n">
        <v>0.016</v>
      </c>
      <c r="E175" s="0" t="n">
        <v>0.008999999999999999</v>
      </c>
      <c r="F175" s="0">
        <f>A175*200</f>
        <v/>
      </c>
      <c r="G175" s="0">
        <f>-B175</f>
        <v/>
      </c>
      <c r="H175" s="0">
        <f>-C175*200</f>
        <v/>
      </c>
      <c r="I175" s="0" t="n">
        <v>1</v>
      </c>
      <c r="J175" s="0">
        <f>LN(F175/1000)</f>
        <v/>
      </c>
      <c r="K175" s="0">
        <f>((-G175)-$N$2)</f>
        <v/>
      </c>
      <c r="L175" s="0" t="n">
        <v>1</v>
      </c>
      <c r="M175" s="0">
        <f>-1*($S$4+($S$5*J175))</f>
        <v/>
      </c>
      <c r="N175" s="0">
        <f>D175*A175</f>
        <v/>
      </c>
      <c r="O175" s="0">
        <f>E175*A175</f>
        <v/>
      </c>
      <c r="P175" s="0">
        <f>-K175-M175-N175-O175</f>
        <v/>
      </c>
    </row>
    <row r="176">
      <c r="A176" s="0" t="n">
        <v>8.946289999999999</v>
      </c>
      <c r="B176" s="0" t="n">
        <v>0.40405</v>
      </c>
      <c r="C176" s="0">
        <f>A176*B176</f>
        <v/>
      </c>
      <c r="D176" s="0" t="n">
        <v>0.016</v>
      </c>
      <c r="E176" s="0" t="n">
        <v>0.008999999999999999</v>
      </c>
      <c r="F176" s="0">
        <f>A176*200</f>
        <v/>
      </c>
      <c r="G176" s="0">
        <f>-B176</f>
        <v/>
      </c>
      <c r="H176" s="0">
        <f>-C176*200</f>
        <v/>
      </c>
      <c r="I176" s="0" t="n">
        <v>1</v>
      </c>
      <c r="J176" s="0">
        <f>LN(F176/1000)</f>
        <v/>
      </c>
      <c r="K176" s="0">
        <f>((-G176)-$N$2)</f>
        <v/>
      </c>
      <c r="L176" s="0" t="n">
        <v>1</v>
      </c>
      <c r="M176" s="0">
        <f>-1*($S$4+($S$5*J176))</f>
        <v/>
      </c>
      <c r="N176" s="0">
        <f>D176*A176</f>
        <v/>
      </c>
      <c r="O176" s="0">
        <f>E176*A176</f>
        <v/>
      </c>
      <c r="P176" s="0">
        <f>-K176-M176-N176-O176</f>
        <v/>
      </c>
    </row>
    <row r="177">
      <c r="A177" s="0" t="n">
        <v>8.998226600000001</v>
      </c>
      <c r="B177" s="0" t="n">
        <v>0.40093</v>
      </c>
      <c r="C177" s="0">
        <f>A177*B177</f>
        <v/>
      </c>
      <c r="D177" s="0" t="n">
        <v>0.016</v>
      </c>
      <c r="E177" s="0" t="n">
        <v>0.008999999999999999</v>
      </c>
      <c r="F177" s="0">
        <f>A177*200</f>
        <v/>
      </c>
      <c r="G177" s="0">
        <f>-B177</f>
        <v/>
      </c>
      <c r="H177" s="0">
        <f>-C177*200</f>
        <v/>
      </c>
      <c r="I177" s="0" t="n">
        <v>1</v>
      </c>
      <c r="J177" s="0">
        <f>LN(F177/1000)</f>
        <v/>
      </c>
      <c r="K177" s="0">
        <f>((-G177)-$N$2)</f>
        <v/>
      </c>
      <c r="L177" s="0" t="n">
        <v>1</v>
      </c>
      <c r="M177" s="0">
        <f>-1*($S$4+($S$5*J177))</f>
        <v/>
      </c>
      <c r="N177" s="0">
        <f>D177*A177</f>
        <v/>
      </c>
      <c r="O177" s="0">
        <f>E177*A177</f>
        <v/>
      </c>
      <c r="P177" s="0">
        <f>-K177-M177-N177-O177</f>
        <v/>
      </c>
    </row>
    <row r="178">
      <c r="A178" s="0" t="n">
        <v>9.049144500000001</v>
      </c>
      <c r="B178" s="0" t="n">
        <v>0.39788</v>
      </c>
      <c r="C178" s="0">
        <f>A178*B178</f>
        <v/>
      </c>
      <c r="D178" s="0" t="n">
        <v>0.016</v>
      </c>
      <c r="E178" s="0" t="n">
        <v>0.008999999999999999</v>
      </c>
      <c r="F178" s="0">
        <f>A178*200</f>
        <v/>
      </c>
      <c r="G178" s="0">
        <f>-B178</f>
        <v/>
      </c>
      <c r="H178" s="0">
        <f>-C178*200</f>
        <v/>
      </c>
      <c r="I178" s="0" t="n">
        <v>1</v>
      </c>
      <c r="J178" s="0">
        <f>LN(F178/1000)</f>
        <v/>
      </c>
      <c r="K178" s="0">
        <f>((-G178)-$N$2)</f>
        <v/>
      </c>
      <c r="L178" s="0" t="n">
        <v>1</v>
      </c>
      <c r="M178" s="0">
        <f>-1*($S$4+($S$5*J178))</f>
        <v/>
      </c>
      <c r="N178" s="0">
        <f>D178*A178</f>
        <v/>
      </c>
      <c r="O178" s="0">
        <f>E178*A178</f>
        <v/>
      </c>
      <c r="P178" s="0">
        <f>-K178-M178-N178-O178</f>
        <v/>
      </c>
    </row>
    <row r="179">
      <c r="A179" s="0" t="n">
        <v>9.100573199999999</v>
      </c>
      <c r="B179" s="0" t="n">
        <v>0.39492</v>
      </c>
      <c r="C179" s="0">
        <f>A179*B179</f>
        <v/>
      </c>
      <c r="D179" s="0" t="n">
        <v>0.016</v>
      </c>
      <c r="E179" s="0" t="n">
        <v>0.008999999999999999</v>
      </c>
      <c r="F179" s="0">
        <f>A179*200</f>
        <v/>
      </c>
      <c r="G179" s="0">
        <f>-B179</f>
        <v/>
      </c>
      <c r="H179" s="0">
        <f>-C179*200</f>
        <v/>
      </c>
      <c r="I179" s="0" t="n">
        <v>1</v>
      </c>
      <c r="J179" s="0">
        <f>LN(F179/1000)</f>
        <v/>
      </c>
      <c r="K179" s="0">
        <f>((-G179)-$N$2)</f>
        <v/>
      </c>
      <c r="L179" s="0" t="n">
        <v>1</v>
      </c>
      <c r="M179" s="0">
        <f>-1*($S$4+($S$5*J179))</f>
        <v/>
      </c>
      <c r="N179" s="0">
        <f>D179*A179</f>
        <v/>
      </c>
      <c r="O179" s="0">
        <f>E179*A179</f>
        <v/>
      </c>
      <c r="P179" s="0">
        <f>-K179-M179-N179-O179</f>
        <v/>
      </c>
    </row>
    <row r="180">
      <c r="A180" s="0" t="n">
        <v>9.153018599999999</v>
      </c>
      <c r="B180" s="0" t="n">
        <v>0.39192</v>
      </c>
      <c r="C180" s="0">
        <f>A180*B180</f>
        <v/>
      </c>
      <c r="D180" s="0" t="n">
        <v>0.016</v>
      </c>
      <c r="E180" s="0" t="n">
        <v>0.008999999999999999</v>
      </c>
      <c r="F180" s="0">
        <f>A180*200</f>
        <v/>
      </c>
      <c r="G180" s="0">
        <f>-B180</f>
        <v/>
      </c>
      <c r="H180" s="0">
        <f>-C180*200</f>
        <v/>
      </c>
      <c r="I180" s="0" t="n">
        <v>1</v>
      </c>
      <c r="J180" s="0">
        <f>LN(F180/1000)</f>
        <v/>
      </c>
      <c r="K180" s="0">
        <f>((-G180)-$N$2)</f>
        <v/>
      </c>
      <c r="L180" s="0" t="n">
        <v>1</v>
      </c>
      <c r="M180" s="0">
        <f>-1*($S$4+($S$5*J180))</f>
        <v/>
      </c>
      <c r="N180" s="0">
        <f>D180*A180</f>
        <v/>
      </c>
      <c r="O180" s="0">
        <f>E180*A180</f>
        <v/>
      </c>
      <c r="P180" s="0">
        <f>-K180-M180-N180-O180</f>
        <v/>
      </c>
    </row>
    <row r="181">
      <c r="A181" s="0" t="n">
        <v>9.203936499999999</v>
      </c>
      <c r="B181" s="0" t="n">
        <v>0.38868</v>
      </c>
      <c r="C181" s="0">
        <f>A181*B181</f>
        <v/>
      </c>
      <c r="D181" s="0" t="n">
        <v>0.016</v>
      </c>
      <c r="E181" s="0" t="n">
        <v>0.008999999999999999</v>
      </c>
      <c r="F181" s="0">
        <f>A181*200</f>
        <v/>
      </c>
      <c r="G181" s="0">
        <f>-B181</f>
        <v/>
      </c>
      <c r="H181" s="0">
        <f>-C181*200</f>
        <v/>
      </c>
      <c r="I181" s="0" t="n">
        <v>1</v>
      </c>
      <c r="J181" s="0">
        <f>LN(F181/1000)</f>
        <v/>
      </c>
      <c r="K181" s="0">
        <f>((-G181)-$N$2)</f>
        <v/>
      </c>
      <c r="L181" s="0" t="n">
        <v>1</v>
      </c>
      <c r="M181" s="0">
        <f>-1*($S$4+($S$5*J181))</f>
        <v/>
      </c>
      <c r="N181" s="0">
        <f>D181*A181</f>
        <v/>
      </c>
      <c r="O181" s="0">
        <f>E181*A181</f>
        <v/>
      </c>
      <c r="P181" s="0">
        <f>-K181-M181-N181-O181</f>
        <v/>
      </c>
    </row>
    <row r="182">
      <c r="A182" s="0" t="n">
        <v>9.2568926</v>
      </c>
      <c r="B182" s="0" t="n">
        <v>0.38551</v>
      </c>
      <c r="C182" s="0">
        <f>A182*B182</f>
        <v/>
      </c>
      <c r="D182" s="0" t="n">
        <v>0.016</v>
      </c>
      <c r="E182" s="0" t="n">
        <v>0.008999999999999999</v>
      </c>
      <c r="F182" s="0">
        <f>A182*200</f>
        <v/>
      </c>
      <c r="G182" s="0">
        <f>-B182</f>
        <v/>
      </c>
      <c r="H182" s="0">
        <f>-C182*200</f>
        <v/>
      </c>
      <c r="I182" s="0" t="n">
        <v>1</v>
      </c>
      <c r="J182" s="0">
        <f>LN(F182/1000)</f>
        <v/>
      </c>
      <c r="K182" s="0">
        <f>((-G182)-$N$2)</f>
        <v/>
      </c>
      <c r="L182" s="0" t="n">
        <v>1</v>
      </c>
      <c r="M182" s="0">
        <f>-1*($S$4+($S$5*J182))</f>
        <v/>
      </c>
      <c r="N182" s="0">
        <f>D182*A182</f>
        <v/>
      </c>
      <c r="O182" s="0">
        <f>E182*A182</f>
        <v/>
      </c>
      <c r="P182" s="0">
        <f>-K182-M182-N182-O182</f>
        <v/>
      </c>
    </row>
    <row r="183">
      <c r="A183" s="0" t="n">
        <v>9.308319300000001</v>
      </c>
      <c r="B183" s="0" t="n">
        <v>0.38259</v>
      </c>
      <c r="C183" s="0">
        <f>A183*B183</f>
        <v/>
      </c>
      <c r="D183" s="0" t="n">
        <v>0.016</v>
      </c>
      <c r="E183" s="0" t="n">
        <v>0.008999999999999999</v>
      </c>
      <c r="F183" s="0">
        <f>A183*200</f>
        <v/>
      </c>
      <c r="G183" s="0">
        <f>-B183</f>
        <v/>
      </c>
      <c r="H183" s="0">
        <f>-C183*200</f>
        <v/>
      </c>
      <c r="I183" s="0" t="n">
        <v>1</v>
      </c>
      <c r="J183" s="0">
        <f>LN(F183/1000)</f>
        <v/>
      </c>
      <c r="K183" s="0">
        <f>((-G183)-$N$2)</f>
        <v/>
      </c>
      <c r="L183" s="0" t="n">
        <v>1</v>
      </c>
      <c r="M183" s="0">
        <f>-1*($S$4+($S$5*J183))</f>
        <v/>
      </c>
      <c r="N183" s="0">
        <f>D183*A183</f>
        <v/>
      </c>
      <c r="O183" s="0">
        <f>E183*A183</f>
        <v/>
      </c>
      <c r="P183" s="0">
        <f>-K183-M183-N183-O183</f>
        <v/>
      </c>
    </row>
    <row r="184">
      <c r="A184" s="0" t="n">
        <v>9.361784200000001</v>
      </c>
      <c r="B184" s="0" t="n">
        <v>0.37955</v>
      </c>
      <c r="C184" s="0">
        <f>A184*B184</f>
        <v/>
      </c>
      <c r="D184" s="0" t="n">
        <v>0.016</v>
      </c>
      <c r="E184" s="0" t="n">
        <v>0.008999999999999999</v>
      </c>
      <c r="F184" s="0">
        <f>A184*200</f>
        <v/>
      </c>
      <c r="G184" s="0">
        <f>-B184</f>
        <v/>
      </c>
      <c r="H184" s="0">
        <f>-C184*200</f>
        <v/>
      </c>
      <c r="I184" s="0" t="n">
        <v>1</v>
      </c>
      <c r="J184" s="0">
        <f>LN(F184/1000)</f>
        <v/>
      </c>
      <c r="K184" s="0">
        <f>((-G184)-$N$2)</f>
        <v/>
      </c>
      <c r="L184" s="0" t="n">
        <v>1</v>
      </c>
      <c r="M184" s="0">
        <f>-1*($S$4+($S$5*J184))</f>
        <v/>
      </c>
      <c r="N184" s="0">
        <f>D184*A184</f>
        <v/>
      </c>
      <c r="O184" s="0">
        <f>E184*A184</f>
        <v/>
      </c>
      <c r="P184" s="0">
        <f>-K184-M184-N184-O184</f>
        <v/>
      </c>
    </row>
    <row r="185">
      <c r="A185" s="0" t="n">
        <v>9.4121934</v>
      </c>
      <c r="B185" s="0" t="n">
        <v>0.37604</v>
      </c>
      <c r="C185" s="0">
        <f>A185*B185</f>
        <v/>
      </c>
      <c r="D185" s="0" t="n">
        <v>0.016</v>
      </c>
      <c r="E185" s="0" t="n">
        <v>0.008999999999999999</v>
      </c>
      <c r="F185" s="0">
        <f>A185*200</f>
        <v/>
      </c>
      <c r="G185" s="0">
        <f>-B185</f>
        <v/>
      </c>
      <c r="H185" s="0">
        <f>-C185*200</f>
        <v/>
      </c>
      <c r="I185" s="0" t="n">
        <v>1</v>
      </c>
      <c r="J185" s="0">
        <f>LN(F185/1000)</f>
        <v/>
      </c>
      <c r="K185" s="0">
        <f>((-G185)-$N$2)</f>
        <v/>
      </c>
      <c r="L185" s="0" t="n">
        <v>1</v>
      </c>
      <c r="M185" s="0">
        <f>-1*($S$4+($S$5*J185))</f>
        <v/>
      </c>
      <c r="N185" s="0">
        <f>D185*A185</f>
        <v/>
      </c>
      <c r="O185" s="0">
        <f>E185*A185</f>
        <v/>
      </c>
      <c r="P185" s="0">
        <f>-K185-M185-N185-O185</f>
        <v/>
      </c>
    </row>
    <row r="186">
      <c r="A186" s="0" t="n">
        <v>9.462602499999999</v>
      </c>
      <c r="B186" s="0" t="n">
        <v>0.37331</v>
      </c>
      <c r="C186" s="0">
        <f>A186*B186</f>
        <v/>
      </c>
      <c r="D186" s="0" t="n">
        <v>0.016</v>
      </c>
      <c r="E186" s="0" t="n">
        <v>0.008999999999999999</v>
      </c>
      <c r="F186" s="0">
        <f>A186*200</f>
        <v/>
      </c>
      <c r="G186" s="0">
        <f>-B186</f>
        <v/>
      </c>
      <c r="H186" s="0">
        <f>-C186*200</f>
        <v/>
      </c>
      <c r="I186" s="0" t="n">
        <v>1</v>
      </c>
      <c r="J186" s="0">
        <f>LN(F186/1000)</f>
        <v/>
      </c>
      <c r="K186" s="0">
        <f>((-G186)-$N$2)</f>
        <v/>
      </c>
      <c r="L186" s="0" t="n">
        <v>1</v>
      </c>
      <c r="M186" s="0">
        <f>-1*($S$4+($S$5*J186))</f>
        <v/>
      </c>
      <c r="N186" s="0">
        <f>D186*A186</f>
        <v/>
      </c>
      <c r="O186" s="0">
        <f>E186*A186</f>
        <v/>
      </c>
      <c r="P186" s="0">
        <f>-K186-M186-N186-O186</f>
        <v/>
      </c>
    </row>
    <row r="187">
      <c r="A187" s="0" t="n">
        <v>9.5135205</v>
      </c>
      <c r="B187" s="0" t="n">
        <v>0.37027</v>
      </c>
      <c r="C187" s="0">
        <f>A187*B187</f>
        <v/>
      </c>
      <c r="D187" s="0" t="n">
        <v>0.016</v>
      </c>
      <c r="E187" s="0" t="n">
        <v>0.008999999999999999</v>
      </c>
      <c r="F187" s="0">
        <f>A187*200</f>
        <v/>
      </c>
      <c r="G187" s="0">
        <f>-B187</f>
        <v/>
      </c>
      <c r="H187" s="0">
        <f>-C187*200</f>
        <v/>
      </c>
      <c r="I187" s="0" t="n">
        <v>1</v>
      </c>
      <c r="J187" s="0">
        <f>LN(F187/1000)</f>
        <v/>
      </c>
      <c r="K187" s="0">
        <f>((-G187)-$N$2)</f>
        <v/>
      </c>
      <c r="L187" s="0" t="n">
        <v>1</v>
      </c>
      <c r="M187" s="0">
        <f>-1*($S$4+($S$5*J187))</f>
        <v/>
      </c>
      <c r="N187" s="0">
        <f>D187*A187</f>
        <v/>
      </c>
      <c r="O187" s="0">
        <f>E187*A187</f>
        <v/>
      </c>
      <c r="P187" s="0">
        <f>-K187-M187-N187-O187</f>
        <v/>
      </c>
    </row>
    <row r="188">
      <c r="A188" s="0" t="n">
        <v>9.563929699999999</v>
      </c>
      <c r="B188" s="0" t="n">
        <v>0.36716</v>
      </c>
      <c r="C188" s="0">
        <f>A188*B188</f>
        <v/>
      </c>
      <c r="D188" s="0" t="n">
        <v>0.016</v>
      </c>
      <c r="E188" s="0" t="n">
        <v>0.008999999999999999</v>
      </c>
      <c r="F188" s="0">
        <f>A188*200</f>
        <v/>
      </c>
      <c r="G188" s="0">
        <f>-B188</f>
        <v/>
      </c>
      <c r="H188" s="0">
        <f>-C188*200</f>
        <v/>
      </c>
      <c r="I188" s="0" t="n">
        <v>1</v>
      </c>
      <c r="J188" s="0">
        <f>LN(F188/1000)</f>
        <v/>
      </c>
      <c r="K188" s="0">
        <f>((-G188)-$N$2)</f>
        <v/>
      </c>
      <c r="L188" s="0" t="n">
        <v>1</v>
      </c>
      <c r="M188" s="0">
        <f>-1*($S$4+($S$5*J188))</f>
        <v/>
      </c>
      <c r="N188" s="0">
        <f>D188*A188</f>
        <v/>
      </c>
      <c r="O188" s="0">
        <f>E188*A188</f>
        <v/>
      </c>
      <c r="P188" s="0">
        <f>-K188-M188-N188-O188</f>
        <v/>
      </c>
    </row>
    <row r="189">
      <c r="A189" s="0" t="n">
        <v>9.6148477</v>
      </c>
      <c r="B189" s="0" t="n">
        <v>0.36399</v>
      </c>
      <c r="C189" s="0">
        <f>A189*B189</f>
        <v/>
      </c>
      <c r="D189" s="0" t="n">
        <v>0.016</v>
      </c>
      <c r="E189" s="0" t="n">
        <v>0.008999999999999999</v>
      </c>
      <c r="F189" s="0">
        <f>A189*200</f>
        <v/>
      </c>
      <c r="G189" s="0">
        <f>-B189</f>
        <v/>
      </c>
      <c r="H189" s="0">
        <f>-C189*200</f>
        <v/>
      </c>
      <c r="I189" s="0" t="n">
        <v>1</v>
      </c>
      <c r="J189" s="0">
        <f>LN(F189/1000)</f>
        <v/>
      </c>
      <c r="K189" s="0">
        <f>((-G189)-$N$2)</f>
        <v/>
      </c>
      <c r="L189" s="0" t="n">
        <v>1</v>
      </c>
      <c r="M189" s="0">
        <f>-1*($S$4+($S$5*J189))</f>
        <v/>
      </c>
      <c r="N189" s="0">
        <f>D189*A189</f>
        <v/>
      </c>
      <c r="O189" s="0">
        <f>E189*A189</f>
        <v/>
      </c>
      <c r="P189" s="0">
        <f>-K189-M189-N189-O189</f>
        <v/>
      </c>
    </row>
    <row r="190">
      <c r="A190" s="0" t="n">
        <v>9.6667852</v>
      </c>
      <c r="B190" s="0" t="n">
        <v>0.36092</v>
      </c>
      <c r="C190" s="0">
        <f>A190*B190</f>
        <v/>
      </c>
      <c r="D190" s="0" t="n">
        <v>0.016</v>
      </c>
      <c r="E190" s="0" t="n">
        <v>0.008999999999999999</v>
      </c>
      <c r="F190" s="0">
        <f>A190*200</f>
        <v/>
      </c>
      <c r="G190" s="0">
        <f>-B190</f>
        <v/>
      </c>
      <c r="H190" s="0">
        <f>-C190*200</f>
        <v/>
      </c>
      <c r="I190" s="0" t="n">
        <v>1</v>
      </c>
      <c r="J190" s="0">
        <f>LN(F190/1000)</f>
        <v/>
      </c>
      <c r="K190" s="0">
        <f>((-G190)-$N$2)</f>
        <v/>
      </c>
      <c r="L190" s="0" t="n">
        <v>1</v>
      </c>
      <c r="M190" s="0">
        <f>-1*($S$4+($S$5*J190))</f>
        <v/>
      </c>
      <c r="N190" s="0">
        <f>D190*A190</f>
        <v/>
      </c>
      <c r="O190" s="0">
        <f>E190*A190</f>
        <v/>
      </c>
      <c r="P190" s="0">
        <f>-K190-M190-N190-O190</f>
        <v/>
      </c>
    </row>
    <row r="191">
      <c r="A191" s="0" t="n">
        <v>9.720249000000001</v>
      </c>
      <c r="B191" s="0" t="n">
        <v>0.35757</v>
      </c>
      <c r="C191" s="0">
        <f>A191*B191</f>
        <v/>
      </c>
      <c r="D191" s="0" t="n">
        <v>0.016</v>
      </c>
      <c r="E191" s="0" t="n">
        <v>0.008999999999999999</v>
      </c>
      <c r="F191" s="0">
        <f>A191*200</f>
        <v/>
      </c>
      <c r="G191" s="0">
        <f>-B191</f>
        <v/>
      </c>
      <c r="H191" s="0">
        <f>-C191*200</f>
        <v/>
      </c>
      <c r="I191" s="0" t="n">
        <v>1</v>
      </c>
      <c r="J191" s="0">
        <f>LN(F191/1000)</f>
        <v/>
      </c>
      <c r="K191" s="0">
        <f>((-G191)-$N$2)</f>
        <v/>
      </c>
      <c r="L191" s="0" t="n">
        <v>1</v>
      </c>
      <c r="M191" s="0">
        <f>-1*($S$4+($S$5*J191))</f>
        <v/>
      </c>
      <c r="N191" s="0">
        <f>D191*A191</f>
        <v/>
      </c>
      <c r="O191" s="0">
        <f>E191*A191</f>
        <v/>
      </c>
      <c r="P191" s="0">
        <f>-K191-M191-N191-O191</f>
        <v/>
      </c>
    </row>
    <row r="192">
      <c r="A192" s="0" t="n">
        <v>9.772185500000001</v>
      </c>
      <c r="B192" s="0" t="n">
        <v>0.35452</v>
      </c>
      <c r="C192" s="0">
        <f>A192*B192</f>
        <v/>
      </c>
      <c r="D192" s="0" t="n">
        <v>0.016</v>
      </c>
      <c r="E192" s="0" t="n">
        <v>0.008999999999999999</v>
      </c>
      <c r="F192" s="0">
        <f>A192*200</f>
        <v/>
      </c>
      <c r="G192" s="0">
        <f>-B192</f>
        <v/>
      </c>
      <c r="H192" s="0">
        <f>-C192*200</f>
        <v/>
      </c>
      <c r="I192" s="0" t="n">
        <v>1</v>
      </c>
      <c r="J192" s="0">
        <f>LN(F192/1000)</f>
        <v/>
      </c>
      <c r="K192" s="0">
        <f>((-G192)-$N$2)</f>
        <v/>
      </c>
      <c r="L192" s="0" t="n">
        <v>1</v>
      </c>
      <c r="M192" s="0">
        <f>-1*($S$4+($S$5*J192))</f>
        <v/>
      </c>
      <c r="N192" s="0">
        <f>D192*A192</f>
        <v/>
      </c>
      <c r="O192" s="0">
        <f>E192*A192</f>
        <v/>
      </c>
      <c r="P192" s="0">
        <f>-K192-M192-N192-O192</f>
        <v/>
      </c>
    </row>
    <row r="193">
      <c r="A193" s="0" t="n">
        <v>9.823104499999999</v>
      </c>
      <c r="B193" s="0" t="n">
        <v>0.35148</v>
      </c>
      <c r="C193" s="0">
        <f>A193*B193</f>
        <v/>
      </c>
      <c r="D193" s="0" t="n">
        <v>0.016</v>
      </c>
      <c r="E193" s="0" t="n">
        <v>0.008999999999999999</v>
      </c>
      <c r="F193" s="0">
        <f>A193*200</f>
        <v/>
      </c>
      <c r="G193" s="0">
        <f>-B193</f>
        <v/>
      </c>
      <c r="H193" s="0">
        <f>-C193*200</f>
        <v/>
      </c>
      <c r="I193" s="0" t="n">
        <v>1</v>
      </c>
      <c r="J193" s="0">
        <f>LN(F193/1000)</f>
        <v/>
      </c>
      <c r="K193" s="0">
        <f>((-G193)-$N$2)</f>
        <v/>
      </c>
      <c r="L193" s="0" t="n">
        <v>1</v>
      </c>
      <c r="M193" s="0">
        <f>-1*($S$4+($S$5*J193))</f>
        <v/>
      </c>
      <c r="N193" s="0">
        <f>D193*A193</f>
        <v/>
      </c>
      <c r="O193" s="0">
        <f>E193*A193</f>
        <v/>
      </c>
      <c r="P193" s="0">
        <f>-K193-M193-N193-O193</f>
        <v/>
      </c>
    </row>
    <row r="194">
      <c r="A194" s="0" t="n">
        <v>9.8740215</v>
      </c>
      <c r="B194" s="0" t="n">
        <v>0.34841</v>
      </c>
      <c r="C194" s="0">
        <f>A194*B194</f>
        <v/>
      </c>
      <c r="D194" s="0" t="n">
        <v>0.016</v>
      </c>
      <c r="E194" s="0" t="n">
        <v>0.008999999999999999</v>
      </c>
      <c r="F194" s="0">
        <f>A194*200</f>
        <v/>
      </c>
      <c r="G194" s="0">
        <f>-B194</f>
        <v/>
      </c>
      <c r="H194" s="0">
        <f>-C194*200</f>
        <v/>
      </c>
      <c r="I194" s="0" t="n">
        <v>1</v>
      </c>
      <c r="J194" s="0">
        <f>LN(F194/1000)</f>
        <v/>
      </c>
      <c r="K194" s="0">
        <f>((-G194)-$N$2)</f>
        <v/>
      </c>
      <c r="L194" s="0" t="n">
        <v>1</v>
      </c>
      <c r="M194" s="0">
        <f>-1*($S$4+($S$5*J194))</f>
        <v/>
      </c>
      <c r="N194" s="0">
        <f>D194*A194</f>
        <v/>
      </c>
      <c r="O194" s="0">
        <f>E194*A194</f>
        <v/>
      </c>
      <c r="P194" s="0">
        <f>-K194-M194-N194-O194</f>
        <v/>
      </c>
    </row>
    <row r="195">
      <c r="A195" s="0" t="n">
        <v>9.9244316</v>
      </c>
      <c r="B195" s="0" t="n">
        <v>0.34555</v>
      </c>
      <c r="C195" s="0">
        <f>A195*B195</f>
        <v/>
      </c>
      <c r="D195" s="0" t="n">
        <v>0.016</v>
      </c>
      <c r="E195" s="0" t="n">
        <v>0.008999999999999999</v>
      </c>
      <c r="F195" s="0">
        <f>A195*200</f>
        <v/>
      </c>
      <c r="G195" s="0">
        <f>-B195</f>
        <v/>
      </c>
      <c r="H195" s="0">
        <f>-C195*200</f>
        <v/>
      </c>
      <c r="I195" s="0" t="n">
        <v>1</v>
      </c>
      <c r="J195" s="0">
        <f>LN(F195/1000)</f>
        <v/>
      </c>
      <c r="K195" s="0">
        <f>((-G195)-$N$2)</f>
        <v/>
      </c>
      <c r="L195" s="0" t="n">
        <v>1</v>
      </c>
      <c r="M195" s="0">
        <f>-1*($S$4+($S$5*J195))</f>
        <v/>
      </c>
      <c r="N195" s="0">
        <f>D195*A195</f>
        <v/>
      </c>
      <c r="O195" s="0">
        <f>E195*A195</f>
        <v/>
      </c>
      <c r="P195" s="0">
        <f>-K195-M195-N195-O195</f>
        <v/>
      </c>
    </row>
    <row r="196">
      <c r="A196" s="0" t="n">
        <v>9.9748398</v>
      </c>
      <c r="B196" s="0" t="n">
        <v>0.34226</v>
      </c>
      <c r="C196" s="0">
        <f>A196*B196</f>
        <v/>
      </c>
      <c r="D196" s="0" t="n">
        <v>0.016</v>
      </c>
      <c r="E196" s="0" t="n">
        <v>0.008999999999999999</v>
      </c>
      <c r="F196" s="0">
        <f>A196*200</f>
        <v/>
      </c>
      <c r="G196" s="0">
        <f>-B196</f>
        <v/>
      </c>
      <c r="H196" s="0">
        <f>-C196*200</f>
        <v/>
      </c>
      <c r="I196" s="0" t="n">
        <v>1</v>
      </c>
      <c r="J196" s="0">
        <f>LN(F196/1000)</f>
        <v/>
      </c>
      <c r="K196" s="0">
        <f>((-G196)-$N$2)</f>
        <v/>
      </c>
      <c r="L196" s="0" t="n">
        <v>1</v>
      </c>
      <c r="M196" s="0">
        <f>-1*($S$4+($S$5*J196))</f>
        <v/>
      </c>
      <c r="N196" s="0">
        <f>D196*A196</f>
        <v/>
      </c>
      <c r="O196" s="0">
        <f>E196*A196</f>
        <v/>
      </c>
      <c r="P196" s="0">
        <f>-K196-M196-N196-O196</f>
        <v/>
      </c>
    </row>
    <row r="197">
      <c r="A197" s="0" t="n">
        <v>10.025249</v>
      </c>
      <c r="B197" s="0" t="n">
        <v>0.33938</v>
      </c>
      <c r="C197" s="0">
        <f>A197*B197</f>
        <v/>
      </c>
      <c r="D197" s="0" t="n">
        <v>0.016</v>
      </c>
      <c r="E197" s="0" t="n">
        <v>0.008999999999999999</v>
      </c>
      <c r="F197" s="0">
        <f>A197*200</f>
        <v/>
      </c>
      <c r="G197" s="0">
        <f>-B197</f>
        <v/>
      </c>
      <c r="H197" s="0">
        <f>-C197*200</f>
        <v/>
      </c>
      <c r="I197" s="0" t="n">
        <v>1</v>
      </c>
      <c r="J197" s="0">
        <f>LN(F197/1000)</f>
        <v/>
      </c>
      <c r="K197" s="0">
        <f>((-G197)-$N$2)</f>
        <v/>
      </c>
      <c r="L197" s="0" t="n">
        <v>1</v>
      </c>
      <c r="M197" s="0">
        <f>-1*($S$4+($S$5*J197))</f>
        <v/>
      </c>
      <c r="N197" s="0">
        <f>D197*A197</f>
        <v/>
      </c>
      <c r="O197" s="0">
        <f>E197*A197</f>
        <v/>
      </c>
      <c r="P197" s="0">
        <f>-K197-M197-N197-O197</f>
        <v/>
      </c>
    </row>
    <row r="198">
      <c r="A198" s="0" t="n">
        <v>10.076677</v>
      </c>
      <c r="B198" s="0" t="n">
        <v>0.33604</v>
      </c>
      <c r="C198" s="0">
        <f>A198*B198</f>
        <v/>
      </c>
      <c r="D198" s="0" t="n">
        <v>0.016</v>
      </c>
      <c r="E198" s="0" t="n">
        <v>0.008999999999999999</v>
      </c>
      <c r="F198" s="0">
        <f>A198*200</f>
        <v/>
      </c>
      <c r="G198" s="0">
        <f>-B198</f>
        <v/>
      </c>
      <c r="H198" s="0">
        <f>-C198*200</f>
        <v/>
      </c>
      <c r="I198" s="0" t="n">
        <v>1</v>
      </c>
      <c r="J198" s="0">
        <f>LN(F198/1000)</f>
        <v/>
      </c>
      <c r="K198" s="0">
        <f>((-G198)-$N$2)</f>
        <v/>
      </c>
      <c r="L198" s="0" t="n">
        <v>1</v>
      </c>
      <c r="M198" s="0">
        <f>-1*($S$4+($S$5*J198))</f>
        <v/>
      </c>
      <c r="N198" s="0">
        <f>D198*A198</f>
        <v/>
      </c>
      <c r="O198" s="0">
        <f>E198*A198</f>
        <v/>
      </c>
      <c r="P198" s="0">
        <f>-K198-M198-N198-O198</f>
        <v/>
      </c>
    </row>
    <row r="199">
      <c r="A199" s="0" t="n">
        <v>10.129632</v>
      </c>
      <c r="B199" s="0" t="n">
        <v>0.33312</v>
      </c>
      <c r="C199" s="0">
        <f>A199*B199</f>
        <v/>
      </c>
      <c r="D199" s="0" t="n">
        <v>0.016</v>
      </c>
      <c r="E199" s="0" t="n">
        <v>0.008999999999999999</v>
      </c>
      <c r="F199" s="0">
        <f>A199*200</f>
        <v/>
      </c>
      <c r="G199" s="0">
        <f>-B199</f>
        <v/>
      </c>
      <c r="H199" s="0">
        <f>-C199*200</f>
        <v/>
      </c>
      <c r="I199" s="0" t="n">
        <v>1</v>
      </c>
      <c r="J199" s="0">
        <f>LN(F199/1000)</f>
        <v/>
      </c>
      <c r="K199" s="0">
        <f>((-G199)-$N$2)</f>
        <v/>
      </c>
      <c r="L199" s="0" t="n">
        <v>1</v>
      </c>
      <c r="M199" s="0">
        <f>-1*($S$4+($S$5*J199))</f>
        <v/>
      </c>
      <c r="N199" s="0">
        <f>D199*A199</f>
        <v/>
      </c>
      <c r="O199" s="0">
        <f>E199*A199</f>
        <v/>
      </c>
      <c r="P199" s="0">
        <f>-K199-M199-N199-O199</f>
        <v/>
      </c>
    </row>
    <row r="200">
      <c r="A200" s="0" t="n">
        <v>10.18106</v>
      </c>
      <c r="B200" s="0" t="n">
        <v>0.32962</v>
      </c>
      <c r="C200" s="0">
        <f>A200*B200</f>
        <v/>
      </c>
      <c r="D200" s="0" t="n">
        <v>0.016</v>
      </c>
      <c r="E200" s="0" t="n">
        <v>0.008999999999999999</v>
      </c>
      <c r="F200" s="0">
        <f>A200*200</f>
        <v/>
      </c>
      <c r="G200" s="0">
        <f>-B200</f>
        <v/>
      </c>
      <c r="H200" s="0">
        <f>-C200*200</f>
        <v/>
      </c>
      <c r="I200" s="0" t="n">
        <v>1</v>
      </c>
      <c r="J200" s="0">
        <f>LN(F200/1000)</f>
        <v/>
      </c>
      <c r="K200" s="0">
        <f>((-G200)-$N$2)</f>
        <v/>
      </c>
      <c r="L200" s="0" t="n">
        <v>1</v>
      </c>
      <c r="M200" s="0">
        <f>-1*($S$4+($S$5*J200))</f>
        <v/>
      </c>
      <c r="N200" s="0">
        <f>D200*A200</f>
        <v/>
      </c>
      <c r="O200" s="0">
        <f>E200*A200</f>
        <v/>
      </c>
      <c r="P200" s="0">
        <f>-K200-M200-N200-O200</f>
        <v/>
      </c>
    </row>
    <row r="201">
      <c r="A201" s="0" t="n">
        <v>10.232996</v>
      </c>
      <c r="B201" s="0" t="n">
        <v>0.32657</v>
      </c>
      <c r="C201" s="0">
        <f>A201*B201</f>
        <v/>
      </c>
      <c r="D201" s="0" t="n">
        <v>0.016</v>
      </c>
      <c r="E201" s="0" t="n">
        <v>0.008999999999999999</v>
      </c>
      <c r="F201" s="0">
        <f>A201*200</f>
        <v/>
      </c>
      <c r="G201" s="0">
        <f>-B201</f>
        <v/>
      </c>
      <c r="H201" s="0">
        <f>-C201*200</f>
        <v/>
      </c>
      <c r="I201" s="0" t="n">
        <v>1</v>
      </c>
      <c r="J201" s="0">
        <f>LN(F201/1000)</f>
        <v/>
      </c>
      <c r="K201" s="0">
        <f>((-G201)-$N$2)</f>
        <v/>
      </c>
      <c r="L201" s="0" t="n">
        <v>1</v>
      </c>
      <c r="M201" s="0">
        <f>-1*($S$4+($S$5*J201))</f>
        <v/>
      </c>
      <c r="N201" s="0">
        <f>D201*A201</f>
        <v/>
      </c>
      <c r="O201" s="0">
        <f>E201*A201</f>
        <v/>
      </c>
      <c r="P201" s="0">
        <f>-K201-M201-N201-O201</f>
        <v/>
      </c>
    </row>
    <row r="202">
      <c r="A202" s="0" t="n">
        <v>10.285951</v>
      </c>
      <c r="B202" s="0" t="n">
        <v>0.32372</v>
      </c>
      <c r="C202" s="0">
        <f>A202*B202</f>
        <v/>
      </c>
      <c r="D202" s="0" t="n">
        <v>0.016</v>
      </c>
      <c r="E202" s="0" t="n">
        <v>0.008999999999999999</v>
      </c>
      <c r="F202" s="0">
        <f>A202*200</f>
        <v/>
      </c>
      <c r="G202" s="0">
        <f>-B202</f>
        <v/>
      </c>
      <c r="H202" s="0">
        <f>-C202*200</f>
        <v/>
      </c>
      <c r="I202" s="0" t="n">
        <v>1</v>
      </c>
      <c r="J202" s="0">
        <f>LN(F202/1000)</f>
        <v/>
      </c>
      <c r="K202" s="0">
        <f>((-G202)-$N$2)</f>
        <v/>
      </c>
      <c r="L202" s="0" t="n">
        <v>1</v>
      </c>
      <c r="M202" s="0">
        <f>-1*($S$4+($S$5*J202))</f>
        <v/>
      </c>
      <c r="N202" s="0">
        <f>D202*A202</f>
        <v/>
      </c>
      <c r="O202" s="0">
        <f>E202*A202</f>
        <v/>
      </c>
      <c r="P202" s="0">
        <f>-K202-M202-N202-O202</f>
        <v/>
      </c>
    </row>
    <row r="203">
      <c r="A203" s="0" t="n">
        <v>10.337378</v>
      </c>
      <c r="B203" s="0" t="n">
        <v>0.32027</v>
      </c>
      <c r="C203" s="0">
        <f>A203*B203</f>
        <v/>
      </c>
      <c r="D203" s="0" t="n">
        <v>0.016</v>
      </c>
      <c r="E203" s="0" t="n">
        <v>0.008999999999999999</v>
      </c>
      <c r="F203" s="0">
        <f>A203*200</f>
        <v/>
      </c>
      <c r="G203" s="0">
        <f>-B203</f>
        <v/>
      </c>
      <c r="H203" s="0">
        <f>-C203*200</f>
        <v/>
      </c>
      <c r="I203" s="0" t="n">
        <v>1</v>
      </c>
      <c r="J203" s="0">
        <f>LN(F203/1000)</f>
        <v/>
      </c>
      <c r="K203" s="0">
        <f>((-G203)-$N$2)</f>
        <v/>
      </c>
      <c r="L203" s="0" t="n">
        <v>1</v>
      </c>
      <c r="M203" s="0">
        <f>-1*($S$4+($S$5*J203))</f>
        <v/>
      </c>
      <c r="N203" s="0">
        <f>D203*A203</f>
        <v/>
      </c>
      <c r="O203" s="0">
        <f>E203*A203</f>
        <v/>
      </c>
      <c r="P203" s="0">
        <f>-K203-M203-N203-O203</f>
        <v/>
      </c>
    </row>
    <row r="204">
      <c r="A204" s="0" t="n">
        <v>10.390843</v>
      </c>
      <c r="B204" s="0" t="n">
        <v>0.31712</v>
      </c>
      <c r="C204" s="0">
        <f>A204*B204</f>
        <v/>
      </c>
      <c r="D204" s="0" t="n">
        <v>0.016</v>
      </c>
      <c r="E204" s="0" t="n">
        <v>0.008999999999999999</v>
      </c>
      <c r="F204" s="0">
        <f>A204*200</f>
        <v/>
      </c>
      <c r="G204" s="0">
        <f>-B204</f>
        <v/>
      </c>
      <c r="H204" s="0">
        <f>-C204*200</f>
        <v/>
      </c>
      <c r="I204" s="0" t="n">
        <v>1</v>
      </c>
      <c r="J204" s="0">
        <f>LN(F204/1000)</f>
        <v/>
      </c>
      <c r="K204" s="0">
        <f>((-G204)-$N$2)</f>
        <v/>
      </c>
      <c r="L204" s="0" t="n">
        <v>1</v>
      </c>
      <c r="M204" s="0">
        <f>-1*($S$4+($S$5*J204))</f>
        <v/>
      </c>
      <c r="N204" s="0">
        <f>D204*A204</f>
        <v/>
      </c>
      <c r="O204" s="0">
        <f>E204*A204</f>
        <v/>
      </c>
      <c r="P204" s="0">
        <f>-K204-M204-N204-O204</f>
        <v/>
      </c>
    </row>
    <row r="205">
      <c r="A205" s="0" t="n">
        <v>10.442779</v>
      </c>
      <c r="B205" s="0" t="n">
        <v>0.31383</v>
      </c>
      <c r="C205" s="0">
        <f>A205*B205</f>
        <v/>
      </c>
      <c r="D205" s="0" t="n">
        <v>0.016</v>
      </c>
      <c r="E205" s="0" t="n">
        <v>0.008999999999999999</v>
      </c>
      <c r="F205" s="0">
        <f>A205*200</f>
        <v/>
      </c>
      <c r="G205" s="0">
        <f>-B205</f>
        <v/>
      </c>
      <c r="H205" s="0">
        <f>-C205*200</f>
        <v/>
      </c>
      <c r="I205" s="0" t="n">
        <v>1</v>
      </c>
      <c r="J205" s="0">
        <f>LN(F205/1000)</f>
        <v/>
      </c>
      <c r="K205" s="0">
        <f>((-G205)-$N$2)</f>
        <v/>
      </c>
      <c r="L205" s="0" t="n">
        <v>1</v>
      </c>
      <c r="M205" s="0">
        <f>-1*($S$4+($S$5*J205))</f>
        <v/>
      </c>
      <c r="N205" s="0">
        <f>D205*A205</f>
        <v/>
      </c>
      <c r="O205" s="0">
        <f>E205*A205</f>
        <v/>
      </c>
      <c r="P205" s="0">
        <f>-K205-M205-N205-O205</f>
        <v/>
      </c>
    </row>
    <row r="206">
      <c r="A206" s="0" t="n">
        <v>10.493188</v>
      </c>
      <c r="B206" s="0" t="n">
        <v>0.3107</v>
      </c>
      <c r="C206" s="0">
        <f>A206*B206</f>
        <v/>
      </c>
      <c r="D206" s="0" t="n">
        <v>0.016</v>
      </c>
      <c r="E206" s="0" t="n">
        <v>0.008999999999999999</v>
      </c>
      <c r="F206" s="0">
        <f>A206*200</f>
        <v/>
      </c>
      <c r="G206" s="0">
        <f>-B206</f>
        <v/>
      </c>
      <c r="H206" s="0">
        <f>-C206*200</f>
        <v/>
      </c>
      <c r="I206" s="0" t="n">
        <v>1</v>
      </c>
      <c r="J206" s="0">
        <f>LN(F206/1000)</f>
        <v/>
      </c>
      <c r="K206" s="0">
        <f>((-G206)-$N$2)</f>
        <v/>
      </c>
      <c r="L206" s="0" t="n">
        <v>1</v>
      </c>
      <c r="M206" s="0">
        <f>-1*($S$4+($S$5*J206))</f>
        <v/>
      </c>
      <c r="N206" s="0">
        <f>D206*A206</f>
        <v/>
      </c>
      <c r="O206" s="0">
        <f>E206*A206</f>
        <v/>
      </c>
      <c r="P206" s="0">
        <f>-K206-M206-N206-O206</f>
        <v/>
      </c>
    </row>
    <row r="207">
      <c r="A207" s="0" t="n">
        <v>10.545635</v>
      </c>
      <c r="B207" s="0" t="n">
        <v>0.30772</v>
      </c>
      <c r="C207" s="0">
        <f>A207*B207</f>
        <v/>
      </c>
      <c r="D207" s="0" t="n">
        <v>0.016</v>
      </c>
      <c r="E207" s="0" t="n">
        <v>0.008999999999999999</v>
      </c>
      <c r="F207" s="0">
        <f>A207*200</f>
        <v/>
      </c>
      <c r="G207" s="0">
        <f>-B207</f>
        <v/>
      </c>
      <c r="H207" s="0">
        <f>-C207*200</f>
        <v/>
      </c>
      <c r="I207" s="0" t="n">
        <v>1</v>
      </c>
      <c r="J207" s="0">
        <f>LN(F207/1000)</f>
        <v/>
      </c>
      <c r="K207" s="0">
        <f>((-G207)-$N$2)</f>
        <v/>
      </c>
      <c r="L207" s="0" t="n">
        <v>1</v>
      </c>
      <c r="M207" s="0">
        <f>-1*($S$4+($S$5*J207))</f>
        <v/>
      </c>
      <c r="N207" s="0">
        <f>D207*A207</f>
        <v/>
      </c>
      <c r="O207" s="0">
        <f>E207*A207</f>
        <v/>
      </c>
      <c r="P207" s="0">
        <f>-K207-M207-N207-O207</f>
        <v/>
      </c>
    </row>
    <row r="208">
      <c r="A208" s="0" t="n">
        <v>10.597063</v>
      </c>
      <c r="B208" s="0" t="n">
        <v>0.3044</v>
      </c>
      <c r="C208" s="0">
        <f>A208*B208</f>
        <v/>
      </c>
      <c r="D208" s="0" t="n">
        <v>0.016</v>
      </c>
      <c r="E208" s="0" t="n">
        <v>0.008999999999999999</v>
      </c>
      <c r="F208" s="0">
        <f>A208*200</f>
        <v/>
      </c>
      <c r="G208" s="0">
        <f>-B208</f>
        <v/>
      </c>
      <c r="H208" s="0">
        <f>-C208*200</f>
        <v/>
      </c>
      <c r="I208" s="0" t="n">
        <v>1</v>
      </c>
      <c r="J208" s="0">
        <f>LN(F208/1000)</f>
        <v/>
      </c>
      <c r="K208" s="0">
        <f>((-G208)-$N$2)</f>
        <v/>
      </c>
      <c r="L208" s="0" t="n">
        <v>1</v>
      </c>
      <c r="M208" s="0">
        <f>-1*($S$4+($S$5*J208))</f>
        <v/>
      </c>
      <c r="N208" s="0">
        <f>D208*A208</f>
        <v/>
      </c>
      <c r="O208" s="0">
        <f>E208*A208</f>
        <v/>
      </c>
      <c r="P208" s="0">
        <f>-K208-M208-N208-O208</f>
        <v/>
      </c>
    </row>
    <row r="209">
      <c r="A209" s="0" t="n">
        <v>10.64798</v>
      </c>
      <c r="B209" s="0" t="n">
        <v>0.30133</v>
      </c>
      <c r="C209" s="0">
        <f>A209*B209</f>
        <v/>
      </c>
      <c r="D209" s="0" t="n">
        <v>0.016</v>
      </c>
      <c r="E209" s="0" t="n">
        <v>0.008999999999999999</v>
      </c>
      <c r="F209" s="0">
        <f>A209*200</f>
        <v/>
      </c>
      <c r="G209" s="0">
        <f>-B209</f>
        <v/>
      </c>
      <c r="H209" s="0">
        <f>-C209*200</f>
        <v/>
      </c>
      <c r="I209" s="0" t="n">
        <v>1</v>
      </c>
      <c r="J209" s="0">
        <f>LN(F209/1000)</f>
        <v/>
      </c>
      <c r="K209" s="0">
        <f>((-G209)-$N$2)</f>
        <v/>
      </c>
      <c r="L209" s="0" t="n">
        <v>1</v>
      </c>
      <c r="M209" s="0">
        <f>-1*($S$4+($S$5*J209))</f>
        <v/>
      </c>
      <c r="N209" s="0">
        <f>D209*A209</f>
        <v/>
      </c>
      <c r="O209" s="0">
        <f>E209*A209</f>
        <v/>
      </c>
      <c r="P209" s="0">
        <f>-K209-M209-N209-O209</f>
        <v/>
      </c>
    </row>
    <row r="210">
      <c r="A210" s="0" t="n">
        <v>10.701444</v>
      </c>
      <c r="B210" s="0" t="n">
        <v>0.29818</v>
      </c>
      <c r="C210" s="0">
        <f>A210*B210</f>
        <v/>
      </c>
      <c r="D210" s="0" t="n">
        <v>0.016</v>
      </c>
      <c r="E210" s="0" t="n">
        <v>0.008999999999999999</v>
      </c>
      <c r="F210" s="0">
        <f>A210*200</f>
        <v/>
      </c>
      <c r="G210" s="0">
        <f>-B210</f>
        <v/>
      </c>
      <c r="H210" s="0">
        <f>-C210*200</f>
        <v/>
      </c>
      <c r="I210" s="0" t="n">
        <v>1</v>
      </c>
      <c r="J210" s="0">
        <f>LN(F210/1000)</f>
        <v/>
      </c>
      <c r="K210" s="0">
        <f>((-G210)-$N$2)</f>
        <v/>
      </c>
      <c r="L210" s="0" t="n">
        <v>1</v>
      </c>
      <c r="M210" s="0">
        <f>-1*($S$4+($S$5*J210))</f>
        <v/>
      </c>
      <c r="N210" s="0">
        <f>D210*A210</f>
        <v/>
      </c>
      <c r="O210" s="0">
        <f>E210*A210</f>
        <v/>
      </c>
      <c r="P210" s="0">
        <f>-K210-M210-N210-O210</f>
        <v/>
      </c>
    </row>
    <row r="211">
      <c r="A211" s="0" t="n">
        <v>10.751854</v>
      </c>
      <c r="B211" s="0" t="n">
        <v>0.29493</v>
      </c>
      <c r="C211" s="0">
        <f>A211*B211</f>
        <v/>
      </c>
      <c r="D211" s="0" t="n">
        <v>0.016</v>
      </c>
      <c r="E211" s="0" t="n">
        <v>0.008999999999999999</v>
      </c>
      <c r="F211" s="0">
        <f>A211*200</f>
        <v/>
      </c>
      <c r="G211" s="0">
        <f>-B211</f>
        <v/>
      </c>
      <c r="H211" s="0">
        <f>-C211*200</f>
        <v/>
      </c>
      <c r="I211" s="0" t="n">
        <v>1</v>
      </c>
      <c r="J211" s="0">
        <f>LN(F211/1000)</f>
        <v/>
      </c>
      <c r="K211" s="0">
        <f>((-G211)-$N$2)</f>
        <v/>
      </c>
      <c r="L211" s="0" t="n">
        <v>1</v>
      </c>
      <c r="M211" s="0">
        <f>-1*($S$4+($S$5*J211))</f>
        <v/>
      </c>
      <c r="N211" s="0">
        <f>D211*A211</f>
        <v/>
      </c>
      <c r="O211" s="0">
        <f>E211*A211</f>
        <v/>
      </c>
      <c r="P211" s="0">
        <f>-K211-M211-N211-O211</f>
        <v/>
      </c>
    </row>
    <row r="212">
      <c r="A212" s="0" t="n">
        <v>10.8043</v>
      </c>
      <c r="B212" s="0" t="n">
        <v>0.29146</v>
      </c>
      <c r="C212" s="0">
        <f>A212*B212</f>
        <v/>
      </c>
      <c r="D212" s="0" t="n">
        <v>0.016</v>
      </c>
      <c r="E212" s="0" t="n">
        <v>0.008999999999999999</v>
      </c>
      <c r="F212" s="0">
        <f>A212*200</f>
        <v/>
      </c>
      <c r="G212" s="0">
        <f>-B212</f>
        <v/>
      </c>
      <c r="H212" s="0">
        <f>-C212*200</f>
        <v/>
      </c>
      <c r="I212" s="0" t="n">
        <v>1</v>
      </c>
      <c r="J212" s="0">
        <f>LN(F212/1000)</f>
        <v/>
      </c>
      <c r="K212" s="0">
        <f>((-G212)-$N$2)</f>
        <v/>
      </c>
      <c r="L212" s="0" t="n">
        <v>1</v>
      </c>
      <c r="M212" s="0">
        <f>-1*($S$4+($S$5*J212))</f>
        <v/>
      </c>
      <c r="N212" s="0">
        <f>D212*A212</f>
        <v/>
      </c>
      <c r="O212" s="0">
        <f>E212*A212</f>
        <v/>
      </c>
      <c r="P212" s="0">
        <f>-K212-M212-N212-O212</f>
        <v/>
      </c>
    </row>
    <row r="213">
      <c r="A213" s="0" t="n">
        <v>10.858272</v>
      </c>
      <c r="B213" s="0" t="n">
        <v>0.28829</v>
      </c>
      <c r="C213" s="0">
        <f>A213*B213</f>
        <v/>
      </c>
      <c r="D213" s="0" t="n">
        <v>0.016</v>
      </c>
      <c r="E213" s="0" t="n">
        <v>0.008999999999999999</v>
      </c>
      <c r="F213" s="0">
        <f>A213*200</f>
        <v/>
      </c>
      <c r="G213" s="0">
        <f>-B213</f>
        <v/>
      </c>
      <c r="H213" s="0">
        <f>-C213*200</f>
        <v/>
      </c>
      <c r="I213" s="0" t="n">
        <v>1</v>
      </c>
      <c r="J213" s="0">
        <f>LN(F213/1000)</f>
        <v/>
      </c>
      <c r="K213" s="0">
        <f>((-G213)-$N$2)</f>
        <v/>
      </c>
      <c r="L213" s="0" t="n">
        <v>1</v>
      </c>
      <c r="M213" s="0">
        <f>-1*($S$4+($S$5*J213))</f>
        <v/>
      </c>
      <c r="N213" s="0">
        <f>D213*A213</f>
        <v/>
      </c>
      <c r="O213" s="0">
        <f>E213*A213</f>
        <v/>
      </c>
      <c r="P213" s="0">
        <f>-K213-M213-N213-O213</f>
        <v/>
      </c>
    </row>
    <row r="214">
      <c r="A214" s="0" t="n">
        <v>10.910719</v>
      </c>
      <c r="B214" s="0" t="n">
        <v>0.28493</v>
      </c>
      <c r="C214" s="0">
        <f>A214*B214</f>
        <v/>
      </c>
      <c r="D214" s="0" t="n">
        <v>0.016</v>
      </c>
      <c r="E214" s="0" t="n">
        <v>0.008999999999999999</v>
      </c>
      <c r="F214" s="0">
        <f>A214*200</f>
        <v/>
      </c>
      <c r="G214" s="0">
        <f>-B214</f>
        <v/>
      </c>
      <c r="H214" s="0">
        <f>-C214*200</f>
        <v/>
      </c>
      <c r="I214" s="0" t="n">
        <v>1</v>
      </c>
      <c r="J214" s="0">
        <f>LN(F214/1000)</f>
        <v/>
      </c>
      <c r="K214" s="0">
        <f>((-G214)-$N$2)</f>
        <v/>
      </c>
      <c r="L214" s="0" t="n">
        <v>1</v>
      </c>
      <c r="M214" s="0">
        <f>-1*($S$4+($S$5*J214))</f>
        <v/>
      </c>
      <c r="N214" s="0">
        <f>D214*A214</f>
        <v/>
      </c>
      <c r="O214" s="0">
        <f>E214*A214</f>
        <v/>
      </c>
      <c r="P214" s="0">
        <f>-K214-M214-N214-O214</f>
        <v/>
      </c>
    </row>
    <row r="215">
      <c r="A215" s="0" t="n">
        <v>10.964183</v>
      </c>
      <c r="B215" s="0" t="n">
        <v>0.28166</v>
      </c>
      <c r="C215" s="0">
        <f>A215*B215</f>
        <v/>
      </c>
      <c r="D215" s="0" t="n">
        <v>0.016</v>
      </c>
      <c r="E215" s="0" t="n">
        <v>0.008999999999999999</v>
      </c>
      <c r="F215" s="0">
        <f>A215*200</f>
        <v/>
      </c>
      <c r="G215" s="0">
        <f>-B215</f>
        <v/>
      </c>
      <c r="H215" s="0">
        <f>-C215*200</f>
        <v/>
      </c>
      <c r="I215" s="0" t="n">
        <v>1</v>
      </c>
      <c r="J215" s="0">
        <f>LN(F215/1000)</f>
        <v/>
      </c>
      <c r="K215" s="0">
        <f>((-G215)-$N$2)</f>
        <v/>
      </c>
      <c r="L215" s="0" t="n">
        <v>1</v>
      </c>
      <c r="M215" s="0">
        <f>-1*($S$4+($S$5*J215))</f>
        <v/>
      </c>
      <c r="N215" s="0">
        <f>D215*A215</f>
        <v/>
      </c>
      <c r="O215" s="0">
        <f>E215*A215</f>
        <v/>
      </c>
      <c r="P215" s="0">
        <f>-K215-M215-N215-O215</f>
        <v/>
      </c>
    </row>
    <row r="216">
      <c r="A216" s="0" t="n">
        <v>11.014593</v>
      </c>
      <c r="B216" s="0" t="n">
        <v>0.27819</v>
      </c>
      <c r="C216" s="0">
        <f>A216*B216</f>
        <v/>
      </c>
      <c r="D216" s="0" t="n">
        <v>0.016</v>
      </c>
      <c r="E216" s="0" t="n">
        <v>0.008999999999999999</v>
      </c>
      <c r="F216" s="0">
        <f>A216*200</f>
        <v/>
      </c>
      <c r="G216" s="0">
        <f>-B216</f>
        <v/>
      </c>
      <c r="H216" s="0">
        <f>-C216*200</f>
        <v/>
      </c>
      <c r="I216" s="0" t="n">
        <v>1</v>
      </c>
      <c r="J216" s="0">
        <f>LN(F216/1000)</f>
        <v/>
      </c>
      <c r="K216" s="0">
        <f>((-G216)-$N$2)</f>
        <v/>
      </c>
      <c r="L216" s="0" t="n">
        <v>1</v>
      </c>
      <c r="M216" s="0">
        <f>-1*($S$4+($S$5*J216))</f>
        <v/>
      </c>
      <c r="N216" s="0">
        <f>D216*A216</f>
        <v/>
      </c>
      <c r="O216" s="0">
        <f>E216*A216</f>
        <v/>
      </c>
      <c r="P216" s="0">
        <f>-K216-M216-N216-O216</f>
        <v/>
      </c>
    </row>
    <row r="217">
      <c r="A217" s="0" t="n">
        <v>11.066021</v>
      </c>
      <c r="B217" s="0" t="n">
        <v>0.27481</v>
      </c>
      <c r="C217" s="0">
        <f>A217*B217</f>
        <v/>
      </c>
      <c r="D217" s="0" t="n">
        <v>0.016</v>
      </c>
      <c r="E217" s="0" t="n">
        <v>0.008999999999999999</v>
      </c>
      <c r="F217" s="0">
        <f>A217*200</f>
        <v/>
      </c>
      <c r="G217" s="0">
        <f>-B217</f>
        <v/>
      </c>
      <c r="H217" s="0">
        <f>-C217*200</f>
        <v/>
      </c>
      <c r="I217" s="0" t="n">
        <v>1</v>
      </c>
      <c r="J217" s="0">
        <f>LN(F217/1000)</f>
        <v/>
      </c>
      <c r="K217" s="0">
        <f>((-G217)-$N$2)</f>
        <v/>
      </c>
      <c r="L217" s="0" t="n">
        <v>1</v>
      </c>
      <c r="M217" s="0">
        <f>-1*($S$4+($S$5*J217))</f>
        <v/>
      </c>
      <c r="N217" s="0">
        <f>D217*A217</f>
        <v/>
      </c>
      <c r="O217" s="0">
        <f>E217*A217</f>
        <v/>
      </c>
      <c r="P217" s="0">
        <f>-K217-M217-N217-O217</f>
        <v/>
      </c>
    </row>
    <row r="218">
      <c r="A218" s="0" t="n">
        <v>11.116429</v>
      </c>
      <c r="B218" s="0" t="n">
        <v>0.27185</v>
      </c>
      <c r="C218" s="0">
        <f>A218*B218</f>
        <v/>
      </c>
      <c r="D218" s="0" t="n">
        <v>0.016</v>
      </c>
      <c r="E218" s="0" t="n">
        <v>0.008999999999999999</v>
      </c>
      <c r="F218" s="0">
        <f>A218*200</f>
        <v/>
      </c>
      <c r="G218" s="0">
        <f>-B218</f>
        <v/>
      </c>
      <c r="H218" s="0">
        <f>-C218*200</f>
        <v/>
      </c>
      <c r="I218" s="0" t="n">
        <v>1</v>
      </c>
      <c r="J218" s="0">
        <f>LN(F218/1000)</f>
        <v/>
      </c>
      <c r="K218" s="0">
        <f>((-G218)-$N$2)</f>
        <v/>
      </c>
      <c r="L218" s="0" t="n">
        <v>1</v>
      </c>
      <c r="M218" s="0">
        <f>-1*($S$4+($S$5*J218))</f>
        <v/>
      </c>
      <c r="N218" s="0">
        <f>D218*A218</f>
        <v/>
      </c>
      <c r="O218" s="0">
        <f>E218*A218</f>
        <v/>
      </c>
      <c r="P218" s="0">
        <f>-K218-M218-N218-O218</f>
        <v/>
      </c>
    </row>
    <row r="219">
      <c r="A219" s="0" t="n">
        <v>11.166839</v>
      </c>
      <c r="B219" s="0" t="n">
        <v>0.26845</v>
      </c>
      <c r="C219" s="0">
        <f>A219*B219</f>
        <v/>
      </c>
      <c r="D219" s="0" t="n">
        <v>0.016</v>
      </c>
      <c r="E219" s="0" t="n">
        <v>0.008999999999999999</v>
      </c>
      <c r="F219" s="0">
        <f>A219*200</f>
        <v/>
      </c>
      <c r="G219" s="0">
        <f>-B219</f>
        <v/>
      </c>
      <c r="H219" s="0">
        <f>-C219*200</f>
        <v/>
      </c>
      <c r="I219" s="0" t="n">
        <v>1</v>
      </c>
      <c r="J219" s="0">
        <f>LN(F219/1000)</f>
        <v/>
      </c>
      <c r="K219" s="0">
        <f>((-G219)-$N$2)</f>
        <v/>
      </c>
      <c r="L219" s="0" t="n">
        <v>1</v>
      </c>
      <c r="M219" s="0">
        <f>-1*($S$4+($S$5*J219))</f>
        <v/>
      </c>
      <c r="N219" s="0">
        <f>D219*A219</f>
        <v/>
      </c>
      <c r="O219" s="0">
        <f>E219*A219</f>
        <v/>
      </c>
      <c r="P219" s="0">
        <f>-K219-M219-N219-O219</f>
        <v/>
      </c>
    </row>
    <row r="220">
      <c r="A220" s="0" t="n">
        <v>11.217757</v>
      </c>
      <c r="B220" s="0" t="n">
        <v>0.26543</v>
      </c>
      <c r="C220" s="0">
        <f>A220*B220</f>
        <v/>
      </c>
      <c r="D220" s="0" t="n">
        <v>0.016</v>
      </c>
      <c r="E220" s="0" t="n">
        <v>0.008999999999999999</v>
      </c>
      <c r="F220" s="0">
        <f>A220*200</f>
        <v/>
      </c>
      <c r="G220" s="0">
        <f>-B220</f>
        <v/>
      </c>
      <c r="H220" s="0">
        <f>-C220*200</f>
        <v/>
      </c>
      <c r="I220" s="0" t="n">
        <v>1</v>
      </c>
      <c r="J220" s="0">
        <f>LN(F220/1000)</f>
        <v/>
      </c>
      <c r="K220" s="0">
        <f>((-G220)-$N$2)</f>
        <v/>
      </c>
      <c r="L220" s="0" t="n">
        <v>1</v>
      </c>
      <c r="M220" s="0">
        <f>-1*($S$4+($S$5*J220))</f>
        <v/>
      </c>
      <c r="N220" s="0">
        <f>D220*A220</f>
        <v/>
      </c>
      <c r="O220" s="0">
        <f>E220*A220</f>
        <v/>
      </c>
      <c r="P220" s="0">
        <f>-K220-M220-N220-O220</f>
        <v/>
      </c>
    </row>
    <row r="221">
      <c r="A221" s="0" t="n">
        <v>11.269694</v>
      </c>
      <c r="B221" s="0" t="n">
        <v>0.26207</v>
      </c>
      <c r="C221" s="0">
        <f>A221*B221</f>
        <v/>
      </c>
      <c r="D221" s="0" t="n">
        <v>0.016</v>
      </c>
      <c r="E221" s="0" t="n">
        <v>0.008999999999999999</v>
      </c>
      <c r="F221" s="0">
        <f>A221*200</f>
        <v/>
      </c>
      <c r="G221" s="0">
        <f>-B221</f>
        <v/>
      </c>
      <c r="H221" s="0">
        <f>-C221*200</f>
        <v/>
      </c>
      <c r="I221" s="0" t="n">
        <v>1</v>
      </c>
      <c r="J221" s="0">
        <f>LN(F221/1000)</f>
        <v/>
      </c>
      <c r="K221" s="0">
        <f>((-G221)-$N$2)</f>
        <v/>
      </c>
      <c r="L221" s="0" t="n">
        <v>1</v>
      </c>
      <c r="M221" s="0">
        <f>-1*($S$4+($S$5*J221))</f>
        <v/>
      </c>
      <c r="N221" s="0">
        <f>D221*A221</f>
        <v/>
      </c>
      <c r="O221" s="0">
        <f>E221*A221</f>
        <v/>
      </c>
      <c r="P221" s="0">
        <f>-K221-M221-N221-O221</f>
        <v/>
      </c>
    </row>
    <row r="222">
      <c r="A222" s="0" t="n">
        <v>11.321121</v>
      </c>
      <c r="B222" s="0" t="n">
        <v>0.25883</v>
      </c>
      <c r="C222" s="0">
        <f>A222*B222</f>
        <v/>
      </c>
      <c r="D222" s="0" t="n">
        <v>0.016</v>
      </c>
      <c r="E222" s="0" t="n">
        <v>0.008999999999999999</v>
      </c>
      <c r="F222" s="0">
        <f>A222*200</f>
        <v/>
      </c>
      <c r="G222" s="0">
        <f>-B222</f>
        <v/>
      </c>
      <c r="H222" s="0">
        <f>-C222*200</f>
        <v/>
      </c>
      <c r="I222" s="0" t="n">
        <v>1</v>
      </c>
      <c r="J222" s="0">
        <f>LN(F222/1000)</f>
        <v/>
      </c>
      <c r="K222" s="0">
        <f>((-G222)-$N$2)</f>
        <v/>
      </c>
      <c r="L222" s="0" t="n">
        <v>1</v>
      </c>
      <c r="M222" s="0">
        <f>-1*($S$4+($S$5*J222))</f>
        <v/>
      </c>
      <c r="N222" s="0">
        <f>D222*A222</f>
        <v/>
      </c>
      <c r="O222" s="0">
        <f>E222*A222</f>
        <v/>
      </c>
      <c r="P222" s="0">
        <f>-K222-M222-N222-O222</f>
        <v/>
      </c>
    </row>
    <row r="223">
      <c r="A223" s="0" t="n">
        <v>11.372548</v>
      </c>
      <c r="B223" s="0" t="n">
        <v>0.25524</v>
      </c>
      <c r="C223" s="0">
        <f>A223*B223</f>
        <v/>
      </c>
      <c r="D223" s="0" t="n">
        <v>0.016</v>
      </c>
      <c r="E223" s="0" t="n">
        <v>0.008999999999999999</v>
      </c>
      <c r="F223" s="0">
        <f>A223*200</f>
        <v/>
      </c>
      <c r="G223" s="0">
        <f>-B223</f>
        <v/>
      </c>
      <c r="H223" s="0">
        <f>-C223*200</f>
        <v/>
      </c>
      <c r="I223" s="0" t="n">
        <v>1</v>
      </c>
      <c r="J223" s="0">
        <f>LN(F223/1000)</f>
        <v/>
      </c>
      <c r="K223" s="0">
        <f>((-G223)-$N$2)</f>
        <v/>
      </c>
      <c r="L223" s="0" t="n">
        <v>1</v>
      </c>
      <c r="M223" s="0">
        <f>-1*($S$4+($S$5*J223))</f>
        <v/>
      </c>
      <c r="N223" s="0">
        <f>D223*A223</f>
        <v/>
      </c>
      <c r="O223" s="0">
        <f>E223*A223</f>
        <v/>
      </c>
      <c r="P223" s="0">
        <f>-K223-M223-N223-O223</f>
        <v/>
      </c>
    </row>
    <row r="224">
      <c r="A224" s="0" t="n">
        <v>11.423467</v>
      </c>
      <c r="B224" s="0" t="n">
        <v>0.25178</v>
      </c>
      <c r="C224" s="0">
        <f>A224*B224</f>
        <v/>
      </c>
      <c r="D224" s="0" t="n">
        <v>0.016</v>
      </c>
      <c r="E224" s="0" t="n">
        <v>0.008999999999999999</v>
      </c>
      <c r="F224" s="0">
        <f>A224*200</f>
        <v/>
      </c>
      <c r="G224" s="0">
        <f>-B224</f>
        <v/>
      </c>
      <c r="H224" s="0">
        <f>-C224*200</f>
        <v/>
      </c>
      <c r="I224" s="0" t="n">
        <v>1</v>
      </c>
      <c r="J224" s="0">
        <f>LN(F224/1000)</f>
        <v/>
      </c>
      <c r="K224" s="0">
        <f>((-G224)-$N$2)</f>
        <v/>
      </c>
      <c r="L224" s="0" t="n">
        <v>1</v>
      </c>
      <c r="M224" s="0">
        <f>-1*($S$4+($S$5*J224))</f>
        <v/>
      </c>
      <c r="N224" s="0">
        <f>D224*A224</f>
        <v/>
      </c>
      <c r="O224" s="0">
        <f>E224*A224</f>
        <v/>
      </c>
      <c r="P224" s="0">
        <f>-K224-M224-N224-O224</f>
        <v/>
      </c>
    </row>
    <row r="225">
      <c r="A225" s="0" t="n">
        <v>11.42754</v>
      </c>
      <c r="B225" s="0" t="n">
        <v>0.25144</v>
      </c>
      <c r="C225" s="0">
        <f>A225*B225</f>
        <v/>
      </c>
      <c r="D225" s="0" t="n">
        <v>0.016</v>
      </c>
      <c r="E225" s="0" t="n">
        <v>0.008999999999999999</v>
      </c>
      <c r="F225" s="0">
        <f>A225*200</f>
        <v/>
      </c>
      <c r="G225" s="0">
        <f>-B225</f>
        <v/>
      </c>
      <c r="H225" s="0">
        <f>-C225*200</f>
        <v/>
      </c>
      <c r="I225" s="0" t="n">
        <v>1</v>
      </c>
      <c r="J225" s="0">
        <f>LN(F225/1000)</f>
        <v/>
      </c>
      <c r="K225" s="0">
        <f>((-G225)-$N$2)</f>
        <v/>
      </c>
      <c r="L225" s="0" t="n">
        <v>1</v>
      </c>
      <c r="M225" s="0">
        <f>-1*($S$4+($S$5*J225))</f>
        <v/>
      </c>
      <c r="N225" s="0">
        <f>D225*A225</f>
        <v/>
      </c>
      <c r="O225" s="0">
        <f>E225*A225</f>
        <v/>
      </c>
      <c r="P225" s="0">
        <f>-K225-M225-N225-O225</f>
        <v/>
      </c>
      <c r="R225" s="0">
        <f>O225+N225+M225</f>
        <v/>
      </c>
    </row>
    <row r="226">
      <c r="A226" s="0" t="n"/>
      <c r="B226" s="0" t="n"/>
      <c r="C226" s="0">
        <f>A226*B226</f>
        <v/>
      </c>
      <c r="D226" s="0" t="n"/>
      <c r="E226" s="0" t="n"/>
      <c r="F226" s="0">
        <f>A226*200</f>
        <v/>
      </c>
      <c r="G226" s="0">
        <f>-B226</f>
        <v/>
      </c>
      <c r="H226" s="0">
        <f>-C226*200</f>
        <v/>
      </c>
      <c r="I226" s="0" t="n">
        <v>1</v>
      </c>
      <c r="J226" s="0">
        <f>LN(F226/1000)</f>
        <v/>
      </c>
      <c r="K226" s="0">
        <f>((-G226)-$N$2)</f>
        <v/>
      </c>
      <c r="L226" s="0" t="n">
        <v>1</v>
      </c>
      <c r="M226" s="0">
        <f>-1*($S$4+($S$5*J226))</f>
        <v/>
      </c>
      <c r="N226" s="0">
        <f>D226*A226</f>
        <v/>
      </c>
      <c r="O226" s="0">
        <f>E226*A226</f>
        <v/>
      </c>
      <c r="P226" s="0">
        <f>-K226-M226-N226-O226</f>
        <v/>
      </c>
    </row>
    <row r="227">
      <c r="A227" s="0" t="n"/>
      <c r="B227" s="0" t="n"/>
      <c r="C227" s="0">
        <f>A227*B227</f>
        <v/>
      </c>
      <c r="D227" s="0" t="n"/>
      <c r="E227" s="0" t="n"/>
      <c r="F227" s="0">
        <f>A227*200</f>
        <v/>
      </c>
      <c r="G227" s="0">
        <f>-B227</f>
        <v/>
      </c>
      <c r="H227" s="0">
        <f>-C227*200</f>
        <v/>
      </c>
      <c r="I227" s="0" t="n">
        <v>1</v>
      </c>
      <c r="J227" s="0">
        <f>LN(F227/1000)</f>
        <v/>
      </c>
      <c r="K227" s="0">
        <f>((-G227)-$N$2)</f>
        <v/>
      </c>
      <c r="L227" s="0" t="n">
        <v>1</v>
      </c>
      <c r="M227" s="0">
        <f>-1*($S$4+($S$5*J227))</f>
        <v/>
      </c>
      <c r="N227" s="0">
        <f>D227*A227</f>
        <v/>
      </c>
      <c r="O227" s="0">
        <f>E227*A227</f>
        <v/>
      </c>
      <c r="P227" s="0">
        <f>-K227-M227-N227-O227</f>
        <v/>
      </c>
    </row>
    <row r="228">
      <c r="A228" s="0" t="n"/>
      <c r="B228" s="0" t="n"/>
      <c r="C228" s="0">
        <f>A228*B228</f>
        <v/>
      </c>
      <c r="D228" s="0" t="n"/>
      <c r="E228" s="0" t="n"/>
      <c r="F228" s="0">
        <f>A228*200</f>
        <v/>
      </c>
      <c r="G228" s="0">
        <f>-B228</f>
        <v/>
      </c>
      <c r="H228" s="0">
        <f>-C228*200</f>
        <v/>
      </c>
      <c r="I228" s="0" t="n">
        <v>1</v>
      </c>
      <c r="J228" s="0">
        <f>LN(F228/1000)</f>
        <v/>
      </c>
      <c r="K228" s="0">
        <f>((-G228)-$N$2)</f>
        <v/>
      </c>
      <c r="L228" s="0" t="n">
        <v>1</v>
      </c>
      <c r="M228" s="0">
        <f>-1*($S$4+($S$5*J228))</f>
        <v/>
      </c>
      <c r="N228" s="0">
        <f>D228*A228</f>
        <v/>
      </c>
      <c r="O228" s="0">
        <f>E228*A228</f>
        <v/>
      </c>
      <c r="P228" s="0">
        <f>-K228-M228-N228-O228</f>
        <v/>
      </c>
    </row>
    <row r="229">
      <c r="A229" s="0" t="n"/>
      <c r="B229" s="0" t="n"/>
      <c r="C229" s="0">
        <f>A229*B229</f>
        <v/>
      </c>
      <c r="D229" s="0" t="n"/>
      <c r="E229" s="0" t="n"/>
      <c r="F229" s="0">
        <f>A229*200</f>
        <v/>
      </c>
      <c r="G229" s="0">
        <f>-B229</f>
        <v/>
      </c>
      <c r="H229" s="0">
        <f>-C229*200</f>
        <v/>
      </c>
      <c r="I229" s="0" t="n">
        <v>1</v>
      </c>
      <c r="J229" s="0">
        <f>LN(F229/1000)</f>
        <v/>
      </c>
      <c r="K229" s="0">
        <f>((-G229)-$N$2)</f>
        <v/>
      </c>
      <c r="L229" s="0" t="n">
        <v>1</v>
      </c>
      <c r="M229" s="0">
        <f>-1*($S$4+($S$5*J229))</f>
        <v/>
      </c>
      <c r="N229" s="0">
        <f>D229*A229</f>
        <v/>
      </c>
      <c r="O229" s="0">
        <f>E229*A229</f>
        <v/>
      </c>
      <c r="P229" s="0">
        <f>-K229-M229-N229-O229</f>
        <v/>
      </c>
    </row>
    <row r="230">
      <c r="A230" s="0" t="n"/>
      <c r="B230" s="0" t="n"/>
      <c r="C230" s="0">
        <f>A230*B230</f>
        <v/>
      </c>
      <c r="D230" s="0" t="n"/>
      <c r="E230" s="0" t="n"/>
      <c r="F230" s="0">
        <f>A230*200</f>
        <v/>
      </c>
      <c r="G230" s="0">
        <f>-B230</f>
        <v/>
      </c>
      <c r="H230" s="0">
        <f>-C230*200</f>
        <v/>
      </c>
      <c r="I230" s="0" t="n">
        <v>1</v>
      </c>
      <c r="J230" s="0">
        <f>LN(F230/1000)</f>
        <v/>
      </c>
      <c r="K230" s="0">
        <f>((-G230)-$N$2)</f>
        <v/>
      </c>
      <c r="L230" s="0" t="n">
        <v>1</v>
      </c>
      <c r="M230" s="0">
        <f>-1*($S$4+($S$5*J230))</f>
        <v/>
      </c>
      <c r="N230" s="0">
        <f>D230*A230</f>
        <v/>
      </c>
      <c r="O230" s="0">
        <f>E230*A230</f>
        <v/>
      </c>
      <c r="P230" s="0">
        <f>-K230-M230-N230-O230</f>
        <v/>
      </c>
    </row>
    <row r="231">
      <c r="A231" s="0" t="n"/>
      <c r="B231" s="0" t="n"/>
      <c r="C231" s="0">
        <f>A231*B231</f>
        <v/>
      </c>
      <c r="D231" s="0" t="n"/>
      <c r="E231" s="0" t="n"/>
      <c r="F231" s="0">
        <f>A231*200</f>
        <v/>
      </c>
      <c r="G231" s="0">
        <f>-B231</f>
        <v/>
      </c>
      <c r="H231" s="0">
        <f>-C231*200</f>
        <v/>
      </c>
      <c r="I231" s="0" t="n">
        <v>1</v>
      </c>
      <c r="J231" s="0">
        <f>LN(F231/1000)</f>
        <v/>
      </c>
      <c r="K231" s="0">
        <f>((-G231)-$N$2)</f>
        <v/>
      </c>
      <c r="L231" s="0" t="n">
        <v>1</v>
      </c>
      <c r="M231" s="0">
        <f>-1*($S$4+($S$5*J231))</f>
        <v/>
      </c>
      <c r="N231" s="0">
        <f>D231*A231</f>
        <v/>
      </c>
      <c r="O231" s="0">
        <f>E231*A231</f>
        <v/>
      </c>
      <c r="P231" s="0">
        <f>-K231-M231-N231-O231</f>
        <v/>
      </c>
    </row>
    <row r="232">
      <c r="A232" s="0" t="n"/>
      <c r="B232" s="0" t="n"/>
      <c r="C232" s="0">
        <f>A232*B232</f>
        <v/>
      </c>
      <c r="D232" s="0" t="n"/>
      <c r="E232" s="0" t="n"/>
      <c r="F232" s="0">
        <f>A232*200</f>
        <v/>
      </c>
      <c r="G232" s="0">
        <f>-B232</f>
        <v/>
      </c>
      <c r="H232" s="0">
        <f>-C232*200</f>
        <v/>
      </c>
      <c r="I232" s="0" t="n">
        <v>1</v>
      </c>
      <c r="J232" s="0">
        <f>LN(F232/1000)</f>
        <v/>
      </c>
      <c r="K232" s="0">
        <f>((-G232)-$N$2)</f>
        <v/>
      </c>
      <c r="L232" s="0" t="n">
        <v>1</v>
      </c>
      <c r="M232" s="0">
        <f>-1*($S$4+($S$5*J232))</f>
        <v/>
      </c>
      <c r="N232" s="0">
        <f>D232*A232</f>
        <v/>
      </c>
      <c r="O232" s="0">
        <f>E232*A232</f>
        <v/>
      </c>
      <c r="P232" s="0">
        <f>-K232-M232-N232-O232</f>
        <v/>
      </c>
    </row>
    <row r="233">
      <c r="A233" s="0" t="n"/>
      <c r="B233" s="0" t="n"/>
      <c r="C233" s="0">
        <f>A233*B233</f>
        <v/>
      </c>
      <c r="D233" s="0" t="n"/>
      <c r="E233" s="0" t="n"/>
      <c r="F233" s="0">
        <f>A233*200</f>
        <v/>
      </c>
      <c r="G233" s="0">
        <f>-B233</f>
        <v/>
      </c>
      <c r="H233" s="0">
        <f>-C233*200</f>
        <v/>
      </c>
      <c r="I233" s="0" t="n">
        <v>1</v>
      </c>
      <c r="J233" s="0">
        <f>LN(F233/1000)</f>
        <v/>
      </c>
      <c r="K233" s="0">
        <f>((-G233)-$N$2)</f>
        <v/>
      </c>
      <c r="L233" s="0" t="n">
        <v>1</v>
      </c>
      <c r="M233" s="0">
        <f>-1*($S$4+($S$5*J233))</f>
        <v/>
      </c>
      <c r="N233" s="0">
        <f>D233*A233</f>
        <v/>
      </c>
      <c r="O233" s="0">
        <f>E233*A233</f>
        <v/>
      </c>
      <c r="P233" s="0">
        <f>-K233-M233-N233-O233</f>
        <v/>
      </c>
    </row>
    <row r="234">
      <c r="A234" s="0" t="n"/>
      <c r="B234" s="0" t="n"/>
      <c r="C234" s="0">
        <f>A234*B234</f>
        <v/>
      </c>
      <c r="D234" s="0" t="n"/>
      <c r="E234" s="0" t="n"/>
      <c r="F234" s="0">
        <f>A234*200</f>
        <v/>
      </c>
      <c r="G234" s="0">
        <f>-B234</f>
        <v/>
      </c>
      <c r="H234" s="0">
        <f>-C234*200</f>
        <v/>
      </c>
      <c r="I234" s="0" t="n">
        <v>1</v>
      </c>
      <c r="J234" s="0">
        <f>LN(F234/1000)</f>
        <v/>
      </c>
      <c r="K234" s="0">
        <f>((-G234)-$N$2)</f>
        <v/>
      </c>
      <c r="L234" s="0" t="n">
        <v>1</v>
      </c>
      <c r="M234" s="0">
        <f>-1*($S$4+($S$5*J234))</f>
        <v/>
      </c>
      <c r="N234" s="0">
        <f>D234*A234</f>
        <v/>
      </c>
      <c r="O234" s="0">
        <f>E234*A234</f>
        <v/>
      </c>
      <c r="P234" s="0">
        <f>-K234-M234-N234-O234</f>
        <v/>
      </c>
    </row>
    <row r="235">
      <c r="C235" s="0">
        <f>A235*B235</f>
        <v/>
      </c>
      <c r="D235" s="0" t="n">
        <v>0.016</v>
      </c>
      <c r="E235" s="0" t="n">
        <v>0.00919</v>
      </c>
      <c r="F235" s="0">
        <f>A235*200</f>
        <v/>
      </c>
      <c r="G235" s="0">
        <f>-B235</f>
        <v/>
      </c>
      <c r="H235" s="0">
        <f>-C235*200</f>
        <v/>
      </c>
      <c r="I235" s="0" t="n">
        <v>1</v>
      </c>
      <c r="J235" s="0">
        <f>LN(F235/1000)</f>
        <v/>
      </c>
      <c r="K235" s="0">
        <f>((-G235)-$N$2)</f>
        <v/>
      </c>
      <c r="L235" s="0" t="n">
        <v>1</v>
      </c>
      <c r="M235" s="0">
        <f>-1*($S$4+($S$5*J235))</f>
        <v/>
      </c>
      <c r="N235" s="0">
        <f>D235*A235</f>
        <v/>
      </c>
      <c r="O235" s="0">
        <f>E235*A235</f>
        <v/>
      </c>
      <c r="P235" s="0">
        <f>-K235-M235-N235-O235</f>
        <v/>
      </c>
    </row>
    <row r="236">
      <c r="C236" s="0">
        <f>A236*B236</f>
        <v/>
      </c>
      <c r="D236" s="0" t="n">
        <v>0.016</v>
      </c>
      <c r="E236" s="0" t="n">
        <v>0.00919</v>
      </c>
      <c r="F236" s="0">
        <f>A236*200</f>
        <v/>
      </c>
      <c r="G236" s="0">
        <f>-B236</f>
        <v/>
      </c>
      <c r="H236" s="0">
        <f>-C236*200</f>
        <v/>
      </c>
      <c r="I236" s="0" t="n">
        <v>1</v>
      </c>
      <c r="J236" s="0">
        <f>LN(F236/1000)</f>
        <v/>
      </c>
      <c r="K236" s="0">
        <f>((-G236)-$N$2)</f>
        <v/>
      </c>
      <c r="L236" s="0" t="n">
        <v>1</v>
      </c>
      <c r="M236" s="0">
        <f>-1*($S$4+($S$5*J236))</f>
        <v/>
      </c>
      <c r="N236" s="0">
        <f>D236*A236</f>
        <v/>
      </c>
      <c r="O236" s="0">
        <f>E236*A236</f>
        <v/>
      </c>
      <c r="P236" s="0">
        <f>-K236-M236-N236-O236</f>
        <v/>
      </c>
    </row>
    <row r="237">
      <c r="C237" s="0">
        <f>A237*B237</f>
        <v/>
      </c>
      <c r="D237" s="0" t="n">
        <v>0.016</v>
      </c>
      <c r="E237" s="0" t="n">
        <v>0.00919</v>
      </c>
      <c r="F237" s="0">
        <f>A237*200</f>
        <v/>
      </c>
      <c r="G237" s="0">
        <f>-B237</f>
        <v/>
      </c>
      <c r="H237" s="0">
        <f>-C237*200</f>
        <v/>
      </c>
      <c r="I237" s="0" t="n">
        <v>1</v>
      </c>
      <c r="J237" s="0">
        <f>LN(F237/1000)</f>
        <v/>
      </c>
      <c r="K237" s="0">
        <f>((-G237)-$N$2)</f>
        <v/>
      </c>
      <c r="L237" s="0" t="n">
        <v>1</v>
      </c>
      <c r="M237" s="0">
        <f>-1*($S$4+($S$5*J237))</f>
        <v/>
      </c>
      <c r="N237" s="0">
        <f>D237*A237</f>
        <v/>
      </c>
      <c r="O237" s="0">
        <f>E237*A237</f>
        <v/>
      </c>
      <c r="P237" s="0">
        <f>-K237-M237-N237-O237</f>
        <v/>
      </c>
    </row>
    <row r="238">
      <c r="C238" s="0">
        <f>A238*B238</f>
        <v/>
      </c>
      <c r="D238" s="0" t="n">
        <v>0.016</v>
      </c>
      <c r="E238" s="0" t="n">
        <v>0.00919</v>
      </c>
      <c r="F238" s="0">
        <f>A238*200</f>
        <v/>
      </c>
      <c r="G238" s="0">
        <f>-B238</f>
        <v/>
      </c>
      <c r="H238" s="0">
        <f>-C238*200</f>
        <v/>
      </c>
      <c r="I238" s="0" t="n">
        <v>1</v>
      </c>
      <c r="J238" s="0">
        <f>LN(F238/1000)</f>
        <v/>
      </c>
      <c r="K238" s="0">
        <f>((-G238)-$N$2)</f>
        <v/>
      </c>
      <c r="L238" s="0" t="n">
        <v>1</v>
      </c>
      <c r="M238" s="0">
        <f>-1*($S$4+($S$5*J238))</f>
        <v/>
      </c>
      <c r="N238" s="0">
        <f>D238*A238</f>
        <v/>
      </c>
      <c r="O238" s="0">
        <f>E238*A238</f>
        <v/>
      </c>
      <c r="P238" s="0">
        <f>-K238-M238-N238-O238</f>
        <v/>
      </c>
    </row>
    <row r="239">
      <c r="C239" s="0">
        <f>A239*B239</f>
        <v/>
      </c>
      <c r="D239" s="0" t="n">
        <v>0.016</v>
      </c>
      <c r="E239" s="0" t="n">
        <v>0.00919</v>
      </c>
      <c r="F239" s="0">
        <f>A239*200</f>
        <v/>
      </c>
      <c r="G239" s="0">
        <f>-B239</f>
        <v/>
      </c>
      <c r="H239" s="0">
        <f>-C239*200</f>
        <v/>
      </c>
      <c r="I239" s="0" t="n">
        <v>1</v>
      </c>
      <c r="J239" s="0">
        <f>LN(F239/1000)</f>
        <v/>
      </c>
      <c r="K239" s="0">
        <f>((-G239)-$N$2)</f>
        <v/>
      </c>
      <c r="L239" s="0" t="n">
        <v>1</v>
      </c>
      <c r="M239" s="0">
        <f>-1*($S$4+($S$5*J239))</f>
        <v/>
      </c>
      <c r="N239" s="0">
        <f>D239*A239</f>
        <v/>
      </c>
      <c r="O239" s="0">
        <f>E239*A239</f>
        <v/>
      </c>
      <c r="P239" s="0">
        <f>-K239-M239-N239-O239</f>
        <v/>
      </c>
    </row>
    <row r="240">
      <c r="C240" s="0">
        <f>A240*B240</f>
        <v/>
      </c>
      <c r="D240" s="0" t="n">
        <v>0.016</v>
      </c>
      <c r="E240" s="0" t="n">
        <v>0.00919</v>
      </c>
      <c r="F240" s="0">
        <f>A240*200</f>
        <v/>
      </c>
      <c r="G240" s="0">
        <f>-B240</f>
        <v/>
      </c>
      <c r="H240" s="0">
        <f>-C240*200</f>
        <v/>
      </c>
      <c r="I240" s="0" t="n">
        <v>1</v>
      </c>
      <c r="J240" s="0">
        <f>LN(F240/1000)</f>
        <v/>
      </c>
      <c r="K240" s="0">
        <f>((-G240)-$N$2)</f>
        <v/>
      </c>
      <c r="L240" s="0" t="n">
        <v>1</v>
      </c>
      <c r="M240" s="0">
        <f>-1*($S$4+($S$5*J240))</f>
        <v/>
      </c>
      <c r="N240" s="0">
        <f>D240*A240</f>
        <v/>
      </c>
      <c r="O240" s="0">
        <f>E240*A240</f>
        <v/>
      </c>
      <c r="P240" s="0">
        <f>-K240-M240-N240-O240</f>
        <v/>
      </c>
    </row>
    <row r="241">
      <c r="C241" s="0">
        <f>A241*B241</f>
        <v/>
      </c>
      <c r="D241" s="0" t="n">
        <v>0.016</v>
      </c>
      <c r="E241" s="0" t="n">
        <v>0.00919</v>
      </c>
      <c r="F241" s="0">
        <f>A241*200</f>
        <v/>
      </c>
      <c r="G241" s="0">
        <f>-B241</f>
        <v/>
      </c>
      <c r="H241" s="0">
        <f>-C241*200</f>
        <v/>
      </c>
      <c r="I241" s="0" t="n">
        <v>1</v>
      </c>
      <c r="J241" s="0">
        <f>LN(F241/1000)</f>
        <v/>
      </c>
      <c r="K241" s="0">
        <f>((-G241)-$N$2)</f>
        <v/>
      </c>
      <c r="L241" s="0" t="n">
        <v>1</v>
      </c>
      <c r="M241" s="0">
        <f>-1*($S$4+($S$5*J241))</f>
        <v/>
      </c>
      <c r="N241" s="0">
        <f>D241*A241</f>
        <v/>
      </c>
      <c r="O241" s="0">
        <f>E241*A241</f>
        <v/>
      </c>
      <c r="P241" s="0">
        <f>-K241-M241-N241-O241</f>
        <v/>
      </c>
    </row>
    <row r="242">
      <c r="C242" s="0">
        <f>A242*B242</f>
        <v/>
      </c>
      <c r="D242" s="0" t="n">
        <v>0.016</v>
      </c>
      <c r="E242" s="0" t="n">
        <v>0.00919</v>
      </c>
      <c r="F242" s="0">
        <f>A242*200</f>
        <v/>
      </c>
      <c r="G242" s="0">
        <f>-B242</f>
        <v/>
      </c>
      <c r="H242" s="0">
        <f>-C242*200</f>
        <v/>
      </c>
      <c r="I242" s="0" t="n">
        <v>1</v>
      </c>
      <c r="J242" s="0">
        <f>LN(F242/1000)</f>
        <v/>
      </c>
      <c r="K242" s="0">
        <f>((-G242)-$N$2)</f>
        <v/>
      </c>
      <c r="L242" s="0" t="n">
        <v>1</v>
      </c>
      <c r="M242" s="0">
        <f>-1*($S$4+($S$5*J242))</f>
        <v/>
      </c>
      <c r="N242" s="0">
        <f>D242*A242</f>
        <v/>
      </c>
      <c r="O242" s="0">
        <f>E242*A242</f>
        <v/>
      </c>
      <c r="P242" s="0">
        <f>-K242-M242-N242-O242</f>
        <v/>
      </c>
    </row>
    <row r="243">
      <c r="C243" s="0">
        <f>A243*B243</f>
        <v/>
      </c>
      <c r="D243" s="0" t="n">
        <v>0.016</v>
      </c>
      <c r="E243" s="0" t="n">
        <v>0.00919</v>
      </c>
      <c r="F243" s="0">
        <f>A243*200</f>
        <v/>
      </c>
      <c r="G243" s="0">
        <f>-B243</f>
        <v/>
      </c>
      <c r="H243" s="0">
        <f>-C243*200</f>
        <v/>
      </c>
      <c r="I243" s="0" t="n">
        <v>1</v>
      </c>
      <c r="J243" s="0">
        <f>LN(F243/1000)</f>
        <v/>
      </c>
      <c r="K243" s="0">
        <f>((-G243)-$N$2)</f>
        <v/>
      </c>
      <c r="L243" s="0" t="n">
        <v>1</v>
      </c>
      <c r="M243" s="0">
        <f>-1*($S$4+($S$5*J243))</f>
        <v/>
      </c>
      <c r="N243" s="0">
        <f>D243*A243</f>
        <v/>
      </c>
      <c r="O243" s="0">
        <f>E243*A243</f>
        <v/>
      </c>
      <c r="P243" s="0">
        <f>-K243-M243-N243-O243</f>
        <v/>
      </c>
    </row>
    <row r="244">
      <c r="C244" s="0">
        <f>A244*B244</f>
        <v/>
      </c>
      <c r="D244" s="0" t="n">
        <v>0.016</v>
      </c>
      <c r="E244" s="0" t="n">
        <v>0.00919</v>
      </c>
      <c r="F244" s="0">
        <f>A244*200</f>
        <v/>
      </c>
      <c r="G244" s="0">
        <f>-B244</f>
        <v/>
      </c>
      <c r="H244" s="0">
        <f>-C244*200</f>
        <v/>
      </c>
      <c r="I244" s="0" t="n">
        <v>1</v>
      </c>
      <c r="J244" s="0">
        <f>LN(F244/1000)</f>
        <v/>
      </c>
      <c r="K244" s="0">
        <f>((-G244)-$N$2)</f>
        <v/>
      </c>
      <c r="L244" s="0" t="n">
        <v>1</v>
      </c>
      <c r="M244" s="0">
        <f>-1*($S$4+($S$5*J244))</f>
        <v/>
      </c>
      <c r="N244" s="0">
        <f>D244*A244</f>
        <v/>
      </c>
      <c r="O244" s="0">
        <f>E244*A244</f>
        <v/>
      </c>
      <c r="P244" s="0">
        <f>-K244-M244-N244-O244</f>
        <v/>
      </c>
    </row>
    <row r="245">
      <c r="C245" s="0">
        <f>A245*B245</f>
        <v/>
      </c>
      <c r="D245" s="0" t="n">
        <v>0.016</v>
      </c>
      <c r="E245" s="0" t="n">
        <v>0.00919</v>
      </c>
      <c r="F245" s="0">
        <f>A245*200</f>
        <v/>
      </c>
      <c r="G245" s="0">
        <f>-B245</f>
        <v/>
      </c>
      <c r="H245" s="0">
        <f>-C245*200</f>
        <v/>
      </c>
      <c r="I245" s="0" t="n">
        <v>1</v>
      </c>
      <c r="J245" s="0">
        <f>LN(F245/1000)</f>
        <v/>
      </c>
      <c r="K245" s="0">
        <f>((-G245)-$N$2)</f>
        <v/>
      </c>
      <c r="L245" s="0" t="n">
        <v>1</v>
      </c>
      <c r="M245" s="0">
        <f>-1*($S$4+($S$5*J245))</f>
        <v/>
      </c>
      <c r="N245" s="0">
        <f>D245*A245</f>
        <v/>
      </c>
      <c r="O245" s="0">
        <f>E245*A245</f>
        <v/>
      </c>
      <c r="P245" s="0">
        <f>-K245-M245-N245-O245</f>
        <v/>
      </c>
    </row>
    <row r="246">
      <c r="C246" s="0">
        <f>A246*B246</f>
        <v/>
      </c>
      <c r="D246" s="0" t="n">
        <v>0.016</v>
      </c>
      <c r="E246" s="0" t="n">
        <v>0.00919</v>
      </c>
      <c r="F246" s="0">
        <f>A246*200</f>
        <v/>
      </c>
      <c r="G246" s="0">
        <f>-B246</f>
        <v/>
      </c>
      <c r="H246" s="0">
        <f>-C246*200</f>
        <v/>
      </c>
      <c r="I246" s="0" t="n">
        <v>1</v>
      </c>
      <c r="J246" s="0">
        <f>LN(F246/1000)</f>
        <v/>
      </c>
      <c r="K246" s="0">
        <f>((-G246)-$N$2)</f>
        <v/>
      </c>
      <c r="L246" s="0" t="n">
        <v>1</v>
      </c>
      <c r="M246" s="0">
        <f>-1*($S$4+($S$5*J246))</f>
        <v/>
      </c>
      <c r="N246" s="0">
        <f>D246*A246</f>
        <v/>
      </c>
      <c r="O246" s="0">
        <f>E246*A246</f>
        <v/>
      </c>
      <c r="P246" s="0">
        <f>-K246-M246-N246-O246</f>
        <v/>
      </c>
    </row>
    <row r="247">
      <c r="C247" s="0">
        <f>A247*B247</f>
        <v/>
      </c>
      <c r="D247" s="0" t="n">
        <v>0.016</v>
      </c>
      <c r="E247" s="0" t="n">
        <v>0.00919</v>
      </c>
      <c r="F247" s="0">
        <f>A247*200</f>
        <v/>
      </c>
      <c r="G247" s="0">
        <f>-B247</f>
        <v/>
      </c>
      <c r="H247" s="0">
        <f>-C247*200</f>
        <v/>
      </c>
      <c r="I247" s="0" t="n">
        <v>1</v>
      </c>
      <c r="J247" s="0">
        <f>LN(F247/1000)</f>
        <v/>
      </c>
      <c r="K247" s="0">
        <f>((-G247)-$N$2)</f>
        <v/>
      </c>
      <c r="L247" s="0" t="n">
        <v>1</v>
      </c>
      <c r="M247" s="0">
        <f>-1*($S$4+($S$5*J247))</f>
        <v/>
      </c>
      <c r="N247" s="0">
        <f>D247*A247</f>
        <v/>
      </c>
      <c r="O247" s="0">
        <f>E247*A247</f>
        <v/>
      </c>
      <c r="P247" s="0">
        <f>-K247-M247-N247-O247</f>
        <v/>
      </c>
    </row>
    <row r="248">
      <c r="C248" s="0">
        <f>A248*B248</f>
        <v/>
      </c>
      <c r="D248" s="0" t="n">
        <v>0.016</v>
      </c>
      <c r="E248" s="0" t="n">
        <v>0.00919</v>
      </c>
      <c r="F248" s="0">
        <f>A248*200</f>
        <v/>
      </c>
      <c r="G248" s="0">
        <f>-B248</f>
        <v/>
      </c>
      <c r="H248" s="0">
        <f>-C248*200</f>
        <v/>
      </c>
      <c r="I248" s="0" t="n">
        <v>1</v>
      </c>
      <c r="J248" s="0">
        <f>LN(F248/1000)</f>
        <v/>
      </c>
      <c r="K248" s="0">
        <f>((-G248)-$N$2)</f>
        <v/>
      </c>
      <c r="L248" s="0" t="n">
        <v>1</v>
      </c>
      <c r="M248" s="0">
        <f>-1*($S$4+($S$5*J248))</f>
        <v/>
      </c>
      <c r="N248" s="0">
        <f>D248*A248</f>
        <v/>
      </c>
      <c r="O248" s="0">
        <f>E248*A248</f>
        <v/>
      </c>
      <c r="P248" s="0">
        <f>-K248-M248-N248-O248</f>
        <v/>
      </c>
    </row>
    <row r="249">
      <c r="C249" s="0">
        <f>A249*B249</f>
        <v/>
      </c>
      <c r="D249" s="0" t="n">
        <v>0.016</v>
      </c>
      <c r="E249" s="0" t="n">
        <v>0.00919</v>
      </c>
      <c r="F249" s="0">
        <f>A249*200</f>
        <v/>
      </c>
      <c r="G249" s="0">
        <f>-B249</f>
        <v/>
      </c>
      <c r="H249" s="0">
        <f>-C249*200</f>
        <v/>
      </c>
      <c r="I249" s="0" t="n">
        <v>1</v>
      </c>
      <c r="J249" s="0">
        <f>LN(F249/1000)</f>
        <v/>
      </c>
      <c r="K249" s="0">
        <f>((-G249)-$N$2)</f>
        <v/>
      </c>
      <c r="L249" s="0" t="n">
        <v>1</v>
      </c>
      <c r="M249" s="0">
        <f>-1*($S$4+($S$5*J249))</f>
        <v/>
      </c>
      <c r="N249" s="0">
        <f>D249*A249</f>
        <v/>
      </c>
      <c r="O249" s="0">
        <f>E249*A249</f>
        <v/>
      </c>
      <c r="P249" s="0">
        <f>-K249-M249-N249-O249</f>
        <v/>
      </c>
    </row>
    <row r="250">
      <c r="C250" s="0">
        <f>A250*B250</f>
        <v/>
      </c>
      <c r="D250" s="0" t="n">
        <v>0.016</v>
      </c>
      <c r="E250" s="0" t="n">
        <v>0.00919</v>
      </c>
      <c r="F250" s="0">
        <f>A250*200</f>
        <v/>
      </c>
      <c r="G250" s="0">
        <f>-B250</f>
        <v/>
      </c>
      <c r="H250" s="0">
        <f>-C250*200</f>
        <v/>
      </c>
      <c r="I250" s="0" t="n">
        <v>1</v>
      </c>
      <c r="J250" s="0">
        <f>LN(F250/1000)</f>
        <v/>
      </c>
      <c r="K250" s="0">
        <f>((-G250)-$N$2)</f>
        <v/>
      </c>
      <c r="L250" s="0" t="n">
        <v>1</v>
      </c>
      <c r="M250" s="0">
        <f>-1*($S$4+($S$5*J250))</f>
        <v/>
      </c>
      <c r="N250" s="0">
        <f>D250*A250</f>
        <v/>
      </c>
      <c r="O250" s="0">
        <f>E250*A250</f>
        <v/>
      </c>
      <c r="P250" s="0">
        <f>-K250-M250-N250-O250</f>
        <v/>
      </c>
    </row>
    <row r="251">
      <c r="C251" s="0">
        <f>A251*B251</f>
        <v/>
      </c>
      <c r="D251" s="0" t="n">
        <v>0.016</v>
      </c>
      <c r="E251" s="0" t="n">
        <v>0.00919</v>
      </c>
      <c r="F251" s="0">
        <f>A251*200</f>
        <v/>
      </c>
      <c r="G251" s="0">
        <f>-B251</f>
        <v/>
      </c>
      <c r="H251" s="0">
        <f>-C251*200</f>
        <v/>
      </c>
      <c r="I251" s="0" t="n">
        <v>1</v>
      </c>
      <c r="J251" s="0">
        <f>LN(F251/1000)</f>
        <v/>
      </c>
      <c r="K251" s="0">
        <f>((-G251)-$N$2)</f>
        <v/>
      </c>
      <c r="L251" s="0" t="n">
        <v>1</v>
      </c>
      <c r="M251" s="0">
        <f>-1*($S$4+($S$5*J251))</f>
        <v/>
      </c>
      <c r="N251" s="0">
        <f>D251*A251</f>
        <v/>
      </c>
      <c r="O251" s="0">
        <f>E251*A251</f>
        <v/>
      </c>
      <c r="P251" s="0">
        <f>-K251-M251-N251-O251</f>
        <v/>
      </c>
    </row>
    <row r="252">
      <c r="C252" s="0">
        <f>A252*B252</f>
        <v/>
      </c>
      <c r="D252" s="0" t="n">
        <v>0.016</v>
      </c>
      <c r="E252" s="0" t="n">
        <v>0.00919</v>
      </c>
      <c r="F252" s="0">
        <f>A252*200</f>
        <v/>
      </c>
      <c r="G252" s="0">
        <f>-B252</f>
        <v/>
      </c>
      <c r="H252" s="0">
        <f>-C252*200</f>
        <v/>
      </c>
      <c r="I252" s="0" t="n">
        <v>1</v>
      </c>
      <c r="J252" s="0">
        <f>LN(F252/1000)</f>
        <v/>
      </c>
      <c r="K252" s="0">
        <f>((-G252)-$N$2)</f>
        <v/>
      </c>
      <c r="L252" s="0" t="n">
        <v>1</v>
      </c>
      <c r="M252" s="0">
        <f>-1*($S$4+($S$5*J252))</f>
        <v/>
      </c>
      <c r="N252" s="0">
        <f>D252*A252</f>
        <v/>
      </c>
      <c r="O252" s="0">
        <f>E252*A252</f>
        <v/>
      </c>
      <c r="P252" s="0">
        <f>-K252-M252-N252-O252</f>
        <v/>
      </c>
    </row>
    <row r="253">
      <c r="C253" s="0">
        <f>A253*B253</f>
        <v/>
      </c>
      <c r="D253" s="0" t="n">
        <v>0.016</v>
      </c>
      <c r="E253" s="0" t="n">
        <v>0.00919</v>
      </c>
      <c r="F253" s="0">
        <f>A253*200</f>
        <v/>
      </c>
      <c r="G253" s="0">
        <f>-B253</f>
        <v/>
      </c>
      <c r="H253" s="0">
        <f>-C253*200</f>
        <v/>
      </c>
      <c r="I253" s="0" t="n">
        <v>1</v>
      </c>
      <c r="J253" s="0">
        <f>LN(F253/1000)</f>
        <v/>
      </c>
      <c r="K253" s="0">
        <f>((-G253)-$N$2)</f>
        <v/>
      </c>
      <c r="L253" s="0" t="n">
        <v>1</v>
      </c>
      <c r="M253" s="0">
        <f>-1*($S$4+($S$5*J253))</f>
        <v/>
      </c>
      <c r="N253" s="0">
        <f>D253*A253</f>
        <v/>
      </c>
      <c r="O253" s="0">
        <f>E253*A253</f>
        <v/>
      </c>
      <c r="P253" s="0">
        <f>-K253-M253-N253-O253</f>
        <v/>
      </c>
    </row>
    <row r="254">
      <c r="C254" s="0">
        <f>A254*B254</f>
        <v/>
      </c>
      <c r="D254" s="0" t="n">
        <v>0.016</v>
      </c>
      <c r="E254" s="0" t="n">
        <v>0.00919</v>
      </c>
      <c r="F254" s="0">
        <f>A254*200</f>
        <v/>
      </c>
      <c r="G254" s="0">
        <f>-B254</f>
        <v/>
      </c>
      <c r="H254" s="0">
        <f>-C254*200</f>
        <v/>
      </c>
      <c r="I254" s="0" t="n">
        <v>1</v>
      </c>
      <c r="J254" s="0">
        <f>LN(F254/1000)</f>
        <v/>
      </c>
      <c r="K254" s="0">
        <f>((-G254)-$N$2)</f>
        <v/>
      </c>
      <c r="L254" s="0" t="n">
        <v>1</v>
      </c>
      <c r="M254" s="0">
        <f>-1*($S$4+($S$5*J254))</f>
        <v/>
      </c>
      <c r="N254" s="0">
        <f>D254*A254</f>
        <v/>
      </c>
      <c r="O254" s="0">
        <f>E254*A254</f>
        <v/>
      </c>
      <c r="P254" s="0">
        <f>-K254-M254-N254-O254</f>
        <v/>
      </c>
    </row>
    <row r="255">
      <c r="C255" s="0">
        <f>A255*B255</f>
        <v/>
      </c>
      <c r="D255" s="0" t="n">
        <v>0.016</v>
      </c>
      <c r="E255" s="0" t="n">
        <v>0.00919</v>
      </c>
      <c r="F255" s="0">
        <f>A255*200</f>
        <v/>
      </c>
      <c r="G255" s="0">
        <f>-B255</f>
        <v/>
      </c>
      <c r="H255" s="0">
        <f>-C255*200</f>
        <v/>
      </c>
      <c r="I255" s="0" t="n">
        <v>1</v>
      </c>
      <c r="J255" s="0">
        <f>LN(F255/1000)</f>
        <v/>
      </c>
      <c r="K255" s="0">
        <f>((-G255)-$N$2)</f>
        <v/>
      </c>
      <c r="L255" s="0" t="n">
        <v>1</v>
      </c>
      <c r="M255" s="0">
        <f>-1*($S$4+($S$5*J255))</f>
        <v/>
      </c>
      <c r="N255" s="0">
        <f>D255*A255</f>
        <v/>
      </c>
      <c r="O255" s="0">
        <f>E255*A255</f>
        <v/>
      </c>
      <c r="P255" s="0">
        <f>-K255-M255-N255-O255</f>
        <v/>
      </c>
    </row>
    <row r="256">
      <c r="C256" s="0">
        <f>A256*B256</f>
        <v/>
      </c>
      <c r="D256" s="0" t="n">
        <v>0.016</v>
      </c>
      <c r="E256" s="0" t="n">
        <v>0.00919</v>
      </c>
      <c r="F256" s="0">
        <f>A256*200</f>
        <v/>
      </c>
      <c r="G256" s="0">
        <f>-B256</f>
        <v/>
      </c>
      <c r="H256" s="0">
        <f>-C256*200</f>
        <v/>
      </c>
      <c r="I256" s="0" t="n">
        <v>1</v>
      </c>
      <c r="J256" s="0">
        <f>LN(F256/1000)</f>
        <v/>
      </c>
      <c r="K256" s="0">
        <f>((-G256)-$N$2)</f>
        <v/>
      </c>
      <c r="L256" s="0" t="n">
        <v>1</v>
      </c>
      <c r="M256" s="0">
        <f>-1*($S$4+($S$5*J256))</f>
        <v/>
      </c>
      <c r="N256" s="0">
        <f>D256*A256</f>
        <v/>
      </c>
      <c r="O256" s="0">
        <f>E256*A256</f>
        <v/>
      </c>
      <c r="P256" s="0">
        <f>-K256-M256-N256-O256</f>
        <v/>
      </c>
    </row>
    <row r="257">
      <c r="C257" s="0">
        <f>A257*B257</f>
        <v/>
      </c>
      <c r="D257" s="0" t="n">
        <v>0.016</v>
      </c>
      <c r="E257" s="0" t="n">
        <v>0.00919</v>
      </c>
      <c r="F257" s="0">
        <f>A257*200</f>
        <v/>
      </c>
      <c r="G257" s="0">
        <f>-B257</f>
        <v/>
      </c>
      <c r="H257" s="0">
        <f>-C257*200</f>
        <v/>
      </c>
      <c r="I257" s="0" t="n">
        <v>1</v>
      </c>
      <c r="J257" s="0">
        <f>LN(F257/1000)</f>
        <v/>
      </c>
      <c r="K257" s="0">
        <f>((-G257)-$N$2)</f>
        <v/>
      </c>
      <c r="L257" s="0" t="n">
        <v>1</v>
      </c>
      <c r="M257" s="0">
        <f>-1*($S$4+($S$5*J257))</f>
        <v/>
      </c>
      <c r="N257" s="0">
        <f>D257*A257</f>
        <v/>
      </c>
      <c r="O257" s="0">
        <f>E257*A257</f>
        <v/>
      </c>
      <c r="P257" s="0">
        <f>-K257-M257-N257-O257</f>
        <v/>
      </c>
    </row>
    <row r="258">
      <c r="C258" s="0">
        <f>A258*B258</f>
        <v/>
      </c>
      <c r="D258" s="0" t="n">
        <v>0.016</v>
      </c>
      <c r="E258" s="0" t="n">
        <v>0.00919</v>
      </c>
      <c r="F258" s="0">
        <f>A258*200</f>
        <v/>
      </c>
      <c r="G258" s="0">
        <f>-B258</f>
        <v/>
      </c>
      <c r="H258" s="0">
        <f>-C258*200</f>
        <v/>
      </c>
      <c r="I258" s="0" t="n">
        <v>1</v>
      </c>
      <c r="J258" s="0">
        <f>LN(F258/1000)</f>
        <v/>
      </c>
      <c r="K258" s="0">
        <f>((-G258)-$N$2)</f>
        <v/>
      </c>
      <c r="L258" s="0" t="n">
        <v>1</v>
      </c>
      <c r="M258" s="0">
        <f>-1*($S$4+($S$5*J258))</f>
        <v/>
      </c>
      <c r="N258" s="0">
        <f>D258*A258</f>
        <v/>
      </c>
      <c r="O258" s="0">
        <f>E258*A258</f>
        <v/>
      </c>
      <c r="P258" s="0">
        <f>-K258-M258-N258-O258</f>
        <v/>
      </c>
    </row>
    <row r="259">
      <c r="C259" s="0">
        <f>A259*B259</f>
        <v/>
      </c>
      <c r="D259" s="0" t="n">
        <v>0.016</v>
      </c>
      <c r="E259" s="0" t="n">
        <v>0.00919</v>
      </c>
      <c r="F259" s="0">
        <f>A259*200</f>
        <v/>
      </c>
      <c r="G259" s="0">
        <f>-B259</f>
        <v/>
      </c>
      <c r="H259" s="0">
        <f>-C259*200</f>
        <v/>
      </c>
      <c r="I259" s="0" t="n">
        <v>1</v>
      </c>
      <c r="J259" s="0">
        <f>LN(F259/1000)</f>
        <v/>
      </c>
      <c r="K259" s="0">
        <f>((-G259)-$N$2)</f>
        <v/>
      </c>
      <c r="L259" s="0" t="n">
        <v>1</v>
      </c>
      <c r="M259" s="0">
        <f>-1*($S$4+($S$5*J259))</f>
        <v/>
      </c>
      <c r="N259" s="0">
        <f>D259*A259</f>
        <v/>
      </c>
      <c r="O259" s="0">
        <f>E259*A259</f>
        <v/>
      </c>
      <c r="P259" s="0">
        <f>-K259-M259-N259-O259</f>
        <v/>
      </c>
    </row>
    <row r="260">
      <c r="C260" s="0">
        <f>A260*B260</f>
        <v/>
      </c>
      <c r="D260" s="0" t="n">
        <v>0.016</v>
      </c>
      <c r="E260" s="0" t="n">
        <v>0.00919</v>
      </c>
      <c r="F260" s="0">
        <f>A260*200</f>
        <v/>
      </c>
      <c r="G260" s="0">
        <f>-B260</f>
        <v/>
      </c>
      <c r="H260" s="0">
        <f>-C260*200</f>
        <v/>
      </c>
      <c r="I260" s="0" t="n">
        <v>1</v>
      </c>
      <c r="J260" s="0">
        <f>LN(F260/1000)</f>
        <v/>
      </c>
      <c r="K260" s="0">
        <f>((-G260)-$N$2)</f>
        <v/>
      </c>
      <c r="L260" s="0" t="n">
        <v>1</v>
      </c>
      <c r="M260" s="0">
        <f>-1*($S$4+($S$5*J260))</f>
        <v/>
      </c>
      <c r="N260" s="0">
        <f>D260*A260</f>
        <v/>
      </c>
      <c r="O260" s="0">
        <f>E260*A260</f>
        <v/>
      </c>
      <c r="P260" s="0">
        <f>-K260-M260-N260-O260</f>
        <v/>
      </c>
    </row>
    <row r="261">
      <c r="C261" s="0">
        <f>A261*B261</f>
        <v/>
      </c>
      <c r="D261" s="0" t="n">
        <v>0.016</v>
      </c>
      <c r="E261" s="0" t="n">
        <v>0.00919</v>
      </c>
      <c r="F261" s="0">
        <f>A261*200</f>
        <v/>
      </c>
      <c r="G261" s="0">
        <f>-B261</f>
        <v/>
      </c>
      <c r="H261" s="0">
        <f>-C261*200</f>
        <v/>
      </c>
      <c r="I261" s="0" t="n">
        <v>1</v>
      </c>
      <c r="J261" s="0">
        <f>LN(F261/1000)</f>
        <v/>
      </c>
      <c r="K261" s="0">
        <f>((-G261)-$N$2)</f>
        <v/>
      </c>
      <c r="L261" s="0" t="n">
        <v>1</v>
      </c>
      <c r="M261" s="0">
        <f>-1*($S$4+($S$5*J261))</f>
        <v/>
      </c>
      <c r="N261" s="0">
        <f>D261*A261</f>
        <v/>
      </c>
      <c r="O261" s="0">
        <f>E261*A261</f>
        <v/>
      </c>
      <c r="P261" s="0">
        <f>-K261-M261-N261-O261</f>
        <v/>
      </c>
    </row>
    <row r="262">
      <c r="C262" s="0">
        <f>A262*B262</f>
        <v/>
      </c>
      <c r="D262" s="0" t="n">
        <v>0.016</v>
      </c>
      <c r="E262" s="0" t="n">
        <v>0.00919</v>
      </c>
      <c r="F262" s="0">
        <f>A262*200</f>
        <v/>
      </c>
      <c r="G262" s="0">
        <f>-B262</f>
        <v/>
      </c>
      <c r="H262" s="0">
        <f>-C262*200</f>
        <v/>
      </c>
      <c r="I262" s="0" t="n">
        <v>1</v>
      </c>
      <c r="J262" s="0">
        <f>LN(F262/1000)</f>
        <v/>
      </c>
      <c r="K262" s="0">
        <f>((-G262)-$N$2)</f>
        <v/>
      </c>
      <c r="L262" s="0" t="n">
        <v>1</v>
      </c>
      <c r="M262" s="0">
        <f>-1*($S$4+($S$5*J262))</f>
        <v/>
      </c>
      <c r="N262" s="0">
        <f>D262*A262</f>
        <v/>
      </c>
      <c r="O262" s="0">
        <f>E262*A262</f>
        <v/>
      </c>
      <c r="P262" s="0">
        <f>-K262-M262-N262-O262</f>
        <v/>
      </c>
    </row>
    <row r="263">
      <c r="C263" s="0">
        <f>A263*B263</f>
        <v/>
      </c>
      <c r="D263" s="0" t="n">
        <v>0.016</v>
      </c>
      <c r="E263" s="0" t="n">
        <v>0.00919</v>
      </c>
      <c r="F263" s="0">
        <f>A263*200</f>
        <v/>
      </c>
      <c r="G263" s="0">
        <f>-B263</f>
        <v/>
      </c>
      <c r="H263" s="0">
        <f>-C263*200</f>
        <v/>
      </c>
      <c r="I263" s="0" t="n">
        <v>1</v>
      </c>
      <c r="J263" s="0">
        <f>LN(F263/1000)</f>
        <v/>
      </c>
      <c r="K263" s="0">
        <f>((-G263)-$N$2)</f>
        <v/>
      </c>
      <c r="L263" s="0" t="n">
        <v>1</v>
      </c>
      <c r="M263" s="0">
        <f>-1*($S$4+($S$5*J263))</f>
        <v/>
      </c>
      <c r="N263" s="0">
        <f>D263*A263</f>
        <v/>
      </c>
      <c r="O263" s="0">
        <f>E263*A263</f>
        <v/>
      </c>
      <c r="P263" s="0">
        <f>-K263-M263-N263-O263</f>
        <v/>
      </c>
    </row>
    <row r="264">
      <c r="C264" s="0">
        <f>A264*B264</f>
        <v/>
      </c>
      <c r="D264" s="0" t="n">
        <v>0.016</v>
      </c>
      <c r="E264" s="0" t="n">
        <v>0.00919</v>
      </c>
      <c r="F264" s="0">
        <f>A264*200</f>
        <v/>
      </c>
      <c r="G264" s="0">
        <f>-B264</f>
        <v/>
      </c>
      <c r="H264" s="0">
        <f>-C264*200</f>
        <v/>
      </c>
      <c r="I264" s="0" t="n">
        <v>1</v>
      </c>
      <c r="J264" s="0">
        <f>LN(F264/1000)</f>
        <v/>
      </c>
      <c r="K264" s="0">
        <f>((-G264)-$N$2)</f>
        <v/>
      </c>
      <c r="L264" s="0" t="n">
        <v>1</v>
      </c>
      <c r="M264" s="0">
        <f>-1*($S$4+($S$5*J264))</f>
        <v/>
      </c>
      <c r="N264" s="0">
        <f>D264*A264</f>
        <v/>
      </c>
      <c r="O264" s="0">
        <f>E264*A264</f>
        <v/>
      </c>
      <c r="P264" s="0">
        <f>-K264-M264-N264-O264</f>
        <v/>
      </c>
    </row>
    <row r="265">
      <c r="C265" s="0">
        <f>A265*B265</f>
        <v/>
      </c>
      <c r="D265" s="0" t="n">
        <v>0.016</v>
      </c>
      <c r="E265" s="0" t="n">
        <v>0.00919</v>
      </c>
      <c r="F265" s="0">
        <f>A265*200</f>
        <v/>
      </c>
      <c r="G265" s="0">
        <f>-B265</f>
        <v/>
      </c>
      <c r="H265" s="0">
        <f>-C265*200</f>
        <v/>
      </c>
      <c r="I265" s="0" t="n">
        <v>1</v>
      </c>
      <c r="J265" s="0">
        <f>LN(F265/1000)</f>
        <v/>
      </c>
      <c r="K265" s="0">
        <f>((-G265)-$N$2)</f>
        <v/>
      </c>
      <c r="L265" s="0" t="n">
        <v>1</v>
      </c>
      <c r="M265" s="0">
        <f>-1*($S$4+($S$5*J265))</f>
        <v/>
      </c>
      <c r="N265" s="0">
        <f>D265*A265</f>
        <v/>
      </c>
      <c r="O265" s="0">
        <f>E265*A265</f>
        <v/>
      </c>
      <c r="P265" s="0">
        <f>-K265-M265-N265-O265</f>
        <v/>
      </c>
    </row>
    <row r="266">
      <c r="C266" s="0">
        <f>A266*B266</f>
        <v/>
      </c>
      <c r="D266" s="0" t="n">
        <v>0.016</v>
      </c>
      <c r="E266" s="0" t="n">
        <v>0.00919</v>
      </c>
      <c r="F266" s="0">
        <f>A266*200</f>
        <v/>
      </c>
      <c r="G266" s="0">
        <f>-B266</f>
        <v/>
      </c>
      <c r="H266" s="0">
        <f>-C266*200</f>
        <v/>
      </c>
      <c r="I266" s="0" t="n">
        <v>1</v>
      </c>
      <c r="J266" s="0">
        <f>LN(F266/1000)</f>
        <v/>
      </c>
      <c r="K266" s="0">
        <f>((-G266)-$N$2)</f>
        <v/>
      </c>
      <c r="L266" s="0" t="n">
        <v>1</v>
      </c>
      <c r="M266" s="0">
        <f>-1*($S$4+($S$5*J266))</f>
        <v/>
      </c>
      <c r="N266" s="0">
        <f>D266*A266</f>
        <v/>
      </c>
      <c r="O266" s="0">
        <f>E266*A266</f>
        <v/>
      </c>
      <c r="P266" s="0">
        <f>-K266-M266-N266-O266</f>
        <v/>
      </c>
    </row>
    <row r="267">
      <c r="C267" s="0">
        <f>A267*B267</f>
        <v/>
      </c>
      <c r="D267" s="0" t="n">
        <v>0.016</v>
      </c>
      <c r="E267" s="0" t="n">
        <v>0.00919</v>
      </c>
      <c r="F267" s="0">
        <f>A267*200</f>
        <v/>
      </c>
      <c r="G267" s="0">
        <f>-B267</f>
        <v/>
      </c>
      <c r="H267" s="0">
        <f>-C267*200</f>
        <v/>
      </c>
      <c r="I267" s="0" t="n">
        <v>1</v>
      </c>
      <c r="J267" s="0">
        <f>LN(F267/1000)</f>
        <v/>
      </c>
      <c r="K267" s="0">
        <f>((-G267)-$N$2)</f>
        <v/>
      </c>
      <c r="L267" s="0" t="n">
        <v>1</v>
      </c>
      <c r="M267" s="0">
        <f>-1*($S$4+($S$5*J267))</f>
        <v/>
      </c>
      <c r="N267" s="0">
        <f>D267*A267</f>
        <v/>
      </c>
      <c r="O267" s="0">
        <f>E267*A267</f>
        <v/>
      </c>
      <c r="P267" s="0">
        <f>-K267-M267-N267-O267</f>
        <v/>
      </c>
    </row>
    <row r="268">
      <c r="C268" s="0">
        <f>A268*B268</f>
        <v/>
      </c>
      <c r="D268" s="0" t="n">
        <v>0.016</v>
      </c>
      <c r="E268" s="0" t="n">
        <v>0.00919</v>
      </c>
      <c r="F268" s="0">
        <f>A268*200</f>
        <v/>
      </c>
      <c r="G268" s="0">
        <f>-B268</f>
        <v/>
      </c>
      <c r="H268" s="0">
        <f>-C268*200</f>
        <v/>
      </c>
      <c r="I268" s="0" t="n">
        <v>1</v>
      </c>
      <c r="J268" s="0">
        <f>LN(F268/1000)</f>
        <v/>
      </c>
      <c r="K268" s="0">
        <f>((-G268)-$N$2)</f>
        <v/>
      </c>
      <c r="L268" s="0" t="n">
        <v>1</v>
      </c>
      <c r="M268" s="0">
        <f>-1*($S$4+($S$5*J268))</f>
        <v/>
      </c>
      <c r="N268" s="0">
        <f>D268*A268</f>
        <v/>
      </c>
      <c r="O268" s="0">
        <f>E268*A268</f>
        <v/>
      </c>
      <c r="P268" s="0">
        <f>-K268-M268-N268-O268</f>
        <v/>
      </c>
    </row>
    <row r="269">
      <c r="C269" s="0">
        <f>A269*B269</f>
        <v/>
      </c>
      <c r="D269" s="0" t="n">
        <v>0.016</v>
      </c>
      <c r="E269" s="0" t="n">
        <v>0.00919</v>
      </c>
      <c r="F269" s="0">
        <f>A269*200</f>
        <v/>
      </c>
      <c r="G269" s="0">
        <f>-B269</f>
        <v/>
      </c>
      <c r="H269" s="0">
        <f>-C269*200</f>
        <v/>
      </c>
      <c r="I269" s="0" t="n">
        <v>1</v>
      </c>
      <c r="J269" s="0">
        <f>LN(F269/1000)</f>
        <v/>
      </c>
      <c r="K269" s="0">
        <f>((-G269)-$N$2)</f>
        <v/>
      </c>
      <c r="L269" s="0" t="n">
        <v>1</v>
      </c>
      <c r="M269" s="0">
        <f>-1*($S$4+($S$5*J269))</f>
        <v/>
      </c>
      <c r="N269" s="0">
        <f>D269*A269</f>
        <v/>
      </c>
      <c r="O269" s="0">
        <f>E269*A269</f>
        <v/>
      </c>
      <c r="P269" s="0">
        <f>-K269-M269-N269-O269</f>
        <v/>
      </c>
    </row>
    <row r="270">
      <c r="C270" s="0">
        <f>A270*B270</f>
        <v/>
      </c>
      <c r="D270" s="0" t="n">
        <v>0.016</v>
      </c>
      <c r="E270" s="0" t="n">
        <v>0.00919</v>
      </c>
      <c r="F270" s="0">
        <f>A270*200</f>
        <v/>
      </c>
      <c r="G270" s="0">
        <f>-B270</f>
        <v/>
      </c>
      <c r="H270" s="0">
        <f>-C270*200</f>
        <v/>
      </c>
      <c r="I270" s="0" t="n">
        <v>1</v>
      </c>
      <c r="J270" s="0">
        <f>LN(F270/1000)</f>
        <v/>
      </c>
      <c r="K270" s="0">
        <f>((-G270)-$N$2)</f>
        <v/>
      </c>
      <c r="L270" s="0" t="n">
        <v>1</v>
      </c>
      <c r="M270" s="0">
        <f>-1*($S$4+($S$5*J270))</f>
        <v/>
      </c>
      <c r="N270" s="0">
        <f>D270*A270</f>
        <v/>
      </c>
      <c r="O270" s="0">
        <f>E270*A270</f>
        <v/>
      </c>
      <c r="P270" s="0">
        <f>-K270-M270-N270-O270</f>
        <v/>
      </c>
    </row>
    <row r="271">
      <c r="C271" s="0">
        <f>A271*B271</f>
        <v/>
      </c>
      <c r="D271" s="0" t="n">
        <v>0.016</v>
      </c>
      <c r="E271" s="0" t="n">
        <v>0.00919</v>
      </c>
      <c r="F271" s="0">
        <f>A271*200</f>
        <v/>
      </c>
      <c r="G271" s="0">
        <f>-B271</f>
        <v/>
      </c>
      <c r="H271" s="0">
        <f>-C271*200</f>
        <v/>
      </c>
      <c r="I271" s="0" t="n">
        <v>1</v>
      </c>
      <c r="J271" s="0">
        <f>LN(F271/1000)</f>
        <v/>
      </c>
      <c r="K271" s="0">
        <f>((-G271)-$N$2)</f>
        <v/>
      </c>
      <c r="L271" s="0" t="n">
        <v>1</v>
      </c>
      <c r="M271" s="0">
        <f>-1*($S$4+($S$5*J271))</f>
        <v/>
      </c>
      <c r="N271" s="0">
        <f>D271*A271</f>
        <v/>
      </c>
      <c r="O271" s="0">
        <f>E271*A271</f>
        <v/>
      </c>
      <c r="P271" s="0">
        <f>-K271-M271-N271-O271</f>
        <v/>
      </c>
    </row>
    <row r="272">
      <c r="C272" s="0">
        <f>A272*B272</f>
        <v/>
      </c>
      <c r="D272" s="0" t="n">
        <v>0.016</v>
      </c>
      <c r="E272" s="0" t="n">
        <v>0.00919</v>
      </c>
      <c r="F272" s="0">
        <f>A272*200</f>
        <v/>
      </c>
      <c r="G272" s="0">
        <f>-B272</f>
        <v/>
      </c>
      <c r="H272" s="0">
        <f>-C272*200</f>
        <v/>
      </c>
      <c r="I272" s="0" t="n">
        <v>1</v>
      </c>
      <c r="J272" s="0">
        <f>LN(F272/1000)</f>
        <v/>
      </c>
      <c r="K272" s="0">
        <f>((-G272)-$N$2)</f>
        <v/>
      </c>
      <c r="L272" s="0" t="n">
        <v>1</v>
      </c>
      <c r="M272" s="0">
        <f>-1*($S$4+($S$5*J272))</f>
        <v/>
      </c>
      <c r="N272" s="0">
        <f>D272*A272</f>
        <v/>
      </c>
      <c r="O272" s="0">
        <f>E272*A272</f>
        <v/>
      </c>
      <c r="P272" s="0">
        <f>-K272-M272-N272-O272</f>
        <v/>
      </c>
    </row>
    <row r="273">
      <c r="C273" s="0">
        <f>A273*B273</f>
        <v/>
      </c>
      <c r="D273" s="0" t="n">
        <v>0.016</v>
      </c>
      <c r="E273" s="0" t="n">
        <v>0.00919</v>
      </c>
      <c r="F273" s="0">
        <f>A273*200</f>
        <v/>
      </c>
      <c r="G273" s="0">
        <f>-B273</f>
        <v/>
      </c>
      <c r="H273" s="0">
        <f>-C273*200</f>
        <v/>
      </c>
      <c r="I273" s="0" t="n">
        <v>1</v>
      </c>
      <c r="J273" s="0">
        <f>LN(F273/1000)</f>
        <v/>
      </c>
      <c r="K273" s="0">
        <f>((-G273)-$N$2)</f>
        <v/>
      </c>
      <c r="L273" s="0" t="n">
        <v>1</v>
      </c>
      <c r="M273" s="0">
        <f>-1*($S$4+($S$5*J273))</f>
        <v/>
      </c>
      <c r="N273" s="0">
        <f>D273*A273</f>
        <v/>
      </c>
      <c r="O273" s="0">
        <f>E273*A273</f>
        <v/>
      </c>
      <c r="P273" s="0">
        <f>-K273-M273-N273-O273</f>
        <v/>
      </c>
    </row>
    <row r="274">
      <c r="C274" s="0">
        <f>A274*B274</f>
        <v/>
      </c>
      <c r="D274" s="0" t="n">
        <v>0.016</v>
      </c>
      <c r="E274" s="0" t="n">
        <v>0.00919</v>
      </c>
      <c r="F274" s="0">
        <f>A274*200</f>
        <v/>
      </c>
      <c r="G274" s="0">
        <f>-B274</f>
        <v/>
      </c>
      <c r="H274" s="0">
        <f>-C274*200</f>
        <v/>
      </c>
      <c r="I274" s="0" t="n">
        <v>1</v>
      </c>
      <c r="J274" s="0">
        <f>LN(F274/1000)</f>
        <v/>
      </c>
      <c r="K274" s="0">
        <f>((-G274)-$N$2)</f>
        <v/>
      </c>
      <c r="L274" s="0" t="n">
        <v>1</v>
      </c>
      <c r="M274" s="0">
        <f>-1*($S$4+($S$5*J274))</f>
        <v/>
      </c>
      <c r="N274" s="0">
        <f>D274*A274</f>
        <v/>
      </c>
      <c r="O274" s="0">
        <f>E274*A274</f>
        <v/>
      </c>
      <c r="P274" s="0">
        <f>-K274-M274-N274-O274</f>
        <v/>
      </c>
    </row>
    <row r="275">
      <c r="C275" s="0">
        <f>A275*B275</f>
        <v/>
      </c>
      <c r="D275" s="0" t="n">
        <v>0.016</v>
      </c>
      <c r="E275" s="0" t="n">
        <v>0.00919</v>
      </c>
      <c r="F275" s="0">
        <f>A275*200</f>
        <v/>
      </c>
      <c r="G275" s="0">
        <f>-B275</f>
        <v/>
      </c>
      <c r="H275" s="0">
        <f>-C275*200</f>
        <v/>
      </c>
      <c r="I275" s="0" t="n">
        <v>1</v>
      </c>
      <c r="J275" s="0">
        <f>LN(F275/1000)</f>
        <v/>
      </c>
      <c r="K275" s="0">
        <f>((-G275)-$N$2)</f>
        <v/>
      </c>
      <c r="L275" s="0" t="n">
        <v>1</v>
      </c>
      <c r="M275" s="0">
        <f>-1*($S$4+($S$5*J275))</f>
        <v/>
      </c>
      <c r="N275" s="0">
        <f>D275*A275</f>
        <v/>
      </c>
      <c r="O275" s="0">
        <f>E275*A275</f>
        <v/>
      </c>
      <c r="P275" s="0">
        <f>-K275-M275-N275-O275</f>
        <v/>
      </c>
    </row>
    <row r="276">
      <c r="C276" s="0">
        <f>A276*B276</f>
        <v/>
      </c>
      <c r="D276" s="0" t="n">
        <v>0.016</v>
      </c>
      <c r="E276" s="0" t="n">
        <v>0.00919</v>
      </c>
      <c r="F276" s="0">
        <f>A276*200</f>
        <v/>
      </c>
      <c r="G276" s="0">
        <f>-B276</f>
        <v/>
      </c>
      <c r="H276" s="0">
        <f>-C276*200</f>
        <v/>
      </c>
      <c r="I276" s="0" t="n">
        <v>1</v>
      </c>
      <c r="J276" s="0">
        <f>LN(F276/1000)</f>
        <v/>
      </c>
      <c r="K276" s="0">
        <f>((-G276)-$N$2)</f>
        <v/>
      </c>
      <c r="L276" s="0" t="n">
        <v>1</v>
      </c>
      <c r="M276" s="0">
        <f>-1*($S$4+($S$5*J276))</f>
        <v/>
      </c>
      <c r="N276" s="0">
        <f>D276*A276</f>
        <v/>
      </c>
      <c r="O276" s="0">
        <f>E276*A276</f>
        <v/>
      </c>
      <c r="P276" s="0">
        <f>-K276-M276-N276-O276</f>
        <v/>
      </c>
    </row>
    <row r="277">
      <c r="C277" s="0">
        <f>A277*B277</f>
        <v/>
      </c>
      <c r="D277" s="0" t="n">
        <v>0.016</v>
      </c>
      <c r="E277" s="0" t="n">
        <v>0.00919</v>
      </c>
      <c r="F277" s="0">
        <f>A277*200</f>
        <v/>
      </c>
      <c r="G277" s="0">
        <f>-B277</f>
        <v/>
      </c>
      <c r="H277" s="0">
        <f>-C277*200</f>
        <v/>
      </c>
      <c r="I277" s="0" t="n">
        <v>1</v>
      </c>
      <c r="J277" s="0">
        <f>LN(F277/1000)</f>
        <v/>
      </c>
      <c r="K277" s="0">
        <f>((-G277)-$N$2)</f>
        <v/>
      </c>
      <c r="L277" s="0" t="n">
        <v>1</v>
      </c>
      <c r="M277" s="0">
        <f>-1*($S$4+($S$5*J277))</f>
        <v/>
      </c>
      <c r="N277" s="0">
        <f>D277*A277</f>
        <v/>
      </c>
      <c r="O277" s="0">
        <f>E277*A277</f>
        <v/>
      </c>
      <c r="P277" s="0">
        <f>-K277-M277-N277-O277</f>
        <v/>
      </c>
    </row>
    <row r="278">
      <c r="C278" s="0">
        <f>A278*B278</f>
        <v/>
      </c>
      <c r="D278" s="0" t="n">
        <v>0.016</v>
      </c>
      <c r="E278" s="0" t="n">
        <v>0.00919</v>
      </c>
      <c r="F278" s="0">
        <f>A278*200</f>
        <v/>
      </c>
      <c r="G278" s="0">
        <f>-B278</f>
        <v/>
      </c>
      <c r="H278" s="0">
        <f>-C278*200</f>
        <v/>
      </c>
      <c r="I278" s="0" t="n">
        <v>1</v>
      </c>
      <c r="J278" s="0">
        <f>LN(F278/1000)</f>
        <v/>
      </c>
      <c r="K278" s="0">
        <f>((-G278)-$N$2)</f>
        <v/>
      </c>
      <c r="L278" s="0" t="n">
        <v>1</v>
      </c>
      <c r="M278" s="0">
        <f>-1*($S$4+($S$5*J278))</f>
        <v/>
      </c>
      <c r="N278" s="0">
        <f>D278*A278</f>
        <v/>
      </c>
      <c r="O278" s="0">
        <f>E278*A278</f>
        <v/>
      </c>
      <c r="P278" s="0">
        <f>-K278-M278-N278-O278</f>
        <v/>
      </c>
    </row>
    <row r="279">
      <c r="C279" s="0">
        <f>A279*B279</f>
        <v/>
      </c>
      <c r="D279" s="0" t="n">
        <v>0.016</v>
      </c>
      <c r="E279" s="0" t="n">
        <v>0.00919</v>
      </c>
      <c r="F279" s="0">
        <f>A279*200</f>
        <v/>
      </c>
      <c r="G279" s="0">
        <f>-B279</f>
        <v/>
      </c>
      <c r="H279" s="0">
        <f>-C279*200</f>
        <v/>
      </c>
      <c r="I279" s="0" t="n">
        <v>1</v>
      </c>
      <c r="J279" s="0">
        <f>LN(F279/1000)</f>
        <v/>
      </c>
      <c r="K279" s="0">
        <f>((-G279)-$N$2)</f>
        <v/>
      </c>
      <c r="L279" s="0" t="n">
        <v>1</v>
      </c>
      <c r="M279" s="0">
        <f>-1*($S$4+($S$5*J279))</f>
        <v/>
      </c>
      <c r="N279" s="0">
        <f>D279*A279</f>
        <v/>
      </c>
      <c r="O279" s="0">
        <f>E279*A279</f>
        <v/>
      </c>
      <c r="P279" s="0">
        <f>-K279-M279-N279-O279</f>
        <v/>
      </c>
    </row>
    <row r="280">
      <c r="C280" s="0">
        <f>A280*B280</f>
        <v/>
      </c>
      <c r="D280" s="0" t="n">
        <v>0.016</v>
      </c>
      <c r="E280" s="0" t="n">
        <v>0.00919</v>
      </c>
      <c r="F280" s="0">
        <f>A280*200</f>
        <v/>
      </c>
      <c r="G280" s="0">
        <f>-B280</f>
        <v/>
      </c>
      <c r="H280" s="0">
        <f>-C280*200</f>
        <v/>
      </c>
      <c r="I280" s="0" t="n">
        <v>1</v>
      </c>
      <c r="J280" s="0">
        <f>LN(F280/1000)</f>
        <v/>
      </c>
      <c r="K280" s="0">
        <f>((-G280)-$N$2)</f>
        <v/>
      </c>
      <c r="L280" s="0" t="n">
        <v>1</v>
      </c>
      <c r="M280" s="0">
        <f>-1*($S$4+($S$5*J280))</f>
        <v/>
      </c>
      <c r="N280" s="0">
        <f>D280*A280</f>
        <v/>
      </c>
      <c r="O280" s="0">
        <f>E280*A280</f>
        <v/>
      </c>
      <c r="P280" s="0">
        <f>-K280-M280-N280-O280</f>
        <v/>
      </c>
    </row>
    <row r="281">
      <c r="C281" s="0">
        <f>A281*B281</f>
        <v/>
      </c>
      <c r="D281" s="0" t="n">
        <v>0.016</v>
      </c>
      <c r="E281" s="0" t="n">
        <v>0.00919</v>
      </c>
      <c r="F281" s="0">
        <f>A281*200</f>
        <v/>
      </c>
      <c r="G281" s="0">
        <f>-B281</f>
        <v/>
      </c>
      <c r="H281" s="0">
        <f>-C281*200</f>
        <v/>
      </c>
      <c r="I281" s="0" t="n">
        <v>1</v>
      </c>
      <c r="J281" s="0">
        <f>LN(F281/1000)</f>
        <v/>
      </c>
      <c r="K281" s="0">
        <f>((-G281)-$N$2)</f>
        <v/>
      </c>
      <c r="L281" s="0" t="n">
        <v>1</v>
      </c>
      <c r="M281" s="0">
        <f>-1*($S$4+($S$5*J281))</f>
        <v/>
      </c>
      <c r="N281" s="0">
        <f>D281*A281</f>
        <v/>
      </c>
      <c r="O281" s="0">
        <f>E281*A281</f>
        <v/>
      </c>
      <c r="P281" s="0">
        <f>-K281-M281-N281-O281</f>
        <v/>
      </c>
    </row>
    <row r="282">
      <c r="C282" s="0">
        <f>A282*B282</f>
        <v/>
      </c>
      <c r="D282" s="0" t="n">
        <v>0.016</v>
      </c>
      <c r="E282" s="0" t="n">
        <v>0.00919</v>
      </c>
      <c r="F282" s="0">
        <f>A282*200</f>
        <v/>
      </c>
      <c r="G282" s="0">
        <f>-B282</f>
        <v/>
      </c>
      <c r="H282" s="0">
        <f>-C282*200</f>
        <v/>
      </c>
      <c r="I282" s="0" t="n">
        <v>1</v>
      </c>
      <c r="J282" s="0">
        <f>LN(F282/1000)</f>
        <v/>
      </c>
      <c r="K282" s="0">
        <f>((-G282)-$N$2)</f>
        <v/>
      </c>
      <c r="L282" s="0" t="n">
        <v>1</v>
      </c>
      <c r="M282" s="0">
        <f>-1*($S$4+($S$5*J282))</f>
        <v/>
      </c>
      <c r="N282" s="0">
        <f>D282*A282</f>
        <v/>
      </c>
      <c r="O282" s="0">
        <f>E282*A282</f>
        <v/>
      </c>
      <c r="P282" s="0">
        <f>-K282-M282-N282-O282</f>
        <v/>
      </c>
    </row>
    <row r="283">
      <c r="C283" s="0">
        <f>A283*B283</f>
        <v/>
      </c>
      <c r="D283" s="0" t="n">
        <v>0.016</v>
      </c>
      <c r="E283" s="0" t="n">
        <v>0.00919</v>
      </c>
      <c r="F283" s="0">
        <f>A283*200</f>
        <v/>
      </c>
      <c r="G283" s="0">
        <f>-B283</f>
        <v/>
      </c>
      <c r="H283" s="0">
        <f>-C283*200</f>
        <v/>
      </c>
      <c r="I283" s="0" t="n">
        <v>1</v>
      </c>
      <c r="J283" s="0">
        <f>LN(F283/1000)</f>
        <v/>
      </c>
      <c r="K283" s="0">
        <f>((-G283)-$N$2)</f>
        <v/>
      </c>
      <c r="L283" s="0" t="n">
        <v>1</v>
      </c>
      <c r="M283" s="0">
        <f>-1*($S$4+($S$5*J283))</f>
        <v/>
      </c>
      <c r="N283" s="0">
        <f>D283*A283</f>
        <v/>
      </c>
      <c r="O283" s="0">
        <f>E283*A283</f>
        <v/>
      </c>
      <c r="P283" s="0">
        <f>-K283-M283-N283-O283</f>
        <v/>
      </c>
    </row>
    <row r="284">
      <c r="C284" s="0">
        <f>A284*B284</f>
        <v/>
      </c>
      <c r="D284" s="0" t="n">
        <v>0.016</v>
      </c>
      <c r="E284" s="0" t="n">
        <v>0.00919</v>
      </c>
      <c r="F284" s="0">
        <f>A284*200</f>
        <v/>
      </c>
      <c r="G284" s="0">
        <f>-B284</f>
        <v/>
      </c>
      <c r="H284" s="0">
        <f>-C284*200</f>
        <v/>
      </c>
      <c r="I284" s="0" t="n">
        <v>1</v>
      </c>
      <c r="J284" s="0">
        <f>LN(F284/1000)</f>
        <v/>
      </c>
      <c r="K284" s="0">
        <f>((-G284)-$N$2)</f>
        <v/>
      </c>
      <c r="L284" s="0" t="n">
        <v>1</v>
      </c>
      <c r="M284" s="0">
        <f>-1*($S$4+($S$5*J284))</f>
        <v/>
      </c>
      <c r="N284" s="0">
        <f>D284*A284</f>
        <v/>
      </c>
      <c r="O284" s="0">
        <f>E284*A284</f>
        <v/>
      </c>
      <c r="P284" s="0">
        <f>-K284-M284-N284-O284</f>
        <v/>
      </c>
    </row>
    <row r="285">
      <c r="C285" s="0">
        <f>A285*B285</f>
        <v/>
      </c>
      <c r="D285" s="0" t="n">
        <v>0.016</v>
      </c>
      <c r="E285" s="0" t="n">
        <v>0.00919</v>
      </c>
      <c r="F285" s="0">
        <f>A285*200</f>
        <v/>
      </c>
      <c r="G285" s="0">
        <f>-B285</f>
        <v/>
      </c>
      <c r="H285" s="0">
        <f>-C285*200</f>
        <v/>
      </c>
      <c r="I285" s="0" t="n">
        <v>1</v>
      </c>
      <c r="J285" s="0">
        <f>LN(F285/1000)</f>
        <v/>
      </c>
      <c r="K285" s="0">
        <f>((-G285)-$N$2)</f>
        <v/>
      </c>
      <c r="L285" s="0" t="n">
        <v>1</v>
      </c>
      <c r="M285" s="0">
        <f>-1*($S$4+($S$5*J285))</f>
        <v/>
      </c>
      <c r="N285" s="0">
        <f>D285*A285</f>
        <v/>
      </c>
      <c r="O285" s="0">
        <f>E285*A285</f>
        <v/>
      </c>
      <c r="P285" s="0">
        <f>-K285-M285-N285-O285</f>
        <v/>
      </c>
    </row>
    <row r="286">
      <c r="C286" s="0">
        <f>A286*B286</f>
        <v/>
      </c>
      <c r="D286" s="0" t="n">
        <v>0.016</v>
      </c>
      <c r="E286" s="0" t="n">
        <v>0.00919</v>
      </c>
      <c r="F286" s="0">
        <f>A286*200</f>
        <v/>
      </c>
      <c r="G286" s="0">
        <f>-B286</f>
        <v/>
      </c>
      <c r="H286" s="0">
        <f>-C286*200</f>
        <v/>
      </c>
      <c r="I286" s="0" t="n">
        <v>1</v>
      </c>
      <c r="J286" s="0">
        <f>LN(F286/1000)</f>
        <v/>
      </c>
      <c r="K286" s="0">
        <f>((-G286)-$N$2)</f>
        <v/>
      </c>
      <c r="L286" s="0" t="n">
        <v>1</v>
      </c>
      <c r="M286" s="0">
        <f>-1*($S$4+($S$5*J286))</f>
        <v/>
      </c>
      <c r="N286" s="0">
        <f>D286*A286</f>
        <v/>
      </c>
      <c r="O286" s="0">
        <f>E286*A286</f>
        <v/>
      </c>
      <c r="P286" s="0">
        <f>-K286-M286-N286-O286</f>
        <v/>
      </c>
    </row>
    <row r="287">
      <c r="C287" s="0">
        <f>A287*B287</f>
        <v/>
      </c>
      <c r="D287" s="0" t="n">
        <v>0.016</v>
      </c>
      <c r="E287" s="0" t="n">
        <v>0.00919</v>
      </c>
      <c r="F287" s="0">
        <f>A287*200</f>
        <v/>
      </c>
      <c r="G287" s="0">
        <f>-B287</f>
        <v/>
      </c>
      <c r="H287" s="0">
        <f>-C287*200</f>
        <v/>
      </c>
      <c r="I287" s="0" t="n">
        <v>1</v>
      </c>
      <c r="J287" s="0">
        <f>LN(F287/1000)</f>
        <v/>
      </c>
      <c r="K287" s="0">
        <f>((-G287)-$N$2)</f>
        <v/>
      </c>
      <c r="L287" s="0" t="n">
        <v>1</v>
      </c>
      <c r="M287" s="0">
        <f>-1*($S$4+($S$5*J287))</f>
        <v/>
      </c>
      <c r="N287" s="0">
        <f>D287*A287</f>
        <v/>
      </c>
      <c r="O287" s="0">
        <f>E287*A287</f>
        <v/>
      </c>
      <c r="P287" s="0">
        <f>-K287-M287-N287-O287</f>
        <v/>
      </c>
    </row>
    <row r="288">
      <c r="C288" s="0">
        <f>A288*B288</f>
        <v/>
      </c>
      <c r="D288" s="0" t="n">
        <v>0.016</v>
      </c>
      <c r="E288" s="0" t="n">
        <v>0.00919</v>
      </c>
      <c r="F288" s="0">
        <f>A288*200</f>
        <v/>
      </c>
      <c r="G288" s="0">
        <f>-B288</f>
        <v/>
      </c>
      <c r="H288" s="0">
        <f>-C288*200</f>
        <v/>
      </c>
      <c r="I288" s="0" t="n">
        <v>1</v>
      </c>
      <c r="J288" s="0">
        <f>LN(F288/1000)</f>
        <v/>
      </c>
      <c r="K288" s="0">
        <f>((-G288)-$N$2)</f>
        <v/>
      </c>
      <c r="L288" s="0" t="n">
        <v>1</v>
      </c>
      <c r="M288" s="0">
        <f>-1*($S$4+($S$5*J288))</f>
        <v/>
      </c>
      <c r="N288" s="0">
        <f>D288*A288</f>
        <v/>
      </c>
      <c r="O288" s="0">
        <f>E288*A288</f>
        <v/>
      </c>
      <c r="P288" s="0">
        <f>-K288-M288-N288-O288</f>
        <v/>
      </c>
    </row>
    <row r="289">
      <c r="C289" s="0">
        <f>A289*B289</f>
        <v/>
      </c>
      <c r="D289" s="0" t="n">
        <v>0.016</v>
      </c>
      <c r="E289" s="0" t="n">
        <v>0.00919</v>
      </c>
      <c r="F289" s="0">
        <f>A289*200</f>
        <v/>
      </c>
      <c r="G289" s="0">
        <f>-B289</f>
        <v/>
      </c>
      <c r="H289" s="0">
        <f>-C289*200</f>
        <v/>
      </c>
      <c r="I289" s="0" t="n">
        <v>1</v>
      </c>
      <c r="J289" s="0">
        <f>LN(F289/1000)</f>
        <v/>
      </c>
      <c r="K289" s="0">
        <f>((-G289)-$N$2)</f>
        <v/>
      </c>
      <c r="L289" s="0" t="n">
        <v>1</v>
      </c>
      <c r="M289" s="0">
        <f>-1*($S$4+($S$5*J289))</f>
        <v/>
      </c>
      <c r="N289" s="0">
        <f>D289*A289</f>
        <v/>
      </c>
      <c r="O289" s="0">
        <f>E289*A289</f>
        <v/>
      </c>
      <c r="P289" s="0">
        <f>-K289-M289-N289-O289</f>
        <v/>
      </c>
    </row>
    <row r="290">
      <c r="C290" s="0">
        <f>A290*B290</f>
        <v/>
      </c>
      <c r="D290" s="0" t="n">
        <v>0.016</v>
      </c>
      <c r="E290" s="0" t="n">
        <v>0.00919</v>
      </c>
      <c r="F290" s="0">
        <f>A290*200</f>
        <v/>
      </c>
      <c r="G290" s="0">
        <f>-B290</f>
        <v/>
      </c>
      <c r="H290" s="0">
        <f>-C290*200</f>
        <v/>
      </c>
      <c r="I290" s="0" t="n">
        <v>1</v>
      </c>
      <c r="J290" s="0">
        <f>LN(F290/1000)</f>
        <v/>
      </c>
      <c r="K290" s="0">
        <f>((-G290)-$N$2)</f>
        <v/>
      </c>
      <c r="L290" s="0" t="n">
        <v>1</v>
      </c>
      <c r="M290" s="0">
        <f>-1*($S$4+($S$5*J290))</f>
        <v/>
      </c>
      <c r="N290" s="0">
        <f>D290*A290</f>
        <v/>
      </c>
      <c r="O290" s="0">
        <f>E290*A290</f>
        <v/>
      </c>
      <c r="P290" s="0">
        <f>-K290-M290-N290-O290</f>
        <v/>
      </c>
    </row>
    <row r="291">
      <c r="C291" s="0">
        <f>A291*B291</f>
        <v/>
      </c>
      <c r="D291" s="0" t="n">
        <v>0.016</v>
      </c>
      <c r="E291" s="0" t="n">
        <v>0.00919</v>
      </c>
      <c r="F291" s="0">
        <f>A291*200</f>
        <v/>
      </c>
      <c r="G291" s="0">
        <f>-B291</f>
        <v/>
      </c>
      <c r="H291" s="0">
        <f>-C291*200</f>
        <v/>
      </c>
      <c r="I291" s="0" t="n">
        <v>1</v>
      </c>
      <c r="J291" s="0">
        <f>LN(F291/1000)</f>
        <v/>
      </c>
      <c r="K291" s="0">
        <f>((-G291)-$N$2)</f>
        <v/>
      </c>
      <c r="L291" s="0" t="n">
        <v>1</v>
      </c>
      <c r="M291" s="0">
        <f>-1*($S$4+($S$5*J291))</f>
        <v/>
      </c>
      <c r="N291" s="0">
        <f>D291*A291</f>
        <v/>
      </c>
      <c r="O291" s="0">
        <f>E291*A291</f>
        <v/>
      </c>
      <c r="P291" s="0">
        <f>-K291-M291-N291-O291</f>
        <v/>
      </c>
    </row>
    <row r="292">
      <c r="C292" s="0">
        <f>A292*B292</f>
        <v/>
      </c>
      <c r="D292" s="0" t="n">
        <v>0.016</v>
      </c>
      <c r="E292" s="0" t="n">
        <v>0.00919</v>
      </c>
      <c r="F292" s="0">
        <f>A292*200</f>
        <v/>
      </c>
      <c r="G292" s="0">
        <f>-B292</f>
        <v/>
      </c>
      <c r="H292" s="0">
        <f>-C292*200</f>
        <v/>
      </c>
      <c r="I292" s="0" t="n">
        <v>1</v>
      </c>
      <c r="J292" s="0">
        <f>LN(F292/1000)</f>
        <v/>
      </c>
      <c r="K292" s="0">
        <f>((-G292)-$N$2)</f>
        <v/>
      </c>
      <c r="L292" s="0" t="n">
        <v>1</v>
      </c>
      <c r="M292" s="0">
        <f>-1*($S$4+($S$5*J292))</f>
        <v/>
      </c>
      <c r="N292" s="0">
        <f>D292*A292</f>
        <v/>
      </c>
      <c r="O292" s="0">
        <f>E292*A292</f>
        <v/>
      </c>
      <c r="P292" s="0">
        <f>-K292-M292-N292-O292</f>
        <v/>
      </c>
    </row>
    <row r="293">
      <c r="C293" s="0">
        <f>A293*B293</f>
        <v/>
      </c>
      <c r="D293" s="0" t="n">
        <v>0.016</v>
      </c>
      <c r="E293" s="0" t="n">
        <v>0.00919</v>
      </c>
      <c r="F293" s="0">
        <f>A293*200</f>
        <v/>
      </c>
      <c r="G293" s="0">
        <f>-B293</f>
        <v/>
      </c>
      <c r="H293" s="0">
        <f>-C293*200</f>
        <v/>
      </c>
      <c r="I293" s="0" t="n">
        <v>1</v>
      </c>
      <c r="J293" s="0">
        <f>LN(F293/1000)</f>
        <v/>
      </c>
      <c r="K293" s="0">
        <f>((-G293)-$N$2)</f>
        <v/>
      </c>
      <c r="L293" s="0" t="n">
        <v>1</v>
      </c>
      <c r="M293" s="0">
        <f>-1*($S$4+($S$5*J293))</f>
        <v/>
      </c>
      <c r="N293" s="0">
        <f>D293*A293</f>
        <v/>
      </c>
      <c r="O293" s="0">
        <f>E293*A293</f>
        <v/>
      </c>
      <c r="P293" s="0">
        <f>-K293-M293-N293-O293</f>
        <v/>
      </c>
    </row>
    <row r="294">
      <c r="C294" s="0">
        <f>A294*B294</f>
        <v/>
      </c>
      <c r="D294" s="0" t="n">
        <v>0.016</v>
      </c>
      <c r="E294" s="0" t="n">
        <v>0.00919</v>
      </c>
      <c r="F294" s="0">
        <f>A294*200</f>
        <v/>
      </c>
      <c r="G294" s="0">
        <f>-B294</f>
        <v/>
      </c>
      <c r="H294" s="0">
        <f>-C294*200</f>
        <v/>
      </c>
      <c r="I294" s="0" t="n">
        <v>1</v>
      </c>
      <c r="J294" s="0">
        <f>LN(F294/1000)</f>
        <v/>
      </c>
      <c r="K294" s="0">
        <f>((-G294)-$N$2)</f>
        <v/>
      </c>
      <c r="L294" s="0" t="n">
        <v>1</v>
      </c>
      <c r="M294" s="0">
        <f>-1*($S$4+($S$5*J294))</f>
        <v/>
      </c>
      <c r="N294" s="0">
        <f>D294*A294</f>
        <v/>
      </c>
      <c r="O294" s="0">
        <f>E294*A294</f>
        <v/>
      </c>
      <c r="P294" s="0">
        <f>-K294-M294-N294-O294</f>
        <v/>
      </c>
    </row>
    <row r="295">
      <c r="C295" s="0">
        <f>A295*B295</f>
        <v/>
      </c>
      <c r="D295" s="0" t="n">
        <v>0.016</v>
      </c>
      <c r="E295" s="0" t="n">
        <v>0.00919</v>
      </c>
      <c r="F295" s="0">
        <f>A295*200</f>
        <v/>
      </c>
      <c r="G295" s="0">
        <f>-B295</f>
        <v/>
      </c>
      <c r="H295" s="0">
        <f>-C295*200</f>
        <v/>
      </c>
      <c r="I295" s="0" t="n">
        <v>1</v>
      </c>
      <c r="J295" s="0">
        <f>LN(F295/1000)</f>
        <v/>
      </c>
      <c r="K295" s="0">
        <f>((-G295)-$N$2)</f>
        <v/>
      </c>
      <c r="L295" s="0" t="n">
        <v>1</v>
      </c>
      <c r="M295" s="0">
        <f>-1*($S$4+($S$5*J295))</f>
        <v/>
      </c>
      <c r="N295" s="0">
        <f>D295*A295</f>
        <v/>
      </c>
      <c r="O295" s="0">
        <f>E295*A295</f>
        <v/>
      </c>
      <c r="P295" s="0">
        <f>-K295-M295-N295-O295</f>
        <v/>
      </c>
    </row>
    <row r="296">
      <c r="C296" s="0">
        <f>A296*B296</f>
        <v/>
      </c>
      <c r="D296" s="0" t="n">
        <v>0.016</v>
      </c>
      <c r="E296" s="0" t="n">
        <v>0.00919</v>
      </c>
      <c r="F296" s="0">
        <f>A296*200</f>
        <v/>
      </c>
      <c r="G296" s="0">
        <f>-B296</f>
        <v/>
      </c>
      <c r="H296" s="0">
        <f>-C296*200</f>
        <v/>
      </c>
      <c r="I296" s="0" t="n">
        <v>1</v>
      </c>
      <c r="J296" s="0">
        <f>LN(F296/1000)</f>
        <v/>
      </c>
      <c r="K296" s="0">
        <f>((-G296)-$N$2)</f>
        <v/>
      </c>
      <c r="L296" s="0" t="n">
        <v>1</v>
      </c>
      <c r="M296" s="0">
        <f>-1*($S$4+($S$5*J296))</f>
        <v/>
      </c>
      <c r="N296" s="0">
        <f>D296*A296</f>
        <v/>
      </c>
      <c r="O296" s="0">
        <f>E296*A296</f>
        <v/>
      </c>
      <c r="P296" s="0">
        <f>-K296-M296-N296-O296</f>
        <v/>
      </c>
    </row>
    <row r="297">
      <c r="C297" s="0">
        <f>A297*B297</f>
        <v/>
      </c>
      <c r="D297" s="0" t="n">
        <v>0.016</v>
      </c>
      <c r="E297" s="0" t="n">
        <v>0.00919</v>
      </c>
      <c r="F297" s="0">
        <f>A297*200</f>
        <v/>
      </c>
      <c r="G297" s="0">
        <f>-B297</f>
        <v/>
      </c>
      <c r="H297" s="0">
        <f>-C297*200</f>
        <v/>
      </c>
      <c r="I297" s="0" t="n">
        <v>1</v>
      </c>
      <c r="J297" s="0">
        <f>LN(F297/1000)</f>
        <v/>
      </c>
      <c r="K297" s="0">
        <f>((-G297)-$N$2)</f>
        <v/>
      </c>
      <c r="L297" s="0" t="n">
        <v>1</v>
      </c>
      <c r="M297" s="0">
        <f>-1*($S$4+($S$5*J297))</f>
        <v/>
      </c>
      <c r="N297" s="0">
        <f>D297*A297</f>
        <v/>
      </c>
      <c r="O297" s="0">
        <f>E297*A297</f>
        <v/>
      </c>
      <c r="P297" s="0">
        <f>-K297-M297-N297-O297</f>
        <v/>
      </c>
    </row>
    <row r="298">
      <c r="C298" s="0">
        <f>A298*B298</f>
        <v/>
      </c>
      <c r="D298" s="0" t="n">
        <v>0.016</v>
      </c>
      <c r="E298" s="0" t="n">
        <v>0.00919</v>
      </c>
      <c r="F298" s="0">
        <f>A298*200</f>
        <v/>
      </c>
      <c r="G298" s="0">
        <f>-B298</f>
        <v/>
      </c>
      <c r="H298" s="0">
        <f>-C298*200</f>
        <v/>
      </c>
      <c r="I298" s="0" t="n">
        <v>1</v>
      </c>
      <c r="J298" s="0">
        <f>LN(F298/1000)</f>
        <v/>
      </c>
      <c r="K298" s="0">
        <f>((-G298)-$N$2)</f>
        <v/>
      </c>
      <c r="L298" s="0" t="n">
        <v>1</v>
      </c>
      <c r="M298" s="0">
        <f>-1*($S$4+($S$5*J298))</f>
        <v/>
      </c>
      <c r="N298" s="0">
        <f>D298*A298</f>
        <v/>
      </c>
      <c r="O298" s="0">
        <f>E298*A298</f>
        <v/>
      </c>
      <c r="P298" s="0">
        <f>-K298-M298-N298-O298</f>
        <v/>
      </c>
    </row>
    <row r="299">
      <c r="C299" s="0">
        <f>A299*B299</f>
        <v/>
      </c>
      <c r="D299" s="0" t="n">
        <v>0.016</v>
      </c>
      <c r="E299" s="0" t="n">
        <v>0.00919</v>
      </c>
      <c r="F299" s="0">
        <f>A299*200</f>
        <v/>
      </c>
      <c r="G299" s="0">
        <f>-B299</f>
        <v/>
      </c>
      <c r="H299" s="0">
        <f>-C299*200</f>
        <v/>
      </c>
      <c r="I299" s="0" t="n">
        <v>1</v>
      </c>
      <c r="J299" s="0">
        <f>LN(F299/1000)</f>
        <v/>
      </c>
      <c r="K299" s="0">
        <f>((-G299)-$N$2)</f>
        <v/>
      </c>
      <c r="L299" s="0" t="n">
        <v>1</v>
      </c>
      <c r="M299" s="0">
        <f>-1*($S$4+($S$5*J299))</f>
        <v/>
      </c>
      <c r="N299" s="0">
        <f>D299*A299</f>
        <v/>
      </c>
      <c r="O299" s="0">
        <f>E299*A299</f>
        <v/>
      </c>
      <c r="P299" s="0">
        <f>-K299-M299-N299-O299</f>
        <v/>
      </c>
    </row>
    <row r="300">
      <c r="C300" s="0">
        <f>A300*B300</f>
        <v/>
      </c>
      <c r="D300" s="0" t="n">
        <v>0.016</v>
      </c>
      <c r="E300" s="0" t="n">
        <v>0.00919</v>
      </c>
      <c r="F300" s="0">
        <f>A300*200</f>
        <v/>
      </c>
      <c r="G300" s="0">
        <f>-B300</f>
        <v/>
      </c>
      <c r="H300" s="0">
        <f>-C300*200</f>
        <v/>
      </c>
      <c r="I300" s="0" t="n">
        <v>1</v>
      </c>
      <c r="J300" s="0">
        <f>LN(F300/1000)</f>
        <v/>
      </c>
      <c r="K300" s="0">
        <f>((-G300)-$N$2)</f>
        <v/>
      </c>
      <c r="L300" s="0" t="n">
        <v>1</v>
      </c>
      <c r="M300" s="0">
        <f>-1*($S$4+($S$5*J300))</f>
        <v/>
      </c>
      <c r="N300" s="0">
        <f>D300*A300</f>
        <v/>
      </c>
      <c r="O300" s="0">
        <f>E300*A300</f>
        <v/>
      </c>
      <c r="P300" s="0">
        <f>-K300-M300-N300-O300</f>
        <v/>
      </c>
    </row>
    <row r="301">
      <c r="C301" s="0">
        <f>A301*B301</f>
        <v/>
      </c>
      <c r="D301" s="0" t="n">
        <v>0.016</v>
      </c>
      <c r="E301" s="0" t="n">
        <v>0.00919</v>
      </c>
      <c r="F301" s="0">
        <f>A301*200</f>
        <v/>
      </c>
      <c r="G301" s="0">
        <f>-B301</f>
        <v/>
      </c>
      <c r="H301" s="0">
        <f>-C301*200</f>
        <v/>
      </c>
      <c r="I301" s="0" t="n">
        <v>1</v>
      </c>
      <c r="J301" s="0">
        <f>LN(F301/1000)</f>
        <v/>
      </c>
      <c r="K301" s="0">
        <f>((-G301)-$N$2)</f>
        <v/>
      </c>
      <c r="L301" s="0" t="n">
        <v>1</v>
      </c>
      <c r="M301" s="0">
        <f>-1*($S$4+($S$5*J301))</f>
        <v/>
      </c>
      <c r="N301" s="0">
        <f>D301*A301</f>
        <v/>
      </c>
      <c r="O301" s="0">
        <f>E301*A301</f>
        <v/>
      </c>
      <c r="P301" s="0">
        <f>-K301-M301-N301-O301</f>
        <v/>
      </c>
    </row>
    <row r="302">
      <c r="C302" s="0">
        <f>A302*B302</f>
        <v/>
      </c>
      <c r="D302" s="0" t="n">
        <v>0.016</v>
      </c>
      <c r="E302" s="0" t="n">
        <v>0.00919</v>
      </c>
      <c r="F302" s="0">
        <f>A302*200</f>
        <v/>
      </c>
      <c r="G302" s="0">
        <f>-B302</f>
        <v/>
      </c>
      <c r="H302" s="0">
        <f>-C302*200</f>
        <v/>
      </c>
      <c r="I302" s="0" t="n">
        <v>1</v>
      </c>
      <c r="J302" s="0">
        <f>LN(F302/1000)</f>
        <v/>
      </c>
      <c r="K302" s="0">
        <f>((-G302)-$N$2)</f>
        <v/>
      </c>
      <c r="L302" s="0" t="n">
        <v>1</v>
      </c>
      <c r="M302" s="0">
        <f>-1*($S$4+($S$5*J302))</f>
        <v/>
      </c>
      <c r="N302" s="0">
        <f>D302*A302</f>
        <v/>
      </c>
      <c r="O302" s="0">
        <f>E302*A302</f>
        <v/>
      </c>
      <c r="P302" s="0">
        <f>-K302-M302-N302-O302</f>
        <v/>
      </c>
    </row>
    <row r="303">
      <c r="C303" s="0">
        <f>A303*B303</f>
        <v/>
      </c>
      <c r="D303" s="0" t="n">
        <v>0.016</v>
      </c>
      <c r="E303" s="0" t="n">
        <v>0.00919</v>
      </c>
      <c r="F303" s="0">
        <f>A303*200</f>
        <v/>
      </c>
      <c r="G303" s="0">
        <f>-B303</f>
        <v/>
      </c>
      <c r="H303" s="0">
        <f>-C303*200</f>
        <v/>
      </c>
      <c r="I303" s="0" t="n">
        <v>1</v>
      </c>
      <c r="J303" s="0">
        <f>LN(F303/1000)</f>
        <v/>
      </c>
      <c r="K303" s="0">
        <f>((-G303)-$N$2)</f>
        <v/>
      </c>
      <c r="L303" s="0" t="n">
        <v>1</v>
      </c>
      <c r="M303" s="0">
        <f>-1*($S$4+($S$5*J303))</f>
        <v/>
      </c>
      <c r="N303" s="0">
        <f>D303*A303</f>
        <v/>
      </c>
      <c r="O303" s="0">
        <f>E303*A303</f>
        <v/>
      </c>
      <c r="P303" s="0">
        <f>-K303-M303-N303-O303</f>
        <v/>
      </c>
    </row>
  </sheetData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32"/>
  <sheetViews>
    <sheetView topLeftCell="I106" workbookViewId="0">
      <selection activeCell="Q121" sqref="Q2:Q121"/>
    </sheetView>
  </sheetViews>
  <sheetFormatPr baseColWidth="8" defaultRowHeight="16.5"/>
  <sheetData>
    <row r="1">
      <c r="A1" s="0" t="inlineStr">
        <is>
          <t>I</t>
        </is>
      </c>
      <c r="B1" s="0" t="inlineStr">
        <is>
          <t>I</t>
        </is>
      </c>
      <c r="C1" s="0" t="inlineStr">
        <is>
          <t>V</t>
        </is>
      </c>
      <c r="D1" s="0" t="inlineStr">
        <is>
          <t>AUX</t>
        </is>
      </c>
      <c r="I1" s="2">
        <f>Sheet1!N2</f>
        <v/>
      </c>
    </row>
    <row r="2">
      <c r="A2" s="0" t="n">
        <v>0.06610000000000001</v>
      </c>
      <c r="B2" s="0">
        <f>A2*200</f>
        <v/>
      </c>
      <c r="C2" s="0" t="n">
        <v>0.846</v>
      </c>
      <c r="D2" t="n">
        <v>0.02188474498689175</v>
      </c>
      <c r="E2" s="0">
        <f>B2</f>
        <v/>
      </c>
      <c r="F2" s="0">
        <f>D2-0.0045</f>
        <v/>
      </c>
      <c r="I2" s="0">
        <f>C2+(D2*A2)</f>
        <v/>
      </c>
      <c r="K2" s="0">
        <f>I2+(F2*C2)</f>
        <v/>
      </c>
      <c r="L2" s="0">
        <f>K2-$I$1</f>
        <v/>
      </c>
      <c r="N2" s="0" t="n">
        <v>5.2834</v>
      </c>
      <c r="O2" s="0">
        <f>N2/200</f>
        <v/>
      </c>
    </row>
    <row r="3">
      <c r="A3" s="0" t="n">
        <v>0.117</v>
      </c>
      <c r="B3" s="0">
        <f>A3*200</f>
        <v/>
      </c>
      <c r="C3" s="0" t="n">
        <v>0.837</v>
      </c>
      <c r="D3" t="n">
        <v>0.0200420618057251</v>
      </c>
      <c r="E3" s="0">
        <f>B3</f>
        <v/>
      </c>
      <c r="F3" s="0">
        <f>D3-0.0045</f>
        <v/>
      </c>
      <c r="I3" s="0">
        <f>C3+(D3*A3)</f>
        <v/>
      </c>
      <c r="K3" s="0">
        <f>I3+(F3*C3)</f>
        <v/>
      </c>
      <c r="L3" s="0">
        <f>K3-$I$1</f>
        <v/>
      </c>
      <c r="N3" s="0" t="n">
        <v>15.97625</v>
      </c>
      <c r="O3" s="0">
        <f>N3/200</f>
        <v/>
      </c>
    </row>
    <row r="4">
      <c r="A4" s="0" t="n">
        <v>0.168</v>
      </c>
      <c r="B4" s="0">
        <f>A4*200</f>
        <v/>
      </c>
      <c r="C4" s="0" t="n">
        <v>0.828</v>
      </c>
      <c r="D4" t="n">
        <v>0.0202435664832592</v>
      </c>
      <c r="E4" s="0">
        <f>B4</f>
        <v/>
      </c>
      <c r="F4" s="0">
        <f>D4-0.0045</f>
        <v/>
      </c>
      <c r="I4" s="0">
        <f>C4+(D4*A4)</f>
        <v/>
      </c>
      <c r="K4" s="0">
        <f>I4+(F4*C4)</f>
        <v/>
      </c>
      <c r="L4" s="0">
        <f>K4-$I$1</f>
        <v/>
      </c>
      <c r="N4" s="0" t="n">
        <v>26.05808</v>
      </c>
      <c r="O4" s="0">
        <f>N4/200</f>
        <v/>
      </c>
    </row>
    <row r="5">
      <c r="A5" s="0" t="n">
        <v>0.22</v>
      </c>
      <c r="B5" s="0">
        <f>A5*200</f>
        <v/>
      </c>
      <c r="C5" s="0" t="n">
        <v>0.8179999999999999</v>
      </c>
      <c r="D5" t="n">
        <v>0.01856775023043156</v>
      </c>
      <c r="E5" s="0">
        <f>B5</f>
        <v/>
      </c>
      <c r="F5" s="0">
        <f>D5-0.0045</f>
        <v/>
      </c>
      <c r="I5" s="0">
        <f>C5+(D5*A5)</f>
        <v/>
      </c>
      <c r="K5" s="0">
        <f>I5+(F5*C5)</f>
        <v/>
      </c>
      <c r="L5" s="0">
        <f>K5-$I$1</f>
        <v/>
      </c>
      <c r="N5" s="0" t="n">
        <v>36.54726</v>
      </c>
      <c r="O5" s="0">
        <f>N5/200</f>
        <v/>
      </c>
    </row>
    <row r="6">
      <c r="A6" s="0" t="n">
        <v>0.273</v>
      </c>
      <c r="B6" s="0">
        <f>A6*200</f>
        <v/>
      </c>
      <c r="C6" s="0" t="n">
        <v>0.8110000000000001</v>
      </c>
      <c r="D6" t="n">
        <v>0.02292344346642494</v>
      </c>
      <c r="E6" s="0">
        <f>B6</f>
        <v/>
      </c>
      <c r="F6" s="0">
        <f>D6-0.0045</f>
        <v/>
      </c>
      <c r="I6" s="0">
        <f>C6+(D6*A6)</f>
        <v/>
      </c>
      <c r="K6" s="0">
        <f>I6+(F6*C6)</f>
        <v/>
      </c>
      <c r="L6" s="0">
        <f>K6-$I$1</f>
        <v/>
      </c>
      <c r="N6" s="0" t="n">
        <v>47.44378</v>
      </c>
      <c r="O6" s="0">
        <f>N6/200</f>
        <v/>
      </c>
    </row>
    <row r="7">
      <c r="A7" s="0" t="n">
        <v>0.324</v>
      </c>
      <c r="B7" s="0">
        <f>A7*200</f>
        <v/>
      </c>
      <c r="C7" s="0" t="n">
        <v>0.803</v>
      </c>
      <c r="D7" t="n">
        <v>0.02005913108587265</v>
      </c>
      <c r="E7" s="0">
        <f>B7</f>
        <v/>
      </c>
      <c r="F7" s="0">
        <f>D7-0.0045</f>
        <v/>
      </c>
      <c r="I7" s="0">
        <f>C7+(D7*A7)</f>
        <v/>
      </c>
      <c r="K7" s="0">
        <f>I7+(F7*C7)</f>
        <v/>
      </c>
      <c r="L7" s="0">
        <f>K7-$I$1</f>
        <v/>
      </c>
      <c r="N7" s="0" t="n">
        <v>57.52561</v>
      </c>
      <c r="O7" s="0">
        <f>N7/200</f>
        <v/>
      </c>
    </row>
    <row r="8">
      <c r="A8" s="0" t="n">
        <v>0.375</v>
      </c>
      <c r="B8" s="0">
        <f>A8*200</f>
        <v/>
      </c>
      <c r="C8" s="0" t="n">
        <v>0.797</v>
      </c>
      <c r="D8" t="n">
        <v>0.02002382278442383</v>
      </c>
      <c r="E8" s="0">
        <f>B8</f>
        <v/>
      </c>
      <c r="F8" s="0">
        <f>D8-0.0045</f>
        <v/>
      </c>
      <c r="I8" s="0">
        <f>C8+(D8*A8)</f>
        <v/>
      </c>
      <c r="K8" s="0">
        <f>I8+(F8*C8)</f>
        <v/>
      </c>
      <c r="L8" s="0">
        <f>K8-$I$1</f>
        <v/>
      </c>
      <c r="N8" s="0" t="n">
        <v>68.01478</v>
      </c>
      <c r="O8" s="0">
        <f>N8/200</f>
        <v/>
      </c>
    </row>
    <row r="9">
      <c r="A9" s="0" t="n">
        <v>0.426</v>
      </c>
      <c r="B9" s="0">
        <f>A9*200</f>
        <v/>
      </c>
      <c r="C9" s="0" t="n">
        <v>0.791</v>
      </c>
      <c r="D9" t="n">
        <v>0.02062098495662212</v>
      </c>
      <c r="E9" s="0">
        <f>B9</f>
        <v/>
      </c>
      <c r="F9" s="0">
        <f>D9-0.0045</f>
        <v/>
      </c>
      <c r="I9" s="0">
        <f>C9+(D9*A9)</f>
        <v/>
      </c>
      <c r="K9" s="0">
        <f>I9+(F9*C9)</f>
        <v/>
      </c>
      <c r="L9" s="0">
        <f>K9-$I$1</f>
        <v/>
      </c>
      <c r="N9" s="0" t="n">
        <v>78.19844000000001</v>
      </c>
      <c r="O9" s="0">
        <f>N9/200</f>
        <v/>
      </c>
    </row>
    <row r="10">
      <c r="A10" s="0" t="n">
        <v>0.479</v>
      </c>
      <c r="B10" s="0">
        <f>A10*200</f>
        <v/>
      </c>
      <c r="C10" s="0" t="n">
        <v>0.785</v>
      </c>
      <c r="D10" t="n">
        <v>0.02150164172053337</v>
      </c>
      <c r="E10" s="0">
        <f>B10</f>
        <v/>
      </c>
      <c r="F10" s="0">
        <f>D10-0.0045</f>
        <v/>
      </c>
      <c r="I10" s="0">
        <f>C10+(D10*A10)</f>
        <v/>
      </c>
      <c r="K10" s="0">
        <f>I10+(F10*C10)</f>
        <v/>
      </c>
      <c r="L10" s="0">
        <f>K10-$I$1</f>
        <v/>
      </c>
      <c r="N10" s="0" t="n">
        <v>88.48394999999999</v>
      </c>
      <c r="O10" s="0">
        <f>N10/200</f>
        <v/>
      </c>
    </row>
    <row r="11">
      <c r="A11" s="0" t="n">
        <v>0.5329999999999999</v>
      </c>
      <c r="B11" s="0">
        <f>A11*200</f>
        <v/>
      </c>
      <c r="C11" s="0" t="n">
        <v>0.779</v>
      </c>
      <c r="D11" t="n">
        <v>0.02074512094259262</v>
      </c>
      <c r="E11" s="0">
        <f>B11</f>
        <v/>
      </c>
      <c r="F11" s="0">
        <f>D11-0.0045</f>
        <v/>
      </c>
      <c r="I11" s="0">
        <f>C11+(D11*A11)</f>
        <v/>
      </c>
      <c r="K11" s="0">
        <f>I11+(F11*C11)</f>
        <v/>
      </c>
      <c r="L11" s="0">
        <f>K11-$I$1</f>
        <v/>
      </c>
      <c r="N11" s="0" t="n">
        <v>98.66761</v>
      </c>
      <c r="O11" s="0">
        <f>N11/200</f>
        <v/>
      </c>
    </row>
    <row r="12">
      <c r="A12" s="0" t="n">
        <v>0.588</v>
      </c>
      <c r="B12" s="0">
        <f>A12*200</f>
        <v/>
      </c>
      <c r="C12" s="0" t="n">
        <v>0.774</v>
      </c>
      <c r="D12" t="n">
        <v>0.02223155833780766</v>
      </c>
      <c r="E12" s="0">
        <f>B12</f>
        <v/>
      </c>
      <c r="F12" s="0">
        <f>D12-0.0045</f>
        <v/>
      </c>
      <c r="I12" s="0">
        <f>C12+(D12*A12)</f>
        <v/>
      </c>
      <c r="K12" s="0">
        <f>I12+(F12*C12)</f>
        <v/>
      </c>
      <c r="L12" s="0">
        <f>K12-$I$1</f>
        <v/>
      </c>
      <c r="N12" s="0" t="n">
        <v>109.05496</v>
      </c>
      <c r="O12" s="0">
        <f>N12/200</f>
        <v/>
      </c>
    </row>
    <row r="13">
      <c r="A13" s="0" t="n">
        <v>0.639</v>
      </c>
      <c r="B13" s="0">
        <f>A13*200</f>
        <v/>
      </c>
      <c r="C13" s="0" t="n">
        <v>0.768</v>
      </c>
      <c r="D13" t="n">
        <v>0.02061885595321655</v>
      </c>
      <c r="E13" s="0">
        <f>B13</f>
        <v/>
      </c>
      <c r="F13" s="0">
        <f>D13-0.0045</f>
        <v/>
      </c>
      <c r="I13" s="0">
        <f>C13+(D13*A13)</f>
        <v/>
      </c>
      <c r="K13" s="0">
        <f>I13+(F13*C13)</f>
        <v/>
      </c>
      <c r="L13" s="0">
        <f>K13-$I$1</f>
        <v/>
      </c>
      <c r="N13" s="0" t="n">
        <v>119.4423</v>
      </c>
      <c r="O13" s="0">
        <f>N13/200</f>
        <v/>
      </c>
    </row>
    <row r="14">
      <c r="A14" s="0" t="n">
        <v>0.6890000000000001</v>
      </c>
      <c r="B14" s="0">
        <f>A14*200</f>
        <v/>
      </c>
      <c r="C14" s="0" t="n">
        <v>0.764</v>
      </c>
      <c r="D14" t="n">
        <v>0.02157804369926453</v>
      </c>
      <c r="E14" s="0">
        <f>B14</f>
        <v/>
      </c>
      <c r="F14" s="0">
        <f>D14-0.0045</f>
        <v/>
      </c>
      <c r="I14" s="0">
        <f>C14+(D14*A14)</f>
        <v/>
      </c>
      <c r="K14" s="0">
        <f>I14+(F14*C14)</f>
        <v/>
      </c>
      <c r="L14" s="0">
        <f>K14-$I$1</f>
        <v/>
      </c>
      <c r="N14" s="0" t="n">
        <v>129.52412</v>
      </c>
      <c r="O14" s="0">
        <f>N14/200</f>
        <v/>
      </c>
    </row>
    <row r="15">
      <c r="A15" s="0" t="n">
        <v>0.743</v>
      </c>
      <c r="B15" s="0">
        <f>A15*200</f>
        <v/>
      </c>
      <c r="C15" s="0" t="n">
        <v>0.759</v>
      </c>
      <c r="D15" t="n">
        <v>0.02084491401910782</v>
      </c>
      <c r="E15" s="0">
        <f>B15</f>
        <v/>
      </c>
      <c r="F15" s="0">
        <f>D15-0.0045</f>
        <v/>
      </c>
      <c r="I15" s="0">
        <f>C15+(D15*A15)</f>
        <v/>
      </c>
      <c r="K15" s="0">
        <f>I15+(F15*C15)</f>
        <v/>
      </c>
      <c r="L15" s="0">
        <f>K15-$I$1</f>
        <v/>
      </c>
      <c r="N15" s="0" t="n">
        <v>139.60594</v>
      </c>
      <c r="O15" s="0">
        <f>N15/200</f>
        <v/>
      </c>
    </row>
    <row r="16">
      <c r="A16" s="0" t="n">
        <v>0.794</v>
      </c>
      <c r="B16" s="0">
        <f>A16*200</f>
        <v/>
      </c>
      <c r="C16" s="0" t="n">
        <v>0.754</v>
      </c>
      <c r="D16" t="n">
        <v>0.02178681455552578</v>
      </c>
      <c r="E16" s="0">
        <f>B16</f>
        <v/>
      </c>
      <c r="F16" s="0">
        <f>D16-0.0045</f>
        <v/>
      </c>
      <c r="I16" s="0">
        <f>C16+(D16*A16)</f>
        <v/>
      </c>
      <c r="K16" s="0">
        <f>I16+(F16*C16)</f>
        <v/>
      </c>
      <c r="L16" s="0">
        <f>K16-$I$1</f>
        <v/>
      </c>
      <c r="N16" s="0" t="n">
        <v>150.29879</v>
      </c>
      <c r="O16" s="0">
        <f>N16/200</f>
        <v/>
      </c>
    </row>
    <row r="17">
      <c r="A17" s="0" t="n">
        <v>0.847</v>
      </c>
      <c r="B17" s="0">
        <f>A17*200</f>
        <v/>
      </c>
      <c r="C17" s="0" t="n">
        <v>0.75</v>
      </c>
      <c r="D17" t="n">
        <v>0.02149804309010506</v>
      </c>
      <c r="E17" s="0">
        <f>B17</f>
        <v/>
      </c>
      <c r="F17" s="0">
        <f>D17-0.0045</f>
        <v/>
      </c>
      <c r="I17" s="0">
        <f>C17+(D17*A17)</f>
        <v/>
      </c>
      <c r="K17" s="0">
        <f>I17+(F17*C17)</f>
        <v/>
      </c>
      <c r="L17" s="0">
        <f>K17-$I$1</f>
        <v/>
      </c>
      <c r="N17" s="0" t="n">
        <v>160.38063</v>
      </c>
      <c r="O17" s="0">
        <f>N17/200</f>
        <v/>
      </c>
    </row>
    <row r="18">
      <c r="A18" s="0" t="n">
        <v>0.899</v>
      </c>
      <c r="B18" s="0">
        <f>A18*200</f>
        <v/>
      </c>
      <c r="C18" s="0" t="n">
        <v>0.746</v>
      </c>
      <c r="D18" t="n">
        <v>0.02160311862826347</v>
      </c>
      <c r="E18" s="0">
        <f>B18</f>
        <v/>
      </c>
      <c r="F18" s="0">
        <f>D18-0.0045</f>
        <v/>
      </c>
      <c r="I18" s="0">
        <f>C18+(D18*A18)</f>
        <v/>
      </c>
      <c r="K18" s="0">
        <f>I18+(F18*C18)</f>
        <v/>
      </c>
      <c r="L18" s="0">
        <f>K18-$I$1</f>
        <v/>
      </c>
      <c r="N18" s="0" t="n">
        <v>170.76796</v>
      </c>
      <c r="O18" s="0">
        <f>N18/200</f>
        <v/>
      </c>
    </row>
    <row r="19">
      <c r="A19" s="0" t="n">
        <v>0.951</v>
      </c>
      <c r="B19" s="0">
        <f>A19*200</f>
        <v/>
      </c>
      <c r="C19" s="0" t="n">
        <v>0.742</v>
      </c>
      <c r="D19" t="n">
        <v>0.02212035283446312</v>
      </c>
      <c r="E19" s="0">
        <f>B19</f>
        <v/>
      </c>
      <c r="F19" s="0">
        <f>D19-0.0045</f>
        <v/>
      </c>
      <c r="I19" s="0">
        <f>C19+(D19*A19)</f>
        <v/>
      </c>
      <c r="K19" s="0">
        <f>I19+(F19*C19)</f>
        <v/>
      </c>
      <c r="L19" s="0">
        <f>K19-$I$1</f>
        <v/>
      </c>
      <c r="N19" s="0" t="n">
        <v>180.84979</v>
      </c>
      <c r="O19" s="0">
        <f>N19/200</f>
        <v/>
      </c>
    </row>
    <row r="20">
      <c r="A20" s="0" t="n">
        <v>1</v>
      </c>
      <c r="B20" s="0">
        <f>A20*200</f>
        <v/>
      </c>
      <c r="C20" s="0" t="n">
        <v>0.737</v>
      </c>
      <c r="D20" t="n">
        <v>0.02196707017719746</v>
      </c>
      <c r="E20" s="0">
        <f>B20</f>
        <v/>
      </c>
      <c r="F20" s="0">
        <f>D20-0.0045</f>
        <v/>
      </c>
      <c r="I20" s="0">
        <f>C20+(D20*A20)</f>
        <v/>
      </c>
      <c r="K20" s="0">
        <f>I20+(F20*C20)</f>
        <v/>
      </c>
      <c r="L20" s="0">
        <f>K20-$I$1</f>
        <v/>
      </c>
      <c r="N20" s="0" t="n">
        <v>191.54263</v>
      </c>
      <c r="O20" s="0">
        <f>N20/200</f>
        <v/>
      </c>
    </row>
    <row r="21">
      <c r="A21" s="0" t="n">
        <v>1.06</v>
      </c>
      <c r="B21" s="0">
        <f>A21*200</f>
        <v/>
      </c>
      <c r="C21" s="0" t="n">
        <v>0.733</v>
      </c>
      <c r="D21" t="n">
        <v>0.02210067585110664</v>
      </c>
      <c r="E21" s="0">
        <f>B21</f>
        <v/>
      </c>
      <c r="F21" s="0">
        <f>D21-0.0045</f>
        <v/>
      </c>
      <c r="I21" s="0">
        <f>C21+(D21*A21)</f>
        <v/>
      </c>
      <c r="K21" s="0">
        <f>I21+(F21*C21)</f>
        <v/>
      </c>
      <c r="L21" s="0">
        <f>K21-$I$1</f>
        <v/>
      </c>
      <c r="N21" s="0" t="n">
        <v>201.92998</v>
      </c>
      <c r="O21" s="0">
        <f>N21/200</f>
        <v/>
      </c>
    </row>
    <row r="22">
      <c r="A22" s="0" t="n">
        <v>1.11</v>
      </c>
      <c r="B22" s="0">
        <f>A22*200</f>
        <v/>
      </c>
      <c r="C22" s="0" t="n">
        <v>0.729</v>
      </c>
      <c r="D22" t="n">
        <v>0.02124469913542271</v>
      </c>
      <c r="E22" s="0">
        <f>B22</f>
        <v/>
      </c>
      <c r="F22" s="0">
        <f>D22-0.0045</f>
        <v/>
      </c>
      <c r="I22" s="0">
        <f>C22+(D22*A22)</f>
        <v/>
      </c>
      <c r="K22" s="0">
        <f>I22+(F22*C22)</f>
        <v/>
      </c>
      <c r="L22" s="0">
        <f>K22-$I$1</f>
        <v/>
      </c>
      <c r="N22" s="0" t="n">
        <v>212.72468</v>
      </c>
      <c r="O22" s="0">
        <f>N22/200</f>
        <v/>
      </c>
    </row>
    <row r="23">
      <c r="A23" s="0" t="n">
        <v>1.16</v>
      </c>
      <c r="B23" s="0">
        <f>A23*200</f>
        <v/>
      </c>
      <c r="C23" s="0" t="n">
        <v>0.726</v>
      </c>
      <c r="D23" t="n">
        <v>0.02223465405404568</v>
      </c>
      <c r="E23" s="0">
        <f>B23</f>
        <v/>
      </c>
      <c r="F23" s="0">
        <f>D23-0.0045</f>
        <v/>
      </c>
      <c r="I23" s="0">
        <f>C23+(D23*A23)</f>
        <v/>
      </c>
      <c r="K23" s="0">
        <f>I23+(F23*C23)</f>
        <v/>
      </c>
      <c r="L23" s="0">
        <f>K23-$I$1</f>
        <v/>
      </c>
      <c r="N23" s="0" t="n">
        <v>223.0102</v>
      </c>
      <c r="O23" s="0">
        <f>N23/200</f>
        <v/>
      </c>
    </row>
    <row r="24">
      <c r="A24" s="0" t="n">
        <v>1.21</v>
      </c>
      <c r="B24" s="0">
        <f>A24*200</f>
        <v/>
      </c>
      <c r="C24" s="0" t="n">
        <v>0.722</v>
      </c>
      <c r="D24" t="n">
        <v>0.02199913933873177</v>
      </c>
      <c r="E24" s="0">
        <f>B24</f>
        <v/>
      </c>
      <c r="F24" s="0">
        <f>D24-0.0045</f>
        <v/>
      </c>
      <c r="I24" s="0">
        <f>C24+(D24*A24)</f>
        <v/>
      </c>
      <c r="K24" s="0">
        <f>I24+(F24*C24)</f>
        <v/>
      </c>
      <c r="L24" s="0">
        <f>K24-$I$1</f>
        <v/>
      </c>
      <c r="N24" s="0" t="n">
        <v>233.39754</v>
      </c>
      <c r="O24" s="0">
        <f>N24/200</f>
        <v/>
      </c>
    </row>
    <row r="25">
      <c r="A25" s="0" t="n">
        <v>1.27</v>
      </c>
      <c r="B25" s="0">
        <f>A25*200</f>
        <v/>
      </c>
      <c r="C25" s="0" t="n">
        <v>0.718</v>
      </c>
      <c r="D25" t="n">
        <v>0.0226028598845005</v>
      </c>
      <c r="E25" s="0">
        <f>B25</f>
        <v/>
      </c>
      <c r="F25" s="0">
        <f>D25-0.0045</f>
        <v/>
      </c>
      <c r="I25" s="0">
        <f>C25+(D25*A25)</f>
        <v/>
      </c>
      <c r="K25" s="0">
        <f>I25+(F25*C25)</f>
        <v/>
      </c>
      <c r="L25" s="0">
        <f>K25-$I$1</f>
        <v/>
      </c>
      <c r="N25" s="0" t="n">
        <v>243.47934</v>
      </c>
      <c r="O25" s="0">
        <f>N25/200</f>
        <v/>
      </c>
    </row>
    <row r="26">
      <c r="A26" s="0" t="n">
        <v>1.32</v>
      </c>
      <c r="B26" s="0">
        <f>A26*200</f>
        <v/>
      </c>
      <c r="C26" s="0" t="n">
        <v>0.714</v>
      </c>
      <c r="D26" t="n">
        <v>0.02136674337089062</v>
      </c>
      <c r="E26" s="0">
        <f>B26</f>
        <v/>
      </c>
      <c r="F26" s="0">
        <f>D26-0.0045</f>
        <v/>
      </c>
      <c r="I26" s="0">
        <f>C26+(D26*A26)</f>
        <v/>
      </c>
      <c r="K26" s="0">
        <f>I26+(F26*C26)</f>
        <v/>
      </c>
      <c r="L26" s="0">
        <f>K26-$I$1</f>
        <v/>
      </c>
      <c r="N26" s="0" t="n">
        <v>253.76484</v>
      </c>
      <c r="O26" s="0">
        <f>N26/200</f>
        <v/>
      </c>
    </row>
    <row r="27">
      <c r="A27" s="0" t="n">
        <v>1.37</v>
      </c>
      <c r="B27" s="0">
        <f>A27*200</f>
        <v/>
      </c>
      <c r="C27" s="0" t="n">
        <v>0.711</v>
      </c>
      <c r="D27" t="n">
        <v>0.02244500815868378</v>
      </c>
      <c r="E27" s="0">
        <f>B27</f>
        <v/>
      </c>
      <c r="F27" s="0">
        <f>D27-0.0045</f>
        <v/>
      </c>
      <c r="I27" s="0">
        <f>C27+(D27*A27)</f>
        <v/>
      </c>
      <c r="K27" s="0">
        <f>I27+(F27*C27)</f>
        <v/>
      </c>
      <c r="L27" s="0">
        <f>K27-$I$1</f>
        <v/>
      </c>
      <c r="N27" s="0" t="n">
        <v>264.66138</v>
      </c>
      <c r="O27" s="0">
        <f>N27/200</f>
        <v/>
      </c>
    </row>
    <row r="28">
      <c r="A28" s="0" t="n">
        <v>1.42</v>
      </c>
      <c r="B28" s="0">
        <f>A28*200</f>
        <v/>
      </c>
      <c r="C28" s="0" t="n">
        <v>0.707</v>
      </c>
      <c r="D28" t="n">
        <v>0.02068980224430561</v>
      </c>
      <c r="E28" s="0">
        <f>B28</f>
        <v/>
      </c>
      <c r="F28" s="0">
        <f>D28-0.0045</f>
        <v/>
      </c>
      <c r="I28" s="0">
        <f>C28+(D28*A28)</f>
        <v/>
      </c>
      <c r="K28" s="0">
        <f>I28+(F28*C28)</f>
        <v/>
      </c>
      <c r="L28" s="0">
        <f>K28-$I$1</f>
        <v/>
      </c>
      <c r="N28" s="0" t="n">
        <v>275.35422</v>
      </c>
      <c r="O28" s="0">
        <f>N28/200</f>
        <v/>
      </c>
    </row>
    <row r="29">
      <c r="A29" s="0" t="n">
        <v>1.47</v>
      </c>
      <c r="B29" s="0">
        <f>A29*200</f>
        <v/>
      </c>
      <c r="C29" s="0" t="n">
        <v>0.704</v>
      </c>
      <c r="D29" t="n">
        <v>0.0218848567456007</v>
      </c>
      <c r="E29" s="0">
        <f>B29</f>
        <v/>
      </c>
      <c r="F29" s="0">
        <f>D29-0.0045</f>
        <v/>
      </c>
      <c r="I29" s="0">
        <f>C29+(D29*A29)</f>
        <v/>
      </c>
      <c r="K29" s="0">
        <f>I29+(F29*C29)</f>
        <v/>
      </c>
      <c r="L29" s="0">
        <f>K29-$I$1</f>
        <v/>
      </c>
      <c r="N29" s="0" t="n">
        <v>285.74156</v>
      </c>
      <c r="O29" s="0">
        <f>N29/200</f>
        <v/>
      </c>
    </row>
    <row r="30">
      <c r="A30" s="0" t="n">
        <v>1.52</v>
      </c>
      <c r="B30" s="0">
        <f>A30*200</f>
        <v/>
      </c>
      <c r="C30" s="0" t="n">
        <v>0.701</v>
      </c>
      <c r="D30" t="n">
        <v>0.02142326533794403</v>
      </c>
      <c r="E30" s="0">
        <f>B30</f>
        <v/>
      </c>
      <c r="F30" s="0">
        <f>D30-0.0045</f>
        <v/>
      </c>
      <c r="I30" s="0">
        <f>C30+(D30*A30)</f>
        <v/>
      </c>
      <c r="K30" s="0">
        <f>I30+(F30*C30)</f>
        <v/>
      </c>
      <c r="L30" s="0">
        <f>K30-$I$1</f>
        <v/>
      </c>
      <c r="N30" s="0" t="n">
        <v>295.82338</v>
      </c>
      <c r="O30" s="0">
        <f>N30/200</f>
        <v/>
      </c>
    </row>
    <row r="31">
      <c r="A31" s="0" t="n">
        <v>1.57</v>
      </c>
      <c r="B31" s="0">
        <f>A31*200</f>
        <v/>
      </c>
      <c r="C31" s="0" t="n">
        <v>0.697</v>
      </c>
      <c r="D31" t="n">
        <v>0.02206030488014221</v>
      </c>
      <c r="E31" s="0">
        <f>B31</f>
        <v/>
      </c>
      <c r="F31" s="0">
        <f>D31-0.0045</f>
        <v/>
      </c>
      <c r="I31" s="0">
        <f>C31+(D31*A31)</f>
        <v/>
      </c>
      <c r="K31" s="0">
        <f>I31+(F31*C31)</f>
        <v/>
      </c>
      <c r="L31" s="0">
        <f>K31-$I$1</f>
        <v/>
      </c>
      <c r="N31" s="0" t="n">
        <v>305.9052</v>
      </c>
      <c r="O31" s="0">
        <f>N31/200</f>
        <v/>
      </c>
    </row>
    <row r="32">
      <c r="A32" s="0" t="n">
        <v>1.62</v>
      </c>
      <c r="B32" s="0">
        <f>A32*200</f>
        <v/>
      </c>
      <c r="C32" s="0" t="n">
        <v>0.694</v>
      </c>
      <c r="D32" t="n">
        <v>0.02066031657159328</v>
      </c>
      <c r="E32" s="0">
        <f>B32</f>
        <v/>
      </c>
      <c r="F32" s="0">
        <f>D32-0.0045</f>
        <v/>
      </c>
      <c r="I32" s="0">
        <f>C32+(D32*A32)</f>
        <v/>
      </c>
      <c r="K32" s="0">
        <f>I32+(F32*C32)</f>
        <v/>
      </c>
      <c r="L32" s="0">
        <f>K32-$I$1</f>
        <v/>
      </c>
      <c r="N32" s="0" t="n">
        <v>316.29258</v>
      </c>
      <c r="O32" s="0">
        <f>N32/200</f>
        <v/>
      </c>
    </row>
    <row r="33">
      <c r="A33" s="0" t="n">
        <v>1.68</v>
      </c>
      <c r="B33" s="0">
        <f>A33*200</f>
        <v/>
      </c>
      <c r="C33" s="0" t="n">
        <v>0.6909999999999999</v>
      </c>
      <c r="D33" t="n">
        <v>0.02202636934816837</v>
      </c>
      <c r="E33" s="0">
        <f>B33</f>
        <v/>
      </c>
      <c r="F33" s="0">
        <f>D33-0.0045</f>
        <v/>
      </c>
      <c r="I33" s="0">
        <f>C33+(D33*A33)</f>
        <v/>
      </c>
      <c r="K33" s="0">
        <f>I33+(F33*C33)</f>
        <v/>
      </c>
      <c r="L33" s="0">
        <f>K33-$I$1</f>
        <v/>
      </c>
      <c r="N33" s="0" t="n">
        <v>326.57806</v>
      </c>
      <c r="O33" s="0">
        <f>N33/200</f>
        <v/>
      </c>
    </row>
    <row r="34">
      <c r="A34" s="0" t="n">
        <v>1.73</v>
      </c>
      <c r="B34" s="0">
        <f>A34*200</f>
        <v/>
      </c>
      <c r="C34" s="0" t="n">
        <v>0.6870000000000001</v>
      </c>
      <c r="D34" t="n">
        <v>0.02086247317492962</v>
      </c>
      <c r="E34" s="0">
        <f>B34</f>
        <v/>
      </c>
      <c r="F34" s="0">
        <f>D34-0.0045</f>
        <v/>
      </c>
      <c r="I34" s="0">
        <f>C34+(D34*A34)</f>
        <v/>
      </c>
      <c r="K34" s="0">
        <f>I34+(F34*C34)</f>
        <v/>
      </c>
      <c r="L34" s="0">
        <f>K34-$I$1</f>
        <v/>
      </c>
      <c r="N34" s="0" t="n">
        <v>336.65988</v>
      </c>
      <c r="O34" s="0">
        <f>N34/200</f>
        <v/>
      </c>
    </row>
    <row r="35">
      <c r="A35" s="0" t="n">
        <v>1.78</v>
      </c>
      <c r="B35" s="0">
        <f>A35*200</f>
        <v/>
      </c>
      <c r="C35" s="0" t="n">
        <v>0.6840000000000001</v>
      </c>
      <c r="D35" t="n">
        <v>0.02169629000127316</v>
      </c>
      <c r="E35" s="0">
        <f>B35</f>
        <v/>
      </c>
      <c r="F35" s="0">
        <f>D35-0.0045</f>
        <v/>
      </c>
      <c r="I35" s="0">
        <f>C35+(D35*A35)</f>
        <v/>
      </c>
      <c r="K35" s="0">
        <f>I35+(F35*C35)</f>
        <v/>
      </c>
      <c r="L35" s="0">
        <f>K35-$I$1</f>
        <v/>
      </c>
      <c r="N35" s="0" t="n">
        <v>347.14904</v>
      </c>
      <c r="O35" s="0">
        <f>N35/200</f>
        <v/>
      </c>
    </row>
    <row r="36">
      <c r="A36" s="0" t="n">
        <v>1.83</v>
      </c>
      <c r="B36" s="0">
        <f>A36*200</f>
        <v/>
      </c>
      <c r="C36" s="0" t="n">
        <v>0.681</v>
      </c>
      <c r="D36" t="n">
        <v>0.02072627283632755</v>
      </c>
      <c r="E36" s="0">
        <f>B36</f>
        <v/>
      </c>
      <c r="F36" s="0">
        <f>D36-0.0045</f>
        <v/>
      </c>
      <c r="I36" s="0">
        <f>C36+(D36*A36)</f>
        <v/>
      </c>
      <c r="K36" s="0">
        <f>I36+(F36*C36)</f>
        <v/>
      </c>
      <c r="L36" s="0">
        <f>K36-$I$1</f>
        <v/>
      </c>
      <c r="N36" s="0" t="n">
        <v>357.33272</v>
      </c>
      <c r="O36" s="0">
        <f>N36/200</f>
        <v/>
      </c>
    </row>
    <row r="37">
      <c r="A37" s="0" t="n">
        <v>1.88</v>
      </c>
      <c r="B37" s="0">
        <f>A37*200</f>
        <v/>
      </c>
      <c r="C37" s="0" t="n">
        <v>0.678</v>
      </c>
      <c r="D37" t="n">
        <v>0.02208458632230759</v>
      </c>
      <c r="E37" s="0">
        <f>B37</f>
        <v/>
      </c>
      <c r="F37" s="0">
        <f>D37-0.0045</f>
        <v/>
      </c>
      <c r="I37" s="0">
        <f>C37+(D37*A37)</f>
        <v/>
      </c>
      <c r="K37" s="0">
        <f>I37+(F37*C37)</f>
        <v/>
      </c>
      <c r="L37" s="0">
        <f>K37-$I$1</f>
        <v/>
      </c>
      <c r="N37" s="0" t="n">
        <v>367.92376</v>
      </c>
      <c r="O37" s="0">
        <f>N37/200</f>
        <v/>
      </c>
    </row>
    <row r="38">
      <c r="A38" s="0" t="n">
        <v>1.93</v>
      </c>
      <c r="B38" s="0">
        <f>A38*200</f>
        <v/>
      </c>
      <c r="C38" s="0" t="n">
        <v>0.675</v>
      </c>
      <c r="D38" t="n">
        <v>0.02080466970801353</v>
      </c>
      <c r="E38" s="0">
        <f>B38</f>
        <v/>
      </c>
      <c r="F38" s="0">
        <f>D38-0.0045</f>
        <v/>
      </c>
      <c r="I38" s="0">
        <f>C38+(D38*A38)</f>
        <v/>
      </c>
      <c r="K38" s="0">
        <f>I38+(F38*C38)</f>
        <v/>
      </c>
      <c r="L38" s="0">
        <f>K38-$I$1</f>
        <v/>
      </c>
      <c r="N38" s="0" t="n">
        <v>378.51474</v>
      </c>
      <c r="O38" s="0">
        <f>N38/200</f>
        <v/>
      </c>
    </row>
    <row r="39">
      <c r="A39" s="0" t="n">
        <v>1.98</v>
      </c>
      <c r="B39" s="0">
        <f>A39*200</f>
        <v/>
      </c>
      <c r="C39" s="0" t="n">
        <v>0.672</v>
      </c>
      <c r="D39" t="n">
        <v>0.02198246121406555</v>
      </c>
      <c r="E39" s="0">
        <f>B39</f>
        <v/>
      </c>
      <c r="F39" s="0">
        <f>D39-0.0045</f>
        <v/>
      </c>
      <c r="I39" s="0">
        <f>C39+(D39*A39)</f>
        <v/>
      </c>
      <c r="K39" s="0">
        <f>I39+(F39*C39)</f>
        <v/>
      </c>
      <c r="L39" s="0">
        <f>K39-$I$1</f>
        <v/>
      </c>
      <c r="N39" s="0" t="n">
        <v>388.59658</v>
      </c>
      <c r="O39" s="0">
        <f>N39/200</f>
        <v/>
      </c>
    </row>
    <row r="40">
      <c r="A40" s="0" t="n">
        <v>2.04</v>
      </c>
      <c r="B40" s="0">
        <f>A40*200</f>
        <v/>
      </c>
      <c r="C40" s="0" t="n">
        <v>0.669</v>
      </c>
      <c r="D40" t="n">
        <v>0.0207621343433857</v>
      </c>
      <c r="E40" s="0">
        <f>B40</f>
        <v/>
      </c>
      <c r="F40" s="0">
        <f>D40-0.0045</f>
        <v/>
      </c>
      <c r="I40" s="0">
        <f>C40+(D40*A40)</f>
        <v/>
      </c>
      <c r="K40" s="0">
        <f>I40+(F40*C40)</f>
        <v/>
      </c>
      <c r="L40" s="0">
        <f>K40-$I$1</f>
        <v/>
      </c>
      <c r="N40" s="0" t="n">
        <v>399.08576</v>
      </c>
      <c r="O40" s="0">
        <f>N40/200</f>
        <v/>
      </c>
    </row>
    <row r="41">
      <c r="A41" s="0" t="n">
        <v>2.09</v>
      </c>
      <c r="B41" s="0">
        <f>A41*200</f>
        <v/>
      </c>
      <c r="C41" s="0" t="n">
        <v>0.666</v>
      </c>
      <c r="D41" t="n">
        <v>0.02174874022603035</v>
      </c>
      <c r="E41" s="0">
        <f>B41</f>
        <v/>
      </c>
      <c r="F41" s="0">
        <f>D41-0.0045</f>
        <v/>
      </c>
      <c r="I41" s="0">
        <f>C41+(D41*A41)</f>
        <v/>
      </c>
      <c r="K41" s="0">
        <f>I41+(F41*C41)</f>
        <v/>
      </c>
      <c r="L41" s="0">
        <f>K41-$I$1</f>
        <v/>
      </c>
      <c r="N41" s="0" t="n">
        <v>409.6768</v>
      </c>
      <c r="O41" s="0">
        <f>N41/200</f>
        <v/>
      </c>
    </row>
    <row r="42">
      <c r="A42" s="0" t="n">
        <v>2.14</v>
      </c>
      <c r="B42" s="0">
        <f>A42*200</f>
        <v/>
      </c>
      <c r="C42" s="0" t="n">
        <v>0.663</v>
      </c>
      <c r="D42" t="n">
        <v>0.02079889923334122</v>
      </c>
      <c r="E42" s="0">
        <f>B42</f>
        <v/>
      </c>
      <c r="F42" s="0">
        <f>D42-0.0045</f>
        <v/>
      </c>
      <c r="I42" s="0">
        <f>C42+(D42*A42)</f>
        <v/>
      </c>
      <c r="K42" s="0">
        <f>I42+(F42*C42)</f>
        <v/>
      </c>
      <c r="L42" s="0">
        <f>K42-$I$1</f>
        <v/>
      </c>
      <c r="N42" s="0" t="n">
        <v>419.7586</v>
      </c>
      <c r="O42" s="0">
        <f>N42/200</f>
        <v/>
      </c>
    </row>
    <row r="43">
      <c r="A43" s="0" t="n">
        <v>2.19</v>
      </c>
      <c r="B43" s="0">
        <f>A43*200</f>
        <v/>
      </c>
      <c r="C43" s="0" t="n">
        <v>0.66</v>
      </c>
      <c r="D43" t="n">
        <v>0.02128463797271252</v>
      </c>
      <c r="E43" s="0">
        <f>B43</f>
        <v/>
      </c>
      <c r="F43" s="0">
        <f>D43-0.0045</f>
        <v/>
      </c>
      <c r="I43" s="0">
        <f>C43+(D43*A43)</f>
        <v/>
      </c>
      <c r="K43" s="0">
        <f>I43+(F43*C43)</f>
        <v/>
      </c>
      <c r="L43" s="0">
        <f>K43-$I$1</f>
        <v/>
      </c>
      <c r="N43" s="0" t="n">
        <v>429.94228</v>
      </c>
      <c r="O43" s="0">
        <f>N43/200</f>
        <v/>
      </c>
    </row>
    <row r="44">
      <c r="A44" s="0" t="n">
        <v>2.25</v>
      </c>
      <c r="B44" s="0">
        <f>A44*200</f>
        <v/>
      </c>
      <c r="C44" s="0" t="n">
        <v>0.657</v>
      </c>
      <c r="D44" t="n">
        <v>0.02105836756527424</v>
      </c>
      <c r="E44" s="0">
        <f>B44</f>
        <v/>
      </c>
      <c r="F44" s="0">
        <f>D44-0.0045</f>
        <v/>
      </c>
      <c r="I44" s="0">
        <f>C44+(D44*A44)</f>
        <v/>
      </c>
      <c r="K44" s="0">
        <f>I44+(F44*C44)</f>
        <v/>
      </c>
      <c r="L44" s="0">
        <f>K44-$I$1</f>
        <v/>
      </c>
      <c r="N44" s="0" t="n">
        <v>440.32964</v>
      </c>
      <c r="O44" s="0">
        <f>N44/200</f>
        <v/>
      </c>
    </row>
    <row r="45">
      <c r="A45" s="0" t="n">
        <v>2.3</v>
      </c>
      <c r="B45" s="0">
        <f>A45*200</f>
        <v/>
      </c>
      <c r="C45" s="0" t="n">
        <v>0.654</v>
      </c>
      <c r="D45" t="n">
        <v>0.02128434740006924</v>
      </c>
      <c r="E45" s="0">
        <f>B45</f>
        <v/>
      </c>
      <c r="F45" s="0">
        <f>D45-0.0045</f>
        <v/>
      </c>
      <c r="I45" s="0">
        <f>C45+(D45*A45)</f>
        <v/>
      </c>
      <c r="K45" s="0">
        <f>I45+(F45*C45)</f>
        <v/>
      </c>
      <c r="L45" s="0">
        <f>K45-$I$1</f>
        <v/>
      </c>
      <c r="N45" s="0" t="n">
        <v>450.71694</v>
      </c>
      <c r="O45" s="0">
        <f>N45/200</f>
        <v/>
      </c>
    </row>
    <row r="46">
      <c r="A46" s="0" t="n">
        <v>2.35</v>
      </c>
      <c r="B46" s="0">
        <f>A46*200</f>
        <v/>
      </c>
      <c r="C46" s="0" t="n">
        <v>0.651</v>
      </c>
      <c r="D46" t="n">
        <v>0.02171558514237404</v>
      </c>
      <c r="E46" s="0">
        <f>B46</f>
        <v/>
      </c>
      <c r="F46" s="0">
        <f>D46-0.0045</f>
        <v/>
      </c>
      <c r="I46" s="0">
        <f>C46+(D46*A46)</f>
        <v/>
      </c>
      <c r="K46" s="0">
        <f>I46+(F46*C46)</f>
        <v/>
      </c>
      <c r="L46" s="0">
        <f>K46-$I$1</f>
        <v/>
      </c>
      <c r="N46" s="0" t="n">
        <v>461.20616</v>
      </c>
      <c r="O46" s="0">
        <f>N46/200</f>
        <v/>
      </c>
    </row>
    <row r="47">
      <c r="A47" s="0" t="n">
        <v>2.4</v>
      </c>
      <c r="B47" s="0">
        <f>A47*200</f>
        <v/>
      </c>
      <c r="C47" s="0" t="n">
        <v>0.648</v>
      </c>
      <c r="D47" t="n">
        <v>0.02162325009703636</v>
      </c>
      <c r="E47" s="0">
        <f>B47</f>
        <v/>
      </c>
      <c r="F47" s="0">
        <f>D47-0.0045</f>
        <v/>
      </c>
      <c r="I47" s="0">
        <f>C47+(D47*A47)</f>
        <v/>
      </c>
      <c r="K47" s="0">
        <f>I47+(F47*C47)</f>
        <v/>
      </c>
      <c r="L47" s="0">
        <f>K47-$I$1</f>
        <v/>
      </c>
      <c r="N47" s="0" t="n">
        <v>472.51006</v>
      </c>
      <c r="O47" s="0">
        <f>N47/200</f>
        <v/>
      </c>
    </row>
    <row r="48">
      <c r="A48" s="0" t="n">
        <v>2.45</v>
      </c>
      <c r="B48" s="0">
        <f>A48*200</f>
        <v/>
      </c>
      <c r="C48" s="0" t="n">
        <v>0.646</v>
      </c>
      <c r="D48" t="n">
        <v>0.02090091444551945</v>
      </c>
      <c r="E48" s="0">
        <f>B48</f>
        <v/>
      </c>
      <c r="F48" s="0">
        <f>D48-0.0045</f>
        <v/>
      </c>
      <c r="I48" s="0">
        <f>C48+(D48*A48)</f>
        <v/>
      </c>
      <c r="K48" s="0">
        <f>I48+(F48*C48)</f>
        <v/>
      </c>
      <c r="L48" s="0">
        <f>K48-$I$1</f>
        <v/>
      </c>
      <c r="N48" s="0" t="n">
        <v>483.71206</v>
      </c>
      <c r="O48" s="0">
        <f>N48/200</f>
        <v/>
      </c>
    </row>
    <row r="49">
      <c r="A49" s="0" t="n">
        <v>2.5</v>
      </c>
      <c r="B49" s="0">
        <f>A49*200</f>
        <v/>
      </c>
      <c r="C49" s="0" t="n">
        <v>0.643</v>
      </c>
      <c r="D49" t="n">
        <v>0.02139896526932716</v>
      </c>
      <c r="E49" s="0">
        <f>B49</f>
        <v/>
      </c>
      <c r="F49" s="0">
        <f>D49-0.0045</f>
        <v/>
      </c>
      <c r="I49" s="0">
        <f>C49+(D49*A49)</f>
        <v/>
      </c>
      <c r="K49" s="0">
        <f>I49+(F49*C49)</f>
        <v/>
      </c>
      <c r="L49" s="0">
        <f>K49-$I$1</f>
        <v/>
      </c>
      <c r="N49" s="0" t="n">
        <v>494.91406</v>
      </c>
      <c r="O49" s="0">
        <f>N49/200</f>
        <v/>
      </c>
    </row>
    <row r="50">
      <c r="A50" s="0" t="n">
        <v>2.56</v>
      </c>
      <c r="B50" s="0">
        <f>A50*200</f>
        <v/>
      </c>
      <c r="C50" s="0" t="n">
        <v>0.64</v>
      </c>
      <c r="D50" t="n">
        <v>0.02111426182091236</v>
      </c>
      <c r="E50" s="0">
        <f>B50</f>
        <v/>
      </c>
      <c r="F50" s="0">
        <f>D50-0.0045</f>
        <v/>
      </c>
      <c r="I50" s="0">
        <f>C50+(D50*A50)</f>
        <v/>
      </c>
      <c r="K50" s="0">
        <f>I50+(F50*C50)</f>
        <v/>
      </c>
      <c r="L50" s="0">
        <f>K50-$I$1</f>
        <v/>
      </c>
      <c r="N50" s="0" t="n">
        <v>505.19956</v>
      </c>
      <c r="O50" s="0">
        <f>N50/200</f>
        <v/>
      </c>
    </row>
    <row r="51">
      <c r="A51" s="0" t="n">
        <v>2.61</v>
      </c>
      <c r="B51" s="0">
        <f>A51*200</f>
        <v/>
      </c>
      <c r="C51" s="0" t="n">
        <v>0.637</v>
      </c>
      <c r="D51" t="n">
        <v>0.02089146338403225</v>
      </c>
      <c r="E51" s="0">
        <f>B51</f>
        <v/>
      </c>
      <c r="F51" s="0">
        <f>D51-0.0045</f>
        <v/>
      </c>
      <c r="I51" s="0">
        <f>C51+(D51*A51)</f>
        <v/>
      </c>
      <c r="K51" s="0">
        <f>I51+(F51*C51)</f>
        <v/>
      </c>
      <c r="L51" s="0">
        <f>K51-$I$1</f>
        <v/>
      </c>
      <c r="N51" s="0" t="n">
        <v>515.79052</v>
      </c>
      <c r="O51" s="0">
        <f>N51/200</f>
        <v/>
      </c>
    </row>
    <row r="52">
      <c r="A52" s="0" t="n">
        <v>2.66</v>
      </c>
      <c r="B52" s="0">
        <f>A52*200</f>
        <v/>
      </c>
      <c r="C52" s="0" t="n">
        <v>0.634</v>
      </c>
      <c r="D52" t="n">
        <v>0.02088642492890358</v>
      </c>
      <c r="E52" s="0">
        <f>B52</f>
        <v/>
      </c>
      <c r="F52" s="0">
        <f>D52-0.0045</f>
        <v/>
      </c>
      <c r="I52" s="0">
        <f>C52+(D52*A52)</f>
        <v/>
      </c>
      <c r="K52" s="0">
        <f>I52+(F52*C52)</f>
        <v/>
      </c>
      <c r="L52" s="0">
        <f>K52-$I$1</f>
        <v/>
      </c>
      <c r="N52" s="0" t="n">
        <v>526.17792</v>
      </c>
      <c r="O52" s="0">
        <f>N52/200</f>
        <v/>
      </c>
    </row>
    <row r="53">
      <c r="A53" s="0" t="n">
        <v>2.71</v>
      </c>
      <c r="B53" s="0">
        <f>A53*200</f>
        <v/>
      </c>
      <c r="C53" s="0" t="n">
        <v>0.631</v>
      </c>
      <c r="D53" t="n">
        <v>0.02163968607783318</v>
      </c>
      <c r="E53" s="0">
        <f>B53</f>
        <v/>
      </c>
      <c r="F53" s="0">
        <f>D53-0.0045</f>
        <v/>
      </c>
      <c r="I53" s="0">
        <f>C53+(D53*A53)</f>
        <v/>
      </c>
      <c r="K53" s="0">
        <f>I53+(F53*C53)</f>
        <v/>
      </c>
      <c r="L53" s="0">
        <f>K53-$I$1</f>
        <v/>
      </c>
      <c r="N53" s="0" t="n">
        <v>536.25972</v>
      </c>
      <c r="O53" s="0">
        <f>N53/200</f>
        <v/>
      </c>
    </row>
    <row r="54">
      <c r="A54" s="0" t="n">
        <v>2.76</v>
      </c>
      <c r="B54" s="0">
        <f>A54*200</f>
        <v/>
      </c>
      <c r="C54" s="0" t="n">
        <v>0.629</v>
      </c>
      <c r="D54" t="n">
        <v>0.0208536833524704</v>
      </c>
      <c r="E54" s="0">
        <f>B54</f>
        <v/>
      </c>
      <c r="F54" s="0">
        <f>D54-0.0045</f>
        <v/>
      </c>
      <c r="I54" s="0">
        <f>C54+(D54*A54)</f>
        <v/>
      </c>
      <c r="K54" s="0">
        <f>I54+(F54*C54)</f>
        <v/>
      </c>
      <c r="L54" s="0">
        <f>K54-$I$1</f>
        <v/>
      </c>
      <c r="N54" s="0" t="n">
        <v>546.74888</v>
      </c>
      <c r="O54" s="0">
        <f>N54/200</f>
        <v/>
      </c>
    </row>
    <row r="55">
      <c r="A55" s="0" t="n">
        <v>2.81</v>
      </c>
      <c r="B55" s="0">
        <f>A55*200</f>
        <v/>
      </c>
      <c r="C55" s="0" t="n">
        <v>0.626</v>
      </c>
      <c r="D55" t="n">
        <v>0.02042403817176819</v>
      </c>
      <c r="E55" s="0">
        <f>B55</f>
        <v/>
      </c>
      <c r="F55" s="0">
        <f>D55-0.0045</f>
        <v/>
      </c>
      <c r="I55" s="0">
        <f>C55+(D55*A55)</f>
        <v/>
      </c>
      <c r="K55" s="0">
        <f>I55+(F55*C55)</f>
        <v/>
      </c>
      <c r="L55" s="0">
        <f>K55-$I$1</f>
        <v/>
      </c>
      <c r="N55" s="0" t="n">
        <v>557.33994</v>
      </c>
      <c r="O55" s="0">
        <f>N55/200</f>
        <v/>
      </c>
    </row>
    <row r="56">
      <c r="A56" s="0" t="n">
        <v>2.87</v>
      </c>
      <c r="B56" s="0">
        <f>A56*200</f>
        <v/>
      </c>
      <c r="C56" s="0" t="n">
        <v>0.623</v>
      </c>
      <c r="D56" t="n">
        <v>0.02127382904291153</v>
      </c>
      <c r="E56" s="0">
        <f>B56</f>
        <v/>
      </c>
      <c r="F56" s="0">
        <f>D56-0.0045</f>
        <v/>
      </c>
      <c r="I56" s="0">
        <f>C56+(D56*A56)</f>
        <v/>
      </c>
      <c r="K56" s="0">
        <f>I56+(F56*C56)</f>
        <v/>
      </c>
      <c r="L56" s="0">
        <f>K56-$I$1</f>
        <v/>
      </c>
      <c r="N56" s="0" t="n">
        <v>567.62544</v>
      </c>
      <c r="O56" s="0">
        <f>N56/200</f>
        <v/>
      </c>
    </row>
    <row r="57">
      <c r="A57" s="0" t="n">
        <v>2.92</v>
      </c>
      <c r="B57" s="0">
        <f>A57*200</f>
        <v/>
      </c>
      <c r="C57" s="0" t="n">
        <v>0.621</v>
      </c>
      <c r="D57" t="n">
        <v>0.02156965248286724</v>
      </c>
      <c r="E57" s="0">
        <f>B57</f>
        <v/>
      </c>
      <c r="F57" s="0">
        <f>D57-0.0045</f>
        <v/>
      </c>
      <c r="I57" s="0">
        <f>C57+(D57*A57)</f>
        <v/>
      </c>
      <c r="K57" s="0">
        <f>I57+(F57*C57)</f>
        <v/>
      </c>
      <c r="L57" s="0">
        <f>K57-$I$1</f>
        <v/>
      </c>
      <c r="N57" s="0" t="n">
        <v>578.52198</v>
      </c>
      <c r="O57" s="0">
        <f>N57/200</f>
        <v/>
      </c>
    </row>
    <row r="58">
      <c r="A58" s="0" t="n">
        <v>2.97</v>
      </c>
      <c r="B58" s="0">
        <f>A58*200</f>
        <v/>
      </c>
      <c r="C58" s="0" t="n">
        <v>0.618</v>
      </c>
      <c r="D58" t="n">
        <v>0.0206918828189373</v>
      </c>
      <c r="E58" s="0">
        <f>B58</f>
        <v/>
      </c>
      <c r="F58" s="0">
        <f>D58-0.0045</f>
        <v/>
      </c>
      <c r="I58" s="0">
        <f>C58+(D58*A58)</f>
        <v/>
      </c>
      <c r="K58" s="0">
        <f>I58+(F58*C58)</f>
        <v/>
      </c>
      <c r="L58" s="0">
        <f>K58-$I$1</f>
        <v/>
      </c>
      <c r="N58" s="0" t="n">
        <v>589.11294</v>
      </c>
      <c r="O58" s="0">
        <f>N58/200</f>
        <v/>
      </c>
    </row>
    <row r="59">
      <c r="A59" s="0" t="n">
        <v>3.02</v>
      </c>
      <c r="B59" s="0">
        <f>A59*200</f>
        <v/>
      </c>
      <c r="C59" s="0" t="n">
        <v>0.615</v>
      </c>
      <c r="D59" t="n">
        <v>0.02107076346874237</v>
      </c>
      <c r="E59" s="0">
        <f>B59</f>
        <v/>
      </c>
      <c r="F59" s="0">
        <f>D59-0.0045</f>
        <v/>
      </c>
      <c r="I59" s="0">
        <f>C59+(D59*A59)</f>
        <v/>
      </c>
      <c r="K59" s="0">
        <f>I59+(F59*C59)</f>
        <v/>
      </c>
      <c r="L59" s="0">
        <f>K59-$I$1</f>
        <v/>
      </c>
      <c r="N59" s="0" t="n">
        <v>599.29664</v>
      </c>
      <c r="O59" s="0">
        <f>N59/200</f>
        <v/>
      </c>
    </row>
    <row r="60">
      <c r="A60" s="0" t="n">
        <v>3.07</v>
      </c>
      <c r="B60" s="0">
        <f>A60*200</f>
        <v/>
      </c>
      <c r="C60" s="0" t="n">
        <v>0.613</v>
      </c>
      <c r="D60" t="n">
        <v>0.02087909355759621</v>
      </c>
      <c r="E60" s="0">
        <f>B60</f>
        <v/>
      </c>
      <c r="F60" s="0">
        <f>D60-0.0045</f>
        <v/>
      </c>
      <c r="I60" s="0">
        <f>C60+(D60*A60)</f>
        <v/>
      </c>
      <c r="K60" s="0">
        <f>I60+(F60*C60)</f>
        <v/>
      </c>
      <c r="L60" s="0">
        <f>K60-$I$1</f>
        <v/>
      </c>
      <c r="N60" s="0" t="n">
        <v>609.37846</v>
      </c>
      <c r="O60" s="0">
        <f>N60/200</f>
        <v/>
      </c>
    </row>
    <row r="61">
      <c r="A61" s="0" t="n">
        <v>3.13</v>
      </c>
      <c r="B61" s="0">
        <f>A61*200</f>
        <v/>
      </c>
      <c r="C61" s="0" t="n">
        <v>0.61</v>
      </c>
      <c r="D61" t="n">
        <v>0.02139941975474358</v>
      </c>
      <c r="E61" s="0">
        <f>B61</f>
        <v/>
      </c>
      <c r="F61" s="0">
        <f>D61-0.0045</f>
        <v/>
      </c>
      <c r="I61" s="0">
        <f>C61+(D61*A61)</f>
        <v/>
      </c>
      <c r="K61" s="0">
        <f>I61+(F61*C61)</f>
        <v/>
      </c>
      <c r="L61" s="0">
        <f>K61-$I$1</f>
        <v/>
      </c>
      <c r="N61" s="0" t="n">
        <v>619.4603</v>
      </c>
      <c r="O61" s="0">
        <f>N61/200</f>
        <v/>
      </c>
    </row>
    <row r="62">
      <c r="A62" s="0" t="n">
        <v>3.18</v>
      </c>
      <c r="B62" s="0">
        <f>A62*200</f>
        <v/>
      </c>
      <c r="C62" s="0" t="n">
        <v>0.608</v>
      </c>
      <c r="D62" t="n">
        <v>0.02168705686926842</v>
      </c>
      <c r="E62" s="0">
        <f>B62</f>
        <v/>
      </c>
      <c r="F62" s="0">
        <f>D62-0.0045</f>
        <v/>
      </c>
      <c r="I62" s="0">
        <f>C62+(D62*A62)</f>
        <v/>
      </c>
      <c r="K62" s="0">
        <f>I62+(F62*C62)</f>
        <v/>
      </c>
      <c r="L62" s="0">
        <f>K62-$I$1</f>
        <v/>
      </c>
      <c r="N62" s="0" t="n">
        <v>630.35684</v>
      </c>
      <c r="O62" s="0">
        <f>N62/200</f>
        <v/>
      </c>
    </row>
    <row r="63">
      <c r="A63" s="0" t="n">
        <v>3.23</v>
      </c>
      <c r="B63" s="0">
        <f>A63*200</f>
        <v/>
      </c>
      <c r="C63" s="0" t="n">
        <v>0.605</v>
      </c>
      <c r="D63" t="n">
        <v>0.02088871784508228</v>
      </c>
      <c r="E63" s="0">
        <f>B63</f>
        <v/>
      </c>
      <c r="F63" s="0">
        <f>D63-0.0045</f>
        <v/>
      </c>
      <c r="I63" s="0">
        <f>C63+(D63*A63)</f>
        <v/>
      </c>
      <c r="K63" s="0">
        <f>I63+(F63*C63)</f>
        <v/>
      </c>
      <c r="L63" s="0">
        <f>K63-$I$1</f>
        <v/>
      </c>
      <c r="N63" s="0" t="n">
        <v>640.43862</v>
      </c>
      <c r="O63" s="0">
        <f>N63/200</f>
        <v/>
      </c>
    </row>
    <row r="64">
      <c r="A64" s="0" t="n">
        <v>3.28</v>
      </c>
      <c r="B64" s="0">
        <f>A64*200</f>
        <v/>
      </c>
      <c r="C64" s="0" t="n">
        <v>0.603</v>
      </c>
      <c r="D64" t="n">
        <v>0.02038130722939968</v>
      </c>
      <c r="E64" s="0">
        <f>B64</f>
        <v/>
      </c>
      <c r="F64" s="0">
        <f>D64-0.0045</f>
        <v/>
      </c>
      <c r="I64" s="0">
        <f>C64+(D64*A64)</f>
        <v/>
      </c>
      <c r="K64" s="0">
        <f>I64+(F64*C64)</f>
        <v/>
      </c>
      <c r="L64" s="0">
        <f>K64-$I$1</f>
        <v/>
      </c>
      <c r="N64" s="0" t="n">
        <v>651.74252</v>
      </c>
      <c r="O64" s="0">
        <f>N64/200</f>
        <v/>
      </c>
    </row>
    <row r="65">
      <c r="A65" s="0" t="n">
        <v>3.33</v>
      </c>
      <c r="B65" s="0">
        <f>A65*200</f>
        <v/>
      </c>
      <c r="C65" s="0" t="n">
        <v>0.6</v>
      </c>
      <c r="D65" t="n">
        <v>0.02090147696435452</v>
      </c>
      <c r="E65" s="0">
        <f>B65</f>
        <v/>
      </c>
      <c r="F65" s="0">
        <f>D65-0.0045</f>
        <v/>
      </c>
      <c r="I65" s="0">
        <f>C65+(D65*A65)</f>
        <v/>
      </c>
      <c r="K65" s="0">
        <f>I65+(F65*C65)</f>
        <v/>
      </c>
      <c r="L65" s="0">
        <f>K65-$I$1</f>
        <v/>
      </c>
      <c r="N65" s="0" t="n">
        <v>662.02798</v>
      </c>
      <c r="O65" s="0">
        <f>N65/200</f>
        <v/>
      </c>
    </row>
    <row r="66">
      <c r="A66" s="0" t="n">
        <v>3.38</v>
      </c>
      <c r="B66" s="0">
        <f>A66*200</f>
        <v/>
      </c>
      <c r="C66" s="0" t="n">
        <v>0.597</v>
      </c>
      <c r="D66" t="n">
        <v>0.02089935913681984</v>
      </c>
      <c r="E66" s="0">
        <f>B66</f>
        <v/>
      </c>
      <c r="F66" s="0">
        <f>D66-0.0045</f>
        <v/>
      </c>
      <c r="I66" s="0">
        <f>C66+(D66*A66)</f>
        <v/>
      </c>
      <c r="K66" s="0">
        <f>I66+(F66*C66)</f>
        <v/>
      </c>
      <c r="L66" s="0">
        <f>K66-$I$1</f>
        <v/>
      </c>
      <c r="N66" s="0" t="n">
        <v>672.7208000000001</v>
      </c>
      <c r="O66" s="0">
        <f>N66/200</f>
        <v/>
      </c>
    </row>
    <row r="67">
      <c r="A67" s="0" t="n">
        <v>3.43</v>
      </c>
      <c r="B67" s="0">
        <f>A67*200</f>
        <v/>
      </c>
      <c r="C67" s="0" t="n">
        <v>0.595</v>
      </c>
      <c r="D67" t="n">
        <v>0.02123693376779556</v>
      </c>
      <c r="E67" s="0">
        <f>B67</f>
        <v/>
      </c>
      <c r="F67" s="0">
        <f>D67-0.0045</f>
        <v/>
      </c>
      <c r="I67" s="0">
        <f>C67+(D67*A67)</f>
        <v/>
      </c>
      <c r="K67" s="0">
        <f>I67+(F67*C67)</f>
        <v/>
      </c>
      <c r="L67" s="0">
        <f>K67-$I$1</f>
        <v/>
      </c>
      <c r="N67" s="0" t="n">
        <v>682.80264</v>
      </c>
      <c r="O67" s="0">
        <f>N67/200</f>
        <v/>
      </c>
    </row>
    <row r="68">
      <c r="A68" s="0" t="n">
        <v>3.49</v>
      </c>
      <c r="B68" s="0">
        <f>A68*200</f>
        <v/>
      </c>
      <c r="C68" s="0" t="n">
        <v>0.592</v>
      </c>
      <c r="D68" t="n">
        <v>0.02121633850038052</v>
      </c>
      <c r="E68" s="0">
        <f>B68</f>
        <v/>
      </c>
      <c r="F68" s="0">
        <f>D68-0.0045</f>
        <v/>
      </c>
      <c r="I68" s="0">
        <f>C68+(D68*A68)</f>
        <v/>
      </c>
      <c r="K68" s="0">
        <f>I68+(F68*C68)</f>
        <v/>
      </c>
      <c r="L68" s="0">
        <f>K68-$I$1</f>
        <v/>
      </c>
      <c r="N68" s="0" t="n">
        <v>692.98632</v>
      </c>
      <c r="O68" s="0">
        <f>N68/200</f>
        <v/>
      </c>
    </row>
    <row r="69">
      <c r="A69" s="0" t="n">
        <v>3.54</v>
      </c>
      <c r="B69" s="0">
        <f>A69*200</f>
        <v/>
      </c>
      <c r="C69" s="0" t="n">
        <v>0.59</v>
      </c>
      <c r="D69" t="n">
        <v>0.02192088775336742</v>
      </c>
      <c r="E69" s="0">
        <f>B69</f>
        <v/>
      </c>
      <c r="F69" s="0">
        <f>D69-0.0045</f>
        <v/>
      </c>
      <c r="I69" s="0">
        <f>C69+(D69*A69)</f>
        <v/>
      </c>
      <c r="K69" s="0">
        <f>I69+(F69*C69)</f>
        <v/>
      </c>
      <c r="L69" s="0">
        <f>K69-$I$1</f>
        <v/>
      </c>
      <c r="N69" s="0" t="n">
        <v>703.06822</v>
      </c>
      <c r="O69" s="0">
        <f>N69/200</f>
        <v/>
      </c>
    </row>
    <row r="70">
      <c r="A70" s="0" t="n">
        <v>3.59</v>
      </c>
      <c r="B70" s="0">
        <f>A70*200</f>
        <v/>
      </c>
      <c r="C70" s="0" t="n">
        <v>0.587</v>
      </c>
      <c r="D70" t="n">
        <v>0.02134180627763271</v>
      </c>
      <c r="E70" s="0">
        <f>B70</f>
        <v/>
      </c>
      <c r="F70" s="0">
        <f>D70-0.0045</f>
        <v/>
      </c>
      <c r="I70" s="0">
        <f>C70+(D70*A70)</f>
        <v/>
      </c>
      <c r="K70" s="0">
        <f>I70+(F70*C70)</f>
        <v/>
      </c>
      <c r="L70" s="0">
        <f>K70-$I$1</f>
        <v/>
      </c>
      <c r="N70" s="0" t="n">
        <v>713.45552</v>
      </c>
      <c r="O70" s="0">
        <f>N70/200</f>
        <v/>
      </c>
    </row>
    <row r="71">
      <c r="A71" s="0" t="n">
        <v>3.64</v>
      </c>
      <c r="B71" s="0">
        <f>A71*200</f>
        <v/>
      </c>
      <c r="C71" s="0" t="n">
        <v>0.585</v>
      </c>
      <c r="D71" t="n">
        <v>0.02118257060647011</v>
      </c>
      <c r="E71" s="0">
        <f>B71</f>
        <v/>
      </c>
      <c r="F71" s="0">
        <f>D71-0.0045</f>
        <v/>
      </c>
      <c r="I71" s="0">
        <f>C71+(D71*A71)</f>
        <v/>
      </c>
      <c r="K71" s="0">
        <f>I71+(F71*C71)</f>
        <v/>
      </c>
      <c r="L71" s="0">
        <f>K71-$I$1</f>
        <v/>
      </c>
      <c r="N71" s="0" t="n">
        <v>723.53736</v>
      </c>
      <c r="O71" s="0">
        <f>N71/200</f>
        <v/>
      </c>
    </row>
    <row r="72">
      <c r="A72" s="0" t="n">
        <v>3.69</v>
      </c>
      <c r="B72" s="0">
        <f>A72*200</f>
        <v/>
      </c>
      <c r="C72" s="0" t="n">
        <v>0.582</v>
      </c>
      <c r="D72" t="n">
        <v>0.02070923149585724</v>
      </c>
      <c r="E72" s="0">
        <f>B72</f>
        <v/>
      </c>
      <c r="F72" s="0">
        <f>D72-0.0045</f>
        <v/>
      </c>
      <c r="I72" s="0">
        <f>C72+(D72*A72)</f>
        <v/>
      </c>
      <c r="K72" s="0">
        <f>I72+(F72*C72)</f>
        <v/>
      </c>
      <c r="L72" s="0">
        <f>K72-$I$1</f>
        <v/>
      </c>
      <c r="N72" s="0" t="n">
        <v>733.721</v>
      </c>
      <c r="O72" s="0">
        <f>N72/200</f>
        <v/>
      </c>
    </row>
    <row r="73">
      <c r="A73" s="0" t="n">
        <v>3.74</v>
      </c>
      <c r="B73" s="0">
        <f>A73*200</f>
        <v/>
      </c>
      <c r="C73" s="0" t="n">
        <v>0.58</v>
      </c>
      <c r="D73" t="n">
        <v>0.02084982767701149</v>
      </c>
      <c r="E73" s="0">
        <f>B73</f>
        <v/>
      </c>
      <c r="F73" s="0">
        <f>D73-0.0045</f>
        <v/>
      </c>
      <c r="I73" s="0">
        <f>C73+(D73*A73)</f>
        <v/>
      </c>
      <c r="K73" s="0">
        <f>I73+(F73*C73)</f>
        <v/>
      </c>
      <c r="L73" s="0">
        <f>K73-$I$1</f>
        <v/>
      </c>
      <c r="N73" s="0" t="n">
        <v>744.21016</v>
      </c>
      <c r="O73" s="0">
        <f>N73/200</f>
        <v/>
      </c>
    </row>
    <row r="74">
      <c r="A74" s="0" t="n">
        <v>3.8</v>
      </c>
      <c r="B74" s="0">
        <f>A74*200</f>
        <v/>
      </c>
      <c r="C74" s="0" t="n">
        <v>0.578</v>
      </c>
      <c r="D74" t="n">
        <v>0.02178002707660198</v>
      </c>
      <c r="E74" s="0">
        <f>B74</f>
        <v/>
      </c>
      <c r="F74" s="0">
        <f>D74-0.0045</f>
        <v/>
      </c>
      <c r="I74" s="0">
        <f>C74+(D74*A74)</f>
        <v/>
      </c>
      <c r="K74" s="0">
        <f>I74+(F74*C74)</f>
        <v/>
      </c>
      <c r="L74" s="0">
        <f>K74-$I$1</f>
        <v/>
      </c>
      <c r="N74" s="0" t="n">
        <v>754.39384</v>
      </c>
      <c r="O74" s="0">
        <f>N74/200</f>
        <v/>
      </c>
    </row>
    <row r="75">
      <c r="A75" s="0" t="n">
        <v>3.85</v>
      </c>
      <c r="B75" s="0">
        <f>A75*200</f>
        <v/>
      </c>
      <c r="C75" s="0" t="n">
        <v>0.575</v>
      </c>
      <c r="D75" t="n">
        <v>0.0216306746006012</v>
      </c>
      <c r="E75" s="0">
        <f>B75</f>
        <v/>
      </c>
      <c r="F75" s="0">
        <f>D75-0.0045</f>
        <v/>
      </c>
      <c r="I75" s="0">
        <f>C75+(D75*A75)</f>
        <v/>
      </c>
      <c r="K75" s="0">
        <f>I75+(F75*C75)</f>
        <v/>
      </c>
      <c r="L75" s="0">
        <f>K75-$I$1</f>
        <v/>
      </c>
      <c r="N75" s="0" t="n">
        <v>764.57754</v>
      </c>
      <c r="O75" s="0">
        <f>N75/200</f>
        <v/>
      </c>
    </row>
    <row r="76">
      <c r="A76" s="0" t="n">
        <v>3.9</v>
      </c>
      <c r="B76" s="0">
        <f>A76*200</f>
        <v/>
      </c>
      <c r="C76" s="0" t="n">
        <v>0.573</v>
      </c>
      <c r="D76" t="n">
        <v>0.0215228870511055</v>
      </c>
      <c r="E76" s="0">
        <f>B76</f>
        <v/>
      </c>
      <c r="F76" s="0">
        <f>D76-0.0045</f>
        <v/>
      </c>
      <c r="I76" s="0">
        <f>C76+(D76*A76)</f>
        <v/>
      </c>
      <c r="K76" s="0">
        <f>I76+(F76*C76)</f>
        <v/>
      </c>
      <c r="L76" s="0">
        <f>K76-$I$1</f>
        <v/>
      </c>
      <c r="N76" s="0" t="n">
        <v>774.86304</v>
      </c>
      <c r="O76" s="0">
        <f>N76/200</f>
        <v/>
      </c>
    </row>
    <row r="77">
      <c r="A77" s="0" t="n">
        <v>3.95</v>
      </c>
      <c r="B77" s="0">
        <f>A77*200</f>
        <v/>
      </c>
      <c r="C77" s="0" t="n">
        <v>0.57</v>
      </c>
      <c r="D77" t="n">
        <v>0.02099636942148209</v>
      </c>
      <c r="E77" s="0">
        <f>B77</f>
        <v/>
      </c>
      <c r="F77" s="0">
        <f>D77-0.0045</f>
        <v/>
      </c>
      <c r="I77" s="0">
        <f>C77+(D77*A77)</f>
        <v/>
      </c>
      <c r="K77" s="0">
        <f>I77+(F77*C77)</f>
        <v/>
      </c>
      <c r="L77" s="0">
        <f>K77-$I$1</f>
        <v/>
      </c>
      <c r="N77" s="0" t="n">
        <v>785.1484799999999</v>
      </c>
      <c r="O77" s="0">
        <f>N77/200</f>
        <v/>
      </c>
    </row>
    <row r="78">
      <c r="A78" s="0" t="n">
        <v>4</v>
      </c>
      <c r="B78" s="0">
        <f>A78*200</f>
        <v/>
      </c>
      <c r="C78" s="0" t="n">
        <v>0.5679999999999999</v>
      </c>
      <c r="D78" t="n">
        <v>0.02120652794837952</v>
      </c>
      <c r="E78" s="0">
        <f>B78</f>
        <v/>
      </c>
      <c r="F78" s="0">
        <f>D78-0.0045</f>
        <v/>
      </c>
      <c r="I78" s="0">
        <f>C78+(D78*A78)</f>
        <v/>
      </c>
      <c r="K78" s="0">
        <f>I78+(F78*C78)</f>
        <v/>
      </c>
      <c r="L78" s="0">
        <f>K78-$I$1</f>
        <v/>
      </c>
      <c r="N78" s="0" t="n">
        <v>795.6377</v>
      </c>
      <c r="O78" s="0">
        <f>N78/200</f>
        <v/>
      </c>
    </row>
    <row r="79">
      <c r="A79" s="0" t="n">
        <v>4.05</v>
      </c>
      <c r="B79" s="0">
        <f>A79*200</f>
        <v/>
      </c>
      <c r="C79" s="0" t="n">
        <v>0.5649999999999999</v>
      </c>
      <c r="D79" t="n">
        <v>0.02128704264760017</v>
      </c>
      <c r="E79" s="0">
        <f>B79</f>
        <v/>
      </c>
      <c r="F79" s="0">
        <f>D79-0.0045</f>
        <v/>
      </c>
      <c r="I79" s="0">
        <f>C79+(D79*A79)</f>
        <v/>
      </c>
      <c r="K79" s="0">
        <f>I79+(F79*C79)</f>
        <v/>
      </c>
      <c r="L79" s="0">
        <f>K79-$I$1</f>
        <v/>
      </c>
      <c r="N79" s="0" t="n">
        <v>806.12686</v>
      </c>
      <c r="O79" s="0">
        <f>N79/200</f>
        <v/>
      </c>
    </row>
    <row r="80">
      <c r="A80" s="0" t="n">
        <v>4.1</v>
      </c>
      <c r="B80" s="0">
        <f>A80*200</f>
        <v/>
      </c>
      <c r="C80" s="0" t="n">
        <v>0.5629999999999999</v>
      </c>
      <c r="D80" t="n">
        <v>0.0215698704123497</v>
      </c>
      <c r="E80" s="0">
        <f>B80</f>
        <v/>
      </c>
      <c r="F80" s="0">
        <f>D80-0.0045</f>
        <v/>
      </c>
      <c r="I80" s="0">
        <f>C80+(D80*A80)</f>
        <v/>
      </c>
      <c r="K80" s="0">
        <f>I80+(F80*C80)</f>
        <v/>
      </c>
      <c r="L80" s="0">
        <f>K80-$I$1</f>
        <v/>
      </c>
      <c r="N80" s="0" t="n">
        <v>816.2087</v>
      </c>
      <c r="O80" s="0">
        <f>N80/200</f>
        <v/>
      </c>
    </row>
    <row r="81">
      <c r="A81" s="0" t="n">
        <v>4.16</v>
      </c>
      <c r="B81" s="0">
        <f>A81*200</f>
        <v/>
      </c>
      <c r="C81" s="0" t="n">
        <v>0.5610000000000001</v>
      </c>
      <c r="D81" t="n">
        <v>0.02135146409273148</v>
      </c>
      <c r="E81" s="0">
        <f>B81</f>
        <v/>
      </c>
      <c r="F81" s="0">
        <f>D81-0.0045</f>
        <v/>
      </c>
      <c r="I81" s="0">
        <f>C81+(D81*A81)</f>
        <v/>
      </c>
      <c r="K81" s="0">
        <f>I81+(F81*C81)</f>
        <v/>
      </c>
      <c r="L81" s="0">
        <f>K81-$I$1</f>
        <v/>
      </c>
      <c r="N81" s="0" t="n">
        <v>826.49424</v>
      </c>
      <c r="O81" s="0">
        <f>N81/200</f>
        <v/>
      </c>
    </row>
    <row r="82">
      <c r="A82" s="0" t="n">
        <v>4.21</v>
      </c>
      <c r="B82" s="0">
        <f>A82*200</f>
        <v/>
      </c>
      <c r="C82" s="0" t="n">
        <v>0.5580000000000001</v>
      </c>
      <c r="D82" t="n">
        <v>0.02219929546117783</v>
      </c>
      <c r="E82" s="0">
        <f>B82</f>
        <v/>
      </c>
      <c r="F82" s="0">
        <f>D82-0.0045</f>
        <v/>
      </c>
      <c r="I82" s="0">
        <f>C82+(D82*A82)</f>
        <v/>
      </c>
      <c r="K82" s="0">
        <f>I82+(F82*C82)</f>
        <v/>
      </c>
      <c r="L82" s="0">
        <f>K82-$I$1</f>
        <v/>
      </c>
      <c r="N82" s="0" t="n">
        <v>836.57608</v>
      </c>
      <c r="O82" s="0">
        <f>N82/200</f>
        <v/>
      </c>
    </row>
    <row r="83">
      <c r="A83" s="0" t="n">
        <v>4.26</v>
      </c>
      <c r="B83" s="0">
        <f>A83*200</f>
        <v/>
      </c>
      <c r="C83" s="0" t="n">
        <v>0.556</v>
      </c>
      <c r="D83" t="n">
        <v>0.02134930714964867</v>
      </c>
      <c r="E83" s="0">
        <f>B83</f>
        <v/>
      </c>
      <c r="F83" s="0">
        <f>D83-0.0045</f>
        <v/>
      </c>
      <c r="I83" s="0">
        <f>C83+(D83*A83)</f>
        <v/>
      </c>
      <c r="K83" s="0">
        <f>I83+(F83*C83)</f>
        <v/>
      </c>
      <c r="L83" s="0">
        <f>K83-$I$1</f>
        <v/>
      </c>
      <c r="N83" s="0" t="n">
        <v>846.65792</v>
      </c>
      <c r="O83" s="0">
        <f>N83/200</f>
        <v/>
      </c>
    </row>
    <row r="84">
      <c r="A84" s="0" t="n">
        <v>4.31</v>
      </c>
      <c r="B84" s="0">
        <f>A84*200</f>
        <v/>
      </c>
      <c r="C84" s="0" t="n">
        <v>0.554</v>
      </c>
      <c r="D84" t="n">
        <v>0.0212129782885313</v>
      </c>
      <c r="E84" s="0">
        <f>B84</f>
        <v/>
      </c>
      <c r="F84" s="0">
        <f>D84-0.0045</f>
        <v/>
      </c>
      <c r="I84" s="0">
        <f>C84+(D84*A84)</f>
        <v/>
      </c>
      <c r="K84" s="0">
        <f>I84+(F84*C84)</f>
        <v/>
      </c>
      <c r="L84" s="0">
        <f>K84-$I$1</f>
        <v/>
      </c>
      <c r="N84" s="0" t="n">
        <v>857.04522</v>
      </c>
      <c r="O84" s="0">
        <f>N84/200</f>
        <v/>
      </c>
    </row>
    <row r="85">
      <c r="A85" s="0" t="n">
        <v>4.37</v>
      </c>
      <c r="B85" s="0">
        <f>A85*200</f>
        <v/>
      </c>
      <c r="C85" s="0" t="n">
        <v>0.551</v>
      </c>
      <c r="D85" t="n">
        <v>0.02233623340725899</v>
      </c>
      <c r="E85" s="0">
        <f>B85</f>
        <v/>
      </c>
      <c r="F85" s="0">
        <f>D85-0.0045</f>
        <v/>
      </c>
      <c r="I85" s="0">
        <f>C85+(D85*A85)</f>
        <v/>
      </c>
      <c r="K85" s="0">
        <f>I85+(F85*C85)</f>
        <v/>
      </c>
      <c r="L85" s="0">
        <f>K85-$I$1</f>
        <v/>
      </c>
      <c r="N85" s="0" t="n">
        <v>867.73808</v>
      </c>
      <c r="O85" s="0">
        <f>N85/200</f>
        <v/>
      </c>
    </row>
    <row r="86">
      <c r="A86" s="0" t="n">
        <v>4.42</v>
      </c>
      <c r="B86" s="0">
        <f>A86*200</f>
        <v/>
      </c>
      <c r="C86" s="0" t="n">
        <v>0.549</v>
      </c>
      <c r="D86" t="n">
        <v>0.0209533553570509</v>
      </c>
      <c r="E86" s="0">
        <f>B86</f>
        <v/>
      </c>
      <c r="F86" s="0">
        <f>D86-0.0045</f>
        <v/>
      </c>
      <c r="I86" s="0">
        <f>C86+(D86*A86)</f>
        <v/>
      </c>
      <c r="K86" s="0">
        <f>I86+(F86*C86)</f>
        <v/>
      </c>
      <c r="L86" s="0">
        <f>K86-$I$1</f>
        <v/>
      </c>
      <c r="N86" s="0" t="n">
        <v>877.81992</v>
      </c>
      <c r="O86" s="0">
        <f>N86/200</f>
        <v/>
      </c>
    </row>
    <row r="87">
      <c r="A87" s="0" t="n">
        <v>4.47</v>
      </c>
      <c r="B87" s="0">
        <f>A87*200</f>
        <v/>
      </c>
      <c r="C87" s="0" t="n">
        <v>0.546</v>
      </c>
      <c r="D87" t="n">
        <v>0.02204925194382668</v>
      </c>
      <c r="E87" s="0">
        <f>B87</f>
        <v/>
      </c>
      <c r="F87" s="0">
        <f>D87-0.0045</f>
        <v/>
      </c>
      <c r="I87" s="0">
        <f>C87+(D87*A87)</f>
        <v/>
      </c>
      <c r="K87" s="0">
        <f>I87+(F87*C87)</f>
        <v/>
      </c>
      <c r="L87" s="0">
        <f>K87-$I$1</f>
        <v/>
      </c>
      <c r="N87" s="0" t="n">
        <v>887.90176</v>
      </c>
      <c r="O87" s="0">
        <f>N87/200</f>
        <v/>
      </c>
    </row>
    <row r="88">
      <c r="A88" s="0" t="n">
        <v>4.53</v>
      </c>
      <c r="B88" s="0">
        <f>A88*200</f>
        <v/>
      </c>
      <c r="C88" s="0" t="n">
        <v>0.544</v>
      </c>
      <c r="D88" t="n">
        <v>0.02171573415398598</v>
      </c>
      <c r="E88" s="0">
        <f>B88</f>
        <v/>
      </c>
      <c r="F88" s="0">
        <f>D88-0.0045</f>
        <v/>
      </c>
      <c r="I88" s="0">
        <f>C88+(D88*A88)</f>
        <v/>
      </c>
      <c r="K88" s="0">
        <f>I88+(F88*C88)</f>
        <v/>
      </c>
      <c r="L88" s="0">
        <f>K88-$I$1</f>
        <v/>
      </c>
      <c r="N88" s="0" t="n">
        <v>898.1873000000001</v>
      </c>
      <c r="O88" s="0">
        <f>N88/200</f>
        <v/>
      </c>
    </row>
    <row r="89">
      <c r="A89" s="0" t="n">
        <v>4.58</v>
      </c>
      <c r="B89" s="0">
        <f>A89*200</f>
        <v/>
      </c>
      <c r="C89" s="0" t="n">
        <v>0.542</v>
      </c>
      <c r="D89" t="n">
        <v>0.0216961745172739</v>
      </c>
      <c r="E89" s="0">
        <f>B89</f>
        <v/>
      </c>
      <c r="F89" s="0">
        <f>D89-0.0045</f>
        <v/>
      </c>
      <c r="I89" s="0">
        <f>C89+(D89*A89)</f>
        <v/>
      </c>
      <c r="K89" s="0">
        <f>I89+(F89*C89)</f>
        <v/>
      </c>
      <c r="L89" s="0">
        <f>K89-$I$1</f>
        <v/>
      </c>
      <c r="N89" s="0" t="n">
        <v>909.18564</v>
      </c>
      <c r="O89" s="0">
        <f>N89/200</f>
        <v/>
      </c>
    </row>
    <row r="90">
      <c r="A90" s="0" t="n">
        <v>4.63</v>
      </c>
      <c r="B90" s="0">
        <f>A90*200</f>
        <v/>
      </c>
      <c r="C90" s="0" t="n">
        <v>0.539</v>
      </c>
      <c r="D90" t="n">
        <v>0.02190676517784595</v>
      </c>
      <c r="E90" s="0">
        <f>B90</f>
        <v/>
      </c>
      <c r="F90" s="0">
        <f>D90-0.0045</f>
        <v/>
      </c>
      <c r="I90" s="0">
        <f>C90+(D90*A90)</f>
        <v/>
      </c>
      <c r="K90" s="0">
        <f>I90+(F90*C90)</f>
        <v/>
      </c>
      <c r="L90" s="0">
        <f>K90-$I$1</f>
        <v/>
      </c>
      <c r="N90" s="0" t="n">
        <v>919.87852</v>
      </c>
      <c r="O90" s="0">
        <f>N90/200</f>
        <v/>
      </c>
    </row>
    <row r="91">
      <c r="A91" s="0" t="n">
        <v>4.68</v>
      </c>
      <c r="B91" s="0">
        <f>A91*200</f>
        <v/>
      </c>
      <c r="C91" s="0" t="n">
        <v>0.537</v>
      </c>
      <c r="D91" t="n">
        <v>0.02175609022378922</v>
      </c>
      <c r="E91" s="0">
        <f>B91</f>
        <v/>
      </c>
      <c r="F91" s="0">
        <f>D91-0.0045</f>
        <v/>
      </c>
      <c r="I91" s="0">
        <f>C91+(D91*A91)</f>
        <v/>
      </c>
      <c r="K91" s="0">
        <f>I91+(F91*C91)</f>
        <v/>
      </c>
      <c r="L91" s="0">
        <f>K91-$I$1</f>
        <v/>
      </c>
      <c r="N91" s="0" t="n">
        <v>930.0621</v>
      </c>
      <c r="O91" s="0">
        <f>N91/200</f>
        <v/>
      </c>
    </row>
    <row r="92">
      <c r="A92" s="0" t="n">
        <v>4.73</v>
      </c>
      <c r="B92" s="0">
        <f>A92*200</f>
        <v/>
      </c>
      <c r="C92" s="0" t="n">
        <v>0.534</v>
      </c>
      <c r="D92" t="n">
        <v>0.02242948859930038</v>
      </c>
      <c r="E92" s="0">
        <f>B92</f>
        <v/>
      </c>
      <c r="F92" s="0">
        <f>D92-0.0045</f>
        <v/>
      </c>
      <c r="I92" s="0">
        <f>C92+(D92*A92)</f>
        <v/>
      </c>
      <c r="K92" s="0">
        <f>I92+(F92*C92)</f>
        <v/>
      </c>
      <c r="L92" s="0">
        <f>K92-$I$1</f>
        <v/>
      </c>
      <c r="N92" s="0" t="n">
        <v>940.55126</v>
      </c>
      <c r="O92" s="0">
        <f>N92/200</f>
        <v/>
      </c>
    </row>
    <row r="93">
      <c r="A93" s="0" t="n">
        <v>4.79</v>
      </c>
      <c r="B93" s="0">
        <f>A93*200</f>
        <v/>
      </c>
      <c r="C93" s="0" t="n">
        <v>0.533</v>
      </c>
      <c r="D93" t="n">
        <v>0.0215414147824049</v>
      </c>
      <c r="E93" s="0">
        <f>B93</f>
        <v/>
      </c>
      <c r="F93" s="0">
        <f>D93-0.0045</f>
        <v/>
      </c>
      <c r="I93" s="0">
        <f>C93+(D93*A93)</f>
        <v/>
      </c>
      <c r="K93" s="0">
        <f>I93+(F93*C93)</f>
        <v/>
      </c>
      <c r="L93" s="0">
        <f>K93-$I$1</f>
        <v/>
      </c>
      <c r="N93" s="0" t="n">
        <v>952.1606399999999</v>
      </c>
      <c r="O93" s="0">
        <f>N93/200</f>
        <v/>
      </c>
    </row>
    <row r="94">
      <c r="A94" s="0" t="n">
        <v>4.84</v>
      </c>
      <c r="B94" s="0">
        <f>A94*200</f>
        <v/>
      </c>
      <c r="C94" s="0" t="n">
        <v>0.53</v>
      </c>
      <c r="D94" t="n">
        <v>0.02252337895333767</v>
      </c>
      <c r="E94" s="0">
        <f>B94</f>
        <v/>
      </c>
      <c r="F94" s="0">
        <f>D94-0.0045</f>
        <v/>
      </c>
      <c r="I94" s="0">
        <f>C94+(D94*A94)</f>
        <v/>
      </c>
      <c r="K94" s="0">
        <f>I94+(F94*C94)</f>
        <v/>
      </c>
      <c r="L94" s="0">
        <f>K94-$I$1</f>
        <v/>
      </c>
      <c r="N94" s="0" t="n">
        <v>962.75166</v>
      </c>
      <c r="O94" s="0">
        <f>N94/200</f>
        <v/>
      </c>
    </row>
    <row r="95">
      <c r="A95" s="0" t="n">
        <v>4.89</v>
      </c>
      <c r="B95" s="0">
        <f>A95*200</f>
        <v/>
      </c>
      <c r="C95" s="0" t="n">
        <v>0.528</v>
      </c>
      <c r="D95" t="n">
        <v>0.02160502783954144</v>
      </c>
      <c r="E95" s="0">
        <f>B95</f>
        <v/>
      </c>
      <c r="F95" s="0">
        <f>D95-0.0045</f>
        <v/>
      </c>
      <c r="I95" s="0">
        <f>C95+(D95*A95)</f>
        <v/>
      </c>
      <c r="K95" s="0">
        <f>I95+(F95*C95)</f>
        <v/>
      </c>
      <c r="L95" s="0">
        <f>K95-$I$1</f>
        <v/>
      </c>
      <c r="N95" s="0" t="n">
        <v>973.54638</v>
      </c>
      <c r="O95" s="0">
        <f>N95/200</f>
        <v/>
      </c>
    </row>
    <row r="96">
      <c r="A96" s="0" t="n">
        <v>4.94</v>
      </c>
      <c r="B96" s="0">
        <f>A96*200</f>
        <v/>
      </c>
      <c r="C96" s="0" t="n">
        <v>0.526</v>
      </c>
      <c r="D96" t="n">
        <v>0.02235906384885311</v>
      </c>
      <c r="E96" s="0">
        <f>B96</f>
        <v/>
      </c>
      <c r="F96" s="0">
        <f>D96-0.0045</f>
        <v/>
      </c>
      <c r="I96" s="0">
        <f>C96+(D96*A96)</f>
        <v/>
      </c>
      <c r="K96" s="0">
        <f>I96+(F96*C96)</f>
        <v/>
      </c>
      <c r="L96" s="0">
        <f>K96-$I$1</f>
        <v/>
      </c>
      <c r="N96" s="0" t="n">
        <v>984.0356399999999</v>
      </c>
      <c r="O96" s="0">
        <f>N96/200</f>
        <v/>
      </c>
    </row>
    <row r="97">
      <c r="A97" s="0" t="n">
        <v>4.99</v>
      </c>
      <c r="B97" s="0">
        <f>A97*200</f>
        <v/>
      </c>
      <c r="C97" s="0" t="n">
        <v>0.524</v>
      </c>
      <c r="D97" t="n">
        <v>0.0217084027826786</v>
      </c>
      <c r="E97" s="0">
        <f>B97</f>
        <v/>
      </c>
      <c r="F97" s="0">
        <f>D97-0.0045</f>
        <v/>
      </c>
      <c r="I97" s="0">
        <f>C97+(D97*A97)</f>
        <v/>
      </c>
      <c r="K97" s="0">
        <f>I97+(F97*C97)</f>
        <v/>
      </c>
      <c r="L97" s="0">
        <f>K97-$I$1</f>
        <v/>
      </c>
      <c r="N97" s="0" t="n">
        <v>994.62656</v>
      </c>
      <c r="O97" s="0">
        <f>N97/200</f>
        <v/>
      </c>
    </row>
    <row r="98">
      <c r="A98" s="0" t="n">
        <v>5.05</v>
      </c>
      <c r="B98" s="0">
        <f>A98*200</f>
        <v/>
      </c>
      <c r="C98" s="0" t="n">
        <v>0.521</v>
      </c>
      <c r="D98" t="n">
        <v>0.02225402183830738</v>
      </c>
      <c r="E98" s="0">
        <f>B98</f>
        <v/>
      </c>
      <c r="F98" s="0">
        <f>D98-0.0045</f>
        <v/>
      </c>
      <c r="I98" s="0">
        <f>C98+(D98*A98)</f>
        <v/>
      </c>
      <c r="K98" s="0">
        <f>I98+(F98*C98)</f>
        <v/>
      </c>
      <c r="L98" s="0">
        <f>K98-$I$1</f>
        <v/>
      </c>
      <c r="N98" s="0" t="n">
        <v>1005.93038</v>
      </c>
      <c r="O98" s="0">
        <f>N98/200</f>
        <v/>
      </c>
    </row>
    <row r="99">
      <c r="A99" s="0" t="n">
        <v>5.1</v>
      </c>
      <c r="B99" s="0">
        <f>A99*200</f>
        <v/>
      </c>
      <c r="C99" s="0" t="n">
        <v>0.519</v>
      </c>
      <c r="D99" t="n">
        <v>0.02203675732016563</v>
      </c>
      <c r="E99" s="0">
        <f>B99</f>
        <v/>
      </c>
      <c r="F99" s="0">
        <f>D99-0.0045</f>
        <v/>
      </c>
      <c r="I99" s="0">
        <f>C99+(D99*A99)</f>
        <v/>
      </c>
      <c r="K99" s="0">
        <f>I99+(F99*C99)</f>
        <v/>
      </c>
      <c r="L99" s="0">
        <f>K99-$I$1</f>
        <v/>
      </c>
      <c r="N99" s="0" t="n">
        <v>1016.52138</v>
      </c>
      <c r="O99" s="0">
        <f>N99/200</f>
        <v/>
      </c>
    </row>
    <row r="100">
      <c r="A100" s="0" t="n">
        <v>5.15</v>
      </c>
      <c r="B100" s="0">
        <f>A100*200</f>
        <v/>
      </c>
      <c r="C100" s="0" t="n">
        <v>0.517</v>
      </c>
      <c r="D100" t="n">
        <v>0.02238716930150986</v>
      </c>
      <c r="E100" s="0">
        <f>B100</f>
        <v/>
      </c>
      <c r="F100" s="0">
        <f>D100-0.0045</f>
        <v/>
      </c>
      <c r="I100" s="0">
        <f>C100+(D100*A100)</f>
        <v/>
      </c>
      <c r="K100" s="0">
        <f>I100+(F100*C100)</f>
        <v/>
      </c>
      <c r="L100" s="0">
        <f>K100-$I$1</f>
        <v/>
      </c>
      <c r="N100" s="0" t="n">
        <v>1027.31612</v>
      </c>
      <c r="O100" s="0">
        <f>N100/200</f>
        <v/>
      </c>
    </row>
    <row r="101">
      <c r="A101" s="0" t="n">
        <v>5.21</v>
      </c>
      <c r="B101" s="0">
        <f>A101*200</f>
        <v/>
      </c>
      <c r="C101" s="0" t="n">
        <v>0.514</v>
      </c>
      <c r="D101" t="n">
        <v>0.02200327999889851</v>
      </c>
      <c r="E101" s="0">
        <f>B101</f>
        <v/>
      </c>
      <c r="F101" s="0">
        <f>D101-0.0045</f>
        <v/>
      </c>
      <c r="I101" s="0">
        <f>C101+(D101*A101)</f>
        <v/>
      </c>
      <c r="K101" s="0">
        <f>I101+(F101*C101)</f>
        <v/>
      </c>
      <c r="L101" s="0">
        <f>K101-$I$1</f>
        <v/>
      </c>
      <c r="N101" s="0" t="n">
        <v>1037.4998</v>
      </c>
      <c r="O101" s="0">
        <f>N101/200</f>
        <v/>
      </c>
    </row>
    <row r="102">
      <c r="A102" s="0" t="n">
        <v>5.26</v>
      </c>
      <c r="B102" s="0">
        <f>A102*200</f>
        <v/>
      </c>
      <c r="C102" s="0" t="n">
        <v>0.512</v>
      </c>
      <c r="D102" t="n">
        <v>0.02229078486561775</v>
      </c>
      <c r="E102" s="0">
        <f>B102</f>
        <v/>
      </c>
      <c r="F102" s="0">
        <f>D102-0.0045</f>
        <v/>
      </c>
      <c r="I102" s="0">
        <f>C102+(D102*A102)</f>
        <v/>
      </c>
      <c r="K102" s="0">
        <f>I102+(F102*C102)</f>
        <v/>
      </c>
      <c r="L102" s="0">
        <f>K102-$I$1</f>
        <v/>
      </c>
      <c r="N102" s="0" t="n">
        <v>1047.6834</v>
      </c>
      <c r="O102" s="0">
        <f>N102/200</f>
        <v/>
      </c>
    </row>
    <row r="103">
      <c r="A103" s="0" t="n">
        <v>5.31</v>
      </c>
      <c r="B103" s="0">
        <f>A103*200</f>
        <v/>
      </c>
      <c r="C103" s="0" t="n">
        <v>0.51</v>
      </c>
      <c r="D103" t="n">
        <v>0.02204912714660168</v>
      </c>
      <c r="E103" s="0">
        <f>B103</f>
        <v/>
      </c>
      <c r="F103" s="0">
        <f>D103-0.0045</f>
        <v/>
      </c>
      <c r="I103" s="0">
        <f>C103+(D103*A103)</f>
        <v/>
      </c>
      <c r="K103" s="0">
        <f>I103+(F103*C103)</f>
        <v/>
      </c>
      <c r="L103" s="0">
        <f>K103-$I$1</f>
        <v/>
      </c>
      <c r="N103" s="0" t="n">
        <v>1057.76534</v>
      </c>
      <c r="O103" s="0">
        <f>N103/200</f>
        <v/>
      </c>
    </row>
    <row r="104">
      <c r="A104" s="0" t="n">
        <v>5.36</v>
      </c>
      <c r="B104" s="0">
        <f>A104*200</f>
        <v/>
      </c>
      <c r="C104" s="0" t="n">
        <v>0.508</v>
      </c>
      <c r="D104" t="n">
        <v>0.02202761545777321</v>
      </c>
      <c r="E104" s="0">
        <f>B104</f>
        <v/>
      </c>
      <c r="F104" s="0">
        <f>D104-0.0045</f>
        <v/>
      </c>
      <c r="I104" s="0">
        <f>C104+(D104*A104)</f>
        <v/>
      </c>
      <c r="K104" s="0">
        <f>I104+(F104*C104)</f>
        <v/>
      </c>
      <c r="L104" s="0">
        <f>K104-$I$1</f>
        <v/>
      </c>
      <c r="N104" s="0" t="n">
        <v>1069.3746</v>
      </c>
      <c r="O104" s="0">
        <f>N104/200</f>
        <v/>
      </c>
    </row>
    <row r="105">
      <c r="A105" s="0" t="n">
        <v>5.41</v>
      </c>
      <c r="B105" s="0">
        <f>A105*200</f>
        <v/>
      </c>
      <c r="C105" s="0" t="n">
        <v>0.506</v>
      </c>
      <c r="D105" t="n">
        <v>0.02176796086132526</v>
      </c>
      <c r="E105" s="0">
        <f>B105</f>
        <v/>
      </c>
      <c r="F105" s="0">
        <f>D105-0.0045</f>
        <v/>
      </c>
      <c r="I105" s="0">
        <f>C105+(D105*A105)</f>
        <v/>
      </c>
      <c r="K105" s="0">
        <f>I105+(F105*C105)</f>
        <v/>
      </c>
      <c r="L105" s="0">
        <f>K105-$I$1</f>
        <v/>
      </c>
      <c r="N105" s="0" t="n">
        <v>1079.76202</v>
      </c>
      <c r="O105" s="0">
        <f>N105/200</f>
        <v/>
      </c>
    </row>
    <row r="106">
      <c r="A106" s="0" t="n">
        <v>5.48</v>
      </c>
      <c r="B106" s="0">
        <f>A106*200</f>
        <v/>
      </c>
      <c r="C106" s="0" t="n">
        <v>0.503</v>
      </c>
      <c r="D106" t="n">
        <v>0.02218662574887276</v>
      </c>
      <c r="E106" s="0">
        <f>B106</f>
        <v/>
      </c>
      <c r="F106" s="0">
        <f>D106-0.0045</f>
        <v/>
      </c>
      <c r="I106" s="0">
        <f>C106+(D106*A106)</f>
        <v/>
      </c>
      <c r="K106" s="0">
        <f>I106+(F106*C106)</f>
        <v/>
      </c>
      <c r="L106" s="0">
        <f>K106-$I$1</f>
        <v/>
      </c>
      <c r="N106" s="0" t="n">
        <v>1090.04756</v>
      </c>
      <c r="O106" s="0">
        <f>N106/200</f>
        <v/>
      </c>
    </row>
    <row r="107">
      <c r="A107" s="0" t="n">
        <v>5.53</v>
      </c>
      <c r="B107" s="0">
        <f>A107*200</f>
        <v/>
      </c>
      <c r="C107" s="0" t="n">
        <v>0.501</v>
      </c>
      <c r="D107" t="n">
        <v>0.02234361320734024</v>
      </c>
      <c r="E107" s="0">
        <f>B107</f>
        <v/>
      </c>
      <c r="F107" s="0">
        <f>D107-0.0045</f>
        <v/>
      </c>
      <c r="I107" s="0">
        <f>C107+(D107*A107)</f>
        <v/>
      </c>
      <c r="K107" s="0">
        <f>I107+(F107*C107)</f>
        <v/>
      </c>
      <c r="L107" s="0">
        <f>K107-$I$1</f>
        <v/>
      </c>
      <c r="N107" s="0" t="n">
        <v>1100.333</v>
      </c>
      <c r="O107" s="0">
        <f>N107/200</f>
        <v/>
      </c>
    </row>
    <row r="108">
      <c r="A108" s="0" t="n">
        <v>5.58</v>
      </c>
      <c r="B108" s="0">
        <f>A108*200</f>
        <v/>
      </c>
      <c r="C108" s="0" t="n">
        <v>0.499</v>
      </c>
      <c r="D108" t="n">
        <v>0.02194085530936718</v>
      </c>
      <c r="E108" s="0">
        <f>B108</f>
        <v/>
      </c>
      <c r="F108" s="0">
        <f>D108-0.0045</f>
        <v/>
      </c>
      <c r="I108" s="0">
        <f>C108+(D108*A108)</f>
        <v/>
      </c>
      <c r="K108" s="0">
        <f>I108+(F108*C108)</f>
        <v/>
      </c>
      <c r="L108" s="0">
        <f>K108-$I$1</f>
        <v/>
      </c>
      <c r="N108" s="0" t="n">
        <v>1111.53496</v>
      </c>
      <c r="O108" s="0">
        <f>N108/200</f>
        <v/>
      </c>
    </row>
    <row r="109">
      <c r="A109" s="0" t="n">
        <v>5.63</v>
      </c>
      <c r="B109" s="0">
        <f>A109*200</f>
        <v/>
      </c>
      <c r="C109" s="0" t="n">
        <v>0.496</v>
      </c>
      <c r="D109" t="n">
        <v>0.02266308106482029</v>
      </c>
      <c r="E109" s="0">
        <f>B109</f>
        <v/>
      </c>
      <c r="F109" s="0">
        <f>D109-0.0045</f>
        <v/>
      </c>
      <c r="I109" s="0">
        <f>C109+(D109*A109)</f>
        <v/>
      </c>
      <c r="K109" s="0">
        <f>I109+(F109*C109)</f>
        <v/>
      </c>
      <c r="L109" s="0">
        <f>K109-$I$1</f>
        <v/>
      </c>
      <c r="N109" s="0" t="n">
        <v>1122.12608</v>
      </c>
      <c r="O109" s="0">
        <f>N109/200</f>
        <v/>
      </c>
    </row>
    <row r="110">
      <c r="A110" s="0" t="n">
        <v>5.69</v>
      </c>
      <c r="B110" s="0">
        <f>A110*200</f>
        <v/>
      </c>
      <c r="C110" s="0" t="n">
        <v>0.494</v>
      </c>
      <c r="D110" t="n">
        <v>0.02264226041734219</v>
      </c>
      <c r="E110" s="0">
        <f>B110</f>
        <v/>
      </c>
      <c r="F110" s="0">
        <f>D110-0.0045</f>
        <v/>
      </c>
      <c r="I110" s="0">
        <f>C110+(D110*A110)</f>
        <v/>
      </c>
      <c r="K110" s="0">
        <f>I110+(F110*C110)</f>
        <v/>
      </c>
      <c r="L110" s="0">
        <f>K110-$I$1</f>
        <v/>
      </c>
      <c r="N110" s="0" t="n">
        <v>1132.30976</v>
      </c>
      <c r="O110" s="0">
        <f>N110/200</f>
        <v/>
      </c>
    </row>
    <row r="111">
      <c r="A111" s="0" t="n">
        <v>5.74</v>
      </c>
      <c r="B111" s="0">
        <f>A111*200</f>
        <v/>
      </c>
      <c r="C111" s="0" t="n">
        <v>0.492</v>
      </c>
      <c r="D111" t="n">
        <v>0.02145604602992535</v>
      </c>
      <c r="E111" s="0">
        <f>B111</f>
        <v/>
      </c>
      <c r="F111" s="0">
        <f>D111-0.0045</f>
        <v/>
      </c>
      <c r="I111" s="0">
        <f>C111+(D111*A111)</f>
        <v/>
      </c>
      <c r="K111" s="0">
        <f>I111+(F111*C111)</f>
        <v/>
      </c>
      <c r="L111" s="0">
        <f>K111-$I$1</f>
        <v/>
      </c>
      <c r="N111" s="0" t="n">
        <v>1143.00254</v>
      </c>
      <c r="O111" s="0">
        <f>N111/200</f>
        <v/>
      </c>
    </row>
    <row r="112">
      <c r="A112" s="0" t="n">
        <v>5.79</v>
      </c>
      <c r="B112" s="0">
        <f>A112*200</f>
        <v/>
      </c>
      <c r="C112" s="0" t="n">
        <v>0.49</v>
      </c>
      <c r="D112" t="n">
        <v>0.02272169478237629</v>
      </c>
      <c r="E112" s="0">
        <f>B112</f>
        <v/>
      </c>
      <c r="F112" s="0">
        <f>D112-0.0045</f>
        <v/>
      </c>
      <c r="I112" s="0">
        <f>C112+(D112*A112)</f>
        <v/>
      </c>
      <c r="K112" s="0">
        <f>I112+(F112*C112)</f>
        <v/>
      </c>
      <c r="L112" s="0">
        <f>K112-$I$1</f>
        <v/>
      </c>
      <c r="N112" s="0" t="n">
        <v>1153.08448</v>
      </c>
      <c r="O112" s="0">
        <f>N112/200</f>
        <v/>
      </c>
    </row>
    <row r="113">
      <c r="A113" s="0" t="n">
        <v>5.84</v>
      </c>
      <c r="B113" s="0">
        <f>A113*200</f>
        <v/>
      </c>
      <c r="C113" s="0" t="n">
        <v>0.488</v>
      </c>
      <c r="D113" t="n">
        <v>0.02283627167344093</v>
      </c>
      <c r="E113" s="0">
        <f>B113</f>
        <v/>
      </c>
      <c r="F113" s="0">
        <f>D113-0.0045</f>
        <v/>
      </c>
      <c r="I113" s="0">
        <f>C113+(D113*A113)</f>
        <v/>
      </c>
      <c r="K113" s="0">
        <f>I113+(F113*C113)</f>
        <v/>
      </c>
      <c r="L113" s="0">
        <f>K113-$I$1</f>
        <v/>
      </c>
      <c r="N113" s="0" t="n">
        <v>1164.28642</v>
      </c>
      <c r="O113" s="0">
        <f>N113/200</f>
        <v/>
      </c>
    </row>
    <row r="114">
      <c r="A114" s="0" t="n">
        <v>5.9</v>
      </c>
      <c r="B114" s="0">
        <f>A114*200</f>
        <v/>
      </c>
      <c r="C114" s="0" t="n">
        <v>0.485</v>
      </c>
      <c r="D114" t="n">
        <v>0.02256097830832005</v>
      </c>
      <c r="E114" s="0">
        <f>B114</f>
        <v/>
      </c>
      <c r="F114" s="0">
        <f>D114-0.0045</f>
        <v/>
      </c>
      <c r="I114" s="0">
        <f>C114+(D114*A114)</f>
        <v/>
      </c>
      <c r="K114" s="0">
        <f>I114+(F114*C114)</f>
        <v/>
      </c>
      <c r="L114" s="0">
        <f>K114-$I$1</f>
        <v/>
      </c>
      <c r="N114" s="0" t="n">
        <v>1174.77568</v>
      </c>
      <c r="O114" s="0">
        <f>N114/200</f>
        <v/>
      </c>
    </row>
    <row r="115">
      <c r="A115" s="0" t="n">
        <v>5.95</v>
      </c>
      <c r="B115" s="0">
        <f>A115*200</f>
        <v/>
      </c>
      <c r="C115" s="0" t="n">
        <v>0.483</v>
      </c>
      <c r="D115" t="n">
        <v>0.02283190004527569</v>
      </c>
      <c r="E115" s="0">
        <f>B115</f>
        <v/>
      </c>
      <c r="F115" s="0">
        <f>D115-0.0045</f>
        <v/>
      </c>
      <c r="I115" s="0">
        <f>C115+(D115*A115)</f>
        <v/>
      </c>
      <c r="K115" s="0">
        <f>I115+(F115*C115)</f>
        <v/>
      </c>
      <c r="L115" s="0">
        <f>K115-$I$1</f>
        <v/>
      </c>
      <c r="N115" s="0" t="n">
        <v>1185.57032</v>
      </c>
      <c r="O115" s="0">
        <f>N115/200</f>
        <v/>
      </c>
    </row>
    <row r="116">
      <c r="A116" s="0" t="n">
        <v>6</v>
      </c>
      <c r="B116" s="0">
        <f>A116*200</f>
        <v/>
      </c>
      <c r="C116" s="0" t="n">
        <v>0.481</v>
      </c>
      <c r="D116" t="n">
        <v>0.02224512957036495</v>
      </c>
      <c r="E116" s="0">
        <f>B116</f>
        <v/>
      </c>
      <c r="F116" s="0">
        <f>D116-0.0045</f>
        <v/>
      </c>
      <c r="I116" s="0">
        <f>C116+(D116*A116)</f>
        <v/>
      </c>
      <c r="K116" s="0">
        <f>I116+(F116*C116)</f>
        <v/>
      </c>
      <c r="L116" s="0">
        <f>K116-$I$1</f>
        <v/>
      </c>
      <c r="N116" s="0" t="n">
        <v>1195.65206</v>
      </c>
      <c r="O116" s="0">
        <f>N116/200</f>
        <v/>
      </c>
    </row>
    <row r="117">
      <c r="A117" s="0" t="n">
        <v>6.05</v>
      </c>
      <c r="B117" s="0">
        <f>A117*200</f>
        <v/>
      </c>
      <c r="C117" s="0" t="n">
        <v>0.479</v>
      </c>
      <c r="D117" t="n">
        <v>0.02277129143476486</v>
      </c>
      <c r="E117" s="0">
        <f>B117</f>
        <v/>
      </c>
      <c r="F117" s="0">
        <f>D117-0.0045</f>
        <v/>
      </c>
      <c r="I117" s="0">
        <f>C117+(D117*A117)</f>
        <v/>
      </c>
      <c r="K117" s="0">
        <f>I117+(F117*C117)</f>
        <v/>
      </c>
      <c r="L117" s="0">
        <f>K117-$I$1</f>
        <v/>
      </c>
      <c r="N117" s="0" t="n">
        <v>1206.03946</v>
      </c>
      <c r="O117" s="0">
        <f>N117/200</f>
        <v/>
      </c>
    </row>
    <row r="118">
      <c r="A118" s="0" t="n">
        <v>6.11</v>
      </c>
      <c r="B118" s="0">
        <f>A118*200</f>
        <v/>
      </c>
      <c r="C118" s="0" t="n">
        <v>0.477</v>
      </c>
      <c r="D118" t="n">
        <v>0.02282169088721275</v>
      </c>
      <c r="E118" s="0">
        <f>B118</f>
        <v/>
      </c>
      <c r="F118" s="0">
        <f>D118-0.0045</f>
        <v/>
      </c>
      <c r="I118" s="0">
        <f>C118+(D118*A118)</f>
        <v/>
      </c>
      <c r="K118" s="0">
        <f>I118+(F118*C118)</f>
        <v/>
      </c>
      <c r="L118" s="0">
        <f>K118-$I$1</f>
        <v/>
      </c>
      <c r="N118" s="0" t="n">
        <v>1216.22314</v>
      </c>
      <c r="O118" s="0">
        <f>N118/200</f>
        <v/>
      </c>
    </row>
    <row r="119">
      <c r="A119" s="0" t="n">
        <v>6.16</v>
      </c>
      <c r="B119" s="0">
        <f>A119*200</f>
        <v/>
      </c>
      <c r="C119" s="0" t="n">
        <v>0.474</v>
      </c>
      <c r="D119" t="n">
        <v>0.02233251929283142</v>
      </c>
      <c r="E119" s="0">
        <f>B119</f>
        <v/>
      </c>
      <c r="F119" s="0">
        <f>D119-0.0045</f>
        <v/>
      </c>
      <c r="I119" s="0">
        <f>C119+(D119*A119)</f>
        <v/>
      </c>
      <c r="K119" s="0">
        <f>I119+(F119*C119)</f>
        <v/>
      </c>
      <c r="L119" s="0">
        <f>K119-$I$1</f>
        <v/>
      </c>
      <c r="N119" s="0" t="n">
        <v>1226.40674</v>
      </c>
      <c r="O119" s="0">
        <f>N119/200</f>
        <v/>
      </c>
    </row>
    <row r="120">
      <c r="A120" s="0" t="n">
        <v>6.21</v>
      </c>
      <c r="B120" s="0">
        <f>A120*200</f>
        <v/>
      </c>
      <c r="C120" s="0" t="n">
        <v>0.473</v>
      </c>
      <c r="D120" t="n">
        <v>0.02308384887874126</v>
      </c>
      <c r="E120" s="0">
        <f>B120</f>
        <v/>
      </c>
      <c r="F120" s="0">
        <f>D120-0.0045</f>
        <v/>
      </c>
      <c r="I120" s="0">
        <f>C120+(D120*A120)</f>
        <v/>
      </c>
      <c r="K120" s="0">
        <f>I120+(F120*C120)</f>
        <v/>
      </c>
      <c r="L120" s="0">
        <f>K120-$I$1</f>
        <v/>
      </c>
      <c r="N120" s="0" t="n">
        <v>1236.48868</v>
      </c>
      <c r="O120" s="0">
        <f>N120/200</f>
        <v/>
      </c>
    </row>
    <row r="121">
      <c r="A121" s="0" t="n">
        <v>6.27</v>
      </c>
      <c r="B121" s="0">
        <f>A121*200</f>
        <v/>
      </c>
      <c r="C121" s="0" t="n">
        <v>0.47</v>
      </c>
      <c r="D121" t="n">
        <v>0.02248584665358067</v>
      </c>
      <c r="E121" s="0">
        <f>B121</f>
        <v/>
      </c>
      <c r="F121" s="0">
        <f>D121-0.0045</f>
        <v/>
      </c>
      <c r="I121" s="0">
        <f>C121+(D121*A121)</f>
        <v/>
      </c>
      <c r="K121" s="0">
        <f>I121+(F121*C121)</f>
        <v/>
      </c>
      <c r="L121" s="0">
        <f>K121-$I$1</f>
        <v/>
      </c>
      <c r="N121" s="0" t="n">
        <v>1247.07968</v>
      </c>
      <c r="O121" s="0">
        <f>N121/200</f>
        <v/>
      </c>
    </row>
    <row r="122">
      <c r="A122" s="0" t="n">
        <v>6.32</v>
      </c>
      <c r="B122" s="0">
        <f>A122*200</f>
        <v/>
      </c>
      <c r="C122" s="0" t="n">
        <v>0.468</v>
      </c>
      <c r="D122" t="n">
        <v>0.02315918728709221</v>
      </c>
      <c r="E122" s="0">
        <f>B122</f>
        <v/>
      </c>
      <c r="F122" s="0">
        <f>D122-0.0045</f>
        <v/>
      </c>
      <c r="I122" s="0">
        <f>C122+(D122*A122)</f>
        <v/>
      </c>
      <c r="K122" s="0">
        <f>I122+(F122*C122)</f>
        <v/>
      </c>
      <c r="L122" s="0">
        <f>K122-$I$1</f>
        <v/>
      </c>
      <c r="N122" s="0" t="n">
        <v>1257.36504</v>
      </c>
      <c r="O122" s="0">
        <f>N122/200</f>
        <v/>
      </c>
    </row>
    <row r="123">
      <c r="A123" s="0" t="n">
        <v>6.37</v>
      </c>
      <c r="B123" s="0">
        <f>A123*200</f>
        <v/>
      </c>
      <c r="C123" s="0" t="n">
        <v>0.466</v>
      </c>
      <c r="D123" t="n">
        <v>0.02308138087391853</v>
      </c>
      <c r="E123" s="0">
        <f>B123</f>
        <v/>
      </c>
      <c r="F123" s="0">
        <f>D123-0.0045</f>
        <v/>
      </c>
      <c r="I123" s="0">
        <f>C123+(D123*A123)</f>
        <v/>
      </c>
      <c r="K123" s="0">
        <f>I123+(F123*C123)</f>
        <v/>
      </c>
      <c r="L123" s="0">
        <f>K123-$I$1</f>
        <v/>
      </c>
      <c r="N123" s="0" t="n">
        <v>1267.54874</v>
      </c>
      <c r="O123" s="0">
        <f>N123/200</f>
        <v/>
      </c>
    </row>
    <row r="124">
      <c r="A124" s="0" t="n">
        <v>6.42</v>
      </c>
      <c r="B124" s="0">
        <f>A124*200</f>
        <v/>
      </c>
      <c r="C124" s="0" t="n">
        <v>0.464</v>
      </c>
      <c r="D124" t="n">
        <v>0.02228741347789764</v>
      </c>
      <c r="E124" s="0">
        <f>B124</f>
        <v/>
      </c>
      <c r="F124" s="0">
        <f>D124-0.0045</f>
        <v/>
      </c>
      <c r="I124" s="0">
        <f>C124+(D124*A124)</f>
        <v/>
      </c>
      <c r="K124" s="0">
        <f>I124+(F124*C124)</f>
        <v/>
      </c>
      <c r="L124" s="0">
        <f>K124-$I$1</f>
        <v/>
      </c>
      <c r="N124" s="0" t="n">
        <v>1277.93604</v>
      </c>
      <c r="O124" s="0">
        <f>N124/200</f>
        <v/>
      </c>
    </row>
    <row r="125">
      <c r="A125" s="0" t="n">
        <v>6.47</v>
      </c>
      <c r="B125" s="0">
        <f>A125*200</f>
        <v/>
      </c>
      <c r="C125" s="0" t="n">
        <v>0.462</v>
      </c>
      <c r="D125" t="n">
        <v>0.02303110808134079</v>
      </c>
      <c r="E125" s="0">
        <f>B125</f>
        <v/>
      </c>
      <c r="F125" s="0">
        <f>D125-0.0045</f>
        <v/>
      </c>
      <c r="I125" s="0">
        <f>C125+(D125*A125)</f>
        <v/>
      </c>
      <c r="K125" s="0">
        <f>I125+(F125*C125)</f>
        <v/>
      </c>
      <c r="L125" s="0">
        <f>K125-$I$1</f>
        <v/>
      </c>
      <c r="N125" s="0" t="n">
        <v>1288.629</v>
      </c>
      <c r="O125" s="0">
        <f>N125/200</f>
        <v/>
      </c>
    </row>
    <row r="126">
      <c r="A126" s="0" t="n">
        <v>6.53</v>
      </c>
      <c r="B126" s="0">
        <f>A126*200</f>
        <v/>
      </c>
      <c r="C126" s="0" t="n">
        <v>0.46</v>
      </c>
      <c r="D126" t="n">
        <v>0.02348831482231617</v>
      </c>
      <c r="E126" s="0">
        <f>B126</f>
        <v/>
      </c>
      <c r="F126" s="0">
        <f>D126-0.0045</f>
        <v/>
      </c>
      <c r="I126" s="0">
        <f>C126+(D126*A126)</f>
        <v/>
      </c>
      <c r="K126" s="0">
        <f>I126+(F126*C126)</f>
        <v/>
      </c>
      <c r="L126" s="0">
        <f>K126-$I$1</f>
        <v/>
      </c>
      <c r="N126" s="0" t="n">
        <v>1299.11816</v>
      </c>
      <c r="O126" s="0">
        <f>N126/200</f>
        <v/>
      </c>
    </row>
    <row r="127">
      <c r="A127" s="0" t="n">
        <v>6.58</v>
      </c>
      <c r="B127" s="0">
        <f>A127*200</f>
        <v/>
      </c>
      <c r="C127" s="0" t="n">
        <v>0.458</v>
      </c>
      <c r="D127" t="n">
        <v>0.02262923307716846</v>
      </c>
      <c r="E127" s="0">
        <f>B127</f>
        <v/>
      </c>
      <c r="F127" s="0">
        <f>D127-0.0045</f>
        <v/>
      </c>
      <c r="I127" s="0">
        <f>C127+(D127*A127)</f>
        <v/>
      </c>
      <c r="K127" s="0">
        <f>I127+(F127*C127)</f>
        <v/>
      </c>
      <c r="L127" s="0">
        <f>K127-$I$1</f>
        <v/>
      </c>
      <c r="N127" s="0" t="n">
        <v>1309.40362</v>
      </c>
      <c r="O127" s="0">
        <f>N127/200</f>
        <v/>
      </c>
    </row>
    <row r="128">
      <c r="A128" s="0" t="n">
        <v>6.63</v>
      </c>
      <c r="B128" s="0">
        <f>A128*200</f>
        <v/>
      </c>
      <c r="C128" s="0" t="n">
        <v>0.455</v>
      </c>
      <c r="D128" t="n">
        <v>0.02375646680593491</v>
      </c>
      <c r="E128" s="0">
        <f>B128</f>
        <v/>
      </c>
      <c r="F128" s="0">
        <f>D128-0.0045</f>
        <v/>
      </c>
      <c r="I128" s="0">
        <f>C128+(D128*A128)</f>
        <v/>
      </c>
      <c r="K128" s="0">
        <f>I128+(F128*C128)</f>
        <v/>
      </c>
      <c r="L128" s="0">
        <f>K128-$I$1</f>
        <v/>
      </c>
      <c r="N128" s="0" t="n">
        <v>1320.19834</v>
      </c>
      <c r="O128" s="0">
        <f>N128/200</f>
        <v/>
      </c>
    </row>
    <row r="129">
      <c r="A129" s="0" t="n">
        <v>6.68</v>
      </c>
      <c r="B129" s="0">
        <f>A129*200</f>
        <v/>
      </c>
      <c r="C129" s="0" t="n">
        <v>0.453</v>
      </c>
      <c r="D129" t="n">
        <v>0.02298040315508842</v>
      </c>
      <c r="E129" s="0">
        <f>B129</f>
        <v/>
      </c>
      <c r="F129" s="0">
        <f>D129-0.0045</f>
        <v/>
      </c>
      <c r="I129" s="0">
        <f>C129+(D129*A129)</f>
        <v/>
      </c>
      <c r="K129" s="0">
        <f>I129+(F129*C129)</f>
        <v/>
      </c>
      <c r="L129" s="0">
        <f>K129-$I$1</f>
        <v/>
      </c>
      <c r="N129" s="0" t="n">
        <v>1330.6875</v>
      </c>
      <c r="O129" s="0">
        <f>N129/200</f>
        <v/>
      </c>
    </row>
    <row r="130">
      <c r="A130" s="0" t="n">
        <v>6.73</v>
      </c>
      <c r="B130" s="0">
        <f>A130*200</f>
        <v/>
      </c>
      <c r="C130" s="0" t="n">
        <v>0.451</v>
      </c>
      <c r="D130" t="n">
        <v>0.0228426568210125</v>
      </c>
      <c r="E130" s="0">
        <f>B130</f>
        <v/>
      </c>
      <c r="F130" s="0">
        <f>D130-0.0045</f>
        <v/>
      </c>
      <c r="I130" s="0">
        <f>C130+(D130*A130)</f>
        <v/>
      </c>
      <c r="K130" s="0">
        <f>I130+(F130*C130)</f>
        <v/>
      </c>
      <c r="L130" s="0">
        <f>K130-$I$1</f>
        <v/>
      </c>
      <c r="N130" s="0" t="n">
        <v>1341.17666</v>
      </c>
      <c r="O130" s="0">
        <f>N130/200</f>
        <v/>
      </c>
    </row>
    <row r="131">
      <c r="A131" s="0" t="n">
        <v>6.78</v>
      </c>
      <c r="B131" s="0">
        <f>A131*200</f>
        <v/>
      </c>
      <c r="C131" s="0" t="n">
        <v>0.449</v>
      </c>
      <c r="D131" t="n">
        <v>0.02334821410477161</v>
      </c>
      <c r="E131" s="0">
        <f>B131</f>
        <v/>
      </c>
      <c r="F131" s="0">
        <f>D131-0.0045</f>
        <v/>
      </c>
      <c r="I131" s="0">
        <f>C131+(D131*A131)</f>
        <v/>
      </c>
      <c r="K131" s="0">
        <f>I131+(F131*C131)</f>
        <v/>
      </c>
      <c r="L131" s="0">
        <f>K131-$I$1</f>
        <v/>
      </c>
      <c r="N131" s="0" t="n">
        <v>1352.48046</v>
      </c>
      <c r="O131" s="0">
        <f>N131/200</f>
        <v/>
      </c>
    </row>
    <row r="132">
      <c r="A132" s="0" t="n">
        <v>6.83</v>
      </c>
      <c r="B132" s="0">
        <f>A132*200</f>
        <v/>
      </c>
      <c r="C132" s="0" t="n">
        <v>0.447</v>
      </c>
      <c r="D132" t="n">
        <v>0.02255835197865963</v>
      </c>
      <c r="E132" s="0">
        <f>B132</f>
        <v/>
      </c>
      <c r="F132" s="0">
        <f>D132-0.0045</f>
        <v/>
      </c>
      <c r="I132" s="0">
        <f>C132+(D132*A132)</f>
        <v/>
      </c>
      <c r="K132" s="0">
        <f>I132+(F132*C132)</f>
        <v/>
      </c>
      <c r="L132" s="0">
        <f>K132-$I$1</f>
        <v/>
      </c>
      <c r="N132" s="0" t="n">
        <v>1362.5623</v>
      </c>
      <c r="O132" s="0">
        <f>N132/200</f>
        <v/>
      </c>
    </row>
    <row r="133">
      <c r="A133" s="0" t="n">
        <v>6.88</v>
      </c>
      <c r="B133" s="0">
        <f>A133*200</f>
        <v/>
      </c>
      <c r="C133" s="0" t="n">
        <v>0.445</v>
      </c>
      <c r="D133" t="n">
        <v>0.02312240190804005</v>
      </c>
      <c r="E133" s="0">
        <f>B133</f>
        <v/>
      </c>
      <c r="F133" s="0">
        <f>D133-0.0045</f>
        <v/>
      </c>
      <c r="I133" s="0">
        <f>C133+(D133*A133)</f>
        <v/>
      </c>
      <c r="K133" s="0">
        <f>I133+(F133*C133)</f>
        <v/>
      </c>
      <c r="L133" s="0">
        <f>K133-$I$1</f>
        <v/>
      </c>
      <c r="N133" s="0" t="n">
        <v>1372.746</v>
      </c>
      <c r="O133" s="0">
        <f>N133/200</f>
        <v/>
      </c>
    </row>
    <row r="134">
      <c r="A134" s="0" t="n">
        <v>6.94</v>
      </c>
      <c r="B134" s="0">
        <f>A134*200</f>
        <v/>
      </c>
      <c r="C134" s="0" t="n">
        <v>0.443</v>
      </c>
      <c r="D134" t="n">
        <v>0.02291266620159149</v>
      </c>
      <c r="E134" s="0">
        <f>B134</f>
        <v/>
      </c>
      <c r="F134" s="0">
        <f>D134-0.0045</f>
        <v/>
      </c>
      <c r="I134" s="0">
        <f>C134+(D134*A134)</f>
        <v/>
      </c>
      <c r="K134" s="0">
        <f>I134+(F134*C134)</f>
        <v/>
      </c>
      <c r="L134" s="0">
        <f>K134-$I$1</f>
        <v/>
      </c>
      <c r="N134" s="0" t="n">
        <v>1382.92958</v>
      </c>
      <c r="O134" s="0">
        <f>N134/200</f>
        <v/>
      </c>
    </row>
    <row r="135">
      <c r="A135" s="0" t="n">
        <v>6.99</v>
      </c>
      <c r="B135" s="0">
        <f>A135*200</f>
        <v/>
      </c>
      <c r="C135" s="0" t="n">
        <v>0.441</v>
      </c>
      <c r="D135" t="n">
        <v>0.023176034912467</v>
      </c>
      <c r="E135" s="0">
        <f>B135</f>
        <v/>
      </c>
      <c r="F135" s="0">
        <f>D135-0.0045</f>
        <v/>
      </c>
      <c r="I135" s="0">
        <f>C135+(D135*A135)</f>
        <v/>
      </c>
      <c r="K135" s="0">
        <f>I135+(F135*C135)</f>
        <v/>
      </c>
      <c r="L135" s="0">
        <f>K135-$I$1</f>
        <v/>
      </c>
      <c r="N135" s="0" t="n">
        <v>1393.3169</v>
      </c>
      <c r="O135" s="0">
        <f>N135/200</f>
        <v/>
      </c>
    </row>
    <row r="136">
      <c r="A136" s="0" t="n">
        <v>7.04</v>
      </c>
      <c r="B136" s="0">
        <f>A136*200</f>
        <v/>
      </c>
      <c r="C136" s="0" t="n">
        <v>0.439</v>
      </c>
      <c r="D136" t="n">
        <v>0.02292532101273537</v>
      </c>
      <c r="E136" s="0">
        <f>B136</f>
        <v/>
      </c>
      <c r="F136" s="0">
        <f>D136-0.0045</f>
        <v/>
      </c>
      <c r="I136" s="0">
        <f>C136+(D136*A136)</f>
        <v/>
      </c>
      <c r="K136" s="0">
        <f>I136+(F136*C136)</f>
        <v/>
      </c>
      <c r="L136" s="0">
        <f>K136-$I$1</f>
        <v/>
      </c>
      <c r="N136" s="0" t="n">
        <v>1403.60254</v>
      </c>
      <c r="O136" s="0">
        <f>N136/200</f>
        <v/>
      </c>
    </row>
    <row r="137">
      <c r="A137" s="0" t="n">
        <v>7.09</v>
      </c>
      <c r="B137" s="0">
        <f>A137*200</f>
        <v/>
      </c>
      <c r="C137" s="0" t="n">
        <v>0.437</v>
      </c>
      <c r="D137" t="n">
        <v>0.02327945083379745</v>
      </c>
      <c r="E137" s="0">
        <f>B137</f>
        <v/>
      </c>
      <c r="F137" s="0">
        <f>D137-0.0045</f>
        <v/>
      </c>
      <c r="I137" s="0">
        <f>C137+(D137*A137)</f>
        <v/>
      </c>
      <c r="K137" s="0">
        <f>I137+(F137*C137)</f>
        <v/>
      </c>
      <c r="L137" s="0">
        <f>K137-$I$1</f>
        <v/>
      </c>
      <c r="N137" s="0" t="n">
        <v>1413.88798</v>
      </c>
      <c r="O137" s="0">
        <f>N137/200</f>
        <v/>
      </c>
    </row>
    <row r="138">
      <c r="A138" s="0" t="n">
        <v>7.15</v>
      </c>
      <c r="B138" s="0">
        <f>A138*200</f>
        <v/>
      </c>
      <c r="C138" s="0" t="n">
        <v>0.434</v>
      </c>
      <c r="D138" t="n">
        <v>0.02313651889562607</v>
      </c>
      <c r="E138" s="0">
        <f>B138</f>
        <v/>
      </c>
      <c r="F138" s="0">
        <f>D138-0.0045</f>
        <v/>
      </c>
      <c r="I138" s="0">
        <f>C138+(D138*A138)</f>
        <v/>
      </c>
      <c r="K138" s="0">
        <f>I138+(F138*C138)</f>
        <v/>
      </c>
      <c r="L138" s="0">
        <f>K138-$I$1</f>
        <v/>
      </c>
      <c r="N138" s="0" t="n">
        <v>1424.17354</v>
      </c>
      <c r="O138" s="0">
        <f>N138/200</f>
        <v/>
      </c>
    </row>
    <row r="139">
      <c r="A139" s="0" t="n">
        <v>7.2</v>
      </c>
      <c r="B139" s="0">
        <f>A139*200</f>
        <v/>
      </c>
      <c r="C139" s="0" t="n">
        <v>0.432</v>
      </c>
      <c r="D139" t="n">
        <v>0.02359609119594097</v>
      </c>
      <c r="E139" s="0">
        <f>B139</f>
        <v/>
      </c>
      <c r="F139" s="0">
        <f>D139-0.0045</f>
        <v/>
      </c>
      <c r="I139" s="0">
        <f>C139+(D139*A139)</f>
        <v/>
      </c>
      <c r="K139" s="0">
        <f>I139+(F139*C139)</f>
        <v/>
      </c>
      <c r="L139" s="0">
        <f>K139-$I$1</f>
        <v/>
      </c>
      <c r="N139" s="0" t="n">
        <v>1434.45898</v>
      </c>
      <c r="O139" s="0">
        <f>N139/200</f>
        <v/>
      </c>
    </row>
    <row r="140">
      <c r="A140" s="0" t="n">
        <v>7.25</v>
      </c>
      <c r="B140" s="0">
        <f>A140*200</f>
        <v/>
      </c>
      <c r="C140" s="0" t="n">
        <v>0.43</v>
      </c>
      <c r="D140" t="n">
        <v>0.02316553890705109</v>
      </c>
      <c r="E140" s="0">
        <f>B140</f>
        <v/>
      </c>
      <c r="F140" s="0">
        <f>D140-0.0045</f>
        <v/>
      </c>
      <c r="I140" s="0">
        <f>C140+(D140*A140)</f>
        <v/>
      </c>
      <c r="K140" s="0">
        <f>I140+(F140*C140)</f>
        <v/>
      </c>
      <c r="L140" s="0">
        <f>K140-$I$1</f>
        <v/>
      </c>
      <c r="N140" s="0" t="n">
        <v>1444.84648</v>
      </c>
      <c r="O140" s="0">
        <f>N140/200</f>
        <v/>
      </c>
    </row>
    <row r="141">
      <c r="A141" s="0" t="n">
        <v>7.31</v>
      </c>
      <c r="B141" s="0">
        <f>A141*200</f>
        <v/>
      </c>
      <c r="C141" s="0" t="n">
        <v>0.428</v>
      </c>
      <c r="D141" t="n">
        <v>0.02403800003230572</v>
      </c>
      <c r="E141" s="0">
        <f>B141</f>
        <v/>
      </c>
      <c r="F141" s="0">
        <f>D141-0.0045</f>
        <v/>
      </c>
      <c r="I141" s="0">
        <f>C141+(D141*A141)</f>
        <v/>
      </c>
      <c r="K141" s="0">
        <f>I141+(F141*C141)</f>
        <v/>
      </c>
      <c r="L141" s="0">
        <f>K141-$I$1</f>
        <v/>
      </c>
      <c r="N141" s="0" t="n">
        <v>1455.53926</v>
      </c>
      <c r="O141" s="0">
        <f>N141/200</f>
        <v/>
      </c>
    </row>
    <row r="142">
      <c r="A142" s="0" t="n">
        <v>7.36</v>
      </c>
      <c r="B142" s="0">
        <f>A142*200</f>
        <v/>
      </c>
      <c r="C142" s="0" t="n">
        <v>0.426</v>
      </c>
      <c r="D142" t="n">
        <v>0.0228748694062233</v>
      </c>
      <c r="E142" s="0">
        <f>B142</f>
        <v/>
      </c>
      <c r="F142" s="0">
        <f>D142-0.0045</f>
        <v/>
      </c>
      <c r="I142" s="0">
        <f>C142+(D142*A142)</f>
        <v/>
      </c>
      <c r="K142" s="0">
        <f>I142+(F142*C142)</f>
        <v/>
      </c>
      <c r="L142" s="0">
        <f>K142-$I$1</f>
        <v/>
      </c>
      <c r="N142" s="0" t="n">
        <v>1465.621</v>
      </c>
      <c r="O142" s="0">
        <f>N142/200</f>
        <v/>
      </c>
    </row>
    <row r="143">
      <c r="A143" s="0" t="n">
        <v>7.41</v>
      </c>
      <c r="B143" s="0">
        <f>A143*200</f>
        <v/>
      </c>
      <c r="C143" s="0" t="n">
        <v>0.424</v>
      </c>
      <c r="D143" t="n">
        <v>0.02321753092110157</v>
      </c>
      <c r="E143" s="0">
        <f>B143</f>
        <v/>
      </c>
      <c r="F143" s="0">
        <f>D143-0.0045</f>
        <v/>
      </c>
      <c r="I143" s="0">
        <f>C143+(D143*A143)</f>
        <v/>
      </c>
      <c r="K143" s="0">
        <f>I143+(F143*C143)</f>
        <v/>
      </c>
      <c r="L143" s="0">
        <f>K143-$I$1</f>
        <v/>
      </c>
      <c r="N143" s="0" t="n">
        <v>1475.80458</v>
      </c>
      <c r="O143" s="0">
        <f>N143/200</f>
        <v/>
      </c>
    </row>
    <row r="144">
      <c r="A144" s="0" t="n">
        <v>7.46</v>
      </c>
      <c r="B144" s="0">
        <f>A144*200</f>
        <v/>
      </c>
      <c r="C144" s="0" t="n">
        <v>0.422</v>
      </c>
      <c r="D144" t="n">
        <v>0.02334983088076115</v>
      </c>
      <c r="E144" s="0">
        <f>B144</f>
        <v/>
      </c>
      <c r="F144" s="0">
        <f>D144-0.0045</f>
        <v/>
      </c>
      <c r="I144" s="0">
        <f>C144+(D144*A144)</f>
        <v/>
      </c>
      <c r="K144" s="0">
        <f>I144+(F144*C144)</f>
        <v/>
      </c>
      <c r="L144" s="0">
        <f>K144-$I$1</f>
        <v/>
      </c>
      <c r="N144" s="0" t="n">
        <v>1486.29384</v>
      </c>
      <c r="O144" s="0">
        <f>N144/200</f>
        <v/>
      </c>
    </row>
    <row r="145">
      <c r="A145" s="0" t="n">
        <v>7.52</v>
      </c>
      <c r="B145" s="0">
        <f>A145*200</f>
        <v/>
      </c>
      <c r="C145" s="0" t="n">
        <v>0.42</v>
      </c>
      <c r="D145" t="n">
        <v>0.02308961376547813</v>
      </c>
      <c r="E145" s="0">
        <f>B145</f>
        <v/>
      </c>
      <c r="F145" s="0">
        <f>D145-0.0045</f>
        <v/>
      </c>
      <c r="I145" s="0">
        <f>C145+(D145*A145)</f>
        <v/>
      </c>
      <c r="K145" s="0">
        <f>I145+(F145*C145)</f>
        <v/>
      </c>
      <c r="L145" s="0">
        <f>K145-$I$1</f>
        <v/>
      </c>
      <c r="N145" s="0" t="n">
        <v>1496.88486</v>
      </c>
      <c r="O145" s="0">
        <f>N145/200</f>
        <v/>
      </c>
    </row>
    <row r="146">
      <c r="A146" s="0" t="n">
        <v>7.57</v>
      </c>
      <c r="B146" s="0">
        <f>A146*200</f>
        <v/>
      </c>
      <c r="C146" s="0" t="n">
        <v>0.418</v>
      </c>
      <c r="D146" t="n">
        <v>0.02444537356495857</v>
      </c>
      <c r="E146" s="0">
        <f>B146</f>
        <v/>
      </c>
      <c r="F146" s="0">
        <f>D146-0.0045</f>
        <v/>
      </c>
      <c r="I146" s="0">
        <f>C146+(D146*A146)</f>
        <v/>
      </c>
      <c r="K146" s="0">
        <f>I146+(F146*C146)</f>
        <v/>
      </c>
      <c r="L146" s="0">
        <f>K146-$I$1</f>
        <v/>
      </c>
      <c r="N146" s="0" t="n">
        <v>1506.9666</v>
      </c>
      <c r="O146" s="0">
        <f>N146/200</f>
        <v/>
      </c>
    </row>
    <row r="147">
      <c r="A147" s="0" t="n">
        <v>7.62</v>
      </c>
      <c r="B147" s="0">
        <f>A147*200</f>
        <v/>
      </c>
      <c r="C147" s="0" t="n">
        <v>0.416</v>
      </c>
      <c r="D147" t="n">
        <v>0.02307135425508022</v>
      </c>
      <c r="E147" s="0">
        <f>B147</f>
        <v/>
      </c>
      <c r="F147" s="0">
        <f>D147-0.0045</f>
        <v/>
      </c>
      <c r="I147" s="0">
        <f>C147+(D147*A147)</f>
        <v/>
      </c>
      <c r="K147" s="0">
        <f>I147+(F147*C147)</f>
        <v/>
      </c>
      <c r="L147" s="0">
        <f>K147-$I$1</f>
        <v/>
      </c>
      <c r="N147" s="0" t="n">
        <v>1517.76142</v>
      </c>
      <c r="O147" s="0">
        <f>N147/200</f>
        <v/>
      </c>
    </row>
    <row r="148">
      <c r="A148" s="0" t="n">
        <v>7.67</v>
      </c>
      <c r="B148" s="0">
        <f>A148*200</f>
        <v/>
      </c>
      <c r="C148" s="0" t="n">
        <v>0.413</v>
      </c>
      <c r="D148" t="n">
        <v>0.02379290014505386</v>
      </c>
      <c r="E148" s="0">
        <f>B148</f>
        <v/>
      </c>
      <c r="F148" s="0">
        <f>D148-0.0045</f>
        <v/>
      </c>
      <c r="I148" s="0">
        <f>C148+(D148*A148)</f>
        <v/>
      </c>
      <c r="K148" s="0">
        <f>I148+(F148*C148)</f>
        <v/>
      </c>
      <c r="L148" s="0">
        <f>K148-$I$1</f>
        <v/>
      </c>
      <c r="N148" s="0" t="n">
        <v>1528.55616</v>
      </c>
      <c r="O148" s="0">
        <f>N148/200</f>
        <v/>
      </c>
    </row>
    <row r="149">
      <c r="A149" s="0" t="n">
        <v>7.72</v>
      </c>
      <c r="B149" s="0">
        <f>A149*200</f>
        <v/>
      </c>
      <c r="C149" s="0" t="n">
        <v>0.411</v>
      </c>
      <c r="D149" t="n">
        <v>0.02341685071587563</v>
      </c>
      <c r="E149" s="0">
        <f>B149</f>
        <v/>
      </c>
      <c r="F149" s="0">
        <f>D149-0.0045</f>
        <v/>
      </c>
      <c r="I149" s="0">
        <f>C149+(D149*A149)</f>
        <v/>
      </c>
      <c r="K149" s="0">
        <f>I149+(F149*C149)</f>
        <v/>
      </c>
      <c r="L149" s="0">
        <f>K149-$I$1</f>
        <v/>
      </c>
      <c r="N149" s="0" t="n">
        <v>1538.8417</v>
      </c>
      <c r="O149" s="0">
        <f>N149/200</f>
        <v/>
      </c>
    </row>
    <row r="150">
      <c r="A150" s="0" t="n">
        <v>7.77</v>
      </c>
      <c r="B150" s="0">
        <f>A150*200</f>
        <v/>
      </c>
      <c r="C150" s="0" t="n">
        <v>0.409</v>
      </c>
      <c r="D150" t="n">
        <v>0.02343933098018169</v>
      </c>
      <c r="E150" s="0">
        <f>B150</f>
        <v/>
      </c>
      <c r="F150" s="0">
        <f>D150-0.0045</f>
        <v/>
      </c>
      <c r="I150" s="0">
        <f>C150+(D150*A150)</f>
        <v/>
      </c>
      <c r="K150" s="0">
        <f>I150+(F150*C150)</f>
        <v/>
      </c>
      <c r="L150" s="0">
        <f>K150-$I$1</f>
        <v/>
      </c>
      <c r="N150" s="0" t="n">
        <v>1548.92344</v>
      </c>
      <c r="O150" s="0">
        <f>N150/200</f>
        <v/>
      </c>
    </row>
    <row r="151">
      <c r="A151" s="0" t="n">
        <v>7.82</v>
      </c>
      <c r="B151" s="0">
        <f>A151*200</f>
        <v/>
      </c>
      <c r="C151" s="0" t="n">
        <v>0.407</v>
      </c>
      <c r="D151" t="n">
        <v>0.02361765690147877</v>
      </c>
      <c r="E151" s="0">
        <f>B151</f>
        <v/>
      </c>
      <c r="F151" s="0">
        <f>D151-0.0045</f>
        <v/>
      </c>
      <c r="I151" s="0">
        <f>C151+(D151*A151)</f>
        <v/>
      </c>
      <c r="K151" s="0">
        <f>I151+(F151*C151)</f>
        <v/>
      </c>
      <c r="L151" s="0">
        <f>K151-$I$1</f>
        <v/>
      </c>
      <c r="N151" s="0" t="n">
        <v>1559.71816</v>
      </c>
      <c r="O151" s="0">
        <f>N151/200</f>
        <v/>
      </c>
    </row>
    <row r="152">
      <c r="A152" s="0" t="n">
        <v>7.87</v>
      </c>
      <c r="B152" s="0">
        <f>A152*200</f>
        <v/>
      </c>
      <c r="C152" s="0" t="n">
        <v>0.405</v>
      </c>
      <c r="D152" t="n">
        <v>0.02412284165620804</v>
      </c>
      <c r="E152" s="0">
        <f>B152</f>
        <v/>
      </c>
      <c r="F152" s="0">
        <f>D152-0.0045</f>
        <v/>
      </c>
      <c r="I152" s="0">
        <f>C152+(D152*A152)</f>
        <v/>
      </c>
      <c r="K152" s="0">
        <f>I152+(F152*C152)</f>
        <v/>
      </c>
      <c r="L152" s="0">
        <f>K152-$I$1</f>
        <v/>
      </c>
      <c r="N152" s="0" t="n">
        <v>1569.7999</v>
      </c>
      <c r="O152" s="0">
        <f>N152/200</f>
        <v/>
      </c>
    </row>
    <row r="153">
      <c r="A153" s="0" t="n">
        <v>7.92</v>
      </c>
      <c r="B153" s="0">
        <f>A153*200</f>
        <v/>
      </c>
      <c r="C153" s="0" t="n">
        <v>0.403</v>
      </c>
      <c r="D153" t="n">
        <v>0.02367998659610748</v>
      </c>
      <c r="E153" s="0">
        <f>B153</f>
        <v/>
      </c>
      <c r="F153" s="0">
        <f>D153-0.0045</f>
        <v/>
      </c>
      <c r="I153" s="0">
        <f>C153+(D153*A153)</f>
        <v/>
      </c>
      <c r="K153" s="0">
        <f>I153+(F153*C153)</f>
        <v/>
      </c>
      <c r="L153" s="0">
        <f>K153-$I$1</f>
        <v/>
      </c>
      <c r="N153" s="0" t="n">
        <v>1580.9001</v>
      </c>
      <c r="O153" s="0">
        <f>N153/200</f>
        <v/>
      </c>
    </row>
    <row r="154">
      <c r="A154" s="0" t="n">
        <v>7.98</v>
      </c>
      <c r="B154" s="0">
        <f>A154*200</f>
        <v/>
      </c>
      <c r="C154" s="0" t="n">
        <v>0.401</v>
      </c>
      <c r="D154" t="n">
        <v>0.02378236874938011</v>
      </c>
      <c r="E154" s="0">
        <f>B154</f>
        <v/>
      </c>
      <c r="F154" s="0">
        <f>D154-0.0045</f>
        <v/>
      </c>
      <c r="I154" s="0">
        <f>C154+(D154*A154)</f>
        <v/>
      </c>
      <c r="K154" s="0">
        <f>I154+(F154*C154)</f>
        <v/>
      </c>
      <c r="L154" s="0">
        <f>K154-$I$1</f>
        <v/>
      </c>
      <c r="N154" s="0" t="n">
        <v>1590.98194</v>
      </c>
      <c r="O154" s="0">
        <f>N154/200</f>
        <v/>
      </c>
    </row>
    <row r="155">
      <c r="A155" s="0" t="n">
        <v>8.029999999999999</v>
      </c>
      <c r="B155" s="0">
        <f>A155*200</f>
        <v/>
      </c>
      <c r="C155" s="0" t="n">
        <v>0.399</v>
      </c>
      <c r="D155" t="n">
        <v>0.02381190285086632</v>
      </c>
      <c r="E155" s="0">
        <f>B155</f>
        <v/>
      </c>
      <c r="F155" s="0">
        <f>D155-0.0045</f>
        <v/>
      </c>
      <c r="I155" s="0">
        <f>C155+(D155*A155)</f>
        <v/>
      </c>
      <c r="K155" s="0">
        <f>I155+(F155*C155)</f>
        <v/>
      </c>
      <c r="L155" s="0">
        <f>K155-$I$1</f>
        <v/>
      </c>
      <c r="N155" s="0" t="n">
        <v>1601.26748</v>
      </c>
      <c r="O155" s="0">
        <f>N155/200</f>
        <v/>
      </c>
    </row>
    <row r="156">
      <c r="A156" s="0" t="n">
        <v>8.08</v>
      </c>
      <c r="B156" s="0">
        <f>A156*200</f>
        <v/>
      </c>
      <c r="C156" s="0" t="n">
        <v>0.397</v>
      </c>
      <c r="D156" t="n">
        <v>0.02335663884878159</v>
      </c>
      <c r="E156" s="0">
        <f>B156</f>
        <v/>
      </c>
      <c r="F156" s="0">
        <f>D156-0.0045</f>
        <v/>
      </c>
      <c r="I156" s="0">
        <f>C156+(D156*A156)</f>
        <v/>
      </c>
      <c r="K156" s="0">
        <f>I156+(F156*C156)</f>
        <v/>
      </c>
      <c r="L156" s="0">
        <f>K156-$I$1</f>
        <v/>
      </c>
      <c r="N156" s="0" t="n">
        <v>1612.26592</v>
      </c>
      <c r="O156" s="0">
        <f>N156/200</f>
        <v/>
      </c>
    </row>
    <row r="157">
      <c r="A157" s="0" t="n">
        <v>8.130000000000001</v>
      </c>
      <c r="B157" s="0">
        <f>A157*200</f>
        <v/>
      </c>
      <c r="C157" s="0" t="n">
        <v>0.395</v>
      </c>
      <c r="D157" t="n">
        <v>0.02376625686883926</v>
      </c>
      <c r="E157" s="0">
        <f>B157</f>
        <v/>
      </c>
      <c r="F157" s="0">
        <f>D157-0.0045</f>
        <v/>
      </c>
      <c r="I157" s="0">
        <f>C157+(D157*A157)</f>
        <v/>
      </c>
      <c r="K157" s="0">
        <f>I157+(F157*C157)</f>
        <v/>
      </c>
      <c r="L157" s="0">
        <f>K157-$I$1</f>
        <v/>
      </c>
      <c r="N157" s="0" t="n">
        <v>1622.55136</v>
      </c>
      <c r="O157" s="0">
        <f>N157/200</f>
        <v/>
      </c>
    </row>
    <row r="158">
      <c r="A158" s="0" t="n">
        <v>8.18</v>
      </c>
      <c r="B158" s="0">
        <f>A158*200</f>
        <v/>
      </c>
      <c r="C158" s="0" t="n">
        <v>0.393</v>
      </c>
      <c r="D158" t="n">
        <v>0.02348150312900543</v>
      </c>
      <c r="E158" s="0">
        <f>B158</f>
        <v/>
      </c>
      <c r="F158" s="0">
        <f>D158-0.0045</f>
        <v/>
      </c>
      <c r="I158" s="0">
        <f>C158+(D158*A158)</f>
        <v/>
      </c>
      <c r="K158" s="0">
        <f>I158+(F158*C158)</f>
        <v/>
      </c>
      <c r="L158" s="0">
        <f>K158-$I$1</f>
        <v/>
      </c>
      <c r="N158" s="0" t="n">
        <v>1632.73506</v>
      </c>
      <c r="O158" s="0">
        <f>N158/200</f>
        <v/>
      </c>
    </row>
    <row r="159">
      <c r="A159" s="0" t="n">
        <v>8.23</v>
      </c>
      <c r="B159" s="0">
        <f>A159*200</f>
        <v/>
      </c>
      <c r="C159" s="0" t="n">
        <v>0.39</v>
      </c>
      <c r="D159" t="n">
        <v>0.02421257458627224</v>
      </c>
      <c r="E159" s="0">
        <f>B159</f>
        <v/>
      </c>
      <c r="F159" s="0">
        <f>D159-0.0045</f>
        <v/>
      </c>
      <c r="I159" s="0">
        <f>C159+(D159*A159)</f>
        <v/>
      </c>
      <c r="K159" s="0">
        <f>I159+(F159*C159)</f>
        <v/>
      </c>
      <c r="L159" s="0">
        <f>K159-$I$1</f>
        <v/>
      </c>
      <c r="N159" s="0" t="n">
        <v>1643.42792</v>
      </c>
      <c r="O159" s="0">
        <f>N159/200</f>
        <v/>
      </c>
    </row>
    <row r="160">
      <c r="A160" s="0" t="n">
        <v>8.279999999999999</v>
      </c>
      <c r="B160" s="0">
        <f>A160*200</f>
        <v/>
      </c>
      <c r="C160" s="0" t="n">
        <v>0.388</v>
      </c>
      <c r="D160" t="n">
        <v>0.02338164113461971</v>
      </c>
      <c r="E160" s="0">
        <f>B160</f>
        <v/>
      </c>
      <c r="F160" s="0">
        <f>D160-0.0045</f>
        <v/>
      </c>
      <c r="I160" s="0">
        <f>C160+(D160*A160)</f>
        <v/>
      </c>
      <c r="K160" s="0">
        <f>I160+(F160*C160)</f>
        <v/>
      </c>
      <c r="L160" s="0">
        <f>K160-$I$1</f>
        <v/>
      </c>
      <c r="N160" s="0" t="n">
        <v>1653.50976</v>
      </c>
      <c r="O160" s="0">
        <f>N160/200</f>
        <v/>
      </c>
    </row>
    <row r="161">
      <c r="A161" s="0" t="n">
        <v>8.34</v>
      </c>
      <c r="B161" s="0">
        <f>A161*200</f>
        <v/>
      </c>
      <c r="C161" s="0" t="n">
        <v>0.386</v>
      </c>
      <c r="D161" t="n">
        <v>0.02417968027293682</v>
      </c>
      <c r="E161" s="0">
        <f>B161</f>
        <v/>
      </c>
      <c r="F161" s="0">
        <f>D161-0.0045</f>
        <v/>
      </c>
      <c r="I161" s="0">
        <f>C161+(D161*A161)</f>
        <v/>
      </c>
      <c r="K161" s="0">
        <f>I161+(F161*C161)</f>
        <v/>
      </c>
      <c r="L161" s="0">
        <f>K161-$I$1</f>
        <v/>
      </c>
      <c r="N161" s="0" t="n">
        <v>1663.5916</v>
      </c>
      <c r="O161" s="0">
        <f>N161/200</f>
        <v/>
      </c>
    </row>
    <row r="162">
      <c r="A162" s="0" t="n">
        <v>8.390000000000001</v>
      </c>
      <c r="B162" s="0">
        <f>A162*200</f>
        <v/>
      </c>
      <c r="C162" s="0" t="n">
        <v>0.384</v>
      </c>
      <c r="D162" t="n">
        <v>0.02359800599515438</v>
      </c>
      <c r="E162" s="0">
        <f>B162</f>
        <v/>
      </c>
      <c r="F162" s="0">
        <f>D162-0.0045</f>
        <v/>
      </c>
      <c r="I162" s="0">
        <f>C162+(D162*A162)</f>
        <v/>
      </c>
      <c r="K162" s="0">
        <f>I162+(F162*C162)</f>
        <v/>
      </c>
      <c r="L162" s="0">
        <f>K162-$I$1</f>
        <v/>
      </c>
      <c r="N162" s="0" t="n">
        <v>1674.08086</v>
      </c>
      <c r="O162" s="0">
        <f>N162/200</f>
        <v/>
      </c>
    </row>
    <row r="163">
      <c r="A163" s="0" t="n">
        <v>8.44</v>
      </c>
      <c r="B163" s="0">
        <f>A163*200</f>
        <v/>
      </c>
      <c r="C163" s="0" t="n">
        <v>0.382</v>
      </c>
      <c r="D163" t="n">
        <v>0.02405710332095623</v>
      </c>
      <c r="E163" s="0">
        <f>B163</f>
        <v/>
      </c>
      <c r="F163" s="0">
        <f>D163-0.0045</f>
        <v/>
      </c>
      <c r="I163" s="0">
        <f>C163+(D163*A163)</f>
        <v/>
      </c>
      <c r="K163" s="0">
        <f>I163+(F163*C163)</f>
        <v/>
      </c>
      <c r="L163" s="0">
        <f>K163-$I$1</f>
        <v/>
      </c>
      <c r="N163" s="0" t="n">
        <v>1684.26446</v>
      </c>
      <c r="O163" s="0">
        <f>N163/200</f>
        <v/>
      </c>
    </row>
    <row r="164">
      <c r="A164" s="0" t="n">
        <v>8.49</v>
      </c>
      <c r="B164" s="0">
        <f>A164*200</f>
        <v/>
      </c>
      <c r="C164" s="0" t="n">
        <v>0.38</v>
      </c>
      <c r="D164" t="n">
        <v>0.02362007275223732</v>
      </c>
      <c r="E164" s="0">
        <f>B164</f>
        <v/>
      </c>
      <c r="F164" s="0">
        <f>D164-0.0045</f>
        <v/>
      </c>
      <c r="I164" s="0">
        <f>C164+(D164*A164)</f>
        <v/>
      </c>
      <c r="K164" s="0">
        <f>I164+(F164*C164)</f>
        <v/>
      </c>
      <c r="L164" s="0">
        <f>K164-$I$1</f>
        <v/>
      </c>
      <c r="N164" s="0" t="n">
        <v>1694.55</v>
      </c>
      <c r="O164" s="0">
        <f>N164/200</f>
        <v/>
      </c>
    </row>
    <row r="165">
      <c r="A165" s="0" t="n">
        <v>8.550000000000001</v>
      </c>
      <c r="B165" s="0">
        <f>A165*200</f>
        <v/>
      </c>
      <c r="C165" s="0" t="n">
        <v>0.378</v>
      </c>
      <c r="D165" t="n">
        <v>0.02441132627427578</v>
      </c>
      <c r="E165" s="0">
        <f>B165</f>
        <v/>
      </c>
      <c r="F165" s="0">
        <f>D165-0.0045</f>
        <v/>
      </c>
      <c r="I165" s="0">
        <f>C165+(D165*A165)</f>
        <v/>
      </c>
      <c r="K165" s="0">
        <f>I165+(F165*C165)</f>
        <v/>
      </c>
      <c r="L165" s="0">
        <f>K165-$I$1</f>
        <v/>
      </c>
      <c r="N165" s="0" t="n">
        <v>1704.83554</v>
      </c>
      <c r="O165" s="0">
        <f>N165/200</f>
        <v/>
      </c>
    </row>
    <row r="166">
      <c r="A166" s="0" t="n">
        <v>8.6</v>
      </c>
      <c r="B166" s="0">
        <f>A166*200</f>
        <v/>
      </c>
      <c r="C166" s="0" t="n">
        <v>0.375</v>
      </c>
      <c r="D166" t="n">
        <v>0.02377547696232796</v>
      </c>
      <c r="E166" s="0">
        <f>B166</f>
        <v/>
      </c>
      <c r="F166" s="0">
        <f>D166-0.0045</f>
        <v/>
      </c>
      <c r="I166" s="0">
        <f>C166+(D166*A166)</f>
        <v/>
      </c>
      <c r="K166" s="0">
        <f>I166+(F166*C166)</f>
        <v/>
      </c>
      <c r="L166" s="0">
        <f>K166-$I$1</f>
        <v/>
      </c>
      <c r="N166" s="0" t="n">
        <v>1715.3248</v>
      </c>
      <c r="O166" s="0">
        <f>N166/200</f>
        <v/>
      </c>
    </row>
    <row r="167">
      <c r="A167" s="0" t="n">
        <v>8.65</v>
      </c>
      <c r="B167" s="0">
        <f>A167*200</f>
        <v/>
      </c>
      <c r="C167" s="0" t="n">
        <v>0.373</v>
      </c>
      <c r="D167" t="n">
        <v>0.02424614503979683</v>
      </c>
      <c r="E167" s="0">
        <f>B167</f>
        <v/>
      </c>
      <c r="F167" s="0">
        <f>D167-0.0045</f>
        <v/>
      </c>
      <c r="I167" s="0">
        <f>C167+(D167*A167)</f>
        <v/>
      </c>
      <c r="K167" s="0">
        <f>I167+(F167*C167)</f>
        <v/>
      </c>
      <c r="L167" s="0">
        <f>K167-$I$1</f>
        <v/>
      </c>
      <c r="N167" s="0" t="n">
        <v>1725.61016</v>
      </c>
      <c r="O167" s="0">
        <f>N167/200</f>
        <v/>
      </c>
    </row>
    <row r="168">
      <c r="A168" s="0" t="n">
        <v>8.710000000000001</v>
      </c>
      <c r="B168" s="0">
        <f>A168*200</f>
        <v/>
      </c>
      <c r="C168" s="0" t="n">
        <v>0.371</v>
      </c>
      <c r="D168" t="n">
        <v>0.02394500561058521</v>
      </c>
      <c r="E168" s="0">
        <f>B168</f>
        <v/>
      </c>
      <c r="F168" s="0">
        <f>D168-0.0045</f>
        <v/>
      </c>
      <c r="I168" s="0">
        <f>C168+(D168*A168)</f>
        <v/>
      </c>
      <c r="K168" s="0">
        <f>I168+(F168*C168)</f>
        <v/>
      </c>
      <c r="L168" s="0">
        <f>K168-$I$1</f>
        <v/>
      </c>
      <c r="N168" s="0" t="n">
        <v>1735.79376</v>
      </c>
      <c r="O168" s="0">
        <f>N168/200</f>
        <v/>
      </c>
    </row>
    <row r="169">
      <c r="A169" s="0" t="n">
        <v>8.76</v>
      </c>
      <c r="B169" s="0">
        <f>A169*200</f>
        <v/>
      </c>
      <c r="C169" s="0" t="n">
        <v>0.369</v>
      </c>
      <c r="D169" t="n">
        <v>0.02406875789165497</v>
      </c>
      <c r="E169" s="0">
        <f>B169</f>
        <v/>
      </c>
      <c r="F169" s="0">
        <f>D169-0.0045</f>
        <v/>
      </c>
      <c r="I169" s="0">
        <f>C169+(D169*A169)</f>
        <v/>
      </c>
      <c r="K169" s="0">
        <f>I169+(F169*C169)</f>
        <v/>
      </c>
      <c r="L169" s="0">
        <f>K169-$I$1</f>
        <v/>
      </c>
      <c r="N169" s="0" t="n">
        <v>1746.283</v>
      </c>
      <c r="O169" s="0">
        <f>N169/200</f>
        <v/>
      </c>
    </row>
    <row r="170">
      <c r="A170" s="0" t="n">
        <v>8.81</v>
      </c>
      <c r="B170" s="0">
        <f>A170*200</f>
        <v/>
      </c>
      <c r="C170" s="0" t="n">
        <v>0.367</v>
      </c>
      <c r="D170" t="n">
        <v>0.02440095134079456</v>
      </c>
      <c r="E170" s="0">
        <f>B170</f>
        <v/>
      </c>
      <c r="F170" s="0">
        <f>D170-0.0045</f>
        <v/>
      </c>
      <c r="I170" s="0">
        <f>C170+(D170*A170)</f>
        <v/>
      </c>
      <c r="K170" s="0">
        <f>I170+(F170*C170)</f>
        <v/>
      </c>
      <c r="L170" s="0">
        <f>K170-$I$1</f>
        <v/>
      </c>
      <c r="N170" s="0" t="n">
        <v>1756.4666</v>
      </c>
      <c r="O170" s="0">
        <f>N170/200</f>
        <v/>
      </c>
    </row>
    <row r="171">
      <c r="A171" s="0" t="n">
        <v>8.869999999999999</v>
      </c>
      <c r="B171" s="0">
        <f>A171*200</f>
        <v/>
      </c>
      <c r="C171" s="0" t="n">
        <v>0.365</v>
      </c>
      <c r="D171" t="n">
        <v>0.02434027567505836</v>
      </c>
      <c r="E171" s="0">
        <f>B171</f>
        <v/>
      </c>
      <c r="F171" s="0">
        <f>D171-0.0045</f>
        <v/>
      </c>
      <c r="I171" s="0">
        <f>C171+(D171*A171)</f>
        <v/>
      </c>
      <c r="K171" s="0">
        <f>I171+(F171*C171)</f>
        <v/>
      </c>
      <c r="L171" s="0">
        <f>K171-$I$1</f>
        <v/>
      </c>
      <c r="N171" s="0" t="n">
        <v>1766.54844</v>
      </c>
      <c r="O171" s="0">
        <f>N171/200</f>
        <v/>
      </c>
    </row>
    <row r="172">
      <c r="A172" s="0" t="n">
        <v>8.92</v>
      </c>
      <c r="B172" s="0">
        <f>A172*200</f>
        <v/>
      </c>
      <c r="C172" s="0" t="n">
        <v>0.362</v>
      </c>
      <c r="D172" t="n">
        <v>0.02376594208180904</v>
      </c>
      <c r="E172" s="0">
        <f>B172</f>
        <v/>
      </c>
      <c r="F172" s="0">
        <f>D172-0.0045</f>
        <v/>
      </c>
      <c r="I172" s="0">
        <f>C172+(D172*A172)</f>
        <v/>
      </c>
      <c r="K172" s="0">
        <f>I172+(F172*C172)</f>
        <v/>
      </c>
      <c r="L172" s="0">
        <f>K172-$I$1</f>
        <v/>
      </c>
      <c r="N172" s="0" t="n">
        <v>1776.63028</v>
      </c>
      <c r="O172" s="0">
        <f>N172/200</f>
        <v/>
      </c>
    </row>
    <row r="173">
      <c r="A173" s="0" t="n">
        <v>8.970000000000001</v>
      </c>
      <c r="B173" s="0">
        <f>A173*200</f>
        <v/>
      </c>
      <c r="C173" s="0" t="n">
        <v>0.361</v>
      </c>
      <c r="D173" t="n">
        <v>0.02431243099272251</v>
      </c>
      <c r="E173" s="0">
        <f>B173</f>
        <v/>
      </c>
      <c r="F173" s="0">
        <f>D173-0.0045</f>
        <v/>
      </c>
      <c r="I173" s="0">
        <f>C173+(D173*A173)</f>
        <v/>
      </c>
      <c r="K173" s="0">
        <f>I173+(F173*C173)</f>
        <v/>
      </c>
      <c r="L173" s="0">
        <f>K173-$I$1</f>
        <v/>
      </c>
      <c r="N173" s="0" t="n">
        <v>1786.7121</v>
      </c>
      <c r="O173" s="0">
        <f>N173/200</f>
        <v/>
      </c>
    </row>
    <row r="174">
      <c r="A174" s="0" t="n">
        <v>9.02</v>
      </c>
      <c r="B174" s="0">
        <f>A174*200</f>
        <v/>
      </c>
      <c r="C174" s="0" t="n">
        <v>0.358</v>
      </c>
      <c r="D174" t="n">
        <v>0.02424491569399834</v>
      </c>
      <c r="E174" s="0">
        <f>B174</f>
        <v/>
      </c>
      <c r="F174" s="0">
        <f>D174-0.0045</f>
        <v/>
      </c>
      <c r="I174" s="0">
        <f>C174+(D174*A174)</f>
        <v/>
      </c>
      <c r="K174" s="0">
        <f>I174+(F174*C174)</f>
        <v/>
      </c>
      <c r="L174" s="0">
        <f>K174-$I$1</f>
        <v/>
      </c>
      <c r="N174" s="0" t="n">
        <v>1796.79394</v>
      </c>
      <c r="O174" s="0">
        <f>N174/200</f>
        <v/>
      </c>
    </row>
    <row r="175">
      <c r="A175" s="0" t="n">
        <v>9.07</v>
      </c>
      <c r="B175" s="0">
        <f>A175*200</f>
        <v/>
      </c>
      <c r="C175" s="0" t="n">
        <v>0.356</v>
      </c>
      <c r="D175" t="n">
        <v>0.02432944253087044</v>
      </c>
      <c r="E175" s="0">
        <f>B175</f>
        <v/>
      </c>
      <c r="F175" s="0">
        <f>D175-0.0045</f>
        <v/>
      </c>
      <c r="I175" s="0">
        <f>C175+(D175*A175)</f>
        <v/>
      </c>
      <c r="K175" s="0">
        <f>I175+(F175*C175)</f>
        <v/>
      </c>
      <c r="L175" s="0">
        <f>K175-$I$1</f>
        <v/>
      </c>
      <c r="N175" s="0" t="n">
        <v>1807.38496</v>
      </c>
      <c r="O175" s="0">
        <f>N175/200</f>
        <v/>
      </c>
    </row>
    <row r="176">
      <c r="A176" s="0" t="n">
        <v>9.119999999999999</v>
      </c>
      <c r="B176" s="0">
        <f>A176*200</f>
        <v/>
      </c>
      <c r="C176" s="0" t="n">
        <v>0.354</v>
      </c>
      <c r="D176" t="n">
        <v>0.02473657205700874</v>
      </c>
      <c r="E176" s="0">
        <f>B176</f>
        <v/>
      </c>
      <c r="F176" s="0">
        <f>D176-0.0045</f>
        <v/>
      </c>
      <c r="I176" s="0">
        <f>C176+(D176*A176)</f>
        <v/>
      </c>
      <c r="K176" s="0">
        <f>I176+(F176*C176)</f>
        <v/>
      </c>
      <c r="L176" s="0">
        <f>K176-$I$1</f>
        <v/>
      </c>
      <c r="N176" s="0" t="n">
        <v>1817.4668</v>
      </c>
      <c r="O176" s="0">
        <f>N176/200</f>
        <v/>
      </c>
    </row>
    <row r="177">
      <c r="A177" s="0" t="n">
        <v>9.17</v>
      </c>
      <c r="B177" s="0">
        <f>A177*200</f>
        <v/>
      </c>
      <c r="C177" s="0" t="n">
        <v>0.352</v>
      </c>
      <c r="D177" t="n">
        <v>0.02427547425031662</v>
      </c>
      <c r="E177" s="0">
        <f>B177</f>
        <v/>
      </c>
      <c r="F177" s="0">
        <f>D177-0.0045</f>
        <v/>
      </c>
      <c r="I177" s="0">
        <f>C177+(D177*A177)</f>
        <v/>
      </c>
      <c r="K177" s="0">
        <f>I177+(F177*C177)</f>
        <v/>
      </c>
      <c r="L177" s="0">
        <f>K177-$I$1</f>
        <v/>
      </c>
      <c r="N177" s="0" t="n">
        <v>1828.36348</v>
      </c>
      <c r="O177" s="0">
        <f>N177/200</f>
        <v/>
      </c>
    </row>
    <row r="178">
      <c r="A178" s="0" t="n">
        <v>9.220000000000001</v>
      </c>
      <c r="B178" s="0">
        <f>A178*200</f>
        <v/>
      </c>
      <c r="C178" s="0" t="n">
        <v>0.35</v>
      </c>
      <c r="D178" t="n">
        <v>0.02418882772326469</v>
      </c>
      <c r="E178" s="0">
        <f>B178</f>
        <v/>
      </c>
      <c r="F178" s="0">
        <f>D178-0.0045</f>
        <v/>
      </c>
      <c r="I178" s="0">
        <f>C178+(D178*A178)</f>
        <v/>
      </c>
      <c r="K178" s="0">
        <f>I178+(F178*C178)</f>
        <v/>
      </c>
      <c r="L178" s="0">
        <f>K178-$I$1</f>
        <v/>
      </c>
      <c r="N178" s="0" t="n">
        <v>1838.54688</v>
      </c>
      <c r="O178" s="0">
        <f>N178/200</f>
        <v/>
      </c>
    </row>
    <row r="179">
      <c r="A179" s="0" t="n">
        <v>9.279999999999999</v>
      </c>
      <c r="B179" s="0">
        <f>A179*200</f>
        <v/>
      </c>
      <c r="C179" s="0" t="n">
        <v>0.348</v>
      </c>
      <c r="D179" t="n">
        <v>0.0245915874838829</v>
      </c>
      <c r="E179" s="0">
        <f>B179</f>
        <v/>
      </c>
      <c r="F179" s="0">
        <f>D179-0.0045</f>
        <v/>
      </c>
      <c r="I179" s="0">
        <f>C179+(D179*A179)</f>
        <v/>
      </c>
      <c r="K179" s="0">
        <f>I179+(F179*C179)</f>
        <v/>
      </c>
      <c r="L179" s="0">
        <f>K179-$I$1</f>
        <v/>
      </c>
      <c r="N179" s="0" t="n">
        <v>1849.03614</v>
      </c>
      <c r="O179" s="0">
        <f>N179/200</f>
        <v/>
      </c>
    </row>
    <row r="180">
      <c r="A180" s="0" t="n">
        <v>9.33</v>
      </c>
      <c r="B180" s="0">
        <f>A180*200</f>
        <v/>
      </c>
      <c r="C180" s="0" t="n">
        <v>0.346</v>
      </c>
      <c r="D180" t="n">
        <v>0.02487228251993656</v>
      </c>
      <c r="E180" s="0">
        <f>B180</f>
        <v/>
      </c>
      <c r="F180" s="0">
        <f>D180-0.0045</f>
        <v/>
      </c>
      <c r="I180" s="0">
        <f>C180+(D180*A180)</f>
        <v/>
      </c>
      <c r="K180" s="0">
        <f>I180+(F180*C180)</f>
        <v/>
      </c>
      <c r="L180" s="0">
        <f>K180-$I$1</f>
        <v/>
      </c>
      <c r="N180" s="0" t="n">
        <v>1859.11796</v>
      </c>
      <c r="O180" s="0">
        <f>N180/200</f>
        <v/>
      </c>
    </row>
    <row r="181">
      <c r="A181" s="0" t="n">
        <v>9.380000000000001</v>
      </c>
      <c r="B181" s="0">
        <f>A181*200</f>
        <v/>
      </c>
      <c r="C181" s="0" t="n">
        <v>0.343</v>
      </c>
      <c r="D181" t="n">
        <v>0.02499474212527275</v>
      </c>
      <c r="E181" s="0">
        <f>B181</f>
        <v/>
      </c>
      <c r="F181" s="0">
        <f>D181-0.0045</f>
        <v/>
      </c>
      <c r="I181" s="0">
        <f>C181+(D181*A181)</f>
        <v/>
      </c>
      <c r="K181" s="0">
        <f>I181+(F181*C181)</f>
        <v/>
      </c>
      <c r="L181" s="0">
        <f>K181-$I$1</f>
        <v/>
      </c>
      <c r="N181" s="0" t="n">
        <v>1870.1164</v>
      </c>
      <c r="O181" s="0">
        <f>N181/200</f>
        <v/>
      </c>
    </row>
    <row r="182">
      <c r="A182" s="0" t="n">
        <v>9.43</v>
      </c>
      <c r="B182" s="0">
        <f>A182*200</f>
        <v/>
      </c>
      <c r="C182" s="0" t="n">
        <v>0.341</v>
      </c>
      <c r="D182" t="n">
        <v>0.02505173347890377</v>
      </c>
      <c r="E182" s="0">
        <f>B182</f>
        <v/>
      </c>
      <c r="F182" s="0">
        <f>D182-0.0045</f>
        <v/>
      </c>
      <c r="I182" s="0">
        <f>C182+(D182*A182)</f>
        <v/>
      </c>
      <c r="K182" s="0">
        <f>I182+(F182*C182)</f>
        <v/>
      </c>
      <c r="L182" s="0">
        <f>K182-$I$1</f>
        <v/>
      </c>
      <c r="N182" s="0" t="n">
        <v>1880.60546</v>
      </c>
      <c r="O182" s="0">
        <f>N182/200</f>
        <v/>
      </c>
    </row>
    <row r="183">
      <c r="A183" s="0" t="n">
        <v>9.48</v>
      </c>
      <c r="B183" s="0">
        <f>A183*200</f>
        <v/>
      </c>
      <c r="C183" s="0" t="n">
        <v>0.339</v>
      </c>
      <c r="D183" t="n">
        <v>0.02456580474972725</v>
      </c>
      <c r="E183" s="0">
        <f>B183</f>
        <v/>
      </c>
      <c r="F183" s="0">
        <f>D183-0.0045</f>
        <v/>
      </c>
      <c r="I183" s="0">
        <f>C183+(D183*A183)</f>
        <v/>
      </c>
      <c r="K183" s="0">
        <f>I183+(F183*C183)</f>
        <v/>
      </c>
      <c r="L183" s="0">
        <f>K183-$I$1</f>
        <v/>
      </c>
      <c r="N183" s="0" t="n">
        <v>1890.99296</v>
      </c>
      <c r="O183" s="0">
        <f>N183/200</f>
        <v/>
      </c>
    </row>
    <row r="184">
      <c r="A184" s="0" t="n">
        <v>9.529999999999999</v>
      </c>
      <c r="B184" s="0">
        <f>A184*200</f>
        <v/>
      </c>
      <c r="C184" s="0" t="n">
        <v>0.337</v>
      </c>
      <c r="D184" t="n">
        <v>0.02429625019431114</v>
      </c>
      <c r="E184" s="0">
        <f>B184</f>
        <v/>
      </c>
      <c r="F184" s="0">
        <f>D184-0.0045</f>
        <v/>
      </c>
      <c r="I184" s="0">
        <f>C184+(D184*A184)</f>
        <v/>
      </c>
      <c r="K184" s="0">
        <f>I184+(F184*C184)</f>
        <v/>
      </c>
      <c r="L184" s="0">
        <f>K184-$I$1</f>
        <v/>
      </c>
      <c r="N184" s="0" t="n">
        <v>1901.0748</v>
      </c>
      <c r="O184" s="0">
        <f>N184/200</f>
        <v/>
      </c>
    </row>
    <row r="185">
      <c r="A185" s="0" t="n">
        <v>9.58</v>
      </c>
      <c r="B185" s="0">
        <f>A185*200</f>
        <v/>
      </c>
      <c r="C185" s="0" t="n">
        <v>0.335</v>
      </c>
      <c r="D185" t="n">
        <v>0.02401648834347725</v>
      </c>
      <c r="E185" s="0">
        <f>B185</f>
        <v/>
      </c>
      <c r="F185" s="0">
        <f>D185-0.0045</f>
        <v/>
      </c>
      <c r="I185" s="0">
        <f>C185+(D185*A185)</f>
        <v/>
      </c>
      <c r="K185" s="0">
        <f>I185+(F185*C185)</f>
        <v/>
      </c>
      <c r="L185" s="0">
        <f>K185-$I$1</f>
        <v/>
      </c>
      <c r="N185" s="0" t="n">
        <v>1911.15664</v>
      </c>
      <c r="O185" s="0">
        <f>N185/200</f>
        <v/>
      </c>
    </row>
    <row r="186">
      <c r="A186" s="0" t="n">
        <v>9.630000000000001</v>
      </c>
      <c r="B186" s="0">
        <f>A186*200</f>
        <v/>
      </c>
      <c r="C186" s="0" t="n">
        <v>0.333</v>
      </c>
      <c r="D186" t="n">
        <v>0.0249500460922718</v>
      </c>
      <c r="E186" s="0">
        <f>B186</f>
        <v/>
      </c>
      <c r="F186" s="0">
        <f>D186-0.0045</f>
        <v/>
      </c>
      <c r="I186" s="0">
        <f>C186+(D186*A186)</f>
        <v/>
      </c>
      <c r="K186" s="0">
        <f>I186+(F186*C186)</f>
        <v/>
      </c>
      <c r="L186" s="0">
        <f>K186-$I$1</f>
        <v/>
      </c>
      <c r="N186" s="0" t="n">
        <v>1921.74746</v>
      </c>
      <c r="O186" s="0">
        <f>N186/200</f>
        <v/>
      </c>
    </row>
    <row r="187">
      <c r="A187" s="0" t="n">
        <v>9.69</v>
      </c>
      <c r="B187" s="0">
        <f>A187*200</f>
        <v/>
      </c>
      <c r="C187" s="0" t="n">
        <v>0.33</v>
      </c>
      <c r="D187" t="n">
        <v>0.02474693581461906</v>
      </c>
      <c r="E187" s="0">
        <f>B187</f>
        <v/>
      </c>
      <c r="F187" s="0">
        <f>D187-0.0045</f>
        <v/>
      </c>
      <c r="I187" s="0">
        <f>C187+(D187*A187)</f>
        <v/>
      </c>
      <c r="K187" s="0">
        <f>I187+(F187*C187)</f>
        <v/>
      </c>
      <c r="L187" s="0">
        <f>K187-$I$1</f>
        <v/>
      </c>
      <c r="N187" s="0" t="n">
        <v>1931.93126</v>
      </c>
      <c r="O187" s="0">
        <f>N187/200</f>
        <v/>
      </c>
    </row>
    <row r="188">
      <c r="A188" s="0" t="n">
        <v>9.74</v>
      </c>
      <c r="B188" s="0">
        <f>A188*200</f>
        <v/>
      </c>
      <c r="C188" s="0" t="n">
        <v>0.328</v>
      </c>
      <c r="D188" t="n">
        <v>0.0247977115213871</v>
      </c>
      <c r="E188" s="0">
        <f>B188</f>
        <v/>
      </c>
      <c r="F188" s="0">
        <f>D188-0.0045</f>
        <v/>
      </c>
      <c r="I188" s="0">
        <f>C188+(D188*A188)</f>
        <v/>
      </c>
      <c r="K188" s="0">
        <f>I188+(F188*C188)</f>
        <v/>
      </c>
      <c r="L188" s="0">
        <f>K188-$I$1</f>
        <v/>
      </c>
      <c r="N188" s="0" t="n">
        <v>1942.42032</v>
      </c>
      <c r="O188" s="0">
        <f>N188/200</f>
        <v/>
      </c>
    </row>
    <row r="189">
      <c r="A189" s="0" t="n">
        <v>9.789999999999999</v>
      </c>
      <c r="B189" s="0">
        <f>A189*200</f>
        <v/>
      </c>
      <c r="C189" s="0" t="n">
        <v>0.327</v>
      </c>
      <c r="D189" t="n">
        <v>0.02455391362309456</v>
      </c>
      <c r="E189" s="0">
        <f>B189</f>
        <v/>
      </c>
      <c r="F189" s="0">
        <f>D189-0.0045</f>
        <v/>
      </c>
      <c r="I189" s="0">
        <f>C189+(D189*A189)</f>
        <v/>
      </c>
      <c r="K189" s="0">
        <f>I189+(F189*C189)</f>
        <v/>
      </c>
      <c r="L189" s="0">
        <f>K189-$I$1</f>
        <v/>
      </c>
      <c r="N189" s="0" t="n">
        <v>1952.70606</v>
      </c>
      <c r="O189" s="0">
        <f>N189/200</f>
        <v/>
      </c>
    </row>
    <row r="190">
      <c r="A190" s="0" t="n">
        <v>9.84</v>
      </c>
      <c r="B190" s="0">
        <f>A190*200</f>
        <v/>
      </c>
      <c r="C190" s="0" t="n">
        <v>0.324</v>
      </c>
      <c r="D190" t="n">
        <v>0.02486999705433846</v>
      </c>
      <c r="E190" s="0">
        <f>B190</f>
        <v/>
      </c>
      <c r="F190" s="0">
        <f>D190-0.0045</f>
        <v/>
      </c>
      <c r="I190" s="0">
        <f>C190+(D190*A190)</f>
        <v/>
      </c>
      <c r="K190" s="0">
        <f>I190+(F190*C190)</f>
        <v/>
      </c>
      <c r="L190" s="0">
        <f>K190-$I$1</f>
        <v/>
      </c>
      <c r="N190" s="0" t="n">
        <v>1962.88946</v>
      </c>
      <c r="O190" s="0">
        <f>N190/200</f>
        <v/>
      </c>
    </row>
    <row r="191">
      <c r="A191" s="0" t="n">
        <v>9.9</v>
      </c>
      <c r="B191" s="0">
        <f>A191*200</f>
        <v/>
      </c>
      <c r="C191" s="0" t="n">
        <v>0.322</v>
      </c>
      <c r="D191" t="n">
        <v>0.02434824593365192</v>
      </c>
      <c r="E191" s="0">
        <f>B191</f>
        <v/>
      </c>
      <c r="F191" s="0">
        <f>D191-0.0045</f>
        <v/>
      </c>
      <c r="I191" s="0">
        <f>C191+(D191*A191)</f>
        <v/>
      </c>
      <c r="K191" s="0">
        <f>I191+(F191*C191)</f>
        <v/>
      </c>
      <c r="L191" s="0">
        <f>K191-$I$1</f>
        <v/>
      </c>
      <c r="N191" s="0" t="n">
        <v>1973.07324</v>
      </c>
      <c r="O191" s="0">
        <f>N191/200</f>
        <v/>
      </c>
    </row>
    <row r="192">
      <c r="A192" s="0" t="n">
        <v>9.949999999999999</v>
      </c>
      <c r="B192" s="0">
        <f>A192*200</f>
        <v/>
      </c>
      <c r="C192" s="0" t="n">
        <v>0.32</v>
      </c>
      <c r="D192" t="n">
        <v>0.02544496022164822</v>
      </c>
      <c r="E192" s="0">
        <f>B192</f>
        <v/>
      </c>
      <c r="F192" s="0">
        <f>D192-0.0045</f>
        <v/>
      </c>
      <c r="I192" s="0">
        <f>C192+(D192*A192)</f>
        <v/>
      </c>
      <c r="K192" s="0">
        <f>I192+(F192*C192)</f>
        <v/>
      </c>
      <c r="L192" s="0">
        <f>K192-$I$1</f>
        <v/>
      </c>
      <c r="N192" s="0" t="n">
        <v>1983.25684</v>
      </c>
      <c r="O192" s="0">
        <f>N192/200</f>
        <v/>
      </c>
    </row>
    <row r="193">
      <c r="A193" s="0" t="n">
        <v>10</v>
      </c>
      <c r="B193" s="0">
        <f>A193*200</f>
        <v/>
      </c>
      <c r="C193" s="0" t="n">
        <v>0.317</v>
      </c>
      <c r="D193" t="n">
        <v>0.02464304119348526</v>
      </c>
      <c r="E193" s="0">
        <f>B193</f>
        <v/>
      </c>
      <c r="F193" s="0">
        <f>D193-0.0045</f>
        <v/>
      </c>
      <c r="I193" s="0">
        <f>C193+(D193*A193)</f>
        <v/>
      </c>
      <c r="K193" s="0">
        <f>I193+(F193*C193)</f>
        <v/>
      </c>
      <c r="L193" s="0">
        <f>K193-$I$1</f>
        <v/>
      </c>
      <c r="N193" s="0" t="n">
        <v>1993.64434</v>
      </c>
      <c r="O193" s="0">
        <f>N193/200</f>
        <v/>
      </c>
    </row>
    <row r="194">
      <c r="A194" s="0" t="n">
        <v>10</v>
      </c>
      <c r="B194" s="0">
        <f>A194*200</f>
        <v/>
      </c>
      <c r="C194" s="0" t="n">
        <v>0.315</v>
      </c>
      <c r="D194" t="n">
        <v>0.02476061508059502</v>
      </c>
      <c r="E194" s="0">
        <f>B194</f>
        <v/>
      </c>
      <c r="F194" s="0">
        <f>D194-0.0045</f>
        <v/>
      </c>
      <c r="I194" s="0">
        <f>C194+(D194*A194)</f>
        <v/>
      </c>
      <c r="K194" s="0">
        <f>I194+(F194*C194)</f>
        <v/>
      </c>
      <c r="L194" s="0">
        <f>K194-$I$1</f>
        <v/>
      </c>
      <c r="N194" s="0" t="n">
        <v>2004.2352</v>
      </c>
      <c r="O194" s="0">
        <f>N194/200</f>
        <v/>
      </c>
    </row>
    <row r="195">
      <c r="A195" s="0" t="n">
        <v>10.1</v>
      </c>
      <c r="B195" s="0">
        <f>A195*200</f>
        <v/>
      </c>
      <c r="C195" s="0" t="n">
        <v>0.313</v>
      </c>
      <c r="D195" t="n">
        <v>0.02476061508059502</v>
      </c>
      <c r="E195" s="0">
        <f>B195</f>
        <v/>
      </c>
      <c r="F195" s="0">
        <f>D195-0.0045</f>
        <v/>
      </c>
      <c r="I195" s="0">
        <f>C195+(D195*A195)</f>
        <v/>
      </c>
      <c r="K195" s="0">
        <f>I195+(F195*C195)</f>
        <v/>
      </c>
      <c r="L195" s="0">
        <f>K195-$I$1</f>
        <v/>
      </c>
      <c r="N195" s="0" t="n">
        <v>2014.419</v>
      </c>
      <c r="O195" s="0">
        <f>N195/200</f>
        <v/>
      </c>
    </row>
    <row r="196">
      <c r="A196" s="0" t="n">
        <v>10.2</v>
      </c>
      <c r="B196" s="0">
        <f>A196*200</f>
        <v/>
      </c>
      <c r="C196" s="0" t="n">
        <v>0.311</v>
      </c>
      <c r="D196" t="n">
        <v>0.024</v>
      </c>
      <c r="E196" s="0">
        <f>B196</f>
        <v/>
      </c>
      <c r="F196" s="0" t="n">
        <v>0.02036999705433845</v>
      </c>
      <c r="I196" s="0">
        <f>C196+(D196*A196)</f>
        <v/>
      </c>
      <c r="K196" s="0">
        <f>I196+(F196*C196)</f>
        <v/>
      </c>
      <c r="L196" s="0">
        <f>K196-$I$1</f>
        <v/>
      </c>
      <c r="N196" s="0" t="n">
        <v>2024.6026</v>
      </c>
      <c r="O196" s="0">
        <f>N196/200</f>
        <v/>
      </c>
    </row>
    <row r="197">
      <c r="A197" s="0" t="n">
        <v>10.2</v>
      </c>
      <c r="B197" s="0">
        <f>A197*200</f>
        <v/>
      </c>
      <c r="C197" s="0" t="n">
        <v>0.309</v>
      </c>
      <c r="D197" t="n">
        <v>0.024</v>
      </c>
      <c r="E197" s="0">
        <f>B197</f>
        <v/>
      </c>
      <c r="F197" s="0" t="n">
        <v>0.01984824593365192</v>
      </c>
      <c r="I197" s="0">
        <f>C197+(D197*A197)</f>
        <v/>
      </c>
      <c r="K197" s="0">
        <f>I197+(F197*C197)</f>
        <v/>
      </c>
      <c r="L197" s="0">
        <f>K197-$I$1</f>
        <v/>
      </c>
      <c r="N197" s="0" t="n">
        <v>2035.0918</v>
      </c>
      <c r="O197" s="0">
        <f>N197/200</f>
        <v/>
      </c>
    </row>
    <row r="198">
      <c r="A198" s="0" t="n">
        <v>10.3</v>
      </c>
      <c r="B198" s="0">
        <f>A198*200</f>
        <v/>
      </c>
      <c r="C198" s="0" t="n">
        <v>0.306</v>
      </c>
      <c r="D198" t="n">
        <v>0.024</v>
      </c>
      <c r="E198" s="0">
        <f>B198</f>
        <v/>
      </c>
      <c r="F198" s="0" t="n">
        <v>0.02094496022164822</v>
      </c>
      <c r="I198" s="0">
        <f>C198+(D198*A198)</f>
        <v/>
      </c>
      <c r="K198" s="0">
        <f>I198+(F198*C198)</f>
        <v/>
      </c>
      <c r="L198" s="0">
        <f>K198-$I$1</f>
        <v/>
      </c>
      <c r="N198" s="0" t="n">
        <v>2045.1734</v>
      </c>
      <c r="O198" s="0">
        <f>N198/200</f>
        <v/>
      </c>
    </row>
    <row r="199">
      <c r="A199" s="0" t="n">
        <v>10.3</v>
      </c>
      <c r="B199" s="0">
        <f>A199*200</f>
        <v/>
      </c>
      <c r="C199" s="0" t="n">
        <v>0.304</v>
      </c>
      <c r="D199" t="n">
        <v>0.024</v>
      </c>
      <c r="E199" s="0">
        <f>B199</f>
        <v/>
      </c>
      <c r="F199" s="0" t="n">
        <v>0.02014304119348526</v>
      </c>
      <c r="I199" s="0">
        <f>C199+(D199*A199)</f>
        <v/>
      </c>
      <c r="K199" s="0">
        <f>I199+(F199*C199)</f>
        <v/>
      </c>
      <c r="L199" s="0">
        <f>K199-$I$1</f>
        <v/>
      </c>
      <c r="N199" s="0" t="n">
        <v>2056.07</v>
      </c>
      <c r="O199" s="0">
        <f>N199/200</f>
        <v/>
      </c>
    </row>
    <row r="200">
      <c r="A200" s="0" t="n">
        <v>10.4</v>
      </c>
      <c r="B200" s="0">
        <f>A200*200</f>
        <v/>
      </c>
      <c r="C200" s="0" t="n">
        <v>0.301</v>
      </c>
      <c r="D200" t="n">
        <v>0.024</v>
      </c>
      <c r="E200" s="0">
        <f>B200</f>
        <v/>
      </c>
      <c r="F200" s="0" t="n">
        <v>0.01974491569399834</v>
      </c>
      <c r="I200" s="0">
        <f>C200+(D200*A200)</f>
        <v/>
      </c>
      <c r="K200" s="0">
        <f>I200+(F200*C200)</f>
        <v/>
      </c>
      <c r="L200" s="0">
        <f>K200-$I$1</f>
        <v/>
      </c>
      <c r="N200" s="0" t="n">
        <v>2066.1518</v>
      </c>
      <c r="O200" s="0">
        <f>N200/200</f>
        <v/>
      </c>
    </row>
    <row r="201">
      <c r="A201" s="0" t="n">
        <v>10.4</v>
      </c>
      <c r="B201" s="0">
        <f>A201*200</f>
        <v/>
      </c>
      <c r="C201" s="0" t="n">
        <v>0.299</v>
      </c>
      <c r="D201" t="n">
        <v>0.024</v>
      </c>
      <c r="E201" s="0">
        <f>B201</f>
        <v/>
      </c>
      <c r="F201" s="0" t="n">
        <v>0.01982944253087044</v>
      </c>
      <c r="I201" s="0">
        <f>C201+(D201*A201)</f>
        <v/>
      </c>
      <c r="K201" s="0">
        <f>I201+(F201*C201)</f>
        <v/>
      </c>
      <c r="L201" s="0">
        <f>K201-$I$1</f>
        <v/>
      </c>
      <c r="N201" s="0" t="n">
        <v>2076.2338</v>
      </c>
      <c r="O201" s="0">
        <f>N201/200</f>
        <v/>
      </c>
    </row>
    <row r="202">
      <c r="A202" s="0" t="n">
        <v>10.5</v>
      </c>
      <c r="B202" s="0">
        <f>A202*200</f>
        <v/>
      </c>
      <c r="C202" s="0" t="n">
        <v>0.297</v>
      </c>
      <c r="D202" t="n">
        <v>0.024</v>
      </c>
      <c r="E202" s="0">
        <f>B202</f>
        <v/>
      </c>
      <c r="F202" s="0" t="n">
        <v>0.02023657205700874</v>
      </c>
      <c r="I202" s="0">
        <f>C202+(D202*A202)</f>
        <v/>
      </c>
      <c r="K202" s="0">
        <f>I202+(F202*C202)</f>
        <v/>
      </c>
      <c r="L202" s="0">
        <f>K202-$I$1</f>
        <v/>
      </c>
      <c r="N202" s="0" t="n">
        <v>2086.5194</v>
      </c>
      <c r="O202" s="0">
        <f>N202/200</f>
        <v/>
      </c>
    </row>
    <row r="203">
      <c r="A203" s="0" t="n">
        <v>10.5</v>
      </c>
      <c r="B203" s="0">
        <f>A203*200</f>
        <v/>
      </c>
      <c r="C203" s="0" t="n">
        <v>0.295</v>
      </c>
      <c r="D203" t="n">
        <v>0.024</v>
      </c>
      <c r="E203" s="0">
        <f>B203</f>
        <v/>
      </c>
      <c r="F203" s="0" t="n">
        <v>0.01977547425031662</v>
      </c>
      <c r="I203" s="0">
        <f>C203+(D203*A203)</f>
        <v/>
      </c>
      <c r="K203" s="0">
        <f>I203+(F203*C203)</f>
        <v/>
      </c>
      <c r="L203" s="0">
        <f>K203-$I$1</f>
        <v/>
      </c>
      <c r="N203" s="0" t="n">
        <v>2097.1102</v>
      </c>
      <c r="O203" s="0">
        <f>N203/200</f>
        <v/>
      </c>
    </row>
    <row r="204">
      <c r="A204" s="0" t="n">
        <v>10.6</v>
      </c>
      <c r="B204" s="0">
        <f>A204*200</f>
        <v/>
      </c>
      <c r="C204" s="0" t="n">
        <v>0.293</v>
      </c>
      <c r="D204" t="n">
        <v>0.024</v>
      </c>
      <c r="E204" s="0">
        <f>B204</f>
        <v/>
      </c>
      <c r="F204" s="0" t="n">
        <v>0.01968882772326469</v>
      </c>
      <c r="I204" s="0">
        <f>C204+(D204*A204)</f>
        <v/>
      </c>
      <c r="K204" s="0">
        <f>I204+(F204*C204)</f>
        <v/>
      </c>
      <c r="L204" s="0">
        <f>K204-$I$1</f>
        <v/>
      </c>
      <c r="N204" s="0" t="n">
        <v>2107.294</v>
      </c>
      <c r="O204" s="0">
        <f>N204/200</f>
        <v/>
      </c>
    </row>
    <row r="205">
      <c r="A205" s="0" t="n">
        <v>10.6</v>
      </c>
      <c r="B205" s="0">
        <f>A205*200</f>
        <v/>
      </c>
      <c r="C205" s="0" t="n">
        <v>0.291</v>
      </c>
      <c r="D205" t="n">
        <v>0.024</v>
      </c>
      <c r="E205" s="0">
        <f>B205</f>
        <v/>
      </c>
      <c r="F205" s="0" t="n">
        <v>0.0200915874838829</v>
      </c>
      <c r="I205" s="0">
        <f>C205+(D205*A205)</f>
        <v/>
      </c>
      <c r="K205" s="0">
        <f>I205+(F205*C205)</f>
        <v/>
      </c>
      <c r="L205" s="0">
        <f>K205-$I$1</f>
        <v/>
      </c>
      <c r="N205" s="0" t="n">
        <v>2117.4776</v>
      </c>
      <c r="O205" s="0">
        <f>N205/200</f>
        <v/>
      </c>
    </row>
    <row r="206">
      <c r="A206" s="0" t="n">
        <v>10.7</v>
      </c>
      <c r="B206" s="0">
        <f>A206*200</f>
        <v/>
      </c>
      <c r="C206" s="0" t="n">
        <v>0.288</v>
      </c>
      <c r="D206" t="n">
        <v>0.024</v>
      </c>
      <c r="E206" s="0">
        <f>B206</f>
        <v/>
      </c>
      <c r="F206" s="0" t="n">
        <v>0.02037228251993656</v>
      </c>
      <c r="I206" s="0">
        <f>C206+(D206*A206)</f>
        <v/>
      </c>
      <c r="K206" s="0">
        <f>I206+(F206*C206)</f>
        <v/>
      </c>
      <c r="L206" s="0">
        <f>K206-$I$1</f>
        <v/>
      </c>
      <c r="N206" s="0" t="n">
        <v>2127.6614</v>
      </c>
      <c r="O206" s="0">
        <f>N206/200</f>
        <v/>
      </c>
    </row>
    <row r="207">
      <c r="A207" s="0" t="n">
        <v>10.7</v>
      </c>
      <c r="B207" s="0">
        <f>A207*200</f>
        <v/>
      </c>
      <c r="C207" s="0" t="n">
        <v>0.286</v>
      </c>
      <c r="D207" t="n">
        <v>0.024</v>
      </c>
      <c r="E207" s="0">
        <f>B207</f>
        <v/>
      </c>
      <c r="F207" s="0" t="n">
        <v>0.02006580474972725</v>
      </c>
      <c r="I207" s="0">
        <f>C207+(D207*A207)</f>
        <v/>
      </c>
      <c r="K207" s="0">
        <f>I207+(F207*C207)</f>
        <v/>
      </c>
      <c r="L207" s="0">
        <f>K207-$I$1</f>
        <v/>
      </c>
      <c r="N207" s="0" t="n">
        <v>2138.6596</v>
      </c>
      <c r="O207" s="0">
        <f>N207/200</f>
        <v/>
      </c>
    </row>
    <row r="208">
      <c r="A208" s="0" t="n">
        <v>10.8</v>
      </c>
      <c r="B208" s="0">
        <f>A208*200</f>
        <v/>
      </c>
      <c r="C208" s="0" t="n">
        <v>0.284</v>
      </c>
      <c r="D208" t="n">
        <v>0.024</v>
      </c>
      <c r="E208" s="0">
        <f>B208</f>
        <v/>
      </c>
      <c r="F208" s="0" t="n">
        <v>0.01979625019431114</v>
      </c>
      <c r="I208" s="0">
        <f>C208+(D208*A208)</f>
        <v/>
      </c>
      <c r="K208" s="0">
        <f>I208+(F208*C208)</f>
        <v/>
      </c>
      <c r="L208" s="0">
        <f>K208-$I$1</f>
        <v/>
      </c>
      <c r="N208" s="0" t="n">
        <v>2149.3524</v>
      </c>
      <c r="O208" s="0">
        <f>N208/200</f>
        <v/>
      </c>
    </row>
    <row r="209">
      <c r="A209" s="0" t="n">
        <v>10.8</v>
      </c>
      <c r="B209" s="0">
        <f>A209*200</f>
        <v/>
      </c>
      <c r="C209" s="0" t="n">
        <v>0.282</v>
      </c>
      <c r="D209" t="n">
        <v>0.024</v>
      </c>
      <c r="E209" s="0">
        <f>B209</f>
        <v/>
      </c>
      <c r="F209" s="0" t="n">
        <v>0.01951648834347725</v>
      </c>
      <c r="I209" s="0">
        <f>C209+(D209*A209)</f>
        <v/>
      </c>
      <c r="K209" s="0">
        <f>I209+(F209*C209)</f>
        <v/>
      </c>
      <c r="L209" s="0">
        <f>K209-$I$1</f>
        <v/>
      </c>
      <c r="N209" s="0" t="n">
        <v>2159.4342</v>
      </c>
      <c r="O209" s="0">
        <f>N209/200</f>
        <v/>
      </c>
    </row>
    <row r="210">
      <c r="A210" s="0" t="n">
        <v>10.9</v>
      </c>
      <c r="B210" s="0">
        <f>A210*200</f>
        <v/>
      </c>
      <c r="C210" s="0" t="n">
        <v>0.279</v>
      </c>
      <c r="D210" t="n">
        <v>0.024</v>
      </c>
      <c r="E210" s="0">
        <f>B210</f>
        <v/>
      </c>
      <c r="F210" s="0" t="n">
        <v>0.0204500460922718</v>
      </c>
      <c r="I210" s="0">
        <f>C210+(D210*A210)</f>
        <v/>
      </c>
      <c r="K210" s="0">
        <f>I210+(F210*C210)</f>
        <v/>
      </c>
      <c r="L210" s="0">
        <f>K210-$I$1</f>
        <v/>
      </c>
      <c r="N210" s="0" t="n">
        <v>2170.0252</v>
      </c>
      <c r="O210" s="0">
        <f>N210/200</f>
        <v/>
      </c>
    </row>
    <row r="211">
      <c r="A211" s="0" t="n">
        <v>10.9</v>
      </c>
      <c r="B211" s="0">
        <f>A211*200</f>
        <v/>
      </c>
      <c r="C211" s="0" t="n">
        <v>0.277</v>
      </c>
      <c r="D211" t="n">
        <v>0.024</v>
      </c>
      <c r="E211" s="0">
        <f>B211</f>
        <v/>
      </c>
      <c r="F211" s="0" t="n">
        <v>0.02024693581461906</v>
      </c>
      <c r="I211" s="0">
        <f>C211+(D211*A211)</f>
        <v/>
      </c>
      <c r="K211" s="0">
        <f>I211+(F211*C211)</f>
        <v/>
      </c>
      <c r="L211" s="0">
        <f>K211-$I$1</f>
        <v/>
      </c>
      <c r="N211" s="0" t="n">
        <v>2180.107</v>
      </c>
      <c r="O211" s="0">
        <f>N211/200</f>
        <v/>
      </c>
    </row>
    <row r="212">
      <c r="A212" s="0" t="n">
        <v>11</v>
      </c>
      <c r="B212" s="0">
        <f>A212*200</f>
        <v/>
      </c>
      <c r="C212" s="0" t="n">
        <v>0.275</v>
      </c>
      <c r="D212" t="n">
        <v>0.024</v>
      </c>
      <c r="E212" s="0">
        <f>B212</f>
        <v/>
      </c>
      <c r="F212" s="0" t="n">
        <v>0.0202977115213871</v>
      </c>
      <c r="I212" s="0">
        <f>C212+(D212*A212)</f>
        <v/>
      </c>
      <c r="K212" s="0">
        <f>I212+(F212*C212)</f>
        <v/>
      </c>
      <c r="L212" s="0">
        <f>K212-$I$1</f>
        <v/>
      </c>
      <c r="N212" s="0" t="n">
        <v>2190.6982</v>
      </c>
      <c r="O212" s="0">
        <f>N212/200</f>
        <v/>
      </c>
    </row>
    <row r="213">
      <c r="A213" s="0" t="n">
        <v>11</v>
      </c>
      <c r="B213" s="0">
        <f>A213*200</f>
        <v/>
      </c>
      <c r="C213" s="0" t="n">
        <v>0.272</v>
      </c>
      <c r="D213" t="n">
        <v>0.024</v>
      </c>
      <c r="E213" s="0">
        <f>B213</f>
        <v/>
      </c>
      <c r="F213" s="0" t="n">
        <v>0.02094496022164822</v>
      </c>
      <c r="I213" s="0">
        <f>C213+(D213*A213)</f>
        <v/>
      </c>
      <c r="K213" s="0">
        <f>I213+(F213*C213)</f>
        <v/>
      </c>
      <c r="L213" s="0">
        <f>K213-$I$1</f>
        <v/>
      </c>
      <c r="N213" s="0" t="n">
        <v>2200.78</v>
      </c>
      <c r="O213" s="0">
        <f>N213/200</f>
        <v/>
      </c>
    </row>
    <row r="214">
      <c r="A214" s="0" t="n">
        <v>11.1</v>
      </c>
      <c r="B214" s="0">
        <f>A214*200</f>
        <v/>
      </c>
      <c r="C214" s="0" t="n">
        <v>0.27</v>
      </c>
      <c r="D214" t="n">
        <v>0.024</v>
      </c>
      <c r="E214" s="0">
        <f>B214</f>
        <v/>
      </c>
      <c r="F214" s="0" t="n">
        <v>0.02014304119348526</v>
      </c>
      <c r="I214" s="0">
        <f>C214+(D214*A214)</f>
        <v/>
      </c>
      <c r="K214" s="0">
        <f>I214+(F214*C214)</f>
        <v/>
      </c>
      <c r="L214" s="0">
        <f>K214-$I$1</f>
        <v/>
      </c>
      <c r="N214" s="0" t="n">
        <v>2211.0654</v>
      </c>
      <c r="O214" s="0">
        <f>N214/200</f>
        <v/>
      </c>
    </row>
    <row r="215">
      <c r="A215" s="0" t="n">
        <v>11.1</v>
      </c>
      <c r="B215" s="0">
        <f>A215*200</f>
        <v/>
      </c>
      <c r="C215" s="0" t="n">
        <v>0.268</v>
      </c>
      <c r="D215" t="n">
        <v>0.024</v>
      </c>
      <c r="E215" s="0">
        <f>B215</f>
        <v/>
      </c>
      <c r="F215" s="0" t="n">
        <v>0.01974491569399834</v>
      </c>
      <c r="I215" s="0">
        <f>C215+(D215*A215)</f>
        <v/>
      </c>
      <c r="K215" s="0">
        <f>I215+(F215*C215)</f>
        <v/>
      </c>
      <c r="L215" s="0">
        <f>K215-$I$1</f>
        <v/>
      </c>
      <c r="N215" s="0" t="n">
        <v>2221.147</v>
      </c>
      <c r="O215" s="0">
        <f>N215/200</f>
        <v/>
      </c>
    </row>
    <row r="216">
      <c r="A216" s="0" t="n">
        <v>11.2</v>
      </c>
      <c r="B216" s="0">
        <f>A216*200</f>
        <v/>
      </c>
      <c r="C216" s="0" t="n">
        <v>0.265</v>
      </c>
      <c r="D216" t="n">
        <v>0.024</v>
      </c>
      <c r="E216" s="0">
        <f>B216</f>
        <v/>
      </c>
      <c r="F216" s="0" t="n">
        <v>0.01982944253087044</v>
      </c>
      <c r="I216" s="0">
        <f>C216+(D216*A216)</f>
        <v/>
      </c>
      <c r="K216" s="0">
        <f>I216+(F216*C216)</f>
        <v/>
      </c>
      <c r="L216" s="0">
        <f>K216-$I$1</f>
        <v/>
      </c>
      <c r="N216" s="0" t="n">
        <v>2231.6364</v>
      </c>
      <c r="O216" s="0">
        <f>N216/200</f>
        <v/>
      </c>
    </row>
    <row r="217">
      <c r="A217" s="0" t="n">
        <v>11.2</v>
      </c>
      <c r="B217" s="0">
        <f>A217*200</f>
        <v/>
      </c>
      <c r="C217" s="0" t="n">
        <v>0.263</v>
      </c>
      <c r="D217" t="n">
        <v>0.024</v>
      </c>
      <c r="E217" s="0">
        <f>B217</f>
        <v/>
      </c>
      <c r="F217" s="0" t="n">
        <v>0.02023657205700874</v>
      </c>
      <c r="I217" s="0">
        <f>C217+(D217*A217)</f>
        <v/>
      </c>
      <c r="K217" s="0">
        <f>I217+(F217*C217)</f>
        <v/>
      </c>
      <c r="L217" s="0">
        <f>K217-$I$1</f>
        <v/>
      </c>
      <c r="N217" s="0" t="n">
        <v>2241.82</v>
      </c>
      <c r="O217" s="0">
        <f>N217/200</f>
        <v/>
      </c>
    </row>
    <row r="218">
      <c r="A218" s="0" t="n">
        <v>11.3</v>
      </c>
      <c r="B218" s="0">
        <f>A218*200</f>
        <v/>
      </c>
      <c r="C218" s="0" t="n">
        <v>0.261</v>
      </c>
      <c r="D218" t="n">
        <v>0.024</v>
      </c>
      <c r="E218" s="0">
        <f>B218</f>
        <v/>
      </c>
      <c r="F218" s="0" t="n">
        <v>0.01977547425031662</v>
      </c>
      <c r="I218" s="0">
        <f>C218+(D218*A218)</f>
        <v/>
      </c>
      <c r="K218" s="0">
        <f>I218+(F218*C218)</f>
        <v/>
      </c>
      <c r="L218" s="0">
        <f>K218-$I$1</f>
        <v/>
      </c>
      <c r="N218" s="0" t="n">
        <v>2252.3092</v>
      </c>
      <c r="O218" s="0">
        <f>N218/200</f>
        <v/>
      </c>
    </row>
    <row r="219">
      <c r="A219" s="0" t="n">
        <v>11.4</v>
      </c>
      <c r="B219" s="0">
        <f>A219*200</f>
        <v/>
      </c>
      <c r="C219" s="0" t="n">
        <v>0.259</v>
      </c>
      <c r="D219" t="n">
        <v>0.024</v>
      </c>
      <c r="E219" s="0">
        <f>B219</f>
        <v/>
      </c>
      <c r="F219" s="0" t="n">
        <v>0.01968882772326469</v>
      </c>
      <c r="I219" s="0">
        <f>C219+(D219*A219)</f>
        <v/>
      </c>
      <c r="K219" s="0">
        <f>I219+(F219*C219)</f>
        <v/>
      </c>
      <c r="L219" s="0">
        <f>K219-$I$1</f>
        <v/>
      </c>
      <c r="N219" s="0" t="n">
        <v>2262.493</v>
      </c>
      <c r="O219" s="0">
        <f>N219/200</f>
        <v/>
      </c>
    </row>
    <row r="220">
      <c r="A220" s="0" t="n">
        <v>11.4</v>
      </c>
      <c r="B220" s="0">
        <f>A220*200</f>
        <v/>
      </c>
      <c r="C220" s="0" t="n">
        <v>0.256</v>
      </c>
      <c r="D220" t="n">
        <v>0.024</v>
      </c>
      <c r="E220" s="0">
        <f>B220</f>
        <v/>
      </c>
      <c r="F220" s="0" t="n">
        <v>0.0200915874838829</v>
      </c>
      <c r="I220" s="0">
        <f>C220+(D220*A220)</f>
        <v/>
      </c>
      <c r="K220" s="0">
        <f>I220+(F220*C220)</f>
        <v/>
      </c>
      <c r="L220" s="0">
        <f>K220-$I$1</f>
        <v/>
      </c>
      <c r="N220" s="0" t="n">
        <v>2272.982</v>
      </c>
      <c r="O220" s="0">
        <f>N220/200</f>
        <v/>
      </c>
    </row>
    <row r="221">
      <c r="A221" s="0" t="n">
        <v>11.5</v>
      </c>
      <c r="B221" s="0">
        <f>A221*200</f>
        <v/>
      </c>
      <c r="C221" s="0" t="n">
        <v>0.254</v>
      </c>
      <c r="D221" t="n">
        <v>0.024</v>
      </c>
      <c r="E221" s="0">
        <f>B221</f>
        <v/>
      </c>
      <c r="F221" s="0" t="n">
        <v>0.02094496022164822</v>
      </c>
      <c r="I221" s="0">
        <f>C221+(D221*A221)</f>
        <v/>
      </c>
      <c r="K221" s="0">
        <f>I221+(F221*C221)</f>
        <v/>
      </c>
      <c r="L221" s="0">
        <f>K221-$I$1</f>
        <v/>
      </c>
      <c r="N221" s="0" t="n">
        <v>2283.1658</v>
      </c>
      <c r="O221" s="0">
        <f>N221/200</f>
        <v/>
      </c>
    </row>
    <row r="222">
      <c r="A222" s="0" t="n">
        <v>11.5</v>
      </c>
      <c r="B222" s="0">
        <f>A222*200</f>
        <v/>
      </c>
      <c r="C222" s="0" t="n">
        <v>0.252</v>
      </c>
      <c r="D222" t="n">
        <v>0.024</v>
      </c>
      <c r="E222" s="0">
        <f>B222</f>
        <v/>
      </c>
      <c r="F222" s="0" t="n">
        <v>0.02014304119348526</v>
      </c>
      <c r="I222" s="0">
        <f>C222+(D222*A222)</f>
        <v/>
      </c>
      <c r="K222" s="0">
        <f>I222+(F222*C222)</f>
        <v/>
      </c>
      <c r="L222" s="0">
        <f>K222-$I$1</f>
        <v/>
      </c>
      <c r="N222" s="0" t="n">
        <v>2293.4512</v>
      </c>
      <c r="O222" s="0">
        <f>N222/200</f>
        <v/>
      </c>
    </row>
    <row r="223">
      <c r="A223" s="0" t="n">
        <v>11.5</v>
      </c>
      <c r="B223" s="0">
        <f>A223*200</f>
        <v/>
      </c>
      <c r="C223" s="0" t="n">
        <v>0.252</v>
      </c>
      <c r="D223" t="n">
        <v>0.024</v>
      </c>
      <c r="E223" s="0">
        <f>B223</f>
        <v/>
      </c>
      <c r="F223" s="0" t="n">
        <v>0.01974491569399834</v>
      </c>
      <c r="I223" s="0">
        <f>C223+(D223*A223)</f>
        <v/>
      </c>
      <c r="K223" s="0">
        <f>I223+(F223*C223)</f>
        <v/>
      </c>
      <c r="L223" s="0">
        <f>K223-$I$1</f>
        <v/>
      </c>
      <c r="N223" s="0" t="n">
        <v>2303.5332</v>
      </c>
      <c r="O223" s="0">
        <f>N223/200</f>
        <v/>
      </c>
    </row>
    <row r="224">
      <c r="N224" s="0" t="n">
        <v>2314.1242</v>
      </c>
      <c r="O224" s="0">
        <f>N224/200</f>
        <v/>
      </c>
    </row>
    <row r="225">
      <c r="N225" s="0" t="n">
        <v>2325.4282</v>
      </c>
      <c r="O225" s="0">
        <f>N225/200</f>
        <v/>
      </c>
    </row>
    <row r="226">
      <c r="N226" s="0" t="n">
        <v>2335.8152</v>
      </c>
      <c r="O226" s="0">
        <f>N226/200</f>
        <v/>
      </c>
    </row>
    <row r="227">
      <c r="N227" s="0" t="n">
        <v>2345.9988</v>
      </c>
      <c r="O227" s="0">
        <f>N227/200</f>
        <v/>
      </c>
    </row>
    <row r="228">
      <c r="N228" s="0" t="n">
        <v>2356.7938</v>
      </c>
      <c r="O228" s="0">
        <f>N228/200</f>
        <v/>
      </c>
    </row>
    <row r="229">
      <c r="N229" s="0" t="n">
        <v>2366.8756</v>
      </c>
      <c r="O229" s="0">
        <f>N229/200</f>
        <v/>
      </c>
    </row>
    <row r="230">
      <c r="N230" s="0" t="n">
        <v>2377.0594</v>
      </c>
      <c r="O230" s="0">
        <f>N230/200</f>
        <v/>
      </c>
    </row>
    <row r="231">
      <c r="N231" s="0" t="n">
        <v>2387.141</v>
      </c>
      <c r="O231" s="0">
        <f>N231/200</f>
        <v/>
      </c>
    </row>
    <row r="232">
      <c r="N232" s="0" t="n">
        <v>2394.066</v>
      </c>
      <c r="O232" s="0">
        <f>N232/200</f>
        <v/>
      </c>
    </row>
  </sheetData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user</dc:creator>
  <dcterms:created xsi:type="dcterms:W3CDTF">2025-09-17T02:43:03Z</dcterms:created>
  <dcterms:modified xsi:type="dcterms:W3CDTF">2026-04-28T03:48:15Z</dcterms:modified>
  <cp:lastModifiedBy>user</cp:lastModifiedBy>
</cp:coreProperties>
</file>