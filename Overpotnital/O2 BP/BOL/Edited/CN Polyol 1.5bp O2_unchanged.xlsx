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"/>
    </mc:Choice>
  </mc:AlternateContent>
  <xr:revisionPtr revIDLastSave="0" documentId="13_ncr:1_{D63280EC-A7D3-4A0E-8C24-BFC33991857A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5" i="1" l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26" i="1" l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28" i="1"/>
  <c r="M232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26" i="1"/>
  <c r="M227" i="1"/>
  <c r="M229" i="1"/>
  <c r="M230" i="1"/>
  <c r="M231" i="1"/>
  <c r="M233" i="1"/>
  <c r="M234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J212" i="1" s="1"/>
  <c r="M212" i="1" s="1"/>
  <c r="G212" i="1"/>
  <c r="K212" i="1" s="1"/>
  <c r="C213" i="1"/>
  <c r="H213" i="1" s="1"/>
  <c r="F213" i="1"/>
  <c r="J213" i="1" s="1"/>
  <c r="M213" i="1" s="1"/>
  <c r="G213" i="1"/>
  <c r="K213" i="1" s="1"/>
  <c r="C214" i="1"/>
  <c r="H214" i="1" s="1"/>
  <c r="F214" i="1"/>
  <c r="J214" i="1" s="1"/>
  <c r="M214" i="1" s="1"/>
  <c r="G214" i="1"/>
  <c r="K214" i="1" s="1"/>
  <c r="C215" i="1"/>
  <c r="H215" i="1" s="1"/>
  <c r="F215" i="1"/>
  <c r="J215" i="1" s="1"/>
  <c r="M215" i="1" s="1"/>
  <c r="G215" i="1"/>
  <c r="K215" i="1" s="1"/>
  <c r="C216" i="1"/>
  <c r="H216" i="1" s="1"/>
  <c r="F216" i="1"/>
  <c r="J216" i="1" s="1"/>
  <c r="M216" i="1" s="1"/>
  <c r="G216" i="1"/>
  <c r="K216" i="1" s="1"/>
  <c r="C217" i="1"/>
  <c r="H217" i="1" s="1"/>
  <c r="F217" i="1"/>
  <c r="J217" i="1" s="1"/>
  <c r="M217" i="1" s="1"/>
  <c r="G217" i="1"/>
  <c r="K217" i="1" s="1"/>
  <c r="C218" i="1"/>
  <c r="H218" i="1" s="1"/>
  <c r="F218" i="1"/>
  <c r="J218" i="1" s="1"/>
  <c r="M218" i="1" s="1"/>
  <c r="G218" i="1"/>
  <c r="K218" i="1" s="1"/>
  <c r="C219" i="1"/>
  <c r="H219" i="1" s="1"/>
  <c r="F219" i="1"/>
  <c r="J219" i="1" s="1"/>
  <c r="M219" i="1" s="1"/>
  <c r="G219" i="1"/>
  <c r="K219" i="1" s="1"/>
  <c r="C220" i="1"/>
  <c r="H220" i="1" s="1"/>
  <c r="F220" i="1"/>
  <c r="J220" i="1" s="1"/>
  <c r="M220" i="1" s="1"/>
  <c r="G220" i="1"/>
  <c r="K220" i="1" s="1"/>
  <c r="C221" i="1"/>
  <c r="H221" i="1" s="1"/>
  <c r="F221" i="1"/>
  <c r="J221" i="1" s="1"/>
  <c r="M221" i="1" s="1"/>
  <c r="G221" i="1"/>
  <c r="K221" i="1" s="1"/>
  <c r="C222" i="1"/>
  <c r="H222" i="1" s="1"/>
  <c r="F222" i="1"/>
  <c r="J222" i="1" s="1"/>
  <c r="M222" i="1" s="1"/>
  <c r="G222" i="1"/>
  <c r="K222" i="1" s="1"/>
  <c r="C223" i="1"/>
  <c r="H223" i="1" s="1"/>
  <c r="F223" i="1"/>
  <c r="J223" i="1" s="1"/>
  <c r="M223" i="1" s="1"/>
  <c r="G223" i="1"/>
  <c r="K223" i="1" s="1"/>
  <c r="C224" i="1"/>
  <c r="H224" i="1" s="1"/>
  <c r="F224" i="1"/>
  <c r="J224" i="1" s="1"/>
  <c r="M224" i="1" s="1"/>
  <c r="G224" i="1"/>
  <c r="K224" i="1" s="1"/>
  <c r="C225" i="1"/>
  <c r="H225" i="1" s="1"/>
  <c r="F225" i="1"/>
  <c r="J225" i="1" s="1"/>
  <c r="M225" i="1" s="1"/>
  <c r="G225" i="1"/>
  <c r="K225" i="1" s="1"/>
  <c r="C226" i="1"/>
  <c r="H226" i="1" s="1"/>
  <c r="F226" i="1"/>
  <c r="G226" i="1"/>
  <c r="K226" i="1" s="1"/>
  <c r="C227" i="1"/>
  <c r="H227" i="1" s="1"/>
  <c r="F227" i="1"/>
  <c r="G227" i="1"/>
  <c r="K227" i="1" s="1"/>
  <c r="C228" i="1"/>
  <c r="H228" i="1" s="1"/>
  <c r="F228" i="1"/>
  <c r="G228" i="1"/>
  <c r="K228" i="1" s="1"/>
  <c r="C229" i="1"/>
  <c r="H229" i="1" s="1"/>
  <c r="F229" i="1"/>
  <c r="G229" i="1"/>
  <c r="K229" i="1" s="1"/>
  <c r="C230" i="1"/>
  <c r="H230" i="1" s="1"/>
  <c r="F230" i="1"/>
  <c r="G230" i="1"/>
  <c r="K230" i="1" s="1"/>
  <c r="C231" i="1"/>
  <c r="H231" i="1" s="1"/>
  <c r="F231" i="1"/>
  <c r="G231" i="1"/>
  <c r="K231" i="1" s="1"/>
  <c r="C232" i="1"/>
  <c r="H232" i="1" s="1"/>
  <c r="F232" i="1"/>
  <c r="G232" i="1"/>
  <c r="K232" i="1" s="1"/>
  <c r="C233" i="1"/>
  <c r="H233" i="1" s="1"/>
  <c r="F233" i="1"/>
  <c r="G233" i="1"/>
  <c r="K233" i="1" s="1"/>
  <c r="C234" i="1"/>
  <c r="H234" i="1" s="1"/>
  <c r="F234" i="1"/>
  <c r="G234" i="1"/>
  <c r="K234" i="1" s="1"/>
  <c r="C235" i="1"/>
  <c r="H235" i="1" s="1"/>
  <c r="F235" i="1"/>
  <c r="G235" i="1"/>
  <c r="K235" i="1" s="1"/>
  <c r="C236" i="1"/>
  <c r="H236" i="1" s="1"/>
  <c r="F236" i="1"/>
  <c r="G236" i="1"/>
  <c r="K236" i="1" s="1"/>
  <c r="C237" i="1"/>
  <c r="H237" i="1" s="1"/>
  <c r="F237" i="1"/>
  <c r="G237" i="1"/>
  <c r="K237" i="1" s="1"/>
  <c r="C238" i="1"/>
  <c r="H238" i="1" s="1"/>
  <c r="F238" i="1"/>
  <c r="G238" i="1"/>
  <c r="K238" i="1" s="1"/>
  <c r="C239" i="1"/>
  <c r="H239" i="1" s="1"/>
  <c r="F239" i="1"/>
  <c r="G239" i="1"/>
  <c r="K239" i="1" s="1"/>
  <c r="C240" i="1"/>
  <c r="H240" i="1" s="1"/>
  <c r="F240" i="1"/>
  <c r="G240" i="1"/>
  <c r="K240" i="1" s="1"/>
  <c r="C241" i="1"/>
  <c r="H241" i="1" s="1"/>
  <c r="F241" i="1"/>
  <c r="G241" i="1"/>
  <c r="K241" i="1" s="1"/>
  <c r="C242" i="1"/>
  <c r="H242" i="1" s="1"/>
  <c r="F242" i="1"/>
  <c r="G242" i="1"/>
  <c r="K242" i="1" s="1"/>
  <c r="C243" i="1"/>
  <c r="H243" i="1" s="1"/>
  <c r="F243" i="1"/>
  <c r="G243" i="1"/>
  <c r="K243" i="1" s="1"/>
  <c r="C244" i="1"/>
  <c r="H244" i="1" s="1"/>
  <c r="F244" i="1"/>
  <c r="G244" i="1"/>
  <c r="K244" i="1" s="1"/>
  <c r="C245" i="1"/>
  <c r="H245" i="1" s="1"/>
  <c r="F245" i="1"/>
  <c r="G245" i="1"/>
  <c r="K245" i="1" s="1"/>
  <c r="C246" i="1"/>
  <c r="H246" i="1" s="1"/>
  <c r="F246" i="1"/>
  <c r="G246" i="1"/>
  <c r="K246" i="1" s="1"/>
  <c r="C247" i="1"/>
  <c r="H247" i="1" s="1"/>
  <c r="F247" i="1"/>
  <c r="G247" i="1"/>
  <c r="K247" i="1" s="1"/>
  <c r="C248" i="1"/>
  <c r="H248" i="1" s="1"/>
  <c r="F248" i="1"/>
  <c r="G248" i="1"/>
  <c r="K248" i="1" s="1"/>
  <c r="C249" i="1"/>
  <c r="H249" i="1" s="1"/>
  <c r="F249" i="1"/>
  <c r="G249" i="1"/>
  <c r="K249" i="1" s="1"/>
  <c r="C250" i="1"/>
  <c r="H250" i="1" s="1"/>
  <c r="F250" i="1"/>
  <c r="G250" i="1"/>
  <c r="K250" i="1" s="1"/>
  <c r="C251" i="1"/>
  <c r="H251" i="1" s="1"/>
  <c r="F251" i="1"/>
  <c r="G251" i="1"/>
  <c r="K251" i="1" s="1"/>
  <c r="C252" i="1"/>
  <c r="H252" i="1" s="1"/>
  <c r="F252" i="1"/>
  <c r="G252" i="1"/>
  <c r="K252" i="1" s="1"/>
  <c r="C253" i="1"/>
  <c r="H253" i="1" s="1"/>
  <c r="F253" i="1"/>
  <c r="G253" i="1"/>
  <c r="K253" i="1" s="1"/>
  <c r="C254" i="1"/>
  <c r="H254" i="1" s="1"/>
  <c r="F254" i="1"/>
  <c r="G254" i="1"/>
  <c r="K254" i="1" s="1"/>
  <c r="C255" i="1"/>
  <c r="H255" i="1" s="1"/>
  <c r="F255" i="1"/>
  <c r="G255" i="1"/>
  <c r="K255" i="1" s="1"/>
  <c r="C256" i="1"/>
  <c r="H256" i="1" s="1"/>
  <c r="F256" i="1"/>
  <c r="G256" i="1"/>
  <c r="K256" i="1" s="1"/>
  <c r="C257" i="1"/>
  <c r="H257" i="1" s="1"/>
  <c r="F257" i="1"/>
  <c r="G257" i="1"/>
  <c r="K257" i="1" s="1"/>
  <c r="C258" i="1"/>
  <c r="H258" i="1" s="1"/>
  <c r="F258" i="1"/>
  <c r="G258" i="1"/>
  <c r="K258" i="1" s="1"/>
  <c r="C259" i="1"/>
  <c r="H259" i="1" s="1"/>
  <c r="F259" i="1"/>
  <c r="G259" i="1"/>
  <c r="K259" i="1" s="1"/>
  <c r="C260" i="1"/>
  <c r="H260" i="1" s="1"/>
  <c r="F260" i="1"/>
  <c r="G260" i="1"/>
  <c r="K260" i="1" s="1"/>
  <c r="C261" i="1"/>
  <c r="H261" i="1" s="1"/>
  <c r="F261" i="1"/>
  <c r="G261" i="1"/>
  <c r="K261" i="1" s="1"/>
  <c r="C262" i="1"/>
  <c r="H262" i="1" s="1"/>
  <c r="F262" i="1"/>
  <c r="G262" i="1"/>
  <c r="K262" i="1" s="1"/>
  <c r="C263" i="1"/>
  <c r="H263" i="1" s="1"/>
  <c r="F263" i="1"/>
  <c r="G263" i="1"/>
  <c r="K263" i="1" s="1"/>
  <c r="C264" i="1"/>
  <c r="H264" i="1" s="1"/>
  <c r="F264" i="1"/>
  <c r="G264" i="1"/>
  <c r="K264" i="1" s="1"/>
  <c r="C265" i="1"/>
  <c r="H265" i="1" s="1"/>
  <c r="F265" i="1"/>
  <c r="G265" i="1"/>
  <c r="K265" i="1" s="1"/>
  <c r="C266" i="1"/>
  <c r="H266" i="1" s="1"/>
  <c r="F266" i="1"/>
  <c r="G266" i="1"/>
  <c r="K266" i="1" s="1"/>
  <c r="C267" i="1"/>
  <c r="H267" i="1" s="1"/>
  <c r="F267" i="1"/>
  <c r="G267" i="1"/>
  <c r="K267" i="1" s="1"/>
  <c r="C268" i="1"/>
  <c r="H268" i="1" s="1"/>
  <c r="F268" i="1"/>
  <c r="G268" i="1"/>
  <c r="K268" i="1" s="1"/>
  <c r="C269" i="1"/>
  <c r="H269" i="1" s="1"/>
  <c r="F269" i="1"/>
  <c r="G269" i="1"/>
  <c r="K269" i="1" s="1"/>
  <c r="C270" i="1"/>
  <c r="H270" i="1" s="1"/>
  <c r="F270" i="1"/>
  <c r="G270" i="1"/>
  <c r="K270" i="1" s="1"/>
  <c r="C271" i="1"/>
  <c r="H271" i="1" s="1"/>
  <c r="F271" i="1"/>
  <c r="G271" i="1"/>
  <c r="K271" i="1" s="1"/>
  <c r="C272" i="1"/>
  <c r="H272" i="1" s="1"/>
  <c r="F272" i="1"/>
  <c r="G272" i="1"/>
  <c r="K272" i="1" s="1"/>
  <c r="C273" i="1"/>
  <c r="H273" i="1" s="1"/>
  <c r="F273" i="1"/>
  <c r="G273" i="1"/>
  <c r="K273" i="1" s="1"/>
  <c r="C274" i="1"/>
  <c r="H274" i="1" s="1"/>
  <c r="F274" i="1"/>
  <c r="G274" i="1"/>
  <c r="K274" i="1" s="1"/>
  <c r="C275" i="1"/>
  <c r="H275" i="1" s="1"/>
  <c r="F275" i="1"/>
  <c r="G275" i="1"/>
  <c r="K275" i="1" s="1"/>
  <c r="C276" i="1"/>
  <c r="H276" i="1" s="1"/>
  <c r="F276" i="1"/>
  <c r="G276" i="1"/>
  <c r="K276" i="1" s="1"/>
  <c r="C277" i="1"/>
  <c r="H277" i="1" s="1"/>
  <c r="F277" i="1"/>
  <c r="G277" i="1"/>
  <c r="K277" i="1" s="1"/>
  <c r="C278" i="1"/>
  <c r="H278" i="1" s="1"/>
  <c r="F278" i="1"/>
  <c r="G278" i="1"/>
  <c r="K278" i="1" s="1"/>
  <c r="C279" i="1"/>
  <c r="H279" i="1" s="1"/>
  <c r="F279" i="1"/>
  <c r="G279" i="1"/>
  <c r="K279" i="1" s="1"/>
  <c r="C280" i="1"/>
  <c r="H280" i="1" s="1"/>
  <c r="F280" i="1"/>
  <c r="G280" i="1"/>
  <c r="K280" i="1" s="1"/>
  <c r="C281" i="1"/>
  <c r="H281" i="1" s="1"/>
  <c r="F281" i="1"/>
  <c r="G281" i="1"/>
  <c r="K281" i="1" s="1"/>
  <c r="C282" i="1"/>
  <c r="H282" i="1" s="1"/>
  <c r="F282" i="1"/>
  <c r="G282" i="1"/>
  <c r="K282" i="1" s="1"/>
  <c r="C283" i="1"/>
  <c r="H283" i="1" s="1"/>
  <c r="F283" i="1"/>
  <c r="G283" i="1"/>
  <c r="K283" i="1" s="1"/>
  <c r="C284" i="1"/>
  <c r="H284" i="1" s="1"/>
  <c r="F284" i="1"/>
  <c r="G284" i="1"/>
  <c r="K284" i="1" s="1"/>
  <c r="C285" i="1"/>
  <c r="H285" i="1" s="1"/>
  <c r="F285" i="1"/>
  <c r="G285" i="1"/>
  <c r="K285" i="1" s="1"/>
  <c r="C286" i="1"/>
  <c r="H286" i="1" s="1"/>
  <c r="F286" i="1"/>
  <c r="G286" i="1"/>
  <c r="K286" i="1" s="1"/>
  <c r="C287" i="1"/>
  <c r="H287" i="1" s="1"/>
  <c r="F287" i="1"/>
  <c r="G287" i="1"/>
  <c r="K287" i="1" s="1"/>
  <c r="C288" i="1"/>
  <c r="H288" i="1" s="1"/>
  <c r="F288" i="1"/>
  <c r="G288" i="1"/>
  <c r="C289" i="1"/>
  <c r="H289" i="1" s="1"/>
  <c r="F289" i="1"/>
  <c r="G289" i="1"/>
  <c r="K289" i="1" s="1"/>
  <c r="C290" i="1"/>
  <c r="H290" i="1" s="1"/>
  <c r="F290" i="1"/>
  <c r="G290" i="1"/>
  <c r="K290" i="1" s="1"/>
  <c r="C291" i="1"/>
  <c r="H291" i="1" s="1"/>
  <c r="F291" i="1"/>
  <c r="G291" i="1"/>
  <c r="K291" i="1" s="1"/>
  <c r="C292" i="1"/>
  <c r="H292" i="1" s="1"/>
  <c r="F292" i="1"/>
  <c r="G292" i="1"/>
  <c r="K292" i="1" s="1"/>
  <c r="C293" i="1"/>
  <c r="H293" i="1" s="1"/>
  <c r="F293" i="1"/>
  <c r="G293" i="1"/>
  <c r="K293" i="1" s="1"/>
  <c r="C294" i="1"/>
  <c r="H294" i="1" s="1"/>
  <c r="F294" i="1"/>
  <c r="G294" i="1"/>
  <c r="K294" i="1" s="1"/>
  <c r="C295" i="1"/>
  <c r="H295" i="1" s="1"/>
  <c r="F295" i="1"/>
  <c r="G295" i="1"/>
  <c r="K295" i="1" s="1"/>
  <c r="C296" i="1"/>
  <c r="H296" i="1" s="1"/>
  <c r="F296" i="1"/>
  <c r="G296" i="1"/>
  <c r="K296" i="1" s="1"/>
  <c r="C297" i="1"/>
  <c r="H297" i="1" s="1"/>
  <c r="F297" i="1"/>
  <c r="G297" i="1"/>
  <c r="K297" i="1" s="1"/>
  <c r="C298" i="1"/>
  <c r="H298" i="1" s="1"/>
  <c r="F298" i="1"/>
  <c r="G298" i="1"/>
  <c r="K298" i="1" s="1"/>
  <c r="C299" i="1"/>
  <c r="H299" i="1" s="1"/>
  <c r="F299" i="1"/>
  <c r="G299" i="1"/>
  <c r="K299" i="1" s="1"/>
  <c r="C300" i="1"/>
  <c r="H300" i="1" s="1"/>
  <c r="F300" i="1"/>
  <c r="G300" i="1"/>
  <c r="K300" i="1" s="1"/>
  <c r="C301" i="1"/>
  <c r="H301" i="1" s="1"/>
  <c r="F301" i="1"/>
  <c r="G301" i="1"/>
  <c r="K301" i="1" s="1"/>
  <c r="C302" i="1"/>
  <c r="H302" i="1" s="1"/>
  <c r="F302" i="1"/>
  <c r="G302" i="1"/>
  <c r="K302" i="1" s="1"/>
  <c r="C303" i="1"/>
  <c r="H303" i="1" s="1"/>
  <c r="F303" i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J188" i="1" s="1"/>
  <c r="M188" i="1" s="1"/>
  <c r="G188" i="1"/>
  <c r="K188" i="1" s="1"/>
  <c r="F189" i="1"/>
  <c r="J189" i="1" s="1"/>
  <c r="M189" i="1" s="1"/>
  <c r="G189" i="1"/>
  <c r="K189" i="1" s="1"/>
  <c r="F190" i="1"/>
  <c r="J190" i="1" s="1"/>
  <c r="M190" i="1" s="1"/>
  <c r="G190" i="1"/>
  <c r="K190" i="1" s="1"/>
  <c r="F191" i="1"/>
  <c r="J191" i="1" s="1"/>
  <c r="M191" i="1" s="1"/>
  <c r="G191" i="1"/>
  <c r="K191" i="1" s="1"/>
  <c r="F192" i="1"/>
  <c r="J192" i="1" s="1"/>
  <c r="M192" i="1" s="1"/>
  <c r="G192" i="1"/>
  <c r="K192" i="1" s="1"/>
  <c r="F193" i="1"/>
  <c r="J193" i="1" s="1"/>
  <c r="M193" i="1" s="1"/>
  <c r="G193" i="1"/>
  <c r="K193" i="1" s="1"/>
  <c r="F194" i="1"/>
  <c r="J194" i="1" s="1"/>
  <c r="M194" i="1" s="1"/>
  <c r="G194" i="1"/>
  <c r="K194" i="1" s="1"/>
  <c r="F195" i="1"/>
  <c r="J195" i="1" s="1"/>
  <c r="M195" i="1" s="1"/>
  <c r="G195" i="1"/>
  <c r="K195" i="1" s="1"/>
  <c r="F196" i="1"/>
  <c r="J196" i="1" s="1"/>
  <c r="M196" i="1" s="1"/>
  <c r="G196" i="1"/>
  <c r="K196" i="1" s="1"/>
  <c r="F197" i="1"/>
  <c r="J197" i="1" s="1"/>
  <c r="M197" i="1" s="1"/>
  <c r="G197" i="1"/>
  <c r="K197" i="1" s="1"/>
  <c r="F198" i="1"/>
  <c r="J198" i="1" s="1"/>
  <c r="M198" i="1" s="1"/>
  <c r="G198" i="1"/>
  <c r="K198" i="1" s="1"/>
  <c r="F199" i="1"/>
  <c r="J199" i="1" s="1"/>
  <c r="M199" i="1" s="1"/>
  <c r="G199" i="1"/>
  <c r="K199" i="1" s="1"/>
  <c r="F200" i="1"/>
  <c r="J200" i="1" s="1"/>
  <c r="M200" i="1" s="1"/>
  <c r="G200" i="1"/>
  <c r="K200" i="1" s="1"/>
  <c r="F201" i="1"/>
  <c r="J201" i="1" s="1"/>
  <c r="M201" i="1" s="1"/>
  <c r="G201" i="1"/>
  <c r="K201" i="1" s="1"/>
  <c r="F202" i="1"/>
  <c r="J202" i="1" s="1"/>
  <c r="M202" i="1" s="1"/>
  <c r="G202" i="1"/>
  <c r="K202" i="1" s="1"/>
  <c r="F203" i="1"/>
  <c r="J203" i="1" s="1"/>
  <c r="M203" i="1" s="1"/>
  <c r="G203" i="1"/>
  <c r="K203" i="1" s="1"/>
  <c r="F204" i="1"/>
  <c r="J204" i="1" s="1"/>
  <c r="M204" i="1" s="1"/>
  <c r="G204" i="1"/>
  <c r="K204" i="1" s="1"/>
  <c r="F205" i="1"/>
  <c r="J205" i="1" s="1"/>
  <c r="M205" i="1" s="1"/>
  <c r="G205" i="1"/>
  <c r="K205" i="1" s="1"/>
  <c r="F206" i="1"/>
  <c r="J206" i="1" s="1"/>
  <c r="M206" i="1" s="1"/>
  <c r="G206" i="1"/>
  <c r="K206" i="1" s="1"/>
  <c r="F207" i="1"/>
  <c r="J207" i="1" s="1"/>
  <c r="M207" i="1" s="1"/>
  <c r="G207" i="1"/>
  <c r="K207" i="1" s="1"/>
  <c r="F208" i="1"/>
  <c r="J208" i="1" s="1"/>
  <c r="M208" i="1" s="1"/>
  <c r="G208" i="1"/>
  <c r="K208" i="1" s="1"/>
  <c r="F209" i="1"/>
  <c r="J209" i="1" s="1"/>
  <c r="M209" i="1" s="1"/>
  <c r="G209" i="1"/>
  <c r="K209" i="1" s="1"/>
  <c r="F210" i="1"/>
  <c r="J210" i="1" s="1"/>
  <c r="M210" i="1" s="1"/>
  <c r="G210" i="1"/>
  <c r="K210" i="1" s="1"/>
  <c r="F211" i="1"/>
  <c r="J211" i="1" s="1"/>
  <c r="M211" i="1" s="1"/>
  <c r="G211" i="1"/>
  <c r="K211" i="1" s="1"/>
  <c r="F5" i="1"/>
  <c r="J5" i="1" s="1"/>
  <c r="M5" i="1" s="1"/>
  <c r="G5" i="1"/>
  <c r="K5" i="1" s="1"/>
  <c r="F6" i="1"/>
  <c r="J6" i="1" s="1"/>
  <c r="M6" i="1" s="1"/>
  <c r="G6" i="1"/>
  <c r="K6" i="1" s="1"/>
  <c r="F7" i="1"/>
  <c r="J7" i="1" s="1"/>
  <c r="M7" i="1" s="1"/>
  <c r="G7" i="1"/>
  <c r="K7" i="1" s="1"/>
  <c r="F8" i="1"/>
  <c r="J8" i="1" s="1"/>
  <c r="M8" i="1" s="1"/>
  <c r="G8" i="1"/>
  <c r="K8" i="1" s="1"/>
  <c r="F9" i="1"/>
  <c r="J9" i="1" s="1"/>
  <c r="M9" i="1" s="1"/>
  <c r="G9" i="1"/>
  <c r="K9" i="1" s="1"/>
  <c r="F10" i="1"/>
  <c r="J10" i="1" s="1"/>
  <c r="M10" i="1" s="1"/>
  <c r="G10" i="1"/>
  <c r="K10" i="1" s="1"/>
  <c r="F11" i="1"/>
  <c r="J11" i="1" s="1"/>
  <c r="M11" i="1" s="1"/>
  <c r="G11" i="1"/>
  <c r="K11" i="1" s="1"/>
  <c r="F12" i="1"/>
  <c r="J12" i="1" s="1"/>
  <c r="M12" i="1" s="1"/>
  <c r="G12" i="1"/>
  <c r="K12" i="1" s="1"/>
  <c r="F13" i="1"/>
  <c r="J13" i="1" s="1"/>
  <c r="M13" i="1" s="1"/>
  <c r="G13" i="1"/>
  <c r="K13" i="1" s="1"/>
  <c r="F14" i="1"/>
  <c r="J14" i="1" s="1"/>
  <c r="M14" i="1" s="1"/>
  <c r="G14" i="1"/>
  <c r="K14" i="1" s="1"/>
  <c r="F15" i="1"/>
  <c r="J15" i="1" s="1"/>
  <c r="M15" i="1" s="1"/>
  <c r="G15" i="1"/>
  <c r="K15" i="1" s="1"/>
  <c r="F16" i="1"/>
  <c r="J16" i="1" s="1"/>
  <c r="M16" i="1" s="1"/>
  <c r="G16" i="1"/>
  <c r="K16" i="1" s="1"/>
  <c r="F17" i="1"/>
  <c r="J17" i="1" s="1"/>
  <c r="M17" i="1" s="1"/>
  <c r="G17" i="1"/>
  <c r="K17" i="1" s="1"/>
  <c r="F18" i="1"/>
  <c r="J18" i="1" s="1"/>
  <c r="M18" i="1" s="1"/>
  <c r="G18" i="1"/>
  <c r="K18" i="1" s="1"/>
  <c r="F19" i="1"/>
  <c r="J19" i="1" s="1"/>
  <c r="M19" i="1" s="1"/>
  <c r="G19" i="1"/>
  <c r="K19" i="1" s="1"/>
  <c r="F20" i="1"/>
  <c r="J20" i="1" s="1"/>
  <c r="M20" i="1" s="1"/>
  <c r="G20" i="1"/>
  <c r="K20" i="1" s="1"/>
  <c r="F21" i="1"/>
  <c r="J21" i="1" s="1"/>
  <c r="M21" i="1" s="1"/>
  <c r="G21" i="1"/>
  <c r="K21" i="1" s="1"/>
  <c r="F22" i="1"/>
  <c r="J22" i="1" s="1"/>
  <c r="M22" i="1" s="1"/>
  <c r="G22" i="1"/>
  <c r="K22" i="1" s="1"/>
  <c r="F23" i="1"/>
  <c r="J23" i="1" s="1"/>
  <c r="M23" i="1" s="1"/>
  <c r="G23" i="1"/>
  <c r="K23" i="1" s="1"/>
  <c r="F24" i="1"/>
  <c r="J24" i="1" s="1"/>
  <c r="M24" i="1" s="1"/>
  <c r="G24" i="1"/>
  <c r="K24" i="1" s="1"/>
  <c r="F25" i="1"/>
  <c r="J25" i="1" s="1"/>
  <c r="M25" i="1" s="1"/>
  <c r="G25" i="1"/>
  <c r="K25" i="1" s="1"/>
  <c r="F26" i="1"/>
  <c r="J26" i="1" s="1"/>
  <c r="M26" i="1" s="1"/>
  <c r="G26" i="1"/>
  <c r="K26" i="1" s="1"/>
  <c r="F27" i="1"/>
  <c r="J27" i="1" s="1"/>
  <c r="M27" i="1" s="1"/>
  <c r="G27" i="1"/>
  <c r="K27" i="1" s="1"/>
  <c r="F28" i="1"/>
  <c r="J28" i="1" s="1"/>
  <c r="M28" i="1" s="1"/>
  <c r="G28" i="1"/>
  <c r="K28" i="1" s="1"/>
  <c r="F29" i="1"/>
  <c r="J29" i="1" s="1"/>
  <c r="M29" i="1" s="1"/>
  <c r="G29" i="1"/>
  <c r="K29" i="1" s="1"/>
  <c r="F30" i="1"/>
  <c r="J30" i="1" s="1"/>
  <c r="M30" i="1" s="1"/>
  <c r="G30" i="1"/>
  <c r="K30" i="1" s="1"/>
  <c r="F31" i="1"/>
  <c r="J31" i="1" s="1"/>
  <c r="M31" i="1" s="1"/>
  <c r="G31" i="1"/>
  <c r="K31" i="1" s="1"/>
  <c r="F32" i="1"/>
  <c r="J32" i="1" s="1"/>
  <c r="M32" i="1" s="1"/>
  <c r="G32" i="1"/>
  <c r="K32" i="1" s="1"/>
  <c r="F33" i="1"/>
  <c r="J33" i="1" s="1"/>
  <c r="M33" i="1" s="1"/>
  <c r="G33" i="1"/>
  <c r="K33" i="1" s="1"/>
  <c r="F34" i="1"/>
  <c r="J34" i="1" s="1"/>
  <c r="M34" i="1" s="1"/>
  <c r="G34" i="1"/>
  <c r="K34" i="1" s="1"/>
  <c r="F35" i="1"/>
  <c r="J35" i="1" s="1"/>
  <c r="M35" i="1" s="1"/>
  <c r="G35" i="1"/>
  <c r="K35" i="1" s="1"/>
  <c r="F36" i="1"/>
  <c r="J36" i="1" s="1"/>
  <c r="M36" i="1" s="1"/>
  <c r="G36" i="1"/>
  <c r="K36" i="1" s="1"/>
  <c r="F37" i="1"/>
  <c r="J37" i="1" s="1"/>
  <c r="M37" i="1" s="1"/>
  <c r="G37" i="1"/>
  <c r="K37" i="1" s="1"/>
  <c r="F38" i="1"/>
  <c r="J38" i="1" s="1"/>
  <c r="M38" i="1" s="1"/>
  <c r="G38" i="1"/>
  <c r="K38" i="1" s="1"/>
  <c r="F39" i="1"/>
  <c r="J39" i="1" s="1"/>
  <c r="M39" i="1" s="1"/>
  <c r="G39" i="1"/>
  <c r="K39" i="1" s="1"/>
  <c r="F40" i="1"/>
  <c r="J40" i="1" s="1"/>
  <c r="M40" i="1" s="1"/>
  <c r="G40" i="1"/>
  <c r="K40" i="1" s="1"/>
  <c r="F41" i="1"/>
  <c r="J41" i="1" s="1"/>
  <c r="M41" i="1" s="1"/>
  <c r="G41" i="1"/>
  <c r="K41" i="1" s="1"/>
  <c r="F42" i="1"/>
  <c r="J42" i="1" s="1"/>
  <c r="M42" i="1" s="1"/>
  <c r="G42" i="1"/>
  <c r="K42" i="1" s="1"/>
  <c r="F43" i="1"/>
  <c r="J43" i="1" s="1"/>
  <c r="M43" i="1" s="1"/>
  <c r="G43" i="1"/>
  <c r="K43" i="1" s="1"/>
  <c r="F44" i="1"/>
  <c r="J44" i="1" s="1"/>
  <c r="M44" i="1" s="1"/>
  <c r="G44" i="1"/>
  <c r="K44" i="1" s="1"/>
  <c r="F45" i="1"/>
  <c r="J45" i="1" s="1"/>
  <c r="M45" i="1" s="1"/>
  <c r="G45" i="1"/>
  <c r="K45" i="1" s="1"/>
  <c r="F46" i="1"/>
  <c r="J46" i="1" s="1"/>
  <c r="M46" i="1" s="1"/>
  <c r="G46" i="1"/>
  <c r="K46" i="1" s="1"/>
  <c r="F47" i="1"/>
  <c r="J47" i="1" s="1"/>
  <c r="M47" i="1" s="1"/>
  <c r="G47" i="1"/>
  <c r="K47" i="1" s="1"/>
  <c r="F48" i="1"/>
  <c r="J48" i="1" s="1"/>
  <c r="M48" i="1" s="1"/>
  <c r="G48" i="1"/>
  <c r="K48" i="1" s="1"/>
  <c r="F49" i="1"/>
  <c r="J49" i="1" s="1"/>
  <c r="M49" i="1" s="1"/>
  <c r="G49" i="1"/>
  <c r="K49" i="1" s="1"/>
  <c r="F50" i="1"/>
  <c r="J50" i="1" s="1"/>
  <c r="M50" i="1" s="1"/>
  <c r="G50" i="1"/>
  <c r="K50" i="1" s="1"/>
  <c r="F51" i="1"/>
  <c r="J51" i="1" s="1"/>
  <c r="M51" i="1" s="1"/>
  <c r="G51" i="1"/>
  <c r="K51" i="1" s="1"/>
  <c r="F52" i="1"/>
  <c r="J52" i="1" s="1"/>
  <c r="M52" i="1" s="1"/>
  <c r="G52" i="1"/>
  <c r="K52" i="1" s="1"/>
  <c r="F53" i="1"/>
  <c r="J53" i="1" s="1"/>
  <c r="M53" i="1" s="1"/>
  <c r="G53" i="1"/>
  <c r="K53" i="1" s="1"/>
  <c r="F54" i="1"/>
  <c r="J54" i="1" s="1"/>
  <c r="M54" i="1" s="1"/>
  <c r="G54" i="1"/>
  <c r="K54" i="1" s="1"/>
  <c r="F55" i="1"/>
  <c r="J55" i="1" s="1"/>
  <c r="M55" i="1" s="1"/>
  <c r="G55" i="1"/>
  <c r="K55" i="1" s="1"/>
  <c r="F56" i="1"/>
  <c r="J56" i="1" s="1"/>
  <c r="M56" i="1" s="1"/>
  <c r="G56" i="1"/>
  <c r="K56" i="1" s="1"/>
  <c r="F57" i="1"/>
  <c r="J57" i="1" s="1"/>
  <c r="M57" i="1" s="1"/>
  <c r="G57" i="1"/>
  <c r="K57" i="1" s="1"/>
  <c r="F58" i="1"/>
  <c r="J58" i="1" s="1"/>
  <c r="M58" i="1" s="1"/>
  <c r="G58" i="1"/>
  <c r="K58" i="1" s="1"/>
  <c r="F59" i="1"/>
  <c r="J59" i="1" s="1"/>
  <c r="M59" i="1" s="1"/>
  <c r="G59" i="1"/>
  <c r="K59" i="1" s="1"/>
  <c r="F60" i="1"/>
  <c r="J60" i="1" s="1"/>
  <c r="M60" i="1" s="1"/>
  <c r="G60" i="1"/>
  <c r="K60" i="1" s="1"/>
  <c r="F61" i="1"/>
  <c r="J61" i="1" s="1"/>
  <c r="M61" i="1" s="1"/>
  <c r="G61" i="1"/>
  <c r="K61" i="1" s="1"/>
  <c r="F62" i="1"/>
  <c r="J62" i="1" s="1"/>
  <c r="M62" i="1" s="1"/>
  <c r="G62" i="1"/>
  <c r="K62" i="1" s="1"/>
  <c r="F63" i="1"/>
  <c r="J63" i="1" s="1"/>
  <c r="M63" i="1" s="1"/>
  <c r="G63" i="1"/>
  <c r="K63" i="1" s="1"/>
  <c r="F64" i="1"/>
  <c r="J64" i="1" s="1"/>
  <c r="M64" i="1" s="1"/>
  <c r="G64" i="1"/>
  <c r="K64" i="1" s="1"/>
  <c r="F65" i="1"/>
  <c r="J65" i="1" s="1"/>
  <c r="M65" i="1" s="1"/>
  <c r="G65" i="1"/>
  <c r="K65" i="1" s="1"/>
  <c r="F66" i="1"/>
  <c r="J66" i="1" s="1"/>
  <c r="M66" i="1" s="1"/>
  <c r="G66" i="1"/>
  <c r="K66" i="1" s="1"/>
  <c r="F67" i="1"/>
  <c r="J67" i="1" s="1"/>
  <c r="M67" i="1" s="1"/>
  <c r="G67" i="1"/>
  <c r="K67" i="1" s="1"/>
  <c r="F68" i="1"/>
  <c r="J68" i="1" s="1"/>
  <c r="M68" i="1" s="1"/>
  <c r="G68" i="1"/>
  <c r="K68" i="1" s="1"/>
  <c r="F69" i="1"/>
  <c r="J69" i="1" s="1"/>
  <c r="M69" i="1" s="1"/>
  <c r="G69" i="1"/>
  <c r="K69" i="1" s="1"/>
  <c r="F70" i="1"/>
  <c r="J70" i="1" s="1"/>
  <c r="M70" i="1" s="1"/>
  <c r="G70" i="1"/>
  <c r="K70" i="1" s="1"/>
  <c r="F71" i="1"/>
  <c r="J71" i="1" s="1"/>
  <c r="M71" i="1" s="1"/>
  <c r="G71" i="1"/>
  <c r="K71" i="1" s="1"/>
  <c r="F72" i="1"/>
  <c r="J72" i="1" s="1"/>
  <c r="M72" i="1" s="1"/>
  <c r="G72" i="1"/>
  <c r="K72" i="1" s="1"/>
  <c r="F73" i="1"/>
  <c r="J73" i="1" s="1"/>
  <c r="M73" i="1" s="1"/>
  <c r="G73" i="1"/>
  <c r="K73" i="1" s="1"/>
  <c r="F74" i="1"/>
  <c r="J74" i="1" s="1"/>
  <c r="M74" i="1" s="1"/>
  <c r="G74" i="1"/>
  <c r="K74" i="1" s="1"/>
  <c r="F75" i="1"/>
  <c r="J75" i="1" s="1"/>
  <c r="M75" i="1" s="1"/>
  <c r="G75" i="1"/>
  <c r="K75" i="1" s="1"/>
  <c r="F76" i="1"/>
  <c r="J76" i="1" s="1"/>
  <c r="M76" i="1" s="1"/>
  <c r="G76" i="1"/>
  <c r="K76" i="1" s="1"/>
  <c r="F77" i="1"/>
  <c r="J77" i="1" s="1"/>
  <c r="M77" i="1" s="1"/>
  <c r="G77" i="1"/>
  <c r="K77" i="1" s="1"/>
  <c r="F78" i="1"/>
  <c r="J78" i="1" s="1"/>
  <c r="M78" i="1" s="1"/>
  <c r="G78" i="1"/>
  <c r="K78" i="1" s="1"/>
  <c r="F79" i="1"/>
  <c r="J79" i="1" s="1"/>
  <c r="M79" i="1" s="1"/>
  <c r="G79" i="1"/>
  <c r="K79" i="1" s="1"/>
  <c r="F80" i="1"/>
  <c r="J80" i="1" s="1"/>
  <c r="M80" i="1" s="1"/>
  <c r="G80" i="1"/>
  <c r="K80" i="1" s="1"/>
  <c r="F81" i="1"/>
  <c r="J81" i="1" s="1"/>
  <c r="M81" i="1" s="1"/>
  <c r="G81" i="1"/>
  <c r="K81" i="1" s="1"/>
  <c r="F82" i="1"/>
  <c r="J82" i="1" s="1"/>
  <c r="M82" i="1" s="1"/>
  <c r="G82" i="1"/>
  <c r="K82" i="1" s="1"/>
  <c r="F83" i="1"/>
  <c r="J83" i="1" s="1"/>
  <c r="M83" i="1" s="1"/>
  <c r="G83" i="1"/>
  <c r="K83" i="1" s="1"/>
  <c r="F84" i="1"/>
  <c r="J84" i="1" s="1"/>
  <c r="M84" i="1" s="1"/>
  <c r="G84" i="1"/>
  <c r="K84" i="1" s="1"/>
  <c r="F85" i="1"/>
  <c r="J85" i="1" s="1"/>
  <c r="M85" i="1" s="1"/>
  <c r="G85" i="1"/>
  <c r="K85" i="1" s="1"/>
  <c r="F86" i="1"/>
  <c r="J86" i="1" s="1"/>
  <c r="M86" i="1" s="1"/>
  <c r="G86" i="1"/>
  <c r="K86" i="1" s="1"/>
  <c r="F87" i="1"/>
  <c r="J87" i="1" s="1"/>
  <c r="M87" i="1" s="1"/>
  <c r="G87" i="1"/>
  <c r="K87" i="1" s="1"/>
  <c r="F88" i="1"/>
  <c r="J88" i="1" s="1"/>
  <c r="M88" i="1" s="1"/>
  <c r="G88" i="1"/>
  <c r="K88" i="1" s="1"/>
  <c r="F89" i="1"/>
  <c r="J89" i="1" s="1"/>
  <c r="M89" i="1" s="1"/>
  <c r="G89" i="1"/>
  <c r="K89" i="1" s="1"/>
  <c r="F90" i="1"/>
  <c r="J90" i="1" s="1"/>
  <c r="M90" i="1" s="1"/>
  <c r="G90" i="1"/>
  <c r="K90" i="1" s="1"/>
  <c r="F91" i="1"/>
  <c r="J91" i="1" s="1"/>
  <c r="M91" i="1" s="1"/>
  <c r="G91" i="1"/>
  <c r="K91" i="1" s="1"/>
  <c r="F92" i="1"/>
  <c r="J92" i="1" s="1"/>
  <c r="M92" i="1" s="1"/>
  <c r="G92" i="1"/>
  <c r="K92" i="1" s="1"/>
  <c r="F93" i="1"/>
  <c r="J93" i="1" s="1"/>
  <c r="M93" i="1" s="1"/>
  <c r="G93" i="1"/>
  <c r="K93" i="1" s="1"/>
  <c r="F94" i="1"/>
  <c r="J94" i="1" s="1"/>
  <c r="M94" i="1" s="1"/>
  <c r="G94" i="1"/>
  <c r="K94" i="1" s="1"/>
  <c r="F95" i="1"/>
  <c r="J95" i="1" s="1"/>
  <c r="M95" i="1" s="1"/>
  <c r="G95" i="1"/>
  <c r="K95" i="1" s="1"/>
  <c r="F96" i="1"/>
  <c r="J96" i="1" s="1"/>
  <c r="M96" i="1" s="1"/>
  <c r="G96" i="1"/>
  <c r="K96" i="1" s="1"/>
  <c r="F97" i="1"/>
  <c r="J97" i="1" s="1"/>
  <c r="M97" i="1" s="1"/>
  <c r="G97" i="1"/>
  <c r="K97" i="1" s="1"/>
  <c r="F98" i="1"/>
  <c r="J98" i="1" s="1"/>
  <c r="M98" i="1" s="1"/>
  <c r="G98" i="1"/>
  <c r="K98" i="1" s="1"/>
  <c r="F99" i="1"/>
  <c r="J99" i="1" s="1"/>
  <c r="M99" i="1" s="1"/>
  <c r="G99" i="1"/>
  <c r="K99" i="1" s="1"/>
  <c r="F100" i="1"/>
  <c r="J100" i="1" s="1"/>
  <c r="M100" i="1" s="1"/>
  <c r="G100" i="1"/>
  <c r="K100" i="1" s="1"/>
  <c r="F101" i="1"/>
  <c r="J101" i="1" s="1"/>
  <c r="M101" i="1" s="1"/>
  <c r="G101" i="1"/>
  <c r="K101" i="1" s="1"/>
  <c r="F102" i="1"/>
  <c r="J102" i="1" s="1"/>
  <c r="M102" i="1" s="1"/>
  <c r="G102" i="1"/>
  <c r="K102" i="1" s="1"/>
  <c r="F103" i="1"/>
  <c r="J103" i="1" s="1"/>
  <c r="M103" i="1" s="1"/>
  <c r="G103" i="1"/>
  <c r="K103" i="1" s="1"/>
  <c r="F104" i="1"/>
  <c r="J104" i="1" s="1"/>
  <c r="M104" i="1" s="1"/>
  <c r="G104" i="1"/>
  <c r="K104" i="1" s="1"/>
  <c r="F105" i="1"/>
  <c r="J105" i="1" s="1"/>
  <c r="M105" i="1" s="1"/>
  <c r="G105" i="1"/>
  <c r="K105" i="1" s="1"/>
  <c r="F106" i="1"/>
  <c r="J106" i="1" s="1"/>
  <c r="M106" i="1" s="1"/>
  <c r="G106" i="1"/>
  <c r="K106" i="1" s="1"/>
  <c r="F107" i="1"/>
  <c r="J107" i="1" s="1"/>
  <c r="M107" i="1" s="1"/>
  <c r="G107" i="1"/>
  <c r="K107" i="1" s="1"/>
  <c r="F108" i="1"/>
  <c r="J108" i="1" s="1"/>
  <c r="M108" i="1" s="1"/>
  <c r="G108" i="1"/>
  <c r="K108" i="1" s="1"/>
  <c r="F109" i="1"/>
  <c r="J109" i="1" s="1"/>
  <c r="M109" i="1" s="1"/>
  <c r="G109" i="1"/>
  <c r="K109" i="1" s="1"/>
  <c r="F110" i="1"/>
  <c r="J110" i="1" s="1"/>
  <c r="M110" i="1" s="1"/>
  <c r="G110" i="1"/>
  <c r="K110" i="1" s="1"/>
  <c r="F111" i="1"/>
  <c r="J111" i="1" s="1"/>
  <c r="M111" i="1" s="1"/>
  <c r="G111" i="1"/>
  <c r="K111" i="1" s="1"/>
  <c r="F112" i="1"/>
  <c r="J112" i="1" s="1"/>
  <c r="M112" i="1" s="1"/>
  <c r="G112" i="1"/>
  <c r="K112" i="1" s="1"/>
  <c r="F113" i="1"/>
  <c r="J113" i="1" s="1"/>
  <c r="M113" i="1" s="1"/>
  <c r="G113" i="1"/>
  <c r="K113" i="1" s="1"/>
  <c r="F114" i="1"/>
  <c r="J114" i="1" s="1"/>
  <c r="M114" i="1" s="1"/>
  <c r="G114" i="1"/>
  <c r="K114" i="1" s="1"/>
  <c r="F115" i="1"/>
  <c r="J115" i="1" s="1"/>
  <c r="M115" i="1" s="1"/>
  <c r="G115" i="1"/>
  <c r="K115" i="1" s="1"/>
  <c r="F116" i="1"/>
  <c r="J116" i="1" s="1"/>
  <c r="M116" i="1" s="1"/>
  <c r="G116" i="1"/>
  <c r="K116" i="1" s="1"/>
  <c r="F117" i="1"/>
  <c r="J117" i="1" s="1"/>
  <c r="M117" i="1" s="1"/>
  <c r="G117" i="1"/>
  <c r="K117" i="1" s="1"/>
  <c r="F118" i="1"/>
  <c r="J118" i="1" s="1"/>
  <c r="M118" i="1" s="1"/>
  <c r="G118" i="1"/>
  <c r="K118" i="1" s="1"/>
  <c r="F119" i="1"/>
  <c r="J119" i="1" s="1"/>
  <c r="M119" i="1" s="1"/>
  <c r="G119" i="1"/>
  <c r="K119" i="1" s="1"/>
  <c r="F120" i="1"/>
  <c r="J120" i="1" s="1"/>
  <c r="M120" i="1" s="1"/>
  <c r="G120" i="1"/>
  <c r="K120" i="1" s="1"/>
  <c r="F121" i="1"/>
  <c r="J121" i="1" s="1"/>
  <c r="M121" i="1" s="1"/>
  <c r="G121" i="1"/>
  <c r="K121" i="1" s="1"/>
  <c r="F122" i="1"/>
  <c r="J122" i="1" s="1"/>
  <c r="M122" i="1" s="1"/>
  <c r="G122" i="1"/>
  <c r="K122" i="1" s="1"/>
  <c r="F123" i="1"/>
  <c r="J123" i="1" s="1"/>
  <c r="M123" i="1" s="1"/>
  <c r="G123" i="1"/>
  <c r="K123" i="1" s="1"/>
  <c r="F124" i="1"/>
  <c r="J124" i="1" s="1"/>
  <c r="M124" i="1" s="1"/>
  <c r="G124" i="1"/>
  <c r="K124" i="1" s="1"/>
  <c r="F125" i="1"/>
  <c r="J125" i="1" s="1"/>
  <c r="M125" i="1" s="1"/>
  <c r="G125" i="1"/>
  <c r="K125" i="1" s="1"/>
  <c r="F126" i="1"/>
  <c r="J126" i="1" s="1"/>
  <c r="M126" i="1" s="1"/>
  <c r="G126" i="1"/>
  <c r="K126" i="1" s="1"/>
  <c r="F127" i="1"/>
  <c r="J127" i="1" s="1"/>
  <c r="M127" i="1" s="1"/>
  <c r="G127" i="1"/>
  <c r="K127" i="1" s="1"/>
  <c r="F128" i="1"/>
  <c r="J128" i="1" s="1"/>
  <c r="M128" i="1" s="1"/>
  <c r="G128" i="1"/>
  <c r="K128" i="1" s="1"/>
  <c r="F129" i="1"/>
  <c r="J129" i="1" s="1"/>
  <c r="M129" i="1" s="1"/>
  <c r="G129" i="1"/>
  <c r="K129" i="1" s="1"/>
  <c r="F130" i="1"/>
  <c r="J130" i="1" s="1"/>
  <c r="M130" i="1" s="1"/>
  <c r="G130" i="1"/>
  <c r="K130" i="1" s="1"/>
  <c r="F131" i="1"/>
  <c r="J131" i="1" s="1"/>
  <c r="M131" i="1" s="1"/>
  <c r="G131" i="1"/>
  <c r="K131" i="1" s="1"/>
  <c r="F132" i="1"/>
  <c r="J132" i="1" s="1"/>
  <c r="M132" i="1" s="1"/>
  <c r="G132" i="1"/>
  <c r="K132" i="1" s="1"/>
  <c r="F133" i="1"/>
  <c r="J133" i="1" s="1"/>
  <c r="M133" i="1" s="1"/>
  <c r="G133" i="1"/>
  <c r="K133" i="1" s="1"/>
  <c r="F134" i="1"/>
  <c r="J134" i="1" s="1"/>
  <c r="M134" i="1" s="1"/>
  <c r="G134" i="1"/>
  <c r="K134" i="1" s="1"/>
  <c r="F135" i="1"/>
  <c r="J135" i="1" s="1"/>
  <c r="M135" i="1" s="1"/>
  <c r="G135" i="1"/>
  <c r="K135" i="1" s="1"/>
  <c r="F136" i="1"/>
  <c r="J136" i="1" s="1"/>
  <c r="M136" i="1" s="1"/>
  <c r="G136" i="1"/>
  <c r="K136" i="1" s="1"/>
  <c r="F137" i="1"/>
  <c r="J137" i="1" s="1"/>
  <c r="M137" i="1" s="1"/>
  <c r="G137" i="1"/>
  <c r="K137" i="1" s="1"/>
  <c r="F138" i="1"/>
  <c r="J138" i="1" s="1"/>
  <c r="M138" i="1" s="1"/>
  <c r="G138" i="1"/>
  <c r="K138" i="1" s="1"/>
  <c r="F139" i="1"/>
  <c r="J139" i="1" s="1"/>
  <c r="M139" i="1" s="1"/>
  <c r="G139" i="1"/>
  <c r="K139" i="1" s="1"/>
  <c r="F140" i="1"/>
  <c r="J140" i="1" s="1"/>
  <c r="M140" i="1" s="1"/>
  <c r="G140" i="1"/>
  <c r="K140" i="1" s="1"/>
  <c r="F141" i="1"/>
  <c r="J141" i="1" s="1"/>
  <c r="M141" i="1" s="1"/>
  <c r="G141" i="1"/>
  <c r="K141" i="1" s="1"/>
  <c r="F142" i="1"/>
  <c r="J142" i="1" s="1"/>
  <c r="M142" i="1" s="1"/>
  <c r="G142" i="1"/>
  <c r="K142" i="1" s="1"/>
  <c r="F143" i="1"/>
  <c r="J143" i="1" s="1"/>
  <c r="M143" i="1" s="1"/>
  <c r="G143" i="1"/>
  <c r="K143" i="1" s="1"/>
  <c r="F144" i="1"/>
  <c r="J144" i="1" s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J145" i="1" s="1"/>
  <c r="M145" i="1" s="1"/>
  <c r="G145" i="1"/>
  <c r="K145" i="1" s="1"/>
  <c r="F146" i="1"/>
  <c r="J146" i="1" s="1"/>
  <c r="M146" i="1" s="1"/>
  <c r="G146" i="1"/>
  <c r="K146" i="1" s="1"/>
  <c r="F147" i="1"/>
  <c r="J147" i="1" s="1"/>
  <c r="M147" i="1" s="1"/>
  <c r="G147" i="1"/>
  <c r="K147" i="1" s="1"/>
  <c r="F148" i="1"/>
  <c r="J148" i="1" s="1"/>
  <c r="M148" i="1" s="1"/>
  <c r="G148" i="1"/>
  <c r="K148" i="1" s="1"/>
  <c r="F149" i="1"/>
  <c r="J149" i="1" s="1"/>
  <c r="M149" i="1" s="1"/>
  <c r="G149" i="1"/>
  <c r="K149" i="1" s="1"/>
  <c r="F150" i="1"/>
  <c r="J150" i="1" s="1"/>
  <c r="M150" i="1" s="1"/>
  <c r="G150" i="1"/>
  <c r="K150" i="1" s="1"/>
  <c r="F151" i="1"/>
  <c r="J151" i="1" s="1"/>
  <c r="M151" i="1" s="1"/>
  <c r="G151" i="1"/>
  <c r="K151" i="1" s="1"/>
  <c r="F152" i="1"/>
  <c r="J152" i="1" s="1"/>
  <c r="M152" i="1" s="1"/>
  <c r="G152" i="1"/>
  <c r="K152" i="1" s="1"/>
  <c r="F153" i="1"/>
  <c r="J153" i="1" s="1"/>
  <c r="M153" i="1" s="1"/>
  <c r="G153" i="1"/>
  <c r="K153" i="1" s="1"/>
  <c r="F154" i="1"/>
  <c r="J154" i="1" s="1"/>
  <c r="M154" i="1" s="1"/>
  <c r="G154" i="1"/>
  <c r="K154" i="1" s="1"/>
  <c r="F155" i="1"/>
  <c r="J155" i="1" s="1"/>
  <c r="M155" i="1" s="1"/>
  <c r="G155" i="1"/>
  <c r="K155" i="1" s="1"/>
  <c r="F156" i="1"/>
  <c r="J156" i="1" s="1"/>
  <c r="M156" i="1" s="1"/>
  <c r="G156" i="1"/>
  <c r="K156" i="1" s="1"/>
  <c r="F157" i="1"/>
  <c r="J157" i="1" s="1"/>
  <c r="M157" i="1" s="1"/>
  <c r="G157" i="1"/>
  <c r="K157" i="1" s="1"/>
  <c r="F158" i="1"/>
  <c r="J158" i="1" s="1"/>
  <c r="M158" i="1" s="1"/>
  <c r="G158" i="1"/>
  <c r="K158" i="1" s="1"/>
  <c r="F159" i="1"/>
  <c r="J159" i="1" s="1"/>
  <c r="M159" i="1" s="1"/>
  <c r="G159" i="1"/>
  <c r="K159" i="1" s="1"/>
  <c r="F160" i="1"/>
  <c r="J160" i="1" s="1"/>
  <c r="M160" i="1" s="1"/>
  <c r="G160" i="1"/>
  <c r="K160" i="1" s="1"/>
  <c r="F161" i="1"/>
  <c r="J161" i="1" s="1"/>
  <c r="M161" i="1" s="1"/>
  <c r="G161" i="1"/>
  <c r="K161" i="1" s="1"/>
  <c r="F162" i="1"/>
  <c r="J162" i="1" s="1"/>
  <c r="M162" i="1" s="1"/>
  <c r="G162" i="1"/>
  <c r="K162" i="1" s="1"/>
  <c r="F163" i="1"/>
  <c r="J163" i="1" s="1"/>
  <c r="M163" i="1" s="1"/>
  <c r="G163" i="1"/>
  <c r="K163" i="1" s="1"/>
  <c r="F164" i="1"/>
  <c r="J164" i="1" s="1"/>
  <c r="M164" i="1" s="1"/>
  <c r="G164" i="1"/>
  <c r="K164" i="1" s="1"/>
  <c r="F165" i="1"/>
  <c r="J165" i="1" s="1"/>
  <c r="M165" i="1" s="1"/>
  <c r="G165" i="1"/>
  <c r="K165" i="1" s="1"/>
  <c r="F166" i="1"/>
  <c r="J166" i="1" s="1"/>
  <c r="M166" i="1" s="1"/>
  <c r="G166" i="1"/>
  <c r="K166" i="1" s="1"/>
  <c r="F167" i="1"/>
  <c r="J167" i="1" s="1"/>
  <c r="M167" i="1" s="1"/>
  <c r="G167" i="1"/>
  <c r="K167" i="1" s="1"/>
  <c r="F168" i="1"/>
  <c r="J168" i="1" s="1"/>
  <c r="M168" i="1" s="1"/>
  <c r="G168" i="1"/>
  <c r="K168" i="1" s="1"/>
  <c r="F169" i="1"/>
  <c r="J169" i="1" s="1"/>
  <c r="M169" i="1" s="1"/>
  <c r="G169" i="1"/>
  <c r="K169" i="1" s="1"/>
  <c r="F170" i="1"/>
  <c r="J170" i="1" s="1"/>
  <c r="M170" i="1" s="1"/>
  <c r="G170" i="1"/>
  <c r="K170" i="1" s="1"/>
  <c r="F171" i="1"/>
  <c r="J171" i="1" s="1"/>
  <c r="M171" i="1" s="1"/>
  <c r="G171" i="1"/>
  <c r="K171" i="1" s="1"/>
  <c r="F172" i="1"/>
  <c r="J172" i="1" s="1"/>
  <c r="M172" i="1" s="1"/>
  <c r="G172" i="1"/>
  <c r="K172" i="1" s="1"/>
  <c r="F173" i="1"/>
  <c r="J173" i="1" s="1"/>
  <c r="M173" i="1" s="1"/>
  <c r="G173" i="1"/>
  <c r="K173" i="1" s="1"/>
  <c r="F174" i="1"/>
  <c r="J174" i="1" s="1"/>
  <c r="M174" i="1" s="1"/>
  <c r="G174" i="1"/>
  <c r="K174" i="1" s="1"/>
  <c r="F175" i="1"/>
  <c r="J175" i="1" s="1"/>
  <c r="M175" i="1" s="1"/>
  <c r="G175" i="1"/>
  <c r="K175" i="1" s="1"/>
  <c r="F176" i="1"/>
  <c r="J176" i="1" s="1"/>
  <c r="M176" i="1" s="1"/>
  <c r="G176" i="1"/>
  <c r="K176" i="1" s="1"/>
  <c r="F177" i="1"/>
  <c r="J177" i="1" s="1"/>
  <c r="M177" i="1" s="1"/>
  <c r="G177" i="1"/>
  <c r="K177" i="1" s="1"/>
  <c r="F178" i="1"/>
  <c r="J178" i="1" s="1"/>
  <c r="M178" i="1" s="1"/>
  <c r="G178" i="1"/>
  <c r="K178" i="1" s="1"/>
  <c r="F179" i="1"/>
  <c r="J179" i="1" s="1"/>
  <c r="M179" i="1" s="1"/>
  <c r="G179" i="1"/>
  <c r="K179" i="1" s="1"/>
  <c r="F180" i="1"/>
  <c r="J180" i="1" s="1"/>
  <c r="M180" i="1" s="1"/>
  <c r="G180" i="1"/>
  <c r="K180" i="1" s="1"/>
  <c r="F181" i="1"/>
  <c r="J181" i="1" s="1"/>
  <c r="M181" i="1" s="1"/>
  <c r="G181" i="1"/>
  <c r="K181" i="1" s="1"/>
  <c r="F182" i="1"/>
  <c r="J182" i="1" s="1"/>
  <c r="M182" i="1" s="1"/>
  <c r="G182" i="1"/>
  <c r="K182" i="1" s="1"/>
  <c r="F183" i="1"/>
  <c r="J183" i="1" s="1"/>
  <c r="M183" i="1" s="1"/>
  <c r="G183" i="1"/>
  <c r="K183" i="1" s="1"/>
  <c r="F184" i="1"/>
  <c r="J184" i="1" s="1"/>
  <c r="M184" i="1" s="1"/>
  <c r="G184" i="1"/>
  <c r="K184" i="1" s="1"/>
  <c r="F185" i="1"/>
  <c r="J185" i="1" s="1"/>
  <c r="M185" i="1" s="1"/>
  <c r="G185" i="1"/>
  <c r="K185" i="1" s="1"/>
  <c r="F186" i="1"/>
  <c r="J186" i="1" s="1"/>
  <c r="M186" i="1" s="1"/>
  <c r="G186" i="1"/>
  <c r="K186" i="1" s="1"/>
  <c r="F187" i="1"/>
  <c r="J187" i="1" s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F4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<sst xmlns="http://schemas.openxmlformats.org/spreadsheetml/2006/main" count="40" uniqueCount="36">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</sst>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N1" zoomScale="85" zoomScaleNormal="85" workbookViewId="0">
      <selection activeCell="AC9" sqref="AC9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-0.5292</v>
      </c>
      <c r="AC3" t="s">
        <v>30</v>
      </c>
    </row>
    <row r="4" spans="1:29" x14ac:dyDescent="0.3">
      <c r="A4">
        <v>9.4769000000000006E-2</v>
      </c>
      <c r="B4">
        <v>0.91291</v>
      </c>
      <c r="C4">
        <f>A4*B4</f>
        <v>8.6515567790000011E-2</v>
      </c>
      <c r="D4">
        <v>1.5599999999999999E-2</v>
      </c>
      <c r="E4" s="1">
        <v>1.2999999999999999E-2</v>
      </c>
      <c r="F4">
        <f>A4*200</f>
        <v>18.953800000000001</v>
      </c>
      <c r="G4">
        <f>-B4</f>
        <v>-0.91291</v>
      </c>
      <c r="H4">
        <f t="shared" ref="H4" si="0">-C4*200</f>
        <v>-17.303113558000003</v>
      </c>
      <c r="I4">
        <v>1</v>
      </c>
      <c r="J4">
        <f>LN(F4/1000)</f>
        <v>-3.965750839852209</v>
      </c>
      <c r="K4">
        <f>((-G4)-$N$2)</f>
        <v>-0.30881515177521746</v>
      </c>
      <c r="L4">
        <v>1</v>
      </c>
      <c r="M4">
        <f>-1*($S$4+($S$5*J4))</f>
        <v>0.30123313166914517</v>
      </c>
      <c r="N4">
        <f>D4*A4</f>
        <v>1.4783964E-3</v>
      </c>
      <c r="O4">
        <f>E4*A4</f>
        <v>1.2319970000000001E-3</v>
      </c>
      <c r="P4">
        <f>-K4-M4-N4-O4</f>
        <v>4.8716267060722844E-3</v>
      </c>
      <c r="R4" s="2" t="s">
        <v>16</v>
      </c>
      <c r="S4">
        <v>-0.48222999999999999</v>
      </c>
      <c r="V4">
        <v>-6</v>
      </c>
      <c r="W4">
        <f>V4*$S$5+$S$4</f>
        <v>-0.20839000000000002</v>
      </c>
      <c r="Y4">
        <v>0</v>
      </c>
      <c r="Z4">
        <f>$AB$4*Y4+$AB$3</f>
        <v>-0.5292</v>
      </c>
      <c r="AB4">
        <v>14.477</v>
      </c>
      <c r="AC4" t="s">
        <v>31</v>
      </c>
    </row>
    <row r="5" spans="1:29" x14ac:dyDescent="0.3">
      <c r="A5">
        <v>0.19278535000000002</v>
      </c>
      <c r="B5">
        <v>0.88741000000000003</v>
      </c>
      <c r="C5">
        <f t="shared" ref="C5:C68" si="1">A5*B5</f>
        <v>0.17107964744350002</v>
      </c>
      <c r="D5">
        <v>1.5599999999999999E-2</v>
      </c>
      <c r="E5" s="1">
        <v>1.2999999999999999E-2</v>
      </c>
      <c r="F5">
        <f t="shared" ref="F5:F68" si="2">A5*200</f>
        <v>38.557070000000003</v>
      </c>
      <c r="G5">
        <f t="shared" ref="G5:G68" si="3">-B5</f>
        <v>-0.88741000000000003</v>
      </c>
      <c r="H5">
        <f t="shared" ref="H5:H68" si="4">-C5*200</f>
        <v>-34.215929488700006</v>
      </c>
      <c r="I5">
        <v>1</v>
      </c>
      <c r="J5">
        <f t="shared" ref="J5:J68" si="5">LN(F5/1000)</f>
        <v>-3.2556157976040132</v>
      </c>
      <c r="K5">
        <f t="shared" ref="K5:K68" si="6">((-G5)-$N$2)</f>
        <v>-0.33431515177521742</v>
      </c>
      <c r="L5">
        <v>1</v>
      </c>
      <c r="M5">
        <f t="shared" ref="M5:M68" si="7">-1*($S$4+($S$5*J5))</f>
        <v>0.3336436949973528</v>
      </c>
      <c r="N5">
        <f t="shared" ref="N5:N6" si="8">D5*A5</f>
        <v>3.0074514600000003E-3</v>
      </c>
      <c r="O5">
        <f>E5*A5</f>
        <v>2.5062095500000001E-3</v>
      </c>
      <c r="P5">
        <f>-K5-M5-N5-O5</f>
        <v>-4.8422042321353796E-3</v>
      </c>
      <c r="R5" s="2" t="s">
        <v>17</v>
      </c>
      <c r="S5">
        <v>-4.564E-2</v>
      </c>
      <c r="V5">
        <v>-5.9</v>
      </c>
      <c r="W5">
        <f t="shared" ref="W5:W68" si="9">V5*$S$5+$S$4</f>
        <v>-0.21295399999999998</v>
      </c>
      <c r="Y5">
        <v>0.01</v>
      </c>
      <c r="Z5">
        <f t="shared" ref="Z5:Z31" si="10">$AB$4*Y5+$AB$3</f>
        <v>-0.38442999999999999</v>
      </c>
    </row>
    <row r="6" spans="1:29" x14ac:dyDescent="0.3">
      <c r="A6">
        <v>0.29440519999999998</v>
      </c>
      <c r="B6">
        <v>0.86970999999999998</v>
      </c>
      <c r="C6">
        <f t="shared" si="1"/>
        <v>0.256047146492</v>
      </c>
      <c r="D6">
        <v>1.5599999999999999E-2</v>
      </c>
      <c r="E6" s="1">
        <v>1.2999999999999999E-2</v>
      </c>
      <c r="F6">
        <f t="shared" si="2"/>
        <v>58.881039999999999</v>
      </c>
      <c r="G6">
        <f t="shared" si="3"/>
        <v>-0.86970999999999998</v>
      </c>
      <c r="H6">
        <f t="shared" si="4"/>
        <v>-51.209429298399996</v>
      </c>
      <c r="I6">
        <v>1</v>
      </c>
      <c r="J6">
        <f t="shared" si="5"/>
        <v>-2.8322361416740276</v>
      </c>
      <c r="K6">
        <f t="shared" si="6"/>
        <v>-0.35201515177521747</v>
      </c>
      <c r="L6">
        <v>1</v>
      </c>
      <c r="M6">
        <f t="shared" si="7"/>
        <v>0.3529667424939974</v>
      </c>
      <c r="N6">
        <f t="shared" si="8"/>
        <v>4.5927211199999997E-3</v>
      </c>
      <c r="O6">
        <f t="shared" ref="O6:O69" si="11">E6*A6</f>
        <v>3.8272675999999994E-3</v>
      </c>
      <c r="P6">
        <f t="shared" ref="P6:P69" si="12">-K6-M6-N6-O6</f>
        <v>-9.3715794387799253E-3</v>
      </c>
      <c r="V6">
        <v>-5.8</v>
      </c>
      <c r="W6">
        <f t="shared" si="9"/>
        <v>-0.21751799999999999</v>
      </c>
      <c r="Y6">
        <v>0.02</v>
      </c>
      <c r="Z6">
        <f t="shared" si="10"/>
        <v>-0.23965999999999998</v>
      </c>
      <c r="AB6" t="s">
        <v>32</v>
      </c>
    </row>
    <row r="7" spans="1:29" x14ac:dyDescent="0.3">
      <c r="A7">
        <v>0.39602510000000002</v>
      </c>
      <c r="B7">
        <v>0.85572000000000004</v>
      </c>
      <c r="C7">
        <f t="shared" si="1"/>
        <v>0.33888659857200004</v>
      </c>
      <c r="D7">
        <v>1.5599999999999999E-2</v>
      </c>
      <c r="E7" s="1">
        <v>1.2999999999999999E-2</v>
      </c>
      <c r="F7">
        <f t="shared" si="2"/>
        <v>79.205020000000005</v>
      </c>
      <c r="G7">
        <f t="shared" si="3"/>
        <v>-0.85572000000000004</v>
      </c>
      <c r="H7">
        <f t="shared" si="4"/>
        <v>-67.777319714400008</v>
      </c>
      <c r="I7">
        <v>1</v>
      </c>
      <c r="J7">
        <f t="shared" si="5"/>
        <v>-2.5357155983320436</v>
      </c>
      <c r="K7">
        <f t="shared" si="6"/>
        <v>-0.36600515177521742</v>
      </c>
      <c r="L7">
        <v>1</v>
      </c>
      <c r="M7">
        <f t="shared" si="7"/>
        <v>0.3664999400921255</v>
      </c>
      <c r="N7">
        <f t="shared" ref="N7:N70" si="13">D7*A7</f>
        <v>6.1779915600000002E-3</v>
      </c>
      <c r="O7">
        <f t="shared" si="11"/>
        <v>5.1483262999999996E-3</v>
      </c>
      <c r="P7">
        <f t="shared" si="12"/>
        <v>-1.182110617690808E-2</v>
      </c>
      <c r="V7">
        <v>-5.7</v>
      </c>
      <c r="W7">
        <f t="shared" si="9"/>
        <v>-0.222082</v>
      </c>
      <c r="Y7">
        <v>0.03</v>
      </c>
      <c r="Z7">
        <f t="shared" si="10"/>
        <v>-9.489000000000003E-2</v>
      </c>
      <c r="AB7" t="s">
        <v>33</v>
      </c>
      <c r="AC7">
        <f>-AB3/AB4</f>
        <v>3.6554534779305106E-2</v>
      </c>
    </row>
    <row r="8" spans="1:29" x14ac:dyDescent="0.3">
      <c r="A8">
        <v>0.50052779999999997</v>
      </c>
      <c r="B8">
        <v>0.84372000000000003</v>
      </c>
      <c r="C8">
        <f t="shared" si="1"/>
        <v>0.42230531541599997</v>
      </c>
      <c r="D8">
        <v>1.5599999999999999E-2</v>
      </c>
      <c r="E8" s="1">
        <v>1.2999999999999999E-2</v>
      </c>
      <c r="F8">
        <f t="shared" si="2"/>
        <v>100.10556</v>
      </c>
      <c r="G8">
        <f t="shared" si="3"/>
        <v>-0.84372000000000003</v>
      </c>
      <c r="H8">
        <f t="shared" si="4"/>
        <v>-84.461063083199988</v>
      </c>
      <c r="I8">
        <v>1</v>
      </c>
      <c r="J8">
        <f t="shared" si="5"/>
        <v>-2.3015300497479538</v>
      </c>
      <c r="K8">
        <f t="shared" si="6"/>
        <v>-0.37800515177521743</v>
      </c>
      <c r="L8">
        <v>1</v>
      </c>
      <c r="M8">
        <f t="shared" si="7"/>
        <v>0.37718816852950338</v>
      </c>
      <c r="N8">
        <f t="shared" si="13"/>
        <v>7.8082336799999994E-3</v>
      </c>
      <c r="O8">
        <f t="shared" si="11"/>
        <v>6.5068613999999993E-3</v>
      </c>
      <c r="P8">
        <f t="shared" si="12"/>
        <v>-1.3498111834285946E-2</v>
      </c>
      <c r="V8">
        <v>-5.6</v>
      </c>
      <c r="W8">
        <f t="shared" si="9"/>
        <v>-0.22664600000000001</v>
      </c>
      <c r="Y8">
        <v>0.04</v>
      </c>
      <c r="Z8">
        <f t="shared" si="10"/>
        <v>4.9880000000000035E-2</v>
      </c>
    </row>
    <row r="9" spans="1:29" x14ac:dyDescent="0.3">
      <c r="A9">
        <v>0.60070630000000003</v>
      </c>
      <c r="B9">
        <v>0.83311999999999997</v>
      </c>
      <c r="C9">
        <f t="shared" si="1"/>
        <v>0.50046043265600004</v>
      </c>
      <c r="D9">
        <v>1.5599999999999999E-2</v>
      </c>
      <c r="E9" s="1">
        <v>1.2999999999999999E-2</v>
      </c>
      <c r="F9">
        <f t="shared" si="2"/>
        <v>120.14126</v>
      </c>
      <c r="G9">
        <f t="shared" si="3"/>
        <v>-0.83311999999999997</v>
      </c>
      <c r="H9">
        <f t="shared" si="4"/>
        <v>-100.09208653120001</v>
      </c>
      <c r="I9">
        <v>1</v>
      </c>
      <c r="J9">
        <f t="shared" si="5"/>
        <v>-2.1190870618508431</v>
      </c>
      <c r="K9">
        <f t="shared" si="6"/>
        <v>-0.38860515177521748</v>
      </c>
      <c r="L9">
        <v>1</v>
      </c>
      <c r="M9">
        <f t="shared" si="7"/>
        <v>0.38551486649712752</v>
      </c>
      <c r="N9">
        <f t="shared" si="13"/>
        <v>9.3710182800000007E-3</v>
      </c>
      <c r="O9">
        <f t="shared" si="11"/>
        <v>7.8091819E-3</v>
      </c>
      <c r="P9">
        <f t="shared" si="12"/>
        <v>-1.4089914901910035E-2</v>
      </c>
      <c r="V9">
        <v>-5.5</v>
      </c>
      <c r="W9">
        <f t="shared" si="9"/>
        <v>-0.23120999999999997</v>
      </c>
      <c r="Y9">
        <v>0.05</v>
      </c>
      <c r="Z9">
        <f t="shared" si="10"/>
        <v>0.1946500000000001</v>
      </c>
      <c r="AB9" t="s">
        <v>35</v>
      </c>
      <c r="AC9">
        <v>3.2222000000000001E-2</v>
      </c>
    </row>
    <row r="10" spans="1:29" x14ac:dyDescent="0.3">
      <c r="A10">
        <v>0.69800189999999995</v>
      </c>
      <c r="B10">
        <v>0.82340999999999998</v>
      </c>
      <c r="C10">
        <f t="shared" si="1"/>
        <v>0.57474174447899995</v>
      </c>
      <c r="D10">
        <v>1.5599999999999999E-2</v>
      </c>
      <c r="E10" s="1">
        <v>1.2999999999999999E-2</v>
      </c>
      <c r="F10">
        <f t="shared" si="2"/>
        <v>139.60038</v>
      </c>
      <c r="G10">
        <f t="shared" si="3"/>
        <v>-0.82340999999999998</v>
      </c>
      <c r="H10">
        <f t="shared" si="4"/>
        <v>-114.9483488958</v>
      </c>
      <c r="I10">
        <v>1</v>
      </c>
      <c r="J10">
        <f t="shared" si="5"/>
        <v>-1.9689713665945325</v>
      </c>
      <c r="K10">
        <f t="shared" si="6"/>
        <v>-0.39831515177521748</v>
      </c>
      <c r="L10">
        <v>1</v>
      </c>
      <c r="M10">
        <f t="shared" si="7"/>
        <v>0.39236614682862553</v>
      </c>
      <c r="N10">
        <f t="shared" si="13"/>
        <v>1.0888829639999998E-2</v>
      </c>
      <c r="O10">
        <f t="shared" si="11"/>
        <v>9.0740246999999989E-3</v>
      </c>
      <c r="P10">
        <f t="shared" si="12"/>
        <v>-1.4013849393408046E-2</v>
      </c>
      <c r="V10">
        <v>-5.4</v>
      </c>
      <c r="W10">
        <f t="shared" si="9"/>
        <v>-0.23577399999999998</v>
      </c>
      <c r="Y10">
        <v>0.06</v>
      </c>
      <c r="Z10">
        <f t="shared" si="10"/>
        <v>0.33941999999999994</v>
      </c>
    </row>
    <row r="11" spans="1:29" x14ac:dyDescent="0.3">
      <c r="A11">
        <v>0.79890110000000003</v>
      </c>
      <c r="B11">
        <v>0.81444000000000005</v>
      </c>
      <c r="C11">
        <f t="shared" si="1"/>
        <v>0.65065701188400005</v>
      </c>
      <c r="D11">
        <v>1.5599999999999999E-2</v>
      </c>
      <c r="E11" s="1">
        <v>1.2999999999999999E-2</v>
      </c>
      <c r="F11">
        <f t="shared" si="2"/>
        <v>159.78022000000001</v>
      </c>
      <c r="G11">
        <f t="shared" si="3"/>
        <v>-0.81444000000000005</v>
      </c>
      <c r="H11">
        <f t="shared" si="4"/>
        <v>-130.1314023768</v>
      </c>
      <c r="I11">
        <v>1</v>
      </c>
      <c r="J11">
        <f t="shared" si="5"/>
        <v>-1.833956033035961</v>
      </c>
      <c r="K11">
        <f t="shared" si="6"/>
        <v>-0.4072851517752174</v>
      </c>
      <c r="L11">
        <v>1</v>
      </c>
      <c r="M11">
        <f t="shared" si="7"/>
        <v>0.39852824665223874</v>
      </c>
      <c r="N11">
        <f t="shared" si="13"/>
        <v>1.246285716E-2</v>
      </c>
      <c r="O11">
        <f t="shared" si="11"/>
        <v>1.03857143E-2</v>
      </c>
      <c r="P11">
        <f t="shared" si="12"/>
        <v>-1.4091666337021335E-2</v>
      </c>
      <c r="V11">
        <v>-5.3</v>
      </c>
      <c r="W11">
        <f t="shared" si="9"/>
        <v>-0.240338</v>
      </c>
      <c r="Y11">
        <v>7.0000000000000007E-2</v>
      </c>
      <c r="Z11">
        <f t="shared" si="10"/>
        <v>0.48419000000000001</v>
      </c>
      <c r="AB11" t="s">
        <v>34</v>
      </c>
      <c r="AC11">
        <f>AC7-AC9</f>
        <v>4.3325347793051056E-3</v>
      </c>
    </row>
    <row r="12" spans="1:29" x14ac:dyDescent="0.3">
      <c r="A12">
        <v>0.89835880000000001</v>
      </c>
      <c r="B12">
        <v>0.80601</v>
      </c>
      <c r="C12">
        <f t="shared" si="1"/>
        <v>0.72408617638799999</v>
      </c>
      <c r="D12">
        <v>1.5599999999999999E-2</v>
      </c>
      <c r="E12" s="1">
        <v>1.2999999999999999E-2</v>
      </c>
      <c r="F12">
        <f t="shared" si="2"/>
        <v>179.67176000000001</v>
      </c>
      <c r="G12">
        <f t="shared" si="3"/>
        <v>-0.80601</v>
      </c>
      <c r="H12">
        <f t="shared" si="4"/>
        <v>-144.81723527759999</v>
      </c>
      <c r="I12">
        <v>1</v>
      </c>
      <c r="J12">
        <f t="shared" si="5"/>
        <v>-1.7166236483490058</v>
      </c>
      <c r="K12">
        <f t="shared" si="6"/>
        <v>-0.41571515177521745</v>
      </c>
      <c r="L12">
        <v>1</v>
      </c>
      <c r="M12">
        <f t="shared" si="7"/>
        <v>0.40388329668935136</v>
      </c>
      <c r="N12">
        <f t="shared" si="13"/>
        <v>1.401439728E-2</v>
      </c>
      <c r="O12">
        <f t="shared" si="11"/>
        <v>1.16786644E-2</v>
      </c>
      <c r="P12">
        <f t="shared" si="12"/>
        <v>-1.3861206594133906E-2</v>
      </c>
      <c r="V12">
        <v>-5.2</v>
      </c>
      <c r="W12">
        <f t="shared" si="9"/>
        <v>-0.24490199999999998</v>
      </c>
      <c r="Y12">
        <v>0.08</v>
      </c>
      <c r="Z12">
        <f t="shared" si="10"/>
        <v>0.62896000000000007</v>
      </c>
      <c r="AC12">
        <f>AC11*3</f>
        <v>1.2997604337915317E-2</v>
      </c>
    </row>
    <row r="13" spans="1:29" x14ac:dyDescent="0.3">
      <c r="A13">
        <v>0.99925799999999998</v>
      </c>
      <c r="B13">
        <v>0.79801</v>
      </c>
      <c r="C13">
        <f t="shared" si="1"/>
        <v>0.79741787657999996</v>
      </c>
      <c r="D13">
        <v>1.5599999999999999E-2</v>
      </c>
      <c r="E13" s="1">
        <v>1.2999999999999999E-2</v>
      </c>
      <c r="F13">
        <f t="shared" si="2"/>
        <v>199.85159999999999</v>
      </c>
      <c r="G13">
        <f t="shared" si="3"/>
        <v>-0.79801</v>
      </c>
      <c r="H13">
        <f t="shared" si="4"/>
        <v>-159.48357531599999</v>
      </c>
      <c r="I13">
        <v>1</v>
      </c>
      <c r="J13">
        <f t="shared" si="5"/>
        <v>-1.6101801878523492</v>
      </c>
      <c r="K13">
        <f t="shared" si="6"/>
        <v>-0.42371515177521746</v>
      </c>
      <c r="L13">
        <v>1</v>
      </c>
      <c r="M13">
        <f t="shared" si="7"/>
        <v>0.40874137622641876</v>
      </c>
      <c r="N13">
        <f t="shared" si="13"/>
        <v>1.5588424799999999E-2</v>
      </c>
      <c r="O13">
        <f t="shared" si="11"/>
        <v>1.2990353999999999E-2</v>
      </c>
      <c r="P13">
        <f t="shared" si="12"/>
        <v>-1.3605003251201302E-2</v>
      </c>
      <c r="V13">
        <v>-5.0999999999999996</v>
      </c>
      <c r="W13">
        <f t="shared" si="9"/>
        <v>-0.24946600000000002</v>
      </c>
      <c r="Y13">
        <v>0.09</v>
      </c>
      <c r="Z13">
        <f t="shared" si="10"/>
        <v>0.77372999999999992</v>
      </c>
    </row>
    <row r="14" spans="1:29" x14ac:dyDescent="0.3">
      <c r="A14">
        <v>1.1008779</v>
      </c>
      <c r="B14">
        <v>0.79035999999999995</v>
      </c>
      <c r="C14">
        <f t="shared" si="1"/>
        <v>0.87008985704399988</v>
      </c>
      <c r="D14">
        <v>1.5599999999999999E-2</v>
      </c>
      <c r="E14" s="1">
        <v>1.2999999999999999E-2</v>
      </c>
      <c r="F14">
        <f t="shared" si="2"/>
        <v>220.17558</v>
      </c>
      <c r="G14">
        <f t="shared" si="3"/>
        <v>-0.79035999999999995</v>
      </c>
      <c r="H14">
        <f t="shared" si="4"/>
        <v>-174.01797140879998</v>
      </c>
      <c r="I14">
        <v>1</v>
      </c>
      <c r="J14">
        <f t="shared" si="5"/>
        <v>-1.5133299600258878</v>
      </c>
      <c r="K14">
        <f t="shared" si="6"/>
        <v>-0.4313651517752175</v>
      </c>
      <c r="L14">
        <v>1</v>
      </c>
      <c r="M14">
        <f t="shared" si="7"/>
        <v>0.41316162062441847</v>
      </c>
      <c r="N14">
        <f t="shared" si="13"/>
        <v>1.7173695239999998E-2</v>
      </c>
      <c r="O14">
        <f t="shared" si="11"/>
        <v>1.43114127E-2</v>
      </c>
      <c r="P14">
        <f t="shared" si="12"/>
        <v>-1.3281576789200963E-2</v>
      </c>
      <c r="V14">
        <v>-5</v>
      </c>
      <c r="W14">
        <f t="shared" si="9"/>
        <v>-0.25402999999999998</v>
      </c>
      <c r="Y14">
        <v>0.1</v>
      </c>
      <c r="Z14">
        <f t="shared" si="10"/>
        <v>0.91850000000000021</v>
      </c>
    </row>
    <row r="15" spans="1:29" x14ac:dyDescent="0.3">
      <c r="A15">
        <v>1.1974528</v>
      </c>
      <c r="B15">
        <v>0.78293999999999997</v>
      </c>
      <c r="C15">
        <f t="shared" si="1"/>
        <v>0.93753369523199992</v>
      </c>
      <c r="D15">
        <v>1.5599999999999999E-2</v>
      </c>
      <c r="E15" s="1">
        <v>1.2999999999999999E-2</v>
      </c>
      <c r="F15">
        <f t="shared" si="2"/>
        <v>239.49055999999999</v>
      </c>
      <c r="G15">
        <f t="shared" si="3"/>
        <v>-0.78293999999999997</v>
      </c>
      <c r="H15">
        <f t="shared" si="4"/>
        <v>-187.50673904639999</v>
      </c>
      <c r="I15">
        <v>1</v>
      </c>
      <c r="J15">
        <f t="shared" si="5"/>
        <v>-1.4292412783568282</v>
      </c>
      <c r="K15">
        <f t="shared" si="6"/>
        <v>-0.43878515177521749</v>
      </c>
      <c r="L15">
        <v>1</v>
      </c>
      <c r="M15">
        <f t="shared" si="7"/>
        <v>0.41699942805579437</v>
      </c>
      <c r="N15">
        <f t="shared" si="13"/>
        <v>1.868026368E-2</v>
      </c>
      <c r="O15">
        <f t="shared" si="11"/>
        <v>1.5566886399999999E-2</v>
      </c>
      <c r="P15">
        <f t="shared" si="12"/>
        <v>-1.2461426360576887E-2</v>
      </c>
      <c r="V15">
        <v>-4.9000000000000004</v>
      </c>
      <c r="W15">
        <f t="shared" si="9"/>
        <v>-0.25859399999999999</v>
      </c>
      <c r="Y15">
        <v>0.11</v>
      </c>
      <c r="Z15">
        <f t="shared" si="10"/>
        <v>1.0632700000000002</v>
      </c>
    </row>
    <row r="16" spans="1:29" x14ac:dyDescent="0.3">
      <c r="A16">
        <v>1.29763125</v>
      </c>
      <c r="B16">
        <v>0.77575000000000005</v>
      </c>
      <c r="C16">
        <f t="shared" si="1"/>
        <v>1.0066374421875002</v>
      </c>
      <c r="D16">
        <v>1.5599999999999999E-2</v>
      </c>
      <c r="E16" s="1">
        <v>1.2999999999999999E-2</v>
      </c>
      <c r="F16">
        <f t="shared" si="2"/>
        <v>259.52625</v>
      </c>
      <c r="G16">
        <f t="shared" si="3"/>
        <v>-0.77575000000000005</v>
      </c>
      <c r="H16">
        <f t="shared" si="4"/>
        <v>-201.32748843750002</v>
      </c>
      <c r="I16">
        <v>1</v>
      </c>
      <c r="J16">
        <f t="shared" si="5"/>
        <v>-1.3488974254227597</v>
      </c>
      <c r="K16">
        <f t="shared" si="6"/>
        <v>-0.4459751517752174</v>
      </c>
      <c r="L16">
        <v>1</v>
      </c>
      <c r="M16">
        <f t="shared" si="7"/>
        <v>0.42066632150370525</v>
      </c>
      <c r="N16">
        <f t="shared" si="13"/>
        <v>2.02430475E-2</v>
      </c>
      <c r="O16">
        <f t="shared" si="11"/>
        <v>1.6869206250000001E-2</v>
      </c>
      <c r="P16">
        <f t="shared" si="12"/>
        <v>-1.180342347848785E-2</v>
      </c>
      <c r="V16">
        <v>-4.8</v>
      </c>
      <c r="W16">
        <f t="shared" si="9"/>
        <v>-0.263158</v>
      </c>
      <c r="Y16">
        <v>0.12</v>
      </c>
      <c r="Z16">
        <f t="shared" si="10"/>
        <v>1.20804</v>
      </c>
    </row>
    <row r="17" spans="1:26" x14ac:dyDescent="0.3">
      <c r="A17">
        <v>1.39348545</v>
      </c>
      <c r="B17">
        <v>0.76871</v>
      </c>
      <c r="C17">
        <f t="shared" si="1"/>
        <v>1.0711862002695001</v>
      </c>
      <c r="D17">
        <v>1.5599999999999999E-2</v>
      </c>
      <c r="E17" s="1">
        <v>1.2999999999999999E-2</v>
      </c>
      <c r="F17">
        <f t="shared" si="2"/>
        <v>278.69709</v>
      </c>
      <c r="G17">
        <f t="shared" si="3"/>
        <v>-0.76871</v>
      </c>
      <c r="H17">
        <f t="shared" si="4"/>
        <v>-214.23724005390002</v>
      </c>
      <c r="I17">
        <v>1</v>
      </c>
      <c r="J17">
        <f t="shared" si="5"/>
        <v>-1.2776297858835144</v>
      </c>
      <c r="K17">
        <f t="shared" si="6"/>
        <v>-0.45301515177521745</v>
      </c>
      <c r="L17">
        <v>1</v>
      </c>
      <c r="M17">
        <f t="shared" si="7"/>
        <v>0.4239189765722764</v>
      </c>
      <c r="N17">
        <f t="shared" si="13"/>
        <v>2.173837302E-2</v>
      </c>
      <c r="O17">
        <f t="shared" si="11"/>
        <v>1.811531085E-2</v>
      </c>
      <c r="P17">
        <f t="shared" si="12"/>
        <v>-1.0757508667058945E-2</v>
      </c>
      <c r="V17">
        <v>-4.7</v>
      </c>
      <c r="W17">
        <f t="shared" si="9"/>
        <v>-0.26772200000000002</v>
      </c>
      <c r="Y17">
        <v>0.13</v>
      </c>
      <c r="Z17">
        <f t="shared" si="10"/>
        <v>1.3528100000000003</v>
      </c>
    </row>
    <row r="18" spans="1:26" x14ac:dyDescent="0.3">
      <c r="A18">
        <v>1.4922225499999999</v>
      </c>
      <c r="B18">
        <v>0.76185999999999998</v>
      </c>
      <c r="C18">
        <f t="shared" si="1"/>
        <v>1.136864671943</v>
      </c>
      <c r="D18">
        <v>1.5599999999999999E-2</v>
      </c>
      <c r="E18" s="1">
        <v>1.2999999999999999E-2</v>
      </c>
      <c r="F18">
        <f t="shared" si="2"/>
        <v>298.44450999999998</v>
      </c>
      <c r="G18">
        <f t="shared" si="3"/>
        <v>-0.76185999999999998</v>
      </c>
      <c r="H18">
        <f t="shared" si="4"/>
        <v>-227.37293438860002</v>
      </c>
      <c r="I18">
        <v>1</v>
      </c>
      <c r="J18">
        <f t="shared" si="5"/>
        <v>-1.2091712595777144</v>
      </c>
      <c r="K18">
        <f t="shared" si="6"/>
        <v>-0.45986515177521747</v>
      </c>
      <c r="L18">
        <v>1</v>
      </c>
      <c r="M18">
        <f t="shared" si="7"/>
        <v>0.42704342371287313</v>
      </c>
      <c r="N18">
        <f t="shared" si="13"/>
        <v>2.3278671779999999E-2</v>
      </c>
      <c r="O18">
        <f t="shared" si="11"/>
        <v>1.9398893149999999E-2</v>
      </c>
      <c r="P18">
        <f t="shared" si="12"/>
        <v>-9.855836867655652E-3</v>
      </c>
      <c r="V18">
        <v>-4.5999999999999996</v>
      </c>
      <c r="W18">
        <f t="shared" si="9"/>
        <v>-0.27228600000000003</v>
      </c>
      <c r="Y18">
        <v>0.14000000000000001</v>
      </c>
      <c r="Z18">
        <f t="shared" si="10"/>
        <v>1.4975800000000001</v>
      </c>
    </row>
    <row r="19" spans="1:26" x14ac:dyDescent="0.3">
      <c r="A19">
        <v>1.5924010500000001</v>
      </c>
      <c r="B19">
        <v>0.75505999999999995</v>
      </c>
      <c r="C19">
        <f t="shared" si="1"/>
        <v>1.202358336813</v>
      </c>
      <c r="D19">
        <v>1.5599999999999999E-2</v>
      </c>
      <c r="E19" s="1">
        <v>1.2999999999999999E-2</v>
      </c>
      <c r="F19">
        <f t="shared" si="2"/>
        <v>318.48021</v>
      </c>
      <c r="G19">
        <f t="shared" si="3"/>
        <v>-0.75505999999999995</v>
      </c>
      <c r="H19">
        <f t="shared" si="4"/>
        <v>-240.47166736259999</v>
      </c>
      <c r="I19">
        <v>1</v>
      </c>
      <c r="J19">
        <f t="shared" si="5"/>
        <v>-1.1441949409082279</v>
      </c>
      <c r="K19">
        <f t="shared" si="6"/>
        <v>-0.4666651517752175</v>
      </c>
      <c r="L19">
        <v>1</v>
      </c>
      <c r="M19">
        <f t="shared" si="7"/>
        <v>0.43000894289694847</v>
      </c>
      <c r="N19">
        <f t="shared" si="13"/>
        <v>2.4841456380000002E-2</v>
      </c>
      <c r="O19">
        <f t="shared" si="11"/>
        <v>2.0701213650000001E-2</v>
      </c>
      <c r="P19">
        <f t="shared" si="12"/>
        <v>-8.8864611517309663E-3</v>
      </c>
      <c r="V19">
        <v>-4.5000000000000098</v>
      </c>
      <c r="W19">
        <f t="shared" si="9"/>
        <v>-0.27684999999999954</v>
      </c>
      <c r="Y19">
        <v>0.15</v>
      </c>
      <c r="Z19">
        <f t="shared" si="10"/>
        <v>1.64235</v>
      </c>
    </row>
    <row r="20" spans="1:26" x14ac:dyDescent="0.3">
      <c r="A20">
        <v>1.69402085</v>
      </c>
      <c r="B20">
        <v>0.74843000000000004</v>
      </c>
      <c r="C20">
        <f t="shared" si="1"/>
        <v>1.2678560247655002</v>
      </c>
      <c r="D20">
        <v>1.5599999999999999E-2</v>
      </c>
      <c r="E20" s="1">
        <v>1.2999999999999999E-2</v>
      </c>
      <c r="F20">
        <f t="shared" si="2"/>
        <v>338.80417</v>
      </c>
      <c r="G20">
        <f t="shared" si="3"/>
        <v>-0.74843000000000004</v>
      </c>
      <c r="H20">
        <f t="shared" si="4"/>
        <v>-253.57120495310005</v>
      </c>
      <c r="I20">
        <v>1</v>
      </c>
      <c r="J20">
        <f t="shared" si="5"/>
        <v>-1.0823330081335831</v>
      </c>
      <c r="K20">
        <f t="shared" si="6"/>
        <v>-0.47329515177521742</v>
      </c>
      <c r="L20">
        <v>1</v>
      </c>
      <c r="M20">
        <f t="shared" si="7"/>
        <v>0.43283232150878326</v>
      </c>
      <c r="N20">
        <f t="shared" si="13"/>
        <v>2.6426725259999999E-2</v>
      </c>
      <c r="O20">
        <f t="shared" si="11"/>
        <v>2.202227105E-2</v>
      </c>
      <c r="P20">
        <f t="shared" si="12"/>
        <v>-7.9861660435658413E-3</v>
      </c>
      <c r="V20">
        <v>-4.4000000000000101</v>
      </c>
      <c r="W20">
        <f t="shared" si="9"/>
        <v>-0.2814139999999995</v>
      </c>
      <c r="Y20">
        <v>0.16</v>
      </c>
      <c r="Z20">
        <f t="shared" si="10"/>
        <v>1.7871200000000003</v>
      </c>
    </row>
    <row r="21" spans="1:26" x14ac:dyDescent="0.3">
      <c r="A21">
        <v>1.7927578500000001</v>
      </c>
      <c r="B21">
        <v>0.74185000000000001</v>
      </c>
      <c r="C21">
        <f t="shared" si="1"/>
        <v>1.3299574110225001</v>
      </c>
      <c r="D21">
        <v>1.5599999999999999E-2</v>
      </c>
      <c r="E21" s="1">
        <v>1.2999999999999999E-2</v>
      </c>
      <c r="F21">
        <f t="shared" si="2"/>
        <v>358.55157000000003</v>
      </c>
      <c r="G21">
        <f t="shared" si="3"/>
        <v>-0.74185000000000001</v>
      </c>
      <c r="H21">
        <f t="shared" si="4"/>
        <v>-265.99148220450002</v>
      </c>
      <c r="I21">
        <v>1</v>
      </c>
      <c r="J21">
        <f t="shared" si="5"/>
        <v>-1.0256827799154058</v>
      </c>
      <c r="K21">
        <f t="shared" si="6"/>
        <v>-0.47987515177521745</v>
      </c>
      <c r="L21">
        <v>1</v>
      </c>
      <c r="M21">
        <f t="shared" si="7"/>
        <v>0.43541783792466088</v>
      </c>
      <c r="N21">
        <f t="shared" si="13"/>
        <v>2.7967022460000001E-2</v>
      </c>
      <c r="O21">
        <f t="shared" si="11"/>
        <v>2.3305852049999999E-2</v>
      </c>
      <c r="P21">
        <f t="shared" si="12"/>
        <v>-6.8155606594434322E-3</v>
      </c>
      <c r="V21">
        <v>-4.3000000000000096</v>
      </c>
      <c r="W21">
        <f t="shared" si="9"/>
        <v>-0.28597799999999957</v>
      </c>
      <c r="Y21">
        <v>0.17</v>
      </c>
      <c r="Z21">
        <f t="shared" si="10"/>
        <v>1.9318900000000006</v>
      </c>
    </row>
    <row r="22" spans="1:26" x14ac:dyDescent="0.3">
      <c r="A22">
        <v>1.8936571</v>
      </c>
      <c r="B22">
        <v>0.73533000000000004</v>
      </c>
      <c r="C22">
        <f t="shared" si="1"/>
        <v>1.392462875343</v>
      </c>
      <c r="D22">
        <v>1.5599999999999999E-2</v>
      </c>
      <c r="E22" s="1">
        <v>1.2999999999999999E-2</v>
      </c>
      <c r="F22">
        <f t="shared" si="2"/>
        <v>378.73142000000001</v>
      </c>
      <c r="G22">
        <f t="shared" si="3"/>
        <v>-0.73533000000000004</v>
      </c>
      <c r="H22">
        <f t="shared" si="4"/>
        <v>-278.49257506859999</v>
      </c>
      <c r="I22">
        <v>1</v>
      </c>
      <c r="J22">
        <f t="shared" si="5"/>
        <v>-0.97092797946745868</v>
      </c>
      <c r="K22">
        <f t="shared" si="6"/>
        <v>-0.48639515177521742</v>
      </c>
      <c r="L22">
        <v>1</v>
      </c>
      <c r="M22">
        <f t="shared" si="7"/>
        <v>0.4379168470171052</v>
      </c>
      <c r="N22">
        <f t="shared" si="13"/>
        <v>2.954105076E-2</v>
      </c>
      <c r="O22">
        <f t="shared" si="11"/>
        <v>2.46175423E-2</v>
      </c>
      <c r="P22">
        <f t="shared" si="12"/>
        <v>-5.6802883018877877E-3</v>
      </c>
      <c r="V22">
        <v>-4.2000000000000099</v>
      </c>
      <c r="W22">
        <f t="shared" si="9"/>
        <v>-0.29054199999999952</v>
      </c>
      <c r="Y22">
        <v>0.18</v>
      </c>
      <c r="Z22">
        <f t="shared" si="10"/>
        <v>2.07666</v>
      </c>
    </row>
    <row r="23" spans="1:26" x14ac:dyDescent="0.3">
      <c r="A23">
        <v>1.9945562000000001</v>
      </c>
      <c r="B23">
        <v>0.72889999999999999</v>
      </c>
      <c r="C23">
        <f t="shared" si="1"/>
        <v>1.4538320141800001</v>
      </c>
      <c r="D23">
        <v>1.5599999999999999E-2</v>
      </c>
      <c r="E23" s="1">
        <v>1.2999999999999999E-2</v>
      </c>
      <c r="F23">
        <f t="shared" si="2"/>
        <v>398.91124000000002</v>
      </c>
      <c r="G23">
        <f t="shared" si="3"/>
        <v>-0.72889999999999999</v>
      </c>
      <c r="H23">
        <f t="shared" si="4"/>
        <v>-290.766402836</v>
      </c>
      <c r="I23">
        <v>1</v>
      </c>
      <c r="J23">
        <f t="shared" si="5"/>
        <v>-0.91901634297966184</v>
      </c>
      <c r="K23">
        <f t="shared" si="6"/>
        <v>-0.49282515177521746</v>
      </c>
      <c r="L23">
        <v>1</v>
      </c>
      <c r="M23">
        <f t="shared" si="7"/>
        <v>0.44028609410640823</v>
      </c>
      <c r="N23">
        <f t="shared" si="13"/>
        <v>3.1115076719999999E-2</v>
      </c>
      <c r="O23">
        <f t="shared" si="11"/>
        <v>2.5929230599999999E-2</v>
      </c>
      <c r="P23">
        <f t="shared" si="12"/>
        <v>-4.5052496511907673E-3</v>
      </c>
      <c r="V23">
        <v>-4.1000000000000103</v>
      </c>
      <c r="W23">
        <f t="shared" si="9"/>
        <v>-0.29510599999999954</v>
      </c>
      <c r="Y23">
        <v>0.19</v>
      </c>
      <c r="Z23">
        <f t="shared" si="10"/>
        <v>2.2214300000000002</v>
      </c>
    </row>
    <row r="24" spans="1:26" x14ac:dyDescent="0.3">
      <c r="A24">
        <v>2.0961761499999998</v>
      </c>
      <c r="B24">
        <v>0.72255000000000003</v>
      </c>
      <c r="C24">
        <f t="shared" si="1"/>
        <v>1.5145920771824999</v>
      </c>
      <c r="D24">
        <v>1.5599999999999999E-2</v>
      </c>
      <c r="E24" s="1">
        <v>1.2999999999999999E-2</v>
      </c>
      <c r="F24">
        <f t="shared" si="2"/>
        <v>419.23522999999994</v>
      </c>
      <c r="G24">
        <f t="shared" si="3"/>
        <v>-0.72255000000000003</v>
      </c>
      <c r="H24">
        <f t="shared" si="4"/>
        <v>-302.91841543649997</v>
      </c>
      <c r="I24">
        <v>1</v>
      </c>
      <c r="J24">
        <f t="shared" si="5"/>
        <v>-0.8693231084760199</v>
      </c>
      <c r="K24">
        <f t="shared" si="6"/>
        <v>-0.49917515177521743</v>
      </c>
      <c r="L24">
        <v>1</v>
      </c>
      <c r="M24">
        <f t="shared" si="7"/>
        <v>0.44255409332915446</v>
      </c>
      <c r="N24">
        <f t="shared" si="13"/>
        <v>3.2700347939999992E-2</v>
      </c>
      <c r="O24">
        <f t="shared" si="11"/>
        <v>2.7250289949999996E-2</v>
      </c>
      <c r="P24">
        <f t="shared" si="12"/>
        <v>-3.3295794439370217E-3</v>
      </c>
      <c r="V24">
        <v>-4.0000000000000098</v>
      </c>
      <c r="W24">
        <f t="shared" si="9"/>
        <v>-0.29966999999999955</v>
      </c>
      <c r="Y24">
        <v>0.2</v>
      </c>
      <c r="Z24">
        <f t="shared" si="10"/>
        <v>2.3662000000000005</v>
      </c>
    </row>
    <row r="25" spans="1:26" x14ac:dyDescent="0.3">
      <c r="A25">
        <v>2.1920304499999999</v>
      </c>
      <c r="B25">
        <v>0.71616999999999997</v>
      </c>
      <c r="C25">
        <f t="shared" si="1"/>
        <v>1.5698664473764998</v>
      </c>
      <c r="D25">
        <v>1.5599999999999999E-2</v>
      </c>
      <c r="E25" s="1">
        <v>1.2999999999999999E-2</v>
      </c>
      <c r="F25">
        <f t="shared" si="2"/>
        <v>438.40608999999995</v>
      </c>
      <c r="G25">
        <f t="shared" si="3"/>
        <v>-0.71616999999999997</v>
      </c>
      <c r="H25">
        <f t="shared" si="4"/>
        <v>-313.97328947529996</v>
      </c>
      <c r="I25">
        <v>1</v>
      </c>
      <c r="J25">
        <f t="shared" si="5"/>
        <v>-0.82460965202145864</v>
      </c>
      <c r="K25">
        <f t="shared" si="6"/>
        <v>-0.50555515177521748</v>
      </c>
      <c r="L25">
        <v>1</v>
      </c>
      <c r="M25">
        <f t="shared" si="7"/>
        <v>0.44459481548174062</v>
      </c>
      <c r="N25">
        <f t="shared" si="13"/>
        <v>3.4195675019999996E-2</v>
      </c>
      <c r="O25">
        <f t="shared" si="11"/>
        <v>2.8496395849999998E-2</v>
      </c>
      <c r="P25">
        <f t="shared" si="12"/>
        <v>-1.7317345765231369E-3</v>
      </c>
      <c r="V25">
        <v>-3.9000000000000101</v>
      </c>
      <c r="W25">
        <f t="shared" si="9"/>
        <v>-0.30423399999999956</v>
      </c>
      <c r="Y25">
        <v>0.21</v>
      </c>
      <c r="Z25">
        <f t="shared" si="10"/>
        <v>2.5109699999999999</v>
      </c>
    </row>
    <row r="26" spans="1:26" x14ac:dyDescent="0.3">
      <c r="A26">
        <v>2.2922088999999999</v>
      </c>
      <c r="B26">
        <v>0.70994000000000002</v>
      </c>
      <c r="C26">
        <f t="shared" si="1"/>
        <v>1.627330786466</v>
      </c>
      <c r="D26">
        <v>1.5599999999999999E-2</v>
      </c>
      <c r="E26" s="1">
        <v>1.2999999999999999E-2</v>
      </c>
      <c r="F26">
        <f t="shared" si="2"/>
        <v>458.44177999999999</v>
      </c>
      <c r="G26">
        <f t="shared" si="3"/>
        <v>-0.70994000000000002</v>
      </c>
      <c r="H26">
        <f t="shared" si="4"/>
        <v>-325.46615729320001</v>
      </c>
      <c r="I26">
        <v>1</v>
      </c>
      <c r="J26">
        <f t="shared" si="5"/>
        <v>-0.77992197462843049</v>
      </c>
      <c r="K26">
        <f t="shared" si="6"/>
        <v>-0.51178515177521744</v>
      </c>
      <c r="L26">
        <v>1</v>
      </c>
      <c r="M26">
        <f t="shared" si="7"/>
        <v>0.4466343610779584</v>
      </c>
      <c r="N26">
        <f t="shared" si="13"/>
        <v>3.5758458839999993E-2</v>
      </c>
      <c r="O26">
        <f t="shared" si="11"/>
        <v>2.9798715699999995E-2</v>
      </c>
      <c r="P26">
        <f t="shared" si="12"/>
        <v>-4.0638384274094622E-4</v>
      </c>
      <c r="V26">
        <v>-3.80000000000001</v>
      </c>
      <c r="W26">
        <f t="shared" si="9"/>
        <v>-0.30879799999999957</v>
      </c>
      <c r="Y26">
        <v>0.22</v>
      </c>
      <c r="Z26">
        <f t="shared" si="10"/>
        <v>2.6557400000000002</v>
      </c>
    </row>
    <row r="27" spans="1:26" x14ac:dyDescent="0.3">
      <c r="A27">
        <v>2.3923871500000002</v>
      </c>
      <c r="B27">
        <v>0.70370999999999995</v>
      </c>
      <c r="C27">
        <f t="shared" si="1"/>
        <v>1.6835467613265001</v>
      </c>
      <c r="D27">
        <v>1.5599999999999999E-2</v>
      </c>
      <c r="E27" s="1">
        <v>1.2999999999999999E-2</v>
      </c>
      <c r="F27">
        <f t="shared" si="2"/>
        <v>478.47743000000003</v>
      </c>
      <c r="G27">
        <f t="shared" si="3"/>
        <v>-0.70370999999999995</v>
      </c>
      <c r="H27">
        <f t="shared" si="4"/>
        <v>-336.70935226530003</v>
      </c>
      <c r="I27">
        <v>1</v>
      </c>
      <c r="J27">
        <f t="shared" si="5"/>
        <v>-0.73714623743564889</v>
      </c>
      <c r="K27">
        <f t="shared" si="6"/>
        <v>-0.51801515177521751</v>
      </c>
      <c r="L27">
        <v>1</v>
      </c>
      <c r="M27">
        <f t="shared" si="7"/>
        <v>0.44858664572343698</v>
      </c>
      <c r="N27">
        <f t="shared" si="13"/>
        <v>3.7321239540000002E-2</v>
      </c>
      <c r="O27">
        <f t="shared" si="11"/>
        <v>3.1101032950000003E-2</v>
      </c>
      <c r="P27">
        <f t="shared" si="12"/>
        <v>1.0062335617805201E-3</v>
      </c>
      <c r="V27">
        <v>-3.7000000000000099</v>
      </c>
      <c r="W27">
        <f t="shared" si="9"/>
        <v>-0.31336199999999953</v>
      </c>
      <c r="Y27">
        <v>0.23</v>
      </c>
      <c r="Z27">
        <f t="shared" si="10"/>
        <v>2.8005100000000005</v>
      </c>
    </row>
    <row r="28" spans="1:26" x14ac:dyDescent="0.3">
      <c r="A28">
        <v>2.49256565</v>
      </c>
      <c r="B28">
        <v>0.69764000000000004</v>
      </c>
      <c r="C28">
        <f t="shared" si="1"/>
        <v>1.7389135000660001</v>
      </c>
      <c r="D28">
        <v>1.5599999999999999E-2</v>
      </c>
      <c r="E28" s="1">
        <v>1.2999999999999999E-2</v>
      </c>
      <c r="F28">
        <f t="shared" si="2"/>
        <v>498.51312999999999</v>
      </c>
      <c r="G28">
        <f t="shared" si="3"/>
        <v>-0.69764000000000004</v>
      </c>
      <c r="H28">
        <f t="shared" si="4"/>
        <v>-347.78270001320004</v>
      </c>
      <c r="I28">
        <v>1</v>
      </c>
      <c r="J28">
        <f t="shared" si="5"/>
        <v>-0.69612535091005878</v>
      </c>
      <c r="K28">
        <f t="shared" si="6"/>
        <v>-0.52408515177521742</v>
      </c>
      <c r="L28">
        <v>1</v>
      </c>
      <c r="M28">
        <f t="shared" si="7"/>
        <v>0.45045883898446493</v>
      </c>
      <c r="N28">
        <f t="shared" si="13"/>
        <v>3.8884024140000001E-2</v>
      </c>
      <c r="O28">
        <f t="shared" si="11"/>
        <v>3.2403353449999998E-2</v>
      </c>
      <c r="P28">
        <f t="shared" si="12"/>
        <v>2.3389352007524913E-3</v>
      </c>
      <c r="V28">
        <v>-3.6000000000000099</v>
      </c>
      <c r="W28">
        <f t="shared" si="9"/>
        <v>-0.31792599999999954</v>
      </c>
      <c r="Y28">
        <v>0.24</v>
      </c>
      <c r="Z28">
        <f t="shared" si="10"/>
        <v>2.9452799999999999</v>
      </c>
    </row>
    <row r="29" spans="1:26" x14ac:dyDescent="0.3">
      <c r="A29">
        <v>2.5927441</v>
      </c>
      <c r="B29">
        <v>0.69152999999999998</v>
      </c>
      <c r="C29">
        <f t="shared" si="1"/>
        <v>1.7929603274729999</v>
      </c>
      <c r="D29">
        <v>1.5599999999999999E-2</v>
      </c>
      <c r="E29" s="1">
        <v>1.2999999999999999E-2</v>
      </c>
      <c r="F29">
        <f t="shared" si="2"/>
        <v>518.54881999999998</v>
      </c>
      <c r="G29">
        <f t="shared" si="3"/>
        <v>-0.69152999999999998</v>
      </c>
      <c r="H29">
        <f t="shared" si="4"/>
        <v>-358.59206549459998</v>
      </c>
      <c r="I29">
        <v>1</v>
      </c>
      <c r="J29">
        <f t="shared" si="5"/>
        <v>-0.6567210995251086</v>
      </c>
      <c r="K29">
        <f t="shared" si="6"/>
        <v>-0.53019515177521748</v>
      </c>
      <c r="L29">
        <v>1</v>
      </c>
      <c r="M29">
        <f t="shared" si="7"/>
        <v>0.45225724901767406</v>
      </c>
      <c r="N29">
        <f t="shared" si="13"/>
        <v>4.0446807959999997E-2</v>
      </c>
      <c r="O29">
        <f t="shared" si="11"/>
        <v>3.3705673299999996E-2</v>
      </c>
      <c r="P29">
        <f t="shared" si="12"/>
        <v>3.7854214975434272E-3</v>
      </c>
      <c r="V29">
        <v>-3.5000000000000102</v>
      </c>
      <c r="W29">
        <f t="shared" si="9"/>
        <v>-0.3224899999999995</v>
      </c>
      <c r="Y29">
        <v>0.25</v>
      </c>
      <c r="Z29">
        <f t="shared" si="10"/>
        <v>3.0900500000000002</v>
      </c>
    </row>
    <row r="30" spans="1:26" x14ac:dyDescent="0.3">
      <c r="A30">
        <v>2.6914810999999998</v>
      </c>
      <c r="B30">
        <v>0.68550999999999995</v>
      </c>
      <c r="C30">
        <f t="shared" si="1"/>
        <v>1.8450372088609999</v>
      </c>
      <c r="D30">
        <v>1.5599999999999999E-2</v>
      </c>
      <c r="E30" s="1">
        <v>1.2999999999999999E-2</v>
      </c>
      <c r="F30">
        <f t="shared" si="2"/>
        <v>538.29621999999995</v>
      </c>
      <c r="G30">
        <f t="shared" si="3"/>
        <v>-0.68550999999999995</v>
      </c>
      <c r="H30">
        <f t="shared" si="4"/>
        <v>-369.00744177219997</v>
      </c>
      <c r="I30">
        <v>1</v>
      </c>
      <c r="J30">
        <f t="shared" si="5"/>
        <v>-0.61934627554651256</v>
      </c>
      <c r="K30">
        <f t="shared" si="6"/>
        <v>-0.5362151517752175</v>
      </c>
      <c r="L30">
        <v>1</v>
      </c>
      <c r="M30">
        <f t="shared" si="7"/>
        <v>0.45396303598405718</v>
      </c>
      <c r="N30">
        <f t="shared" si="13"/>
        <v>4.1987105159999996E-2</v>
      </c>
      <c r="O30">
        <f t="shared" si="11"/>
        <v>3.4989254299999994E-2</v>
      </c>
      <c r="P30">
        <f t="shared" si="12"/>
        <v>5.2757563311603278E-3</v>
      </c>
      <c r="V30">
        <v>-3.4000000000000101</v>
      </c>
      <c r="W30">
        <f t="shared" si="9"/>
        <v>-0.32705399999999951</v>
      </c>
      <c r="Y30">
        <v>0.26</v>
      </c>
      <c r="Z30">
        <f t="shared" si="10"/>
        <v>3.2348200000000005</v>
      </c>
    </row>
    <row r="31" spans="1:26" x14ac:dyDescent="0.3">
      <c r="A31">
        <v>2.79021835</v>
      </c>
      <c r="B31">
        <v>0.67957999999999996</v>
      </c>
      <c r="C31">
        <f t="shared" si="1"/>
        <v>1.8961765862929998</v>
      </c>
      <c r="D31">
        <v>1.5599999999999999E-2</v>
      </c>
      <c r="E31" s="1">
        <v>1.2999999999999999E-2</v>
      </c>
      <c r="F31">
        <f t="shared" si="2"/>
        <v>558.04367000000002</v>
      </c>
      <c r="G31">
        <f t="shared" si="3"/>
        <v>-0.67957999999999996</v>
      </c>
      <c r="H31">
        <f t="shared" si="4"/>
        <v>-379.23531725859993</v>
      </c>
      <c r="I31">
        <v>1</v>
      </c>
      <c r="J31">
        <f t="shared" si="5"/>
        <v>-0.58331805801436365</v>
      </c>
      <c r="K31">
        <f t="shared" si="6"/>
        <v>-0.54214515177521749</v>
      </c>
      <c r="L31">
        <v>1</v>
      </c>
      <c r="M31">
        <f t="shared" si="7"/>
        <v>0.45560736383222444</v>
      </c>
      <c r="N31">
        <f t="shared" si="13"/>
        <v>4.3527406259999998E-2</v>
      </c>
      <c r="O31">
        <f t="shared" si="11"/>
        <v>3.6272838549999999E-2</v>
      </c>
      <c r="P31">
        <f t="shared" si="12"/>
        <v>6.7375431329930527E-3</v>
      </c>
      <c r="V31">
        <v>-3.30000000000001</v>
      </c>
      <c r="W31">
        <f t="shared" si="9"/>
        <v>-0.33161799999999952</v>
      </c>
      <c r="Y31">
        <v>0.27</v>
      </c>
      <c r="Z31">
        <f t="shared" si="10"/>
        <v>3.3795900000000003</v>
      </c>
    </row>
    <row r="32" spans="1:26" x14ac:dyDescent="0.3">
      <c r="A32">
        <v>2.8896761</v>
      </c>
      <c r="B32">
        <v>0.67364999999999997</v>
      </c>
      <c r="C32">
        <f t="shared" si="1"/>
        <v>1.946630304765</v>
      </c>
      <c r="D32">
        <v>1.5599999999999999E-2</v>
      </c>
      <c r="E32" s="1">
        <v>1.2999999999999999E-2</v>
      </c>
      <c r="F32">
        <f t="shared" si="2"/>
        <v>577.93521999999996</v>
      </c>
      <c r="G32">
        <f t="shared" si="3"/>
        <v>-0.67364999999999997</v>
      </c>
      <c r="H32">
        <f t="shared" si="4"/>
        <v>-389.32606095300002</v>
      </c>
      <c r="I32">
        <v>1</v>
      </c>
      <c r="J32">
        <f t="shared" si="5"/>
        <v>-0.54829349271532524</v>
      </c>
      <c r="K32">
        <f t="shared" si="6"/>
        <v>-0.54807515177521748</v>
      </c>
      <c r="L32">
        <v>1</v>
      </c>
      <c r="M32">
        <f t="shared" si="7"/>
        <v>0.45720588499247256</v>
      </c>
      <c r="N32">
        <f t="shared" si="13"/>
        <v>4.5078947160000001E-2</v>
      </c>
      <c r="O32">
        <f t="shared" si="11"/>
        <v>3.7565789299999999E-2</v>
      </c>
      <c r="P32">
        <f t="shared" si="12"/>
        <v>8.2245303227449287E-3</v>
      </c>
      <c r="V32">
        <v>-3.2000000000000099</v>
      </c>
      <c r="W32">
        <f t="shared" si="9"/>
        <v>-0.33618199999999954</v>
      </c>
    </row>
    <row r="33" spans="1:23" x14ac:dyDescent="0.3">
      <c r="A33">
        <v>2.9905752999999997</v>
      </c>
      <c r="B33">
        <v>0.66783000000000003</v>
      </c>
      <c r="C33">
        <f t="shared" si="1"/>
        <v>1.9971959025989998</v>
      </c>
      <c r="D33">
        <v>1.5599999999999999E-2</v>
      </c>
      <c r="E33" s="1">
        <v>1.2999999999999999E-2</v>
      </c>
      <c r="F33">
        <f t="shared" si="2"/>
        <v>598.11505999999997</v>
      </c>
      <c r="G33">
        <f t="shared" si="3"/>
        <v>-0.66783000000000003</v>
      </c>
      <c r="H33">
        <f t="shared" si="4"/>
        <v>-399.43918051979995</v>
      </c>
      <c r="I33">
        <v>1</v>
      </c>
      <c r="J33">
        <f t="shared" si="5"/>
        <v>-0.51397213551279997</v>
      </c>
      <c r="K33">
        <f t="shared" si="6"/>
        <v>-0.55389515177521742</v>
      </c>
      <c r="L33">
        <v>1</v>
      </c>
      <c r="M33">
        <f t="shared" si="7"/>
        <v>0.45877231173519578</v>
      </c>
      <c r="N33">
        <f t="shared" si="13"/>
        <v>4.6652974679999994E-2</v>
      </c>
      <c r="O33">
        <f t="shared" si="11"/>
        <v>3.8877478899999991E-2</v>
      </c>
      <c r="P33">
        <f t="shared" si="12"/>
        <v>9.5923864600216541E-3</v>
      </c>
      <c r="V33">
        <v>-3.1000000000000099</v>
      </c>
      <c r="W33">
        <f t="shared" si="9"/>
        <v>-0.34074599999999955</v>
      </c>
    </row>
    <row r="34" spans="1:23" x14ac:dyDescent="0.3">
      <c r="A34">
        <v>3.0893123000000005</v>
      </c>
      <c r="B34">
        <v>0.66198999999999997</v>
      </c>
      <c r="C34">
        <f t="shared" si="1"/>
        <v>2.0450938494770003</v>
      </c>
      <c r="D34">
        <v>1.5599999999999999E-2</v>
      </c>
      <c r="E34" s="1">
        <v>1.2999999999999999E-2</v>
      </c>
      <c r="F34">
        <f t="shared" si="2"/>
        <v>617.86246000000006</v>
      </c>
      <c r="G34">
        <f t="shared" si="3"/>
        <v>-0.66198999999999997</v>
      </c>
      <c r="H34">
        <f t="shared" si="4"/>
        <v>-409.01876989540006</v>
      </c>
      <c r="I34">
        <v>1</v>
      </c>
      <c r="J34">
        <f t="shared" si="5"/>
        <v>-0.48148940292815334</v>
      </c>
      <c r="K34">
        <f t="shared" si="6"/>
        <v>-0.55973515177521749</v>
      </c>
      <c r="L34">
        <v>1</v>
      </c>
      <c r="M34">
        <f t="shared" si="7"/>
        <v>0.46025482365035908</v>
      </c>
      <c r="N34">
        <f t="shared" si="13"/>
        <v>4.8193271880000006E-2</v>
      </c>
      <c r="O34">
        <f t="shared" si="11"/>
        <v>4.0161059900000004E-2</v>
      </c>
      <c r="P34">
        <f t="shared" si="12"/>
        <v>1.1125996344858398E-2</v>
      </c>
      <c r="V34">
        <v>-3.0000000000000102</v>
      </c>
      <c r="W34">
        <f t="shared" si="9"/>
        <v>-0.34530999999999956</v>
      </c>
    </row>
    <row r="35" spans="1:23" x14ac:dyDescent="0.3">
      <c r="A35">
        <v>3.18877005</v>
      </c>
      <c r="B35">
        <v>0.65622000000000003</v>
      </c>
      <c r="C35">
        <f t="shared" si="1"/>
        <v>2.0925346822110003</v>
      </c>
      <c r="D35">
        <v>1.5599999999999999E-2</v>
      </c>
      <c r="E35" s="1">
        <v>1.2999999999999999E-2</v>
      </c>
      <c r="F35">
        <f t="shared" si="2"/>
        <v>637.75400999999999</v>
      </c>
      <c r="G35">
        <f t="shared" si="3"/>
        <v>-0.65622000000000003</v>
      </c>
      <c r="H35">
        <f t="shared" si="4"/>
        <v>-418.50693644220007</v>
      </c>
      <c r="I35">
        <v>1</v>
      </c>
      <c r="J35">
        <f t="shared" si="5"/>
        <v>-0.44980263424968214</v>
      </c>
      <c r="K35">
        <f t="shared" si="6"/>
        <v>-0.56550515177521743</v>
      </c>
      <c r="L35">
        <v>1</v>
      </c>
      <c r="M35">
        <f t="shared" si="7"/>
        <v>0.46170100777284451</v>
      </c>
      <c r="N35">
        <f t="shared" si="13"/>
        <v>4.9744812780000001E-2</v>
      </c>
      <c r="O35">
        <f t="shared" si="11"/>
        <v>4.1454010649999998E-2</v>
      </c>
      <c r="P35">
        <f t="shared" si="12"/>
        <v>1.2605320572372923E-2</v>
      </c>
      <c r="V35">
        <v>-2.9000000000000101</v>
      </c>
      <c r="W35">
        <f t="shared" si="9"/>
        <v>-0.34987399999999952</v>
      </c>
    </row>
    <row r="36" spans="1:23" x14ac:dyDescent="0.3">
      <c r="A36">
        <v>3.2860656000000001</v>
      </c>
      <c r="B36">
        <v>0.65049999999999997</v>
      </c>
      <c r="C36">
        <f t="shared" si="1"/>
        <v>2.1375856727999998</v>
      </c>
      <c r="D36">
        <v>1.5599999999999999E-2</v>
      </c>
      <c r="E36" s="1">
        <v>1.2999999999999999E-2</v>
      </c>
      <c r="F36">
        <f t="shared" si="2"/>
        <v>657.21312</v>
      </c>
      <c r="G36">
        <f t="shared" si="3"/>
        <v>-0.65049999999999997</v>
      </c>
      <c r="H36">
        <f t="shared" si="4"/>
        <v>-427.51713455999993</v>
      </c>
      <c r="I36">
        <v>1</v>
      </c>
      <c r="J36">
        <f t="shared" si="5"/>
        <v>-0.41974692953685533</v>
      </c>
      <c r="K36">
        <f t="shared" si="6"/>
        <v>-0.57122515177521749</v>
      </c>
      <c r="L36">
        <v>1</v>
      </c>
      <c r="M36">
        <f t="shared" si="7"/>
        <v>0.46307275013593791</v>
      </c>
      <c r="N36">
        <f t="shared" si="13"/>
        <v>5.1262623360000002E-2</v>
      </c>
      <c r="O36">
        <f t="shared" si="11"/>
        <v>4.2718852799999998E-2</v>
      </c>
      <c r="P36">
        <f t="shared" si="12"/>
        <v>1.4170925479279582E-2</v>
      </c>
      <c r="V36">
        <v>-2.80000000000001</v>
      </c>
      <c r="W36">
        <f t="shared" si="9"/>
        <v>-0.35443799999999953</v>
      </c>
    </row>
    <row r="37" spans="1:23" x14ac:dyDescent="0.3">
      <c r="A37">
        <v>3.3898475000000001</v>
      </c>
      <c r="B37">
        <v>0.64476999999999995</v>
      </c>
      <c r="C37">
        <f t="shared" si="1"/>
        <v>2.1856719725749998</v>
      </c>
      <c r="D37">
        <v>1.5599999999999999E-2</v>
      </c>
      <c r="E37" s="1">
        <v>1.2999999999999999E-2</v>
      </c>
      <c r="F37">
        <f t="shared" si="2"/>
        <v>677.96950000000004</v>
      </c>
      <c r="G37">
        <f t="shared" si="3"/>
        <v>-0.64476999999999995</v>
      </c>
      <c r="H37">
        <f t="shared" si="4"/>
        <v>-437.13439451499994</v>
      </c>
      <c r="I37">
        <v>1</v>
      </c>
      <c r="J37">
        <f t="shared" si="5"/>
        <v>-0.38865297730434567</v>
      </c>
      <c r="K37">
        <f t="shared" si="6"/>
        <v>-0.5769551517752175</v>
      </c>
      <c r="L37">
        <v>1</v>
      </c>
      <c r="M37">
        <f t="shared" si="7"/>
        <v>0.46449187811582965</v>
      </c>
      <c r="N37">
        <f t="shared" si="13"/>
        <v>5.2881620999999997E-2</v>
      </c>
      <c r="O37">
        <f t="shared" si="11"/>
        <v>4.4068017500000001E-2</v>
      </c>
      <c r="P37">
        <f t="shared" si="12"/>
        <v>1.5513635159387855E-2</v>
      </c>
      <c r="V37">
        <v>-2.7000000000000099</v>
      </c>
      <c r="W37">
        <f t="shared" si="9"/>
        <v>-0.35900199999999954</v>
      </c>
    </row>
    <row r="38" spans="1:23" x14ac:dyDescent="0.3">
      <c r="A38">
        <v>3.4871433000000001</v>
      </c>
      <c r="B38">
        <v>0.63902999999999999</v>
      </c>
      <c r="C38">
        <f t="shared" si="1"/>
        <v>2.2283891829989999</v>
      </c>
      <c r="D38">
        <v>1.5599999999999999E-2</v>
      </c>
      <c r="E38" s="1">
        <v>1.2999999999999999E-2</v>
      </c>
      <c r="F38">
        <f t="shared" si="2"/>
        <v>697.42866000000004</v>
      </c>
      <c r="G38">
        <f t="shared" si="3"/>
        <v>-0.63902999999999999</v>
      </c>
      <c r="H38">
        <f t="shared" si="4"/>
        <v>-445.6778365998</v>
      </c>
      <c r="I38">
        <v>1</v>
      </c>
      <c r="J38">
        <f t="shared" si="5"/>
        <v>-0.36035505008742069</v>
      </c>
      <c r="K38">
        <f t="shared" si="6"/>
        <v>-0.58269515177521747</v>
      </c>
      <c r="L38">
        <v>1</v>
      </c>
      <c r="M38">
        <f t="shared" si="7"/>
        <v>0.4657833955140101</v>
      </c>
      <c r="N38">
        <f t="shared" si="13"/>
        <v>5.4399435480000001E-2</v>
      </c>
      <c r="O38">
        <f t="shared" si="11"/>
        <v>4.53328629E-2</v>
      </c>
      <c r="P38">
        <f t="shared" si="12"/>
        <v>1.7179457881207359E-2</v>
      </c>
      <c r="V38">
        <v>-2.6000000000000099</v>
      </c>
      <c r="W38">
        <f t="shared" si="9"/>
        <v>-0.36356599999999956</v>
      </c>
    </row>
    <row r="39" spans="1:23" x14ac:dyDescent="0.3">
      <c r="A39">
        <v>3.5866009999999999</v>
      </c>
      <c r="B39">
        <v>0.63346999999999998</v>
      </c>
      <c r="C39">
        <f t="shared" si="1"/>
        <v>2.27200413547</v>
      </c>
      <c r="D39">
        <v>1.5599999999999999E-2</v>
      </c>
      <c r="E39" s="1">
        <v>1.2999999999999999E-2</v>
      </c>
      <c r="F39">
        <f t="shared" si="2"/>
        <v>717.3202</v>
      </c>
      <c r="G39">
        <f t="shared" si="3"/>
        <v>-0.63346999999999998</v>
      </c>
      <c r="H39">
        <f t="shared" si="4"/>
        <v>-454.40082709400002</v>
      </c>
      <c r="I39">
        <v>1</v>
      </c>
      <c r="J39">
        <f t="shared" si="5"/>
        <v>-0.33223295508636119</v>
      </c>
      <c r="K39">
        <f t="shared" si="6"/>
        <v>-0.58825515177521748</v>
      </c>
      <c r="L39">
        <v>1</v>
      </c>
      <c r="M39">
        <f t="shared" si="7"/>
        <v>0.46706688792985845</v>
      </c>
      <c r="N39">
        <f t="shared" si="13"/>
        <v>5.5950975599999994E-2</v>
      </c>
      <c r="O39">
        <f t="shared" si="11"/>
        <v>4.6625812999999995E-2</v>
      </c>
      <c r="P39">
        <f t="shared" si="12"/>
        <v>1.8611475245359034E-2</v>
      </c>
      <c r="V39">
        <v>-2.5000000000000102</v>
      </c>
      <c r="W39">
        <f t="shared" si="9"/>
        <v>-0.36812999999999951</v>
      </c>
    </row>
    <row r="40" spans="1:23" x14ac:dyDescent="0.3">
      <c r="A40">
        <v>3.6875002499999998</v>
      </c>
      <c r="B40">
        <v>0.62790999999999997</v>
      </c>
      <c r="C40">
        <f t="shared" si="1"/>
        <v>2.3154182819774998</v>
      </c>
      <c r="D40">
        <v>1.5599999999999999E-2</v>
      </c>
      <c r="E40" s="1">
        <v>1.2999999999999999E-2</v>
      </c>
      <c r="F40">
        <f t="shared" si="2"/>
        <v>737.50004999999999</v>
      </c>
      <c r="G40">
        <f t="shared" si="3"/>
        <v>-0.62790999999999997</v>
      </c>
      <c r="H40">
        <f t="shared" si="4"/>
        <v>-463.08365639549993</v>
      </c>
      <c r="I40">
        <v>1</v>
      </c>
      <c r="J40">
        <f t="shared" si="5"/>
        <v>-0.30448912297155434</v>
      </c>
      <c r="K40">
        <f t="shared" si="6"/>
        <v>-0.59381515177521749</v>
      </c>
      <c r="L40">
        <v>1</v>
      </c>
      <c r="M40">
        <f t="shared" si="7"/>
        <v>0.46833311642757824</v>
      </c>
      <c r="N40">
        <f t="shared" si="13"/>
        <v>5.7525003899999996E-2</v>
      </c>
      <c r="O40">
        <f t="shared" si="11"/>
        <v>4.7937503249999992E-2</v>
      </c>
      <c r="P40">
        <f t="shared" si="12"/>
        <v>2.0019528197639254E-2</v>
      </c>
      <c r="V40">
        <v>-2.4000000000000101</v>
      </c>
      <c r="W40">
        <f t="shared" si="9"/>
        <v>-0.37269399999999953</v>
      </c>
    </row>
    <row r="41" spans="1:23" x14ac:dyDescent="0.3">
      <c r="A41">
        <v>3.7855165</v>
      </c>
      <c r="B41">
        <v>0.62234999999999996</v>
      </c>
      <c r="C41">
        <f t="shared" si="1"/>
        <v>2.3559161937749997</v>
      </c>
      <c r="D41">
        <v>1.5599999999999999E-2</v>
      </c>
      <c r="E41" s="1">
        <v>1.2999999999999999E-2</v>
      </c>
      <c r="F41">
        <f t="shared" si="2"/>
        <v>757.10329999999999</v>
      </c>
      <c r="G41">
        <f t="shared" si="3"/>
        <v>-0.62234999999999996</v>
      </c>
      <c r="H41">
        <f t="shared" si="4"/>
        <v>-471.18323875499993</v>
      </c>
      <c r="I41">
        <v>1</v>
      </c>
      <c r="J41">
        <f t="shared" si="5"/>
        <v>-0.27825557514508831</v>
      </c>
      <c r="K41">
        <f t="shared" si="6"/>
        <v>-0.5993751517752175</v>
      </c>
      <c r="L41">
        <v>1</v>
      </c>
      <c r="M41">
        <f t="shared" si="7"/>
        <v>0.46953041555037817</v>
      </c>
      <c r="N41">
        <f t="shared" si="13"/>
        <v>5.9054057399999998E-2</v>
      </c>
      <c r="O41">
        <f t="shared" si="11"/>
        <v>4.9211714499999996E-2</v>
      </c>
      <c r="P41">
        <f t="shared" si="12"/>
        <v>2.1578964324839335E-2</v>
      </c>
      <c r="V41">
        <v>-2.30000000000001</v>
      </c>
      <c r="W41">
        <f t="shared" si="9"/>
        <v>-0.37725799999999954</v>
      </c>
    </row>
    <row r="42" spans="1:23" x14ac:dyDescent="0.3">
      <c r="A42">
        <v>3.8878572000000005</v>
      </c>
      <c r="B42">
        <v>0.61682000000000003</v>
      </c>
      <c r="C42">
        <f t="shared" si="1"/>
        <v>2.3981080781040003</v>
      </c>
      <c r="D42">
        <v>1.5599999999999999E-2</v>
      </c>
      <c r="E42" s="1">
        <v>1.2999999999999999E-2</v>
      </c>
      <c r="F42">
        <f t="shared" si="2"/>
        <v>777.57144000000005</v>
      </c>
      <c r="G42">
        <f t="shared" si="3"/>
        <v>-0.61682000000000003</v>
      </c>
      <c r="H42">
        <f t="shared" si="4"/>
        <v>-479.62161562080007</v>
      </c>
      <c r="I42">
        <v>1</v>
      </c>
      <c r="J42">
        <f t="shared" si="5"/>
        <v>-0.25157975490547346</v>
      </c>
      <c r="K42">
        <f t="shared" si="6"/>
        <v>-0.60490515177521742</v>
      </c>
      <c r="L42">
        <v>1</v>
      </c>
      <c r="M42">
        <f t="shared" si="7"/>
        <v>0.47074789998611416</v>
      </c>
      <c r="N42">
        <f t="shared" si="13"/>
        <v>6.0650572320000005E-2</v>
      </c>
      <c r="O42">
        <f t="shared" si="11"/>
        <v>5.0542143600000006E-2</v>
      </c>
      <c r="P42">
        <f t="shared" si="12"/>
        <v>2.2964535869103242E-2</v>
      </c>
      <c r="V42">
        <v>-2.2000000000000099</v>
      </c>
      <c r="W42">
        <f t="shared" si="9"/>
        <v>-0.38182199999999955</v>
      </c>
    </row>
    <row r="43" spans="1:23" x14ac:dyDescent="0.3">
      <c r="A43">
        <v>3.9858734500000002</v>
      </c>
      <c r="B43">
        <v>0.61140000000000005</v>
      </c>
      <c r="C43">
        <f t="shared" si="1"/>
        <v>2.4369630273300005</v>
      </c>
      <c r="D43">
        <v>1.5599999999999999E-2</v>
      </c>
      <c r="E43" s="1">
        <v>1.2999999999999999E-2</v>
      </c>
      <c r="F43">
        <f t="shared" si="2"/>
        <v>797.17469000000006</v>
      </c>
      <c r="G43">
        <f t="shared" si="3"/>
        <v>-0.61140000000000005</v>
      </c>
      <c r="H43">
        <f t="shared" si="4"/>
        <v>-487.39260546600008</v>
      </c>
      <c r="I43">
        <v>1</v>
      </c>
      <c r="J43">
        <f t="shared" si="5"/>
        <v>-0.226681439767666</v>
      </c>
      <c r="K43">
        <f t="shared" si="6"/>
        <v>-0.6103251517752174</v>
      </c>
      <c r="L43">
        <v>1</v>
      </c>
      <c r="M43">
        <f t="shared" si="7"/>
        <v>0.47188425908900372</v>
      </c>
      <c r="N43">
        <f t="shared" si="13"/>
        <v>6.2179625820000001E-2</v>
      </c>
      <c r="O43">
        <f t="shared" si="11"/>
        <v>5.1816354850000003E-2</v>
      </c>
      <c r="P43">
        <f t="shared" si="12"/>
        <v>2.4444912016213675E-2</v>
      </c>
      <c r="V43">
        <v>-2.1000000000000099</v>
      </c>
      <c r="W43">
        <f t="shared" si="9"/>
        <v>-0.38638599999999956</v>
      </c>
    </row>
    <row r="44" spans="1:23" x14ac:dyDescent="0.3">
      <c r="A44">
        <v>4.0838899500000005</v>
      </c>
      <c r="B44">
        <v>0.60602</v>
      </c>
      <c r="C44">
        <f t="shared" si="1"/>
        <v>2.4749189874990005</v>
      </c>
      <c r="D44">
        <v>1.5599999999999999E-2</v>
      </c>
      <c r="E44" s="1">
        <v>1.2999999999999999E-2</v>
      </c>
      <c r="F44">
        <f t="shared" si="2"/>
        <v>816.77799000000016</v>
      </c>
      <c r="G44">
        <f t="shared" si="3"/>
        <v>-0.60602</v>
      </c>
      <c r="H44">
        <f t="shared" si="4"/>
        <v>-494.98379749980012</v>
      </c>
      <c r="I44">
        <v>1</v>
      </c>
      <c r="J44">
        <f t="shared" si="5"/>
        <v>-0.20238795911570759</v>
      </c>
      <c r="K44">
        <f t="shared" si="6"/>
        <v>-0.61570515177521745</v>
      </c>
      <c r="L44">
        <v>1</v>
      </c>
      <c r="M44">
        <f t="shared" si="7"/>
        <v>0.47299301354595907</v>
      </c>
      <c r="N44">
        <f t="shared" si="13"/>
        <v>6.3708683220000006E-2</v>
      </c>
      <c r="O44">
        <f t="shared" si="11"/>
        <v>5.3090569350000005E-2</v>
      </c>
      <c r="P44">
        <f t="shared" si="12"/>
        <v>2.5912885659258367E-2</v>
      </c>
      <c r="V44">
        <v>-2.0000000000000102</v>
      </c>
      <c r="W44">
        <f t="shared" si="9"/>
        <v>-0.39094999999999952</v>
      </c>
    </row>
    <row r="45" spans="1:23" x14ac:dyDescent="0.3">
      <c r="A45">
        <v>4.1840681999999996</v>
      </c>
      <c r="B45">
        <v>0.60062000000000004</v>
      </c>
      <c r="C45">
        <f t="shared" si="1"/>
        <v>2.5130350422839998</v>
      </c>
      <c r="D45">
        <v>1.5599999999999999E-2</v>
      </c>
      <c r="E45" s="1">
        <v>1.2999999999999999E-2</v>
      </c>
      <c r="F45">
        <f t="shared" si="2"/>
        <v>836.81363999999996</v>
      </c>
      <c r="G45">
        <f t="shared" si="3"/>
        <v>-0.60062000000000004</v>
      </c>
      <c r="H45">
        <f t="shared" si="4"/>
        <v>-502.60700845679997</v>
      </c>
      <c r="I45">
        <v>1</v>
      </c>
      <c r="J45">
        <f t="shared" si="5"/>
        <v>-0.17815388561312079</v>
      </c>
      <c r="K45">
        <f t="shared" si="6"/>
        <v>-0.62110515177521741</v>
      </c>
      <c r="L45">
        <v>1</v>
      </c>
      <c r="M45">
        <f t="shared" si="7"/>
        <v>0.47409905666061714</v>
      </c>
      <c r="N45">
        <f t="shared" si="13"/>
        <v>6.5271463919999995E-2</v>
      </c>
      <c r="O45">
        <f t="shared" si="11"/>
        <v>5.4392886599999989E-2</v>
      </c>
      <c r="P45">
        <f t="shared" si="12"/>
        <v>2.7341744594600294E-2</v>
      </c>
      <c r="V45">
        <v>-1.9000000000000099</v>
      </c>
      <c r="W45">
        <f t="shared" si="9"/>
        <v>-0.39551399999999953</v>
      </c>
    </row>
    <row r="46" spans="1:23" x14ac:dyDescent="0.3">
      <c r="A46">
        <v>4.2849674000000002</v>
      </c>
      <c r="B46">
        <v>0.59526999999999997</v>
      </c>
      <c r="C46">
        <f t="shared" si="1"/>
        <v>2.5507125441979999</v>
      </c>
      <c r="D46">
        <v>1.5599999999999999E-2</v>
      </c>
      <c r="E46" s="1">
        <v>1.2999999999999999E-2</v>
      </c>
      <c r="F46">
        <f t="shared" si="2"/>
        <v>856.99348000000009</v>
      </c>
      <c r="G46">
        <f t="shared" si="3"/>
        <v>-0.59526999999999997</v>
      </c>
      <c r="H46">
        <f t="shared" si="4"/>
        <v>-510.1425088396</v>
      </c>
      <c r="I46">
        <v>1</v>
      </c>
      <c r="J46">
        <f t="shared" si="5"/>
        <v>-0.15432496834795342</v>
      </c>
      <c r="K46">
        <f t="shared" si="6"/>
        <v>-0.62645515177521749</v>
      </c>
      <c r="L46">
        <v>1</v>
      </c>
      <c r="M46">
        <f t="shared" si="7"/>
        <v>0.47518660844459942</v>
      </c>
      <c r="N46">
        <f t="shared" si="13"/>
        <v>6.6845491440000002E-2</v>
      </c>
      <c r="O46">
        <f t="shared" si="11"/>
        <v>5.5704576200000001E-2</v>
      </c>
      <c r="P46">
        <f t="shared" si="12"/>
        <v>2.8718475690618063E-2</v>
      </c>
      <c r="V46">
        <v>-1.80000000000001</v>
      </c>
      <c r="W46">
        <f t="shared" si="9"/>
        <v>-0.40007799999999955</v>
      </c>
    </row>
    <row r="47" spans="1:23" x14ac:dyDescent="0.3">
      <c r="A47">
        <v>4.3851456500000001</v>
      </c>
      <c r="B47">
        <v>0.58997999999999995</v>
      </c>
      <c r="C47">
        <f t="shared" si="1"/>
        <v>2.5871482305869997</v>
      </c>
      <c r="D47">
        <v>1.5599999999999999E-2</v>
      </c>
      <c r="E47" s="1">
        <v>1.2999999999999999E-2</v>
      </c>
      <c r="F47">
        <f t="shared" si="2"/>
        <v>877.02913000000001</v>
      </c>
      <c r="G47">
        <f t="shared" si="3"/>
        <v>-0.58997999999999995</v>
      </c>
      <c r="H47">
        <f t="shared" si="4"/>
        <v>-517.4296461173999</v>
      </c>
      <c r="I47">
        <v>1</v>
      </c>
      <c r="J47">
        <f t="shared" si="5"/>
        <v>-0.13121507165416507</v>
      </c>
      <c r="K47">
        <f t="shared" si="6"/>
        <v>-0.63174515177521751</v>
      </c>
      <c r="L47">
        <v>1</v>
      </c>
      <c r="M47">
        <f t="shared" si="7"/>
        <v>0.47624134412970393</v>
      </c>
      <c r="N47">
        <f t="shared" si="13"/>
        <v>6.8408272140000004E-2</v>
      </c>
      <c r="O47">
        <f t="shared" si="11"/>
        <v>5.7006893449999999E-2</v>
      </c>
      <c r="P47">
        <f t="shared" si="12"/>
        <v>3.0088642055513579E-2</v>
      </c>
      <c r="V47">
        <v>-1.7000000000000199</v>
      </c>
      <c r="W47">
        <f t="shared" si="9"/>
        <v>-0.40464199999999906</v>
      </c>
    </row>
    <row r="48" spans="1:23" x14ac:dyDescent="0.3">
      <c r="A48">
        <v>4.4846034000000001</v>
      </c>
      <c r="B48">
        <v>0.58472999999999997</v>
      </c>
      <c r="C48">
        <f t="shared" si="1"/>
        <v>2.6222821460820001</v>
      </c>
      <c r="D48">
        <v>1.5599999999999999E-2</v>
      </c>
      <c r="E48" s="1">
        <v>1.2999999999999999E-2</v>
      </c>
      <c r="F48">
        <f t="shared" si="2"/>
        <v>896.92068000000006</v>
      </c>
      <c r="G48">
        <f t="shared" si="3"/>
        <v>-0.58472999999999997</v>
      </c>
      <c r="H48">
        <f t="shared" si="4"/>
        <v>-524.45642921640001</v>
      </c>
      <c r="I48">
        <v>1</v>
      </c>
      <c r="J48">
        <f t="shared" si="5"/>
        <v>-0.10878784892698076</v>
      </c>
      <c r="K48">
        <f t="shared" si="6"/>
        <v>-0.63699515177521748</v>
      </c>
      <c r="L48">
        <v>1</v>
      </c>
      <c r="M48">
        <f t="shared" si="7"/>
        <v>0.47726492257497261</v>
      </c>
      <c r="N48">
        <f t="shared" si="13"/>
        <v>6.9959813039999999E-2</v>
      </c>
      <c r="O48">
        <f t="shared" si="11"/>
        <v>5.8299844199999999E-2</v>
      </c>
      <c r="P48">
        <f t="shared" si="12"/>
        <v>3.1470571960244879E-2</v>
      </c>
      <c r="V48">
        <v>-1.6000000000000201</v>
      </c>
      <c r="W48">
        <f t="shared" si="9"/>
        <v>-0.40920599999999907</v>
      </c>
    </row>
    <row r="49" spans="1:23" x14ac:dyDescent="0.3">
      <c r="A49">
        <v>4.5840616000000001</v>
      </c>
      <c r="B49">
        <v>0.57945999999999998</v>
      </c>
      <c r="C49">
        <f t="shared" si="1"/>
        <v>2.656280334736</v>
      </c>
      <c r="D49">
        <v>1.5599999999999999E-2</v>
      </c>
      <c r="E49" s="1">
        <v>1.2999999999999999E-2</v>
      </c>
      <c r="F49">
        <f t="shared" si="2"/>
        <v>916.81232</v>
      </c>
      <c r="G49">
        <f t="shared" si="3"/>
        <v>-0.57945999999999998</v>
      </c>
      <c r="H49">
        <f t="shared" si="4"/>
        <v>-531.2560669472</v>
      </c>
      <c r="I49">
        <v>1</v>
      </c>
      <c r="J49">
        <f t="shared" si="5"/>
        <v>-8.6852495066576427E-2</v>
      </c>
      <c r="K49">
        <f t="shared" si="6"/>
        <v>-0.64226515177521748</v>
      </c>
      <c r="L49">
        <v>1</v>
      </c>
      <c r="M49">
        <f t="shared" si="7"/>
        <v>0.47826605212516143</v>
      </c>
      <c r="N49">
        <f t="shared" si="13"/>
        <v>7.1511360959999992E-2</v>
      </c>
      <c r="O49">
        <f t="shared" si="11"/>
        <v>5.9592800799999998E-2</v>
      </c>
      <c r="P49">
        <f t="shared" si="12"/>
        <v>3.2894937890056056E-2</v>
      </c>
      <c r="V49">
        <v>-1.50000000000002</v>
      </c>
      <c r="W49">
        <f t="shared" si="9"/>
        <v>-0.41376999999999908</v>
      </c>
    </row>
    <row r="50" spans="1:23" x14ac:dyDescent="0.3">
      <c r="A50">
        <v>4.6835193500000001</v>
      </c>
      <c r="B50">
        <v>0.57421999999999995</v>
      </c>
      <c r="C50">
        <f t="shared" si="1"/>
        <v>2.6893704811569998</v>
      </c>
      <c r="D50">
        <v>1.5599999999999999E-2</v>
      </c>
      <c r="E50" s="1">
        <v>1.2999999999999999E-2</v>
      </c>
      <c r="F50">
        <f t="shared" si="2"/>
        <v>936.70387000000005</v>
      </c>
      <c r="G50">
        <f t="shared" si="3"/>
        <v>-0.57421999999999995</v>
      </c>
      <c r="H50">
        <f t="shared" si="4"/>
        <v>-537.87409623140002</v>
      </c>
      <c r="I50">
        <v>1</v>
      </c>
      <c r="J50">
        <f t="shared" si="5"/>
        <v>-6.5388087250018295E-2</v>
      </c>
      <c r="K50">
        <f t="shared" si="6"/>
        <v>-0.6475051517752175</v>
      </c>
      <c r="L50">
        <v>1</v>
      </c>
      <c r="M50">
        <f t="shared" si="7"/>
        <v>0.47924568769790915</v>
      </c>
      <c r="N50">
        <f t="shared" si="13"/>
        <v>7.3062901860000001E-2</v>
      </c>
      <c r="O50">
        <f t="shared" si="11"/>
        <v>6.0885751549999999E-2</v>
      </c>
      <c r="P50">
        <f t="shared" si="12"/>
        <v>3.4310810667308352E-2</v>
      </c>
      <c r="V50">
        <v>-1.4000000000000199</v>
      </c>
      <c r="W50">
        <f t="shared" si="9"/>
        <v>-0.4183339999999991</v>
      </c>
    </row>
    <row r="51" spans="1:23" x14ac:dyDescent="0.3">
      <c r="A51">
        <v>4.7829771000000001</v>
      </c>
      <c r="B51">
        <v>0.56896000000000002</v>
      </c>
      <c r="C51">
        <f t="shared" si="1"/>
        <v>2.721322650816</v>
      </c>
      <c r="D51">
        <v>1.5599999999999999E-2</v>
      </c>
      <c r="E51" s="1">
        <v>1.2999999999999999E-2</v>
      </c>
      <c r="F51">
        <f t="shared" si="2"/>
        <v>956.59541999999999</v>
      </c>
      <c r="G51">
        <f t="shared" si="3"/>
        <v>-0.56896000000000002</v>
      </c>
      <c r="H51">
        <f t="shared" si="4"/>
        <v>-544.26453016319999</v>
      </c>
      <c r="I51">
        <v>1</v>
      </c>
      <c r="J51">
        <f t="shared" si="5"/>
        <v>-4.4374735537491966E-2</v>
      </c>
      <c r="K51">
        <f t="shared" si="6"/>
        <v>-0.65276515177521743</v>
      </c>
      <c r="L51">
        <v>1</v>
      </c>
      <c r="M51">
        <f t="shared" si="7"/>
        <v>0.48020473707006883</v>
      </c>
      <c r="N51">
        <f t="shared" si="13"/>
        <v>7.4614442759999997E-2</v>
      </c>
      <c r="O51">
        <f t="shared" si="11"/>
        <v>6.2178702299999999E-2</v>
      </c>
      <c r="P51">
        <f t="shared" si="12"/>
        <v>3.5767269645148606E-2</v>
      </c>
      <c r="V51">
        <v>-1.30000000000002</v>
      </c>
      <c r="W51">
        <f t="shared" si="9"/>
        <v>-0.42289799999999911</v>
      </c>
    </row>
    <row r="52" spans="1:23" x14ac:dyDescent="0.3">
      <c r="A52">
        <v>4.8824348500000001</v>
      </c>
      <c r="B52">
        <v>0.56379999999999997</v>
      </c>
      <c r="C52">
        <f t="shared" si="1"/>
        <v>2.75271676843</v>
      </c>
      <c r="D52">
        <v>1.5599999999999999E-2</v>
      </c>
      <c r="E52" s="1">
        <v>1.2999999999999999E-2</v>
      </c>
      <c r="F52">
        <f t="shared" si="2"/>
        <v>976.48697000000004</v>
      </c>
      <c r="G52">
        <f t="shared" si="3"/>
        <v>-0.56379999999999997</v>
      </c>
      <c r="H52">
        <f t="shared" si="4"/>
        <v>-550.54335368600005</v>
      </c>
      <c r="I52">
        <v>1</v>
      </c>
      <c r="J52">
        <f t="shared" si="5"/>
        <v>-2.3793872328418373E-2</v>
      </c>
      <c r="K52">
        <f t="shared" si="6"/>
        <v>-0.65792515177521749</v>
      </c>
      <c r="L52">
        <v>1</v>
      </c>
      <c r="M52">
        <f t="shared" si="7"/>
        <v>0.48114404766693097</v>
      </c>
      <c r="N52">
        <f t="shared" si="13"/>
        <v>7.6165983659999992E-2</v>
      </c>
      <c r="O52">
        <f t="shared" si="11"/>
        <v>6.3471653049999993E-2</v>
      </c>
      <c r="P52">
        <f t="shared" si="12"/>
        <v>3.7143467398286528E-2</v>
      </c>
      <c r="V52">
        <v>-1.2000000000000199</v>
      </c>
      <c r="W52">
        <f t="shared" si="9"/>
        <v>-0.42746199999999906</v>
      </c>
    </row>
    <row r="53" spans="1:23" x14ac:dyDescent="0.3">
      <c r="A53">
        <v>4.9826131</v>
      </c>
      <c r="B53">
        <v>0.55862000000000001</v>
      </c>
      <c r="C53">
        <f t="shared" si="1"/>
        <v>2.7833873299220002</v>
      </c>
      <c r="D53">
        <v>1.5599999999999999E-2</v>
      </c>
      <c r="E53" s="1">
        <v>1.2999999999999999E-2</v>
      </c>
      <c r="F53">
        <f t="shared" si="2"/>
        <v>996.52261999999996</v>
      </c>
      <c r="G53">
        <f t="shared" si="3"/>
        <v>-0.55862000000000001</v>
      </c>
      <c r="H53">
        <f t="shared" si="4"/>
        <v>-556.67746598439999</v>
      </c>
      <c r="I53">
        <v>1</v>
      </c>
      <c r="J53">
        <f t="shared" si="5"/>
        <v>-3.4834401388480624E-3</v>
      </c>
      <c r="K53">
        <f t="shared" si="6"/>
        <v>-0.66310515177521745</v>
      </c>
      <c r="L53">
        <v>1</v>
      </c>
      <c r="M53">
        <f t="shared" si="7"/>
        <v>0.48207101579206296</v>
      </c>
      <c r="N53">
        <f t="shared" si="13"/>
        <v>7.7728764359999994E-2</v>
      </c>
      <c r="O53">
        <f t="shared" si="11"/>
        <v>6.4773970299999997E-2</v>
      </c>
      <c r="P53">
        <f t="shared" si="12"/>
        <v>3.8531401323154496E-2</v>
      </c>
      <c r="V53">
        <v>-1.1000000000000201</v>
      </c>
      <c r="W53">
        <f t="shared" si="9"/>
        <v>-0.43202599999999908</v>
      </c>
    </row>
    <row r="54" spans="1:23" x14ac:dyDescent="0.3">
      <c r="A54">
        <v>5.0827917999999999</v>
      </c>
      <c r="B54">
        <v>0.55352000000000001</v>
      </c>
      <c r="C54">
        <f t="shared" si="1"/>
        <v>2.8134269171359998</v>
      </c>
      <c r="D54">
        <v>1.5599999999999999E-2</v>
      </c>
      <c r="E54" s="1">
        <v>1.2999999999999999E-2</v>
      </c>
      <c r="F54">
        <f t="shared" si="2"/>
        <v>1016.55836</v>
      </c>
      <c r="G54">
        <f t="shared" si="3"/>
        <v>-0.55352000000000001</v>
      </c>
      <c r="H54">
        <f t="shared" si="4"/>
        <v>-562.68538342720001</v>
      </c>
      <c r="I54">
        <v>1</v>
      </c>
      <c r="J54">
        <f t="shared" si="5"/>
        <v>1.6422765128823732E-2</v>
      </c>
      <c r="K54">
        <f t="shared" si="6"/>
        <v>-0.66820515177521744</v>
      </c>
      <c r="L54">
        <v>1</v>
      </c>
      <c r="M54">
        <f t="shared" si="7"/>
        <v>0.48297953500047952</v>
      </c>
      <c r="N54">
        <f t="shared" si="13"/>
        <v>7.9291552079999994E-2</v>
      </c>
      <c r="O54">
        <f t="shared" si="11"/>
        <v>6.60762934E-2</v>
      </c>
      <c r="P54">
        <f t="shared" si="12"/>
        <v>3.9857771294737929E-2</v>
      </c>
      <c r="V54">
        <v>-1.00000000000002</v>
      </c>
      <c r="W54">
        <f t="shared" si="9"/>
        <v>-0.43658999999999909</v>
      </c>
    </row>
    <row r="55" spans="1:23" x14ac:dyDescent="0.3">
      <c r="A55">
        <v>5.1829700499999998</v>
      </c>
      <c r="B55">
        <v>0.54837999999999998</v>
      </c>
      <c r="C55">
        <f t="shared" si="1"/>
        <v>2.8422371160189996</v>
      </c>
      <c r="D55">
        <v>1.5599999999999999E-2</v>
      </c>
      <c r="E55" s="1">
        <v>1.2999999999999999E-2</v>
      </c>
      <c r="F55">
        <f t="shared" si="2"/>
        <v>1036.59401</v>
      </c>
      <c r="G55">
        <f t="shared" si="3"/>
        <v>-0.54837999999999998</v>
      </c>
      <c r="H55">
        <f t="shared" si="4"/>
        <v>-568.44742320379987</v>
      </c>
      <c r="I55">
        <v>1</v>
      </c>
      <c r="J55">
        <f t="shared" si="5"/>
        <v>3.594034825011707E-2</v>
      </c>
      <c r="K55">
        <f t="shared" si="6"/>
        <v>-0.67334515177521748</v>
      </c>
      <c r="L55">
        <v>1</v>
      </c>
      <c r="M55">
        <f t="shared" si="7"/>
        <v>0.48387031749413534</v>
      </c>
      <c r="N55">
        <f t="shared" si="13"/>
        <v>8.0854332779999996E-2</v>
      </c>
      <c r="O55">
        <f t="shared" si="11"/>
        <v>6.737861064999999E-2</v>
      </c>
      <c r="P55">
        <f t="shared" si="12"/>
        <v>4.1241890851082152E-2</v>
      </c>
      <c r="V55">
        <v>-0.90000000000002001</v>
      </c>
      <c r="W55">
        <f t="shared" si="9"/>
        <v>-0.4411539999999991</v>
      </c>
    </row>
    <row r="56" spans="1:23" x14ac:dyDescent="0.3">
      <c r="A56">
        <v>5.2838692500000004</v>
      </c>
      <c r="B56">
        <v>0.54322000000000004</v>
      </c>
      <c r="C56">
        <f t="shared" si="1"/>
        <v>2.8703034539850005</v>
      </c>
      <c r="D56">
        <v>1.5599999999999999E-2</v>
      </c>
      <c r="E56" s="1">
        <v>1.2999999999999999E-2</v>
      </c>
      <c r="F56">
        <f t="shared" si="2"/>
        <v>1056.77385</v>
      </c>
      <c r="G56">
        <f t="shared" si="3"/>
        <v>-0.54322000000000004</v>
      </c>
      <c r="H56">
        <f t="shared" si="4"/>
        <v>-574.06069079700012</v>
      </c>
      <c r="I56">
        <v>1</v>
      </c>
      <c r="J56">
        <f t="shared" si="5"/>
        <v>5.5220729408094617E-2</v>
      </c>
      <c r="K56">
        <f t="shared" si="6"/>
        <v>-0.67850515177521742</v>
      </c>
      <c r="L56">
        <v>1</v>
      </c>
      <c r="M56">
        <f t="shared" si="7"/>
        <v>0.48475027409018545</v>
      </c>
      <c r="N56">
        <f t="shared" si="13"/>
        <v>8.2428360300000003E-2</v>
      </c>
      <c r="O56">
        <f t="shared" si="11"/>
        <v>6.8690300250000003E-2</v>
      </c>
      <c r="P56">
        <f t="shared" si="12"/>
        <v>4.2636217135031962E-2</v>
      </c>
      <c r="V56">
        <v>-0.80000000000002003</v>
      </c>
      <c r="W56">
        <f t="shared" si="9"/>
        <v>-0.44571799999999906</v>
      </c>
    </row>
    <row r="57" spans="1:23" x14ac:dyDescent="0.3">
      <c r="A57">
        <v>5.3811650499999999</v>
      </c>
      <c r="B57">
        <v>0.53813999999999995</v>
      </c>
      <c r="C57">
        <f t="shared" si="1"/>
        <v>2.8958201600069997</v>
      </c>
      <c r="D57">
        <v>1.5599999999999999E-2</v>
      </c>
      <c r="E57" s="1">
        <v>1.2999999999999999E-2</v>
      </c>
      <c r="F57">
        <f t="shared" si="2"/>
        <v>1076.2330099999999</v>
      </c>
      <c r="G57">
        <f t="shared" si="3"/>
        <v>-0.53813999999999995</v>
      </c>
      <c r="H57">
        <f t="shared" si="4"/>
        <v>-579.16403200139996</v>
      </c>
      <c r="I57">
        <v>1</v>
      </c>
      <c r="J57">
        <f t="shared" si="5"/>
        <v>7.3466990340192773E-2</v>
      </c>
      <c r="K57">
        <f t="shared" si="6"/>
        <v>-0.6835851517752175</v>
      </c>
      <c r="L57">
        <v>1</v>
      </c>
      <c r="M57">
        <f t="shared" si="7"/>
        <v>0.4855830334391264</v>
      </c>
      <c r="N57">
        <f t="shared" si="13"/>
        <v>8.3946174779999994E-2</v>
      </c>
      <c r="O57">
        <f t="shared" si="11"/>
        <v>6.9955145649999995E-2</v>
      </c>
      <c r="P57">
        <f t="shared" si="12"/>
        <v>4.4100797906091116E-2</v>
      </c>
      <c r="V57">
        <v>-0.70000000000002005</v>
      </c>
      <c r="W57">
        <f t="shared" si="9"/>
        <v>-0.45028199999999907</v>
      </c>
    </row>
    <row r="58" spans="1:23" x14ac:dyDescent="0.3">
      <c r="A58">
        <v>5.4806227500000002</v>
      </c>
      <c r="B58">
        <v>0.53310999999999997</v>
      </c>
      <c r="C58">
        <f t="shared" si="1"/>
        <v>2.9217747942524999</v>
      </c>
      <c r="D58">
        <v>1.5599999999999999E-2</v>
      </c>
      <c r="E58" s="1">
        <v>1.2999999999999999E-2</v>
      </c>
      <c r="F58">
        <f t="shared" si="2"/>
        <v>1096.12455</v>
      </c>
      <c r="G58">
        <f t="shared" si="3"/>
        <v>-0.53310999999999997</v>
      </c>
      <c r="H58">
        <f t="shared" si="4"/>
        <v>-584.3549588505</v>
      </c>
      <c r="I58">
        <v>1</v>
      </c>
      <c r="J58">
        <f t="shared" si="5"/>
        <v>9.1780822580179056E-2</v>
      </c>
      <c r="K58">
        <f t="shared" si="6"/>
        <v>-0.68861515177521748</v>
      </c>
      <c r="L58">
        <v>1</v>
      </c>
      <c r="M58">
        <f t="shared" si="7"/>
        <v>0.48641887674255935</v>
      </c>
      <c r="N58">
        <f t="shared" si="13"/>
        <v>8.5497714899999994E-2</v>
      </c>
      <c r="O58">
        <f t="shared" si="11"/>
        <v>7.1248095750000004E-2</v>
      </c>
      <c r="P58">
        <f t="shared" si="12"/>
        <v>4.5450464382658137E-2</v>
      </c>
      <c r="V58">
        <v>-0.60000000000001996</v>
      </c>
      <c r="W58">
        <f t="shared" si="9"/>
        <v>-0.45484599999999908</v>
      </c>
    </row>
    <row r="59" spans="1:23" x14ac:dyDescent="0.3">
      <c r="A59">
        <v>5.5800805000000002</v>
      </c>
      <c r="B59">
        <v>0.52808999999999995</v>
      </c>
      <c r="C59">
        <f t="shared" si="1"/>
        <v>2.9467847112449999</v>
      </c>
      <c r="D59">
        <v>1.5599999999999999E-2</v>
      </c>
      <c r="E59" s="1">
        <v>1.2999999999999999E-2</v>
      </c>
      <c r="F59">
        <f t="shared" si="2"/>
        <v>1116.0161000000001</v>
      </c>
      <c r="G59">
        <f t="shared" si="3"/>
        <v>-0.52808999999999995</v>
      </c>
      <c r="H59">
        <f t="shared" si="4"/>
        <v>-589.35694224899999</v>
      </c>
      <c r="I59">
        <v>1</v>
      </c>
      <c r="J59">
        <f t="shared" si="5"/>
        <v>0.10976529037835536</v>
      </c>
      <c r="K59">
        <f t="shared" si="6"/>
        <v>-0.69363515177521751</v>
      </c>
      <c r="L59">
        <v>1</v>
      </c>
      <c r="M59">
        <f t="shared" si="7"/>
        <v>0.48723968785286814</v>
      </c>
      <c r="N59">
        <f t="shared" si="13"/>
        <v>8.7049255800000003E-2</v>
      </c>
      <c r="O59">
        <f t="shared" si="11"/>
        <v>7.2541046499999998E-2</v>
      </c>
      <c r="P59">
        <f t="shared" si="12"/>
        <v>4.6805161622349364E-2</v>
      </c>
      <c r="V59">
        <v>-0.50000000000001998</v>
      </c>
      <c r="W59">
        <f t="shared" si="9"/>
        <v>-0.4594099999999991</v>
      </c>
    </row>
    <row r="60" spans="1:23" x14ac:dyDescent="0.3">
      <c r="A60">
        <v>5.6795382500000002</v>
      </c>
      <c r="B60">
        <v>0.52366999999999997</v>
      </c>
      <c r="C60">
        <f t="shared" si="1"/>
        <v>2.9742037953775</v>
      </c>
      <c r="D60">
        <v>1.5599999999999999E-2</v>
      </c>
      <c r="E60" s="1">
        <v>1.2999999999999999E-2</v>
      </c>
      <c r="F60">
        <f t="shared" si="2"/>
        <v>1135.9076500000001</v>
      </c>
      <c r="G60">
        <f t="shared" si="3"/>
        <v>-0.52366999999999997</v>
      </c>
      <c r="H60">
        <f t="shared" si="4"/>
        <v>-594.84075907550005</v>
      </c>
      <c r="I60">
        <v>1</v>
      </c>
      <c r="J60">
        <f t="shared" si="5"/>
        <v>0.12743202298033768</v>
      </c>
      <c r="K60">
        <f t="shared" si="6"/>
        <v>-0.69805515177521749</v>
      </c>
      <c r="L60">
        <v>1</v>
      </c>
      <c r="M60">
        <f t="shared" si="7"/>
        <v>0.48804599752882261</v>
      </c>
      <c r="N60">
        <f t="shared" si="13"/>
        <v>8.8600796699999998E-2</v>
      </c>
      <c r="O60">
        <f t="shared" si="11"/>
        <v>7.3833997250000005E-2</v>
      </c>
      <c r="P60">
        <f t="shared" si="12"/>
        <v>4.7574360296394877E-2</v>
      </c>
      <c r="V60">
        <v>-0.40000000000002001</v>
      </c>
      <c r="W60">
        <f t="shared" si="9"/>
        <v>-0.46397399999999905</v>
      </c>
    </row>
    <row r="61" spans="1:23" x14ac:dyDescent="0.3">
      <c r="A61">
        <v>5.7789959999999994</v>
      </c>
      <c r="B61">
        <v>0.51887000000000005</v>
      </c>
      <c r="C61">
        <f t="shared" si="1"/>
        <v>2.9985476545199998</v>
      </c>
      <c r="D61">
        <v>1.5599999999999999E-2</v>
      </c>
      <c r="E61" s="1">
        <v>1.2999999999999999E-2</v>
      </c>
      <c r="F61">
        <f t="shared" si="2"/>
        <v>1155.7991999999999</v>
      </c>
      <c r="G61">
        <f t="shared" si="3"/>
        <v>-0.51887000000000005</v>
      </c>
      <c r="H61">
        <f t="shared" si="4"/>
        <v>-599.70953090399996</v>
      </c>
      <c r="I61">
        <v>1</v>
      </c>
      <c r="J61">
        <f t="shared" si="5"/>
        <v>0.14479205274002735</v>
      </c>
      <c r="K61">
        <f t="shared" si="6"/>
        <v>-0.7028551517752174</v>
      </c>
      <c r="L61">
        <v>1</v>
      </c>
      <c r="M61">
        <f t="shared" si="7"/>
        <v>0.48883830928705485</v>
      </c>
      <c r="N61">
        <f t="shared" si="13"/>
        <v>9.0152337599999979E-2</v>
      </c>
      <c r="O61">
        <f t="shared" si="11"/>
        <v>7.5126947999999985E-2</v>
      </c>
      <c r="P61">
        <f t="shared" si="12"/>
        <v>4.8737556888162586E-2</v>
      </c>
      <c r="V61">
        <v>-0.30000000000001997</v>
      </c>
      <c r="W61">
        <f t="shared" si="9"/>
        <v>-0.46853799999999907</v>
      </c>
    </row>
    <row r="62" spans="1:23" x14ac:dyDescent="0.3">
      <c r="A62">
        <v>5.8791742500000002</v>
      </c>
      <c r="B62">
        <v>0.51368000000000003</v>
      </c>
      <c r="C62">
        <f t="shared" si="1"/>
        <v>3.02001422874</v>
      </c>
      <c r="D62">
        <v>1.5599999999999999E-2</v>
      </c>
      <c r="E62" s="1">
        <v>1.2999999999999999E-2</v>
      </c>
      <c r="F62">
        <f t="shared" si="2"/>
        <v>1175.83485</v>
      </c>
      <c r="G62">
        <f t="shared" si="3"/>
        <v>-0.51368000000000003</v>
      </c>
      <c r="H62">
        <f t="shared" si="4"/>
        <v>-604.00284574800003</v>
      </c>
      <c r="I62">
        <v>1</v>
      </c>
      <c r="J62">
        <f t="shared" si="5"/>
        <v>0.16197840594123417</v>
      </c>
      <c r="K62">
        <f t="shared" si="6"/>
        <v>-0.70804515177521743</v>
      </c>
      <c r="L62">
        <v>1</v>
      </c>
      <c r="M62">
        <f t="shared" si="7"/>
        <v>0.48962269444715789</v>
      </c>
      <c r="N62">
        <f t="shared" si="13"/>
        <v>9.1715118299999995E-2</v>
      </c>
      <c r="O62">
        <f t="shared" si="11"/>
        <v>7.6429265250000003E-2</v>
      </c>
      <c r="P62">
        <f t="shared" si="12"/>
        <v>5.0278073778059526E-2</v>
      </c>
      <c r="V62">
        <v>-0.20000000000002</v>
      </c>
      <c r="W62">
        <f t="shared" si="9"/>
        <v>-0.47310199999999908</v>
      </c>
    </row>
    <row r="63" spans="1:23" x14ac:dyDescent="0.3">
      <c r="A63">
        <v>5.97935295</v>
      </c>
      <c r="B63">
        <v>0.50849</v>
      </c>
      <c r="C63">
        <f t="shared" si="1"/>
        <v>3.0404411815454999</v>
      </c>
      <c r="D63">
        <v>1.5599999999999999E-2</v>
      </c>
      <c r="E63" s="1">
        <v>1.2999999999999999E-2</v>
      </c>
      <c r="F63">
        <f t="shared" si="2"/>
        <v>1195.87059</v>
      </c>
      <c r="G63">
        <f t="shared" si="3"/>
        <v>-0.50849</v>
      </c>
      <c r="H63">
        <f t="shared" si="4"/>
        <v>-608.08823630910001</v>
      </c>
      <c r="I63">
        <v>1</v>
      </c>
      <c r="J63">
        <f t="shared" si="5"/>
        <v>0.17887444733300722</v>
      </c>
      <c r="K63">
        <f t="shared" si="6"/>
        <v>-0.71323515177521746</v>
      </c>
      <c r="L63">
        <v>1</v>
      </c>
      <c r="M63">
        <f t="shared" si="7"/>
        <v>0.49039382977627843</v>
      </c>
      <c r="N63">
        <f t="shared" si="13"/>
        <v>9.3277906019999995E-2</v>
      </c>
      <c r="O63">
        <f t="shared" si="11"/>
        <v>7.7731588349999992E-2</v>
      </c>
      <c r="P63">
        <f t="shared" si="12"/>
        <v>5.1831827628939037E-2</v>
      </c>
      <c r="V63">
        <v>-0.10000000000002</v>
      </c>
      <c r="W63">
        <f t="shared" si="9"/>
        <v>-0.47766599999999909</v>
      </c>
    </row>
    <row r="64" spans="1:23" x14ac:dyDescent="0.3">
      <c r="A64">
        <v>6.0788107</v>
      </c>
      <c r="B64">
        <v>0.50333000000000006</v>
      </c>
      <c r="C64">
        <f t="shared" si="1"/>
        <v>3.0596477896310001</v>
      </c>
      <c r="D64">
        <v>1.5599999999999999E-2</v>
      </c>
      <c r="E64" s="1">
        <v>1.2999999999999999E-2</v>
      </c>
      <c r="F64">
        <f t="shared" si="2"/>
        <v>1215.76214</v>
      </c>
      <c r="G64">
        <f t="shared" si="3"/>
        <v>-0.50333000000000006</v>
      </c>
      <c r="H64">
        <f t="shared" si="4"/>
        <v>-611.9295579262</v>
      </c>
      <c r="I64">
        <v>1</v>
      </c>
      <c r="J64">
        <f t="shared" si="5"/>
        <v>0.19537115585749559</v>
      </c>
      <c r="K64">
        <f t="shared" si="6"/>
        <v>-0.7183951517752174</v>
      </c>
      <c r="L64">
        <v>1</v>
      </c>
      <c r="M64">
        <f t="shared" si="7"/>
        <v>0.4911467395533361</v>
      </c>
      <c r="N64">
        <f t="shared" si="13"/>
        <v>9.4829446919999991E-2</v>
      </c>
      <c r="O64">
        <f t="shared" si="11"/>
        <v>7.9024539099999999E-2</v>
      </c>
      <c r="P64">
        <f t="shared" si="12"/>
        <v>5.3394426201881298E-2</v>
      </c>
      <c r="V64">
        <v>-2.0428103653102899E-14</v>
      </c>
      <c r="W64">
        <f t="shared" si="9"/>
        <v>-0.48222999999999905</v>
      </c>
    </row>
    <row r="65" spans="1:23" x14ac:dyDescent="0.3">
      <c r="A65">
        <v>6.1782684500000009</v>
      </c>
      <c r="B65">
        <v>0.49824000000000002</v>
      </c>
      <c r="C65">
        <f t="shared" si="1"/>
        <v>3.0782604725280005</v>
      </c>
      <c r="D65">
        <v>1.5599999999999999E-2</v>
      </c>
      <c r="E65" s="1">
        <v>1.2999999999999999E-2</v>
      </c>
      <c r="F65">
        <f t="shared" si="2"/>
        <v>1235.6536900000001</v>
      </c>
      <c r="G65">
        <f t="shared" si="3"/>
        <v>-0.49824000000000002</v>
      </c>
      <c r="H65">
        <f t="shared" si="4"/>
        <v>-615.65209450560008</v>
      </c>
      <c r="I65">
        <v>1</v>
      </c>
      <c r="J65">
        <f t="shared" si="5"/>
        <v>0.21160013369190239</v>
      </c>
      <c r="K65">
        <f t="shared" si="6"/>
        <v>-0.72348515177521744</v>
      </c>
      <c r="L65">
        <v>1</v>
      </c>
      <c r="M65">
        <f t="shared" si="7"/>
        <v>0.49188743010169844</v>
      </c>
      <c r="N65">
        <f t="shared" si="13"/>
        <v>9.6380987820000014E-2</v>
      </c>
      <c r="O65">
        <f t="shared" si="11"/>
        <v>8.0317489850000007E-2</v>
      </c>
      <c r="P65">
        <f t="shared" si="12"/>
        <v>5.4899244003518977E-2</v>
      </c>
      <c r="V65">
        <v>9.9999999999980105E-2</v>
      </c>
      <c r="W65">
        <f t="shared" si="9"/>
        <v>-0.48679399999999906</v>
      </c>
    </row>
    <row r="66" spans="1:23" x14ac:dyDescent="0.3">
      <c r="A66">
        <v>6.2777261499999994</v>
      </c>
      <c r="B66">
        <v>0.49314999999999998</v>
      </c>
      <c r="C66">
        <f t="shared" si="1"/>
        <v>3.0958606508724995</v>
      </c>
      <c r="D66">
        <v>1.5599999999999999E-2</v>
      </c>
      <c r="E66" s="1">
        <v>1.2999999999999999E-2</v>
      </c>
      <c r="F66">
        <f t="shared" si="2"/>
        <v>1255.5452299999999</v>
      </c>
      <c r="G66">
        <f t="shared" si="3"/>
        <v>-0.49314999999999998</v>
      </c>
      <c r="H66">
        <f t="shared" si="4"/>
        <v>-619.1721301744999</v>
      </c>
      <c r="I66">
        <v>1</v>
      </c>
      <c r="J66">
        <f t="shared" si="5"/>
        <v>0.22756992445445368</v>
      </c>
      <c r="K66">
        <f t="shared" si="6"/>
        <v>-0.72857515177521748</v>
      </c>
      <c r="L66">
        <v>1</v>
      </c>
      <c r="M66">
        <f t="shared" si="7"/>
        <v>0.49261629135210128</v>
      </c>
      <c r="N66">
        <f t="shared" si="13"/>
        <v>9.7932527939999986E-2</v>
      </c>
      <c r="O66">
        <f t="shared" si="11"/>
        <v>8.1610439949999988E-2</v>
      </c>
      <c r="P66">
        <f t="shared" si="12"/>
        <v>5.6415892533116227E-2</v>
      </c>
      <c r="V66">
        <v>0.19999999999998</v>
      </c>
      <c r="W66">
        <f t="shared" si="9"/>
        <v>-0.49135799999999907</v>
      </c>
    </row>
    <row r="67" spans="1:23" x14ac:dyDescent="0.3">
      <c r="A67">
        <v>6.3786253999999998</v>
      </c>
      <c r="B67">
        <v>0.48799999999999999</v>
      </c>
      <c r="C67">
        <f t="shared" si="1"/>
        <v>3.1127691951999998</v>
      </c>
      <c r="D67">
        <v>1.5599999999999999E-2</v>
      </c>
      <c r="E67" s="1">
        <v>1.2999999999999999E-2</v>
      </c>
      <c r="F67">
        <f t="shared" si="2"/>
        <v>1275.7250799999999</v>
      </c>
      <c r="G67">
        <f t="shared" si="3"/>
        <v>-0.48799999999999999</v>
      </c>
      <c r="H67">
        <f t="shared" si="4"/>
        <v>-622.55383903999996</v>
      </c>
      <c r="I67">
        <v>1</v>
      </c>
      <c r="J67">
        <f t="shared" si="5"/>
        <v>0.24351470716347859</v>
      </c>
      <c r="K67">
        <f t="shared" si="6"/>
        <v>-0.73372515177521747</v>
      </c>
      <c r="L67">
        <v>1</v>
      </c>
      <c r="M67">
        <f t="shared" si="7"/>
        <v>0.49334401123494115</v>
      </c>
      <c r="N67">
        <f t="shared" si="13"/>
        <v>9.9506556239999988E-2</v>
      </c>
      <c r="O67">
        <f t="shared" si="11"/>
        <v>8.2922130199999999E-2</v>
      </c>
      <c r="P67">
        <f t="shared" si="12"/>
        <v>5.7952454100276329E-2</v>
      </c>
      <c r="V67">
        <v>0.29999999999998</v>
      </c>
      <c r="W67">
        <f t="shared" si="9"/>
        <v>-0.49592199999999909</v>
      </c>
    </row>
    <row r="68" spans="1:23" x14ac:dyDescent="0.3">
      <c r="A68">
        <v>6.4795241499999996</v>
      </c>
      <c r="B68">
        <v>0.48287000000000002</v>
      </c>
      <c r="C68">
        <f t="shared" si="1"/>
        <v>3.1287678263104999</v>
      </c>
      <c r="D68">
        <v>1.5599999999999999E-2</v>
      </c>
      <c r="E68" s="1">
        <v>1.2999999999999999E-2</v>
      </c>
      <c r="F68">
        <f t="shared" si="2"/>
        <v>1295.9048299999999</v>
      </c>
      <c r="G68">
        <f t="shared" si="3"/>
        <v>-0.48287000000000002</v>
      </c>
      <c r="H68">
        <f t="shared" si="4"/>
        <v>-625.75356526209998</v>
      </c>
      <c r="I68">
        <v>1</v>
      </c>
      <c r="J68">
        <f t="shared" si="5"/>
        <v>0.25920916159172575</v>
      </c>
      <c r="K68">
        <f t="shared" si="6"/>
        <v>-0.73885515177521743</v>
      </c>
      <c r="L68">
        <v>1</v>
      </c>
      <c r="M68">
        <f t="shared" si="7"/>
        <v>0.49406030613504637</v>
      </c>
      <c r="N68">
        <f t="shared" si="13"/>
        <v>0.10108057673999998</v>
      </c>
      <c r="O68">
        <f t="shared" si="11"/>
        <v>8.4233813949999986E-2</v>
      </c>
      <c r="P68">
        <f t="shared" si="12"/>
        <v>5.9480454950171097E-2</v>
      </c>
      <c r="V68">
        <v>0.39999999999997998</v>
      </c>
      <c r="W68">
        <f t="shared" si="9"/>
        <v>-0.5004859999999991</v>
      </c>
    </row>
    <row r="69" spans="1:23" x14ac:dyDescent="0.3">
      <c r="A69">
        <v>6.5775408500000001</v>
      </c>
      <c r="B69">
        <v>0.47786000000000001</v>
      </c>
      <c r="C69">
        <f t="shared" ref="C69:C132" si="14">A69*B69</f>
        <v>3.1431436705810003</v>
      </c>
      <c r="D69">
        <v>1.5599999999999999E-2</v>
      </c>
      <c r="E69" s="1">
        <v>1.2999999999999999E-2</v>
      </c>
      <c r="F69">
        <f t="shared" ref="F69:F132" si="15">A69*200</f>
        <v>1315.5081700000001</v>
      </c>
      <c r="G69">
        <f t="shared" ref="G69:G132" si="16">-B69</f>
        <v>-0.47786000000000001</v>
      </c>
      <c r="H69">
        <f t="shared" ref="H69:H132" si="17">-C69*200</f>
        <v>-628.62873411620001</v>
      </c>
      <c r="I69">
        <v>1</v>
      </c>
      <c r="J69">
        <f t="shared" ref="J69:J132" si="18">LN(F69/1000)</f>
        <v>0.27422303204524945</v>
      </c>
      <c r="K69">
        <f t="shared" ref="K69:K132" si="19">((-G69)-$N$2)</f>
        <v>-0.7438651517752175</v>
      </c>
      <c r="L69">
        <v>1</v>
      </c>
      <c r="M69">
        <f t="shared" ref="M69:M132" si="20">-1*($S$4+($S$5*J69))</f>
        <v>0.49474553918254516</v>
      </c>
      <c r="N69">
        <f t="shared" si="13"/>
        <v>0.10260963726</v>
      </c>
      <c r="O69">
        <f t="shared" si="11"/>
        <v>8.5508031050000002E-2</v>
      </c>
      <c r="P69">
        <f t="shared" si="12"/>
        <v>6.1001944282672346E-2</v>
      </c>
      <c r="V69">
        <v>0.49999999999998002</v>
      </c>
      <c r="W69">
        <f t="shared" ref="W69:W132" si="21">V69*$S$5+$S$4</f>
        <v>-0.50504999999999911</v>
      </c>
    </row>
    <row r="70" spans="1:23" x14ac:dyDescent="0.3">
      <c r="A70">
        <v>6.6769985999999992</v>
      </c>
      <c r="B70">
        <v>0.47276000000000001</v>
      </c>
      <c r="C70">
        <f t="shared" si="14"/>
        <v>3.1566178581359998</v>
      </c>
      <c r="D70">
        <v>1.5599999999999999E-2</v>
      </c>
      <c r="E70" s="1">
        <v>1.2999999999999999E-2</v>
      </c>
      <c r="F70">
        <f t="shared" si="15"/>
        <v>1335.3997199999999</v>
      </c>
      <c r="G70">
        <f t="shared" si="16"/>
        <v>-0.47276000000000001</v>
      </c>
      <c r="H70">
        <f t="shared" si="17"/>
        <v>-631.32357162719995</v>
      </c>
      <c r="I70">
        <v>1</v>
      </c>
      <c r="J70">
        <f t="shared" si="18"/>
        <v>0.28923066276660553</v>
      </c>
      <c r="K70">
        <f t="shared" si="19"/>
        <v>-0.74896515177521739</v>
      </c>
      <c r="L70">
        <v>1</v>
      </c>
      <c r="M70">
        <f t="shared" si="20"/>
        <v>0.49543048744866786</v>
      </c>
      <c r="N70">
        <f t="shared" si="13"/>
        <v>0.10416117815999998</v>
      </c>
      <c r="O70">
        <f t="shared" ref="O70:O133" si="22">E70*A70</f>
        <v>8.6800981799999982E-2</v>
      </c>
      <c r="P70">
        <f t="shared" ref="P70:P133" si="23">-K70-M70-N70-O70</f>
        <v>6.2572504366549569E-2</v>
      </c>
      <c r="V70">
        <v>0.59999999999997999</v>
      </c>
      <c r="W70">
        <f t="shared" si="21"/>
        <v>-0.50961399999999912</v>
      </c>
    </row>
    <row r="71" spans="1:23" x14ac:dyDescent="0.3">
      <c r="A71">
        <v>6.77717685</v>
      </c>
      <c r="B71">
        <v>0.46761000000000003</v>
      </c>
      <c r="C71">
        <f t="shared" si="14"/>
        <v>3.1690756668285003</v>
      </c>
      <c r="D71">
        <v>1.5599999999999999E-2</v>
      </c>
      <c r="E71" s="1">
        <v>1.2999999999999999E-2</v>
      </c>
      <c r="F71">
        <f t="shared" si="15"/>
        <v>1355.4353699999999</v>
      </c>
      <c r="G71">
        <f t="shared" si="16"/>
        <v>-0.46761000000000003</v>
      </c>
      <c r="H71">
        <f t="shared" si="17"/>
        <v>-633.81513336570004</v>
      </c>
      <c r="I71">
        <v>1</v>
      </c>
      <c r="J71">
        <f t="shared" si="18"/>
        <v>0.30412270899692068</v>
      </c>
      <c r="K71">
        <f t="shared" si="19"/>
        <v>-0.75411515177521737</v>
      </c>
      <c r="L71">
        <v>1</v>
      </c>
      <c r="M71">
        <f t="shared" si="20"/>
        <v>0.49611016043861944</v>
      </c>
      <c r="N71">
        <f t="shared" ref="N71:N134" si="24">D71*A71</f>
        <v>0.10572395885999999</v>
      </c>
      <c r="O71">
        <f t="shared" si="22"/>
        <v>8.810329905E-2</v>
      </c>
      <c r="P71">
        <f t="shared" si="23"/>
        <v>6.4177733426597938E-2</v>
      </c>
      <c r="V71">
        <v>0.69999999999997997</v>
      </c>
      <c r="W71">
        <f t="shared" si="21"/>
        <v>-0.51417799999999914</v>
      </c>
    </row>
    <row r="72" spans="1:23" x14ac:dyDescent="0.3">
      <c r="A72">
        <v>6.8766346</v>
      </c>
      <c r="B72">
        <v>0.46248</v>
      </c>
      <c r="C72">
        <f t="shared" si="14"/>
        <v>3.1803059698079998</v>
      </c>
      <c r="D72">
        <v>1.5599999999999999E-2</v>
      </c>
      <c r="E72" s="1">
        <v>1.2999999999999999E-2</v>
      </c>
      <c r="F72">
        <f t="shared" si="15"/>
        <v>1375.32692</v>
      </c>
      <c r="G72">
        <f t="shared" si="16"/>
        <v>-0.46248</v>
      </c>
      <c r="H72">
        <f t="shared" si="17"/>
        <v>-636.0611939616</v>
      </c>
      <c r="I72">
        <v>1</v>
      </c>
      <c r="J72">
        <f t="shared" si="18"/>
        <v>0.31869146285810518</v>
      </c>
      <c r="K72">
        <f t="shared" si="19"/>
        <v>-0.75924515177521745</v>
      </c>
      <c r="L72">
        <v>1</v>
      </c>
      <c r="M72">
        <f t="shared" si="20"/>
        <v>0.49677507836484391</v>
      </c>
      <c r="N72">
        <f t="shared" si="24"/>
        <v>0.10727549975999999</v>
      </c>
      <c r="O72">
        <f t="shared" si="22"/>
        <v>8.9396249799999994E-2</v>
      </c>
      <c r="P72">
        <f t="shared" si="23"/>
        <v>6.5798323850373541E-2</v>
      </c>
      <c r="V72">
        <v>0.79999999999997995</v>
      </c>
      <c r="W72">
        <f t="shared" si="21"/>
        <v>-0.51874199999999904</v>
      </c>
    </row>
    <row r="73" spans="1:23" x14ac:dyDescent="0.3">
      <c r="A73">
        <v>6.9760923500000001</v>
      </c>
      <c r="B73">
        <v>0.45743</v>
      </c>
      <c r="C73">
        <f t="shared" si="14"/>
        <v>3.1910739236604999</v>
      </c>
      <c r="D73">
        <v>1.5599999999999999E-2</v>
      </c>
      <c r="E73" s="1">
        <v>1.2999999999999999E-2</v>
      </c>
      <c r="F73">
        <f t="shared" si="15"/>
        <v>1395.21847</v>
      </c>
      <c r="G73">
        <f t="shared" si="16"/>
        <v>-0.45743</v>
      </c>
      <c r="H73">
        <f t="shared" si="17"/>
        <v>-638.21478473209993</v>
      </c>
      <c r="I73">
        <v>1</v>
      </c>
      <c r="J73">
        <f t="shared" si="18"/>
        <v>0.33305101233036627</v>
      </c>
      <c r="K73">
        <f t="shared" si="19"/>
        <v>-0.76429515177521745</v>
      </c>
      <c r="L73">
        <v>1</v>
      </c>
      <c r="M73">
        <f t="shared" si="20"/>
        <v>0.49743044820275789</v>
      </c>
      <c r="N73">
        <f t="shared" si="24"/>
        <v>0.10882704066</v>
      </c>
      <c r="O73">
        <f t="shared" si="22"/>
        <v>9.0689200550000001E-2</v>
      </c>
      <c r="P73">
        <f t="shared" si="23"/>
        <v>6.7348462362459574E-2</v>
      </c>
      <c r="V73">
        <v>0.89999999999998004</v>
      </c>
      <c r="W73">
        <f t="shared" si="21"/>
        <v>-0.52330599999999905</v>
      </c>
    </row>
    <row r="74" spans="1:23" x14ac:dyDescent="0.3">
      <c r="A74">
        <v>7.0762710499999999</v>
      </c>
      <c r="B74">
        <v>0.45229999999999998</v>
      </c>
      <c r="C74">
        <f t="shared" si="14"/>
        <v>3.200597395915</v>
      </c>
      <c r="D74">
        <v>1.5599999999999999E-2</v>
      </c>
      <c r="E74" s="1">
        <v>1.2999999999999999E-2</v>
      </c>
      <c r="F74">
        <f t="shared" si="15"/>
        <v>1415.2542100000001</v>
      </c>
      <c r="G74">
        <f t="shared" si="16"/>
        <v>-0.45229999999999998</v>
      </c>
      <c r="H74">
        <f t="shared" si="17"/>
        <v>-640.11947918299995</v>
      </c>
      <c r="I74">
        <v>1</v>
      </c>
      <c r="J74">
        <f t="shared" si="18"/>
        <v>0.34730916866965306</v>
      </c>
      <c r="K74">
        <f t="shared" si="19"/>
        <v>-0.76942515177521753</v>
      </c>
      <c r="L74">
        <v>1</v>
      </c>
      <c r="M74">
        <f t="shared" si="20"/>
        <v>0.49808119045808297</v>
      </c>
      <c r="N74">
        <f t="shared" si="24"/>
        <v>0.11038982838</v>
      </c>
      <c r="O74">
        <f t="shared" si="22"/>
        <v>9.199152364999999E-2</v>
      </c>
      <c r="P74">
        <f t="shared" si="23"/>
        <v>6.8962609287134574E-2</v>
      </c>
      <c r="V74">
        <v>0.99999999999998002</v>
      </c>
      <c r="W74">
        <f t="shared" si="21"/>
        <v>-0.52786999999999906</v>
      </c>
    </row>
    <row r="75" spans="1:23" x14ac:dyDescent="0.3">
      <c r="A75">
        <v>7.1750077999999995</v>
      </c>
      <c r="B75">
        <v>0.44727</v>
      </c>
      <c r="C75">
        <f t="shared" si="14"/>
        <v>3.209165738706</v>
      </c>
      <c r="D75">
        <v>1.5599999999999999E-2</v>
      </c>
      <c r="E75" s="1">
        <v>1.2999999999999999E-2</v>
      </c>
      <c r="F75">
        <f t="shared" si="15"/>
        <v>1435.0015599999999</v>
      </c>
      <c r="G75">
        <f t="shared" si="16"/>
        <v>-0.44727</v>
      </c>
      <c r="H75">
        <f t="shared" si="17"/>
        <v>-641.83314774120004</v>
      </c>
      <c r="I75">
        <v>1</v>
      </c>
      <c r="J75">
        <f t="shared" si="18"/>
        <v>0.3611659363190074</v>
      </c>
      <c r="K75">
        <f t="shared" si="19"/>
        <v>-0.7744551517752174</v>
      </c>
      <c r="L75">
        <v>1</v>
      </c>
      <c r="M75">
        <f t="shared" si="20"/>
        <v>0.49871361333359948</v>
      </c>
      <c r="N75">
        <f t="shared" si="24"/>
        <v>0.11193012167999998</v>
      </c>
      <c r="O75">
        <f t="shared" si="22"/>
        <v>9.3275101399999991E-2</v>
      </c>
      <c r="P75">
        <f t="shared" si="23"/>
        <v>7.0536315361617932E-2</v>
      </c>
      <c r="V75">
        <v>1.0999999999999699</v>
      </c>
      <c r="W75">
        <f t="shared" si="21"/>
        <v>-0.53243399999999863</v>
      </c>
    </row>
    <row r="76" spans="1:23" x14ac:dyDescent="0.3">
      <c r="A76">
        <v>7.2737450499999996</v>
      </c>
      <c r="B76">
        <v>0.44213999999999998</v>
      </c>
      <c r="C76">
        <f t="shared" si="14"/>
        <v>3.2160136364069998</v>
      </c>
      <c r="D76">
        <v>1.5599999999999999E-2</v>
      </c>
      <c r="E76" s="1">
        <v>1.2999999999999999E-2</v>
      </c>
      <c r="F76">
        <f t="shared" si="15"/>
        <v>1454.74901</v>
      </c>
      <c r="G76">
        <f t="shared" si="16"/>
        <v>-0.44213999999999998</v>
      </c>
      <c r="H76">
        <f t="shared" si="17"/>
        <v>-643.20272728139992</v>
      </c>
      <c r="I76">
        <v>1</v>
      </c>
      <c r="J76">
        <f t="shared" si="18"/>
        <v>0.37483338402511013</v>
      </c>
      <c r="K76">
        <f t="shared" si="19"/>
        <v>-0.77958515177521748</v>
      </c>
      <c r="L76">
        <v>1</v>
      </c>
      <c r="M76">
        <f t="shared" si="20"/>
        <v>0.49933739564690605</v>
      </c>
      <c r="N76">
        <f t="shared" si="24"/>
        <v>0.11347042277999998</v>
      </c>
      <c r="O76">
        <f t="shared" si="22"/>
        <v>9.4558685649999988E-2</v>
      </c>
      <c r="P76">
        <f t="shared" si="23"/>
        <v>7.2218647698311475E-2</v>
      </c>
      <c r="V76">
        <v>1.19999999999997</v>
      </c>
      <c r="W76">
        <f t="shared" si="21"/>
        <v>-0.53699799999999864</v>
      </c>
    </row>
    <row r="77" spans="1:23" x14ac:dyDescent="0.3">
      <c r="A77">
        <v>7.3739233000000004</v>
      </c>
      <c r="B77">
        <v>0.43702999999999997</v>
      </c>
      <c r="C77">
        <f t="shared" si="14"/>
        <v>3.2226256997989999</v>
      </c>
      <c r="D77">
        <v>1.5599999999999999E-2</v>
      </c>
      <c r="E77" s="1">
        <v>1.2999999999999999E-2</v>
      </c>
      <c r="F77">
        <f t="shared" si="15"/>
        <v>1474.78466</v>
      </c>
      <c r="G77">
        <f t="shared" si="16"/>
        <v>-0.43702999999999997</v>
      </c>
      <c r="H77">
        <f t="shared" si="17"/>
        <v>-644.52513995979996</v>
      </c>
      <c r="I77">
        <v>1</v>
      </c>
      <c r="J77">
        <f t="shared" si="18"/>
        <v>0.3885119859133967</v>
      </c>
      <c r="K77">
        <f t="shared" si="19"/>
        <v>-0.78469515177521743</v>
      </c>
      <c r="L77">
        <v>1</v>
      </c>
      <c r="M77">
        <f t="shared" si="20"/>
        <v>0.49996168703708743</v>
      </c>
      <c r="N77">
        <f t="shared" si="24"/>
        <v>0.11503320348</v>
      </c>
      <c r="O77">
        <f t="shared" si="22"/>
        <v>9.5861002900000006E-2</v>
      </c>
      <c r="P77">
        <f t="shared" si="23"/>
        <v>7.3839258358129975E-2</v>
      </c>
      <c r="V77">
        <v>1.2999999999999701</v>
      </c>
      <c r="W77">
        <f t="shared" si="21"/>
        <v>-0.54156199999999866</v>
      </c>
    </row>
    <row r="78" spans="1:23" x14ac:dyDescent="0.3">
      <c r="A78">
        <v>7.4733810500000004</v>
      </c>
      <c r="B78">
        <v>0.43190000000000001</v>
      </c>
      <c r="C78">
        <f t="shared" si="14"/>
        <v>3.227753275495</v>
      </c>
      <c r="D78">
        <v>1.5599999999999999E-2</v>
      </c>
      <c r="E78" s="1">
        <v>1.2999999999999999E-2</v>
      </c>
      <c r="F78">
        <f t="shared" si="15"/>
        <v>1494.6762100000001</v>
      </c>
      <c r="G78">
        <f t="shared" si="16"/>
        <v>-0.43190000000000001</v>
      </c>
      <c r="H78">
        <f t="shared" si="17"/>
        <v>-645.55065509899998</v>
      </c>
      <c r="I78">
        <v>1</v>
      </c>
      <c r="J78">
        <f t="shared" si="18"/>
        <v>0.40190960144559518</v>
      </c>
      <c r="K78">
        <f t="shared" si="19"/>
        <v>-0.7898251517752175</v>
      </c>
      <c r="L78">
        <v>1</v>
      </c>
      <c r="M78">
        <f t="shared" si="20"/>
        <v>0.50057315420997694</v>
      </c>
      <c r="N78">
        <f t="shared" si="24"/>
        <v>0.11658474438000001</v>
      </c>
      <c r="O78">
        <f t="shared" si="22"/>
        <v>9.7153953649999999E-2</v>
      </c>
      <c r="P78">
        <f t="shared" si="23"/>
        <v>7.5513299535240566E-2</v>
      </c>
      <c r="V78">
        <v>1.3999999999999699</v>
      </c>
      <c r="W78">
        <f t="shared" si="21"/>
        <v>-0.54612599999999867</v>
      </c>
    </row>
    <row r="79" spans="1:23" x14ac:dyDescent="0.3">
      <c r="A79">
        <v>7.5721182999999996</v>
      </c>
      <c r="B79">
        <v>0.42681999999999998</v>
      </c>
      <c r="C79">
        <f t="shared" si="14"/>
        <v>3.2319315328059997</v>
      </c>
      <c r="D79">
        <v>1.5599999999999999E-2</v>
      </c>
      <c r="E79" s="1">
        <v>1.2999999999999999E-2</v>
      </c>
      <c r="F79">
        <f t="shared" si="15"/>
        <v>1514.4236599999999</v>
      </c>
      <c r="G79">
        <f t="shared" si="16"/>
        <v>-0.42681999999999998</v>
      </c>
      <c r="H79">
        <f t="shared" si="17"/>
        <v>-646.38630656119994</v>
      </c>
      <c r="I79">
        <v>1</v>
      </c>
      <c r="J79">
        <f t="shared" si="18"/>
        <v>0.41503494414011388</v>
      </c>
      <c r="K79">
        <f t="shared" si="19"/>
        <v>-0.79490515177521748</v>
      </c>
      <c r="L79">
        <v>1</v>
      </c>
      <c r="M79">
        <f t="shared" si="20"/>
        <v>0.50117219485055475</v>
      </c>
      <c r="N79">
        <f t="shared" si="24"/>
        <v>0.11812504547999998</v>
      </c>
      <c r="O79">
        <f t="shared" si="22"/>
        <v>9.8437537899999997E-2</v>
      </c>
      <c r="P79">
        <f t="shared" si="23"/>
        <v>7.717037354466276E-2</v>
      </c>
      <c r="V79">
        <v>1.49999999999997</v>
      </c>
      <c r="W79">
        <f t="shared" si="21"/>
        <v>-0.55068999999999857</v>
      </c>
    </row>
    <row r="80" spans="1:23" x14ac:dyDescent="0.3">
      <c r="A80">
        <v>7.6722964999999999</v>
      </c>
      <c r="B80">
        <v>0.42161999999999999</v>
      </c>
      <c r="C80">
        <f t="shared" si="14"/>
        <v>3.2347936503299999</v>
      </c>
      <c r="D80">
        <v>1.5599999999999999E-2</v>
      </c>
      <c r="E80" s="1">
        <v>1.2999999999999999E-2</v>
      </c>
      <c r="F80">
        <f t="shared" si="15"/>
        <v>1534.4593</v>
      </c>
      <c r="G80">
        <f t="shared" si="16"/>
        <v>-0.42161999999999999</v>
      </c>
      <c r="H80">
        <f t="shared" si="17"/>
        <v>-646.95873006599993</v>
      </c>
      <c r="I80">
        <v>1</v>
      </c>
      <c r="J80">
        <f t="shared" si="18"/>
        <v>0.42817807142841385</v>
      </c>
      <c r="K80">
        <f t="shared" si="19"/>
        <v>-0.80010515177521746</v>
      </c>
      <c r="L80">
        <v>1</v>
      </c>
      <c r="M80">
        <f t="shared" si="20"/>
        <v>0.5017720471799928</v>
      </c>
      <c r="N80">
        <f t="shared" si="24"/>
        <v>0.11968782539999999</v>
      </c>
      <c r="O80">
        <f t="shared" si="22"/>
        <v>9.9739854499999989E-2</v>
      </c>
      <c r="P80">
        <f t="shared" si="23"/>
        <v>7.8905424695224671E-2</v>
      </c>
      <c r="V80">
        <v>1.5999999999999699</v>
      </c>
      <c r="W80">
        <f t="shared" si="21"/>
        <v>-0.55525399999999858</v>
      </c>
    </row>
    <row r="81" spans="1:23" x14ac:dyDescent="0.3">
      <c r="A81">
        <v>7.7731957500000002</v>
      </c>
      <c r="B81">
        <v>0.41653000000000001</v>
      </c>
      <c r="C81">
        <f t="shared" si="14"/>
        <v>3.2377692257475004</v>
      </c>
      <c r="D81">
        <v>1.5599999999999999E-2</v>
      </c>
      <c r="E81" s="1">
        <v>1.2999999999999999E-2</v>
      </c>
      <c r="F81">
        <f t="shared" si="15"/>
        <v>1554.63915</v>
      </c>
      <c r="G81">
        <f t="shared" si="16"/>
        <v>-0.41653000000000001</v>
      </c>
      <c r="H81">
        <f t="shared" si="17"/>
        <v>-647.55384514950003</v>
      </c>
      <c r="I81">
        <v>1</v>
      </c>
      <c r="J81">
        <f t="shared" si="18"/>
        <v>0.44124346082378846</v>
      </c>
      <c r="K81">
        <f t="shared" si="19"/>
        <v>-0.80519515177521739</v>
      </c>
      <c r="L81">
        <v>1</v>
      </c>
      <c r="M81">
        <f t="shared" si="20"/>
        <v>0.50236835155199766</v>
      </c>
      <c r="N81">
        <f t="shared" si="24"/>
        <v>0.12126185369999999</v>
      </c>
      <c r="O81">
        <f t="shared" si="22"/>
        <v>0.10105154475</v>
      </c>
      <c r="P81">
        <f t="shared" si="23"/>
        <v>8.051340177321975E-2</v>
      </c>
      <c r="V81">
        <v>1.69999999999997</v>
      </c>
      <c r="W81">
        <f t="shared" si="21"/>
        <v>-0.55981799999999859</v>
      </c>
    </row>
    <row r="82" spans="1:23" x14ac:dyDescent="0.3">
      <c r="A82">
        <v>7.8712120000000008</v>
      </c>
      <c r="B82">
        <v>0.41145999999999999</v>
      </c>
      <c r="C82">
        <f t="shared" si="14"/>
        <v>3.2386888895200001</v>
      </c>
      <c r="D82">
        <v>1.5599999999999999E-2</v>
      </c>
      <c r="E82" s="1">
        <v>1.2999999999999999E-2</v>
      </c>
      <c r="F82">
        <f t="shared" si="15"/>
        <v>1574.2424000000001</v>
      </c>
      <c r="G82">
        <f t="shared" si="16"/>
        <v>-0.41145999999999999</v>
      </c>
      <c r="H82">
        <f t="shared" si="17"/>
        <v>-647.73777790400004</v>
      </c>
      <c r="I82">
        <v>1</v>
      </c>
      <c r="J82">
        <f t="shared" si="18"/>
        <v>0.45377414067933364</v>
      </c>
      <c r="K82">
        <f t="shared" si="19"/>
        <v>-0.81026515177521752</v>
      </c>
      <c r="L82">
        <v>1</v>
      </c>
      <c r="M82">
        <f t="shared" si="20"/>
        <v>0.50294025178060475</v>
      </c>
      <c r="N82">
        <f t="shared" si="24"/>
        <v>0.12279090720000001</v>
      </c>
      <c r="O82">
        <f t="shared" si="22"/>
        <v>0.102325756</v>
      </c>
      <c r="P82">
        <f t="shared" si="23"/>
        <v>8.2208236794612741E-2</v>
      </c>
      <c r="V82">
        <v>1.7999999999999701</v>
      </c>
      <c r="W82">
        <f t="shared" si="21"/>
        <v>-0.56438199999999861</v>
      </c>
    </row>
    <row r="83" spans="1:23" x14ac:dyDescent="0.3">
      <c r="A83">
        <v>7.9721112500000002</v>
      </c>
      <c r="B83">
        <v>0.40629999999999999</v>
      </c>
      <c r="C83">
        <f t="shared" si="14"/>
        <v>3.2390688008750002</v>
      </c>
      <c r="D83">
        <v>1.5599999999999999E-2</v>
      </c>
      <c r="E83" s="1">
        <v>1.2999999999999999E-2</v>
      </c>
      <c r="F83">
        <f t="shared" si="15"/>
        <v>1594.4222500000001</v>
      </c>
      <c r="G83">
        <f t="shared" si="16"/>
        <v>-0.40629999999999999</v>
      </c>
      <c r="H83">
        <f t="shared" si="17"/>
        <v>-647.81376017500008</v>
      </c>
      <c r="I83">
        <v>1</v>
      </c>
      <c r="J83">
        <f t="shared" si="18"/>
        <v>0.46651144491190144</v>
      </c>
      <c r="K83">
        <f t="shared" si="19"/>
        <v>-0.81542515177521746</v>
      </c>
      <c r="L83">
        <v>1</v>
      </c>
      <c r="M83">
        <f t="shared" si="20"/>
        <v>0.50352158234577915</v>
      </c>
      <c r="N83">
        <f t="shared" si="24"/>
        <v>0.1243649355</v>
      </c>
      <c r="O83">
        <f t="shared" si="22"/>
        <v>0.10363744625</v>
      </c>
      <c r="P83">
        <f t="shared" si="23"/>
        <v>8.3901187679438313E-2</v>
      </c>
      <c r="V83">
        <v>1.8999999999999699</v>
      </c>
      <c r="W83">
        <f t="shared" si="21"/>
        <v>-0.56894599999999862</v>
      </c>
    </row>
    <row r="84" spans="1:23" x14ac:dyDescent="0.3">
      <c r="A84">
        <v>8.0715694500000001</v>
      </c>
      <c r="B84">
        <v>0.40128000000000003</v>
      </c>
      <c r="C84">
        <f t="shared" si="14"/>
        <v>3.2389593888960002</v>
      </c>
      <c r="D84">
        <v>1.5599999999999999E-2</v>
      </c>
      <c r="E84" s="1">
        <v>1.2999999999999999E-2</v>
      </c>
      <c r="F84">
        <f t="shared" si="15"/>
        <v>1614.3138900000001</v>
      </c>
      <c r="G84">
        <f t="shared" si="16"/>
        <v>-0.40128000000000003</v>
      </c>
      <c r="H84">
        <f t="shared" si="17"/>
        <v>-647.79187777920004</v>
      </c>
      <c r="I84">
        <v>1</v>
      </c>
      <c r="J84">
        <f t="shared" si="18"/>
        <v>0.47891003049296349</v>
      </c>
      <c r="K84">
        <f t="shared" si="19"/>
        <v>-0.82044515177521737</v>
      </c>
      <c r="L84">
        <v>1</v>
      </c>
      <c r="M84">
        <f t="shared" si="20"/>
        <v>0.50408745379169884</v>
      </c>
      <c r="N84">
        <f t="shared" si="24"/>
        <v>0.12591648342</v>
      </c>
      <c r="O84">
        <f t="shared" si="22"/>
        <v>0.10493040284999999</v>
      </c>
      <c r="P84">
        <f t="shared" si="23"/>
        <v>8.5510811713518542E-2</v>
      </c>
      <c r="V84">
        <v>1.99999999999997</v>
      </c>
      <c r="W84">
        <f t="shared" si="21"/>
        <v>-0.57350999999999863</v>
      </c>
    </row>
    <row r="85" spans="1:23" x14ac:dyDescent="0.3">
      <c r="A85">
        <v>8.1695852500000008</v>
      </c>
      <c r="B85">
        <v>0.39632000000000001</v>
      </c>
      <c r="C85">
        <f t="shared" si="14"/>
        <v>3.2377700262800002</v>
      </c>
      <c r="D85">
        <v>1.5599999999999999E-2</v>
      </c>
      <c r="E85" s="1">
        <v>1.2999999999999999E-2</v>
      </c>
      <c r="F85">
        <f t="shared" si="15"/>
        <v>1633.9170500000002</v>
      </c>
      <c r="G85">
        <f t="shared" si="16"/>
        <v>-0.39632000000000001</v>
      </c>
      <c r="H85">
        <f t="shared" si="17"/>
        <v>-647.5540052560001</v>
      </c>
      <c r="I85">
        <v>1</v>
      </c>
      <c r="J85">
        <f t="shared" si="18"/>
        <v>0.49098023015534531</v>
      </c>
      <c r="K85">
        <f t="shared" si="19"/>
        <v>-0.82540515177521745</v>
      </c>
      <c r="L85">
        <v>1</v>
      </c>
      <c r="M85">
        <f t="shared" si="20"/>
        <v>0.50463833770429001</v>
      </c>
      <c r="N85">
        <f t="shared" si="24"/>
        <v>0.12744552989999999</v>
      </c>
      <c r="O85">
        <f t="shared" si="22"/>
        <v>0.10620460825</v>
      </c>
      <c r="P85">
        <f t="shared" si="23"/>
        <v>8.711667592092745E-2</v>
      </c>
      <c r="V85">
        <v>2.0999999999999699</v>
      </c>
      <c r="W85">
        <f t="shared" si="21"/>
        <v>-0.57807399999999864</v>
      </c>
    </row>
    <row r="86" spans="1:23" x14ac:dyDescent="0.3">
      <c r="A86">
        <v>8.27192595</v>
      </c>
      <c r="B86">
        <v>0.39134000000000002</v>
      </c>
      <c r="C86">
        <f t="shared" si="14"/>
        <v>3.2371355012730003</v>
      </c>
      <c r="D86">
        <v>1.5599999999999999E-2</v>
      </c>
      <c r="E86" s="1">
        <v>1.2999999999999999E-2</v>
      </c>
      <c r="F86">
        <f t="shared" si="15"/>
        <v>1654.38519</v>
      </c>
      <c r="G86">
        <f t="shared" si="16"/>
        <v>-0.39134000000000002</v>
      </c>
      <c r="H86">
        <f t="shared" si="17"/>
        <v>-647.42710025460008</v>
      </c>
      <c r="I86">
        <v>1</v>
      </c>
      <c r="J86">
        <f t="shared" si="18"/>
        <v>0.50342945340602452</v>
      </c>
      <c r="K86">
        <f t="shared" si="19"/>
        <v>-0.83038515177521743</v>
      </c>
      <c r="L86">
        <v>1</v>
      </c>
      <c r="M86">
        <f t="shared" si="20"/>
        <v>0.50520652025345092</v>
      </c>
      <c r="N86">
        <f t="shared" si="24"/>
        <v>0.12904204482000001</v>
      </c>
      <c r="O86">
        <f t="shared" si="22"/>
        <v>0.10753503735</v>
      </c>
      <c r="P86">
        <f t="shared" si="23"/>
        <v>8.8601549351766506E-2</v>
      </c>
      <c r="V86">
        <v>2.19999999999997</v>
      </c>
      <c r="W86">
        <f t="shared" si="21"/>
        <v>-0.58263799999999866</v>
      </c>
    </row>
    <row r="87" spans="1:23" x14ac:dyDescent="0.3">
      <c r="A87">
        <v>8.3713836500000003</v>
      </c>
      <c r="B87">
        <v>0.38621</v>
      </c>
      <c r="C87">
        <f t="shared" si="14"/>
        <v>3.2331120794665003</v>
      </c>
      <c r="D87">
        <v>1.5599999999999999E-2</v>
      </c>
      <c r="E87" s="1">
        <v>1.2999999999999999E-2</v>
      </c>
      <c r="F87">
        <f t="shared" si="15"/>
        <v>1674.27673</v>
      </c>
      <c r="G87">
        <f t="shared" si="16"/>
        <v>-0.38621</v>
      </c>
      <c r="H87">
        <f t="shared" si="17"/>
        <v>-646.62241589330006</v>
      </c>
      <c r="I87">
        <v>1</v>
      </c>
      <c r="J87">
        <f t="shared" si="18"/>
        <v>0.51538126903820047</v>
      </c>
      <c r="K87">
        <f t="shared" si="19"/>
        <v>-0.83551515177521751</v>
      </c>
      <c r="L87">
        <v>1</v>
      </c>
      <c r="M87">
        <f t="shared" si="20"/>
        <v>0.5057520011189035</v>
      </c>
      <c r="N87">
        <f t="shared" si="24"/>
        <v>0.13059358494000001</v>
      </c>
      <c r="O87">
        <f t="shared" si="22"/>
        <v>0.10882798745</v>
      </c>
      <c r="P87">
        <f t="shared" si="23"/>
        <v>9.0341578266314004E-2</v>
      </c>
      <c r="V87">
        <v>2.2999999999999701</v>
      </c>
      <c r="W87">
        <f t="shared" si="21"/>
        <v>-0.58720199999999867</v>
      </c>
    </row>
    <row r="88" spans="1:23" x14ac:dyDescent="0.3">
      <c r="A88">
        <v>8.4694003999999996</v>
      </c>
      <c r="B88">
        <v>0.38120999999999999</v>
      </c>
      <c r="C88">
        <f t="shared" si="14"/>
        <v>3.228620126484</v>
      </c>
      <c r="D88">
        <v>1.5599999999999999E-2</v>
      </c>
      <c r="E88" s="1">
        <v>1.2999999999999999E-2</v>
      </c>
      <c r="F88">
        <f t="shared" si="15"/>
        <v>1693.8800799999999</v>
      </c>
      <c r="G88">
        <f t="shared" si="16"/>
        <v>-0.38120999999999999</v>
      </c>
      <c r="H88">
        <f t="shared" si="17"/>
        <v>-645.72402529680005</v>
      </c>
      <c r="I88">
        <v>1</v>
      </c>
      <c r="J88">
        <f t="shared" si="18"/>
        <v>0.52702180269690502</v>
      </c>
      <c r="K88">
        <f t="shared" si="19"/>
        <v>-0.84051515177521741</v>
      </c>
      <c r="L88">
        <v>1</v>
      </c>
      <c r="M88">
        <f t="shared" si="20"/>
        <v>0.50628327507508675</v>
      </c>
      <c r="N88">
        <f t="shared" si="24"/>
        <v>0.13212264623999997</v>
      </c>
      <c r="O88">
        <f t="shared" si="22"/>
        <v>0.11010220519999998</v>
      </c>
      <c r="P88">
        <f t="shared" si="23"/>
        <v>9.2007025260130701E-2</v>
      </c>
      <c r="V88">
        <v>2.3999999999999702</v>
      </c>
      <c r="W88">
        <f t="shared" si="21"/>
        <v>-0.59176599999999868</v>
      </c>
    </row>
    <row r="89" spans="1:23" x14ac:dyDescent="0.3">
      <c r="A89">
        <v>8.5688581500000005</v>
      </c>
      <c r="B89">
        <v>0.37613999999999997</v>
      </c>
      <c r="C89">
        <f t="shared" si="14"/>
        <v>3.223090304541</v>
      </c>
      <c r="D89">
        <v>1.5599999999999999E-2</v>
      </c>
      <c r="E89" s="1">
        <v>1.2999999999999999E-2</v>
      </c>
      <c r="F89">
        <f t="shared" si="15"/>
        <v>1713.7716300000002</v>
      </c>
      <c r="G89">
        <f t="shared" si="16"/>
        <v>-0.37613999999999997</v>
      </c>
      <c r="H89">
        <f t="shared" si="17"/>
        <v>-644.61806090820005</v>
      </c>
      <c r="I89">
        <v>1</v>
      </c>
      <c r="J89">
        <f t="shared" si="18"/>
        <v>0.53869657325893872</v>
      </c>
      <c r="K89">
        <f t="shared" si="19"/>
        <v>-0.84558515177521754</v>
      </c>
      <c r="L89">
        <v>1</v>
      </c>
      <c r="M89">
        <f t="shared" si="20"/>
        <v>0.5068161116035379</v>
      </c>
      <c r="N89">
        <f t="shared" si="24"/>
        <v>0.13367418714000001</v>
      </c>
      <c r="O89">
        <f t="shared" si="22"/>
        <v>0.11139515595</v>
      </c>
      <c r="P89">
        <f t="shared" si="23"/>
        <v>9.369969708167962E-2</v>
      </c>
      <c r="V89">
        <v>2.4999999999999698</v>
      </c>
      <c r="W89">
        <f t="shared" si="21"/>
        <v>-0.59632999999999858</v>
      </c>
    </row>
    <row r="90" spans="1:23" x14ac:dyDescent="0.3">
      <c r="A90">
        <v>8.6697568999999994</v>
      </c>
      <c r="B90">
        <v>0.37096000000000001</v>
      </c>
      <c r="C90">
        <f t="shared" si="14"/>
        <v>3.2161330196239999</v>
      </c>
      <c r="D90">
        <v>1.5599999999999999E-2</v>
      </c>
      <c r="E90" s="1">
        <v>1.2999999999999999E-2</v>
      </c>
      <c r="F90">
        <f t="shared" si="15"/>
        <v>1733.95138</v>
      </c>
      <c r="G90">
        <f t="shared" si="16"/>
        <v>-0.37096000000000001</v>
      </c>
      <c r="H90">
        <f t="shared" si="17"/>
        <v>-643.22660392479997</v>
      </c>
      <c r="I90">
        <v>1</v>
      </c>
      <c r="J90">
        <f t="shared" si="18"/>
        <v>0.55040283874955764</v>
      </c>
      <c r="K90">
        <f t="shared" si="19"/>
        <v>-0.8507651517752175</v>
      </c>
      <c r="L90">
        <v>1</v>
      </c>
      <c r="M90">
        <f t="shared" si="20"/>
        <v>0.5073503855605298</v>
      </c>
      <c r="N90">
        <f t="shared" si="24"/>
        <v>0.13524820763999998</v>
      </c>
      <c r="O90">
        <f t="shared" si="22"/>
        <v>0.11270683969999999</v>
      </c>
      <c r="P90">
        <f t="shared" si="23"/>
        <v>9.5459718874687724E-2</v>
      </c>
      <c r="V90">
        <v>2.5999999999999699</v>
      </c>
      <c r="W90">
        <f t="shared" si="21"/>
        <v>-0.6008939999999986</v>
      </c>
    </row>
    <row r="91" spans="1:23" x14ac:dyDescent="0.3">
      <c r="A91">
        <v>8.7692146500000003</v>
      </c>
      <c r="B91">
        <v>0.36592000000000002</v>
      </c>
      <c r="C91">
        <f t="shared" si="14"/>
        <v>3.2088310247280005</v>
      </c>
      <c r="D91">
        <v>1.5599999999999999E-2</v>
      </c>
      <c r="E91" s="1">
        <v>1.2999999999999999E-2</v>
      </c>
      <c r="F91">
        <f t="shared" si="15"/>
        <v>1753.84293</v>
      </c>
      <c r="G91">
        <f t="shared" si="16"/>
        <v>-0.36592000000000002</v>
      </c>
      <c r="H91">
        <f t="shared" si="17"/>
        <v>-641.76620494560007</v>
      </c>
      <c r="I91">
        <v>1</v>
      </c>
      <c r="J91">
        <f t="shared" si="18"/>
        <v>0.56180934033927421</v>
      </c>
      <c r="K91">
        <f t="shared" si="19"/>
        <v>-0.85580515177521743</v>
      </c>
      <c r="L91">
        <v>1</v>
      </c>
      <c r="M91">
        <f t="shared" si="20"/>
        <v>0.50787097829308447</v>
      </c>
      <c r="N91">
        <f t="shared" si="24"/>
        <v>0.13679974853999999</v>
      </c>
      <c r="O91">
        <f t="shared" si="22"/>
        <v>0.11399979045</v>
      </c>
      <c r="P91">
        <f t="shared" si="23"/>
        <v>9.7134634492132971E-2</v>
      </c>
      <c r="V91">
        <v>2.69999999999997</v>
      </c>
      <c r="W91">
        <f t="shared" si="21"/>
        <v>-0.60545799999999861</v>
      </c>
    </row>
    <row r="92" spans="1:23" x14ac:dyDescent="0.3">
      <c r="A92">
        <v>8.8693933500000011</v>
      </c>
      <c r="B92">
        <v>0.36075000000000002</v>
      </c>
      <c r="C92">
        <f t="shared" si="14"/>
        <v>3.1996336510125003</v>
      </c>
      <c r="D92">
        <v>1.5599999999999999E-2</v>
      </c>
      <c r="E92" s="1">
        <v>1.2999999999999999E-2</v>
      </c>
      <c r="F92">
        <f t="shared" si="15"/>
        <v>1773.8786700000003</v>
      </c>
      <c r="G92">
        <f t="shared" si="16"/>
        <v>-0.36075000000000002</v>
      </c>
      <c r="H92">
        <f t="shared" si="17"/>
        <v>-639.92673020250004</v>
      </c>
      <c r="I92">
        <v>1</v>
      </c>
      <c r="J92">
        <f t="shared" si="18"/>
        <v>0.57316848808734366</v>
      </c>
      <c r="K92">
        <f t="shared" si="19"/>
        <v>-0.86097515177521744</v>
      </c>
      <c r="L92">
        <v>1</v>
      </c>
      <c r="M92">
        <f t="shared" si="20"/>
        <v>0.50838940979630631</v>
      </c>
      <c r="N92">
        <f t="shared" si="24"/>
        <v>0.13836253626</v>
      </c>
      <c r="O92">
        <f t="shared" si="22"/>
        <v>0.11530211355</v>
      </c>
      <c r="P92">
        <f t="shared" si="23"/>
        <v>9.8921092168911123E-2</v>
      </c>
      <c r="V92">
        <v>2.7999999999999701</v>
      </c>
      <c r="W92">
        <f t="shared" si="21"/>
        <v>-0.61002199999999862</v>
      </c>
    </row>
    <row r="93" spans="1:23" x14ac:dyDescent="0.3">
      <c r="A93">
        <v>8.9702921</v>
      </c>
      <c r="B93">
        <v>0.35571000000000003</v>
      </c>
      <c r="C93">
        <f t="shared" si="14"/>
        <v>3.1908226028910001</v>
      </c>
      <c r="D93">
        <v>1.5599999999999999E-2</v>
      </c>
      <c r="E93" s="1">
        <v>1.2999999999999999E-2</v>
      </c>
      <c r="F93">
        <f t="shared" si="15"/>
        <v>1794.0584200000001</v>
      </c>
      <c r="G93">
        <f t="shared" si="16"/>
        <v>-0.35571000000000003</v>
      </c>
      <c r="H93">
        <f t="shared" si="17"/>
        <v>-638.16452057820004</v>
      </c>
      <c r="I93">
        <v>1</v>
      </c>
      <c r="J93">
        <f t="shared" si="18"/>
        <v>0.58448032720896959</v>
      </c>
      <c r="K93">
        <f t="shared" si="19"/>
        <v>-0.86601515177521748</v>
      </c>
      <c r="L93">
        <v>1</v>
      </c>
      <c r="M93">
        <f t="shared" si="20"/>
        <v>0.50890568213381737</v>
      </c>
      <c r="N93">
        <f t="shared" si="24"/>
        <v>0.13993655676</v>
      </c>
      <c r="O93">
        <f t="shared" si="22"/>
        <v>0.11661379729999999</v>
      </c>
      <c r="P93">
        <f t="shared" si="23"/>
        <v>0.10055911558140013</v>
      </c>
      <c r="V93">
        <v>2.8999999999999702</v>
      </c>
      <c r="W93">
        <f t="shared" si="21"/>
        <v>-0.61458599999999863</v>
      </c>
    </row>
    <row r="94" spans="1:23" x14ac:dyDescent="0.3">
      <c r="A94">
        <v>9.0683088499999993</v>
      </c>
      <c r="B94">
        <v>0.35060000000000002</v>
      </c>
      <c r="C94">
        <f t="shared" si="14"/>
        <v>3.1793490828099999</v>
      </c>
      <c r="D94">
        <v>1.5599999999999999E-2</v>
      </c>
      <c r="E94" s="1">
        <v>1.2999999999999999E-2</v>
      </c>
      <c r="F94">
        <f t="shared" si="15"/>
        <v>1813.6617699999999</v>
      </c>
      <c r="G94">
        <f t="shared" si="16"/>
        <v>-0.35060000000000002</v>
      </c>
      <c r="H94">
        <f t="shared" si="17"/>
        <v>-635.86981656199998</v>
      </c>
      <c r="I94">
        <v>1</v>
      </c>
      <c r="J94">
        <f t="shared" si="18"/>
        <v>0.59534787896068675</v>
      </c>
      <c r="K94">
        <f t="shared" si="19"/>
        <v>-0.87112515177521743</v>
      </c>
      <c r="L94">
        <v>1</v>
      </c>
      <c r="M94">
        <f t="shared" si="20"/>
        <v>0.50940167719576568</v>
      </c>
      <c r="N94">
        <f t="shared" si="24"/>
        <v>0.14146561805999999</v>
      </c>
      <c r="O94">
        <f t="shared" si="22"/>
        <v>0.11788801504999999</v>
      </c>
      <c r="P94">
        <f t="shared" si="23"/>
        <v>0.10236984146945177</v>
      </c>
      <c r="V94">
        <v>2.9999999999999698</v>
      </c>
      <c r="W94">
        <f t="shared" si="21"/>
        <v>-0.61914999999999865</v>
      </c>
    </row>
    <row r="95" spans="1:23" x14ac:dyDescent="0.3">
      <c r="A95">
        <v>9.1677665499999996</v>
      </c>
      <c r="B95">
        <v>0.34555000000000002</v>
      </c>
      <c r="C95">
        <f t="shared" si="14"/>
        <v>3.1679217313525001</v>
      </c>
      <c r="D95">
        <v>1.5599999999999999E-2</v>
      </c>
      <c r="E95" s="1">
        <v>1.2999999999999999E-2</v>
      </c>
      <c r="F95">
        <f t="shared" si="15"/>
        <v>1833.55331</v>
      </c>
      <c r="G95">
        <f t="shared" si="16"/>
        <v>-0.34555000000000002</v>
      </c>
      <c r="H95">
        <f t="shared" si="17"/>
        <v>-633.58434627049996</v>
      </c>
      <c r="I95">
        <v>1</v>
      </c>
      <c r="J95">
        <f t="shared" si="18"/>
        <v>0.60625578364514587</v>
      </c>
      <c r="K95">
        <f t="shared" si="19"/>
        <v>-0.87617515177521743</v>
      </c>
      <c r="L95">
        <v>1</v>
      </c>
      <c r="M95">
        <f t="shared" si="20"/>
        <v>0.50989951396556443</v>
      </c>
      <c r="N95">
        <f t="shared" si="24"/>
        <v>0.14301715817999999</v>
      </c>
      <c r="O95">
        <f t="shared" si="22"/>
        <v>0.11918096514999998</v>
      </c>
      <c r="P95">
        <f t="shared" si="23"/>
        <v>0.10407751447965302</v>
      </c>
      <c r="V95">
        <v>3.0999999999999699</v>
      </c>
      <c r="W95">
        <f t="shared" si="21"/>
        <v>-0.62371399999999866</v>
      </c>
    </row>
    <row r="96" spans="1:23" x14ac:dyDescent="0.3">
      <c r="A96">
        <v>9.2679453000000009</v>
      </c>
      <c r="B96">
        <v>0.34044000000000002</v>
      </c>
      <c r="C96">
        <f t="shared" si="14"/>
        <v>3.1551792979320004</v>
      </c>
      <c r="D96">
        <v>1.5599999999999999E-2</v>
      </c>
      <c r="E96" s="1">
        <v>1.2999999999999999E-2</v>
      </c>
      <c r="F96">
        <f t="shared" si="15"/>
        <v>1853.5890600000002</v>
      </c>
      <c r="G96">
        <f t="shared" si="16"/>
        <v>-0.34044000000000002</v>
      </c>
      <c r="H96">
        <f t="shared" si="17"/>
        <v>-631.03585958640008</v>
      </c>
      <c r="I96">
        <v>1</v>
      </c>
      <c r="J96">
        <f t="shared" si="18"/>
        <v>0.61712379209012735</v>
      </c>
      <c r="K96">
        <f t="shared" si="19"/>
        <v>-0.88128515177521738</v>
      </c>
      <c r="L96">
        <v>1</v>
      </c>
      <c r="M96">
        <f t="shared" si="20"/>
        <v>0.51039552987099346</v>
      </c>
      <c r="N96">
        <f t="shared" si="24"/>
        <v>0.14457994668000002</v>
      </c>
      <c r="O96">
        <f t="shared" si="22"/>
        <v>0.12048328890000001</v>
      </c>
      <c r="P96">
        <f t="shared" si="23"/>
        <v>0.10582638632422389</v>
      </c>
      <c r="V96">
        <v>3.19999999999997</v>
      </c>
      <c r="W96">
        <f t="shared" si="21"/>
        <v>-0.62827799999999856</v>
      </c>
    </row>
    <row r="97" spans="1:23" x14ac:dyDescent="0.3">
      <c r="A97">
        <v>9.3681230500000012</v>
      </c>
      <c r="B97">
        <v>0.33528999999999998</v>
      </c>
      <c r="C97">
        <f t="shared" si="14"/>
        <v>3.1410379774345003</v>
      </c>
      <c r="D97">
        <v>1.5599999999999999E-2</v>
      </c>
      <c r="E97" s="1">
        <v>1.2999999999999999E-2</v>
      </c>
      <c r="F97">
        <f t="shared" si="15"/>
        <v>1873.6246100000003</v>
      </c>
      <c r="G97">
        <f t="shared" si="16"/>
        <v>-0.33528999999999998</v>
      </c>
      <c r="H97">
        <f t="shared" si="17"/>
        <v>-628.20759548690012</v>
      </c>
      <c r="I97">
        <v>1</v>
      </c>
      <c r="J97">
        <f t="shared" si="18"/>
        <v>0.62787484891595602</v>
      </c>
      <c r="K97">
        <f t="shared" si="19"/>
        <v>-0.88643515177521748</v>
      </c>
      <c r="L97">
        <v>1</v>
      </c>
      <c r="M97">
        <f t="shared" si="20"/>
        <v>0.51088620810452423</v>
      </c>
      <c r="N97">
        <f t="shared" si="24"/>
        <v>0.14614271958000002</v>
      </c>
      <c r="O97">
        <f t="shared" si="22"/>
        <v>0.12178559965000001</v>
      </c>
      <c r="P97">
        <f t="shared" si="23"/>
        <v>0.10762062444069322</v>
      </c>
      <c r="V97">
        <v>3.2999999999999701</v>
      </c>
      <c r="W97">
        <f t="shared" si="21"/>
        <v>-0.63284199999999857</v>
      </c>
    </row>
    <row r="98" spans="1:23" x14ac:dyDescent="0.3">
      <c r="A98">
        <v>9.4668607500000004</v>
      </c>
      <c r="B98">
        <v>0.32993</v>
      </c>
      <c r="C98">
        <f t="shared" si="14"/>
        <v>3.1234013672475003</v>
      </c>
      <c r="D98">
        <v>1.5599999999999999E-2</v>
      </c>
      <c r="E98" s="1">
        <v>1.2999999999999999E-2</v>
      </c>
      <c r="F98">
        <f t="shared" si="15"/>
        <v>1893.3721500000001</v>
      </c>
      <c r="G98">
        <f t="shared" si="16"/>
        <v>-0.32993</v>
      </c>
      <c r="H98">
        <f t="shared" si="17"/>
        <v>-624.68027344950008</v>
      </c>
      <c r="I98">
        <v>1</v>
      </c>
      <c r="J98">
        <f t="shared" si="18"/>
        <v>0.63835944561535563</v>
      </c>
      <c r="K98">
        <f t="shared" si="19"/>
        <v>-0.8917951517752174</v>
      </c>
      <c r="L98">
        <v>1</v>
      </c>
      <c r="M98">
        <f t="shared" si="20"/>
        <v>0.51136472509788478</v>
      </c>
      <c r="N98">
        <f t="shared" si="24"/>
        <v>0.1476830277</v>
      </c>
      <c r="O98">
        <f t="shared" si="22"/>
        <v>0.12306918975</v>
      </c>
      <c r="P98">
        <f t="shared" si="23"/>
        <v>0.10967820922733262</v>
      </c>
      <c r="V98">
        <v>3.3999999999999702</v>
      </c>
      <c r="W98">
        <f t="shared" si="21"/>
        <v>-0.63740599999999858</v>
      </c>
    </row>
    <row r="99" spans="1:23" x14ac:dyDescent="0.3">
      <c r="A99">
        <v>9.5670385499999995</v>
      </c>
      <c r="B99">
        <v>0.32483000000000001</v>
      </c>
      <c r="C99">
        <f t="shared" si="14"/>
        <v>3.1076611321964998</v>
      </c>
      <c r="D99">
        <v>1.5599999999999999E-2</v>
      </c>
      <c r="E99" s="1">
        <v>1.2999999999999999E-2</v>
      </c>
      <c r="F99">
        <f t="shared" si="15"/>
        <v>1913.40771</v>
      </c>
      <c r="G99">
        <f t="shared" si="16"/>
        <v>-0.32483000000000001</v>
      </c>
      <c r="H99">
        <f t="shared" si="17"/>
        <v>-621.53222643929996</v>
      </c>
      <c r="I99">
        <v>1</v>
      </c>
      <c r="J99">
        <f t="shared" si="18"/>
        <v>0.64888579373013644</v>
      </c>
      <c r="K99">
        <f t="shared" si="19"/>
        <v>-0.8968951517752175</v>
      </c>
      <c r="L99">
        <v>1</v>
      </c>
      <c r="M99">
        <f t="shared" si="20"/>
        <v>0.51184514762584343</v>
      </c>
      <c r="N99">
        <f t="shared" si="24"/>
        <v>0.14924580137999999</v>
      </c>
      <c r="O99">
        <f t="shared" si="22"/>
        <v>0.12437150114999999</v>
      </c>
      <c r="P99">
        <f t="shared" si="23"/>
        <v>0.11143270161937409</v>
      </c>
      <c r="V99">
        <v>3.4999999999999698</v>
      </c>
      <c r="W99">
        <f t="shared" si="21"/>
        <v>-0.6419699999999986</v>
      </c>
    </row>
    <row r="100" spans="1:23" x14ac:dyDescent="0.3">
      <c r="A100">
        <v>9.6657762500000004</v>
      </c>
      <c r="B100">
        <v>0.31963000000000003</v>
      </c>
      <c r="C100">
        <f t="shared" si="14"/>
        <v>3.0894720627875003</v>
      </c>
      <c r="D100">
        <v>1.5599999999999999E-2</v>
      </c>
      <c r="E100" s="1">
        <v>1.2999999999999999E-2</v>
      </c>
      <c r="F100">
        <f t="shared" si="15"/>
        <v>1933.15525</v>
      </c>
      <c r="G100">
        <f t="shared" si="16"/>
        <v>-0.31963000000000003</v>
      </c>
      <c r="H100">
        <f t="shared" si="17"/>
        <v>-617.89441255750012</v>
      </c>
      <c r="I100">
        <v>1</v>
      </c>
      <c r="J100">
        <f t="shared" si="18"/>
        <v>0.65915351257272126</v>
      </c>
      <c r="K100">
        <f t="shared" si="19"/>
        <v>-0.90209515177521737</v>
      </c>
      <c r="L100">
        <v>1</v>
      </c>
      <c r="M100">
        <f t="shared" si="20"/>
        <v>0.51231376631381897</v>
      </c>
      <c r="N100">
        <f t="shared" si="24"/>
        <v>0.15078610949999999</v>
      </c>
      <c r="O100">
        <f t="shared" si="22"/>
        <v>0.12565509124999999</v>
      </c>
      <c r="P100">
        <f t="shared" si="23"/>
        <v>0.11334018471139842</v>
      </c>
      <c r="V100">
        <v>3.5999999999999699</v>
      </c>
      <c r="W100">
        <f t="shared" si="21"/>
        <v>-0.64653399999999861</v>
      </c>
    </row>
    <row r="101" spans="1:23" x14ac:dyDescent="0.3">
      <c r="A101">
        <v>9.7659549500000011</v>
      </c>
      <c r="B101">
        <v>0.31440000000000001</v>
      </c>
      <c r="C101">
        <f t="shared" si="14"/>
        <v>3.0704162362800003</v>
      </c>
      <c r="D101">
        <v>1.5599999999999999E-2</v>
      </c>
      <c r="E101" s="1">
        <v>1.2999999999999999E-2</v>
      </c>
      <c r="F101">
        <f t="shared" si="15"/>
        <v>1953.1909900000003</v>
      </c>
      <c r="G101">
        <f t="shared" si="16"/>
        <v>-0.31440000000000001</v>
      </c>
      <c r="H101">
        <f t="shared" si="17"/>
        <v>-614.08324725600005</v>
      </c>
      <c r="I101">
        <v>1</v>
      </c>
      <c r="J101">
        <f t="shared" si="18"/>
        <v>0.66946444025186558</v>
      </c>
      <c r="K101">
        <f t="shared" si="19"/>
        <v>-0.90732515177521744</v>
      </c>
      <c r="L101">
        <v>1</v>
      </c>
      <c r="M101">
        <f t="shared" si="20"/>
        <v>0.51278435705309511</v>
      </c>
      <c r="N101">
        <f t="shared" si="24"/>
        <v>0.15234889722</v>
      </c>
      <c r="O101">
        <f t="shared" si="22"/>
        <v>0.12695741435000002</v>
      </c>
      <c r="P101">
        <f t="shared" si="23"/>
        <v>0.11523448315212231</v>
      </c>
      <c r="V101">
        <v>3.69999999999997</v>
      </c>
      <c r="W101">
        <f t="shared" si="21"/>
        <v>-0.65109799999999862</v>
      </c>
    </row>
    <row r="102" spans="1:23" x14ac:dyDescent="0.3">
      <c r="A102">
        <v>9.8661327500000002</v>
      </c>
      <c r="B102">
        <v>0.30914999999999998</v>
      </c>
      <c r="C102">
        <f t="shared" si="14"/>
        <v>3.0501149396625</v>
      </c>
      <c r="D102">
        <v>1.5599999999999999E-2</v>
      </c>
      <c r="E102" s="1">
        <v>1.2999999999999999E-2</v>
      </c>
      <c r="F102">
        <f t="shared" si="15"/>
        <v>1973.2265500000001</v>
      </c>
      <c r="G102">
        <f t="shared" si="16"/>
        <v>-0.30914999999999998</v>
      </c>
      <c r="H102">
        <f t="shared" si="17"/>
        <v>-610.02298793249997</v>
      </c>
      <c r="I102">
        <v>1</v>
      </c>
      <c r="J102">
        <f t="shared" si="18"/>
        <v>0.67967004558795829</v>
      </c>
      <c r="K102">
        <f t="shared" si="19"/>
        <v>-0.91257515177521742</v>
      </c>
      <c r="L102">
        <v>1</v>
      </c>
      <c r="M102">
        <f t="shared" si="20"/>
        <v>0.51325014088063436</v>
      </c>
      <c r="N102">
        <f t="shared" si="24"/>
        <v>0.15391167089999999</v>
      </c>
      <c r="O102">
        <f t="shared" si="22"/>
        <v>0.12825972575</v>
      </c>
      <c r="P102">
        <f t="shared" si="23"/>
        <v>0.11715361424458307</v>
      </c>
      <c r="V102">
        <v>3.7999999999999701</v>
      </c>
      <c r="W102">
        <f t="shared" si="21"/>
        <v>-0.65566199999999863</v>
      </c>
    </row>
    <row r="103" spans="1:23" x14ac:dyDescent="0.3">
      <c r="A103">
        <v>9.9648704499999994</v>
      </c>
      <c r="B103">
        <v>0.30377999999999999</v>
      </c>
      <c r="C103">
        <f t="shared" si="14"/>
        <v>3.0271283453009996</v>
      </c>
      <c r="D103">
        <v>1.5599999999999999E-2</v>
      </c>
      <c r="E103" s="1">
        <v>1.2999999999999999E-2</v>
      </c>
      <c r="F103">
        <f t="shared" si="15"/>
        <v>1992.9740899999999</v>
      </c>
      <c r="G103">
        <f t="shared" si="16"/>
        <v>-0.30377999999999999</v>
      </c>
      <c r="H103">
        <f t="shared" si="17"/>
        <v>-605.42566906019988</v>
      </c>
      <c r="I103">
        <v>1</v>
      </c>
      <c r="J103">
        <f t="shared" si="18"/>
        <v>0.6896280406443942</v>
      </c>
      <c r="K103">
        <f t="shared" si="19"/>
        <v>-0.91794515177521752</v>
      </c>
      <c r="L103">
        <v>1</v>
      </c>
      <c r="M103">
        <f t="shared" si="20"/>
        <v>0.51370462377501014</v>
      </c>
      <c r="N103">
        <f t="shared" si="24"/>
        <v>0.15545197901999999</v>
      </c>
      <c r="O103">
        <f t="shared" si="22"/>
        <v>0.12954331584999998</v>
      </c>
      <c r="P103">
        <f t="shared" si="23"/>
        <v>0.11924523313020741</v>
      </c>
      <c r="V103">
        <v>3.8999999999999599</v>
      </c>
      <c r="W103">
        <f t="shared" si="21"/>
        <v>-0.6602259999999982</v>
      </c>
    </row>
    <row r="104" spans="1:23" x14ac:dyDescent="0.3">
      <c r="A104">
        <v>10.0650482</v>
      </c>
      <c r="B104">
        <v>0.29853000000000002</v>
      </c>
      <c r="C104">
        <f t="shared" si="14"/>
        <v>3.0047188391460002</v>
      </c>
      <c r="D104">
        <v>1.5599999999999999E-2</v>
      </c>
      <c r="E104" s="1">
        <v>1.2999999999999999E-2</v>
      </c>
      <c r="F104">
        <f t="shared" si="15"/>
        <v>2013.00964</v>
      </c>
      <c r="G104">
        <f t="shared" si="16"/>
        <v>-0.29853000000000002</v>
      </c>
      <c r="H104">
        <f t="shared" si="17"/>
        <v>-600.94376782920006</v>
      </c>
      <c r="I104">
        <v>1</v>
      </c>
      <c r="J104">
        <f t="shared" si="18"/>
        <v>0.69963093551851763</v>
      </c>
      <c r="K104">
        <f t="shared" si="19"/>
        <v>-0.92319515177521749</v>
      </c>
      <c r="L104">
        <v>1</v>
      </c>
      <c r="M104">
        <f t="shared" si="20"/>
        <v>0.51416115589706513</v>
      </c>
      <c r="N104">
        <f t="shared" si="24"/>
        <v>0.15701475192</v>
      </c>
      <c r="O104">
        <f t="shared" si="22"/>
        <v>0.13084562659999999</v>
      </c>
      <c r="P104">
        <f t="shared" si="23"/>
        <v>0.12117361735815235</v>
      </c>
      <c r="V104">
        <v>3.99999999999996</v>
      </c>
      <c r="W104">
        <f t="shared" si="21"/>
        <v>-0.66478999999999822</v>
      </c>
    </row>
    <row r="105" spans="1:23" x14ac:dyDescent="0.3">
      <c r="A105">
        <v>10.164505950000001</v>
      </c>
      <c r="B105">
        <v>0.29315999999999998</v>
      </c>
      <c r="C105">
        <f t="shared" si="14"/>
        <v>2.9798265643019999</v>
      </c>
      <c r="D105">
        <v>1.5599999999999999E-2</v>
      </c>
      <c r="E105" s="1">
        <v>1.2999999999999999E-2</v>
      </c>
      <c r="F105">
        <f t="shared" si="15"/>
        <v>2032.90119</v>
      </c>
      <c r="G105">
        <f t="shared" si="16"/>
        <v>-0.29315999999999998</v>
      </c>
      <c r="H105">
        <f t="shared" si="17"/>
        <v>-595.96531286039999</v>
      </c>
      <c r="I105">
        <v>1</v>
      </c>
      <c r="J105">
        <f t="shared" si="18"/>
        <v>0.70946393041536282</v>
      </c>
      <c r="K105">
        <f t="shared" si="19"/>
        <v>-0.92856515177521748</v>
      </c>
      <c r="L105">
        <v>1</v>
      </c>
      <c r="M105">
        <f t="shared" si="20"/>
        <v>0.5146099337841572</v>
      </c>
      <c r="N105">
        <f t="shared" si="24"/>
        <v>0.15856629282000001</v>
      </c>
      <c r="O105">
        <f t="shared" si="22"/>
        <v>0.13213857735000001</v>
      </c>
      <c r="P105">
        <f t="shared" si="23"/>
        <v>0.12325034782106026</v>
      </c>
      <c r="V105">
        <v>4.0999999999999996</v>
      </c>
      <c r="W105">
        <f t="shared" si="21"/>
        <v>-0.669354</v>
      </c>
    </row>
    <row r="106" spans="1:23" x14ac:dyDescent="0.3">
      <c r="A106">
        <v>10.2632437</v>
      </c>
      <c r="B106">
        <v>0.28783999999999998</v>
      </c>
      <c r="C106">
        <f t="shared" si="14"/>
        <v>2.9541720666079998</v>
      </c>
      <c r="D106">
        <v>1.5599999999999999E-2</v>
      </c>
      <c r="E106" s="1">
        <v>1.2999999999999999E-2</v>
      </c>
      <c r="F106">
        <f t="shared" si="15"/>
        <v>2052.6487400000001</v>
      </c>
      <c r="G106">
        <f t="shared" si="16"/>
        <v>-0.28783999999999998</v>
      </c>
      <c r="H106">
        <f t="shared" si="17"/>
        <v>-590.83441332159998</v>
      </c>
      <c r="I106">
        <v>1</v>
      </c>
      <c r="J106">
        <f t="shared" si="18"/>
        <v>0.7191310274410776</v>
      </c>
      <c r="K106">
        <f t="shared" si="19"/>
        <v>-0.93388515177521747</v>
      </c>
      <c r="L106">
        <v>1</v>
      </c>
      <c r="M106">
        <f t="shared" si="20"/>
        <v>0.51505114009241082</v>
      </c>
      <c r="N106">
        <f t="shared" si="24"/>
        <v>0.16010660171999999</v>
      </c>
      <c r="O106">
        <f t="shared" si="22"/>
        <v>0.13342216809999999</v>
      </c>
      <c r="P106">
        <f t="shared" si="23"/>
        <v>0.12530524186280664</v>
      </c>
      <c r="V106">
        <v>4.2</v>
      </c>
      <c r="W106">
        <f t="shared" si="21"/>
        <v>-0.67391800000000002</v>
      </c>
    </row>
    <row r="107" spans="1:23" x14ac:dyDescent="0.3">
      <c r="A107">
        <v>10.363421450000001</v>
      </c>
      <c r="B107">
        <v>0.28245999999999999</v>
      </c>
      <c r="C107">
        <f t="shared" si="14"/>
        <v>2.927252022767</v>
      </c>
      <c r="D107">
        <v>1.5599999999999999E-2</v>
      </c>
      <c r="E107" s="1">
        <v>1.2999999999999999E-2</v>
      </c>
      <c r="F107">
        <f t="shared" si="15"/>
        <v>2072.6842900000001</v>
      </c>
      <c r="G107">
        <f t="shared" si="16"/>
        <v>-0.28245999999999999</v>
      </c>
      <c r="H107">
        <f t="shared" si="17"/>
        <v>-585.45040455339995</v>
      </c>
      <c r="I107">
        <v>1</v>
      </c>
      <c r="J107">
        <f t="shared" si="18"/>
        <v>0.72884452566630253</v>
      </c>
      <c r="K107">
        <f t="shared" si="19"/>
        <v>-0.93926515177521752</v>
      </c>
      <c r="L107">
        <v>1</v>
      </c>
      <c r="M107">
        <f t="shared" si="20"/>
        <v>0.51549446415141009</v>
      </c>
      <c r="N107">
        <f t="shared" si="24"/>
        <v>0.16166937462</v>
      </c>
      <c r="O107">
        <f t="shared" si="22"/>
        <v>0.13472447885</v>
      </c>
      <c r="P107">
        <f t="shared" si="23"/>
        <v>0.12737683415380746</v>
      </c>
      <c r="V107">
        <v>4.3</v>
      </c>
      <c r="W107">
        <f t="shared" si="21"/>
        <v>-0.67848200000000003</v>
      </c>
    </row>
    <row r="108" spans="1:23" x14ac:dyDescent="0.3">
      <c r="A108">
        <v>10.4628792</v>
      </c>
      <c r="B108">
        <v>0.27718999999999999</v>
      </c>
      <c r="C108">
        <f t="shared" si="14"/>
        <v>2.9002054854479997</v>
      </c>
      <c r="D108">
        <v>1.5599999999999999E-2</v>
      </c>
      <c r="E108" s="1">
        <v>1.2999999999999999E-2</v>
      </c>
      <c r="F108">
        <f t="shared" si="15"/>
        <v>2092.57584</v>
      </c>
      <c r="G108">
        <f t="shared" si="16"/>
        <v>-0.27718999999999999</v>
      </c>
      <c r="H108">
        <f t="shared" si="17"/>
        <v>-580.04109708959993</v>
      </c>
      <c r="I108">
        <v>1</v>
      </c>
      <c r="J108">
        <f t="shared" si="18"/>
        <v>0.73839576645230376</v>
      </c>
      <c r="K108">
        <f t="shared" si="19"/>
        <v>-0.94453515177521741</v>
      </c>
      <c r="L108">
        <v>1</v>
      </c>
      <c r="M108">
        <f t="shared" si="20"/>
        <v>0.5159303827808831</v>
      </c>
      <c r="N108">
        <f t="shared" si="24"/>
        <v>0.16322091551999998</v>
      </c>
      <c r="O108">
        <f t="shared" si="22"/>
        <v>0.13601742959999999</v>
      </c>
      <c r="P108">
        <f t="shared" si="23"/>
        <v>0.12936642387433436</v>
      </c>
      <c r="V108">
        <v>4.4000000000000004</v>
      </c>
      <c r="W108">
        <f t="shared" si="21"/>
        <v>-0.68304600000000004</v>
      </c>
    </row>
    <row r="109" spans="1:23" x14ac:dyDescent="0.3">
      <c r="A109">
        <v>10.5623369</v>
      </c>
      <c r="B109">
        <v>0.27200000000000002</v>
      </c>
      <c r="C109">
        <f t="shared" si="14"/>
        <v>2.8729556368000004</v>
      </c>
      <c r="D109">
        <v>1.5599999999999999E-2</v>
      </c>
      <c r="E109" s="1">
        <v>1.2999999999999999E-2</v>
      </c>
      <c r="F109">
        <f t="shared" si="15"/>
        <v>2112.46738</v>
      </c>
      <c r="G109">
        <f t="shared" si="16"/>
        <v>-0.27200000000000002</v>
      </c>
      <c r="H109">
        <f t="shared" si="17"/>
        <v>-574.59112736000009</v>
      </c>
      <c r="I109">
        <v>1</v>
      </c>
      <c r="J109">
        <f t="shared" si="18"/>
        <v>0.74785663870985353</v>
      </c>
      <c r="K109">
        <f t="shared" si="19"/>
        <v>-0.94972515177521744</v>
      </c>
      <c r="L109">
        <v>1</v>
      </c>
      <c r="M109">
        <f t="shared" si="20"/>
        <v>0.51636217699071774</v>
      </c>
      <c r="N109">
        <f t="shared" si="24"/>
        <v>0.16477245563999998</v>
      </c>
      <c r="O109">
        <f t="shared" si="22"/>
        <v>0.13731037969999998</v>
      </c>
      <c r="P109">
        <f t="shared" si="23"/>
        <v>0.13128013944449973</v>
      </c>
      <c r="V109">
        <v>4.5</v>
      </c>
      <c r="W109">
        <f t="shared" si="21"/>
        <v>-0.68761000000000005</v>
      </c>
    </row>
    <row r="110" spans="1:23" x14ac:dyDescent="0.3">
      <c r="A110">
        <v>10.66251565</v>
      </c>
      <c r="B110">
        <v>0.26632</v>
      </c>
      <c r="C110">
        <f t="shared" si="14"/>
        <v>2.8396411679079998</v>
      </c>
      <c r="D110">
        <v>1.5599999999999999E-2</v>
      </c>
      <c r="E110" s="1">
        <v>1.2999999999999999E-2</v>
      </c>
      <c r="F110">
        <f t="shared" si="15"/>
        <v>2132.5031300000001</v>
      </c>
      <c r="G110">
        <f t="shared" si="16"/>
        <v>-0.26632</v>
      </c>
      <c r="H110">
        <f t="shared" si="17"/>
        <v>-567.92823358160001</v>
      </c>
      <c r="I110">
        <v>1</v>
      </c>
      <c r="J110">
        <f t="shared" si="18"/>
        <v>0.75729646814346396</v>
      </c>
      <c r="K110">
        <f t="shared" si="19"/>
        <v>-0.95540515177521745</v>
      </c>
      <c r="L110">
        <v>1</v>
      </c>
      <c r="M110">
        <f t="shared" si="20"/>
        <v>0.51679301080606765</v>
      </c>
      <c r="N110">
        <f t="shared" si="24"/>
        <v>0.16633524413999998</v>
      </c>
      <c r="O110">
        <f t="shared" si="22"/>
        <v>0.13861270344999999</v>
      </c>
      <c r="P110">
        <f t="shared" si="23"/>
        <v>0.13366419337914981</v>
      </c>
      <c r="V110">
        <v>4.5999999999999996</v>
      </c>
      <c r="W110">
        <f t="shared" si="21"/>
        <v>-0.69217399999999996</v>
      </c>
    </row>
    <row r="111" spans="1:23" x14ac:dyDescent="0.3">
      <c r="A111">
        <v>10.761973399999999</v>
      </c>
      <c r="B111">
        <v>0.26095000000000002</v>
      </c>
      <c r="C111">
        <f t="shared" si="14"/>
        <v>2.80833695873</v>
      </c>
      <c r="D111">
        <v>1.5599999999999999E-2</v>
      </c>
      <c r="E111" s="1">
        <v>1.2999999999999999E-2</v>
      </c>
      <c r="F111">
        <f t="shared" si="15"/>
        <v>2152.3946799999999</v>
      </c>
      <c r="G111">
        <f t="shared" si="16"/>
        <v>-0.26095000000000002</v>
      </c>
      <c r="H111">
        <f t="shared" si="17"/>
        <v>-561.66739174600002</v>
      </c>
      <c r="I111">
        <v>1</v>
      </c>
      <c r="J111">
        <f t="shared" si="18"/>
        <v>0.7665810269705301</v>
      </c>
      <c r="K111">
        <f t="shared" si="19"/>
        <v>-0.96077515177521744</v>
      </c>
      <c r="L111">
        <v>1</v>
      </c>
      <c r="M111">
        <f t="shared" si="20"/>
        <v>0.51721675807093503</v>
      </c>
      <c r="N111">
        <f t="shared" si="24"/>
        <v>0.16788678503999996</v>
      </c>
      <c r="O111">
        <f t="shared" si="22"/>
        <v>0.13990565419999998</v>
      </c>
      <c r="P111">
        <f t="shared" si="23"/>
        <v>0.13576595446428244</v>
      </c>
      <c r="V111">
        <v>4.7</v>
      </c>
      <c r="W111">
        <f t="shared" si="21"/>
        <v>-0.69673799999999997</v>
      </c>
    </row>
    <row r="112" spans="1:23" x14ac:dyDescent="0.3">
      <c r="A112">
        <v>10.861431099999999</v>
      </c>
      <c r="B112">
        <v>0.25535999999999998</v>
      </c>
      <c r="C112">
        <f t="shared" si="14"/>
        <v>2.7735750456959996</v>
      </c>
      <c r="D112">
        <v>1.5599999999999999E-2</v>
      </c>
      <c r="E112" s="1">
        <v>1.2999999999999999E-2</v>
      </c>
      <c r="F112">
        <f t="shared" si="15"/>
        <v>2172.28622</v>
      </c>
      <c r="G112">
        <f t="shared" si="16"/>
        <v>-0.25535999999999998</v>
      </c>
      <c r="H112">
        <f t="shared" si="17"/>
        <v>-554.71500913919988</v>
      </c>
      <c r="I112">
        <v>1</v>
      </c>
      <c r="J112">
        <f t="shared" si="18"/>
        <v>0.7757801705537456</v>
      </c>
      <c r="K112">
        <f t="shared" si="19"/>
        <v>-0.96636515177521742</v>
      </c>
      <c r="L112">
        <v>1</v>
      </c>
      <c r="M112">
        <f t="shared" si="20"/>
        <v>0.51763660698407299</v>
      </c>
      <c r="N112">
        <f t="shared" si="24"/>
        <v>0.16943832515999999</v>
      </c>
      <c r="O112">
        <f t="shared" si="22"/>
        <v>0.14119860429999997</v>
      </c>
      <c r="P112">
        <f t="shared" si="23"/>
        <v>0.13809161533114445</v>
      </c>
      <c r="V112">
        <v>4.8</v>
      </c>
      <c r="W112">
        <f t="shared" si="21"/>
        <v>-0.70130199999999998</v>
      </c>
    </row>
    <row r="113" spans="1:23" x14ac:dyDescent="0.3">
      <c r="A113">
        <v>10.960888849999998</v>
      </c>
      <c r="B113">
        <v>0.24976000000000001</v>
      </c>
      <c r="C113">
        <f t="shared" si="14"/>
        <v>2.7375915991759996</v>
      </c>
      <c r="D113">
        <v>1.5599999999999999E-2</v>
      </c>
      <c r="E113" s="1">
        <v>1.2999999999999999E-2</v>
      </c>
      <c r="F113">
        <f t="shared" si="15"/>
        <v>2192.1777699999998</v>
      </c>
      <c r="G113">
        <f t="shared" si="16"/>
        <v>-0.24976000000000001</v>
      </c>
      <c r="H113">
        <f t="shared" si="17"/>
        <v>-547.51831983519992</v>
      </c>
      <c r="I113">
        <v>1</v>
      </c>
      <c r="J113">
        <f t="shared" si="18"/>
        <v>0.78489546524994092</v>
      </c>
      <c r="K113">
        <f t="shared" si="19"/>
        <v>-0.97196515177521747</v>
      </c>
      <c r="L113">
        <v>1</v>
      </c>
      <c r="M113">
        <f t="shared" si="20"/>
        <v>0.51805262903400728</v>
      </c>
      <c r="N113">
        <f t="shared" si="24"/>
        <v>0.17098986605999997</v>
      </c>
      <c r="O113">
        <f t="shared" si="22"/>
        <v>0.14249155504999997</v>
      </c>
      <c r="P113">
        <f t="shared" si="23"/>
        <v>0.14043110163121023</v>
      </c>
      <c r="V113">
        <v>4.9000000000000004</v>
      </c>
      <c r="W113">
        <f t="shared" si="21"/>
        <v>-0.70586599999999999</v>
      </c>
    </row>
    <row r="114" spans="1:23" x14ac:dyDescent="0.3">
      <c r="C114">
        <f t="shared" si="14"/>
        <v>0</v>
      </c>
      <c r="D114">
        <v>1.5599999999999999E-2</v>
      </c>
      <c r="E114" s="1">
        <v>1.2999999999999999E-2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-1.2217251517752175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-0.71043000000000001</v>
      </c>
    </row>
    <row r="115" spans="1:23" x14ac:dyDescent="0.3">
      <c r="C115">
        <f t="shared" si="14"/>
        <v>0</v>
      </c>
      <c r="D115">
        <v>1.5599999999999999E-2</v>
      </c>
      <c r="E115" s="1">
        <v>1.2999999999999999E-2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-1.2217251517752175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-0.71499399999999991</v>
      </c>
    </row>
    <row r="116" spans="1:23" x14ac:dyDescent="0.3">
      <c r="C116">
        <f t="shared" si="14"/>
        <v>0</v>
      </c>
      <c r="D116">
        <v>1.5599999999999999E-2</v>
      </c>
      <c r="E116" s="1">
        <v>1.2999999999999999E-2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-1.2217251517752175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-0.71955800000000003</v>
      </c>
    </row>
    <row r="117" spans="1:23" x14ac:dyDescent="0.3">
      <c r="C117">
        <f t="shared" si="14"/>
        <v>0</v>
      </c>
      <c r="D117">
        <v>1.5599999999999999E-2</v>
      </c>
      <c r="E117" s="1">
        <v>1.2999999999999999E-2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-1.2217251517752175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-0.72412199999999993</v>
      </c>
    </row>
    <row r="118" spans="1:23" x14ac:dyDescent="0.3">
      <c r="C118">
        <f t="shared" si="14"/>
        <v>0</v>
      </c>
      <c r="D118">
        <v>1.5599999999999999E-2</v>
      </c>
      <c r="E118" s="1">
        <v>1.2999999999999999E-2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-1.2217251517752175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-0.72868599999999994</v>
      </c>
    </row>
    <row r="119" spans="1:23" x14ac:dyDescent="0.3">
      <c r="C119">
        <f t="shared" si="14"/>
        <v>0</v>
      </c>
      <c r="D119">
        <v>1.5599999999999999E-2</v>
      </c>
      <c r="E119" s="1">
        <v>1.2999999999999999E-2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-1.2217251517752175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-0.73324999999999996</v>
      </c>
    </row>
    <row r="120" spans="1:23" x14ac:dyDescent="0.3">
      <c r="C120">
        <f t="shared" si="14"/>
        <v>0</v>
      </c>
      <c r="D120">
        <v>1.5599999999999999E-2</v>
      </c>
      <c r="E120" s="1">
        <v>1.2999999999999999E-2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-1.2217251517752175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-0.73781399999999997</v>
      </c>
    </row>
    <row r="121" spans="1:23" x14ac:dyDescent="0.3">
      <c r="C121">
        <f t="shared" si="14"/>
        <v>0</v>
      </c>
      <c r="D121">
        <v>1.5599999999999999E-2</v>
      </c>
      <c r="E121" s="1">
        <v>1.2999999999999999E-2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-1.2217251517752175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-0.74237799999999998</v>
      </c>
    </row>
    <row r="122" spans="1:23" x14ac:dyDescent="0.3">
      <c r="C122">
        <f t="shared" si="14"/>
        <v>0</v>
      </c>
      <c r="D122">
        <v>1.5599999999999999E-2</v>
      </c>
      <c r="E122" s="1">
        <v>1.2999999999999999E-2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-1.2217251517752175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-0.74694199999999999</v>
      </c>
    </row>
    <row r="123" spans="1:23" x14ac:dyDescent="0.3">
      <c r="C123">
        <f t="shared" si="14"/>
        <v>0</v>
      </c>
      <c r="D123">
        <v>1.5599999999999999E-2</v>
      </c>
      <c r="E123" s="1">
        <v>1.2999999999999999E-2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-1.2217251517752175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-0.75150600000000001</v>
      </c>
    </row>
    <row r="124" spans="1:23" x14ac:dyDescent="0.3">
      <c r="C124">
        <f t="shared" si="14"/>
        <v>0</v>
      </c>
      <c r="D124">
        <v>1.5599999999999999E-2</v>
      </c>
      <c r="E124" s="1">
        <v>1.2999999999999999E-2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-1.2217251517752175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-0.75607000000000002</v>
      </c>
    </row>
    <row r="125" spans="1:23" x14ac:dyDescent="0.3">
      <c r="C125">
        <f t="shared" si="14"/>
        <v>0</v>
      </c>
      <c r="D125">
        <v>1.5599999999999999E-2</v>
      </c>
      <c r="E125" s="1">
        <v>1.2999999999999999E-2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-1.2217251517752175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-0.76063400000000003</v>
      </c>
    </row>
    <row r="126" spans="1:23" x14ac:dyDescent="0.3">
      <c r="C126">
        <f t="shared" si="14"/>
        <v>0</v>
      </c>
      <c r="D126">
        <v>1.5599999999999999E-2</v>
      </c>
      <c r="E126" s="1">
        <v>1.2999999999999999E-2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-1.2217251517752175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-0.76519800000000004</v>
      </c>
    </row>
    <row r="127" spans="1:23" x14ac:dyDescent="0.3">
      <c r="C127">
        <f t="shared" si="14"/>
        <v>0</v>
      </c>
      <c r="D127">
        <v>1.5599999999999999E-2</v>
      </c>
      <c r="E127" s="1">
        <v>1.2999999999999999E-2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-1.2217251517752175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-0.76976200000000006</v>
      </c>
    </row>
    <row r="128" spans="1:23" x14ac:dyDescent="0.3">
      <c r="C128">
        <f t="shared" si="14"/>
        <v>0</v>
      </c>
      <c r="D128">
        <v>1.5599999999999999E-2</v>
      </c>
      <c r="E128" s="1">
        <v>1.2999999999999999E-2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-1.2217251517752175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-0.77432600000000007</v>
      </c>
    </row>
    <row r="129" spans="3:23" x14ac:dyDescent="0.3">
      <c r="C129">
        <f t="shared" si="14"/>
        <v>0</v>
      </c>
      <c r="D129">
        <v>1.5599999999999999E-2</v>
      </c>
      <c r="E129" s="1">
        <v>1.2999999999999999E-2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-1.2217251517752175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-0.77888999999999997</v>
      </c>
    </row>
    <row r="130" spans="3:23" x14ac:dyDescent="0.3">
      <c r="C130">
        <f t="shared" si="14"/>
        <v>0</v>
      </c>
      <c r="D130">
        <v>1.5599999999999999E-2</v>
      </c>
      <c r="E130" s="1">
        <v>1.2999999999999999E-2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-1.2217251517752175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-0.78345399999999998</v>
      </c>
    </row>
    <row r="131" spans="3:23" x14ac:dyDescent="0.3">
      <c r="C131">
        <f t="shared" si="14"/>
        <v>0</v>
      </c>
      <c r="D131">
        <v>1.5599999999999999E-2</v>
      </c>
      <c r="E131" s="1">
        <v>1.2999999999999999E-2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-1.2217251517752175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-0.788018</v>
      </c>
    </row>
    <row r="132" spans="3:23" x14ac:dyDescent="0.3">
      <c r="C132">
        <f t="shared" si="14"/>
        <v>0</v>
      </c>
      <c r="D132">
        <v>1.5599999999999999E-2</v>
      </c>
      <c r="E132" s="1">
        <v>1.2999999999999999E-2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-1.2217251517752175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-0.79258200000000001</v>
      </c>
    </row>
    <row r="133" spans="3:23" x14ac:dyDescent="0.3">
      <c r="C133">
        <f t="shared" ref="C133:C196" si="25">A133*B133</f>
        <v>0</v>
      </c>
      <c r="D133">
        <v>1.5599999999999999E-2</v>
      </c>
      <c r="E133" s="1">
        <v>1.2999999999999999E-2</v>
      </c>
      <c r="F133">
        <f t="shared" ref="F133:F144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-1.2217251517752175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-0.79714600000000002</v>
      </c>
    </row>
    <row r="134" spans="3:23" x14ac:dyDescent="0.3">
      <c r="C134">
        <f t="shared" si="25"/>
        <v>0</v>
      </c>
      <c r="D134">
        <v>1.5599999999999999E-2</v>
      </c>
      <c r="E134" s="1">
        <v>1.2999999999999999E-2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-0.80170999999999992</v>
      </c>
    </row>
    <row r="135" spans="3:23" x14ac:dyDescent="0.3">
      <c r="C135">
        <f t="shared" si="25"/>
        <v>0</v>
      </c>
      <c r="D135">
        <v>1.5599999999999999E-2</v>
      </c>
      <c r="E135" s="1">
        <v>1.2999999999999999E-2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-0.80627399999999994</v>
      </c>
    </row>
    <row r="136" spans="3:23" x14ac:dyDescent="0.3">
      <c r="C136">
        <f t="shared" si="25"/>
        <v>0</v>
      </c>
      <c r="D136">
        <v>1.5599999999999999E-2</v>
      </c>
      <c r="E136" s="1">
        <v>1.2999999999999999E-2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-0.81083799999999995</v>
      </c>
    </row>
    <row r="137" spans="3:23" x14ac:dyDescent="0.3">
      <c r="C137">
        <f t="shared" si="25"/>
        <v>0</v>
      </c>
      <c r="D137">
        <v>1.5599999999999999E-2</v>
      </c>
      <c r="E137" s="1">
        <v>1.2999999999999999E-2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-0.81540199999999996</v>
      </c>
    </row>
    <row r="138" spans="3:23" x14ac:dyDescent="0.3">
      <c r="C138">
        <f t="shared" si="25"/>
        <v>0</v>
      </c>
      <c r="D138">
        <v>1.5599999999999999E-2</v>
      </c>
      <c r="E138" s="1">
        <v>1.2999999999999999E-2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-0.81996599999999997</v>
      </c>
    </row>
    <row r="139" spans="3:23" x14ac:dyDescent="0.3">
      <c r="C139">
        <f t="shared" si="25"/>
        <v>0</v>
      </c>
      <c r="D139">
        <v>1.5599999999999999E-2</v>
      </c>
      <c r="E139" s="1">
        <v>1.2999999999999999E-2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-0.82452999999999999</v>
      </c>
    </row>
    <row r="140" spans="3:23" x14ac:dyDescent="0.3">
      <c r="C140">
        <f t="shared" si="25"/>
        <v>0</v>
      </c>
      <c r="D140">
        <v>1.5599999999999999E-2</v>
      </c>
      <c r="E140" s="1">
        <v>1.2999999999999999E-2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1.5599999999999999E-2</v>
      </c>
      <c r="E141" s="1">
        <v>1.2999999999999999E-2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1.5599999999999999E-2</v>
      </c>
      <c r="E142" s="1">
        <v>1.2999999999999999E-2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1.5599999999999999E-2</v>
      </c>
      <c r="E143" s="1">
        <v>1.2999999999999999E-2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1.5599999999999999E-2</v>
      </c>
      <c r="E144" s="1">
        <v>1.2999999999999999E-2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1.5599999999999999E-2</v>
      </c>
      <c r="E145" s="1">
        <v>1.2999999999999999E-2</v>
      </c>
      <c r="F145">
        <f t="shared" ref="F145:F187" si="36">A145*200</f>
        <v>0</v>
      </c>
      <c r="G145">
        <f t="shared" ref="G145:G187" si="37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8">D145*A145</f>
        <v>0</v>
      </c>
      <c r="O145">
        <f t="shared" ref="O145:O187" si="39">E145*A145</f>
        <v>0</v>
      </c>
      <c r="P145" t="e">
        <f t="shared" ref="P145:P187" si="40">-K145-M145-N145-O145</f>
        <v>#NUM!</v>
      </c>
    </row>
    <row r="146" spans="3:16" x14ac:dyDescent="0.3">
      <c r="C146">
        <f t="shared" si="25"/>
        <v>0</v>
      </c>
      <c r="D146">
        <v>1.5599999999999999E-2</v>
      </c>
      <c r="E146" s="1">
        <v>1.2999999999999999E-2</v>
      </c>
      <c r="F146">
        <f t="shared" si="36"/>
        <v>0</v>
      </c>
      <c r="G146">
        <f t="shared" si="3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8"/>
        <v>0</v>
      </c>
      <c r="O146">
        <f t="shared" si="39"/>
        <v>0</v>
      </c>
      <c r="P146" t="e">
        <f t="shared" si="40"/>
        <v>#NUM!</v>
      </c>
    </row>
    <row r="147" spans="3:16" x14ac:dyDescent="0.3">
      <c r="C147">
        <f t="shared" si="25"/>
        <v>0</v>
      </c>
      <c r="D147">
        <v>1.5599999999999999E-2</v>
      </c>
      <c r="E147" s="1">
        <v>1.2999999999999999E-2</v>
      </c>
      <c r="F147">
        <f t="shared" si="36"/>
        <v>0</v>
      </c>
      <c r="G147">
        <f t="shared" si="3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8"/>
        <v>0</v>
      </c>
      <c r="O147">
        <f t="shared" si="39"/>
        <v>0</v>
      </c>
      <c r="P147" t="e">
        <f t="shared" si="40"/>
        <v>#NUM!</v>
      </c>
    </row>
    <row r="148" spans="3:16" x14ac:dyDescent="0.3">
      <c r="C148">
        <f t="shared" si="25"/>
        <v>0</v>
      </c>
      <c r="D148">
        <v>1.5599999999999999E-2</v>
      </c>
      <c r="E148" s="1">
        <v>1.2999999999999999E-2</v>
      </c>
      <c r="F148">
        <f t="shared" si="36"/>
        <v>0</v>
      </c>
      <c r="G148">
        <f t="shared" si="3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8"/>
        <v>0</v>
      </c>
      <c r="O148">
        <f t="shared" si="39"/>
        <v>0</v>
      </c>
      <c r="P148" t="e">
        <f t="shared" si="40"/>
        <v>#NUM!</v>
      </c>
    </row>
    <row r="149" spans="3:16" x14ac:dyDescent="0.3">
      <c r="C149">
        <f t="shared" si="25"/>
        <v>0</v>
      </c>
      <c r="D149">
        <v>1.5599999999999999E-2</v>
      </c>
      <c r="E149" s="1">
        <v>1.2999999999999999E-2</v>
      </c>
      <c r="F149">
        <f t="shared" si="36"/>
        <v>0</v>
      </c>
      <c r="G149">
        <f t="shared" si="3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8"/>
        <v>0</v>
      </c>
      <c r="O149">
        <f t="shared" si="39"/>
        <v>0</v>
      </c>
      <c r="P149" t="e">
        <f t="shared" si="40"/>
        <v>#NUM!</v>
      </c>
    </row>
    <row r="150" spans="3:16" x14ac:dyDescent="0.3">
      <c r="C150">
        <f t="shared" si="25"/>
        <v>0</v>
      </c>
      <c r="D150">
        <v>1.5599999999999999E-2</v>
      </c>
      <c r="E150" s="1">
        <v>1.2999999999999999E-2</v>
      </c>
      <c r="F150">
        <f t="shared" si="36"/>
        <v>0</v>
      </c>
      <c r="G150">
        <f t="shared" si="3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8"/>
        <v>0</v>
      </c>
      <c r="O150">
        <f t="shared" si="39"/>
        <v>0</v>
      </c>
      <c r="P150" t="e">
        <f t="shared" si="40"/>
        <v>#NUM!</v>
      </c>
    </row>
    <row r="151" spans="3:16" x14ac:dyDescent="0.3">
      <c r="C151">
        <f t="shared" si="25"/>
        <v>0</v>
      </c>
      <c r="D151">
        <v>1.5599999999999999E-2</v>
      </c>
      <c r="E151" s="1">
        <v>1.2999999999999999E-2</v>
      </c>
      <c r="F151">
        <f t="shared" si="36"/>
        <v>0</v>
      </c>
      <c r="G151">
        <f t="shared" si="3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8"/>
        <v>0</v>
      </c>
      <c r="O151">
        <f t="shared" si="39"/>
        <v>0</v>
      </c>
      <c r="P151" t="e">
        <f t="shared" si="40"/>
        <v>#NUM!</v>
      </c>
    </row>
    <row r="152" spans="3:16" x14ac:dyDescent="0.3">
      <c r="C152">
        <f t="shared" si="25"/>
        <v>0</v>
      </c>
      <c r="D152">
        <v>1.5599999999999999E-2</v>
      </c>
      <c r="E152" s="1">
        <v>1.2999999999999999E-2</v>
      </c>
      <c r="F152">
        <f t="shared" si="36"/>
        <v>0</v>
      </c>
      <c r="G152">
        <f t="shared" si="3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8"/>
        <v>0</v>
      </c>
      <c r="O152">
        <f t="shared" si="39"/>
        <v>0</v>
      </c>
      <c r="P152" t="e">
        <f t="shared" si="40"/>
        <v>#NUM!</v>
      </c>
    </row>
    <row r="153" spans="3:16" x14ac:dyDescent="0.3">
      <c r="C153">
        <f t="shared" si="25"/>
        <v>0</v>
      </c>
      <c r="D153">
        <v>1.5599999999999999E-2</v>
      </c>
      <c r="E153" s="1">
        <v>1.2999999999999999E-2</v>
      </c>
      <c r="F153">
        <f t="shared" si="36"/>
        <v>0</v>
      </c>
      <c r="G153">
        <f t="shared" si="3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8"/>
        <v>0</v>
      </c>
      <c r="O153">
        <f t="shared" si="39"/>
        <v>0</v>
      </c>
      <c r="P153" t="e">
        <f t="shared" si="40"/>
        <v>#NUM!</v>
      </c>
    </row>
    <row r="154" spans="3:16" x14ac:dyDescent="0.3">
      <c r="C154">
        <f t="shared" si="25"/>
        <v>0</v>
      </c>
      <c r="D154">
        <v>1.5599999999999999E-2</v>
      </c>
      <c r="E154" s="1">
        <v>1.2999999999999999E-2</v>
      </c>
      <c r="F154">
        <f t="shared" si="36"/>
        <v>0</v>
      </c>
      <c r="G154">
        <f t="shared" si="3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8"/>
        <v>0</v>
      </c>
      <c r="O154">
        <f t="shared" si="39"/>
        <v>0</v>
      </c>
      <c r="P154" t="e">
        <f t="shared" si="40"/>
        <v>#NUM!</v>
      </c>
    </row>
    <row r="155" spans="3:16" x14ac:dyDescent="0.3">
      <c r="C155">
        <f t="shared" si="25"/>
        <v>0</v>
      </c>
      <c r="D155">
        <v>1.5599999999999999E-2</v>
      </c>
      <c r="E155" s="1">
        <v>1.2999999999999999E-2</v>
      </c>
      <c r="F155">
        <f t="shared" si="36"/>
        <v>0</v>
      </c>
      <c r="G155">
        <f t="shared" si="3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8"/>
        <v>0</v>
      </c>
      <c r="O155">
        <f t="shared" si="39"/>
        <v>0</v>
      </c>
      <c r="P155" t="e">
        <f t="shared" si="40"/>
        <v>#NUM!</v>
      </c>
    </row>
    <row r="156" spans="3:16" x14ac:dyDescent="0.3">
      <c r="C156">
        <f t="shared" si="25"/>
        <v>0</v>
      </c>
      <c r="D156">
        <v>1.5599999999999999E-2</v>
      </c>
      <c r="E156" s="1">
        <v>1.2999999999999999E-2</v>
      </c>
      <c r="F156">
        <f t="shared" si="36"/>
        <v>0</v>
      </c>
      <c r="G156">
        <f t="shared" si="3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8"/>
        <v>0</v>
      </c>
      <c r="O156">
        <f t="shared" si="39"/>
        <v>0</v>
      </c>
      <c r="P156" t="e">
        <f t="shared" si="40"/>
        <v>#NUM!</v>
      </c>
    </row>
    <row r="157" spans="3:16" x14ac:dyDescent="0.3">
      <c r="C157">
        <f t="shared" si="25"/>
        <v>0</v>
      </c>
      <c r="D157">
        <v>1.5599999999999999E-2</v>
      </c>
      <c r="E157" s="1">
        <v>1.2999999999999999E-2</v>
      </c>
      <c r="F157">
        <f t="shared" si="36"/>
        <v>0</v>
      </c>
      <c r="G157">
        <f t="shared" si="3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8"/>
        <v>0</v>
      </c>
      <c r="O157">
        <f t="shared" si="39"/>
        <v>0</v>
      </c>
      <c r="P157" t="e">
        <f t="shared" si="40"/>
        <v>#NUM!</v>
      </c>
    </row>
    <row r="158" spans="3:16" x14ac:dyDescent="0.3">
      <c r="C158">
        <f t="shared" si="25"/>
        <v>0</v>
      </c>
      <c r="D158">
        <v>1.5599999999999999E-2</v>
      </c>
      <c r="E158" s="1">
        <v>1.2999999999999999E-2</v>
      </c>
      <c r="F158">
        <f t="shared" si="36"/>
        <v>0</v>
      </c>
      <c r="G158">
        <f t="shared" si="3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8"/>
        <v>0</v>
      </c>
      <c r="O158">
        <f t="shared" si="39"/>
        <v>0</v>
      </c>
      <c r="P158" t="e">
        <f t="shared" si="40"/>
        <v>#NUM!</v>
      </c>
    </row>
    <row r="159" spans="3:16" x14ac:dyDescent="0.3">
      <c r="C159">
        <f t="shared" si="25"/>
        <v>0</v>
      </c>
      <c r="D159">
        <v>1.5599999999999999E-2</v>
      </c>
      <c r="E159" s="1">
        <v>1.2999999999999999E-2</v>
      </c>
      <c r="F159">
        <f t="shared" si="36"/>
        <v>0</v>
      </c>
      <c r="G159">
        <f t="shared" si="3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8"/>
        <v>0</v>
      </c>
      <c r="O159">
        <f t="shared" si="39"/>
        <v>0</v>
      </c>
      <c r="P159" t="e">
        <f t="shared" si="40"/>
        <v>#NUM!</v>
      </c>
    </row>
    <row r="160" spans="3:16" x14ac:dyDescent="0.3">
      <c r="C160">
        <f t="shared" si="25"/>
        <v>0</v>
      </c>
      <c r="D160">
        <v>1.5599999999999999E-2</v>
      </c>
      <c r="E160" s="1">
        <v>1.2999999999999999E-2</v>
      </c>
      <c r="F160">
        <f t="shared" si="36"/>
        <v>0</v>
      </c>
      <c r="G160">
        <f t="shared" si="3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8"/>
        <v>0</v>
      </c>
      <c r="O160">
        <f t="shared" si="39"/>
        <v>0</v>
      </c>
      <c r="P160" t="e">
        <f t="shared" si="40"/>
        <v>#NUM!</v>
      </c>
    </row>
    <row r="161" spans="3:16" x14ac:dyDescent="0.3">
      <c r="C161">
        <f t="shared" si="25"/>
        <v>0</v>
      </c>
      <c r="D161">
        <v>1.5599999999999999E-2</v>
      </c>
      <c r="E161" s="1">
        <v>1.2999999999999999E-2</v>
      </c>
      <c r="F161">
        <f t="shared" si="36"/>
        <v>0</v>
      </c>
      <c r="G161">
        <f t="shared" si="3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8"/>
        <v>0</v>
      </c>
      <c r="O161">
        <f t="shared" si="39"/>
        <v>0</v>
      </c>
      <c r="P161" t="e">
        <f t="shared" si="40"/>
        <v>#NUM!</v>
      </c>
    </row>
    <row r="162" spans="3:16" x14ac:dyDescent="0.3">
      <c r="C162">
        <f t="shared" si="25"/>
        <v>0</v>
      </c>
      <c r="D162">
        <v>1.5599999999999999E-2</v>
      </c>
      <c r="E162" s="1">
        <v>1.2999999999999999E-2</v>
      </c>
      <c r="F162">
        <f t="shared" si="36"/>
        <v>0</v>
      </c>
      <c r="G162">
        <f t="shared" si="3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8"/>
        <v>0</v>
      </c>
      <c r="O162">
        <f t="shared" si="39"/>
        <v>0</v>
      </c>
      <c r="P162" t="e">
        <f t="shared" si="40"/>
        <v>#NUM!</v>
      </c>
    </row>
    <row r="163" spans="3:16" x14ac:dyDescent="0.3">
      <c r="C163">
        <f t="shared" si="25"/>
        <v>0</v>
      </c>
      <c r="D163">
        <v>1.5599999999999999E-2</v>
      </c>
      <c r="E163" s="1">
        <v>1.2999999999999999E-2</v>
      </c>
      <c r="F163">
        <f t="shared" si="36"/>
        <v>0</v>
      </c>
      <c r="G163">
        <f t="shared" si="3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8"/>
        <v>0</v>
      </c>
      <c r="O163">
        <f t="shared" si="39"/>
        <v>0</v>
      </c>
      <c r="P163" t="e">
        <f t="shared" si="40"/>
        <v>#NUM!</v>
      </c>
    </row>
    <row r="164" spans="3:16" x14ac:dyDescent="0.3">
      <c r="C164">
        <f t="shared" si="25"/>
        <v>0</v>
      </c>
      <c r="D164">
        <v>1.5599999999999999E-2</v>
      </c>
      <c r="E164" s="1">
        <v>1.2999999999999999E-2</v>
      </c>
      <c r="F164">
        <f t="shared" si="36"/>
        <v>0</v>
      </c>
      <c r="G164">
        <f t="shared" si="3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8"/>
        <v>0</v>
      </c>
      <c r="O164">
        <f t="shared" si="39"/>
        <v>0</v>
      </c>
      <c r="P164" t="e">
        <f t="shared" si="40"/>
        <v>#NUM!</v>
      </c>
    </row>
    <row r="165" spans="3:16" x14ac:dyDescent="0.3">
      <c r="C165">
        <f t="shared" si="25"/>
        <v>0</v>
      </c>
      <c r="D165">
        <v>1.5599999999999999E-2</v>
      </c>
      <c r="E165" s="1">
        <v>1.2999999999999999E-2</v>
      </c>
      <c r="F165">
        <f t="shared" si="36"/>
        <v>0</v>
      </c>
      <c r="G165">
        <f t="shared" si="3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8"/>
        <v>0</v>
      </c>
      <c r="O165">
        <f t="shared" si="39"/>
        <v>0</v>
      </c>
      <c r="P165" t="e">
        <f t="shared" si="40"/>
        <v>#NUM!</v>
      </c>
    </row>
    <row r="166" spans="3:16" x14ac:dyDescent="0.3">
      <c r="C166">
        <f t="shared" si="25"/>
        <v>0</v>
      </c>
      <c r="D166">
        <v>1.5599999999999999E-2</v>
      </c>
      <c r="E166" s="1">
        <v>1.2999999999999999E-2</v>
      </c>
      <c r="F166">
        <f t="shared" si="36"/>
        <v>0</v>
      </c>
      <c r="G166">
        <f t="shared" si="3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8"/>
        <v>0</v>
      </c>
      <c r="O166">
        <f t="shared" si="39"/>
        <v>0</v>
      </c>
      <c r="P166" t="e">
        <f t="shared" si="40"/>
        <v>#NUM!</v>
      </c>
    </row>
    <row r="167" spans="3:16" x14ac:dyDescent="0.3">
      <c r="C167">
        <f t="shared" si="25"/>
        <v>0</v>
      </c>
      <c r="D167">
        <v>1.5599999999999999E-2</v>
      </c>
      <c r="E167" s="1">
        <v>1.2999999999999999E-2</v>
      </c>
      <c r="F167">
        <f t="shared" si="36"/>
        <v>0</v>
      </c>
      <c r="G167">
        <f t="shared" si="3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8"/>
        <v>0</v>
      </c>
      <c r="O167">
        <f t="shared" si="39"/>
        <v>0</v>
      </c>
      <c r="P167" t="e">
        <f t="shared" si="40"/>
        <v>#NUM!</v>
      </c>
    </row>
    <row r="168" spans="3:16" x14ac:dyDescent="0.3">
      <c r="C168">
        <f t="shared" si="25"/>
        <v>0</v>
      </c>
      <c r="D168">
        <v>1.5599999999999999E-2</v>
      </c>
      <c r="E168" s="1">
        <v>1.2999999999999999E-2</v>
      </c>
      <c r="F168">
        <f t="shared" si="36"/>
        <v>0</v>
      </c>
      <c r="G168">
        <f t="shared" si="3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8"/>
        <v>0</v>
      </c>
      <c r="O168">
        <f t="shared" si="39"/>
        <v>0</v>
      </c>
      <c r="P168" t="e">
        <f t="shared" si="40"/>
        <v>#NUM!</v>
      </c>
    </row>
    <row r="169" spans="3:16" x14ac:dyDescent="0.3">
      <c r="C169">
        <f t="shared" si="25"/>
        <v>0</v>
      </c>
      <c r="D169">
        <v>1.5599999999999999E-2</v>
      </c>
      <c r="E169" s="1">
        <v>1.2999999999999999E-2</v>
      </c>
      <c r="F169">
        <f t="shared" si="36"/>
        <v>0</v>
      </c>
      <c r="G169">
        <f t="shared" si="3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8"/>
        <v>0</v>
      </c>
      <c r="O169">
        <f t="shared" si="39"/>
        <v>0</v>
      </c>
      <c r="P169" t="e">
        <f t="shared" si="40"/>
        <v>#NUM!</v>
      </c>
    </row>
    <row r="170" spans="3:16" x14ac:dyDescent="0.3">
      <c r="C170">
        <f t="shared" si="25"/>
        <v>0</v>
      </c>
      <c r="D170">
        <v>1.5599999999999999E-2</v>
      </c>
      <c r="E170" s="1">
        <v>1.2999999999999999E-2</v>
      </c>
      <c r="F170">
        <f t="shared" si="36"/>
        <v>0</v>
      </c>
      <c r="G170">
        <f t="shared" si="3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8"/>
        <v>0</v>
      </c>
      <c r="O170">
        <f t="shared" si="39"/>
        <v>0</v>
      </c>
      <c r="P170" t="e">
        <f t="shared" si="40"/>
        <v>#NUM!</v>
      </c>
    </row>
    <row r="171" spans="3:16" x14ac:dyDescent="0.3">
      <c r="C171">
        <f t="shared" si="25"/>
        <v>0</v>
      </c>
      <c r="D171">
        <v>1.5599999999999999E-2</v>
      </c>
      <c r="E171" s="1">
        <v>1.2999999999999999E-2</v>
      </c>
      <c r="F171">
        <f t="shared" si="36"/>
        <v>0</v>
      </c>
      <c r="G171">
        <f t="shared" si="3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8"/>
        <v>0</v>
      </c>
      <c r="O171">
        <f t="shared" si="39"/>
        <v>0</v>
      </c>
      <c r="P171" t="e">
        <f t="shared" si="40"/>
        <v>#NUM!</v>
      </c>
    </row>
    <row r="172" spans="3:16" x14ac:dyDescent="0.3">
      <c r="C172">
        <f t="shared" si="25"/>
        <v>0</v>
      </c>
      <c r="D172">
        <v>1.5599999999999999E-2</v>
      </c>
      <c r="E172" s="1">
        <v>1.2999999999999999E-2</v>
      </c>
      <c r="F172">
        <f t="shared" si="36"/>
        <v>0</v>
      </c>
      <c r="G172">
        <f t="shared" si="3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8"/>
        <v>0</v>
      </c>
      <c r="O172">
        <f t="shared" si="39"/>
        <v>0</v>
      </c>
      <c r="P172" t="e">
        <f t="shared" si="40"/>
        <v>#NUM!</v>
      </c>
    </row>
    <row r="173" spans="3:16" x14ac:dyDescent="0.3">
      <c r="C173">
        <f t="shared" si="25"/>
        <v>0</v>
      </c>
      <c r="D173">
        <v>1.5599999999999999E-2</v>
      </c>
      <c r="E173" s="1">
        <v>1.2999999999999999E-2</v>
      </c>
      <c r="F173">
        <f t="shared" si="36"/>
        <v>0</v>
      </c>
      <c r="G173">
        <f t="shared" si="3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8"/>
        <v>0</v>
      </c>
      <c r="O173">
        <f t="shared" si="39"/>
        <v>0</v>
      </c>
      <c r="P173" t="e">
        <f t="shared" si="40"/>
        <v>#NUM!</v>
      </c>
    </row>
    <row r="174" spans="3:16" x14ac:dyDescent="0.3">
      <c r="C174">
        <f t="shared" si="25"/>
        <v>0</v>
      </c>
      <c r="D174">
        <v>1.5599999999999999E-2</v>
      </c>
      <c r="E174" s="1">
        <v>1.2999999999999999E-2</v>
      </c>
      <c r="F174">
        <f t="shared" si="36"/>
        <v>0</v>
      </c>
      <c r="G174">
        <f t="shared" si="3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8"/>
        <v>0</v>
      </c>
      <c r="O174">
        <f t="shared" si="39"/>
        <v>0</v>
      </c>
      <c r="P174" t="e">
        <f t="shared" si="40"/>
        <v>#NUM!</v>
      </c>
    </row>
    <row r="175" spans="3:16" x14ac:dyDescent="0.3">
      <c r="C175">
        <f t="shared" si="25"/>
        <v>0</v>
      </c>
      <c r="D175">
        <v>1.5599999999999999E-2</v>
      </c>
      <c r="E175" s="1">
        <v>1.2999999999999999E-2</v>
      </c>
      <c r="F175">
        <f t="shared" si="36"/>
        <v>0</v>
      </c>
      <c r="G175">
        <f t="shared" si="3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8"/>
        <v>0</v>
      </c>
      <c r="O175">
        <f t="shared" si="39"/>
        <v>0</v>
      </c>
      <c r="P175" t="e">
        <f t="shared" si="40"/>
        <v>#NUM!</v>
      </c>
    </row>
    <row r="176" spans="3:16" x14ac:dyDescent="0.3">
      <c r="C176">
        <f t="shared" si="25"/>
        <v>0</v>
      </c>
      <c r="D176">
        <v>1.5599999999999999E-2</v>
      </c>
      <c r="E176" s="1">
        <v>1.2999999999999999E-2</v>
      </c>
      <c r="F176">
        <f t="shared" si="36"/>
        <v>0</v>
      </c>
      <c r="G176">
        <f t="shared" si="3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8"/>
        <v>0</v>
      </c>
      <c r="O176">
        <f t="shared" si="39"/>
        <v>0</v>
      </c>
      <c r="P176" t="e">
        <f t="shared" si="40"/>
        <v>#NUM!</v>
      </c>
    </row>
    <row r="177" spans="3:16" x14ac:dyDescent="0.3">
      <c r="C177">
        <f t="shared" si="25"/>
        <v>0</v>
      </c>
      <c r="D177">
        <v>1.5599999999999999E-2</v>
      </c>
      <c r="E177" s="1">
        <v>1.2999999999999999E-2</v>
      </c>
      <c r="F177">
        <f t="shared" si="36"/>
        <v>0</v>
      </c>
      <c r="G177">
        <f t="shared" si="3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8"/>
        <v>0</v>
      </c>
      <c r="O177">
        <f t="shared" si="39"/>
        <v>0</v>
      </c>
      <c r="P177" t="e">
        <f t="shared" si="40"/>
        <v>#NUM!</v>
      </c>
    </row>
    <row r="178" spans="3:16" x14ac:dyDescent="0.3">
      <c r="C178">
        <f t="shared" si="25"/>
        <v>0</v>
      </c>
      <c r="D178">
        <v>1.5599999999999999E-2</v>
      </c>
      <c r="E178" s="1">
        <v>1.2999999999999999E-2</v>
      </c>
      <c r="F178">
        <f t="shared" si="36"/>
        <v>0</v>
      </c>
      <c r="G178">
        <f t="shared" si="3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8"/>
        <v>0</v>
      </c>
      <c r="O178">
        <f t="shared" si="39"/>
        <v>0</v>
      </c>
      <c r="P178" t="e">
        <f t="shared" si="40"/>
        <v>#NUM!</v>
      </c>
    </row>
    <row r="179" spans="3:16" x14ac:dyDescent="0.3">
      <c r="C179">
        <f t="shared" si="25"/>
        <v>0</v>
      </c>
      <c r="D179">
        <v>1.5599999999999999E-2</v>
      </c>
      <c r="E179" s="1">
        <v>1.2999999999999999E-2</v>
      </c>
      <c r="F179">
        <f t="shared" si="36"/>
        <v>0</v>
      </c>
      <c r="G179">
        <f t="shared" si="3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8"/>
        <v>0</v>
      </c>
      <c r="O179">
        <f t="shared" si="39"/>
        <v>0</v>
      </c>
      <c r="P179" t="e">
        <f t="shared" si="40"/>
        <v>#NUM!</v>
      </c>
    </row>
    <row r="180" spans="3:16" x14ac:dyDescent="0.3">
      <c r="C180">
        <f t="shared" si="25"/>
        <v>0</v>
      </c>
      <c r="D180">
        <v>1.5599999999999999E-2</v>
      </c>
      <c r="E180" s="1">
        <v>1.2999999999999999E-2</v>
      </c>
      <c r="F180">
        <f t="shared" si="36"/>
        <v>0</v>
      </c>
      <c r="G180">
        <f t="shared" si="3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8"/>
        <v>0</v>
      </c>
      <c r="O180">
        <f t="shared" si="39"/>
        <v>0</v>
      </c>
      <c r="P180" t="e">
        <f t="shared" si="40"/>
        <v>#NUM!</v>
      </c>
    </row>
    <row r="181" spans="3:16" x14ac:dyDescent="0.3">
      <c r="C181">
        <f t="shared" si="25"/>
        <v>0</v>
      </c>
      <c r="D181">
        <v>1.5599999999999999E-2</v>
      </c>
      <c r="E181" s="1">
        <v>1.2999999999999999E-2</v>
      </c>
      <c r="F181">
        <f t="shared" si="36"/>
        <v>0</v>
      </c>
      <c r="G181">
        <f t="shared" si="3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8"/>
        <v>0</v>
      </c>
      <c r="O181">
        <f t="shared" si="39"/>
        <v>0</v>
      </c>
      <c r="P181" t="e">
        <f t="shared" si="40"/>
        <v>#NUM!</v>
      </c>
    </row>
    <row r="182" spans="3:16" x14ac:dyDescent="0.3">
      <c r="C182">
        <f t="shared" si="25"/>
        <v>0</v>
      </c>
      <c r="D182">
        <v>1.5599999999999999E-2</v>
      </c>
      <c r="E182" s="1">
        <v>1.2999999999999999E-2</v>
      </c>
      <c r="F182">
        <f t="shared" si="36"/>
        <v>0</v>
      </c>
      <c r="G182">
        <f t="shared" si="3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8"/>
        <v>0</v>
      </c>
      <c r="O182">
        <f t="shared" si="39"/>
        <v>0</v>
      </c>
      <c r="P182" t="e">
        <f t="shared" si="40"/>
        <v>#NUM!</v>
      </c>
    </row>
    <row r="183" spans="3:16" x14ac:dyDescent="0.3">
      <c r="C183">
        <f t="shared" si="25"/>
        <v>0</v>
      </c>
      <c r="D183">
        <v>1.5599999999999999E-2</v>
      </c>
      <c r="E183" s="1">
        <v>1.2999999999999999E-2</v>
      </c>
      <c r="F183">
        <f t="shared" si="36"/>
        <v>0</v>
      </c>
      <c r="G183">
        <f t="shared" si="3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8"/>
        <v>0</v>
      </c>
      <c r="O183">
        <f t="shared" si="39"/>
        <v>0</v>
      </c>
      <c r="P183" t="e">
        <f t="shared" si="40"/>
        <v>#NUM!</v>
      </c>
    </row>
    <row r="184" spans="3:16" x14ac:dyDescent="0.3">
      <c r="C184">
        <f t="shared" si="25"/>
        <v>0</v>
      </c>
      <c r="D184">
        <v>1.5599999999999999E-2</v>
      </c>
      <c r="E184" s="1">
        <v>1.2999999999999999E-2</v>
      </c>
      <c r="F184">
        <f t="shared" si="36"/>
        <v>0</v>
      </c>
      <c r="G184">
        <f t="shared" si="3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8"/>
        <v>0</v>
      </c>
      <c r="O184">
        <f t="shared" si="39"/>
        <v>0</v>
      </c>
      <c r="P184" t="e">
        <f t="shared" si="40"/>
        <v>#NUM!</v>
      </c>
    </row>
    <row r="185" spans="3:16" x14ac:dyDescent="0.3">
      <c r="C185">
        <f t="shared" si="25"/>
        <v>0</v>
      </c>
      <c r="D185">
        <v>1.5599999999999999E-2</v>
      </c>
      <c r="E185" s="1">
        <v>1.2999999999999999E-2</v>
      </c>
      <c r="F185">
        <f t="shared" si="36"/>
        <v>0</v>
      </c>
      <c r="G185">
        <f t="shared" si="3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8"/>
        <v>0</v>
      </c>
      <c r="O185">
        <f t="shared" si="39"/>
        <v>0</v>
      </c>
      <c r="P185" t="e">
        <f t="shared" si="40"/>
        <v>#NUM!</v>
      </c>
    </row>
    <row r="186" spans="3:16" x14ac:dyDescent="0.3">
      <c r="C186">
        <f t="shared" si="25"/>
        <v>0</v>
      </c>
      <c r="D186">
        <v>1.5599999999999999E-2</v>
      </c>
      <c r="E186" s="1">
        <v>1.2999999999999999E-2</v>
      </c>
      <c r="F186">
        <f t="shared" si="36"/>
        <v>0</v>
      </c>
      <c r="G186">
        <f t="shared" si="3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8"/>
        <v>0</v>
      </c>
      <c r="O186">
        <f t="shared" si="39"/>
        <v>0</v>
      </c>
      <c r="P186" t="e">
        <f t="shared" si="40"/>
        <v>#NUM!</v>
      </c>
    </row>
    <row r="187" spans="3:16" x14ac:dyDescent="0.3">
      <c r="C187">
        <f t="shared" si="25"/>
        <v>0</v>
      </c>
      <c r="D187">
        <v>1.5599999999999999E-2</v>
      </c>
      <c r="E187" s="1">
        <v>1.2999999999999999E-2</v>
      </c>
      <c r="F187">
        <f t="shared" si="36"/>
        <v>0</v>
      </c>
      <c r="G187">
        <f t="shared" si="3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8"/>
        <v>0</v>
      </c>
      <c r="O187">
        <f t="shared" si="39"/>
        <v>0</v>
      </c>
      <c r="P187" t="e">
        <f t="shared" si="40"/>
        <v>#NUM!</v>
      </c>
    </row>
    <row r="188" spans="3:16" x14ac:dyDescent="0.3">
      <c r="C188">
        <f t="shared" si="25"/>
        <v>0</v>
      </c>
      <c r="D188">
        <v>1.5599999999999999E-2</v>
      </c>
      <c r="E188" s="1">
        <v>1.2999999999999999E-2</v>
      </c>
      <c r="F188">
        <f t="shared" ref="F188:F211" si="41">A188*200</f>
        <v>0</v>
      </c>
      <c r="G188">
        <f t="shared" ref="G188:G211" si="42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3">((-G188)-$N$2)</f>
        <v>-1.2217251517752175</v>
      </c>
      <c r="L188">
        <v>1</v>
      </c>
      <c r="M188" t="e">
        <f t="shared" si="31"/>
        <v>#NUM!</v>
      </c>
      <c r="N188">
        <f t="shared" ref="N188:N211" si="44">D188*A188</f>
        <v>0</v>
      </c>
      <c r="O188">
        <f t="shared" ref="O188:O211" si="45">E188*A188</f>
        <v>0</v>
      </c>
      <c r="P188" t="e">
        <f t="shared" ref="P188:P211" si="46">-K188-M188-N188-O188</f>
        <v>#NUM!</v>
      </c>
    </row>
    <row r="189" spans="3:16" x14ac:dyDescent="0.3">
      <c r="C189">
        <f t="shared" si="25"/>
        <v>0</v>
      </c>
      <c r="D189">
        <v>1.5599999999999999E-2</v>
      </c>
      <c r="E189" s="1">
        <v>1.2999999999999999E-2</v>
      </c>
      <c r="F189">
        <f t="shared" si="41"/>
        <v>0</v>
      </c>
      <c r="G189">
        <f t="shared" si="42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3"/>
        <v>-1.2217251517752175</v>
      </c>
      <c r="L189">
        <v>1</v>
      </c>
      <c r="M189" t="e">
        <f t="shared" si="31"/>
        <v>#NUM!</v>
      </c>
      <c r="N189">
        <f t="shared" si="44"/>
        <v>0</v>
      </c>
      <c r="O189">
        <f t="shared" si="45"/>
        <v>0</v>
      </c>
      <c r="P189" t="e">
        <f t="shared" si="46"/>
        <v>#NUM!</v>
      </c>
    </row>
    <row r="190" spans="3:16" x14ac:dyDescent="0.3">
      <c r="C190">
        <f t="shared" si="25"/>
        <v>0</v>
      </c>
      <c r="D190">
        <v>1.5599999999999999E-2</v>
      </c>
      <c r="E190" s="1">
        <v>1.2999999999999999E-2</v>
      </c>
      <c r="F190">
        <f t="shared" si="41"/>
        <v>0</v>
      </c>
      <c r="G190">
        <f t="shared" si="42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3"/>
        <v>-1.2217251517752175</v>
      </c>
      <c r="L190">
        <v>1</v>
      </c>
      <c r="M190" t="e">
        <f t="shared" si="31"/>
        <v>#NUM!</v>
      </c>
      <c r="N190">
        <f t="shared" si="44"/>
        <v>0</v>
      </c>
      <c r="O190">
        <f t="shared" si="45"/>
        <v>0</v>
      </c>
      <c r="P190" t="e">
        <f t="shared" si="46"/>
        <v>#NUM!</v>
      </c>
    </row>
    <row r="191" spans="3:16" x14ac:dyDescent="0.3">
      <c r="C191">
        <f t="shared" si="25"/>
        <v>0</v>
      </c>
      <c r="D191">
        <v>1.5599999999999999E-2</v>
      </c>
      <c r="E191" s="1">
        <v>1.2999999999999999E-2</v>
      </c>
      <c r="F191">
        <f t="shared" si="41"/>
        <v>0</v>
      </c>
      <c r="G191">
        <f t="shared" si="42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3"/>
        <v>-1.2217251517752175</v>
      </c>
      <c r="L191">
        <v>1</v>
      </c>
      <c r="M191" t="e">
        <f t="shared" si="31"/>
        <v>#NUM!</v>
      </c>
      <c r="N191">
        <f t="shared" si="44"/>
        <v>0</v>
      </c>
      <c r="O191">
        <f t="shared" si="45"/>
        <v>0</v>
      </c>
      <c r="P191" t="e">
        <f t="shared" si="46"/>
        <v>#NUM!</v>
      </c>
    </row>
    <row r="192" spans="3:16" x14ac:dyDescent="0.3">
      <c r="C192">
        <f t="shared" si="25"/>
        <v>0</v>
      </c>
      <c r="D192">
        <v>1.5599999999999999E-2</v>
      </c>
      <c r="E192" s="1">
        <v>1.2999999999999999E-2</v>
      </c>
      <c r="F192">
        <f t="shared" si="41"/>
        <v>0</v>
      </c>
      <c r="G192">
        <f t="shared" si="42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3"/>
        <v>-1.2217251517752175</v>
      </c>
      <c r="L192">
        <v>1</v>
      </c>
      <c r="M192" t="e">
        <f t="shared" si="31"/>
        <v>#NUM!</v>
      </c>
      <c r="N192">
        <f t="shared" si="44"/>
        <v>0</v>
      </c>
      <c r="O192">
        <f t="shared" si="45"/>
        <v>0</v>
      </c>
      <c r="P192" t="e">
        <f t="shared" si="46"/>
        <v>#NUM!</v>
      </c>
    </row>
    <row r="193" spans="3:16" x14ac:dyDescent="0.3">
      <c r="C193">
        <f t="shared" si="25"/>
        <v>0</v>
      </c>
      <c r="D193">
        <v>1.5599999999999999E-2</v>
      </c>
      <c r="E193" s="1">
        <v>1.2999999999999999E-2</v>
      </c>
      <c r="F193">
        <f t="shared" si="41"/>
        <v>0</v>
      </c>
      <c r="G193">
        <f t="shared" si="42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3"/>
        <v>-1.2217251517752175</v>
      </c>
      <c r="L193">
        <v>1</v>
      </c>
      <c r="M193" t="e">
        <f t="shared" si="31"/>
        <v>#NUM!</v>
      </c>
      <c r="N193">
        <f t="shared" si="44"/>
        <v>0</v>
      </c>
      <c r="O193">
        <f t="shared" si="45"/>
        <v>0</v>
      </c>
      <c r="P193" t="e">
        <f t="shared" si="46"/>
        <v>#NUM!</v>
      </c>
    </row>
    <row r="194" spans="3:16" x14ac:dyDescent="0.3">
      <c r="C194">
        <f t="shared" si="25"/>
        <v>0</v>
      </c>
      <c r="D194">
        <v>1.5599999999999999E-2</v>
      </c>
      <c r="E194" s="1">
        <v>1.2999999999999999E-2</v>
      </c>
      <c r="F194">
        <f t="shared" si="41"/>
        <v>0</v>
      </c>
      <c r="G194">
        <f t="shared" si="42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3"/>
        <v>-1.2217251517752175</v>
      </c>
      <c r="L194">
        <v>1</v>
      </c>
      <c r="M194" t="e">
        <f t="shared" si="31"/>
        <v>#NUM!</v>
      </c>
      <c r="N194">
        <f t="shared" si="44"/>
        <v>0</v>
      </c>
      <c r="O194">
        <f t="shared" si="45"/>
        <v>0</v>
      </c>
      <c r="P194" t="e">
        <f t="shared" si="46"/>
        <v>#NUM!</v>
      </c>
    </row>
    <row r="195" spans="3:16" x14ac:dyDescent="0.3">
      <c r="C195">
        <f t="shared" si="25"/>
        <v>0</v>
      </c>
      <c r="D195">
        <v>1.5599999999999999E-2</v>
      </c>
      <c r="E195" s="1">
        <v>1.2999999999999999E-2</v>
      </c>
      <c r="F195">
        <f t="shared" si="41"/>
        <v>0</v>
      </c>
      <c r="G195">
        <f t="shared" si="42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3"/>
        <v>-1.2217251517752175</v>
      </c>
      <c r="L195">
        <v>1</v>
      </c>
      <c r="M195" t="e">
        <f t="shared" si="31"/>
        <v>#NUM!</v>
      </c>
      <c r="N195">
        <f t="shared" si="44"/>
        <v>0</v>
      </c>
      <c r="O195">
        <f t="shared" si="45"/>
        <v>0</v>
      </c>
      <c r="P195" t="e">
        <f t="shared" si="46"/>
        <v>#NUM!</v>
      </c>
    </row>
    <row r="196" spans="3:16" x14ac:dyDescent="0.3">
      <c r="C196">
        <f t="shared" si="25"/>
        <v>0</v>
      </c>
      <c r="D196">
        <v>1.5599999999999999E-2</v>
      </c>
      <c r="E196" s="1">
        <v>1.2999999999999999E-2</v>
      </c>
      <c r="F196">
        <f t="shared" si="41"/>
        <v>0</v>
      </c>
      <c r="G196">
        <f t="shared" si="42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3"/>
        <v>-1.2217251517752175</v>
      </c>
      <c r="L196">
        <v>1</v>
      </c>
      <c r="M196" t="e">
        <f t="shared" si="31"/>
        <v>#NUM!</v>
      </c>
      <c r="N196">
        <f t="shared" si="44"/>
        <v>0</v>
      </c>
      <c r="O196">
        <f t="shared" si="45"/>
        <v>0</v>
      </c>
      <c r="P196" t="e">
        <f t="shared" si="46"/>
        <v>#NUM!</v>
      </c>
    </row>
    <row r="197" spans="3:16" x14ac:dyDescent="0.3">
      <c r="C197">
        <f t="shared" ref="C197:C211" si="47">A197*B197</f>
        <v>0</v>
      </c>
      <c r="D197">
        <v>1.5599999999999999E-2</v>
      </c>
      <c r="E197" s="1">
        <v>1.2999999999999999E-2</v>
      </c>
      <c r="F197">
        <f t="shared" si="41"/>
        <v>0</v>
      </c>
      <c r="G197">
        <f t="shared" si="42"/>
        <v>0</v>
      </c>
      <c r="H197">
        <f t="shared" ref="H197:H211" si="48">-C197*200</f>
        <v>0</v>
      </c>
      <c r="I197">
        <v>1</v>
      </c>
      <c r="J197" t="e">
        <f t="shared" ref="J197:J260" si="49">LN(F197/1000)</f>
        <v>#NUM!</v>
      </c>
      <c r="K197">
        <f t="shared" si="43"/>
        <v>-1.2217251517752175</v>
      </c>
      <c r="L197">
        <v>1</v>
      </c>
      <c r="M197" t="e">
        <f t="shared" ref="M197:M260" si="50">-1*($S$4+($S$5*J197))</f>
        <v>#NUM!</v>
      </c>
      <c r="N197">
        <f t="shared" si="44"/>
        <v>0</v>
      </c>
      <c r="O197">
        <f t="shared" si="45"/>
        <v>0</v>
      </c>
      <c r="P197" t="e">
        <f t="shared" si="46"/>
        <v>#NUM!</v>
      </c>
    </row>
    <row r="198" spans="3:16" x14ac:dyDescent="0.3">
      <c r="C198">
        <f t="shared" si="47"/>
        <v>0</v>
      </c>
      <c r="D198">
        <v>1.5599999999999999E-2</v>
      </c>
      <c r="E198" s="1">
        <v>1.2999999999999999E-2</v>
      </c>
      <c r="F198">
        <f t="shared" si="41"/>
        <v>0</v>
      </c>
      <c r="G198">
        <f t="shared" si="42"/>
        <v>0</v>
      </c>
      <c r="H198">
        <f t="shared" si="48"/>
        <v>0</v>
      </c>
      <c r="I198">
        <v>1</v>
      </c>
      <c r="J198" t="e">
        <f t="shared" si="49"/>
        <v>#NUM!</v>
      </c>
      <c r="K198">
        <f t="shared" si="43"/>
        <v>-1.2217251517752175</v>
      </c>
      <c r="L198">
        <v>1</v>
      </c>
      <c r="M198" t="e">
        <f t="shared" si="50"/>
        <v>#NUM!</v>
      </c>
      <c r="N198">
        <f t="shared" si="44"/>
        <v>0</v>
      </c>
      <c r="O198">
        <f t="shared" si="45"/>
        <v>0</v>
      </c>
      <c r="P198" t="e">
        <f t="shared" si="46"/>
        <v>#NUM!</v>
      </c>
    </row>
    <row r="199" spans="3:16" x14ac:dyDescent="0.3">
      <c r="C199">
        <f t="shared" si="47"/>
        <v>0</v>
      </c>
      <c r="D199">
        <v>1.5599999999999999E-2</v>
      </c>
      <c r="E199" s="1">
        <v>1.2999999999999999E-2</v>
      </c>
      <c r="F199">
        <f t="shared" si="41"/>
        <v>0</v>
      </c>
      <c r="G199">
        <f t="shared" si="42"/>
        <v>0</v>
      </c>
      <c r="H199">
        <f t="shared" si="48"/>
        <v>0</v>
      </c>
      <c r="I199">
        <v>1</v>
      </c>
      <c r="J199" t="e">
        <f t="shared" si="49"/>
        <v>#NUM!</v>
      </c>
      <c r="K199">
        <f t="shared" si="43"/>
        <v>-1.2217251517752175</v>
      </c>
      <c r="L199">
        <v>1</v>
      </c>
      <c r="M199" t="e">
        <f t="shared" si="50"/>
        <v>#NUM!</v>
      </c>
      <c r="N199">
        <f t="shared" si="44"/>
        <v>0</v>
      </c>
      <c r="O199">
        <f t="shared" si="45"/>
        <v>0</v>
      </c>
      <c r="P199" t="e">
        <f t="shared" si="46"/>
        <v>#NUM!</v>
      </c>
    </row>
    <row r="200" spans="3:16" x14ac:dyDescent="0.3">
      <c r="C200">
        <f t="shared" si="47"/>
        <v>0</v>
      </c>
      <c r="D200">
        <v>1.5599999999999999E-2</v>
      </c>
      <c r="E200" s="1">
        <v>1.2999999999999999E-2</v>
      </c>
      <c r="F200">
        <f t="shared" si="41"/>
        <v>0</v>
      </c>
      <c r="G200">
        <f t="shared" si="42"/>
        <v>0</v>
      </c>
      <c r="H200">
        <f t="shared" si="48"/>
        <v>0</v>
      </c>
      <c r="I200">
        <v>1</v>
      </c>
      <c r="J200" t="e">
        <f t="shared" si="49"/>
        <v>#NUM!</v>
      </c>
      <c r="K200">
        <f t="shared" si="43"/>
        <v>-1.2217251517752175</v>
      </c>
      <c r="L200">
        <v>1</v>
      </c>
      <c r="M200" t="e">
        <f t="shared" si="50"/>
        <v>#NUM!</v>
      </c>
      <c r="N200">
        <f t="shared" si="44"/>
        <v>0</v>
      </c>
      <c r="O200">
        <f t="shared" si="45"/>
        <v>0</v>
      </c>
      <c r="P200" t="e">
        <f t="shared" si="46"/>
        <v>#NUM!</v>
      </c>
    </row>
    <row r="201" spans="3:16" x14ac:dyDescent="0.3">
      <c r="C201">
        <f t="shared" si="47"/>
        <v>0</v>
      </c>
      <c r="D201">
        <v>1.5599999999999999E-2</v>
      </c>
      <c r="E201" s="1">
        <v>1.2999999999999999E-2</v>
      </c>
      <c r="F201">
        <f t="shared" si="41"/>
        <v>0</v>
      </c>
      <c r="G201">
        <f t="shared" si="42"/>
        <v>0</v>
      </c>
      <c r="H201">
        <f t="shared" si="48"/>
        <v>0</v>
      </c>
      <c r="I201">
        <v>1</v>
      </c>
      <c r="J201" t="e">
        <f t="shared" si="49"/>
        <v>#NUM!</v>
      </c>
      <c r="K201">
        <f t="shared" si="43"/>
        <v>-1.2217251517752175</v>
      </c>
      <c r="L201">
        <v>1</v>
      </c>
      <c r="M201" t="e">
        <f t="shared" si="50"/>
        <v>#NUM!</v>
      </c>
      <c r="N201">
        <f t="shared" si="44"/>
        <v>0</v>
      </c>
      <c r="O201">
        <f t="shared" si="45"/>
        <v>0</v>
      </c>
      <c r="P201" t="e">
        <f t="shared" si="46"/>
        <v>#NUM!</v>
      </c>
    </row>
    <row r="202" spans="3:16" x14ac:dyDescent="0.3">
      <c r="C202">
        <f t="shared" si="47"/>
        <v>0</v>
      </c>
      <c r="D202">
        <v>1.5599999999999999E-2</v>
      </c>
      <c r="E202" s="1">
        <v>1.2999999999999999E-2</v>
      </c>
      <c r="F202">
        <f t="shared" si="41"/>
        <v>0</v>
      </c>
      <c r="G202">
        <f t="shared" si="42"/>
        <v>0</v>
      </c>
      <c r="H202">
        <f t="shared" si="48"/>
        <v>0</v>
      </c>
      <c r="I202">
        <v>1</v>
      </c>
      <c r="J202" t="e">
        <f t="shared" si="49"/>
        <v>#NUM!</v>
      </c>
      <c r="K202">
        <f t="shared" si="43"/>
        <v>-1.2217251517752175</v>
      </c>
      <c r="L202">
        <v>1</v>
      </c>
      <c r="M202" t="e">
        <f t="shared" si="50"/>
        <v>#NUM!</v>
      </c>
      <c r="N202">
        <f t="shared" si="44"/>
        <v>0</v>
      </c>
      <c r="O202">
        <f t="shared" si="45"/>
        <v>0</v>
      </c>
      <c r="P202" t="e">
        <f t="shared" si="46"/>
        <v>#NUM!</v>
      </c>
    </row>
    <row r="203" spans="3:16" x14ac:dyDescent="0.3">
      <c r="C203">
        <f t="shared" si="47"/>
        <v>0</v>
      </c>
      <c r="D203">
        <v>1.5599999999999999E-2</v>
      </c>
      <c r="E203" s="1">
        <v>1.2999999999999999E-2</v>
      </c>
      <c r="F203">
        <f t="shared" si="41"/>
        <v>0</v>
      </c>
      <c r="G203">
        <f t="shared" si="42"/>
        <v>0</v>
      </c>
      <c r="H203">
        <f t="shared" si="48"/>
        <v>0</v>
      </c>
      <c r="I203">
        <v>1</v>
      </c>
      <c r="J203" t="e">
        <f t="shared" si="49"/>
        <v>#NUM!</v>
      </c>
      <c r="K203">
        <f t="shared" si="43"/>
        <v>-1.2217251517752175</v>
      </c>
      <c r="L203">
        <v>1</v>
      </c>
      <c r="M203" t="e">
        <f t="shared" si="50"/>
        <v>#NUM!</v>
      </c>
      <c r="N203">
        <f t="shared" si="44"/>
        <v>0</v>
      </c>
      <c r="O203">
        <f t="shared" si="45"/>
        <v>0</v>
      </c>
      <c r="P203" t="e">
        <f t="shared" si="46"/>
        <v>#NUM!</v>
      </c>
    </row>
    <row r="204" spans="3:16" x14ac:dyDescent="0.3">
      <c r="C204">
        <f t="shared" si="47"/>
        <v>0</v>
      </c>
      <c r="D204">
        <v>1.5599999999999999E-2</v>
      </c>
      <c r="E204" s="1">
        <v>1.2999999999999999E-2</v>
      </c>
      <c r="F204">
        <f t="shared" si="41"/>
        <v>0</v>
      </c>
      <c r="G204">
        <f t="shared" si="42"/>
        <v>0</v>
      </c>
      <c r="H204">
        <f t="shared" si="48"/>
        <v>0</v>
      </c>
      <c r="I204">
        <v>1</v>
      </c>
      <c r="J204" t="e">
        <f t="shared" si="49"/>
        <v>#NUM!</v>
      </c>
      <c r="K204">
        <f t="shared" si="43"/>
        <v>-1.2217251517752175</v>
      </c>
      <c r="L204">
        <v>1</v>
      </c>
      <c r="M204" t="e">
        <f t="shared" si="50"/>
        <v>#NUM!</v>
      </c>
      <c r="N204">
        <f t="shared" si="44"/>
        <v>0</v>
      </c>
      <c r="O204">
        <f t="shared" si="45"/>
        <v>0</v>
      </c>
      <c r="P204" t="e">
        <f t="shared" si="46"/>
        <v>#NUM!</v>
      </c>
    </row>
    <row r="205" spans="3:16" x14ac:dyDescent="0.3">
      <c r="C205">
        <f t="shared" si="47"/>
        <v>0</v>
      </c>
      <c r="D205">
        <v>1.5599999999999999E-2</v>
      </c>
      <c r="E205" s="1">
        <v>1.2999999999999999E-2</v>
      </c>
      <c r="F205">
        <f t="shared" si="41"/>
        <v>0</v>
      </c>
      <c r="G205">
        <f t="shared" si="42"/>
        <v>0</v>
      </c>
      <c r="H205">
        <f t="shared" si="48"/>
        <v>0</v>
      </c>
      <c r="I205">
        <v>1</v>
      </c>
      <c r="J205" t="e">
        <f t="shared" si="49"/>
        <v>#NUM!</v>
      </c>
      <c r="K205">
        <f t="shared" si="43"/>
        <v>-1.2217251517752175</v>
      </c>
      <c r="L205">
        <v>1</v>
      </c>
      <c r="M205" t="e">
        <f t="shared" si="50"/>
        <v>#NUM!</v>
      </c>
      <c r="N205">
        <f t="shared" si="44"/>
        <v>0</v>
      </c>
      <c r="O205">
        <f t="shared" si="45"/>
        <v>0</v>
      </c>
      <c r="P205" t="e">
        <f t="shared" si="46"/>
        <v>#NUM!</v>
      </c>
    </row>
    <row r="206" spans="3:16" x14ac:dyDescent="0.3">
      <c r="C206">
        <f t="shared" si="47"/>
        <v>0</v>
      </c>
      <c r="D206">
        <v>1.5599999999999999E-2</v>
      </c>
      <c r="E206" s="1">
        <v>1.2999999999999999E-2</v>
      </c>
      <c r="F206">
        <f t="shared" si="41"/>
        <v>0</v>
      </c>
      <c r="G206">
        <f t="shared" si="42"/>
        <v>0</v>
      </c>
      <c r="H206">
        <f t="shared" si="48"/>
        <v>0</v>
      </c>
      <c r="I206">
        <v>1</v>
      </c>
      <c r="J206" t="e">
        <f t="shared" si="49"/>
        <v>#NUM!</v>
      </c>
      <c r="K206">
        <f t="shared" si="43"/>
        <v>-1.2217251517752175</v>
      </c>
      <c r="L206">
        <v>1</v>
      </c>
      <c r="M206" t="e">
        <f t="shared" si="50"/>
        <v>#NUM!</v>
      </c>
      <c r="N206">
        <f t="shared" si="44"/>
        <v>0</v>
      </c>
      <c r="O206">
        <f t="shared" si="45"/>
        <v>0</v>
      </c>
      <c r="P206" t="e">
        <f t="shared" si="46"/>
        <v>#NUM!</v>
      </c>
    </row>
    <row r="207" spans="3:16" x14ac:dyDescent="0.3">
      <c r="C207">
        <f t="shared" si="47"/>
        <v>0</v>
      </c>
      <c r="D207">
        <v>1.5599999999999999E-2</v>
      </c>
      <c r="E207" s="1">
        <v>1.2999999999999999E-2</v>
      </c>
      <c r="F207">
        <f t="shared" si="41"/>
        <v>0</v>
      </c>
      <c r="G207">
        <f t="shared" si="42"/>
        <v>0</v>
      </c>
      <c r="H207">
        <f t="shared" si="48"/>
        <v>0</v>
      </c>
      <c r="I207">
        <v>1</v>
      </c>
      <c r="J207" t="e">
        <f t="shared" si="49"/>
        <v>#NUM!</v>
      </c>
      <c r="K207">
        <f t="shared" si="43"/>
        <v>-1.2217251517752175</v>
      </c>
      <c r="L207">
        <v>1</v>
      </c>
      <c r="M207" t="e">
        <f t="shared" si="50"/>
        <v>#NUM!</v>
      </c>
      <c r="N207">
        <f t="shared" si="44"/>
        <v>0</v>
      </c>
      <c r="O207">
        <f t="shared" si="45"/>
        <v>0</v>
      </c>
      <c r="P207" t="e">
        <f t="shared" si="46"/>
        <v>#NUM!</v>
      </c>
    </row>
    <row r="208" spans="3:16" x14ac:dyDescent="0.3">
      <c r="C208">
        <f t="shared" si="47"/>
        <v>0</v>
      </c>
      <c r="D208">
        <v>1.5599999999999999E-2</v>
      </c>
      <c r="E208" s="1">
        <v>1.2999999999999999E-2</v>
      </c>
      <c r="F208">
        <f t="shared" si="41"/>
        <v>0</v>
      </c>
      <c r="G208">
        <f t="shared" si="42"/>
        <v>0</v>
      </c>
      <c r="H208">
        <f t="shared" si="48"/>
        <v>0</v>
      </c>
      <c r="I208">
        <v>1</v>
      </c>
      <c r="J208" t="e">
        <f t="shared" si="49"/>
        <v>#NUM!</v>
      </c>
      <c r="K208">
        <f t="shared" si="43"/>
        <v>-1.2217251517752175</v>
      </c>
      <c r="L208">
        <v>1</v>
      </c>
      <c r="M208" t="e">
        <f t="shared" si="50"/>
        <v>#NUM!</v>
      </c>
      <c r="N208">
        <f t="shared" si="44"/>
        <v>0</v>
      </c>
      <c r="O208">
        <f t="shared" si="45"/>
        <v>0</v>
      </c>
      <c r="P208" t="e">
        <f t="shared" si="46"/>
        <v>#NUM!</v>
      </c>
    </row>
    <row r="209" spans="3:16" x14ac:dyDescent="0.3">
      <c r="C209">
        <f t="shared" si="47"/>
        <v>0</v>
      </c>
      <c r="D209">
        <v>1.5599999999999999E-2</v>
      </c>
      <c r="E209" s="1">
        <v>1.2999999999999999E-2</v>
      </c>
      <c r="F209">
        <f t="shared" si="41"/>
        <v>0</v>
      </c>
      <c r="G209">
        <f t="shared" si="42"/>
        <v>0</v>
      </c>
      <c r="H209">
        <f t="shared" si="48"/>
        <v>0</v>
      </c>
      <c r="I209">
        <v>1</v>
      </c>
      <c r="J209" t="e">
        <f t="shared" si="49"/>
        <v>#NUM!</v>
      </c>
      <c r="K209">
        <f t="shared" si="43"/>
        <v>-1.2217251517752175</v>
      </c>
      <c r="L209">
        <v>1</v>
      </c>
      <c r="M209" t="e">
        <f t="shared" si="50"/>
        <v>#NUM!</v>
      </c>
      <c r="N209">
        <f t="shared" si="44"/>
        <v>0</v>
      </c>
      <c r="O209">
        <f t="shared" si="45"/>
        <v>0</v>
      </c>
      <c r="P209" t="e">
        <f t="shared" si="46"/>
        <v>#NUM!</v>
      </c>
    </row>
    <row r="210" spans="3:16" x14ac:dyDescent="0.3">
      <c r="C210">
        <f t="shared" si="47"/>
        <v>0</v>
      </c>
      <c r="D210">
        <v>1.5599999999999999E-2</v>
      </c>
      <c r="E210" s="1">
        <v>1.2999999999999999E-2</v>
      </c>
      <c r="F210">
        <f t="shared" si="41"/>
        <v>0</v>
      </c>
      <c r="G210">
        <f t="shared" si="42"/>
        <v>0</v>
      </c>
      <c r="H210">
        <f t="shared" si="48"/>
        <v>0</v>
      </c>
      <c r="I210">
        <v>1</v>
      </c>
      <c r="J210" t="e">
        <f t="shared" si="49"/>
        <v>#NUM!</v>
      </c>
      <c r="K210">
        <f t="shared" si="43"/>
        <v>-1.2217251517752175</v>
      </c>
      <c r="L210">
        <v>1</v>
      </c>
      <c r="M210" t="e">
        <f t="shared" si="50"/>
        <v>#NUM!</v>
      </c>
      <c r="N210">
        <f t="shared" si="44"/>
        <v>0</v>
      </c>
      <c r="O210">
        <f t="shared" si="45"/>
        <v>0</v>
      </c>
      <c r="P210" t="e">
        <f t="shared" si="46"/>
        <v>#NUM!</v>
      </c>
    </row>
    <row r="211" spans="3:16" x14ac:dyDescent="0.3">
      <c r="C211">
        <f t="shared" si="47"/>
        <v>0</v>
      </c>
      <c r="D211">
        <v>1.5599999999999999E-2</v>
      </c>
      <c r="E211" s="1">
        <v>1.2999999999999999E-2</v>
      </c>
      <c r="F211">
        <f t="shared" si="41"/>
        <v>0</v>
      </c>
      <c r="G211">
        <f t="shared" si="42"/>
        <v>0</v>
      </c>
      <c r="H211">
        <f t="shared" si="48"/>
        <v>0</v>
      </c>
      <c r="I211">
        <v>1</v>
      </c>
      <c r="J211" t="e">
        <f t="shared" si="49"/>
        <v>#NUM!</v>
      </c>
      <c r="K211">
        <f t="shared" si="43"/>
        <v>-1.2217251517752175</v>
      </c>
      <c r="L211">
        <v>1</v>
      </c>
      <c r="M211" t="e">
        <f t="shared" si="50"/>
        <v>#NUM!</v>
      </c>
      <c r="N211">
        <f t="shared" si="44"/>
        <v>0</v>
      </c>
      <c r="O211">
        <f t="shared" si="45"/>
        <v>0</v>
      </c>
      <c r="P211" t="e">
        <f t="shared" si="46"/>
        <v>#NUM!</v>
      </c>
    </row>
    <row r="212" spans="3:16" x14ac:dyDescent="0.3">
      <c r="C212">
        <f t="shared" ref="C212:C275" si="51">A212*B212</f>
        <v>0</v>
      </c>
      <c r="D212">
        <v>1.5599999999999999E-2</v>
      </c>
      <c r="E212" s="1">
        <v>1.2999999999999999E-2</v>
      </c>
      <c r="F212">
        <f t="shared" ref="F212:F275" si="52">A212*200</f>
        <v>0</v>
      </c>
      <c r="G212">
        <f t="shared" ref="G212:G275" si="53">-B212</f>
        <v>0</v>
      </c>
      <c r="H212">
        <f t="shared" ref="H212:H275" si="54">-C212*200</f>
        <v>0</v>
      </c>
      <c r="I212">
        <v>1</v>
      </c>
      <c r="J212" t="e">
        <f t="shared" si="49"/>
        <v>#NUM!</v>
      </c>
      <c r="K212">
        <f t="shared" ref="K212:K275" si="55">((-G212)-$N$2)</f>
        <v>-1.2217251517752175</v>
      </c>
      <c r="L212">
        <v>1</v>
      </c>
      <c r="M212" t="e">
        <f t="shared" si="50"/>
        <v>#NUM!</v>
      </c>
      <c r="N212">
        <f t="shared" ref="N212:N275" si="56">D212*A212</f>
        <v>0</v>
      </c>
      <c r="O212">
        <f t="shared" ref="O212:O275" si="57">E212*A212</f>
        <v>0</v>
      </c>
      <c r="P212" t="e">
        <f t="shared" ref="P212:P275" si="58">-K212-M212-N212-O212</f>
        <v>#NUM!</v>
      </c>
    </row>
    <row r="213" spans="3:16" x14ac:dyDescent="0.3">
      <c r="C213">
        <f t="shared" si="51"/>
        <v>0</v>
      </c>
      <c r="D213">
        <v>1.5599999999999999E-2</v>
      </c>
      <c r="E213" s="1">
        <v>1.2999999999999999E-2</v>
      </c>
      <c r="F213">
        <f t="shared" si="52"/>
        <v>0</v>
      </c>
      <c r="G213">
        <f t="shared" si="53"/>
        <v>0</v>
      </c>
      <c r="H213">
        <f t="shared" si="54"/>
        <v>0</v>
      </c>
      <c r="I213">
        <v>1</v>
      </c>
      <c r="J213" t="e">
        <f t="shared" si="49"/>
        <v>#NUM!</v>
      </c>
      <c r="K213">
        <f t="shared" si="55"/>
        <v>-1.2217251517752175</v>
      </c>
      <c r="L213">
        <v>1</v>
      </c>
      <c r="M213" t="e">
        <f t="shared" si="50"/>
        <v>#NUM!</v>
      </c>
      <c r="N213">
        <f t="shared" si="56"/>
        <v>0</v>
      </c>
      <c r="O213">
        <f t="shared" si="57"/>
        <v>0</v>
      </c>
      <c r="P213" t="e">
        <f t="shared" si="58"/>
        <v>#NUM!</v>
      </c>
    </row>
    <row r="214" spans="3:16" x14ac:dyDescent="0.3">
      <c r="C214">
        <f t="shared" si="51"/>
        <v>0</v>
      </c>
      <c r="D214">
        <v>1.5599999999999999E-2</v>
      </c>
      <c r="E214" s="1">
        <v>1.2999999999999999E-2</v>
      </c>
      <c r="F214">
        <f t="shared" si="52"/>
        <v>0</v>
      </c>
      <c r="G214">
        <f t="shared" si="53"/>
        <v>0</v>
      </c>
      <c r="H214">
        <f t="shared" si="54"/>
        <v>0</v>
      </c>
      <c r="I214">
        <v>1</v>
      </c>
      <c r="J214" t="e">
        <f t="shared" si="49"/>
        <v>#NUM!</v>
      </c>
      <c r="K214">
        <f t="shared" si="55"/>
        <v>-1.2217251517752175</v>
      </c>
      <c r="L214">
        <v>1</v>
      </c>
      <c r="M214" t="e">
        <f t="shared" si="50"/>
        <v>#NUM!</v>
      </c>
      <c r="N214">
        <f t="shared" si="56"/>
        <v>0</v>
      </c>
      <c r="O214">
        <f t="shared" si="57"/>
        <v>0</v>
      </c>
      <c r="P214" t="e">
        <f t="shared" si="58"/>
        <v>#NUM!</v>
      </c>
    </row>
    <row r="215" spans="3:16" x14ac:dyDescent="0.3">
      <c r="C215">
        <f t="shared" si="51"/>
        <v>0</v>
      </c>
      <c r="D215">
        <v>1.5599999999999999E-2</v>
      </c>
      <c r="E215" s="1">
        <v>1.2999999999999999E-2</v>
      </c>
      <c r="F215">
        <f t="shared" si="52"/>
        <v>0</v>
      </c>
      <c r="G215">
        <f t="shared" si="53"/>
        <v>0</v>
      </c>
      <c r="H215">
        <f t="shared" si="54"/>
        <v>0</v>
      </c>
      <c r="I215">
        <v>1</v>
      </c>
      <c r="J215" t="e">
        <f t="shared" si="49"/>
        <v>#NUM!</v>
      </c>
      <c r="K215">
        <f t="shared" si="55"/>
        <v>-1.2217251517752175</v>
      </c>
      <c r="L215">
        <v>1</v>
      </c>
      <c r="M215" t="e">
        <f t="shared" si="50"/>
        <v>#NUM!</v>
      </c>
      <c r="N215">
        <f t="shared" si="56"/>
        <v>0</v>
      </c>
      <c r="O215">
        <f t="shared" si="57"/>
        <v>0</v>
      </c>
      <c r="P215" t="e">
        <f t="shared" si="58"/>
        <v>#NUM!</v>
      </c>
    </row>
    <row r="216" spans="3:16" x14ac:dyDescent="0.3">
      <c r="C216">
        <f t="shared" si="51"/>
        <v>0</v>
      </c>
      <c r="D216">
        <v>1.5599999999999999E-2</v>
      </c>
      <c r="E216" s="1">
        <v>1.2999999999999999E-2</v>
      </c>
      <c r="F216">
        <f t="shared" si="52"/>
        <v>0</v>
      </c>
      <c r="G216">
        <f t="shared" si="53"/>
        <v>0</v>
      </c>
      <c r="H216">
        <f t="shared" si="54"/>
        <v>0</v>
      </c>
      <c r="I216">
        <v>1</v>
      </c>
      <c r="J216" t="e">
        <f t="shared" si="49"/>
        <v>#NUM!</v>
      </c>
      <c r="K216">
        <f t="shared" si="55"/>
        <v>-1.2217251517752175</v>
      </c>
      <c r="L216">
        <v>1</v>
      </c>
      <c r="M216" t="e">
        <f t="shared" si="50"/>
        <v>#NUM!</v>
      </c>
      <c r="N216">
        <f t="shared" si="56"/>
        <v>0</v>
      </c>
      <c r="O216">
        <f t="shared" si="57"/>
        <v>0</v>
      </c>
      <c r="P216" t="e">
        <f t="shared" si="58"/>
        <v>#NUM!</v>
      </c>
    </row>
    <row r="217" spans="3:16" x14ac:dyDescent="0.3">
      <c r="C217">
        <f t="shared" si="51"/>
        <v>0</v>
      </c>
      <c r="D217">
        <v>1.5599999999999999E-2</v>
      </c>
      <c r="E217" s="1">
        <v>1.2999999999999999E-2</v>
      </c>
      <c r="F217">
        <f t="shared" si="52"/>
        <v>0</v>
      </c>
      <c r="G217">
        <f t="shared" si="53"/>
        <v>0</v>
      </c>
      <c r="H217">
        <f t="shared" si="54"/>
        <v>0</v>
      </c>
      <c r="I217">
        <v>1</v>
      </c>
      <c r="J217" t="e">
        <f t="shared" si="49"/>
        <v>#NUM!</v>
      </c>
      <c r="K217">
        <f t="shared" si="55"/>
        <v>-1.2217251517752175</v>
      </c>
      <c r="L217">
        <v>1</v>
      </c>
      <c r="M217" t="e">
        <f t="shared" si="50"/>
        <v>#NUM!</v>
      </c>
      <c r="N217">
        <f t="shared" si="56"/>
        <v>0</v>
      </c>
      <c r="O217">
        <f t="shared" si="57"/>
        <v>0</v>
      </c>
      <c r="P217" t="e">
        <f t="shared" si="58"/>
        <v>#NUM!</v>
      </c>
    </row>
    <row r="218" spans="3:16" x14ac:dyDescent="0.3">
      <c r="C218">
        <f t="shared" si="51"/>
        <v>0</v>
      </c>
      <c r="D218">
        <v>1.5599999999999999E-2</v>
      </c>
      <c r="E218" s="1">
        <v>1.2999999999999999E-2</v>
      </c>
      <c r="F218">
        <f t="shared" si="52"/>
        <v>0</v>
      </c>
      <c r="G218">
        <f t="shared" si="53"/>
        <v>0</v>
      </c>
      <c r="H218">
        <f t="shared" si="54"/>
        <v>0</v>
      </c>
      <c r="I218">
        <v>1</v>
      </c>
      <c r="J218" t="e">
        <f t="shared" si="49"/>
        <v>#NUM!</v>
      </c>
      <c r="K218">
        <f t="shared" si="55"/>
        <v>-1.2217251517752175</v>
      </c>
      <c r="L218">
        <v>1</v>
      </c>
      <c r="M218" t="e">
        <f t="shared" si="50"/>
        <v>#NUM!</v>
      </c>
      <c r="N218">
        <f t="shared" si="56"/>
        <v>0</v>
      </c>
      <c r="O218">
        <f t="shared" si="57"/>
        <v>0</v>
      </c>
      <c r="P218" t="e">
        <f t="shared" si="58"/>
        <v>#NUM!</v>
      </c>
    </row>
    <row r="219" spans="3:16" x14ac:dyDescent="0.3">
      <c r="C219">
        <f t="shared" si="51"/>
        <v>0</v>
      </c>
      <c r="D219">
        <v>1.5599999999999999E-2</v>
      </c>
      <c r="E219" s="1">
        <v>1.2999999999999999E-2</v>
      </c>
      <c r="F219">
        <f t="shared" si="52"/>
        <v>0</v>
      </c>
      <c r="G219">
        <f t="shared" si="53"/>
        <v>0</v>
      </c>
      <c r="H219">
        <f t="shared" si="54"/>
        <v>0</v>
      </c>
      <c r="I219">
        <v>1</v>
      </c>
      <c r="J219" t="e">
        <f t="shared" si="49"/>
        <v>#NUM!</v>
      </c>
      <c r="K219">
        <f t="shared" si="55"/>
        <v>-1.2217251517752175</v>
      </c>
      <c r="L219">
        <v>1</v>
      </c>
      <c r="M219" t="e">
        <f t="shared" si="50"/>
        <v>#NUM!</v>
      </c>
      <c r="N219">
        <f t="shared" si="56"/>
        <v>0</v>
      </c>
      <c r="O219">
        <f t="shared" si="57"/>
        <v>0</v>
      </c>
      <c r="P219" t="e">
        <f t="shared" si="58"/>
        <v>#NUM!</v>
      </c>
    </row>
    <row r="220" spans="3:16" x14ac:dyDescent="0.3">
      <c r="C220">
        <f t="shared" si="51"/>
        <v>0</v>
      </c>
      <c r="D220">
        <v>1.5599999999999999E-2</v>
      </c>
      <c r="E220" s="1">
        <v>1.2999999999999999E-2</v>
      </c>
      <c r="F220">
        <f t="shared" si="52"/>
        <v>0</v>
      </c>
      <c r="G220">
        <f t="shared" si="53"/>
        <v>0</v>
      </c>
      <c r="H220">
        <f t="shared" si="54"/>
        <v>0</v>
      </c>
      <c r="I220">
        <v>1</v>
      </c>
      <c r="J220" t="e">
        <f t="shared" si="49"/>
        <v>#NUM!</v>
      </c>
      <c r="K220">
        <f t="shared" si="55"/>
        <v>-1.2217251517752175</v>
      </c>
      <c r="L220">
        <v>1</v>
      </c>
      <c r="M220" t="e">
        <f t="shared" si="50"/>
        <v>#NUM!</v>
      </c>
      <c r="N220">
        <f t="shared" si="56"/>
        <v>0</v>
      </c>
      <c r="O220">
        <f t="shared" si="57"/>
        <v>0</v>
      </c>
      <c r="P220" t="e">
        <f t="shared" si="58"/>
        <v>#NUM!</v>
      </c>
    </row>
    <row r="221" spans="3:16" x14ac:dyDescent="0.3">
      <c r="C221">
        <f t="shared" si="51"/>
        <v>0</v>
      </c>
      <c r="D221">
        <v>1.5599999999999999E-2</v>
      </c>
      <c r="E221" s="1">
        <v>1.2999999999999999E-2</v>
      </c>
      <c r="F221">
        <f t="shared" si="52"/>
        <v>0</v>
      </c>
      <c r="G221">
        <f t="shared" si="53"/>
        <v>0</v>
      </c>
      <c r="H221">
        <f t="shared" si="54"/>
        <v>0</v>
      </c>
      <c r="I221">
        <v>1</v>
      </c>
      <c r="J221" t="e">
        <f t="shared" si="49"/>
        <v>#NUM!</v>
      </c>
      <c r="K221">
        <f t="shared" si="55"/>
        <v>-1.2217251517752175</v>
      </c>
      <c r="L221">
        <v>1</v>
      </c>
      <c r="M221" t="e">
        <f t="shared" si="50"/>
        <v>#NUM!</v>
      </c>
      <c r="N221">
        <f t="shared" si="56"/>
        <v>0</v>
      </c>
      <c r="O221">
        <f t="shared" si="57"/>
        <v>0</v>
      </c>
      <c r="P221" t="e">
        <f t="shared" si="58"/>
        <v>#NUM!</v>
      </c>
    </row>
    <row r="222" spans="3:16" x14ac:dyDescent="0.3">
      <c r="C222">
        <f t="shared" si="51"/>
        <v>0</v>
      </c>
      <c r="D222">
        <v>1.5599999999999999E-2</v>
      </c>
      <c r="E222" s="1">
        <v>1.2999999999999999E-2</v>
      </c>
      <c r="F222">
        <f t="shared" si="52"/>
        <v>0</v>
      </c>
      <c r="G222">
        <f t="shared" si="53"/>
        <v>0</v>
      </c>
      <c r="H222">
        <f t="shared" si="54"/>
        <v>0</v>
      </c>
      <c r="I222">
        <v>1</v>
      </c>
      <c r="J222" t="e">
        <f t="shared" si="49"/>
        <v>#NUM!</v>
      </c>
      <c r="K222">
        <f t="shared" si="55"/>
        <v>-1.2217251517752175</v>
      </c>
      <c r="L222">
        <v>1</v>
      </c>
      <c r="M222" t="e">
        <f t="shared" si="50"/>
        <v>#NUM!</v>
      </c>
      <c r="N222">
        <f t="shared" si="56"/>
        <v>0</v>
      </c>
      <c r="O222">
        <f t="shared" si="57"/>
        <v>0</v>
      </c>
      <c r="P222" t="e">
        <f t="shared" si="58"/>
        <v>#NUM!</v>
      </c>
    </row>
    <row r="223" spans="3:16" x14ac:dyDescent="0.3">
      <c r="C223">
        <f t="shared" si="51"/>
        <v>0</v>
      </c>
      <c r="D223">
        <v>1.5599999999999999E-2</v>
      </c>
      <c r="E223" s="1">
        <v>1.2999999999999999E-2</v>
      </c>
      <c r="F223">
        <f t="shared" si="52"/>
        <v>0</v>
      </c>
      <c r="G223">
        <f t="shared" si="53"/>
        <v>0</v>
      </c>
      <c r="H223">
        <f t="shared" si="54"/>
        <v>0</v>
      </c>
      <c r="I223">
        <v>1</v>
      </c>
      <c r="J223" t="e">
        <f t="shared" si="49"/>
        <v>#NUM!</v>
      </c>
      <c r="K223">
        <f t="shared" si="55"/>
        <v>-1.2217251517752175</v>
      </c>
      <c r="L223">
        <v>1</v>
      </c>
      <c r="M223" t="e">
        <f t="shared" si="50"/>
        <v>#NUM!</v>
      </c>
      <c r="N223">
        <f t="shared" si="56"/>
        <v>0</v>
      </c>
      <c r="O223">
        <f t="shared" si="57"/>
        <v>0</v>
      </c>
      <c r="P223" t="e">
        <f t="shared" si="58"/>
        <v>#NUM!</v>
      </c>
    </row>
    <row r="224" spans="3:16" x14ac:dyDescent="0.3">
      <c r="C224">
        <f t="shared" si="51"/>
        <v>0</v>
      </c>
      <c r="D224">
        <v>1.5599999999999999E-2</v>
      </c>
      <c r="E224" s="1">
        <v>1.2999999999999999E-2</v>
      </c>
      <c r="F224">
        <f t="shared" si="52"/>
        <v>0</v>
      </c>
      <c r="G224">
        <f t="shared" si="53"/>
        <v>0</v>
      </c>
      <c r="H224">
        <f t="shared" si="54"/>
        <v>0</v>
      </c>
      <c r="I224">
        <v>1</v>
      </c>
      <c r="J224" t="e">
        <f t="shared" si="49"/>
        <v>#NUM!</v>
      </c>
      <c r="K224">
        <f t="shared" si="55"/>
        <v>-1.2217251517752175</v>
      </c>
      <c r="L224">
        <v>1</v>
      </c>
      <c r="M224" t="e">
        <f t="shared" si="50"/>
        <v>#NUM!</v>
      </c>
      <c r="N224">
        <f t="shared" si="56"/>
        <v>0</v>
      </c>
      <c r="O224">
        <f t="shared" si="57"/>
        <v>0</v>
      </c>
      <c r="P224" t="e">
        <f t="shared" si="58"/>
        <v>#NUM!</v>
      </c>
    </row>
    <row r="225" spans="3:18" x14ac:dyDescent="0.3">
      <c r="C225">
        <f t="shared" si="51"/>
        <v>0</v>
      </c>
      <c r="D225">
        <v>1.5599999999999999E-2</v>
      </c>
      <c r="E225" s="1">
        <v>1.2999999999999999E-2</v>
      </c>
      <c r="F225">
        <f t="shared" si="52"/>
        <v>0</v>
      </c>
      <c r="G225">
        <f t="shared" si="53"/>
        <v>0</v>
      </c>
      <c r="H225">
        <f t="shared" si="54"/>
        <v>0</v>
      </c>
      <c r="I225">
        <v>1</v>
      </c>
      <c r="J225" t="e">
        <f t="shared" si="49"/>
        <v>#NUM!</v>
      </c>
      <c r="K225">
        <f t="shared" si="55"/>
        <v>-1.2217251517752175</v>
      </c>
      <c r="L225">
        <v>1</v>
      </c>
      <c r="M225" t="e">
        <f t="shared" si="50"/>
        <v>#NUM!</v>
      </c>
      <c r="N225">
        <f>D225*A225</f>
        <v>0</v>
      </c>
      <c r="O225">
        <f t="shared" si="57"/>
        <v>0</v>
      </c>
      <c r="P225" t="e">
        <f t="shared" si="58"/>
        <v>#NUM!</v>
      </c>
      <c r="R225" t="e">
        <f>O225+N225+M225</f>
        <v>#NUM!</v>
      </c>
    </row>
    <row r="226" spans="3:18" x14ac:dyDescent="0.3">
      <c r="C226">
        <f t="shared" si="51"/>
        <v>0</v>
      </c>
      <c r="D226">
        <v>1.5599999999999999E-2</v>
      </c>
      <c r="E226" s="1">
        <v>1.2999999999999999E-2</v>
      </c>
      <c r="F226">
        <f t="shared" si="52"/>
        <v>0</v>
      </c>
      <c r="G226">
        <f t="shared" si="53"/>
        <v>0</v>
      </c>
      <c r="H226">
        <f t="shared" si="54"/>
        <v>0</v>
      </c>
      <c r="I226">
        <v>1</v>
      </c>
      <c r="J226" t="e">
        <f t="shared" si="49"/>
        <v>#NUM!</v>
      </c>
      <c r="K226">
        <f t="shared" si="55"/>
        <v>-1.2217251517752175</v>
      </c>
      <c r="L226">
        <v>1</v>
      </c>
      <c r="M226" t="e">
        <f t="shared" si="50"/>
        <v>#NUM!</v>
      </c>
      <c r="N226">
        <f t="shared" si="56"/>
        <v>0</v>
      </c>
      <c r="O226">
        <f t="shared" si="57"/>
        <v>0</v>
      </c>
      <c r="P226" t="e">
        <f t="shared" si="58"/>
        <v>#NUM!</v>
      </c>
    </row>
    <row r="227" spans="3:18" x14ac:dyDescent="0.3">
      <c r="C227">
        <f t="shared" si="51"/>
        <v>0</v>
      </c>
      <c r="D227">
        <v>1.5599999999999999E-2</v>
      </c>
      <c r="E227" s="1">
        <v>1.2999999999999999E-2</v>
      </c>
      <c r="F227">
        <f t="shared" si="52"/>
        <v>0</v>
      </c>
      <c r="G227">
        <f t="shared" si="53"/>
        <v>0</v>
      </c>
      <c r="H227">
        <f t="shared" si="54"/>
        <v>0</v>
      </c>
      <c r="I227">
        <v>1</v>
      </c>
      <c r="J227" t="e">
        <f t="shared" si="49"/>
        <v>#NUM!</v>
      </c>
      <c r="K227">
        <f t="shared" si="55"/>
        <v>-1.2217251517752175</v>
      </c>
      <c r="L227">
        <v>1</v>
      </c>
      <c r="M227" t="e">
        <f t="shared" si="50"/>
        <v>#NUM!</v>
      </c>
      <c r="N227">
        <f t="shared" si="56"/>
        <v>0</v>
      </c>
      <c r="O227">
        <f t="shared" si="57"/>
        <v>0</v>
      </c>
      <c r="P227" t="e">
        <f t="shared" si="58"/>
        <v>#NUM!</v>
      </c>
    </row>
    <row r="228" spans="3:18" x14ac:dyDescent="0.3">
      <c r="C228">
        <f t="shared" si="51"/>
        <v>0</v>
      </c>
      <c r="D228">
        <v>1.5599999999999999E-2</v>
      </c>
      <c r="E228" s="1">
        <v>1.2999999999999999E-2</v>
      </c>
      <c r="F228">
        <f t="shared" si="52"/>
        <v>0</v>
      </c>
      <c r="G228">
        <f t="shared" si="53"/>
        <v>0</v>
      </c>
      <c r="H228">
        <f t="shared" si="54"/>
        <v>0</v>
      </c>
      <c r="I228">
        <v>1</v>
      </c>
      <c r="J228" t="e">
        <f t="shared" si="49"/>
        <v>#NUM!</v>
      </c>
      <c r="K228">
        <f t="shared" si="55"/>
        <v>-1.2217251517752175</v>
      </c>
      <c r="L228">
        <v>1</v>
      </c>
      <c r="M228" t="e">
        <f t="shared" si="50"/>
        <v>#NUM!</v>
      </c>
      <c r="N228">
        <f t="shared" si="56"/>
        <v>0</v>
      </c>
      <c r="O228">
        <f t="shared" si="57"/>
        <v>0</v>
      </c>
      <c r="P228" t="e">
        <f t="shared" si="58"/>
        <v>#NUM!</v>
      </c>
    </row>
    <row r="229" spans="3:18" x14ac:dyDescent="0.3">
      <c r="C229">
        <f t="shared" si="51"/>
        <v>0</v>
      </c>
      <c r="D229">
        <v>1.5599999999999999E-2</v>
      </c>
      <c r="E229" s="1">
        <v>1.2999999999999999E-2</v>
      </c>
      <c r="F229">
        <f t="shared" si="52"/>
        <v>0</v>
      </c>
      <c r="G229">
        <f t="shared" si="53"/>
        <v>0</v>
      </c>
      <c r="H229">
        <f t="shared" si="54"/>
        <v>0</v>
      </c>
      <c r="I229">
        <v>1</v>
      </c>
      <c r="J229" t="e">
        <f t="shared" si="49"/>
        <v>#NUM!</v>
      </c>
      <c r="K229">
        <f t="shared" si="55"/>
        <v>-1.2217251517752175</v>
      </c>
      <c r="L229">
        <v>1</v>
      </c>
      <c r="M229" t="e">
        <f t="shared" si="50"/>
        <v>#NUM!</v>
      </c>
      <c r="N229">
        <f t="shared" si="56"/>
        <v>0</v>
      </c>
      <c r="O229">
        <f t="shared" si="57"/>
        <v>0</v>
      </c>
      <c r="P229" t="e">
        <f t="shared" si="58"/>
        <v>#NUM!</v>
      </c>
    </row>
    <row r="230" spans="3:18" x14ac:dyDescent="0.3">
      <c r="C230">
        <f t="shared" si="51"/>
        <v>0</v>
      </c>
      <c r="D230">
        <v>1.5599999999999999E-2</v>
      </c>
      <c r="E230" s="1">
        <v>1.2999999999999999E-2</v>
      </c>
      <c r="F230">
        <f t="shared" si="52"/>
        <v>0</v>
      </c>
      <c r="G230">
        <f t="shared" si="53"/>
        <v>0</v>
      </c>
      <c r="H230">
        <f t="shared" si="54"/>
        <v>0</v>
      </c>
      <c r="I230">
        <v>1</v>
      </c>
      <c r="J230" t="e">
        <f t="shared" si="49"/>
        <v>#NUM!</v>
      </c>
      <c r="K230">
        <f t="shared" si="55"/>
        <v>-1.2217251517752175</v>
      </c>
      <c r="L230">
        <v>1</v>
      </c>
      <c r="M230" t="e">
        <f t="shared" si="50"/>
        <v>#NUM!</v>
      </c>
      <c r="N230">
        <f t="shared" si="56"/>
        <v>0</v>
      </c>
      <c r="O230">
        <f t="shared" si="57"/>
        <v>0</v>
      </c>
      <c r="P230" t="e">
        <f t="shared" si="58"/>
        <v>#NUM!</v>
      </c>
    </row>
    <row r="231" spans="3:18" x14ac:dyDescent="0.3">
      <c r="C231">
        <f t="shared" si="51"/>
        <v>0</v>
      </c>
      <c r="D231">
        <v>1.5599999999999999E-2</v>
      </c>
      <c r="E231" s="1">
        <v>1.2999999999999999E-2</v>
      </c>
      <c r="F231">
        <f t="shared" si="52"/>
        <v>0</v>
      </c>
      <c r="G231">
        <f t="shared" si="53"/>
        <v>0</v>
      </c>
      <c r="H231">
        <f t="shared" si="54"/>
        <v>0</v>
      </c>
      <c r="I231">
        <v>1</v>
      </c>
      <c r="J231" t="e">
        <f t="shared" si="49"/>
        <v>#NUM!</v>
      </c>
      <c r="K231">
        <f t="shared" si="55"/>
        <v>-1.2217251517752175</v>
      </c>
      <c r="L231">
        <v>1</v>
      </c>
      <c r="M231" t="e">
        <f t="shared" si="50"/>
        <v>#NUM!</v>
      </c>
      <c r="N231">
        <f t="shared" si="56"/>
        <v>0</v>
      </c>
      <c r="O231">
        <f t="shared" si="57"/>
        <v>0</v>
      </c>
      <c r="P231" t="e">
        <f t="shared" si="58"/>
        <v>#NUM!</v>
      </c>
    </row>
    <row r="232" spans="3:18" x14ac:dyDescent="0.3">
      <c r="C232">
        <f t="shared" si="51"/>
        <v>0</v>
      </c>
      <c r="D232">
        <v>1.5599999999999999E-2</v>
      </c>
      <c r="E232" s="1">
        <v>1.2999999999999999E-2</v>
      </c>
      <c r="F232">
        <f t="shared" si="52"/>
        <v>0</v>
      </c>
      <c r="G232">
        <f t="shared" si="53"/>
        <v>0</v>
      </c>
      <c r="H232">
        <f t="shared" si="54"/>
        <v>0</v>
      </c>
      <c r="I232">
        <v>1</v>
      </c>
      <c r="J232" t="e">
        <f t="shared" si="49"/>
        <v>#NUM!</v>
      </c>
      <c r="K232">
        <f t="shared" si="55"/>
        <v>-1.2217251517752175</v>
      </c>
      <c r="L232">
        <v>1</v>
      </c>
      <c r="M232" t="e">
        <f t="shared" si="50"/>
        <v>#NUM!</v>
      </c>
      <c r="N232">
        <f t="shared" si="56"/>
        <v>0</v>
      </c>
      <c r="O232">
        <f t="shared" si="57"/>
        <v>0</v>
      </c>
      <c r="P232" t="e">
        <f t="shared" si="58"/>
        <v>#NUM!</v>
      </c>
    </row>
    <row r="233" spans="3:18" x14ac:dyDescent="0.3">
      <c r="C233">
        <f t="shared" si="51"/>
        <v>0</v>
      </c>
      <c r="D233">
        <v>1.5599999999999999E-2</v>
      </c>
      <c r="E233" s="1">
        <v>1.2999999999999999E-2</v>
      </c>
      <c r="F233">
        <f t="shared" si="52"/>
        <v>0</v>
      </c>
      <c r="G233">
        <f t="shared" si="53"/>
        <v>0</v>
      </c>
      <c r="H233">
        <f t="shared" si="54"/>
        <v>0</v>
      </c>
      <c r="I233">
        <v>1</v>
      </c>
      <c r="J233" t="e">
        <f t="shared" si="49"/>
        <v>#NUM!</v>
      </c>
      <c r="K233">
        <f t="shared" si="55"/>
        <v>-1.2217251517752175</v>
      </c>
      <c r="L233">
        <v>1</v>
      </c>
      <c r="M233" t="e">
        <f t="shared" si="50"/>
        <v>#NUM!</v>
      </c>
      <c r="N233">
        <f t="shared" si="56"/>
        <v>0</v>
      </c>
      <c r="O233">
        <f t="shared" si="57"/>
        <v>0</v>
      </c>
      <c r="P233" t="e">
        <f t="shared" si="58"/>
        <v>#NUM!</v>
      </c>
    </row>
    <row r="234" spans="3:18" x14ac:dyDescent="0.3">
      <c r="C234">
        <f t="shared" si="51"/>
        <v>0</v>
      </c>
      <c r="D234">
        <v>1.5599999999999999E-2</v>
      </c>
      <c r="E234" s="1">
        <v>1.2999999999999999E-2</v>
      </c>
      <c r="F234">
        <f t="shared" si="52"/>
        <v>0</v>
      </c>
      <c r="G234">
        <f t="shared" si="53"/>
        <v>0</v>
      </c>
      <c r="H234">
        <f t="shared" si="54"/>
        <v>0</v>
      </c>
      <c r="I234">
        <v>1</v>
      </c>
      <c r="J234" t="e">
        <f t="shared" si="49"/>
        <v>#NUM!</v>
      </c>
      <c r="K234">
        <f t="shared" si="55"/>
        <v>-1.2217251517752175</v>
      </c>
      <c r="L234">
        <v>1</v>
      </c>
      <c r="M234" t="e">
        <f t="shared" si="50"/>
        <v>#NUM!</v>
      </c>
      <c r="N234">
        <f t="shared" si="56"/>
        <v>0</v>
      </c>
      <c r="O234">
        <f t="shared" si="57"/>
        <v>0</v>
      </c>
      <c r="P234" t="e">
        <f t="shared" si="58"/>
        <v>#NUM!</v>
      </c>
    </row>
    <row r="235" spans="3:18" x14ac:dyDescent="0.3">
      <c r="C235">
        <f t="shared" si="51"/>
        <v>0</v>
      </c>
      <c r="D235">
        <v>1.5599999999999999E-2</v>
      </c>
      <c r="E235" s="1">
        <v>1.2999999999999999E-2</v>
      </c>
      <c r="F235">
        <f t="shared" si="52"/>
        <v>0</v>
      </c>
      <c r="G235">
        <f t="shared" si="53"/>
        <v>0</v>
      </c>
      <c r="H235">
        <f t="shared" si="54"/>
        <v>0</v>
      </c>
      <c r="I235">
        <v>1</v>
      </c>
      <c r="J235" t="e">
        <f t="shared" si="49"/>
        <v>#NUM!</v>
      </c>
      <c r="K235">
        <f t="shared" si="55"/>
        <v>-1.2217251517752175</v>
      </c>
      <c r="L235">
        <v>1</v>
      </c>
      <c r="M235" t="e">
        <f t="shared" si="50"/>
        <v>#NUM!</v>
      </c>
      <c r="N235">
        <f t="shared" si="56"/>
        <v>0</v>
      </c>
      <c r="O235">
        <f t="shared" si="57"/>
        <v>0</v>
      </c>
      <c r="P235" t="e">
        <f t="shared" si="58"/>
        <v>#NUM!</v>
      </c>
    </row>
    <row r="236" spans="3:18" x14ac:dyDescent="0.3">
      <c r="C236">
        <f t="shared" si="51"/>
        <v>0</v>
      </c>
      <c r="D236">
        <v>1.5599999999999999E-2</v>
      </c>
      <c r="E236" s="1">
        <v>1.2999999999999999E-2</v>
      </c>
      <c r="F236">
        <f t="shared" si="52"/>
        <v>0</v>
      </c>
      <c r="G236">
        <f t="shared" si="53"/>
        <v>0</v>
      </c>
      <c r="H236">
        <f t="shared" si="54"/>
        <v>0</v>
      </c>
      <c r="I236">
        <v>1</v>
      </c>
      <c r="J236" t="e">
        <f t="shared" si="49"/>
        <v>#NUM!</v>
      </c>
      <c r="K236">
        <f t="shared" si="55"/>
        <v>-1.2217251517752175</v>
      </c>
      <c r="L236">
        <v>1</v>
      </c>
      <c r="M236" t="e">
        <f t="shared" si="50"/>
        <v>#NUM!</v>
      </c>
      <c r="N236">
        <f t="shared" si="56"/>
        <v>0</v>
      </c>
      <c r="O236">
        <f t="shared" si="57"/>
        <v>0</v>
      </c>
      <c r="P236" t="e">
        <f t="shared" si="58"/>
        <v>#NUM!</v>
      </c>
    </row>
    <row r="237" spans="3:18" x14ac:dyDescent="0.3">
      <c r="C237">
        <f t="shared" si="51"/>
        <v>0</v>
      </c>
      <c r="D237">
        <v>1.5599999999999999E-2</v>
      </c>
      <c r="E237" s="1">
        <v>1.2999999999999999E-2</v>
      </c>
      <c r="F237">
        <f t="shared" si="52"/>
        <v>0</v>
      </c>
      <c r="G237">
        <f t="shared" si="53"/>
        <v>0</v>
      </c>
      <c r="H237">
        <f t="shared" si="54"/>
        <v>0</v>
      </c>
      <c r="I237">
        <v>1</v>
      </c>
      <c r="J237" t="e">
        <f t="shared" si="49"/>
        <v>#NUM!</v>
      </c>
      <c r="K237">
        <f t="shared" si="55"/>
        <v>-1.2217251517752175</v>
      </c>
      <c r="L237">
        <v>1</v>
      </c>
      <c r="M237" t="e">
        <f t="shared" si="50"/>
        <v>#NUM!</v>
      </c>
      <c r="N237">
        <f t="shared" si="56"/>
        <v>0</v>
      </c>
      <c r="O237">
        <f t="shared" si="57"/>
        <v>0</v>
      </c>
      <c r="P237" t="e">
        <f t="shared" si="58"/>
        <v>#NUM!</v>
      </c>
    </row>
    <row r="238" spans="3:18" x14ac:dyDescent="0.3">
      <c r="C238">
        <f t="shared" si="51"/>
        <v>0</v>
      </c>
      <c r="D238">
        <v>1.5599999999999999E-2</v>
      </c>
      <c r="E238" s="1">
        <v>1.2999999999999999E-2</v>
      </c>
      <c r="F238">
        <f t="shared" si="52"/>
        <v>0</v>
      </c>
      <c r="G238">
        <f t="shared" si="53"/>
        <v>0</v>
      </c>
      <c r="H238">
        <f t="shared" si="54"/>
        <v>0</v>
      </c>
      <c r="I238">
        <v>1</v>
      </c>
      <c r="J238" t="e">
        <f t="shared" si="49"/>
        <v>#NUM!</v>
      </c>
      <c r="K238">
        <f t="shared" si="55"/>
        <v>-1.2217251517752175</v>
      </c>
      <c r="L238">
        <v>1</v>
      </c>
      <c r="M238" t="e">
        <f t="shared" si="50"/>
        <v>#NUM!</v>
      </c>
      <c r="N238">
        <f t="shared" si="56"/>
        <v>0</v>
      </c>
      <c r="O238">
        <f t="shared" si="57"/>
        <v>0</v>
      </c>
      <c r="P238" t="e">
        <f t="shared" si="58"/>
        <v>#NUM!</v>
      </c>
    </row>
    <row r="239" spans="3:18" x14ac:dyDescent="0.3">
      <c r="C239">
        <f t="shared" si="51"/>
        <v>0</v>
      </c>
      <c r="D239">
        <v>1.5599999999999999E-2</v>
      </c>
      <c r="E239" s="1">
        <v>1.2999999999999999E-2</v>
      </c>
      <c r="F239">
        <f t="shared" si="52"/>
        <v>0</v>
      </c>
      <c r="G239">
        <f t="shared" si="53"/>
        <v>0</v>
      </c>
      <c r="H239">
        <f t="shared" si="54"/>
        <v>0</v>
      </c>
      <c r="I239">
        <v>1</v>
      </c>
      <c r="J239" t="e">
        <f t="shared" si="49"/>
        <v>#NUM!</v>
      </c>
      <c r="K239">
        <f t="shared" si="55"/>
        <v>-1.2217251517752175</v>
      </c>
      <c r="L239">
        <v>1</v>
      </c>
      <c r="M239" t="e">
        <f t="shared" si="50"/>
        <v>#NUM!</v>
      </c>
      <c r="N239">
        <f t="shared" si="56"/>
        <v>0</v>
      </c>
      <c r="O239">
        <f t="shared" si="57"/>
        <v>0</v>
      </c>
      <c r="P239" t="e">
        <f t="shared" si="58"/>
        <v>#NUM!</v>
      </c>
    </row>
    <row r="240" spans="3:18" x14ac:dyDescent="0.3">
      <c r="C240">
        <f t="shared" si="51"/>
        <v>0</v>
      </c>
      <c r="D240">
        <v>1.5599999999999999E-2</v>
      </c>
      <c r="E240" s="1">
        <v>1.2999999999999999E-2</v>
      </c>
      <c r="F240">
        <f t="shared" si="52"/>
        <v>0</v>
      </c>
      <c r="G240">
        <f t="shared" si="53"/>
        <v>0</v>
      </c>
      <c r="H240">
        <f t="shared" si="54"/>
        <v>0</v>
      </c>
      <c r="I240">
        <v>1</v>
      </c>
      <c r="J240" t="e">
        <f t="shared" si="49"/>
        <v>#NUM!</v>
      </c>
      <c r="K240">
        <f t="shared" si="55"/>
        <v>-1.2217251517752175</v>
      </c>
      <c r="L240">
        <v>1</v>
      </c>
      <c r="M240" t="e">
        <f t="shared" si="50"/>
        <v>#NUM!</v>
      </c>
      <c r="N240">
        <f t="shared" si="56"/>
        <v>0</v>
      </c>
      <c r="O240">
        <f t="shared" si="57"/>
        <v>0</v>
      </c>
      <c r="P240" t="e">
        <f t="shared" si="58"/>
        <v>#NUM!</v>
      </c>
    </row>
    <row r="241" spans="3:16" x14ac:dyDescent="0.3">
      <c r="C241">
        <f t="shared" si="51"/>
        <v>0</v>
      </c>
      <c r="D241">
        <v>1.5599999999999999E-2</v>
      </c>
      <c r="E241" s="1">
        <v>1.2999999999999999E-2</v>
      </c>
      <c r="F241">
        <f t="shared" si="52"/>
        <v>0</v>
      </c>
      <c r="G241">
        <f t="shared" si="53"/>
        <v>0</v>
      </c>
      <c r="H241">
        <f t="shared" si="54"/>
        <v>0</v>
      </c>
      <c r="I241">
        <v>1</v>
      </c>
      <c r="J241" t="e">
        <f t="shared" si="49"/>
        <v>#NUM!</v>
      </c>
      <c r="K241">
        <f t="shared" si="55"/>
        <v>-1.2217251517752175</v>
      </c>
      <c r="L241">
        <v>1</v>
      </c>
      <c r="M241" t="e">
        <f t="shared" si="50"/>
        <v>#NUM!</v>
      </c>
      <c r="N241">
        <f t="shared" si="56"/>
        <v>0</v>
      </c>
      <c r="O241">
        <f t="shared" si="57"/>
        <v>0</v>
      </c>
      <c r="P241" t="e">
        <f t="shared" si="58"/>
        <v>#NUM!</v>
      </c>
    </row>
    <row r="242" spans="3:16" x14ac:dyDescent="0.3">
      <c r="C242">
        <f t="shared" si="51"/>
        <v>0</v>
      </c>
      <c r="D242">
        <v>1.5599999999999999E-2</v>
      </c>
      <c r="E242" s="1">
        <v>1.2999999999999999E-2</v>
      </c>
      <c r="F242">
        <f t="shared" si="52"/>
        <v>0</v>
      </c>
      <c r="G242">
        <f t="shared" si="53"/>
        <v>0</v>
      </c>
      <c r="H242">
        <f t="shared" si="54"/>
        <v>0</v>
      </c>
      <c r="I242">
        <v>1</v>
      </c>
      <c r="J242" t="e">
        <f t="shared" si="49"/>
        <v>#NUM!</v>
      </c>
      <c r="K242">
        <f t="shared" si="55"/>
        <v>-1.2217251517752175</v>
      </c>
      <c r="L242">
        <v>1</v>
      </c>
      <c r="M242" t="e">
        <f t="shared" si="50"/>
        <v>#NUM!</v>
      </c>
      <c r="N242">
        <f t="shared" si="56"/>
        <v>0</v>
      </c>
      <c r="O242">
        <f t="shared" si="57"/>
        <v>0</v>
      </c>
      <c r="P242" t="e">
        <f t="shared" si="58"/>
        <v>#NUM!</v>
      </c>
    </row>
    <row r="243" spans="3:16" x14ac:dyDescent="0.3">
      <c r="C243">
        <f t="shared" si="51"/>
        <v>0</v>
      </c>
      <c r="D243">
        <v>1.5599999999999999E-2</v>
      </c>
      <c r="E243" s="1">
        <v>1.2999999999999999E-2</v>
      </c>
      <c r="F243">
        <f t="shared" si="52"/>
        <v>0</v>
      </c>
      <c r="G243">
        <f t="shared" si="53"/>
        <v>0</v>
      </c>
      <c r="H243">
        <f t="shared" si="54"/>
        <v>0</v>
      </c>
      <c r="I243">
        <v>1</v>
      </c>
      <c r="J243" t="e">
        <f t="shared" si="49"/>
        <v>#NUM!</v>
      </c>
      <c r="K243">
        <f t="shared" si="55"/>
        <v>-1.2217251517752175</v>
      </c>
      <c r="L243">
        <v>1</v>
      </c>
      <c r="M243" t="e">
        <f t="shared" si="50"/>
        <v>#NUM!</v>
      </c>
      <c r="N243">
        <f t="shared" si="56"/>
        <v>0</v>
      </c>
      <c r="O243">
        <f t="shared" si="57"/>
        <v>0</v>
      </c>
      <c r="P243" t="e">
        <f t="shared" si="58"/>
        <v>#NUM!</v>
      </c>
    </row>
    <row r="244" spans="3:16" x14ac:dyDescent="0.3">
      <c r="C244">
        <f t="shared" si="51"/>
        <v>0</v>
      </c>
      <c r="D244">
        <v>1.5599999999999999E-2</v>
      </c>
      <c r="E244" s="1">
        <v>1.2999999999999999E-2</v>
      </c>
      <c r="F244">
        <f t="shared" si="52"/>
        <v>0</v>
      </c>
      <c r="G244">
        <f t="shared" si="53"/>
        <v>0</v>
      </c>
      <c r="H244">
        <f t="shared" si="54"/>
        <v>0</v>
      </c>
      <c r="I244">
        <v>1</v>
      </c>
      <c r="J244" t="e">
        <f t="shared" si="49"/>
        <v>#NUM!</v>
      </c>
      <c r="K244">
        <f t="shared" si="55"/>
        <v>-1.2217251517752175</v>
      </c>
      <c r="L244">
        <v>1</v>
      </c>
      <c r="M244" t="e">
        <f t="shared" si="50"/>
        <v>#NUM!</v>
      </c>
      <c r="N244">
        <f t="shared" si="56"/>
        <v>0</v>
      </c>
      <c r="O244">
        <f t="shared" si="57"/>
        <v>0</v>
      </c>
      <c r="P244" t="e">
        <f t="shared" si="58"/>
        <v>#NUM!</v>
      </c>
    </row>
    <row r="245" spans="3:16" x14ac:dyDescent="0.3">
      <c r="C245">
        <f t="shared" si="51"/>
        <v>0</v>
      </c>
      <c r="D245">
        <v>1.5599999999999999E-2</v>
      </c>
      <c r="E245" s="1">
        <v>1.2999999999999999E-2</v>
      </c>
      <c r="F245">
        <f t="shared" si="52"/>
        <v>0</v>
      </c>
      <c r="G245">
        <f t="shared" si="53"/>
        <v>0</v>
      </c>
      <c r="H245">
        <f t="shared" si="54"/>
        <v>0</v>
      </c>
      <c r="I245">
        <v>1</v>
      </c>
      <c r="J245" t="e">
        <f t="shared" si="49"/>
        <v>#NUM!</v>
      </c>
      <c r="K245">
        <f t="shared" si="55"/>
        <v>-1.2217251517752175</v>
      </c>
      <c r="L245">
        <v>1</v>
      </c>
      <c r="M245" t="e">
        <f t="shared" si="50"/>
        <v>#NUM!</v>
      </c>
      <c r="N245">
        <f t="shared" si="56"/>
        <v>0</v>
      </c>
      <c r="O245">
        <f t="shared" si="57"/>
        <v>0</v>
      </c>
      <c r="P245" t="e">
        <f t="shared" si="58"/>
        <v>#NUM!</v>
      </c>
    </row>
    <row r="246" spans="3:16" x14ac:dyDescent="0.3">
      <c r="C246">
        <f t="shared" si="51"/>
        <v>0</v>
      </c>
      <c r="D246">
        <v>1.5599999999999999E-2</v>
      </c>
      <c r="E246" s="1">
        <v>1.2999999999999999E-2</v>
      </c>
      <c r="F246">
        <f t="shared" si="52"/>
        <v>0</v>
      </c>
      <c r="G246">
        <f t="shared" si="53"/>
        <v>0</v>
      </c>
      <c r="H246">
        <f t="shared" si="54"/>
        <v>0</v>
      </c>
      <c r="I246">
        <v>1</v>
      </c>
      <c r="J246" t="e">
        <f t="shared" si="49"/>
        <v>#NUM!</v>
      </c>
      <c r="K246">
        <f t="shared" si="55"/>
        <v>-1.2217251517752175</v>
      </c>
      <c r="L246">
        <v>1</v>
      </c>
      <c r="M246" t="e">
        <f t="shared" si="50"/>
        <v>#NUM!</v>
      </c>
      <c r="N246">
        <f t="shared" si="56"/>
        <v>0</v>
      </c>
      <c r="O246">
        <f t="shared" si="57"/>
        <v>0</v>
      </c>
      <c r="P246" t="e">
        <f t="shared" si="58"/>
        <v>#NUM!</v>
      </c>
    </row>
    <row r="247" spans="3:16" x14ac:dyDescent="0.3">
      <c r="C247">
        <f t="shared" si="51"/>
        <v>0</v>
      </c>
      <c r="D247">
        <v>1.5599999999999999E-2</v>
      </c>
      <c r="E247" s="1">
        <v>1.2999999999999999E-2</v>
      </c>
      <c r="F247">
        <f t="shared" si="52"/>
        <v>0</v>
      </c>
      <c r="G247">
        <f t="shared" si="53"/>
        <v>0</v>
      </c>
      <c r="H247">
        <f t="shared" si="54"/>
        <v>0</v>
      </c>
      <c r="I247">
        <v>1</v>
      </c>
      <c r="J247" t="e">
        <f t="shared" si="49"/>
        <v>#NUM!</v>
      </c>
      <c r="K247">
        <f t="shared" si="55"/>
        <v>-1.2217251517752175</v>
      </c>
      <c r="L247">
        <v>1</v>
      </c>
      <c r="M247" t="e">
        <f t="shared" si="50"/>
        <v>#NUM!</v>
      </c>
      <c r="N247">
        <f t="shared" si="56"/>
        <v>0</v>
      </c>
      <c r="O247">
        <f t="shared" si="57"/>
        <v>0</v>
      </c>
      <c r="P247" t="e">
        <f t="shared" si="58"/>
        <v>#NUM!</v>
      </c>
    </row>
    <row r="248" spans="3:16" x14ac:dyDescent="0.3">
      <c r="C248">
        <f t="shared" si="51"/>
        <v>0</v>
      </c>
      <c r="D248">
        <v>1.5599999999999999E-2</v>
      </c>
      <c r="E248" s="1">
        <v>1.2999999999999999E-2</v>
      </c>
      <c r="F248">
        <f t="shared" si="52"/>
        <v>0</v>
      </c>
      <c r="G248">
        <f t="shared" si="53"/>
        <v>0</v>
      </c>
      <c r="H248">
        <f t="shared" si="54"/>
        <v>0</v>
      </c>
      <c r="I248">
        <v>1</v>
      </c>
      <c r="J248" t="e">
        <f t="shared" si="49"/>
        <v>#NUM!</v>
      </c>
      <c r="K248">
        <f t="shared" si="55"/>
        <v>-1.2217251517752175</v>
      </c>
      <c r="L248">
        <v>1</v>
      </c>
      <c r="M248" t="e">
        <f t="shared" si="50"/>
        <v>#NUM!</v>
      </c>
      <c r="N248">
        <f t="shared" si="56"/>
        <v>0</v>
      </c>
      <c r="O248">
        <f t="shared" si="57"/>
        <v>0</v>
      </c>
      <c r="P248" t="e">
        <f t="shared" si="58"/>
        <v>#NUM!</v>
      </c>
    </row>
    <row r="249" spans="3:16" x14ac:dyDescent="0.3">
      <c r="C249">
        <f t="shared" si="51"/>
        <v>0</v>
      </c>
      <c r="D249">
        <v>1.5599999999999999E-2</v>
      </c>
      <c r="E249" s="1">
        <v>1.2999999999999999E-2</v>
      </c>
      <c r="F249">
        <f t="shared" si="52"/>
        <v>0</v>
      </c>
      <c r="G249">
        <f t="shared" si="53"/>
        <v>0</v>
      </c>
      <c r="H249">
        <f t="shared" si="54"/>
        <v>0</v>
      </c>
      <c r="I249">
        <v>1</v>
      </c>
      <c r="J249" t="e">
        <f t="shared" si="49"/>
        <v>#NUM!</v>
      </c>
      <c r="K249">
        <f t="shared" si="55"/>
        <v>-1.2217251517752175</v>
      </c>
      <c r="L249">
        <v>1</v>
      </c>
      <c r="M249" t="e">
        <f t="shared" si="50"/>
        <v>#NUM!</v>
      </c>
      <c r="N249">
        <f t="shared" si="56"/>
        <v>0</v>
      </c>
      <c r="O249">
        <f t="shared" si="57"/>
        <v>0</v>
      </c>
      <c r="P249" t="e">
        <f t="shared" si="58"/>
        <v>#NUM!</v>
      </c>
    </row>
    <row r="250" spans="3:16" x14ac:dyDescent="0.3">
      <c r="C250">
        <f t="shared" si="51"/>
        <v>0</v>
      </c>
      <c r="D250">
        <v>1.5599999999999999E-2</v>
      </c>
      <c r="E250" s="1">
        <v>1.2999999999999999E-2</v>
      </c>
      <c r="F250">
        <f t="shared" si="52"/>
        <v>0</v>
      </c>
      <c r="G250">
        <f t="shared" si="53"/>
        <v>0</v>
      </c>
      <c r="H250">
        <f t="shared" si="54"/>
        <v>0</v>
      </c>
      <c r="I250">
        <v>1</v>
      </c>
      <c r="J250" t="e">
        <f t="shared" si="49"/>
        <v>#NUM!</v>
      </c>
      <c r="K250">
        <f t="shared" si="55"/>
        <v>-1.2217251517752175</v>
      </c>
      <c r="L250">
        <v>1</v>
      </c>
      <c r="M250" t="e">
        <f t="shared" si="50"/>
        <v>#NUM!</v>
      </c>
      <c r="N250">
        <f t="shared" si="56"/>
        <v>0</v>
      </c>
      <c r="O250">
        <f t="shared" si="57"/>
        <v>0</v>
      </c>
      <c r="P250" t="e">
        <f t="shared" si="58"/>
        <v>#NUM!</v>
      </c>
    </row>
    <row r="251" spans="3:16" x14ac:dyDescent="0.3">
      <c r="C251">
        <f t="shared" si="51"/>
        <v>0</v>
      </c>
      <c r="D251">
        <v>1.5599999999999999E-2</v>
      </c>
      <c r="E251" s="1">
        <v>1.2999999999999999E-2</v>
      </c>
      <c r="F251">
        <f t="shared" si="52"/>
        <v>0</v>
      </c>
      <c r="G251">
        <f t="shared" si="53"/>
        <v>0</v>
      </c>
      <c r="H251">
        <f t="shared" si="54"/>
        <v>0</v>
      </c>
      <c r="I251">
        <v>1</v>
      </c>
      <c r="J251" t="e">
        <f t="shared" si="49"/>
        <v>#NUM!</v>
      </c>
      <c r="K251">
        <f t="shared" si="55"/>
        <v>-1.2217251517752175</v>
      </c>
      <c r="L251">
        <v>1</v>
      </c>
      <c r="M251" t="e">
        <f t="shared" si="50"/>
        <v>#NUM!</v>
      </c>
      <c r="N251">
        <f t="shared" si="56"/>
        <v>0</v>
      </c>
      <c r="O251">
        <f t="shared" si="57"/>
        <v>0</v>
      </c>
      <c r="P251" t="e">
        <f t="shared" si="58"/>
        <v>#NUM!</v>
      </c>
    </row>
    <row r="252" spans="3:16" x14ac:dyDescent="0.3">
      <c r="C252">
        <f t="shared" si="51"/>
        <v>0</v>
      </c>
      <c r="D252">
        <v>1.5599999999999999E-2</v>
      </c>
      <c r="E252" s="1">
        <v>1.2999999999999999E-2</v>
      </c>
      <c r="F252">
        <f t="shared" si="52"/>
        <v>0</v>
      </c>
      <c r="G252">
        <f t="shared" si="53"/>
        <v>0</v>
      </c>
      <c r="H252">
        <f t="shared" si="54"/>
        <v>0</v>
      </c>
      <c r="I252">
        <v>1</v>
      </c>
      <c r="J252" t="e">
        <f t="shared" si="49"/>
        <v>#NUM!</v>
      </c>
      <c r="K252">
        <f t="shared" si="55"/>
        <v>-1.2217251517752175</v>
      </c>
      <c r="L252">
        <v>1</v>
      </c>
      <c r="M252" t="e">
        <f t="shared" si="50"/>
        <v>#NUM!</v>
      </c>
      <c r="N252">
        <f t="shared" si="56"/>
        <v>0</v>
      </c>
      <c r="O252">
        <f t="shared" si="57"/>
        <v>0</v>
      </c>
      <c r="P252" t="e">
        <f t="shared" si="58"/>
        <v>#NUM!</v>
      </c>
    </row>
    <row r="253" spans="3:16" x14ac:dyDescent="0.3">
      <c r="C253">
        <f t="shared" si="51"/>
        <v>0</v>
      </c>
      <c r="D253">
        <v>1.5599999999999999E-2</v>
      </c>
      <c r="E253" s="1">
        <v>1.2999999999999999E-2</v>
      </c>
      <c r="F253">
        <f t="shared" si="52"/>
        <v>0</v>
      </c>
      <c r="G253">
        <f t="shared" si="53"/>
        <v>0</v>
      </c>
      <c r="H253">
        <f t="shared" si="54"/>
        <v>0</v>
      </c>
      <c r="I253">
        <v>1</v>
      </c>
      <c r="J253" t="e">
        <f t="shared" si="49"/>
        <v>#NUM!</v>
      </c>
      <c r="K253">
        <f t="shared" si="55"/>
        <v>-1.2217251517752175</v>
      </c>
      <c r="L253">
        <v>1</v>
      </c>
      <c r="M253" t="e">
        <f t="shared" si="50"/>
        <v>#NUM!</v>
      </c>
      <c r="N253">
        <f t="shared" si="56"/>
        <v>0</v>
      </c>
      <c r="O253">
        <f t="shared" si="57"/>
        <v>0</v>
      </c>
      <c r="P253" t="e">
        <f t="shared" si="58"/>
        <v>#NUM!</v>
      </c>
    </row>
    <row r="254" spans="3:16" x14ac:dyDescent="0.3">
      <c r="C254">
        <f t="shared" si="51"/>
        <v>0</v>
      </c>
      <c r="D254">
        <v>1.5599999999999999E-2</v>
      </c>
      <c r="E254" s="1">
        <v>1.2999999999999999E-2</v>
      </c>
      <c r="F254">
        <f t="shared" si="52"/>
        <v>0</v>
      </c>
      <c r="G254">
        <f t="shared" si="53"/>
        <v>0</v>
      </c>
      <c r="H254">
        <f t="shared" si="54"/>
        <v>0</v>
      </c>
      <c r="I254">
        <v>1</v>
      </c>
      <c r="J254" t="e">
        <f t="shared" si="49"/>
        <v>#NUM!</v>
      </c>
      <c r="K254">
        <f t="shared" si="55"/>
        <v>-1.2217251517752175</v>
      </c>
      <c r="L254">
        <v>1</v>
      </c>
      <c r="M254" t="e">
        <f t="shared" si="50"/>
        <v>#NUM!</v>
      </c>
      <c r="N254">
        <f t="shared" si="56"/>
        <v>0</v>
      </c>
      <c r="O254">
        <f t="shared" si="57"/>
        <v>0</v>
      </c>
      <c r="P254" t="e">
        <f t="shared" si="58"/>
        <v>#NUM!</v>
      </c>
    </row>
    <row r="255" spans="3:16" x14ac:dyDescent="0.3">
      <c r="C255">
        <f t="shared" si="51"/>
        <v>0</v>
      </c>
      <c r="D255">
        <v>1.5599999999999999E-2</v>
      </c>
      <c r="E255" s="1">
        <v>1.2999999999999999E-2</v>
      </c>
      <c r="F255">
        <f t="shared" si="52"/>
        <v>0</v>
      </c>
      <c r="G255">
        <f t="shared" si="53"/>
        <v>0</v>
      </c>
      <c r="H255">
        <f t="shared" si="54"/>
        <v>0</v>
      </c>
      <c r="I255">
        <v>1</v>
      </c>
      <c r="J255" t="e">
        <f t="shared" si="49"/>
        <v>#NUM!</v>
      </c>
      <c r="K255">
        <f t="shared" si="55"/>
        <v>-1.2217251517752175</v>
      </c>
      <c r="L255">
        <v>1</v>
      </c>
      <c r="M255" t="e">
        <f t="shared" si="50"/>
        <v>#NUM!</v>
      </c>
      <c r="N255">
        <f t="shared" si="56"/>
        <v>0</v>
      </c>
      <c r="O255">
        <f t="shared" si="57"/>
        <v>0</v>
      </c>
      <c r="P255" t="e">
        <f t="shared" si="58"/>
        <v>#NUM!</v>
      </c>
    </row>
    <row r="256" spans="3:16" x14ac:dyDescent="0.3">
      <c r="C256">
        <f t="shared" si="51"/>
        <v>0</v>
      </c>
      <c r="D256">
        <v>1.5599999999999999E-2</v>
      </c>
      <c r="E256" s="1">
        <v>1.2999999999999999E-2</v>
      </c>
      <c r="F256">
        <f t="shared" si="52"/>
        <v>0</v>
      </c>
      <c r="G256">
        <f t="shared" si="53"/>
        <v>0</v>
      </c>
      <c r="H256">
        <f t="shared" si="54"/>
        <v>0</v>
      </c>
      <c r="I256">
        <v>1</v>
      </c>
      <c r="J256" t="e">
        <f t="shared" si="49"/>
        <v>#NUM!</v>
      </c>
      <c r="K256">
        <f t="shared" si="55"/>
        <v>-1.2217251517752175</v>
      </c>
      <c r="L256">
        <v>1</v>
      </c>
      <c r="M256" t="e">
        <f t="shared" si="50"/>
        <v>#NUM!</v>
      </c>
      <c r="N256">
        <f t="shared" si="56"/>
        <v>0</v>
      </c>
      <c r="O256">
        <f t="shared" si="57"/>
        <v>0</v>
      </c>
      <c r="P256" t="e">
        <f t="shared" si="58"/>
        <v>#NUM!</v>
      </c>
    </row>
    <row r="257" spans="3:16" x14ac:dyDescent="0.3">
      <c r="C257">
        <f t="shared" si="51"/>
        <v>0</v>
      </c>
      <c r="D257">
        <v>1.5599999999999999E-2</v>
      </c>
      <c r="E257" s="1">
        <v>1.2999999999999999E-2</v>
      </c>
      <c r="F257">
        <f t="shared" si="52"/>
        <v>0</v>
      </c>
      <c r="G257">
        <f t="shared" si="53"/>
        <v>0</v>
      </c>
      <c r="H257">
        <f t="shared" si="54"/>
        <v>0</v>
      </c>
      <c r="I257">
        <v>1</v>
      </c>
      <c r="J257" t="e">
        <f t="shared" si="49"/>
        <v>#NUM!</v>
      </c>
      <c r="K257">
        <f t="shared" si="55"/>
        <v>-1.2217251517752175</v>
      </c>
      <c r="L257">
        <v>1</v>
      </c>
      <c r="M257" t="e">
        <f t="shared" si="50"/>
        <v>#NUM!</v>
      </c>
      <c r="N257">
        <f t="shared" si="56"/>
        <v>0</v>
      </c>
      <c r="O257">
        <f t="shared" si="57"/>
        <v>0</v>
      </c>
      <c r="P257" t="e">
        <f t="shared" si="58"/>
        <v>#NUM!</v>
      </c>
    </row>
    <row r="258" spans="3:16" x14ac:dyDescent="0.3">
      <c r="C258">
        <f t="shared" si="51"/>
        <v>0</v>
      </c>
      <c r="D258">
        <v>1.5599999999999999E-2</v>
      </c>
      <c r="E258" s="1">
        <v>1.2999999999999999E-2</v>
      </c>
      <c r="F258">
        <f t="shared" si="52"/>
        <v>0</v>
      </c>
      <c r="G258">
        <f t="shared" si="53"/>
        <v>0</v>
      </c>
      <c r="H258">
        <f t="shared" si="54"/>
        <v>0</v>
      </c>
      <c r="I258">
        <v>1</v>
      </c>
      <c r="J258" t="e">
        <f t="shared" si="49"/>
        <v>#NUM!</v>
      </c>
      <c r="K258">
        <f t="shared" si="55"/>
        <v>-1.2217251517752175</v>
      </c>
      <c r="L258">
        <v>1</v>
      </c>
      <c r="M258" t="e">
        <f t="shared" si="50"/>
        <v>#NUM!</v>
      </c>
      <c r="N258">
        <f t="shared" si="56"/>
        <v>0</v>
      </c>
      <c r="O258">
        <f t="shared" si="57"/>
        <v>0</v>
      </c>
      <c r="P258" t="e">
        <f t="shared" si="58"/>
        <v>#NUM!</v>
      </c>
    </row>
    <row r="259" spans="3:16" x14ac:dyDescent="0.3">
      <c r="C259">
        <f t="shared" si="51"/>
        <v>0</v>
      </c>
      <c r="D259">
        <v>1.5599999999999999E-2</v>
      </c>
      <c r="E259" s="1">
        <v>1.2999999999999999E-2</v>
      </c>
      <c r="F259">
        <f t="shared" si="52"/>
        <v>0</v>
      </c>
      <c r="G259">
        <f t="shared" si="53"/>
        <v>0</v>
      </c>
      <c r="H259">
        <f t="shared" si="54"/>
        <v>0</v>
      </c>
      <c r="I259">
        <v>1</v>
      </c>
      <c r="J259" t="e">
        <f t="shared" si="49"/>
        <v>#NUM!</v>
      </c>
      <c r="K259">
        <f t="shared" si="55"/>
        <v>-1.2217251517752175</v>
      </c>
      <c r="L259">
        <v>1</v>
      </c>
      <c r="M259" t="e">
        <f t="shared" si="50"/>
        <v>#NUM!</v>
      </c>
      <c r="N259">
        <f t="shared" si="56"/>
        <v>0</v>
      </c>
      <c r="O259">
        <f t="shared" si="57"/>
        <v>0</v>
      </c>
      <c r="P259" t="e">
        <f t="shared" si="58"/>
        <v>#NUM!</v>
      </c>
    </row>
    <row r="260" spans="3:16" x14ac:dyDescent="0.3">
      <c r="C260">
        <f t="shared" si="51"/>
        <v>0</v>
      </c>
      <c r="D260">
        <v>1.5599999999999999E-2</v>
      </c>
      <c r="E260" s="1">
        <v>1.2999999999999999E-2</v>
      </c>
      <c r="F260">
        <f t="shared" si="52"/>
        <v>0</v>
      </c>
      <c r="G260">
        <f t="shared" si="53"/>
        <v>0</v>
      </c>
      <c r="H260">
        <f t="shared" si="54"/>
        <v>0</v>
      </c>
      <c r="I260">
        <v>1</v>
      </c>
      <c r="J260" t="e">
        <f t="shared" si="49"/>
        <v>#NUM!</v>
      </c>
      <c r="K260">
        <f t="shared" si="55"/>
        <v>-1.2217251517752175</v>
      </c>
      <c r="L260">
        <v>1</v>
      </c>
      <c r="M260" t="e">
        <f t="shared" si="50"/>
        <v>#NUM!</v>
      </c>
      <c r="N260">
        <f t="shared" si="56"/>
        <v>0</v>
      </c>
      <c r="O260">
        <f t="shared" si="57"/>
        <v>0</v>
      </c>
      <c r="P260" t="e">
        <f t="shared" si="58"/>
        <v>#NUM!</v>
      </c>
    </row>
    <row r="261" spans="3:16" x14ac:dyDescent="0.3">
      <c r="C261">
        <f t="shared" si="51"/>
        <v>0</v>
      </c>
      <c r="D261">
        <v>1.5599999999999999E-2</v>
      </c>
      <c r="E261" s="1">
        <v>1.2999999999999999E-2</v>
      </c>
      <c r="F261">
        <f t="shared" si="52"/>
        <v>0</v>
      </c>
      <c r="G261">
        <f t="shared" si="53"/>
        <v>0</v>
      </c>
      <c r="H261">
        <f t="shared" si="54"/>
        <v>0</v>
      </c>
      <c r="I261">
        <v>1</v>
      </c>
      <c r="J261" t="e">
        <f t="shared" ref="J261:J303" si="59">LN(F261/1000)</f>
        <v>#NUM!</v>
      </c>
      <c r="K261">
        <f t="shared" si="55"/>
        <v>-1.2217251517752175</v>
      </c>
      <c r="L261">
        <v>1</v>
      </c>
      <c r="M261" t="e">
        <f t="shared" ref="M261:M303" si="60">-1*($S$4+($S$5*J261))</f>
        <v>#NUM!</v>
      </c>
      <c r="N261">
        <f t="shared" si="56"/>
        <v>0</v>
      </c>
      <c r="O261">
        <f t="shared" si="57"/>
        <v>0</v>
      </c>
      <c r="P261" t="e">
        <f t="shared" si="58"/>
        <v>#NUM!</v>
      </c>
    </row>
    <row r="262" spans="3:16" x14ac:dyDescent="0.3">
      <c r="C262">
        <f t="shared" si="51"/>
        <v>0</v>
      </c>
      <c r="D262">
        <v>1.5599999999999999E-2</v>
      </c>
      <c r="E262" s="1">
        <v>1.2999999999999999E-2</v>
      </c>
      <c r="F262">
        <f t="shared" si="52"/>
        <v>0</v>
      </c>
      <c r="G262">
        <f t="shared" si="53"/>
        <v>0</v>
      </c>
      <c r="H262">
        <f t="shared" si="54"/>
        <v>0</v>
      </c>
      <c r="I262">
        <v>1</v>
      </c>
      <c r="J262" t="e">
        <f t="shared" si="59"/>
        <v>#NUM!</v>
      </c>
      <c r="K262">
        <f t="shared" si="55"/>
        <v>-1.2217251517752175</v>
      </c>
      <c r="L262">
        <v>1</v>
      </c>
      <c r="M262" t="e">
        <f t="shared" si="60"/>
        <v>#NUM!</v>
      </c>
      <c r="N262">
        <f t="shared" si="56"/>
        <v>0</v>
      </c>
      <c r="O262">
        <f t="shared" si="57"/>
        <v>0</v>
      </c>
      <c r="P262" t="e">
        <f t="shared" si="58"/>
        <v>#NUM!</v>
      </c>
    </row>
    <row r="263" spans="3:16" x14ac:dyDescent="0.3">
      <c r="C263">
        <f t="shared" si="51"/>
        <v>0</v>
      </c>
      <c r="D263">
        <v>1.5599999999999999E-2</v>
      </c>
      <c r="E263" s="1">
        <v>1.2999999999999999E-2</v>
      </c>
      <c r="F263">
        <f t="shared" si="52"/>
        <v>0</v>
      </c>
      <c r="G263">
        <f t="shared" si="53"/>
        <v>0</v>
      </c>
      <c r="H263">
        <f t="shared" si="54"/>
        <v>0</v>
      </c>
      <c r="I263">
        <v>1</v>
      </c>
      <c r="J263" t="e">
        <f t="shared" si="59"/>
        <v>#NUM!</v>
      </c>
      <c r="K263">
        <f t="shared" si="55"/>
        <v>-1.2217251517752175</v>
      </c>
      <c r="L263">
        <v>1</v>
      </c>
      <c r="M263" t="e">
        <f t="shared" si="60"/>
        <v>#NUM!</v>
      </c>
      <c r="N263">
        <f t="shared" si="56"/>
        <v>0</v>
      </c>
      <c r="O263">
        <f t="shared" si="57"/>
        <v>0</v>
      </c>
      <c r="P263" t="e">
        <f t="shared" si="58"/>
        <v>#NUM!</v>
      </c>
    </row>
    <row r="264" spans="3:16" x14ac:dyDescent="0.3">
      <c r="C264">
        <f t="shared" si="51"/>
        <v>0</v>
      </c>
      <c r="D264">
        <v>1.5599999999999999E-2</v>
      </c>
      <c r="E264" s="1">
        <v>1.2999999999999999E-2</v>
      </c>
      <c r="F264">
        <f t="shared" si="52"/>
        <v>0</v>
      </c>
      <c r="G264">
        <f t="shared" si="53"/>
        <v>0</v>
      </c>
      <c r="H264">
        <f t="shared" si="54"/>
        <v>0</v>
      </c>
      <c r="I264">
        <v>1</v>
      </c>
      <c r="J264" t="e">
        <f t="shared" si="59"/>
        <v>#NUM!</v>
      </c>
      <c r="K264">
        <f t="shared" si="55"/>
        <v>-1.2217251517752175</v>
      </c>
      <c r="L264">
        <v>1</v>
      </c>
      <c r="M264" t="e">
        <f t="shared" si="60"/>
        <v>#NUM!</v>
      </c>
      <c r="N264">
        <f t="shared" si="56"/>
        <v>0</v>
      </c>
      <c r="O264">
        <f t="shared" si="57"/>
        <v>0</v>
      </c>
      <c r="P264" t="e">
        <f t="shared" si="58"/>
        <v>#NUM!</v>
      </c>
    </row>
    <row r="265" spans="3:16" x14ac:dyDescent="0.3">
      <c r="C265">
        <f t="shared" si="51"/>
        <v>0</v>
      </c>
      <c r="D265">
        <v>1.5599999999999999E-2</v>
      </c>
      <c r="E265" s="1">
        <v>1.2999999999999999E-2</v>
      </c>
      <c r="F265">
        <f t="shared" si="52"/>
        <v>0</v>
      </c>
      <c r="G265">
        <f t="shared" si="53"/>
        <v>0</v>
      </c>
      <c r="H265">
        <f t="shared" si="54"/>
        <v>0</v>
      </c>
      <c r="I265">
        <v>1</v>
      </c>
      <c r="J265" t="e">
        <f t="shared" si="59"/>
        <v>#NUM!</v>
      </c>
      <c r="K265">
        <f t="shared" si="55"/>
        <v>-1.2217251517752175</v>
      </c>
      <c r="L265">
        <v>1</v>
      </c>
      <c r="M265" t="e">
        <f t="shared" si="60"/>
        <v>#NUM!</v>
      </c>
      <c r="N265">
        <f t="shared" si="56"/>
        <v>0</v>
      </c>
      <c r="O265">
        <f t="shared" si="57"/>
        <v>0</v>
      </c>
      <c r="P265" t="e">
        <f t="shared" si="58"/>
        <v>#NUM!</v>
      </c>
    </row>
    <row r="266" spans="3:16" x14ac:dyDescent="0.3">
      <c r="C266">
        <f t="shared" si="51"/>
        <v>0</v>
      </c>
      <c r="D266">
        <v>1.5599999999999999E-2</v>
      </c>
      <c r="E266" s="1">
        <v>1.2999999999999999E-2</v>
      </c>
      <c r="F266">
        <f t="shared" si="52"/>
        <v>0</v>
      </c>
      <c r="G266">
        <f t="shared" si="53"/>
        <v>0</v>
      </c>
      <c r="H266">
        <f t="shared" si="54"/>
        <v>0</v>
      </c>
      <c r="I266">
        <v>1</v>
      </c>
      <c r="J266" t="e">
        <f t="shared" si="59"/>
        <v>#NUM!</v>
      </c>
      <c r="K266">
        <f t="shared" si="55"/>
        <v>-1.2217251517752175</v>
      </c>
      <c r="L266">
        <v>1</v>
      </c>
      <c r="M266" t="e">
        <f t="shared" si="60"/>
        <v>#NUM!</v>
      </c>
      <c r="N266">
        <f t="shared" si="56"/>
        <v>0</v>
      </c>
      <c r="O266">
        <f t="shared" si="57"/>
        <v>0</v>
      </c>
      <c r="P266" t="e">
        <f t="shared" si="58"/>
        <v>#NUM!</v>
      </c>
    </row>
    <row r="267" spans="3:16" x14ac:dyDescent="0.3">
      <c r="C267">
        <f t="shared" si="51"/>
        <v>0</v>
      </c>
      <c r="D267">
        <v>1.5599999999999999E-2</v>
      </c>
      <c r="E267" s="1">
        <v>1.2999999999999999E-2</v>
      </c>
      <c r="F267">
        <f t="shared" si="52"/>
        <v>0</v>
      </c>
      <c r="G267">
        <f t="shared" si="53"/>
        <v>0</v>
      </c>
      <c r="H267">
        <f t="shared" si="54"/>
        <v>0</v>
      </c>
      <c r="I267">
        <v>1</v>
      </c>
      <c r="J267" t="e">
        <f t="shared" si="59"/>
        <v>#NUM!</v>
      </c>
      <c r="K267">
        <f t="shared" si="55"/>
        <v>-1.2217251517752175</v>
      </c>
      <c r="L267">
        <v>1</v>
      </c>
      <c r="M267" t="e">
        <f t="shared" si="60"/>
        <v>#NUM!</v>
      </c>
      <c r="N267">
        <f t="shared" si="56"/>
        <v>0</v>
      </c>
      <c r="O267">
        <f t="shared" si="57"/>
        <v>0</v>
      </c>
      <c r="P267" t="e">
        <f t="shared" si="58"/>
        <v>#NUM!</v>
      </c>
    </row>
    <row r="268" spans="3:16" x14ac:dyDescent="0.3">
      <c r="C268">
        <f t="shared" si="51"/>
        <v>0</v>
      </c>
      <c r="D268">
        <v>1.5599999999999999E-2</v>
      </c>
      <c r="E268" s="1">
        <v>1.2999999999999999E-2</v>
      </c>
      <c r="F268">
        <f t="shared" si="52"/>
        <v>0</v>
      </c>
      <c r="G268">
        <f t="shared" si="53"/>
        <v>0</v>
      </c>
      <c r="H268">
        <f t="shared" si="54"/>
        <v>0</v>
      </c>
      <c r="I268">
        <v>1</v>
      </c>
      <c r="J268" t="e">
        <f t="shared" si="59"/>
        <v>#NUM!</v>
      </c>
      <c r="K268">
        <f t="shared" si="55"/>
        <v>-1.2217251517752175</v>
      </c>
      <c r="L268">
        <v>1</v>
      </c>
      <c r="M268" t="e">
        <f t="shared" si="60"/>
        <v>#NUM!</v>
      </c>
      <c r="N268">
        <f t="shared" si="56"/>
        <v>0</v>
      </c>
      <c r="O268">
        <f t="shared" si="57"/>
        <v>0</v>
      </c>
      <c r="P268" t="e">
        <f t="shared" si="58"/>
        <v>#NUM!</v>
      </c>
    </row>
    <row r="269" spans="3:16" x14ac:dyDescent="0.3">
      <c r="C269">
        <f t="shared" si="51"/>
        <v>0</v>
      </c>
      <c r="D269">
        <v>1.5599999999999999E-2</v>
      </c>
      <c r="E269" s="1">
        <v>1.2999999999999999E-2</v>
      </c>
      <c r="F269">
        <f t="shared" si="52"/>
        <v>0</v>
      </c>
      <c r="G269">
        <f t="shared" si="53"/>
        <v>0</v>
      </c>
      <c r="H269">
        <f t="shared" si="54"/>
        <v>0</v>
      </c>
      <c r="I269">
        <v>1</v>
      </c>
      <c r="J269" t="e">
        <f t="shared" si="59"/>
        <v>#NUM!</v>
      </c>
      <c r="K269">
        <f t="shared" si="55"/>
        <v>-1.2217251517752175</v>
      </c>
      <c r="L269">
        <v>1</v>
      </c>
      <c r="M269" t="e">
        <f t="shared" si="60"/>
        <v>#NUM!</v>
      </c>
      <c r="N269">
        <f t="shared" si="56"/>
        <v>0</v>
      </c>
      <c r="O269">
        <f t="shared" si="57"/>
        <v>0</v>
      </c>
      <c r="P269" t="e">
        <f t="shared" si="58"/>
        <v>#NUM!</v>
      </c>
    </row>
    <row r="270" spans="3:16" x14ac:dyDescent="0.3">
      <c r="C270">
        <f t="shared" si="51"/>
        <v>0</v>
      </c>
      <c r="D270">
        <v>1.5599999999999999E-2</v>
      </c>
      <c r="E270" s="1">
        <v>1.2999999999999999E-2</v>
      </c>
      <c r="F270">
        <f t="shared" si="52"/>
        <v>0</v>
      </c>
      <c r="G270">
        <f t="shared" si="53"/>
        <v>0</v>
      </c>
      <c r="H270">
        <f t="shared" si="54"/>
        <v>0</v>
      </c>
      <c r="I270">
        <v>1</v>
      </c>
      <c r="J270" t="e">
        <f t="shared" si="59"/>
        <v>#NUM!</v>
      </c>
      <c r="K270">
        <f t="shared" si="55"/>
        <v>-1.2217251517752175</v>
      </c>
      <c r="L270">
        <v>1</v>
      </c>
      <c r="M270" t="e">
        <f t="shared" si="60"/>
        <v>#NUM!</v>
      </c>
      <c r="N270">
        <f t="shared" si="56"/>
        <v>0</v>
      </c>
      <c r="O270">
        <f t="shared" si="57"/>
        <v>0</v>
      </c>
      <c r="P270" t="e">
        <f t="shared" si="58"/>
        <v>#NUM!</v>
      </c>
    </row>
    <row r="271" spans="3:16" x14ac:dyDescent="0.3">
      <c r="C271">
        <f t="shared" si="51"/>
        <v>0</v>
      </c>
      <c r="D271">
        <v>1.5599999999999999E-2</v>
      </c>
      <c r="E271" s="1">
        <v>1.2999999999999999E-2</v>
      </c>
      <c r="F271">
        <f t="shared" si="52"/>
        <v>0</v>
      </c>
      <c r="G271">
        <f t="shared" si="53"/>
        <v>0</v>
      </c>
      <c r="H271">
        <f t="shared" si="54"/>
        <v>0</v>
      </c>
      <c r="I271">
        <v>1</v>
      </c>
      <c r="J271" t="e">
        <f t="shared" si="59"/>
        <v>#NUM!</v>
      </c>
      <c r="K271">
        <f t="shared" si="55"/>
        <v>-1.2217251517752175</v>
      </c>
      <c r="L271">
        <v>1</v>
      </c>
      <c r="M271" t="e">
        <f t="shared" si="60"/>
        <v>#NUM!</v>
      </c>
      <c r="N271">
        <f t="shared" si="56"/>
        <v>0</v>
      </c>
      <c r="O271">
        <f t="shared" si="57"/>
        <v>0</v>
      </c>
      <c r="P271" t="e">
        <f t="shared" si="58"/>
        <v>#NUM!</v>
      </c>
    </row>
    <row r="272" spans="3:16" x14ac:dyDescent="0.3">
      <c r="C272">
        <f t="shared" si="51"/>
        <v>0</v>
      </c>
      <c r="D272">
        <v>1.5599999999999999E-2</v>
      </c>
      <c r="E272" s="1">
        <v>1.2999999999999999E-2</v>
      </c>
      <c r="F272">
        <f t="shared" si="52"/>
        <v>0</v>
      </c>
      <c r="G272">
        <f t="shared" si="53"/>
        <v>0</v>
      </c>
      <c r="H272">
        <f t="shared" si="54"/>
        <v>0</v>
      </c>
      <c r="I272">
        <v>1</v>
      </c>
      <c r="J272" t="e">
        <f t="shared" si="59"/>
        <v>#NUM!</v>
      </c>
      <c r="K272">
        <f t="shared" si="55"/>
        <v>-1.2217251517752175</v>
      </c>
      <c r="L272">
        <v>1</v>
      </c>
      <c r="M272" t="e">
        <f t="shared" si="60"/>
        <v>#NUM!</v>
      </c>
      <c r="N272">
        <f t="shared" si="56"/>
        <v>0</v>
      </c>
      <c r="O272">
        <f t="shared" si="57"/>
        <v>0</v>
      </c>
      <c r="P272" t="e">
        <f t="shared" si="58"/>
        <v>#NUM!</v>
      </c>
    </row>
    <row r="273" spans="3:16" x14ac:dyDescent="0.3">
      <c r="C273">
        <f t="shared" si="51"/>
        <v>0</v>
      </c>
      <c r="D273">
        <v>1.5599999999999999E-2</v>
      </c>
      <c r="E273" s="1">
        <v>1.2999999999999999E-2</v>
      </c>
      <c r="F273">
        <f t="shared" si="52"/>
        <v>0</v>
      </c>
      <c r="G273">
        <f t="shared" si="53"/>
        <v>0</v>
      </c>
      <c r="H273">
        <f t="shared" si="54"/>
        <v>0</v>
      </c>
      <c r="I273">
        <v>1</v>
      </c>
      <c r="J273" t="e">
        <f t="shared" si="59"/>
        <v>#NUM!</v>
      </c>
      <c r="K273">
        <f t="shared" si="55"/>
        <v>-1.2217251517752175</v>
      </c>
      <c r="L273">
        <v>1</v>
      </c>
      <c r="M273" t="e">
        <f t="shared" si="60"/>
        <v>#NUM!</v>
      </c>
      <c r="N273">
        <f t="shared" si="56"/>
        <v>0</v>
      </c>
      <c r="O273">
        <f t="shared" si="57"/>
        <v>0</v>
      </c>
      <c r="P273" t="e">
        <f t="shared" si="58"/>
        <v>#NUM!</v>
      </c>
    </row>
    <row r="274" spans="3:16" x14ac:dyDescent="0.3">
      <c r="C274">
        <f t="shared" si="51"/>
        <v>0</v>
      </c>
      <c r="D274">
        <v>1.5599999999999999E-2</v>
      </c>
      <c r="E274" s="1">
        <v>1.2999999999999999E-2</v>
      </c>
      <c r="F274">
        <f t="shared" si="52"/>
        <v>0</v>
      </c>
      <c r="G274">
        <f t="shared" si="53"/>
        <v>0</v>
      </c>
      <c r="H274">
        <f t="shared" si="54"/>
        <v>0</v>
      </c>
      <c r="I274">
        <v>1</v>
      </c>
      <c r="J274" t="e">
        <f t="shared" si="59"/>
        <v>#NUM!</v>
      </c>
      <c r="K274">
        <f t="shared" si="55"/>
        <v>-1.2217251517752175</v>
      </c>
      <c r="L274">
        <v>1</v>
      </c>
      <c r="M274" t="e">
        <f t="shared" si="60"/>
        <v>#NUM!</v>
      </c>
      <c r="N274">
        <f t="shared" si="56"/>
        <v>0</v>
      </c>
      <c r="O274">
        <f t="shared" si="57"/>
        <v>0</v>
      </c>
      <c r="P274" t="e">
        <f t="shared" si="58"/>
        <v>#NUM!</v>
      </c>
    </row>
    <row r="275" spans="3:16" x14ac:dyDescent="0.3">
      <c r="C275">
        <f t="shared" si="51"/>
        <v>0</v>
      </c>
      <c r="D275">
        <v>1.5599999999999999E-2</v>
      </c>
      <c r="E275" s="1">
        <v>1.2999999999999999E-2</v>
      </c>
      <c r="F275">
        <f t="shared" si="52"/>
        <v>0</v>
      </c>
      <c r="G275">
        <f t="shared" si="53"/>
        <v>0</v>
      </c>
      <c r="H275">
        <f t="shared" si="54"/>
        <v>0</v>
      </c>
      <c r="I275">
        <v>1</v>
      </c>
      <c r="J275" t="e">
        <f t="shared" si="59"/>
        <v>#NUM!</v>
      </c>
      <c r="K275">
        <f t="shared" si="55"/>
        <v>-1.2217251517752175</v>
      </c>
      <c r="L275">
        <v>1</v>
      </c>
      <c r="M275" t="e">
        <f t="shared" si="60"/>
        <v>#NUM!</v>
      </c>
      <c r="N275">
        <f t="shared" si="56"/>
        <v>0</v>
      </c>
      <c r="O275">
        <f t="shared" si="57"/>
        <v>0</v>
      </c>
      <c r="P275" t="e">
        <f t="shared" si="58"/>
        <v>#NUM!</v>
      </c>
    </row>
    <row r="276" spans="3:16" x14ac:dyDescent="0.3">
      <c r="C276">
        <f t="shared" ref="C276:C303" si="61">A276*B276</f>
        <v>0</v>
      </c>
      <c r="D276">
        <v>1.5599999999999999E-2</v>
      </c>
      <c r="E276" s="1">
        <v>1.2999999999999999E-2</v>
      </c>
      <c r="F276">
        <f t="shared" ref="F276:F303" si="62">A276*200</f>
        <v>0</v>
      </c>
      <c r="G276">
        <f t="shared" ref="G276:G303" si="63">-B276</f>
        <v>0</v>
      </c>
      <c r="H276">
        <f t="shared" ref="H276:H303" si="64">-C276*200</f>
        <v>0</v>
      </c>
      <c r="I276">
        <v>1</v>
      </c>
      <c r="J276" t="e">
        <f t="shared" si="59"/>
        <v>#NUM!</v>
      </c>
      <c r="K276">
        <f t="shared" ref="K276:K303" si="65">((-G276)-$N$2)</f>
        <v>-1.2217251517752175</v>
      </c>
      <c r="L276">
        <v>1</v>
      </c>
      <c r="M276" t="e">
        <f t="shared" si="60"/>
        <v>#NUM!</v>
      </c>
      <c r="N276">
        <f t="shared" ref="N276:N303" si="66">D276*A276</f>
        <v>0</v>
      </c>
      <c r="O276">
        <f t="shared" ref="O276:O303" si="67">E276*A276</f>
        <v>0</v>
      </c>
      <c r="P276" t="e">
        <f t="shared" ref="P276:P303" si="68">-K276-M276-N276-O276</f>
        <v>#NUM!</v>
      </c>
    </row>
    <row r="277" spans="3:16" x14ac:dyDescent="0.3">
      <c r="C277">
        <f t="shared" si="61"/>
        <v>0</v>
      </c>
      <c r="D277">
        <v>1.5599999999999999E-2</v>
      </c>
      <c r="E277" s="1">
        <v>1.2999999999999999E-2</v>
      </c>
      <c r="F277">
        <f t="shared" si="62"/>
        <v>0</v>
      </c>
      <c r="G277">
        <f t="shared" si="63"/>
        <v>0</v>
      </c>
      <c r="H277">
        <f t="shared" si="64"/>
        <v>0</v>
      </c>
      <c r="I277">
        <v>1</v>
      </c>
      <c r="J277" t="e">
        <f t="shared" si="59"/>
        <v>#NUM!</v>
      </c>
      <c r="K277">
        <f t="shared" si="65"/>
        <v>-1.2217251517752175</v>
      </c>
      <c r="L277">
        <v>1</v>
      </c>
      <c r="M277" t="e">
        <f t="shared" si="60"/>
        <v>#NUM!</v>
      </c>
      <c r="N277">
        <f t="shared" si="66"/>
        <v>0</v>
      </c>
      <c r="O277">
        <f t="shared" si="67"/>
        <v>0</v>
      </c>
      <c r="P277" t="e">
        <f t="shared" si="68"/>
        <v>#NUM!</v>
      </c>
    </row>
    <row r="278" spans="3:16" x14ac:dyDescent="0.3">
      <c r="C278">
        <f t="shared" si="61"/>
        <v>0</v>
      </c>
      <c r="D278">
        <v>1.5599999999999999E-2</v>
      </c>
      <c r="E278" s="1">
        <v>1.2999999999999999E-2</v>
      </c>
      <c r="F278">
        <f t="shared" si="62"/>
        <v>0</v>
      </c>
      <c r="G278">
        <f t="shared" si="63"/>
        <v>0</v>
      </c>
      <c r="H278">
        <f t="shared" si="64"/>
        <v>0</v>
      </c>
      <c r="I278">
        <v>1</v>
      </c>
      <c r="J278" t="e">
        <f t="shared" si="59"/>
        <v>#NUM!</v>
      </c>
      <c r="K278">
        <f t="shared" si="65"/>
        <v>-1.2217251517752175</v>
      </c>
      <c r="L278">
        <v>1</v>
      </c>
      <c r="M278" t="e">
        <f t="shared" si="60"/>
        <v>#NUM!</v>
      </c>
      <c r="N278">
        <f t="shared" si="66"/>
        <v>0</v>
      </c>
      <c r="O278">
        <f t="shared" si="67"/>
        <v>0</v>
      </c>
      <c r="P278" t="e">
        <f t="shared" si="68"/>
        <v>#NUM!</v>
      </c>
    </row>
    <row r="279" spans="3:16" x14ac:dyDescent="0.3">
      <c r="C279">
        <f t="shared" si="61"/>
        <v>0</v>
      </c>
      <c r="D279">
        <v>1.5599999999999999E-2</v>
      </c>
      <c r="E279" s="1">
        <v>1.2999999999999999E-2</v>
      </c>
      <c r="F279">
        <f t="shared" si="62"/>
        <v>0</v>
      </c>
      <c r="G279">
        <f t="shared" si="63"/>
        <v>0</v>
      </c>
      <c r="H279">
        <f t="shared" si="64"/>
        <v>0</v>
      </c>
      <c r="I279">
        <v>1</v>
      </c>
      <c r="J279" t="e">
        <f t="shared" si="59"/>
        <v>#NUM!</v>
      </c>
      <c r="K279">
        <f t="shared" si="65"/>
        <v>-1.2217251517752175</v>
      </c>
      <c r="L279">
        <v>1</v>
      </c>
      <c r="M279" t="e">
        <f t="shared" si="60"/>
        <v>#NUM!</v>
      </c>
      <c r="N279">
        <f t="shared" si="66"/>
        <v>0</v>
      </c>
      <c r="O279">
        <f t="shared" si="67"/>
        <v>0</v>
      </c>
      <c r="P279" t="e">
        <f t="shared" si="68"/>
        <v>#NUM!</v>
      </c>
    </row>
    <row r="280" spans="3:16" x14ac:dyDescent="0.3">
      <c r="C280">
        <f t="shared" si="61"/>
        <v>0</v>
      </c>
      <c r="D280">
        <v>1.5599999999999999E-2</v>
      </c>
      <c r="E280" s="1">
        <v>1.2999999999999999E-2</v>
      </c>
      <c r="F280">
        <f t="shared" si="62"/>
        <v>0</v>
      </c>
      <c r="G280">
        <f t="shared" si="63"/>
        <v>0</v>
      </c>
      <c r="H280">
        <f t="shared" si="64"/>
        <v>0</v>
      </c>
      <c r="I280">
        <v>1</v>
      </c>
      <c r="J280" t="e">
        <f t="shared" si="59"/>
        <v>#NUM!</v>
      </c>
      <c r="K280">
        <f t="shared" si="65"/>
        <v>-1.2217251517752175</v>
      </c>
      <c r="L280">
        <v>1</v>
      </c>
      <c r="M280" t="e">
        <f t="shared" si="60"/>
        <v>#NUM!</v>
      </c>
      <c r="N280">
        <f t="shared" si="66"/>
        <v>0</v>
      </c>
      <c r="O280">
        <f t="shared" si="67"/>
        <v>0</v>
      </c>
      <c r="P280" t="e">
        <f t="shared" si="68"/>
        <v>#NUM!</v>
      </c>
    </row>
    <row r="281" spans="3:16" x14ac:dyDescent="0.3">
      <c r="C281">
        <f t="shared" si="61"/>
        <v>0</v>
      </c>
      <c r="D281">
        <v>1.5599999999999999E-2</v>
      </c>
      <c r="E281" s="1">
        <v>1.2999999999999999E-2</v>
      </c>
      <c r="F281">
        <f t="shared" si="62"/>
        <v>0</v>
      </c>
      <c r="G281">
        <f t="shared" si="63"/>
        <v>0</v>
      </c>
      <c r="H281">
        <f t="shared" si="64"/>
        <v>0</v>
      </c>
      <c r="I281">
        <v>1</v>
      </c>
      <c r="J281" t="e">
        <f t="shared" si="59"/>
        <v>#NUM!</v>
      </c>
      <c r="K281">
        <f t="shared" si="65"/>
        <v>-1.2217251517752175</v>
      </c>
      <c r="L281">
        <v>1</v>
      </c>
      <c r="M281" t="e">
        <f t="shared" si="60"/>
        <v>#NUM!</v>
      </c>
      <c r="N281">
        <f t="shared" si="66"/>
        <v>0</v>
      </c>
      <c r="O281">
        <f t="shared" si="67"/>
        <v>0</v>
      </c>
      <c r="P281" t="e">
        <f t="shared" si="68"/>
        <v>#NUM!</v>
      </c>
    </row>
    <row r="282" spans="3:16" x14ac:dyDescent="0.3">
      <c r="C282">
        <f t="shared" si="61"/>
        <v>0</v>
      </c>
      <c r="D282">
        <v>1.5599999999999999E-2</v>
      </c>
      <c r="E282" s="1">
        <v>1.2999999999999999E-2</v>
      </c>
      <c r="F282">
        <f t="shared" si="62"/>
        <v>0</v>
      </c>
      <c r="G282">
        <f t="shared" si="63"/>
        <v>0</v>
      </c>
      <c r="H282">
        <f t="shared" si="64"/>
        <v>0</v>
      </c>
      <c r="I282">
        <v>1</v>
      </c>
      <c r="J282" t="e">
        <f t="shared" si="59"/>
        <v>#NUM!</v>
      </c>
      <c r="K282">
        <f t="shared" si="65"/>
        <v>-1.2217251517752175</v>
      </c>
      <c r="L282">
        <v>1</v>
      </c>
      <c r="M282" t="e">
        <f t="shared" si="60"/>
        <v>#NUM!</v>
      </c>
      <c r="N282">
        <f t="shared" si="66"/>
        <v>0</v>
      </c>
      <c r="O282">
        <f t="shared" si="67"/>
        <v>0</v>
      </c>
      <c r="P282" t="e">
        <f t="shared" si="68"/>
        <v>#NUM!</v>
      </c>
    </row>
    <row r="283" spans="3:16" x14ac:dyDescent="0.3">
      <c r="C283">
        <f t="shared" si="61"/>
        <v>0</v>
      </c>
      <c r="D283">
        <v>1.5599999999999999E-2</v>
      </c>
      <c r="E283" s="1">
        <v>1.2999999999999999E-2</v>
      </c>
      <c r="F283">
        <f t="shared" si="62"/>
        <v>0</v>
      </c>
      <c r="G283">
        <f t="shared" si="63"/>
        <v>0</v>
      </c>
      <c r="H283">
        <f t="shared" si="64"/>
        <v>0</v>
      </c>
      <c r="I283">
        <v>1</v>
      </c>
      <c r="J283" t="e">
        <f t="shared" si="59"/>
        <v>#NUM!</v>
      </c>
      <c r="K283">
        <f t="shared" si="65"/>
        <v>-1.2217251517752175</v>
      </c>
      <c r="L283">
        <v>1</v>
      </c>
      <c r="M283" t="e">
        <f t="shared" si="60"/>
        <v>#NUM!</v>
      </c>
      <c r="N283">
        <f t="shared" si="66"/>
        <v>0</v>
      </c>
      <c r="O283">
        <f t="shared" si="67"/>
        <v>0</v>
      </c>
      <c r="P283" t="e">
        <f t="shared" si="68"/>
        <v>#NUM!</v>
      </c>
    </row>
    <row r="284" spans="3:16" x14ac:dyDescent="0.3">
      <c r="C284">
        <f t="shared" si="61"/>
        <v>0</v>
      </c>
      <c r="D284">
        <v>1.5599999999999999E-2</v>
      </c>
      <c r="E284" s="1">
        <v>1.2999999999999999E-2</v>
      </c>
      <c r="F284">
        <f t="shared" si="62"/>
        <v>0</v>
      </c>
      <c r="G284">
        <f t="shared" si="63"/>
        <v>0</v>
      </c>
      <c r="H284">
        <f t="shared" si="64"/>
        <v>0</v>
      </c>
      <c r="I284">
        <v>1</v>
      </c>
      <c r="J284" t="e">
        <f t="shared" si="59"/>
        <v>#NUM!</v>
      </c>
      <c r="K284">
        <f t="shared" si="65"/>
        <v>-1.2217251517752175</v>
      </c>
      <c r="L284">
        <v>1</v>
      </c>
      <c r="M284" t="e">
        <f t="shared" si="60"/>
        <v>#NUM!</v>
      </c>
      <c r="N284">
        <f t="shared" si="66"/>
        <v>0</v>
      </c>
      <c r="O284">
        <f t="shared" si="67"/>
        <v>0</v>
      </c>
      <c r="P284" t="e">
        <f t="shared" si="68"/>
        <v>#NUM!</v>
      </c>
    </row>
    <row r="285" spans="3:16" x14ac:dyDescent="0.3">
      <c r="C285">
        <f t="shared" si="61"/>
        <v>0</v>
      </c>
      <c r="D285">
        <v>1.5599999999999999E-2</v>
      </c>
      <c r="E285" s="1">
        <v>1.2999999999999999E-2</v>
      </c>
      <c r="F285">
        <f t="shared" si="62"/>
        <v>0</v>
      </c>
      <c r="G285">
        <f t="shared" si="63"/>
        <v>0</v>
      </c>
      <c r="H285">
        <f t="shared" si="64"/>
        <v>0</v>
      </c>
      <c r="I285">
        <v>1</v>
      </c>
      <c r="J285" t="e">
        <f t="shared" si="59"/>
        <v>#NUM!</v>
      </c>
      <c r="K285">
        <f t="shared" si="65"/>
        <v>-1.2217251517752175</v>
      </c>
      <c r="L285">
        <v>1</v>
      </c>
      <c r="M285" t="e">
        <f t="shared" si="60"/>
        <v>#NUM!</v>
      </c>
      <c r="N285">
        <f t="shared" si="66"/>
        <v>0</v>
      </c>
      <c r="O285">
        <f t="shared" si="67"/>
        <v>0</v>
      </c>
      <c r="P285" t="e">
        <f t="shared" si="68"/>
        <v>#NUM!</v>
      </c>
    </row>
    <row r="286" spans="3:16" x14ac:dyDescent="0.3">
      <c r="C286">
        <f t="shared" si="61"/>
        <v>0</v>
      </c>
      <c r="D286">
        <v>1.5599999999999999E-2</v>
      </c>
      <c r="E286" s="1">
        <v>1.2999999999999999E-2</v>
      </c>
      <c r="F286">
        <f t="shared" si="62"/>
        <v>0</v>
      </c>
      <c r="G286">
        <f t="shared" si="63"/>
        <v>0</v>
      </c>
      <c r="H286">
        <f t="shared" si="64"/>
        <v>0</v>
      </c>
      <c r="I286">
        <v>1</v>
      </c>
      <c r="J286" t="e">
        <f t="shared" si="59"/>
        <v>#NUM!</v>
      </c>
      <c r="K286">
        <f t="shared" si="65"/>
        <v>-1.2217251517752175</v>
      </c>
      <c r="L286">
        <v>1</v>
      </c>
      <c r="M286" t="e">
        <f t="shared" si="60"/>
        <v>#NUM!</v>
      </c>
      <c r="N286">
        <f t="shared" si="66"/>
        <v>0</v>
      </c>
      <c r="O286">
        <f t="shared" si="67"/>
        <v>0</v>
      </c>
      <c r="P286" t="e">
        <f t="shared" si="68"/>
        <v>#NUM!</v>
      </c>
    </row>
    <row r="287" spans="3:16" x14ac:dyDescent="0.3">
      <c r="C287">
        <f t="shared" si="61"/>
        <v>0</v>
      </c>
      <c r="D287">
        <v>1.5599999999999999E-2</v>
      </c>
      <c r="E287" s="1">
        <v>1.2999999999999999E-2</v>
      </c>
      <c r="F287">
        <f t="shared" si="62"/>
        <v>0</v>
      </c>
      <c r="G287">
        <f t="shared" si="63"/>
        <v>0</v>
      </c>
      <c r="H287">
        <f t="shared" si="64"/>
        <v>0</v>
      </c>
      <c r="I287">
        <v>1</v>
      </c>
      <c r="J287" t="e">
        <f t="shared" si="59"/>
        <v>#NUM!</v>
      </c>
      <c r="K287">
        <f t="shared" si="65"/>
        <v>-1.2217251517752175</v>
      </c>
      <c r="L287">
        <v>1</v>
      </c>
      <c r="M287" t="e">
        <f t="shared" si="60"/>
        <v>#NUM!</v>
      </c>
      <c r="N287">
        <f t="shared" si="66"/>
        <v>0</v>
      </c>
      <c r="O287">
        <f t="shared" si="67"/>
        <v>0</v>
      </c>
      <c r="P287" t="e">
        <f t="shared" si="68"/>
        <v>#NUM!</v>
      </c>
    </row>
    <row r="288" spans="3:16" x14ac:dyDescent="0.3">
      <c r="C288">
        <f t="shared" si="61"/>
        <v>0</v>
      </c>
      <c r="D288">
        <v>1.5599999999999999E-2</v>
      </c>
      <c r="E288" s="1">
        <v>1.2999999999999999E-2</v>
      </c>
      <c r="F288">
        <f t="shared" si="62"/>
        <v>0</v>
      </c>
      <c r="G288">
        <f t="shared" si="63"/>
        <v>0</v>
      </c>
      <c r="H288">
        <f t="shared" si="64"/>
        <v>0</v>
      </c>
      <c r="I288">
        <v>1</v>
      </c>
      <c r="J288" t="e">
        <f t="shared" si="59"/>
        <v>#NUM!</v>
      </c>
      <c r="K288">
        <f t="shared" si="65"/>
        <v>-1.2217251517752175</v>
      </c>
      <c r="L288">
        <v>1</v>
      </c>
      <c r="M288" t="e">
        <f t="shared" si="60"/>
        <v>#NUM!</v>
      </c>
      <c r="N288">
        <f t="shared" si="66"/>
        <v>0</v>
      </c>
      <c r="O288">
        <f t="shared" si="67"/>
        <v>0</v>
      </c>
      <c r="P288" t="e">
        <f t="shared" si="68"/>
        <v>#NUM!</v>
      </c>
    </row>
    <row r="289" spans="3:16" x14ac:dyDescent="0.3">
      <c r="C289">
        <f t="shared" si="61"/>
        <v>0</v>
      </c>
      <c r="D289">
        <v>1.5599999999999999E-2</v>
      </c>
      <c r="E289" s="1">
        <v>1.2999999999999999E-2</v>
      </c>
      <c r="F289">
        <f t="shared" si="62"/>
        <v>0</v>
      </c>
      <c r="G289">
        <f t="shared" si="63"/>
        <v>0</v>
      </c>
      <c r="H289">
        <f t="shared" si="64"/>
        <v>0</v>
      </c>
      <c r="I289">
        <v>1</v>
      </c>
      <c r="J289" t="e">
        <f t="shared" si="59"/>
        <v>#NUM!</v>
      </c>
      <c r="K289">
        <f t="shared" si="65"/>
        <v>-1.2217251517752175</v>
      </c>
      <c r="L289">
        <v>1</v>
      </c>
      <c r="M289" t="e">
        <f t="shared" si="60"/>
        <v>#NUM!</v>
      </c>
      <c r="N289">
        <f t="shared" si="66"/>
        <v>0</v>
      </c>
      <c r="O289">
        <f t="shared" si="67"/>
        <v>0</v>
      </c>
      <c r="P289" t="e">
        <f t="shared" si="68"/>
        <v>#NUM!</v>
      </c>
    </row>
    <row r="290" spans="3:16" x14ac:dyDescent="0.3">
      <c r="C290">
        <f t="shared" si="61"/>
        <v>0</v>
      </c>
      <c r="D290">
        <v>1.5599999999999999E-2</v>
      </c>
      <c r="E290" s="1">
        <v>1.2999999999999999E-2</v>
      </c>
      <c r="F290">
        <f t="shared" si="62"/>
        <v>0</v>
      </c>
      <c r="G290">
        <f t="shared" si="63"/>
        <v>0</v>
      </c>
      <c r="H290">
        <f t="shared" si="64"/>
        <v>0</v>
      </c>
      <c r="I290">
        <v>1</v>
      </c>
      <c r="J290" t="e">
        <f t="shared" si="59"/>
        <v>#NUM!</v>
      </c>
      <c r="K290">
        <f t="shared" si="65"/>
        <v>-1.2217251517752175</v>
      </c>
      <c r="L290">
        <v>1</v>
      </c>
      <c r="M290" t="e">
        <f t="shared" si="60"/>
        <v>#NUM!</v>
      </c>
      <c r="N290">
        <f t="shared" si="66"/>
        <v>0</v>
      </c>
      <c r="O290">
        <f t="shared" si="67"/>
        <v>0</v>
      </c>
      <c r="P290" t="e">
        <f t="shared" si="68"/>
        <v>#NUM!</v>
      </c>
    </row>
    <row r="291" spans="3:16" x14ac:dyDescent="0.3">
      <c r="C291">
        <f t="shared" si="61"/>
        <v>0</v>
      </c>
      <c r="D291">
        <v>1.5599999999999999E-2</v>
      </c>
      <c r="E291" s="1">
        <v>1.2999999999999999E-2</v>
      </c>
      <c r="F291">
        <f t="shared" si="62"/>
        <v>0</v>
      </c>
      <c r="G291">
        <f t="shared" si="63"/>
        <v>0</v>
      </c>
      <c r="H291">
        <f t="shared" si="64"/>
        <v>0</v>
      </c>
      <c r="I291">
        <v>1</v>
      </c>
      <c r="J291" t="e">
        <f t="shared" si="59"/>
        <v>#NUM!</v>
      </c>
      <c r="K291">
        <f t="shared" si="65"/>
        <v>-1.2217251517752175</v>
      </c>
      <c r="L291">
        <v>1</v>
      </c>
      <c r="M291" t="e">
        <f t="shared" si="60"/>
        <v>#NUM!</v>
      </c>
      <c r="N291">
        <f t="shared" si="66"/>
        <v>0</v>
      </c>
      <c r="O291">
        <f t="shared" si="67"/>
        <v>0</v>
      </c>
      <c r="P291" t="e">
        <f t="shared" si="68"/>
        <v>#NUM!</v>
      </c>
    </row>
    <row r="292" spans="3:16" x14ac:dyDescent="0.3">
      <c r="C292">
        <f t="shared" si="61"/>
        <v>0</v>
      </c>
      <c r="D292">
        <v>1.5599999999999999E-2</v>
      </c>
      <c r="E292" s="1">
        <v>1.2999999999999999E-2</v>
      </c>
      <c r="F292">
        <f t="shared" si="62"/>
        <v>0</v>
      </c>
      <c r="G292">
        <f t="shared" si="63"/>
        <v>0</v>
      </c>
      <c r="H292">
        <f t="shared" si="64"/>
        <v>0</v>
      </c>
      <c r="I292">
        <v>1</v>
      </c>
      <c r="J292" t="e">
        <f t="shared" si="59"/>
        <v>#NUM!</v>
      </c>
      <c r="K292">
        <f t="shared" si="65"/>
        <v>-1.2217251517752175</v>
      </c>
      <c r="L292">
        <v>1</v>
      </c>
      <c r="M292" t="e">
        <f t="shared" si="60"/>
        <v>#NUM!</v>
      </c>
      <c r="N292">
        <f t="shared" si="66"/>
        <v>0</v>
      </c>
      <c r="O292">
        <f t="shared" si="67"/>
        <v>0</v>
      </c>
      <c r="P292" t="e">
        <f t="shared" si="68"/>
        <v>#NUM!</v>
      </c>
    </row>
    <row r="293" spans="3:16" x14ac:dyDescent="0.3">
      <c r="C293">
        <f t="shared" si="61"/>
        <v>0</v>
      </c>
      <c r="D293">
        <v>1.5599999999999999E-2</v>
      </c>
      <c r="E293" s="1">
        <v>1.2999999999999999E-2</v>
      </c>
      <c r="F293">
        <f t="shared" si="62"/>
        <v>0</v>
      </c>
      <c r="G293">
        <f t="shared" si="63"/>
        <v>0</v>
      </c>
      <c r="H293">
        <f t="shared" si="64"/>
        <v>0</v>
      </c>
      <c r="I293">
        <v>1</v>
      </c>
      <c r="J293" t="e">
        <f t="shared" si="59"/>
        <v>#NUM!</v>
      </c>
      <c r="K293">
        <f t="shared" si="65"/>
        <v>-1.2217251517752175</v>
      </c>
      <c r="L293">
        <v>1</v>
      </c>
      <c r="M293" t="e">
        <f t="shared" si="60"/>
        <v>#NUM!</v>
      </c>
      <c r="N293">
        <f t="shared" si="66"/>
        <v>0</v>
      </c>
      <c r="O293">
        <f t="shared" si="67"/>
        <v>0</v>
      </c>
      <c r="P293" t="e">
        <f t="shared" si="68"/>
        <v>#NUM!</v>
      </c>
    </row>
    <row r="294" spans="3:16" x14ac:dyDescent="0.3">
      <c r="C294">
        <f t="shared" si="61"/>
        <v>0</v>
      </c>
      <c r="D294">
        <v>1.5599999999999999E-2</v>
      </c>
      <c r="E294" s="1">
        <v>1.2999999999999999E-2</v>
      </c>
      <c r="F294">
        <f t="shared" si="62"/>
        <v>0</v>
      </c>
      <c r="G294">
        <f t="shared" si="63"/>
        <v>0</v>
      </c>
      <c r="H294">
        <f t="shared" si="64"/>
        <v>0</v>
      </c>
      <c r="I294">
        <v>1</v>
      </c>
      <c r="J294" t="e">
        <f t="shared" si="59"/>
        <v>#NUM!</v>
      </c>
      <c r="K294">
        <f t="shared" si="65"/>
        <v>-1.2217251517752175</v>
      </c>
      <c r="L294">
        <v>1</v>
      </c>
      <c r="M294" t="e">
        <f t="shared" si="60"/>
        <v>#NUM!</v>
      </c>
      <c r="N294">
        <f t="shared" si="66"/>
        <v>0</v>
      </c>
      <c r="O294">
        <f t="shared" si="67"/>
        <v>0</v>
      </c>
      <c r="P294" t="e">
        <f t="shared" si="68"/>
        <v>#NUM!</v>
      </c>
    </row>
    <row r="295" spans="3:16" x14ac:dyDescent="0.3">
      <c r="C295">
        <f t="shared" si="61"/>
        <v>0</v>
      </c>
      <c r="D295">
        <v>1.5599999999999999E-2</v>
      </c>
      <c r="E295" s="1">
        <v>1.2999999999999999E-2</v>
      </c>
      <c r="F295">
        <f t="shared" si="62"/>
        <v>0</v>
      </c>
      <c r="G295">
        <f t="shared" si="63"/>
        <v>0</v>
      </c>
      <c r="H295">
        <f t="shared" si="64"/>
        <v>0</v>
      </c>
      <c r="I295">
        <v>1</v>
      </c>
      <c r="J295" t="e">
        <f t="shared" si="59"/>
        <v>#NUM!</v>
      </c>
      <c r="K295">
        <f t="shared" si="65"/>
        <v>-1.2217251517752175</v>
      </c>
      <c r="L295">
        <v>1</v>
      </c>
      <c r="M295" t="e">
        <f t="shared" si="60"/>
        <v>#NUM!</v>
      </c>
      <c r="N295">
        <f t="shared" si="66"/>
        <v>0</v>
      </c>
      <c r="O295">
        <f t="shared" si="67"/>
        <v>0</v>
      </c>
      <c r="P295" t="e">
        <f t="shared" si="68"/>
        <v>#NUM!</v>
      </c>
    </row>
    <row r="296" spans="3:16" x14ac:dyDescent="0.3">
      <c r="C296">
        <f t="shared" si="61"/>
        <v>0</v>
      </c>
      <c r="D296">
        <v>1.5599999999999999E-2</v>
      </c>
      <c r="E296" s="1">
        <v>1.2999999999999999E-2</v>
      </c>
      <c r="F296">
        <f t="shared" si="62"/>
        <v>0</v>
      </c>
      <c r="G296">
        <f t="shared" si="63"/>
        <v>0</v>
      </c>
      <c r="H296">
        <f t="shared" si="64"/>
        <v>0</v>
      </c>
      <c r="I296">
        <v>1</v>
      </c>
      <c r="J296" t="e">
        <f t="shared" si="59"/>
        <v>#NUM!</v>
      </c>
      <c r="K296">
        <f t="shared" si="65"/>
        <v>-1.2217251517752175</v>
      </c>
      <c r="L296">
        <v>1</v>
      </c>
      <c r="M296" t="e">
        <f t="shared" si="60"/>
        <v>#NUM!</v>
      </c>
      <c r="N296">
        <f t="shared" si="66"/>
        <v>0</v>
      </c>
      <c r="O296">
        <f t="shared" si="67"/>
        <v>0</v>
      </c>
      <c r="P296" t="e">
        <f t="shared" si="68"/>
        <v>#NUM!</v>
      </c>
    </row>
    <row r="297" spans="3:16" x14ac:dyDescent="0.3">
      <c r="C297">
        <f t="shared" si="61"/>
        <v>0</v>
      </c>
      <c r="D297">
        <v>1.5599999999999999E-2</v>
      </c>
      <c r="E297" s="1">
        <v>1.2999999999999999E-2</v>
      </c>
      <c r="F297">
        <f t="shared" si="62"/>
        <v>0</v>
      </c>
      <c r="G297">
        <f t="shared" si="63"/>
        <v>0</v>
      </c>
      <c r="H297">
        <f t="shared" si="64"/>
        <v>0</v>
      </c>
      <c r="I297">
        <v>1</v>
      </c>
      <c r="J297" t="e">
        <f t="shared" si="59"/>
        <v>#NUM!</v>
      </c>
      <c r="K297">
        <f t="shared" si="65"/>
        <v>-1.2217251517752175</v>
      </c>
      <c r="L297">
        <v>1</v>
      </c>
      <c r="M297" t="e">
        <f t="shared" si="60"/>
        <v>#NUM!</v>
      </c>
      <c r="N297">
        <f t="shared" si="66"/>
        <v>0</v>
      </c>
      <c r="O297">
        <f t="shared" si="67"/>
        <v>0</v>
      </c>
      <c r="P297" t="e">
        <f t="shared" si="68"/>
        <v>#NUM!</v>
      </c>
    </row>
    <row r="298" spans="3:16" x14ac:dyDescent="0.3">
      <c r="C298">
        <f t="shared" si="61"/>
        <v>0</v>
      </c>
      <c r="D298">
        <v>1.5599999999999999E-2</v>
      </c>
      <c r="E298" s="1">
        <v>1.2999999999999999E-2</v>
      </c>
      <c r="F298">
        <f t="shared" si="62"/>
        <v>0</v>
      </c>
      <c r="G298">
        <f t="shared" si="63"/>
        <v>0</v>
      </c>
      <c r="H298">
        <f t="shared" si="64"/>
        <v>0</v>
      </c>
      <c r="I298">
        <v>1</v>
      </c>
      <c r="J298" t="e">
        <f t="shared" si="59"/>
        <v>#NUM!</v>
      </c>
      <c r="K298">
        <f t="shared" si="65"/>
        <v>-1.2217251517752175</v>
      </c>
      <c r="L298">
        <v>1</v>
      </c>
      <c r="M298" t="e">
        <f t="shared" si="60"/>
        <v>#NUM!</v>
      </c>
      <c r="N298">
        <f t="shared" si="66"/>
        <v>0</v>
      </c>
      <c r="O298">
        <f t="shared" si="67"/>
        <v>0</v>
      </c>
      <c r="P298" t="e">
        <f t="shared" si="68"/>
        <v>#NUM!</v>
      </c>
    </row>
    <row r="299" spans="3:16" x14ac:dyDescent="0.3">
      <c r="C299">
        <f t="shared" si="61"/>
        <v>0</v>
      </c>
      <c r="D299">
        <v>1.5599999999999999E-2</v>
      </c>
      <c r="E299" s="1">
        <v>1.2999999999999999E-2</v>
      </c>
      <c r="F299">
        <f t="shared" si="62"/>
        <v>0</v>
      </c>
      <c r="G299">
        <f t="shared" si="63"/>
        <v>0</v>
      </c>
      <c r="H299">
        <f t="shared" si="64"/>
        <v>0</v>
      </c>
      <c r="I299">
        <v>1</v>
      </c>
      <c r="J299" t="e">
        <f t="shared" si="59"/>
        <v>#NUM!</v>
      </c>
      <c r="K299">
        <f t="shared" si="65"/>
        <v>-1.2217251517752175</v>
      </c>
      <c r="L299">
        <v>1</v>
      </c>
      <c r="M299" t="e">
        <f t="shared" si="60"/>
        <v>#NUM!</v>
      </c>
      <c r="N299">
        <f t="shared" si="66"/>
        <v>0</v>
      </c>
      <c r="O299">
        <f t="shared" si="67"/>
        <v>0</v>
      </c>
      <c r="P299" t="e">
        <f t="shared" si="68"/>
        <v>#NUM!</v>
      </c>
    </row>
    <row r="300" spans="3:16" x14ac:dyDescent="0.3">
      <c r="C300">
        <f t="shared" si="61"/>
        <v>0</v>
      </c>
      <c r="D300">
        <v>1.5599999999999999E-2</v>
      </c>
      <c r="E300" s="1">
        <v>1.2999999999999999E-2</v>
      </c>
      <c r="F300">
        <f t="shared" si="62"/>
        <v>0</v>
      </c>
      <c r="G300">
        <f t="shared" si="63"/>
        <v>0</v>
      </c>
      <c r="H300">
        <f t="shared" si="64"/>
        <v>0</v>
      </c>
      <c r="I300">
        <v>1</v>
      </c>
      <c r="J300" t="e">
        <f t="shared" si="59"/>
        <v>#NUM!</v>
      </c>
      <c r="K300">
        <f t="shared" si="65"/>
        <v>-1.2217251517752175</v>
      </c>
      <c r="L300">
        <v>1</v>
      </c>
      <c r="M300" t="e">
        <f t="shared" si="60"/>
        <v>#NUM!</v>
      </c>
      <c r="N300">
        <f t="shared" si="66"/>
        <v>0</v>
      </c>
      <c r="O300">
        <f t="shared" si="67"/>
        <v>0</v>
      </c>
      <c r="P300" t="e">
        <f t="shared" si="68"/>
        <v>#NUM!</v>
      </c>
    </row>
    <row r="301" spans="3:16" x14ac:dyDescent="0.3">
      <c r="C301">
        <f t="shared" si="61"/>
        <v>0</v>
      </c>
      <c r="D301">
        <v>1.5599999999999999E-2</v>
      </c>
      <c r="E301" s="1">
        <v>1.2999999999999999E-2</v>
      </c>
      <c r="F301">
        <f t="shared" si="62"/>
        <v>0</v>
      </c>
      <c r="G301">
        <f t="shared" si="63"/>
        <v>0</v>
      </c>
      <c r="H301">
        <f t="shared" si="64"/>
        <v>0</v>
      </c>
      <c r="I301">
        <v>1</v>
      </c>
      <c r="J301" t="e">
        <f t="shared" si="59"/>
        <v>#NUM!</v>
      </c>
      <c r="K301">
        <f t="shared" si="65"/>
        <v>-1.2217251517752175</v>
      </c>
      <c r="L301">
        <v>1</v>
      </c>
      <c r="M301" t="e">
        <f t="shared" si="60"/>
        <v>#NUM!</v>
      </c>
      <c r="N301">
        <f t="shared" si="66"/>
        <v>0</v>
      </c>
      <c r="O301">
        <f t="shared" si="67"/>
        <v>0</v>
      </c>
      <c r="P301" t="e">
        <f t="shared" si="68"/>
        <v>#NUM!</v>
      </c>
    </row>
    <row r="302" spans="3:16" x14ac:dyDescent="0.3">
      <c r="C302">
        <f t="shared" si="61"/>
        <v>0</v>
      </c>
      <c r="D302">
        <v>1.5599999999999999E-2</v>
      </c>
      <c r="E302" s="1">
        <v>1.2999999999999999E-2</v>
      </c>
      <c r="F302">
        <f t="shared" si="62"/>
        <v>0</v>
      </c>
      <c r="G302">
        <f t="shared" si="63"/>
        <v>0</v>
      </c>
      <c r="H302">
        <f t="shared" si="64"/>
        <v>0</v>
      </c>
      <c r="I302">
        <v>1</v>
      </c>
      <c r="J302" t="e">
        <f t="shared" si="59"/>
        <v>#NUM!</v>
      </c>
      <c r="K302">
        <f t="shared" si="65"/>
        <v>-1.2217251517752175</v>
      </c>
      <c r="L302">
        <v>1</v>
      </c>
      <c r="M302" t="e">
        <f t="shared" si="60"/>
        <v>#NUM!</v>
      </c>
      <c r="N302">
        <f t="shared" si="66"/>
        <v>0</v>
      </c>
      <c r="O302">
        <f t="shared" si="67"/>
        <v>0</v>
      </c>
      <c r="P302" t="e">
        <f t="shared" si="68"/>
        <v>#NUM!</v>
      </c>
    </row>
    <row r="303" spans="3:16" x14ac:dyDescent="0.3">
      <c r="C303">
        <f t="shared" si="61"/>
        <v>0</v>
      </c>
      <c r="D303">
        <v>1.5599999999999999E-2</v>
      </c>
      <c r="E303" s="1">
        <v>1.2999999999999999E-2</v>
      </c>
      <c r="F303">
        <f t="shared" si="62"/>
        <v>0</v>
      </c>
      <c r="G303">
        <f t="shared" si="63"/>
        <v>0</v>
      </c>
      <c r="H303">
        <f t="shared" si="64"/>
        <v>0</v>
      </c>
      <c r="I303">
        <v>1</v>
      </c>
      <c r="J303" t="e">
        <f t="shared" si="59"/>
        <v>#NUM!</v>
      </c>
      <c r="K303">
        <f t="shared" si="65"/>
        <v>-1.2217251517752175</v>
      </c>
      <c r="L303">
        <v>1</v>
      </c>
      <c r="M303" t="e">
        <f t="shared" si="60"/>
        <v>#NUM!</v>
      </c>
      <c r="N303">
        <f t="shared" si="66"/>
        <v>0</v>
      </c>
      <c r="O303">
        <f t="shared" si="67"/>
        <v>0</v>
      </c>
      <c r="P303" t="e">
        <f t="shared" si="68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L223"/>
  <sheetViews>
    <sheetView topLeftCell="A192" workbookViewId="0">
      <selection activeCell="F2" sqref="F2:F223"/>
    </sheetView>
  </sheetViews>
  <sheetFormatPr defaultRowHeight="16.5" x14ac:dyDescent="0.3"/>
  <sheetData>
    <row r="1" spans="1:12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2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</row>
    <row r="3" spans="1:12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</row>
    <row r="4" spans="1:12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</row>
    <row r="5" spans="1:12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</row>
    <row r="6" spans="1:12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</row>
    <row r="7" spans="1:12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</row>
    <row r="8" spans="1:12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</row>
    <row r="9" spans="1:12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</row>
    <row r="10" spans="1:12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</row>
    <row r="11" spans="1:12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</row>
    <row r="14" spans="1:12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</row>
    <row r="15" spans="1:12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</row>
    <row r="18" spans="1:12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</row>
    <row r="38" spans="1:12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</row>
    <row r="40" spans="1:12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</row>
    <row r="44" spans="1:12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</row>
    <row r="49" spans="1:12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</row>
    <row r="50" spans="1:12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</row>
    <row r="52" spans="1:12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</row>
    <row r="54" spans="1:12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</row>
    <row r="56" spans="1:12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</row>
    <row r="59" spans="1:12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</row>
    <row r="61" spans="1:12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</row>
    <row r="64" spans="1:12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6">C66+(D66*A66)</f>
        <v>0.66763983388245107</v>
      </c>
      <c r="K66">
        <f t="shared" si="4"/>
        <v>0.67743025128713252</v>
      </c>
      <c r="L66">
        <f t="shared" si="5"/>
        <v>-0.54429490048808493</v>
      </c>
    </row>
    <row r="67" spans="1:12" x14ac:dyDescent="0.3">
      <c r="A67">
        <v>3.43</v>
      </c>
      <c r="B67">
        <f t="shared" ref="B67:B130" si="7">A67*200</f>
        <v>686</v>
      </c>
      <c r="C67">
        <v>0.59499999999999997</v>
      </c>
      <c r="D67" s="1">
        <v>2.1236933767795563E-2</v>
      </c>
      <c r="E67">
        <f t="shared" ref="E67:E130" si="8">B67</f>
        <v>686</v>
      </c>
      <c r="F67">
        <f t="shared" ref="F67:F130" si="9">D67-0.0045</f>
        <v>1.6736933767795562E-2</v>
      </c>
      <c r="I67">
        <f t="shared" si="6"/>
        <v>0.66784268282353876</v>
      </c>
      <c r="K67">
        <f t="shared" ref="K67:K130" si="10">I67+(F67*C67)</f>
        <v>0.67780115841537714</v>
      </c>
      <c r="L67">
        <f t="shared" ref="L67:L130" si="11">K67-$I$1</f>
        <v>-0.54392399335984032</v>
      </c>
    </row>
    <row r="68" spans="1:12" x14ac:dyDescent="0.3">
      <c r="A68">
        <v>3.49</v>
      </c>
      <c r="B68">
        <f t="shared" si="7"/>
        <v>698</v>
      </c>
      <c r="C68">
        <v>0.59199999999999997</v>
      </c>
      <c r="D68" s="1">
        <v>2.1216338500380516E-2</v>
      </c>
      <c r="E68">
        <f t="shared" si="8"/>
        <v>698</v>
      </c>
      <c r="F68">
        <f t="shared" si="9"/>
        <v>1.6716338500380516E-2</v>
      </c>
      <c r="I68">
        <f t="shared" si="6"/>
        <v>0.66604502136632804</v>
      </c>
      <c r="K68">
        <f t="shared" si="10"/>
        <v>0.67594109375855327</v>
      </c>
      <c r="L68">
        <f t="shared" si="11"/>
        <v>-0.54578405801666419</v>
      </c>
    </row>
    <row r="69" spans="1:12" x14ac:dyDescent="0.3">
      <c r="A69">
        <v>3.54</v>
      </c>
      <c r="B69">
        <f t="shared" si="7"/>
        <v>708</v>
      </c>
      <c r="C69">
        <v>0.59</v>
      </c>
      <c r="D69" s="1">
        <v>2.1920887753367424E-2</v>
      </c>
      <c r="E69">
        <f t="shared" si="8"/>
        <v>708</v>
      </c>
      <c r="F69">
        <f t="shared" si="9"/>
        <v>1.7420887753367423E-2</v>
      </c>
      <c r="I69">
        <f t="shared" si="6"/>
        <v>0.66759994264692069</v>
      </c>
      <c r="K69">
        <f t="shared" si="10"/>
        <v>0.67787826642140747</v>
      </c>
      <c r="L69">
        <f t="shared" si="11"/>
        <v>-0.54384688535380998</v>
      </c>
    </row>
    <row r="70" spans="1:12" x14ac:dyDescent="0.3">
      <c r="A70">
        <v>3.59</v>
      </c>
      <c r="B70">
        <f t="shared" si="7"/>
        <v>718</v>
      </c>
      <c r="C70">
        <v>0.58699999999999997</v>
      </c>
      <c r="D70" s="1">
        <v>2.1341806277632713E-2</v>
      </c>
      <c r="E70">
        <f t="shared" si="8"/>
        <v>718</v>
      </c>
      <c r="F70">
        <f t="shared" si="9"/>
        <v>1.6841806277632713E-2</v>
      </c>
      <c r="I70">
        <f t="shared" si="6"/>
        <v>0.66361708453670143</v>
      </c>
      <c r="K70">
        <f t="shared" si="10"/>
        <v>0.6735032248216718</v>
      </c>
      <c r="L70">
        <f t="shared" si="11"/>
        <v>-0.54822192695354566</v>
      </c>
    </row>
    <row r="71" spans="1:12" x14ac:dyDescent="0.3">
      <c r="A71">
        <v>3.64</v>
      </c>
      <c r="B71">
        <f t="shared" si="7"/>
        <v>728</v>
      </c>
      <c r="C71">
        <v>0.58499999999999996</v>
      </c>
      <c r="D71" s="1">
        <v>2.1182570606470108E-2</v>
      </c>
      <c r="E71">
        <f t="shared" si="8"/>
        <v>728</v>
      </c>
      <c r="F71">
        <f t="shared" si="9"/>
        <v>1.6682570606470108E-2</v>
      </c>
      <c r="I71">
        <f t="shared" si="6"/>
        <v>0.66210455700755122</v>
      </c>
      <c r="K71">
        <f t="shared" si="10"/>
        <v>0.67186386081233618</v>
      </c>
      <c r="L71">
        <f t="shared" si="11"/>
        <v>-0.54986129096288128</v>
      </c>
    </row>
    <row r="72" spans="1:12" x14ac:dyDescent="0.3">
      <c r="A72">
        <v>3.69</v>
      </c>
      <c r="B72">
        <f t="shared" si="7"/>
        <v>738</v>
      </c>
      <c r="C72">
        <v>0.58199999999999996</v>
      </c>
      <c r="D72" s="1">
        <v>2.0709231495857239E-2</v>
      </c>
      <c r="E72">
        <f t="shared" si="8"/>
        <v>738</v>
      </c>
      <c r="F72">
        <f t="shared" si="9"/>
        <v>1.6209231495857238E-2</v>
      </c>
      <c r="I72">
        <f t="shared" si="6"/>
        <v>0.65841706421971313</v>
      </c>
      <c r="K72">
        <f t="shared" si="10"/>
        <v>0.66785083695030201</v>
      </c>
      <c r="L72">
        <f t="shared" si="11"/>
        <v>-0.55387431482491545</v>
      </c>
    </row>
    <row r="73" spans="1:12" x14ac:dyDescent="0.3">
      <c r="A73">
        <v>3.74</v>
      </c>
      <c r="B73">
        <f t="shared" si="7"/>
        <v>748</v>
      </c>
      <c r="C73">
        <v>0.57999999999999996</v>
      </c>
      <c r="D73" s="1">
        <v>2.084982767701149E-2</v>
      </c>
      <c r="E73">
        <f t="shared" si="8"/>
        <v>748</v>
      </c>
      <c r="F73">
        <f t="shared" si="9"/>
        <v>1.6349827677011489E-2</v>
      </c>
      <c r="I73">
        <f t="shared" si="6"/>
        <v>0.65797835551202288</v>
      </c>
      <c r="K73">
        <f t="shared" si="10"/>
        <v>0.66746125556468949</v>
      </c>
      <c r="L73">
        <f t="shared" si="11"/>
        <v>-0.55426389621052796</v>
      </c>
    </row>
    <row r="74" spans="1:12" x14ac:dyDescent="0.3">
      <c r="A74">
        <v>3.8</v>
      </c>
      <c r="B74">
        <f t="shared" si="7"/>
        <v>760</v>
      </c>
      <c r="C74">
        <v>0.57799999999999996</v>
      </c>
      <c r="D74" s="1">
        <v>2.1780027076601982E-2</v>
      </c>
      <c r="E74">
        <f t="shared" si="8"/>
        <v>760</v>
      </c>
      <c r="F74">
        <f t="shared" si="9"/>
        <v>1.7280027076601982E-2</v>
      </c>
      <c r="I74">
        <f t="shared" si="6"/>
        <v>0.66076410289108745</v>
      </c>
      <c r="K74">
        <f t="shared" si="10"/>
        <v>0.67075195854136338</v>
      </c>
      <c r="L74">
        <f t="shared" si="11"/>
        <v>-0.55097319323385407</v>
      </c>
    </row>
    <row r="75" spans="1:12" x14ac:dyDescent="0.3">
      <c r="A75">
        <v>3.85</v>
      </c>
      <c r="B75">
        <f t="shared" si="7"/>
        <v>770</v>
      </c>
      <c r="C75">
        <v>0.57499999999999996</v>
      </c>
      <c r="D75" s="1">
        <v>2.1630674600601196E-2</v>
      </c>
      <c r="E75">
        <f t="shared" si="8"/>
        <v>770</v>
      </c>
      <c r="F75">
        <f t="shared" si="9"/>
        <v>1.7130674600601196E-2</v>
      </c>
      <c r="I75">
        <f t="shared" si="6"/>
        <v>0.65827809721231456</v>
      </c>
      <c r="K75">
        <f t="shared" si="10"/>
        <v>0.66812823510766028</v>
      </c>
      <c r="L75">
        <f t="shared" si="11"/>
        <v>-0.55359691666755717</v>
      </c>
    </row>
    <row r="76" spans="1:12" x14ac:dyDescent="0.3">
      <c r="A76">
        <v>3.9</v>
      </c>
      <c r="B76">
        <f t="shared" si="7"/>
        <v>780</v>
      </c>
      <c r="C76">
        <v>0.57299999999999995</v>
      </c>
      <c r="D76" s="1">
        <v>2.1522887051105499E-2</v>
      </c>
      <c r="E76">
        <f t="shared" si="8"/>
        <v>780</v>
      </c>
      <c r="F76">
        <f t="shared" si="9"/>
        <v>1.7022887051105499E-2</v>
      </c>
      <c r="I76">
        <f t="shared" si="6"/>
        <v>0.65693925949931142</v>
      </c>
      <c r="K76">
        <f t="shared" si="10"/>
        <v>0.66669337377959492</v>
      </c>
      <c r="L76">
        <f t="shared" si="11"/>
        <v>-0.55503177799562253</v>
      </c>
    </row>
    <row r="77" spans="1:12" x14ac:dyDescent="0.3">
      <c r="A77">
        <v>3.95</v>
      </c>
      <c r="B77">
        <f t="shared" si="7"/>
        <v>790</v>
      </c>
      <c r="C77">
        <v>0.56999999999999995</v>
      </c>
      <c r="D77" s="1">
        <v>2.0996369421482086E-2</v>
      </c>
      <c r="E77">
        <f t="shared" si="8"/>
        <v>790</v>
      </c>
      <c r="F77">
        <f t="shared" si="9"/>
        <v>1.6496369421482086E-2</v>
      </c>
      <c r="I77">
        <f t="shared" si="6"/>
        <v>0.65293565921485419</v>
      </c>
      <c r="K77">
        <f t="shared" si="10"/>
        <v>0.66233858978509896</v>
      </c>
      <c r="L77">
        <f t="shared" si="11"/>
        <v>-0.55938656199011849</v>
      </c>
    </row>
    <row r="78" spans="1:12" x14ac:dyDescent="0.3">
      <c r="A78">
        <v>4</v>
      </c>
      <c r="B78">
        <f t="shared" si="7"/>
        <v>800</v>
      </c>
      <c r="C78">
        <v>0.56799999999999995</v>
      </c>
      <c r="D78" s="1">
        <v>2.1206527948379517E-2</v>
      </c>
      <c r="E78">
        <f t="shared" si="8"/>
        <v>800</v>
      </c>
      <c r="F78">
        <f t="shared" si="9"/>
        <v>1.6706527948379516E-2</v>
      </c>
      <c r="I78">
        <f t="shared" si="6"/>
        <v>0.65282611179351802</v>
      </c>
      <c r="K78">
        <f t="shared" si="10"/>
        <v>0.66231541966819762</v>
      </c>
      <c r="L78">
        <f t="shared" si="11"/>
        <v>-0.55940973210701983</v>
      </c>
    </row>
    <row r="79" spans="1:12" x14ac:dyDescent="0.3">
      <c r="A79">
        <v>4.05</v>
      </c>
      <c r="B79">
        <f t="shared" si="7"/>
        <v>810</v>
      </c>
      <c r="C79">
        <v>0.56499999999999995</v>
      </c>
      <c r="D79" s="1">
        <v>2.1287042647600174E-2</v>
      </c>
      <c r="E79">
        <f t="shared" si="8"/>
        <v>810</v>
      </c>
      <c r="F79">
        <f t="shared" si="9"/>
        <v>1.6787042647600173E-2</v>
      </c>
      <c r="I79">
        <f t="shared" si="6"/>
        <v>0.65121252272278063</v>
      </c>
      <c r="K79">
        <f t="shared" si="10"/>
        <v>0.66069720181867475</v>
      </c>
      <c r="L79">
        <f t="shared" si="11"/>
        <v>-0.5610279499565427</v>
      </c>
    </row>
    <row r="80" spans="1:12" x14ac:dyDescent="0.3">
      <c r="A80">
        <v>4.0999999999999996</v>
      </c>
      <c r="B80">
        <f t="shared" si="7"/>
        <v>819.99999999999989</v>
      </c>
      <c r="C80">
        <v>0.56299999999999994</v>
      </c>
      <c r="D80" s="1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6"/>
        <v>0.65143646869063376</v>
      </c>
      <c r="K80">
        <f t="shared" si="10"/>
        <v>0.66104680573278662</v>
      </c>
      <c r="L80">
        <f t="shared" si="11"/>
        <v>-0.56067834604243083</v>
      </c>
    </row>
    <row r="81" spans="1:12" x14ac:dyDescent="0.3">
      <c r="A81">
        <v>4.16</v>
      </c>
      <c r="B81">
        <f t="shared" si="7"/>
        <v>832</v>
      </c>
      <c r="C81">
        <v>0.56100000000000005</v>
      </c>
      <c r="D81" s="1">
        <v>2.1351464092731476E-2</v>
      </c>
      <c r="E81">
        <f t="shared" si="8"/>
        <v>832</v>
      </c>
      <c r="F81">
        <f t="shared" si="9"/>
        <v>1.6851464092731475E-2</v>
      </c>
      <c r="I81">
        <f t="shared" si="6"/>
        <v>0.64982209062576302</v>
      </c>
      <c r="K81">
        <f t="shared" si="10"/>
        <v>0.65927576198178539</v>
      </c>
      <c r="L81">
        <f t="shared" si="11"/>
        <v>-0.56244938979343206</v>
      </c>
    </row>
    <row r="82" spans="1:12" x14ac:dyDescent="0.3">
      <c r="A82">
        <v>4.21</v>
      </c>
      <c r="B82">
        <f t="shared" si="7"/>
        <v>842</v>
      </c>
      <c r="C82">
        <v>0.55800000000000005</v>
      </c>
      <c r="D82" s="1">
        <v>2.2199295461177826E-2</v>
      </c>
      <c r="E82">
        <f t="shared" si="8"/>
        <v>842</v>
      </c>
      <c r="F82">
        <f t="shared" si="9"/>
        <v>1.7699295461177825E-2</v>
      </c>
      <c r="I82">
        <f t="shared" si="6"/>
        <v>0.65145903389155868</v>
      </c>
      <c r="K82">
        <f t="shared" si="10"/>
        <v>0.66133524075889594</v>
      </c>
      <c r="L82">
        <f t="shared" si="11"/>
        <v>-0.56038991101632152</v>
      </c>
    </row>
    <row r="83" spans="1:12" x14ac:dyDescent="0.3">
      <c r="A83">
        <v>4.26</v>
      </c>
      <c r="B83">
        <f t="shared" si="7"/>
        <v>852</v>
      </c>
      <c r="C83">
        <v>0.55600000000000005</v>
      </c>
      <c r="D83" s="1">
        <v>2.1349307149648666E-2</v>
      </c>
      <c r="E83">
        <f t="shared" si="8"/>
        <v>852</v>
      </c>
      <c r="F83">
        <f t="shared" si="9"/>
        <v>1.6849307149648666E-2</v>
      </c>
      <c r="I83">
        <f t="shared" si="6"/>
        <v>0.64694804845750342</v>
      </c>
      <c r="K83">
        <f t="shared" si="10"/>
        <v>0.65631626323270809</v>
      </c>
      <c r="L83">
        <f t="shared" si="11"/>
        <v>-0.56540888854250937</v>
      </c>
    </row>
    <row r="84" spans="1:12" x14ac:dyDescent="0.3">
      <c r="A84">
        <v>4.3099999999999996</v>
      </c>
      <c r="B84">
        <f t="shared" si="7"/>
        <v>861.99999999999989</v>
      </c>
      <c r="C84">
        <v>0.55400000000000005</v>
      </c>
      <c r="D84" s="1">
        <v>2.1212978288531303E-2</v>
      </c>
      <c r="E84">
        <f t="shared" si="8"/>
        <v>861.99999999999989</v>
      </c>
      <c r="F84">
        <f t="shared" si="9"/>
        <v>1.6712978288531303E-2</v>
      </c>
      <c r="I84">
        <f t="shared" si="6"/>
        <v>0.64542793642356999</v>
      </c>
      <c r="K84">
        <f t="shared" si="10"/>
        <v>0.65468692639541637</v>
      </c>
      <c r="L84">
        <f t="shared" si="11"/>
        <v>-0.56703822537980109</v>
      </c>
    </row>
    <row r="85" spans="1:12" x14ac:dyDescent="0.3">
      <c r="A85">
        <v>4.37</v>
      </c>
      <c r="B85">
        <f t="shared" si="7"/>
        <v>874</v>
      </c>
      <c r="C85">
        <v>0.55100000000000005</v>
      </c>
      <c r="D85" s="1">
        <v>2.2336233407258987E-2</v>
      </c>
      <c r="E85">
        <f t="shared" si="8"/>
        <v>874</v>
      </c>
      <c r="F85">
        <f t="shared" si="9"/>
        <v>1.7836233407258987E-2</v>
      </c>
      <c r="I85">
        <f t="shared" si="6"/>
        <v>0.64860933998972181</v>
      </c>
      <c r="K85">
        <f t="shared" si="10"/>
        <v>0.65843710459712157</v>
      </c>
      <c r="L85">
        <f t="shared" si="11"/>
        <v>-0.56328804717809589</v>
      </c>
    </row>
    <row r="86" spans="1:12" x14ac:dyDescent="0.3">
      <c r="A86">
        <v>4.42</v>
      </c>
      <c r="B86">
        <f t="shared" si="7"/>
        <v>884</v>
      </c>
      <c r="C86">
        <v>0.54900000000000004</v>
      </c>
      <c r="D86" s="1">
        <v>2.0953355357050896E-2</v>
      </c>
      <c r="E86">
        <f t="shared" si="8"/>
        <v>884</v>
      </c>
      <c r="F86">
        <f t="shared" si="9"/>
        <v>1.6453355357050895E-2</v>
      </c>
      <c r="I86">
        <f t="shared" si="6"/>
        <v>0.64161383067816502</v>
      </c>
      <c r="K86">
        <f t="shared" si="10"/>
        <v>0.650646722769186</v>
      </c>
      <c r="L86">
        <f t="shared" si="11"/>
        <v>-0.57107842900603145</v>
      </c>
    </row>
    <row r="87" spans="1:12" x14ac:dyDescent="0.3">
      <c r="A87">
        <v>4.47</v>
      </c>
      <c r="B87">
        <f t="shared" si="7"/>
        <v>894</v>
      </c>
      <c r="C87">
        <v>0.54600000000000004</v>
      </c>
      <c r="D87" s="1">
        <v>2.2049251943826675E-2</v>
      </c>
      <c r="E87">
        <f t="shared" si="8"/>
        <v>894</v>
      </c>
      <c r="F87">
        <f t="shared" si="9"/>
        <v>1.7549251943826675E-2</v>
      </c>
      <c r="I87">
        <f t="shared" si="6"/>
        <v>0.64456015618890528</v>
      </c>
      <c r="K87">
        <f t="shared" si="10"/>
        <v>0.65414204775023466</v>
      </c>
      <c r="L87">
        <f t="shared" si="11"/>
        <v>-0.5675831040249828</v>
      </c>
    </row>
    <row r="88" spans="1:12" x14ac:dyDescent="0.3">
      <c r="A88">
        <v>4.53</v>
      </c>
      <c r="B88">
        <f t="shared" si="7"/>
        <v>906</v>
      </c>
      <c r="C88">
        <v>0.54400000000000004</v>
      </c>
      <c r="D88" s="1">
        <v>2.1715734153985977E-2</v>
      </c>
      <c r="E88">
        <f t="shared" si="8"/>
        <v>906</v>
      </c>
      <c r="F88">
        <f t="shared" si="9"/>
        <v>1.7215734153985977E-2</v>
      </c>
      <c r="I88">
        <f t="shared" si="6"/>
        <v>0.64237227571755651</v>
      </c>
      <c r="K88">
        <f t="shared" si="10"/>
        <v>0.65173763509732485</v>
      </c>
      <c r="L88">
        <f t="shared" si="11"/>
        <v>-0.5699875166778926</v>
      </c>
    </row>
    <row r="89" spans="1:12" x14ac:dyDescent="0.3">
      <c r="A89">
        <v>4.58</v>
      </c>
      <c r="B89">
        <f t="shared" si="7"/>
        <v>916</v>
      </c>
      <c r="C89">
        <v>0.54200000000000004</v>
      </c>
      <c r="D89" s="1">
        <v>2.1696174517273903E-2</v>
      </c>
      <c r="E89">
        <f t="shared" si="8"/>
        <v>916</v>
      </c>
      <c r="F89">
        <f t="shared" si="9"/>
        <v>1.7196174517273902E-2</v>
      </c>
      <c r="I89">
        <f t="shared" si="6"/>
        <v>0.64136847928911456</v>
      </c>
      <c r="K89">
        <f t="shared" si="10"/>
        <v>0.65068880587747702</v>
      </c>
      <c r="L89">
        <f t="shared" si="11"/>
        <v>-0.57103634589774044</v>
      </c>
    </row>
    <row r="90" spans="1:12" x14ac:dyDescent="0.3">
      <c r="A90">
        <v>4.63</v>
      </c>
      <c r="B90">
        <f t="shared" si="7"/>
        <v>926</v>
      </c>
      <c r="C90">
        <v>0.53900000000000003</v>
      </c>
      <c r="D90" s="1">
        <v>2.1906765177845955E-2</v>
      </c>
      <c r="E90">
        <f t="shared" si="8"/>
        <v>926</v>
      </c>
      <c r="F90">
        <f t="shared" si="9"/>
        <v>1.7406765177845954E-2</v>
      </c>
      <c r="I90">
        <f t="shared" si="6"/>
        <v>0.64042832277342676</v>
      </c>
      <c r="K90">
        <f t="shared" si="10"/>
        <v>0.6498105692042857</v>
      </c>
      <c r="L90">
        <f t="shared" si="11"/>
        <v>-0.57191458257093175</v>
      </c>
    </row>
    <row r="91" spans="1:12" x14ac:dyDescent="0.3">
      <c r="A91">
        <v>4.68</v>
      </c>
      <c r="B91">
        <f t="shared" si="7"/>
        <v>936</v>
      </c>
      <c r="C91">
        <v>0.53700000000000003</v>
      </c>
      <c r="D91" s="1">
        <v>2.1756090223789215E-2</v>
      </c>
      <c r="E91">
        <f t="shared" si="8"/>
        <v>936</v>
      </c>
      <c r="F91">
        <f t="shared" si="9"/>
        <v>1.7256090223789215E-2</v>
      </c>
      <c r="I91">
        <f t="shared" si="6"/>
        <v>0.63881850224733361</v>
      </c>
      <c r="K91">
        <f t="shared" si="10"/>
        <v>0.64808502269750845</v>
      </c>
      <c r="L91">
        <f t="shared" si="11"/>
        <v>-0.573640129077709</v>
      </c>
    </row>
    <row r="92" spans="1:12" x14ac:dyDescent="0.3">
      <c r="A92">
        <v>4.7300000000000004</v>
      </c>
      <c r="B92">
        <f t="shared" si="7"/>
        <v>946.00000000000011</v>
      </c>
      <c r="C92">
        <v>0.53400000000000003</v>
      </c>
      <c r="D92" s="1">
        <v>2.2429488599300385E-2</v>
      </c>
      <c r="E92">
        <f t="shared" si="8"/>
        <v>946.00000000000011</v>
      </c>
      <c r="F92">
        <f t="shared" si="9"/>
        <v>1.7929488599300384E-2</v>
      </c>
      <c r="I92">
        <f t="shared" si="6"/>
        <v>0.64009148107469083</v>
      </c>
      <c r="K92">
        <f t="shared" si="10"/>
        <v>0.64966582798671724</v>
      </c>
      <c r="L92">
        <f t="shared" si="11"/>
        <v>-0.57205932378850022</v>
      </c>
    </row>
    <row r="93" spans="1:12" x14ac:dyDescent="0.3">
      <c r="A93">
        <v>4.79</v>
      </c>
      <c r="B93">
        <f t="shared" si="7"/>
        <v>958</v>
      </c>
      <c r="C93">
        <v>0.53300000000000003</v>
      </c>
      <c r="D93" s="1">
        <v>2.15414147824049E-2</v>
      </c>
      <c r="E93">
        <f t="shared" si="8"/>
        <v>958</v>
      </c>
      <c r="F93">
        <f t="shared" si="9"/>
        <v>1.7041414782404899E-2</v>
      </c>
      <c r="I93">
        <f t="shared" si="6"/>
        <v>0.63618337680771953</v>
      </c>
      <c r="K93">
        <f t="shared" si="10"/>
        <v>0.64526645088674128</v>
      </c>
      <c r="L93">
        <f t="shared" si="11"/>
        <v>-0.57645870088847617</v>
      </c>
    </row>
    <row r="94" spans="1:12" x14ac:dyDescent="0.3">
      <c r="A94">
        <v>4.84</v>
      </c>
      <c r="B94">
        <f t="shared" si="7"/>
        <v>968</v>
      </c>
      <c r="C94">
        <v>0.53</v>
      </c>
      <c r="D94" s="1">
        <v>2.2523378953337669E-2</v>
      </c>
      <c r="E94">
        <f t="shared" si="8"/>
        <v>968</v>
      </c>
      <c r="F94">
        <f t="shared" si="9"/>
        <v>1.8023378953337669E-2</v>
      </c>
      <c r="I94">
        <f t="shared" si="6"/>
        <v>0.63901315413415438</v>
      </c>
      <c r="K94">
        <f t="shared" si="10"/>
        <v>0.64856554497942331</v>
      </c>
      <c r="L94">
        <f t="shared" si="11"/>
        <v>-0.57315960679579414</v>
      </c>
    </row>
    <row r="95" spans="1:12" x14ac:dyDescent="0.3">
      <c r="A95">
        <v>4.8899999999999997</v>
      </c>
      <c r="B95">
        <f t="shared" si="7"/>
        <v>977.99999999999989</v>
      </c>
      <c r="C95">
        <v>0.52800000000000002</v>
      </c>
      <c r="D95" s="1">
        <v>2.1605027839541435E-2</v>
      </c>
      <c r="E95">
        <f t="shared" si="8"/>
        <v>977.99999999999989</v>
      </c>
      <c r="F95">
        <f t="shared" si="9"/>
        <v>1.7105027839541435E-2</v>
      </c>
      <c r="I95">
        <f t="shared" si="6"/>
        <v>0.63364858613535768</v>
      </c>
      <c r="K95">
        <f t="shared" si="10"/>
        <v>0.64268004083463559</v>
      </c>
      <c r="L95">
        <f t="shared" si="11"/>
        <v>-0.57904511094058186</v>
      </c>
    </row>
    <row r="96" spans="1:12" x14ac:dyDescent="0.3">
      <c r="A96">
        <v>4.9400000000000004</v>
      </c>
      <c r="B96">
        <f t="shared" si="7"/>
        <v>988.00000000000011</v>
      </c>
      <c r="C96">
        <v>0.52600000000000002</v>
      </c>
      <c r="D96" s="1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6"/>
        <v>0.63645377541333437</v>
      </c>
      <c r="K96">
        <f t="shared" si="10"/>
        <v>0.64584764299783115</v>
      </c>
      <c r="L96">
        <f t="shared" si="11"/>
        <v>-0.5758775087773863</v>
      </c>
    </row>
    <row r="97" spans="1:12" x14ac:dyDescent="0.3">
      <c r="A97">
        <v>4.99</v>
      </c>
      <c r="B97">
        <f t="shared" si="7"/>
        <v>998</v>
      </c>
      <c r="C97">
        <v>0.52400000000000002</v>
      </c>
      <c r="D97" s="1">
        <v>2.1708402782678604E-2</v>
      </c>
      <c r="E97">
        <f t="shared" si="8"/>
        <v>998</v>
      </c>
      <c r="F97">
        <f t="shared" si="9"/>
        <v>1.7208402782678604E-2</v>
      </c>
      <c r="I97">
        <f t="shared" si="6"/>
        <v>0.63232492988556621</v>
      </c>
      <c r="K97">
        <f t="shared" si="10"/>
        <v>0.6413421329436898</v>
      </c>
      <c r="L97">
        <f t="shared" si="11"/>
        <v>-0.58038301883152765</v>
      </c>
    </row>
    <row r="98" spans="1:12" x14ac:dyDescent="0.3">
      <c r="A98">
        <v>5.05</v>
      </c>
      <c r="B98">
        <f t="shared" si="7"/>
        <v>1010</v>
      </c>
      <c r="C98">
        <v>0.52100000000000002</v>
      </c>
      <c r="D98" s="1">
        <v>2.2254021838307381E-2</v>
      </c>
      <c r="E98">
        <f t="shared" si="8"/>
        <v>1010</v>
      </c>
      <c r="F98">
        <f t="shared" si="9"/>
        <v>1.775402183830738E-2</v>
      </c>
      <c r="I98">
        <f t="shared" si="6"/>
        <v>0.63338281028345234</v>
      </c>
      <c r="K98">
        <f t="shared" si="10"/>
        <v>0.64263265566121053</v>
      </c>
      <c r="L98">
        <f t="shared" si="11"/>
        <v>-0.57909249611400693</v>
      </c>
    </row>
    <row r="99" spans="1:12" x14ac:dyDescent="0.3">
      <c r="A99">
        <v>5.0999999999999996</v>
      </c>
      <c r="B99">
        <f t="shared" si="7"/>
        <v>1019.9999999999999</v>
      </c>
      <c r="C99">
        <v>0.51900000000000002</v>
      </c>
      <c r="D99" s="1">
        <v>2.2036757320165634E-2</v>
      </c>
      <c r="E99">
        <f t="shared" si="8"/>
        <v>1019.9999999999999</v>
      </c>
      <c r="F99">
        <f t="shared" si="9"/>
        <v>1.7536757320165634E-2</v>
      </c>
      <c r="I99">
        <f t="shared" si="6"/>
        <v>0.63138746233284471</v>
      </c>
      <c r="K99">
        <f t="shared" si="10"/>
        <v>0.64048903938201063</v>
      </c>
      <c r="L99">
        <f t="shared" si="11"/>
        <v>-0.58123611239320683</v>
      </c>
    </row>
    <row r="100" spans="1:12" x14ac:dyDescent="0.3">
      <c r="A100">
        <v>5.15</v>
      </c>
      <c r="B100">
        <f t="shared" si="7"/>
        <v>1030</v>
      </c>
      <c r="C100">
        <v>0.51700000000000002</v>
      </c>
      <c r="D100" s="1">
        <v>2.2387169301509857E-2</v>
      </c>
      <c r="E100">
        <f t="shared" si="8"/>
        <v>1030</v>
      </c>
      <c r="F100">
        <f t="shared" si="9"/>
        <v>1.7887169301509857E-2</v>
      </c>
      <c r="I100">
        <f t="shared" si="6"/>
        <v>0.63229392190277578</v>
      </c>
      <c r="K100">
        <f t="shared" si="10"/>
        <v>0.64154158843165643</v>
      </c>
      <c r="L100">
        <f t="shared" si="11"/>
        <v>-0.58018356334356103</v>
      </c>
    </row>
    <row r="101" spans="1:12" x14ac:dyDescent="0.3">
      <c r="A101">
        <v>5.21</v>
      </c>
      <c r="B101">
        <f t="shared" si="7"/>
        <v>1042</v>
      </c>
      <c r="C101">
        <v>0.51400000000000001</v>
      </c>
      <c r="D101" s="1">
        <v>2.2003279998898506E-2</v>
      </c>
      <c r="E101">
        <f t="shared" si="8"/>
        <v>1042</v>
      </c>
      <c r="F101">
        <f t="shared" si="9"/>
        <v>1.7503279998898506E-2</v>
      </c>
      <c r="I101">
        <f t="shared" si="6"/>
        <v>0.62863708879426117</v>
      </c>
      <c r="K101">
        <f t="shared" si="10"/>
        <v>0.63763377471369498</v>
      </c>
      <c r="L101">
        <f t="shared" si="11"/>
        <v>-0.58409137706152248</v>
      </c>
    </row>
    <row r="102" spans="1:12" x14ac:dyDescent="0.3">
      <c r="A102">
        <v>5.26</v>
      </c>
      <c r="B102">
        <f t="shared" si="7"/>
        <v>1052</v>
      </c>
      <c r="C102">
        <v>0.51200000000000001</v>
      </c>
      <c r="D102" s="1">
        <v>2.2290784865617752E-2</v>
      </c>
      <c r="E102">
        <f t="shared" si="8"/>
        <v>1052</v>
      </c>
      <c r="F102">
        <f t="shared" si="9"/>
        <v>1.7790784865617752E-2</v>
      </c>
      <c r="I102">
        <f t="shared" si="6"/>
        <v>0.6292495283931494</v>
      </c>
      <c r="K102">
        <f t="shared" si="10"/>
        <v>0.6383584102443457</v>
      </c>
      <c r="L102">
        <f t="shared" si="11"/>
        <v>-0.58336674153087176</v>
      </c>
    </row>
    <row r="103" spans="1:12" x14ac:dyDescent="0.3">
      <c r="A103">
        <v>5.31</v>
      </c>
      <c r="B103">
        <f t="shared" si="7"/>
        <v>1062</v>
      </c>
      <c r="C103">
        <v>0.51</v>
      </c>
      <c r="D103" s="1">
        <v>2.2049127146601677E-2</v>
      </c>
      <c r="E103">
        <f t="shared" si="8"/>
        <v>1062</v>
      </c>
      <c r="F103">
        <f t="shared" si="9"/>
        <v>1.7549127146601676E-2</v>
      </c>
      <c r="I103">
        <f t="shared" si="6"/>
        <v>0.62708086514845496</v>
      </c>
      <c r="K103">
        <f t="shared" si="10"/>
        <v>0.63603091999322181</v>
      </c>
      <c r="L103">
        <f t="shared" si="11"/>
        <v>-0.58569423178199564</v>
      </c>
    </row>
    <row r="104" spans="1:12" x14ac:dyDescent="0.3">
      <c r="A104">
        <v>5.36</v>
      </c>
      <c r="B104">
        <f t="shared" si="7"/>
        <v>1072</v>
      </c>
      <c r="C104">
        <v>0.50800000000000001</v>
      </c>
      <c r="D104" s="1">
        <v>2.2027615457773209E-2</v>
      </c>
      <c r="E104">
        <f t="shared" si="8"/>
        <v>1072</v>
      </c>
      <c r="F104">
        <f t="shared" si="9"/>
        <v>1.7527615457773208E-2</v>
      </c>
      <c r="I104">
        <f t="shared" si="6"/>
        <v>0.62606801885366437</v>
      </c>
      <c r="K104">
        <f t="shared" si="10"/>
        <v>0.63497204750621317</v>
      </c>
      <c r="L104">
        <f t="shared" si="11"/>
        <v>-0.58675310426900429</v>
      </c>
    </row>
    <row r="105" spans="1:12" x14ac:dyDescent="0.3">
      <c r="A105">
        <v>5.41</v>
      </c>
      <c r="B105">
        <f t="shared" si="7"/>
        <v>1082</v>
      </c>
      <c r="C105">
        <v>0.50600000000000001</v>
      </c>
      <c r="D105" s="1">
        <v>2.1767960861325264E-2</v>
      </c>
      <c r="E105">
        <f t="shared" si="8"/>
        <v>1082</v>
      </c>
      <c r="F105">
        <f t="shared" si="9"/>
        <v>1.7267960861325263E-2</v>
      </c>
      <c r="I105">
        <f t="shared" si="6"/>
        <v>0.62376466825976973</v>
      </c>
      <c r="K105">
        <f t="shared" si="10"/>
        <v>0.63250225645560032</v>
      </c>
      <c r="L105">
        <f t="shared" si="11"/>
        <v>-0.58922289531961713</v>
      </c>
    </row>
    <row r="106" spans="1:12" x14ac:dyDescent="0.3">
      <c r="A106">
        <v>5.48</v>
      </c>
      <c r="B106">
        <f t="shared" si="7"/>
        <v>1096</v>
      </c>
      <c r="C106">
        <v>0.503</v>
      </c>
      <c r="D106" s="1">
        <v>2.2186625748872757E-2</v>
      </c>
      <c r="E106">
        <f t="shared" si="8"/>
        <v>1096</v>
      </c>
      <c r="F106">
        <f t="shared" si="9"/>
        <v>1.7686625748872756E-2</v>
      </c>
      <c r="I106">
        <f t="shared" si="6"/>
        <v>0.62458270910382274</v>
      </c>
      <c r="K106">
        <f t="shared" si="10"/>
        <v>0.63347908185550572</v>
      </c>
      <c r="L106">
        <f t="shared" si="11"/>
        <v>-0.58824606991971173</v>
      </c>
    </row>
    <row r="107" spans="1:12" x14ac:dyDescent="0.3">
      <c r="A107">
        <v>5.53</v>
      </c>
      <c r="B107">
        <f t="shared" si="7"/>
        <v>1106</v>
      </c>
      <c r="C107">
        <v>0.501</v>
      </c>
      <c r="D107" s="1">
        <v>2.234361320734024E-2</v>
      </c>
      <c r="E107">
        <f t="shared" si="8"/>
        <v>1106</v>
      </c>
      <c r="F107">
        <f t="shared" si="9"/>
        <v>1.784361320734024E-2</v>
      </c>
      <c r="I107">
        <f t="shared" si="6"/>
        <v>0.6245601810365915</v>
      </c>
      <c r="K107">
        <f t="shared" si="10"/>
        <v>0.63349983125346898</v>
      </c>
      <c r="L107">
        <f t="shared" si="11"/>
        <v>-0.58822532052174847</v>
      </c>
    </row>
    <row r="108" spans="1:12" x14ac:dyDescent="0.3">
      <c r="A108">
        <v>5.58</v>
      </c>
      <c r="B108">
        <f t="shared" si="7"/>
        <v>1116</v>
      </c>
      <c r="C108">
        <v>0.499</v>
      </c>
      <c r="D108" s="1">
        <v>2.194085530936718E-2</v>
      </c>
      <c r="E108">
        <f t="shared" si="8"/>
        <v>1116</v>
      </c>
      <c r="F108">
        <f t="shared" si="9"/>
        <v>1.7440855309367179E-2</v>
      </c>
      <c r="I108">
        <f t="shared" si="6"/>
        <v>0.62142997262626887</v>
      </c>
      <c r="K108">
        <f t="shared" si="10"/>
        <v>0.63013295942564307</v>
      </c>
      <c r="L108">
        <f t="shared" si="11"/>
        <v>-0.59159219234957439</v>
      </c>
    </row>
    <row r="109" spans="1:12" x14ac:dyDescent="0.3">
      <c r="A109">
        <v>5.63</v>
      </c>
      <c r="B109">
        <f t="shared" si="7"/>
        <v>1126</v>
      </c>
      <c r="C109">
        <v>0.496</v>
      </c>
      <c r="D109" s="1">
        <v>2.266308106482029E-2</v>
      </c>
      <c r="E109">
        <f t="shared" si="8"/>
        <v>1126</v>
      </c>
      <c r="F109">
        <f t="shared" si="9"/>
        <v>1.8163081064820289E-2</v>
      </c>
      <c r="I109">
        <f t="shared" si="6"/>
        <v>0.62359314639493824</v>
      </c>
      <c r="K109">
        <f t="shared" si="10"/>
        <v>0.63260203460308906</v>
      </c>
      <c r="L109">
        <f t="shared" si="11"/>
        <v>-0.5891231171721284</v>
      </c>
    </row>
    <row r="110" spans="1:12" x14ac:dyDescent="0.3">
      <c r="A110">
        <v>5.69</v>
      </c>
      <c r="B110">
        <f t="shared" si="7"/>
        <v>1138</v>
      </c>
      <c r="C110">
        <v>0.49399999999999999</v>
      </c>
      <c r="D110" s="1">
        <v>2.2642260417342186E-2</v>
      </c>
      <c r="E110">
        <f t="shared" si="8"/>
        <v>1138</v>
      </c>
      <c r="F110">
        <f t="shared" si="9"/>
        <v>1.8142260417342185E-2</v>
      </c>
      <c r="I110">
        <f t="shared" si="6"/>
        <v>0.62283446177467705</v>
      </c>
      <c r="K110">
        <f t="shared" si="10"/>
        <v>0.63179673842084405</v>
      </c>
      <c r="L110">
        <f t="shared" si="11"/>
        <v>-0.5899284133543734</v>
      </c>
    </row>
    <row r="111" spans="1:12" x14ac:dyDescent="0.3">
      <c r="A111">
        <v>5.74</v>
      </c>
      <c r="B111">
        <f t="shared" si="7"/>
        <v>1148</v>
      </c>
      <c r="C111">
        <v>0.49199999999999999</v>
      </c>
      <c r="D111" s="1">
        <v>2.1456046029925346E-2</v>
      </c>
      <c r="E111">
        <f t="shared" si="8"/>
        <v>1148</v>
      </c>
      <c r="F111">
        <f t="shared" si="9"/>
        <v>1.6956046029925346E-2</v>
      </c>
      <c r="I111">
        <f t="shared" si="6"/>
        <v>0.61515770421177152</v>
      </c>
      <c r="K111">
        <f t="shared" si="10"/>
        <v>0.62350007885849479</v>
      </c>
      <c r="L111">
        <f t="shared" si="11"/>
        <v>-0.59822507291672267</v>
      </c>
    </row>
    <row r="112" spans="1:12" x14ac:dyDescent="0.3">
      <c r="A112">
        <v>5.79</v>
      </c>
      <c r="B112">
        <f t="shared" si="7"/>
        <v>1158</v>
      </c>
      <c r="C112">
        <v>0.49</v>
      </c>
      <c r="D112" s="1">
        <v>2.2721694782376289E-2</v>
      </c>
      <c r="E112">
        <f t="shared" si="8"/>
        <v>1158</v>
      </c>
      <c r="F112">
        <f t="shared" si="9"/>
        <v>1.8221694782376289E-2</v>
      </c>
      <c r="I112">
        <f t="shared" si="6"/>
        <v>0.62155861278995872</v>
      </c>
      <c r="K112">
        <f t="shared" si="10"/>
        <v>0.63048724323332306</v>
      </c>
      <c r="L112">
        <f t="shared" si="11"/>
        <v>-0.5912379085418944</v>
      </c>
    </row>
    <row r="113" spans="1:12" x14ac:dyDescent="0.3">
      <c r="A113">
        <v>5.84</v>
      </c>
      <c r="B113">
        <f t="shared" si="7"/>
        <v>1168</v>
      </c>
      <c r="C113">
        <v>0.48799999999999999</v>
      </c>
      <c r="D113" s="1">
        <v>2.2836271673440933E-2</v>
      </c>
      <c r="E113">
        <f t="shared" si="8"/>
        <v>1168</v>
      </c>
      <c r="F113">
        <f t="shared" si="9"/>
        <v>1.8336271673440933E-2</v>
      </c>
      <c r="I113">
        <f t="shared" si="6"/>
        <v>0.62136382657289502</v>
      </c>
      <c r="K113">
        <f t="shared" si="10"/>
        <v>0.63031192714953421</v>
      </c>
      <c r="L113">
        <f t="shared" si="11"/>
        <v>-0.59141322462568324</v>
      </c>
    </row>
    <row r="114" spans="1:12" x14ac:dyDescent="0.3">
      <c r="A114">
        <v>5.9</v>
      </c>
      <c r="B114">
        <f t="shared" si="7"/>
        <v>1180</v>
      </c>
      <c r="C114">
        <v>0.48499999999999999</v>
      </c>
      <c r="D114" s="1">
        <v>2.2560978308320045E-2</v>
      </c>
      <c r="E114">
        <f t="shared" si="8"/>
        <v>1180</v>
      </c>
      <c r="F114">
        <f t="shared" si="9"/>
        <v>1.8060978308320045E-2</v>
      </c>
      <c r="I114">
        <f t="shared" si="6"/>
        <v>0.61810977201908823</v>
      </c>
      <c r="K114">
        <f t="shared" si="10"/>
        <v>0.62686934649862347</v>
      </c>
      <c r="L114">
        <f t="shared" si="11"/>
        <v>-0.59485580527659399</v>
      </c>
    </row>
    <row r="115" spans="1:12" x14ac:dyDescent="0.3">
      <c r="A115">
        <v>5.95</v>
      </c>
      <c r="B115">
        <f t="shared" si="7"/>
        <v>1190</v>
      </c>
      <c r="C115">
        <v>0.48299999999999998</v>
      </c>
      <c r="D115" s="1">
        <v>2.2831900045275688E-2</v>
      </c>
      <c r="E115">
        <f t="shared" si="8"/>
        <v>1190</v>
      </c>
      <c r="F115">
        <f t="shared" si="9"/>
        <v>1.8331900045275688E-2</v>
      </c>
      <c r="I115">
        <f t="shared" si="6"/>
        <v>0.61884980526939037</v>
      </c>
      <c r="K115">
        <f t="shared" si="10"/>
        <v>0.6277041129912585</v>
      </c>
      <c r="L115">
        <f t="shared" si="11"/>
        <v>-0.59402103878395895</v>
      </c>
    </row>
    <row r="116" spans="1:12" x14ac:dyDescent="0.3">
      <c r="A116">
        <v>6</v>
      </c>
      <c r="B116">
        <f t="shared" si="7"/>
        <v>1200</v>
      </c>
      <c r="C116">
        <v>0.48099999999999998</v>
      </c>
      <c r="D116" s="1">
        <v>2.2245129570364952E-2</v>
      </c>
      <c r="E116">
        <f t="shared" si="8"/>
        <v>1200</v>
      </c>
      <c r="F116">
        <f t="shared" si="9"/>
        <v>1.7745129570364952E-2</v>
      </c>
      <c r="I116">
        <f t="shared" si="6"/>
        <v>0.6144707774221897</v>
      </c>
      <c r="K116">
        <f t="shared" si="10"/>
        <v>0.62300618474553526</v>
      </c>
      <c r="L116">
        <f t="shared" si="11"/>
        <v>-0.59871896702968219</v>
      </c>
    </row>
    <row r="117" spans="1:12" x14ac:dyDescent="0.3">
      <c r="A117">
        <v>6.05</v>
      </c>
      <c r="B117">
        <f t="shared" si="7"/>
        <v>1210</v>
      </c>
      <c r="C117">
        <v>0.47899999999999998</v>
      </c>
      <c r="D117" s="1">
        <v>2.2771291434764862E-2</v>
      </c>
      <c r="E117">
        <f t="shared" si="8"/>
        <v>1210</v>
      </c>
      <c r="F117">
        <f t="shared" si="9"/>
        <v>1.8271291434764862E-2</v>
      </c>
      <c r="I117">
        <f t="shared" si="6"/>
        <v>0.61676631318032737</v>
      </c>
      <c r="K117">
        <f t="shared" si="10"/>
        <v>0.62551826177757974</v>
      </c>
      <c r="L117">
        <f t="shared" si="11"/>
        <v>-0.59620688999763771</v>
      </c>
    </row>
    <row r="118" spans="1:12" x14ac:dyDescent="0.3">
      <c r="A118">
        <v>6.11</v>
      </c>
      <c r="B118">
        <f t="shared" si="7"/>
        <v>1222</v>
      </c>
      <c r="C118">
        <v>0.47699999999999998</v>
      </c>
      <c r="D118" s="1">
        <v>2.2821690887212753E-2</v>
      </c>
      <c r="E118">
        <f t="shared" si="8"/>
        <v>1222</v>
      </c>
      <c r="F118">
        <f t="shared" si="9"/>
        <v>1.8321690887212753E-2</v>
      </c>
      <c r="I118">
        <f t="shared" si="6"/>
        <v>0.61644053132086984</v>
      </c>
      <c r="K118">
        <f t="shared" si="10"/>
        <v>0.62517997787407031</v>
      </c>
      <c r="L118">
        <f t="shared" si="11"/>
        <v>-0.59654517390114714</v>
      </c>
    </row>
    <row r="119" spans="1:12" x14ac:dyDescent="0.3">
      <c r="A119">
        <v>6.16</v>
      </c>
      <c r="B119">
        <f t="shared" si="7"/>
        <v>1232</v>
      </c>
      <c r="C119">
        <v>0.47399999999999998</v>
      </c>
      <c r="D119" s="1">
        <v>2.2332519292831421E-2</v>
      </c>
      <c r="E119">
        <f t="shared" si="8"/>
        <v>1232</v>
      </c>
      <c r="F119">
        <f t="shared" si="9"/>
        <v>1.783251929283142E-2</v>
      </c>
      <c r="I119">
        <f t="shared" si="6"/>
        <v>0.61156831884384155</v>
      </c>
      <c r="K119">
        <f t="shared" si="10"/>
        <v>0.62002093298864369</v>
      </c>
      <c r="L119">
        <f t="shared" si="11"/>
        <v>-0.60170421878657376</v>
      </c>
    </row>
    <row r="120" spans="1:12" x14ac:dyDescent="0.3">
      <c r="A120">
        <v>6.21</v>
      </c>
      <c r="B120">
        <f t="shared" si="7"/>
        <v>1242</v>
      </c>
      <c r="C120">
        <v>0.47299999999999998</v>
      </c>
      <c r="D120" s="1">
        <v>2.3083848878741264E-2</v>
      </c>
      <c r="E120">
        <f t="shared" si="8"/>
        <v>1242</v>
      </c>
      <c r="F120">
        <f t="shared" si="9"/>
        <v>1.8583848878741264E-2</v>
      </c>
      <c r="I120">
        <f t="shared" si="6"/>
        <v>0.61635070153698324</v>
      </c>
      <c r="K120">
        <f t="shared" si="10"/>
        <v>0.62514086205662789</v>
      </c>
      <c r="L120">
        <f t="shared" si="11"/>
        <v>-0.59658428971858957</v>
      </c>
    </row>
    <row r="121" spans="1:12" x14ac:dyDescent="0.3">
      <c r="A121">
        <v>6.27</v>
      </c>
      <c r="B121">
        <f t="shared" si="7"/>
        <v>1254</v>
      </c>
      <c r="C121">
        <v>0.47</v>
      </c>
      <c r="D121" s="1">
        <v>2.2485846653580666E-2</v>
      </c>
      <c r="E121">
        <f t="shared" si="8"/>
        <v>1254</v>
      </c>
      <c r="F121">
        <f t="shared" si="9"/>
        <v>1.7985846653580665E-2</v>
      </c>
      <c r="I121">
        <f t="shared" si="6"/>
        <v>0.61098625851795074</v>
      </c>
      <c r="K121">
        <f t="shared" si="10"/>
        <v>0.61943960644513363</v>
      </c>
      <c r="L121">
        <f t="shared" si="11"/>
        <v>-0.60228554533008383</v>
      </c>
    </row>
    <row r="122" spans="1:12" x14ac:dyDescent="0.3">
      <c r="A122">
        <v>6.32</v>
      </c>
      <c r="B122">
        <f t="shared" si="7"/>
        <v>1264</v>
      </c>
      <c r="C122">
        <v>0.46800000000000003</v>
      </c>
      <c r="D122" s="1">
        <v>2.3159187287092209E-2</v>
      </c>
      <c r="E122">
        <f t="shared" si="8"/>
        <v>1264</v>
      </c>
      <c r="F122">
        <f t="shared" si="9"/>
        <v>1.8659187287092208E-2</v>
      </c>
      <c r="I122">
        <f t="shared" si="6"/>
        <v>0.61436606365442281</v>
      </c>
      <c r="K122">
        <f t="shared" si="10"/>
        <v>0.62309856330478197</v>
      </c>
      <c r="L122">
        <f t="shared" si="11"/>
        <v>-0.59862658847043548</v>
      </c>
    </row>
    <row r="123" spans="1:12" x14ac:dyDescent="0.3">
      <c r="A123">
        <v>6.37</v>
      </c>
      <c r="B123">
        <f t="shared" si="7"/>
        <v>1274</v>
      </c>
      <c r="C123">
        <v>0.46600000000000003</v>
      </c>
      <c r="D123" s="1">
        <v>2.3081380873918533E-2</v>
      </c>
      <c r="E123">
        <f t="shared" si="8"/>
        <v>1274</v>
      </c>
      <c r="F123">
        <f t="shared" si="9"/>
        <v>1.8581380873918533E-2</v>
      </c>
      <c r="I123">
        <f t="shared" si="6"/>
        <v>0.61302839616686111</v>
      </c>
      <c r="K123">
        <f t="shared" si="10"/>
        <v>0.62168731965410717</v>
      </c>
      <c r="L123">
        <f t="shared" si="11"/>
        <v>-0.60003783212111028</v>
      </c>
    </row>
    <row r="124" spans="1:12" x14ac:dyDescent="0.3">
      <c r="A124">
        <v>6.42</v>
      </c>
      <c r="B124">
        <f t="shared" si="7"/>
        <v>1284</v>
      </c>
      <c r="C124">
        <v>0.46400000000000002</v>
      </c>
      <c r="D124" s="1">
        <v>2.2287413477897644E-2</v>
      </c>
      <c r="E124">
        <f t="shared" si="8"/>
        <v>1284</v>
      </c>
      <c r="F124">
        <f t="shared" si="9"/>
        <v>1.7787413477897644E-2</v>
      </c>
      <c r="I124">
        <f t="shared" si="6"/>
        <v>0.60708519452810283</v>
      </c>
      <c r="K124">
        <f t="shared" si="10"/>
        <v>0.61533855438184737</v>
      </c>
      <c r="L124">
        <f t="shared" si="11"/>
        <v>-0.60638659739337009</v>
      </c>
    </row>
    <row r="125" spans="1:12" x14ac:dyDescent="0.3">
      <c r="A125">
        <v>6.47</v>
      </c>
      <c r="B125">
        <f t="shared" si="7"/>
        <v>1294</v>
      </c>
      <c r="C125">
        <v>0.46200000000000002</v>
      </c>
      <c r="D125" s="1">
        <v>2.303110808134079E-2</v>
      </c>
      <c r="E125">
        <f t="shared" si="8"/>
        <v>1294</v>
      </c>
      <c r="F125">
        <f t="shared" si="9"/>
        <v>1.8531108081340789E-2</v>
      </c>
      <c r="I125">
        <f t="shared" si="6"/>
        <v>0.61101126928627492</v>
      </c>
      <c r="K125">
        <f t="shared" si="10"/>
        <v>0.61957264121985434</v>
      </c>
      <c r="L125">
        <f t="shared" si="11"/>
        <v>-0.60215251055536312</v>
      </c>
    </row>
    <row r="126" spans="1:12" x14ac:dyDescent="0.3">
      <c r="A126">
        <v>6.53</v>
      </c>
      <c r="B126">
        <f t="shared" si="7"/>
        <v>1306</v>
      </c>
      <c r="C126">
        <v>0.46</v>
      </c>
      <c r="D126" s="1">
        <v>2.348831482231617E-2</v>
      </c>
      <c r="E126">
        <f t="shared" si="8"/>
        <v>1306</v>
      </c>
      <c r="F126">
        <f t="shared" si="9"/>
        <v>1.8988314822316169E-2</v>
      </c>
      <c r="I126">
        <f t="shared" si="6"/>
        <v>0.61337869578972459</v>
      </c>
      <c r="K126">
        <f t="shared" si="10"/>
        <v>0.62211332060799007</v>
      </c>
      <c r="L126">
        <f t="shared" si="11"/>
        <v>-0.59961183116722738</v>
      </c>
    </row>
    <row r="127" spans="1:12" x14ac:dyDescent="0.3">
      <c r="A127">
        <v>6.58</v>
      </c>
      <c r="B127">
        <f t="shared" si="7"/>
        <v>1316</v>
      </c>
      <c r="C127">
        <v>0.45800000000000002</v>
      </c>
      <c r="D127" s="1">
        <v>2.2629233077168465E-2</v>
      </c>
      <c r="E127">
        <f t="shared" si="8"/>
        <v>1316</v>
      </c>
      <c r="F127">
        <f t="shared" si="9"/>
        <v>1.8129233077168464E-2</v>
      </c>
      <c r="I127">
        <f t="shared" si="6"/>
        <v>0.60690035364776851</v>
      </c>
      <c r="K127">
        <f t="shared" si="10"/>
        <v>0.61520354239711161</v>
      </c>
      <c r="L127">
        <f t="shared" si="11"/>
        <v>-0.60652160937810584</v>
      </c>
    </row>
    <row r="128" spans="1:12" x14ac:dyDescent="0.3">
      <c r="A128">
        <v>6.63</v>
      </c>
      <c r="B128">
        <f t="shared" si="7"/>
        <v>1326</v>
      </c>
      <c r="C128">
        <v>0.45500000000000002</v>
      </c>
      <c r="D128" s="1">
        <v>2.3756466805934906E-2</v>
      </c>
      <c r="E128">
        <f t="shared" si="8"/>
        <v>1326</v>
      </c>
      <c r="F128">
        <f t="shared" si="9"/>
        <v>1.9256466805934905E-2</v>
      </c>
      <c r="I128">
        <f t="shared" si="6"/>
        <v>0.61250537492334844</v>
      </c>
      <c r="K128">
        <f t="shared" si="10"/>
        <v>0.62126706732004888</v>
      </c>
      <c r="L128">
        <f t="shared" si="11"/>
        <v>-0.60045808445516857</v>
      </c>
    </row>
    <row r="129" spans="1:12" x14ac:dyDescent="0.3">
      <c r="A129">
        <v>6.68</v>
      </c>
      <c r="B129">
        <f t="shared" si="7"/>
        <v>1336</v>
      </c>
      <c r="C129">
        <v>0.45300000000000001</v>
      </c>
      <c r="D129" s="1">
        <v>2.2980403155088425E-2</v>
      </c>
      <c r="E129">
        <f t="shared" si="8"/>
        <v>1336</v>
      </c>
      <c r="F129">
        <f t="shared" si="9"/>
        <v>1.8480403155088424E-2</v>
      </c>
      <c r="I129">
        <f t="shared" si="6"/>
        <v>0.60650909307599066</v>
      </c>
      <c r="K129">
        <f t="shared" si="10"/>
        <v>0.61488071570524572</v>
      </c>
      <c r="L129">
        <f t="shared" si="11"/>
        <v>-0.60684443606997174</v>
      </c>
    </row>
    <row r="130" spans="1:12" x14ac:dyDescent="0.3">
      <c r="A130">
        <v>6.73</v>
      </c>
      <c r="B130">
        <f t="shared" si="7"/>
        <v>1346</v>
      </c>
      <c r="C130">
        <v>0.45100000000000001</v>
      </c>
      <c r="D130" s="1">
        <v>2.2842656821012497E-2</v>
      </c>
      <c r="E130">
        <f t="shared" si="8"/>
        <v>1346</v>
      </c>
      <c r="F130">
        <f t="shared" si="9"/>
        <v>1.8342656821012496E-2</v>
      </c>
      <c r="I130">
        <f t="shared" ref="I130:I193" si="12">C130+(D130*A130)</f>
        <v>0.60473108040541412</v>
      </c>
      <c r="K130">
        <f t="shared" si="10"/>
        <v>0.61300361863169073</v>
      </c>
      <c r="L130">
        <f t="shared" si="11"/>
        <v>-0.60872153314352673</v>
      </c>
    </row>
    <row r="131" spans="1:12" x14ac:dyDescent="0.3">
      <c r="A131">
        <v>6.78</v>
      </c>
      <c r="B131">
        <f t="shared" ref="B131:B194" si="13">A131*200</f>
        <v>1356</v>
      </c>
      <c r="C131">
        <v>0.44900000000000001</v>
      </c>
      <c r="D131" s="1">
        <v>2.3348214104771614E-2</v>
      </c>
      <c r="E131">
        <f t="shared" ref="E131:E194" si="14">B131</f>
        <v>1356</v>
      </c>
      <c r="F131">
        <f t="shared" ref="F131:F194" si="15">D131-0.0045</f>
        <v>1.8848214104771614E-2</v>
      </c>
      <c r="I131">
        <f t="shared" si="12"/>
        <v>0.6073008916303515</v>
      </c>
      <c r="K131">
        <f t="shared" ref="K131:K194" si="16">I131+(F131*C131)</f>
        <v>0.61576373976339394</v>
      </c>
      <c r="L131">
        <f t="shared" ref="L131:L194" si="17">K131-$I$1</f>
        <v>-0.60596141201182352</v>
      </c>
    </row>
    <row r="132" spans="1:12" x14ac:dyDescent="0.3">
      <c r="A132">
        <v>6.83</v>
      </c>
      <c r="B132">
        <f t="shared" si="13"/>
        <v>1366</v>
      </c>
      <c r="C132">
        <v>0.44700000000000001</v>
      </c>
      <c r="D132" s="1">
        <v>2.255835197865963E-2</v>
      </c>
      <c r="E132">
        <f t="shared" si="14"/>
        <v>1366</v>
      </c>
      <c r="F132">
        <f t="shared" si="15"/>
        <v>1.8058351978659629E-2</v>
      </c>
      <c r="I132">
        <f t="shared" si="12"/>
        <v>0.60107354401424529</v>
      </c>
      <c r="K132">
        <f t="shared" si="16"/>
        <v>0.60914562734870614</v>
      </c>
      <c r="L132">
        <f t="shared" si="17"/>
        <v>-0.61257952442651131</v>
      </c>
    </row>
    <row r="133" spans="1:12" x14ac:dyDescent="0.3">
      <c r="A133">
        <v>6.88</v>
      </c>
      <c r="B133">
        <f t="shared" si="13"/>
        <v>1376</v>
      </c>
      <c r="C133">
        <v>0.44500000000000001</v>
      </c>
      <c r="D133" s="1">
        <v>2.3122401908040047E-2</v>
      </c>
      <c r="E133">
        <f t="shared" si="14"/>
        <v>1376</v>
      </c>
      <c r="F133">
        <f t="shared" si="15"/>
        <v>1.8622401908040046E-2</v>
      </c>
      <c r="I133">
        <f t="shared" si="12"/>
        <v>0.60408212512731552</v>
      </c>
      <c r="K133">
        <f t="shared" si="16"/>
        <v>0.61236909397639339</v>
      </c>
      <c r="L133">
        <f t="shared" si="17"/>
        <v>-0.60935605779882407</v>
      </c>
    </row>
    <row r="134" spans="1:12" x14ac:dyDescent="0.3">
      <c r="A134">
        <v>6.94</v>
      </c>
      <c r="B134">
        <f t="shared" si="13"/>
        <v>1388</v>
      </c>
      <c r="C134">
        <v>0.443</v>
      </c>
      <c r="D134" s="1">
        <v>2.2912666201591492E-2</v>
      </c>
      <c r="E134">
        <f t="shared" si="14"/>
        <v>1388</v>
      </c>
      <c r="F134">
        <f t="shared" si="15"/>
        <v>1.8412666201591491E-2</v>
      </c>
      <c r="I134">
        <f t="shared" si="12"/>
        <v>0.60201390343904493</v>
      </c>
      <c r="K134">
        <f t="shared" si="16"/>
        <v>0.61017071456634997</v>
      </c>
      <c r="L134">
        <f t="shared" si="17"/>
        <v>-0.61155443720886749</v>
      </c>
    </row>
    <row r="135" spans="1:12" x14ac:dyDescent="0.3">
      <c r="A135">
        <v>6.99</v>
      </c>
      <c r="B135">
        <f t="shared" si="13"/>
        <v>1398</v>
      </c>
      <c r="C135">
        <v>0.441</v>
      </c>
      <c r="D135" s="1">
        <v>2.3176034912467003E-2</v>
      </c>
      <c r="E135">
        <f t="shared" si="14"/>
        <v>1398</v>
      </c>
      <c r="F135">
        <f t="shared" si="15"/>
        <v>1.8676034912467002E-2</v>
      </c>
      <c r="I135">
        <f t="shared" si="12"/>
        <v>0.60300048403814432</v>
      </c>
      <c r="K135">
        <f t="shared" si="16"/>
        <v>0.61123661543454222</v>
      </c>
      <c r="L135">
        <f t="shared" si="17"/>
        <v>-0.61048853634067524</v>
      </c>
    </row>
    <row r="136" spans="1:12" x14ac:dyDescent="0.3">
      <c r="A136">
        <v>7.04</v>
      </c>
      <c r="B136">
        <f t="shared" si="13"/>
        <v>1408</v>
      </c>
      <c r="C136">
        <v>0.439</v>
      </c>
      <c r="D136" s="1">
        <v>2.2925321012735367E-2</v>
      </c>
      <c r="E136">
        <f t="shared" si="14"/>
        <v>1408</v>
      </c>
      <c r="F136">
        <f t="shared" si="15"/>
        <v>1.8425321012735366E-2</v>
      </c>
      <c r="I136">
        <f t="shared" si="12"/>
        <v>0.600394259929657</v>
      </c>
      <c r="K136">
        <f t="shared" si="16"/>
        <v>0.60848297585424782</v>
      </c>
      <c r="L136">
        <f t="shared" si="17"/>
        <v>-0.61324217592096963</v>
      </c>
    </row>
    <row r="137" spans="1:12" x14ac:dyDescent="0.3">
      <c r="A137">
        <v>7.09</v>
      </c>
      <c r="B137">
        <f t="shared" si="13"/>
        <v>1418</v>
      </c>
      <c r="C137">
        <v>0.437</v>
      </c>
      <c r="D137" s="1">
        <v>2.3279450833797455E-2</v>
      </c>
      <c r="E137">
        <f t="shared" si="14"/>
        <v>1418</v>
      </c>
      <c r="F137">
        <f t="shared" si="15"/>
        <v>1.8779450833797454E-2</v>
      </c>
      <c r="I137">
        <f t="shared" si="12"/>
        <v>0.60205130641162397</v>
      </c>
      <c r="K137">
        <f t="shared" si="16"/>
        <v>0.61025792642599341</v>
      </c>
      <c r="L137">
        <f t="shared" si="17"/>
        <v>-0.61146722534922404</v>
      </c>
    </row>
    <row r="138" spans="1:12" x14ac:dyDescent="0.3">
      <c r="A138">
        <v>7.15</v>
      </c>
      <c r="B138">
        <f t="shared" si="13"/>
        <v>1430</v>
      </c>
      <c r="C138">
        <v>0.434</v>
      </c>
      <c r="D138" s="1">
        <v>2.3136518895626068E-2</v>
      </c>
      <c r="E138">
        <f t="shared" si="14"/>
        <v>1430</v>
      </c>
      <c r="F138">
        <f t="shared" si="15"/>
        <v>1.8636518895626068E-2</v>
      </c>
      <c r="I138">
        <f t="shared" si="12"/>
        <v>0.59942611010372637</v>
      </c>
      <c r="K138">
        <f t="shared" si="16"/>
        <v>0.6075143593044281</v>
      </c>
      <c r="L138">
        <f t="shared" si="17"/>
        <v>-0.61421079247078936</v>
      </c>
    </row>
    <row r="139" spans="1:12" x14ac:dyDescent="0.3">
      <c r="A139">
        <v>7.2</v>
      </c>
      <c r="B139">
        <f t="shared" si="13"/>
        <v>1440</v>
      </c>
      <c r="C139">
        <v>0.432</v>
      </c>
      <c r="D139" s="1">
        <v>2.3596091195940971E-2</v>
      </c>
      <c r="E139">
        <f t="shared" si="14"/>
        <v>1440</v>
      </c>
      <c r="F139">
        <f t="shared" si="15"/>
        <v>1.9096091195940971E-2</v>
      </c>
      <c r="I139">
        <f t="shared" si="12"/>
        <v>0.60189185661077493</v>
      </c>
      <c r="K139">
        <f t="shared" si="16"/>
        <v>0.61014136800742147</v>
      </c>
      <c r="L139">
        <f t="shared" si="17"/>
        <v>-0.61158378376779599</v>
      </c>
    </row>
    <row r="140" spans="1:12" x14ac:dyDescent="0.3">
      <c r="A140">
        <v>7.25</v>
      </c>
      <c r="B140">
        <f t="shared" si="13"/>
        <v>1450</v>
      </c>
      <c r="C140">
        <v>0.43</v>
      </c>
      <c r="D140" s="1">
        <v>2.3165538907051086E-2</v>
      </c>
      <c r="E140">
        <f t="shared" si="14"/>
        <v>1450</v>
      </c>
      <c r="F140">
        <f t="shared" si="15"/>
        <v>1.8665538907051086E-2</v>
      </c>
      <c r="I140">
        <f t="shared" si="12"/>
        <v>0.59795015707612031</v>
      </c>
      <c r="K140">
        <f t="shared" si="16"/>
        <v>0.60597633880615231</v>
      </c>
      <c r="L140">
        <f t="shared" si="17"/>
        <v>-0.61574881296906514</v>
      </c>
    </row>
    <row r="141" spans="1:12" x14ac:dyDescent="0.3">
      <c r="A141">
        <v>7.31</v>
      </c>
      <c r="B141">
        <f t="shared" si="13"/>
        <v>1462</v>
      </c>
      <c r="C141">
        <v>0.42799999999999999</v>
      </c>
      <c r="D141" s="1">
        <v>2.4038000032305717E-2</v>
      </c>
      <c r="E141">
        <f t="shared" si="14"/>
        <v>1462</v>
      </c>
      <c r="F141">
        <f t="shared" si="15"/>
        <v>1.9538000032305717E-2</v>
      </c>
      <c r="I141">
        <f t="shared" si="12"/>
        <v>0.60371778023615474</v>
      </c>
      <c r="K141">
        <f t="shared" si="16"/>
        <v>0.61208004424998164</v>
      </c>
      <c r="L141">
        <f t="shared" si="17"/>
        <v>-0.60964510752523582</v>
      </c>
    </row>
    <row r="142" spans="1:12" x14ac:dyDescent="0.3">
      <c r="A142">
        <v>7.36</v>
      </c>
      <c r="B142">
        <f t="shared" si="13"/>
        <v>1472</v>
      </c>
      <c r="C142">
        <v>0.42599999999999999</v>
      </c>
      <c r="D142" s="1">
        <v>2.2874869406223297E-2</v>
      </c>
      <c r="E142">
        <f t="shared" si="14"/>
        <v>1472</v>
      </c>
      <c r="F142">
        <f t="shared" si="15"/>
        <v>1.8374869406223297E-2</v>
      </c>
      <c r="I142">
        <f t="shared" si="12"/>
        <v>0.59435903882980345</v>
      </c>
      <c r="K142">
        <f t="shared" si="16"/>
        <v>0.60218673319685456</v>
      </c>
      <c r="L142">
        <f t="shared" si="17"/>
        <v>-0.61953841857836289</v>
      </c>
    </row>
    <row r="143" spans="1:12" x14ac:dyDescent="0.3">
      <c r="A143">
        <v>7.41</v>
      </c>
      <c r="B143">
        <f t="shared" si="13"/>
        <v>1482</v>
      </c>
      <c r="C143">
        <v>0.42399999999999999</v>
      </c>
      <c r="D143" s="1">
        <v>2.321753092110157E-2</v>
      </c>
      <c r="E143">
        <f t="shared" si="14"/>
        <v>1482</v>
      </c>
      <c r="F143">
        <f t="shared" si="15"/>
        <v>1.871753092110157E-2</v>
      </c>
      <c r="I143">
        <f t="shared" si="12"/>
        <v>0.59604190412536262</v>
      </c>
      <c r="K143">
        <f t="shared" si="16"/>
        <v>0.60397813723590965</v>
      </c>
      <c r="L143">
        <f t="shared" si="17"/>
        <v>-0.6177470145393078</v>
      </c>
    </row>
    <row r="144" spans="1:12" x14ac:dyDescent="0.3">
      <c r="A144">
        <v>7.46</v>
      </c>
      <c r="B144">
        <f t="shared" si="13"/>
        <v>1492</v>
      </c>
      <c r="C144">
        <v>0.42199999999999999</v>
      </c>
      <c r="D144" s="1">
        <v>2.3349830880761147E-2</v>
      </c>
      <c r="E144">
        <f t="shared" si="14"/>
        <v>1492</v>
      </c>
      <c r="F144">
        <f t="shared" si="15"/>
        <v>1.8849830880761146E-2</v>
      </c>
      <c r="I144">
        <f t="shared" si="12"/>
        <v>0.59618973837047817</v>
      </c>
      <c r="K144">
        <f t="shared" si="16"/>
        <v>0.60414436700215934</v>
      </c>
      <c r="L144">
        <f t="shared" si="17"/>
        <v>-0.61758078477305811</v>
      </c>
    </row>
    <row r="145" spans="1:12" x14ac:dyDescent="0.3">
      <c r="A145">
        <v>7.52</v>
      </c>
      <c r="B145">
        <f t="shared" si="13"/>
        <v>1504</v>
      </c>
      <c r="C145">
        <v>0.42</v>
      </c>
      <c r="D145" s="1">
        <v>2.3089613765478134E-2</v>
      </c>
      <c r="E145">
        <f t="shared" si="14"/>
        <v>1504</v>
      </c>
      <c r="F145">
        <f t="shared" si="15"/>
        <v>1.8589613765478134E-2</v>
      </c>
      <c r="I145">
        <f t="shared" si="12"/>
        <v>0.59363389551639556</v>
      </c>
      <c r="K145">
        <f t="shared" si="16"/>
        <v>0.6014415332978964</v>
      </c>
      <c r="L145">
        <f t="shared" si="17"/>
        <v>-0.62028361847732105</v>
      </c>
    </row>
    <row r="146" spans="1:12" x14ac:dyDescent="0.3">
      <c r="A146">
        <v>7.57</v>
      </c>
      <c r="B146">
        <f t="shared" si="13"/>
        <v>1514</v>
      </c>
      <c r="C146">
        <v>0.41799999999999998</v>
      </c>
      <c r="D146" s="1">
        <v>2.4445373564958572E-2</v>
      </c>
      <c r="E146">
        <f t="shared" si="14"/>
        <v>1514</v>
      </c>
      <c r="F146">
        <f t="shared" si="15"/>
        <v>1.9945373564958572E-2</v>
      </c>
      <c r="I146">
        <f t="shared" si="12"/>
        <v>0.60305147788673641</v>
      </c>
      <c r="K146">
        <f t="shared" si="16"/>
        <v>0.61138864403688908</v>
      </c>
      <c r="L146">
        <f t="shared" si="17"/>
        <v>-0.61033650773832837</v>
      </c>
    </row>
    <row r="147" spans="1:12" x14ac:dyDescent="0.3">
      <c r="A147">
        <v>7.62</v>
      </c>
      <c r="B147">
        <f t="shared" si="13"/>
        <v>1524</v>
      </c>
      <c r="C147">
        <v>0.41599999999999998</v>
      </c>
      <c r="D147" s="1">
        <v>2.3071354255080223E-2</v>
      </c>
      <c r="E147">
        <f t="shared" si="14"/>
        <v>1524</v>
      </c>
      <c r="F147">
        <f t="shared" si="15"/>
        <v>1.8571354255080223E-2</v>
      </c>
      <c r="I147">
        <f t="shared" si="12"/>
        <v>0.59180371942371135</v>
      </c>
      <c r="K147">
        <f t="shared" si="16"/>
        <v>0.59952940279382472</v>
      </c>
      <c r="L147">
        <f t="shared" si="17"/>
        <v>-0.62219574898139274</v>
      </c>
    </row>
    <row r="148" spans="1:12" x14ac:dyDescent="0.3">
      <c r="A148">
        <v>7.67</v>
      </c>
      <c r="B148">
        <f t="shared" si="13"/>
        <v>1534</v>
      </c>
      <c r="C148">
        <v>0.41299999999999998</v>
      </c>
      <c r="D148" s="1">
        <v>2.3792900145053864E-2</v>
      </c>
      <c r="E148">
        <f t="shared" si="14"/>
        <v>1534</v>
      </c>
      <c r="F148">
        <f t="shared" si="15"/>
        <v>1.9292900145053863E-2</v>
      </c>
      <c r="I148">
        <f t="shared" si="12"/>
        <v>0.59549154411256311</v>
      </c>
      <c r="K148">
        <f t="shared" si="16"/>
        <v>0.60345951187247038</v>
      </c>
      <c r="L148">
        <f t="shared" si="17"/>
        <v>-0.61826563990274708</v>
      </c>
    </row>
    <row r="149" spans="1:12" x14ac:dyDescent="0.3">
      <c r="A149">
        <v>7.72</v>
      </c>
      <c r="B149">
        <f t="shared" si="13"/>
        <v>1544</v>
      </c>
      <c r="C149">
        <v>0.41099999999999998</v>
      </c>
      <c r="D149" s="1">
        <v>2.3416850715875626E-2</v>
      </c>
      <c r="E149">
        <f t="shared" si="14"/>
        <v>1544</v>
      </c>
      <c r="F149">
        <f t="shared" si="15"/>
        <v>1.8916850715875625E-2</v>
      </c>
      <c r="I149">
        <f t="shared" si="12"/>
        <v>0.5917780875265598</v>
      </c>
      <c r="K149">
        <f t="shared" si="16"/>
        <v>0.59955291317078474</v>
      </c>
      <c r="L149">
        <f t="shared" si="17"/>
        <v>-0.62217223860443271</v>
      </c>
    </row>
    <row r="150" spans="1:12" x14ac:dyDescent="0.3">
      <c r="A150">
        <v>7.77</v>
      </c>
      <c r="B150">
        <f t="shared" si="13"/>
        <v>1554</v>
      </c>
      <c r="C150">
        <v>0.40899999999999997</v>
      </c>
      <c r="D150" s="1">
        <v>2.3439330980181694E-2</v>
      </c>
      <c r="E150">
        <f t="shared" si="14"/>
        <v>1554</v>
      </c>
      <c r="F150">
        <f t="shared" si="15"/>
        <v>1.8939330980181694E-2</v>
      </c>
      <c r="I150">
        <f t="shared" si="12"/>
        <v>0.59112360171601175</v>
      </c>
      <c r="K150">
        <f t="shared" si="16"/>
        <v>0.59886978808690605</v>
      </c>
      <c r="L150">
        <f t="shared" si="17"/>
        <v>-0.6228553636883114</v>
      </c>
    </row>
    <row r="151" spans="1:12" x14ac:dyDescent="0.3">
      <c r="A151">
        <v>7.82</v>
      </c>
      <c r="B151">
        <f t="shared" si="13"/>
        <v>1564</v>
      </c>
      <c r="C151">
        <v>0.40699999999999997</v>
      </c>
      <c r="D151" s="1">
        <v>2.3617656901478767E-2</v>
      </c>
      <c r="E151">
        <f t="shared" si="14"/>
        <v>1564</v>
      </c>
      <c r="F151">
        <f t="shared" si="15"/>
        <v>1.9117656901478767E-2</v>
      </c>
      <c r="I151">
        <f t="shared" si="12"/>
        <v>0.59169007696956388</v>
      </c>
      <c r="K151">
        <f t="shared" si="16"/>
        <v>0.59947096332846572</v>
      </c>
      <c r="L151">
        <f t="shared" si="17"/>
        <v>-0.62225418844675173</v>
      </c>
    </row>
    <row r="152" spans="1:12" x14ac:dyDescent="0.3">
      <c r="A152">
        <v>7.87</v>
      </c>
      <c r="B152">
        <f t="shared" si="13"/>
        <v>1574</v>
      </c>
      <c r="C152">
        <v>0.40500000000000003</v>
      </c>
      <c r="D152" s="1">
        <v>2.4122841656208038E-2</v>
      </c>
      <c r="E152">
        <f t="shared" si="14"/>
        <v>1574</v>
      </c>
      <c r="F152">
        <f t="shared" si="15"/>
        <v>1.9622841656208038E-2</v>
      </c>
      <c r="I152">
        <f t="shared" si="12"/>
        <v>0.59484676383435731</v>
      </c>
      <c r="K152">
        <f t="shared" si="16"/>
        <v>0.60279401470512162</v>
      </c>
      <c r="L152">
        <f t="shared" si="17"/>
        <v>-0.61893113707009584</v>
      </c>
    </row>
    <row r="153" spans="1:12" x14ac:dyDescent="0.3">
      <c r="A153">
        <v>7.92</v>
      </c>
      <c r="B153">
        <f t="shared" si="13"/>
        <v>1584</v>
      </c>
      <c r="C153">
        <v>0.40300000000000002</v>
      </c>
      <c r="D153" s="1">
        <v>2.3679986596107483E-2</v>
      </c>
      <c r="E153">
        <f t="shared" si="14"/>
        <v>1584</v>
      </c>
      <c r="F153">
        <f t="shared" si="15"/>
        <v>1.9179986596107482E-2</v>
      </c>
      <c r="I153">
        <f t="shared" si="12"/>
        <v>0.59054549384117128</v>
      </c>
      <c r="K153">
        <f t="shared" si="16"/>
        <v>0.59827502843940261</v>
      </c>
      <c r="L153">
        <f t="shared" si="17"/>
        <v>-0.62345012333581484</v>
      </c>
    </row>
    <row r="154" spans="1:12" x14ac:dyDescent="0.3">
      <c r="A154">
        <v>7.98</v>
      </c>
      <c r="B154">
        <f t="shared" si="13"/>
        <v>1596</v>
      </c>
      <c r="C154">
        <v>0.40100000000000002</v>
      </c>
      <c r="D154" s="1">
        <v>2.3782368749380112E-2</v>
      </c>
      <c r="E154">
        <f t="shared" si="14"/>
        <v>1596</v>
      </c>
      <c r="F154">
        <f t="shared" si="15"/>
        <v>1.9282368749380111E-2</v>
      </c>
      <c r="I154">
        <f t="shared" si="12"/>
        <v>0.5907833026200533</v>
      </c>
      <c r="K154">
        <f t="shared" si="16"/>
        <v>0.59851553248855471</v>
      </c>
      <c r="L154">
        <f t="shared" si="17"/>
        <v>-0.62320961928666274</v>
      </c>
    </row>
    <row r="155" spans="1:12" x14ac:dyDescent="0.3">
      <c r="A155">
        <v>8.0299999999999994</v>
      </c>
      <c r="B155">
        <f t="shared" si="13"/>
        <v>1605.9999999999998</v>
      </c>
      <c r="C155">
        <v>0.39900000000000002</v>
      </c>
      <c r="D155" s="1">
        <v>2.3811902850866318E-2</v>
      </c>
      <c r="E155">
        <f t="shared" si="14"/>
        <v>1605.9999999999998</v>
      </c>
      <c r="F155">
        <f t="shared" si="15"/>
        <v>1.9311902850866317E-2</v>
      </c>
      <c r="I155">
        <f t="shared" si="12"/>
        <v>0.59020957989245648</v>
      </c>
      <c r="K155">
        <f t="shared" si="16"/>
        <v>0.59791502912995209</v>
      </c>
      <c r="L155">
        <f t="shared" si="17"/>
        <v>-0.62381012264526536</v>
      </c>
    </row>
    <row r="156" spans="1:12" x14ac:dyDescent="0.3">
      <c r="A156">
        <v>8.08</v>
      </c>
      <c r="B156">
        <f t="shared" si="13"/>
        <v>1616</v>
      </c>
      <c r="C156">
        <v>0.39700000000000002</v>
      </c>
      <c r="D156" s="1">
        <v>2.3356638848781586E-2</v>
      </c>
      <c r="E156">
        <f t="shared" si="14"/>
        <v>1616</v>
      </c>
      <c r="F156">
        <f t="shared" si="15"/>
        <v>1.8856638848781585E-2</v>
      </c>
      <c r="I156">
        <f t="shared" si="12"/>
        <v>0.58572164189815523</v>
      </c>
      <c r="K156">
        <f t="shared" si="16"/>
        <v>0.5932077275211215</v>
      </c>
      <c r="L156">
        <f t="shared" si="17"/>
        <v>-0.62851742425409596</v>
      </c>
    </row>
    <row r="157" spans="1:12" x14ac:dyDescent="0.3">
      <c r="A157">
        <v>8.1300000000000008</v>
      </c>
      <c r="B157">
        <f t="shared" si="13"/>
        <v>1626.0000000000002</v>
      </c>
      <c r="C157">
        <v>0.39500000000000002</v>
      </c>
      <c r="D157" s="1">
        <v>2.3766256868839264E-2</v>
      </c>
      <c r="E157">
        <f t="shared" si="14"/>
        <v>1626.0000000000002</v>
      </c>
      <c r="F157">
        <f t="shared" si="15"/>
        <v>1.9266256868839263E-2</v>
      </c>
      <c r="I157">
        <f t="shared" si="12"/>
        <v>0.58821966834366324</v>
      </c>
      <c r="K157">
        <f t="shared" si="16"/>
        <v>0.59582983980685478</v>
      </c>
      <c r="L157">
        <f t="shared" si="17"/>
        <v>-0.62589531196836268</v>
      </c>
    </row>
    <row r="158" spans="1:12" x14ac:dyDescent="0.3">
      <c r="A158">
        <v>8.18</v>
      </c>
      <c r="B158">
        <f t="shared" si="13"/>
        <v>1636</v>
      </c>
      <c r="C158">
        <v>0.39300000000000002</v>
      </c>
      <c r="D158" s="1">
        <v>2.3481503129005432E-2</v>
      </c>
      <c r="E158">
        <f t="shared" si="14"/>
        <v>1636</v>
      </c>
      <c r="F158">
        <f t="shared" si="15"/>
        <v>1.8981503129005432E-2</v>
      </c>
      <c r="I158">
        <f t="shared" si="12"/>
        <v>0.58507869559526449</v>
      </c>
      <c r="K158">
        <f t="shared" si="16"/>
        <v>0.59253842632496367</v>
      </c>
      <c r="L158">
        <f t="shared" si="17"/>
        <v>-0.62918672545025378</v>
      </c>
    </row>
    <row r="159" spans="1:12" x14ac:dyDescent="0.3">
      <c r="A159">
        <v>8.23</v>
      </c>
      <c r="B159">
        <f t="shared" si="13"/>
        <v>1646</v>
      </c>
      <c r="C159">
        <v>0.39</v>
      </c>
      <c r="D159" s="1">
        <v>2.421257458627224E-2</v>
      </c>
      <c r="E159">
        <f t="shared" si="14"/>
        <v>1646</v>
      </c>
      <c r="F159">
        <f t="shared" si="15"/>
        <v>1.9712574586272239E-2</v>
      </c>
      <c r="I159">
        <f t="shared" si="12"/>
        <v>0.58926948884502051</v>
      </c>
      <c r="K159">
        <f t="shared" si="16"/>
        <v>0.59695739293366668</v>
      </c>
      <c r="L159">
        <f t="shared" si="17"/>
        <v>-0.62476775884155078</v>
      </c>
    </row>
    <row r="160" spans="1:12" x14ac:dyDescent="0.3">
      <c r="A160">
        <v>8.2799999999999994</v>
      </c>
      <c r="B160">
        <f t="shared" si="13"/>
        <v>1655.9999999999998</v>
      </c>
      <c r="C160">
        <v>0.38800000000000001</v>
      </c>
      <c r="D160" s="1">
        <v>2.3381641134619713E-2</v>
      </c>
      <c r="E160">
        <f t="shared" si="14"/>
        <v>1655.9999999999998</v>
      </c>
      <c r="F160">
        <f t="shared" si="15"/>
        <v>1.8881641134619712E-2</v>
      </c>
      <c r="I160">
        <f t="shared" si="12"/>
        <v>0.58159998859465123</v>
      </c>
      <c r="K160">
        <f t="shared" si="16"/>
        <v>0.58892606535488368</v>
      </c>
      <c r="L160">
        <f t="shared" si="17"/>
        <v>-0.63279908642033378</v>
      </c>
    </row>
    <row r="161" spans="1:12" x14ac:dyDescent="0.3">
      <c r="A161">
        <v>8.34</v>
      </c>
      <c r="B161">
        <f t="shared" si="13"/>
        <v>1668</v>
      </c>
      <c r="C161">
        <v>0.38600000000000001</v>
      </c>
      <c r="D161" s="1">
        <v>2.4179680272936821E-2</v>
      </c>
      <c r="E161">
        <f t="shared" si="14"/>
        <v>1668</v>
      </c>
      <c r="F161">
        <f t="shared" si="15"/>
        <v>1.967968027293682E-2</v>
      </c>
      <c r="I161">
        <f t="shared" si="12"/>
        <v>0.58765853347629315</v>
      </c>
      <c r="K161">
        <f t="shared" si="16"/>
        <v>0.59525489006164678</v>
      </c>
      <c r="L161">
        <f t="shared" si="17"/>
        <v>-0.62647026171357068</v>
      </c>
    </row>
    <row r="162" spans="1:12" x14ac:dyDescent="0.3">
      <c r="A162">
        <v>8.39</v>
      </c>
      <c r="B162">
        <f t="shared" si="13"/>
        <v>1678</v>
      </c>
      <c r="C162">
        <v>0.38400000000000001</v>
      </c>
      <c r="D162" s="1">
        <v>2.3598005995154381E-2</v>
      </c>
      <c r="E162">
        <f t="shared" si="14"/>
        <v>1678</v>
      </c>
      <c r="F162">
        <f t="shared" si="15"/>
        <v>1.909800599515438E-2</v>
      </c>
      <c r="I162">
        <f t="shared" si="12"/>
        <v>0.58198727029934527</v>
      </c>
      <c r="K162">
        <f t="shared" si="16"/>
        <v>0.58932090460148456</v>
      </c>
      <c r="L162">
        <f t="shared" si="17"/>
        <v>-0.63240424717373289</v>
      </c>
    </row>
    <row r="163" spans="1:12" x14ac:dyDescent="0.3">
      <c r="A163">
        <v>8.44</v>
      </c>
      <c r="B163">
        <f t="shared" si="13"/>
        <v>1688</v>
      </c>
      <c r="C163">
        <v>0.38200000000000001</v>
      </c>
      <c r="D163" s="1">
        <v>2.405710332095623E-2</v>
      </c>
      <c r="E163">
        <f t="shared" si="14"/>
        <v>1688</v>
      </c>
      <c r="F163">
        <f t="shared" si="15"/>
        <v>1.955710332095623E-2</v>
      </c>
      <c r="I163">
        <f t="shared" si="12"/>
        <v>0.58504195202887055</v>
      </c>
      <c r="K163">
        <f t="shared" si="16"/>
        <v>0.59251276549747578</v>
      </c>
      <c r="L163">
        <f t="shared" si="17"/>
        <v>-0.62921238627774168</v>
      </c>
    </row>
    <row r="164" spans="1:12" x14ac:dyDescent="0.3">
      <c r="A164">
        <v>8.49</v>
      </c>
      <c r="B164">
        <f t="shared" si="13"/>
        <v>1698</v>
      </c>
      <c r="C164">
        <v>0.38</v>
      </c>
      <c r="D164" s="1">
        <v>2.362007275223732E-2</v>
      </c>
      <c r="E164">
        <f t="shared" si="14"/>
        <v>1698</v>
      </c>
      <c r="F164">
        <f t="shared" si="15"/>
        <v>1.9120072752237319E-2</v>
      </c>
      <c r="I164">
        <f t="shared" si="12"/>
        <v>0.58053441766649483</v>
      </c>
      <c r="K164">
        <f t="shared" si="16"/>
        <v>0.58780004531234498</v>
      </c>
      <c r="L164">
        <f t="shared" si="17"/>
        <v>-0.63392510646287248</v>
      </c>
    </row>
    <row r="165" spans="1:12" x14ac:dyDescent="0.3">
      <c r="A165">
        <v>8.5500000000000007</v>
      </c>
      <c r="B165">
        <f t="shared" si="13"/>
        <v>1710.0000000000002</v>
      </c>
      <c r="C165">
        <v>0.378</v>
      </c>
      <c r="D165" s="1">
        <v>2.441132627427578E-2</v>
      </c>
      <c r="E165">
        <f t="shared" si="14"/>
        <v>1710.0000000000002</v>
      </c>
      <c r="F165">
        <f t="shared" si="15"/>
        <v>1.9911326274275779E-2</v>
      </c>
      <c r="I165">
        <f t="shared" si="12"/>
        <v>0.58671683964505794</v>
      </c>
      <c r="K165">
        <f t="shared" si="16"/>
        <v>0.59424332097673416</v>
      </c>
      <c r="L165">
        <f t="shared" si="17"/>
        <v>-0.6274818307984833</v>
      </c>
    </row>
    <row r="166" spans="1:12" x14ac:dyDescent="0.3">
      <c r="A166">
        <v>8.6</v>
      </c>
      <c r="B166">
        <f t="shared" si="13"/>
        <v>1720</v>
      </c>
      <c r="C166">
        <v>0.375</v>
      </c>
      <c r="D166" s="1">
        <v>2.3775476962327957E-2</v>
      </c>
      <c r="E166">
        <f t="shared" si="14"/>
        <v>1720</v>
      </c>
      <c r="F166">
        <f t="shared" si="15"/>
        <v>1.9275476962327957E-2</v>
      </c>
      <c r="I166">
        <f t="shared" si="12"/>
        <v>0.57946910187602041</v>
      </c>
      <c r="K166">
        <f t="shared" si="16"/>
        <v>0.58669740573689344</v>
      </c>
      <c r="L166">
        <f t="shared" si="17"/>
        <v>-0.63502774603832401</v>
      </c>
    </row>
    <row r="167" spans="1:12" x14ac:dyDescent="0.3">
      <c r="A167">
        <v>8.65</v>
      </c>
      <c r="B167">
        <f t="shared" si="13"/>
        <v>1730</v>
      </c>
      <c r="C167">
        <v>0.373</v>
      </c>
      <c r="D167" s="1">
        <v>2.4246145039796829E-2</v>
      </c>
      <c r="E167">
        <f t="shared" si="14"/>
        <v>1730</v>
      </c>
      <c r="F167">
        <f t="shared" si="15"/>
        <v>1.9746145039796829E-2</v>
      </c>
      <c r="I167">
        <f t="shared" si="12"/>
        <v>0.58272915459424257</v>
      </c>
      <c r="K167">
        <f t="shared" si="16"/>
        <v>0.59009446669408683</v>
      </c>
      <c r="L167">
        <f t="shared" si="17"/>
        <v>-0.63163068508113063</v>
      </c>
    </row>
    <row r="168" spans="1:12" x14ac:dyDescent="0.3">
      <c r="A168">
        <v>8.7100000000000009</v>
      </c>
      <c r="B168">
        <f t="shared" si="13"/>
        <v>1742.0000000000002</v>
      </c>
      <c r="C168">
        <v>0.371</v>
      </c>
      <c r="D168" s="1">
        <v>2.3945005610585213E-2</v>
      </c>
      <c r="E168">
        <f t="shared" si="14"/>
        <v>1742.0000000000002</v>
      </c>
      <c r="F168">
        <f t="shared" si="15"/>
        <v>1.9445005610585212E-2</v>
      </c>
      <c r="I168">
        <f t="shared" si="12"/>
        <v>0.57956099886819723</v>
      </c>
      <c r="K168">
        <f t="shared" si="16"/>
        <v>0.58677509594972432</v>
      </c>
      <c r="L168">
        <f t="shared" si="17"/>
        <v>-0.63495005582549313</v>
      </c>
    </row>
    <row r="169" spans="1:12" x14ac:dyDescent="0.3">
      <c r="A169">
        <v>8.76</v>
      </c>
      <c r="B169">
        <f t="shared" si="13"/>
        <v>1752</v>
      </c>
      <c r="C169">
        <v>0.36899999999999999</v>
      </c>
      <c r="D169" s="1">
        <v>2.4068757891654968E-2</v>
      </c>
      <c r="E169">
        <f t="shared" si="14"/>
        <v>1752</v>
      </c>
      <c r="F169">
        <f t="shared" si="15"/>
        <v>1.9568757891654968E-2</v>
      </c>
      <c r="I169">
        <f t="shared" si="12"/>
        <v>0.57984231913089745</v>
      </c>
      <c r="K169">
        <f t="shared" si="16"/>
        <v>0.58706319079291813</v>
      </c>
      <c r="L169">
        <f t="shared" si="17"/>
        <v>-0.63466196098229932</v>
      </c>
    </row>
    <row r="170" spans="1:12" x14ac:dyDescent="0.3">
      <c r="A170">
        <v>8.81</v>
      </c>
      <c r="B170">
        <f t="shared" si="13"/>
        <v>1762</v>
      </c>
      <c r="C170">
        <v>0.36699999999999999</v>
      </c>
      <c r="D170" s="1">
        <v>2.4400951340794563E-2</v>
      </c>
      <c r="E170">
        <f t="shared" si="14"/>
        <v>1762</v>
      </c>
      <c r="F170">
        <f t="shared" si="15"/>
        <v>1.9900951340794563E-2</v>
      </c>
      <c r="I170">
        <f t="shared" si="12"/>
        <v>0.58197238131240014</v>
      </c>
      <c r="K170">
        <f t="shared" si="16"/>
        <v>0.58927603045447174</v>
      </c>
      <c r="L170">
        <f t="shared" si="17"/>
        <v>-0.63244912132074571</v>
      </c>
    </row>
    <row r="171" spans="1:12" x14ac:dyDescent="0.3">
      <c r="A171">
        <v>8.8699999999999992</v>
      </c>
      <c r="B171">
        <f t="shared" si="13"/>
        <v>1773.9999999999998</v>
      </c>
      <c r="C171">
        <v>0.36499999999999999</v>
      </c>
      <c r="D171" s="1">
        <v>2.4340275675058365E-2</v>
      </c>
      <c r="E171">
        <f t="shared" si="14"/>
        <v>1773.9999999999998</v>
      </c>
      <c r="F171">
        <f t="shared" si="15"/>
        <v>1.9840275675058364E-2</v>
      </c>
      <c r="I171">
        <f t="shared" si="12"/>
        <v>0.58089824523776767</v>
      </c>
      <c r="K171">
        <f t="shared" si="16"/>
        <v>0.58813994585916396</v>
      </c>
      <c r="L171">
        <f t="shared" si="17"/>
        <v>-0.6335852059160535</v>
      </c>
    </row>
    <row r="172" spans="1:12" x14ac:dyDescent="0.3">
      <c r="A172">
        <v>8.92</v>
      </c>
      <c r="B172">
        <f t="shared" si="13"/>
        <v>1784</v>
      </c>
      <c r="C172">
        <v>0.36199999999999999</v>
      </c>
      <c r="D172" s="1">
        <v>2.3765942081809044E-2</v>
      </c>
      <c r="E172">
        <f t="shared" si="14"/>
        <v>1784</v>
      </c>
      <c r="F172">
        <f t="shared" si="15"/>
        <v>1.9265942081809043E-2</v>
      </c>
      <c r="I172">
        <f t="shared" si="12"/>
        <v>0.57399220336973666</v>
      </c>
      <c r="K172">
        <f t="shared" si="16"/>
        <v>0.58096647440335158</v>
      </c>
      <c r="L172">
        <f t="shared" si="17"/>
        <v>-0.64075867737186587</v>
      </c>
    </row>
    <row r="173" spans="1:12" x14ac:dyDescent="0.3">
      <c r="A173">
        <v>8.9700000000000006</v>
      </c>
      <c r="B173">
        <f t="shared" si="13"/>
        <v>1794.0000000000002</v>
      </c>
      <c r="C173">
        <v>0.36099999999999999</v>
      </c>
      <c r="D173" s="1">
        <v>2.4312430992722511E-2</v>
      </c>
      <c r="E173">
        <f t="shared" si="14"/>
        <v>1794.0000000000002</v>
      </c>
      <c r="F173">
        <f t="shared" si="15"/>
        <v>1.9812430992722511E-2</v>
      </c>
      <c r="I173">
        <f t="shared" si="12"/>
        <v>0.57908250600472089</v>
      </c>
      <c r="K173">
        <f t="shared" si="16"/>
        <v>0.58623479359309372</v>
      </c>
      <c r="L173">
        <f t="shared" si="17"/>
        <v>-0.63549035818212374</v>
      </c>
    </row>
    <row r="174" spans="1:12" x14ac:dyDescent="0.3">
      <c r="A174">
        <v>9.02</v>
      </c>
      <c r="B174">
        <f t="shared" si="13"/>
        <v>1804</v>
      </c>
      <c r="C174">
        <v>0.35799999999999998</v>
      </c>
      <c r="D174" s="1">
        <v>2.4244915693998337E-2</v>
      </c>
      <c r="E174">
        <f t="shared" si="14"/>
        <v>1804</v>
      </c>
      <c r="F174">
        <f t="shared" si="15"/>
        <v>1.9744915693998336E-2</v>
      </c>
      <c r="I174">
        <f t="shared" si="12"/>
        <v>0.576689139559865</v>
      </c>
      <c r="K174">
        <f t="shared" si="16"/>
        <v>0.58375781937831639</v>
      </c>
      <c r="L174">
        <f t="shared" si="17"/>
        <v>-0.63796733239690107</v>
      </c>
    </row>
    <row r="175" spans="1:12" x14ac:dyDescent="0.3">
      <c r="A175">
        <v>9.07</v>
      </c>
      <c r="B175">
        <f t="shared" si="13"/>
        <v>1814</v>
      </c>
      <c r="C175">
        <v>0.35599999999999998</v>
      </c>
      <c r="D175" s="1">
        <v>2.4329442530870438E-2</v>
      </c>
      <c r="E175">
        <f t="shared" si="14"/>
        <v>1814</v>
      </c>
      <c r="F175">
        <f t="shared" si="15"/>
        <v>1.9829442530870437E-2</v>
      </c>
      <c r="I175">
        <f t="shared" si="12"/>
        <v>0.57666804375499492</v>
      </c>
      <c r="K175">
        <f t="shared" si="16"/>
        <v>0.58372732529598481</v>
      </c>
      <c r="L175">
        <f t="shared" si="17"/>
        <v>-0.63799782647923264</v>
      </c>
    </row>
    <row r="176" spans="1:12" x14ac:dyDescent="0.3">
      <c r="A176">
        <v>9.1199999999999992</v>
      </c>
      <c r="B176">
        <f t="shared" si="13"/>
        <v>1823.9999999999998</v>
      </c>
      <c r="C176">
        <v>0.35399999999999998</v>
      </c>
      <c r="D176" s="1">
        <v>2.4736572057008743E-2</v>
      </c>
      <c r="E176">
        <f t="shared" si="14"/>
        <v>1823.9999999999998</v>
      </c>
      <c r="F176">
        <f t="shared" si="15"/>
        <v>2.0236572057008743E-2</v>
      </c>
      <c r="I176">
        <f t="shared" si="12"/>
        <v>0.57959753715991968</v>
      </c>
      <c r="K176">
        <f t="shared" si="16"/>
        <v>0.58676128366810076</v>
      </c>
      <c r="L176">
        <f t="shared" si="17"/>
        <v>-0.63496386810711669</v>
      </c>
    </row>
    <row r="177" spans="1:12" x14ac:dyDescent="0.3">
      <c r="A177">
        <v>9.17</v>
      </c>
      <c r="B177">
        <f t="shared" si="13"/>
        <v>1834</v>
      </c>
      <c r="C177">
        <v>0.35199999999999998</v>
      </c>
      <c r="D177" s="1">
        <v>2.427547425031662E-2</v>
      </c>
      <c r="E177">
        <f t="shared" si="14"/>
        <v>1834</v>
      </c>
      <c r="F177">
        <f t="shared" si="15"/>
        <v>1.9775474250316619E-2</v>
      </c>
      <c r="I177">
        <f t="shared" si="12"/>
        <v>0.57460609887540337</v>
      </c>
      <c r="K177">
        <f t="shared" si="16"/>
        <v>0.58156706581151485</v>
      </c>
      <c r="L177">
        <f t="shared" si="17"/>
        <v>-0.64015808596370261</v>
      </c>
    </row>
    <row r="178" spans="1:12" x14ac:dyDescent="0.3">
      <c r="A178">
        <v>9.2200000000000006</v>
      </c>
      <c r="B178">
        <f t="shared" si="13"/>
        <v>1844.0000000000002</v>
      </c>
      <c r="C178">
        <v>0.35</v>
      </c>
      <c r="D178" s="1">
        <v>2.4188827723264694E-2</v>
      </c>
      <c r="E178">
        <f t="shared" si="14"/>
        <v>1844.0000000000002</v>
      </c>
      <c r="F178">
        <f t="shared" si="15"/>
        <v>1.9688827723264694E-2</v>
      </c>
      <c r="I178">
        <f t="shared" si="12"/>
        <v>0.57302099160850051</v>
      </c>
      <c r="K178">
        <f t="shared" si="16"/>
        <v>0.57991208131164318</v>
      </c>
      <c r="L178">
        <f t="shared" si="17"/>
        <v>-0.64181307046357428</v>
      </c>
    </row>
    <row r="179" spans="1:12" x14ac:dyDescent="0.3">
      <c r="A179">
        <v>9.2799999999999994</v>
      </c>
      <c r="B179">
        <f t="shared" si="13"/>
        <v>1855.9999999999998</v>
      </c>
      <c r="C179">
        <v>0.34799999999999998</v>
      </c>
      <c r="D179" s="1">
        <v>2.4591587483882904E-2</v>
      </c>
      <c r="E179">
        <f t="shared" si="14"/>
        <v>1855.9999999999998</v>
      </c>
      <c r="F179">
        <f t="shared" si="15"/>
        <v>2.0091587483882904E-2</v>
      </c>
      <c r="I179">
        <f t="shared" si="12"/>
        <v>0.57620993185043334</v>
      </c>
      <c r="K179">
        <f t="shared" si="16"/>
        <v>0.5832018042948246</v>
      </c>
      <c r="L179">
        <f t="shared" si="17"/>
        <v>-0.63852334748039286</v>
      </c>
    </row>
    <row r="180" spans="1:12" x14ac:dyDescent="0.3">
      <c r="A180">
        <v>9.33</v>
      </c>
      <c r="B180">
        <f t="shared" si="13"/>
        <v>1866</v>
      </c>
      <c r="C180">
        <v>0.34599999999999997</v>
      </c>
      <c r="D180" s="1">
        <v>2.4872282519936562E-2</v>
      </c>
      <c r="E180">
        <f t="shared" si="14"/>
        <v>1866</v>
      </c>
      <c r="F180">
        <f t="shared" si="15"/>
        <v>2.0372282519936561E-2</v>
      </c>
      <c r="I180">
        <f t="shared" si="12"/>
        <v>0.57805839591100816</v>
      </c>
      <c r="K180">
        <f t="shared" si="16"/>
        <v>0.58510720566290619</v>
      </c>
      <c r="L180">
        <f t="shared" si="17"/>
        <v>-0.63661794611231126</v>
      </c>
    </row>
    <row r="181" spans="1:12" x14ac:dyDescent="0.3">
      <c r="A181">
        <v>9.3800000000000008</v>
      </c>
      <c r="B181">
        <f t="shared" si="13"/>
        <v>1876.0000000000002</v>
      </c>
      <c r="C181">
        <v>0.34300000000000003</v>
      </c>
      <c r="D181" s="1">
        <v>2.4994742125272751E-2</v>
      </c>
      <c r="E181">
        <f t="shared" si="14"/>
        <v>1876.0000000000002</v>
      </c>
      <c r="F181">
        <f t="shared" si="15"/>
        <v>2.049474212527275E-2</v>
      </c>
      <c r="I181">
        <f t="shared" si="12"/>
        <v>0.57745068113505849</v>
      </c>
      <c r="K181">
        <f t="shared" si="16"/>
        <v>0.58448037768402705</v>
      </c>
      <c r="L181">
        <f t="shared" si="17"/>
        <v>-0.6372447740911904</v>
      </c>
    </row>
    <row r="182" spans="1:12" x14ac:dyDescent="0.3">
      <c r="A182">
        <v>9.43</v>
      </c>
      <c r="B182">
        <f t="shared" si="13"/>
        <v>1886</v>
      </c>
      <c r="C182">
        <v>0.34100000000000003</v>
      </c>
      <c r="D182" s="1">
        <v>2.505173347890377E-2</v>
      </c>
      <c r="E182">
        <f t="shared" si="14"/>
        <v>1886</v>
      </c>
      <c r="F182">
        <f t="shared" si="15"/>
        <v>2.055173347890377E-2</v>
      </c>
      <c r="I182">
        <f t="shared" si="12"/>
        <v>0.5772378467060626</v>
      </c>
      <c r="K182">
        <f t="shared" si="16"/>
        <v>0.58424598782236881</v>
      </c>
      <c r="L182">
        <f t="shared" si="17"/>
        <v>-0.63747916395284865</v>
      </c>
    </row>
    <row r="183" spans="1:12" x14ac:dyDescent="0.3">
      <c r="A183">
        <v>9.48</v>
      </c>
      <c r="B183">
        <f t="shared" si="13"/>
        <v>1896</v>
      </c>
      <c r="C183">
        <v>0.33900000000000002</v>
      </c>
      <c r="D183" s="1">
        <v>2.4565804749727249E-2</v>
      </c>
      <c r="E183">
        <f t="shared" si="14"/>
        <v>1896</v>
      </c>
      <c r="F183">
        <f t="shared" si="15"/>
        <v>2.0065804749727249E-2</v>
      </c>
      <c r="I183">
        <f t="shared" si="12"/>
        <v>0.57188382902741441</v>
      </c>
      <c r="K183">
        <f t="shared" si="16"/>
        <v>0.57868613683757197</v>
      </c>
      <c r="L183">
        <f t="shared" si="17"/>
        <v>-0.64303901493764548</v>
      </c>
    </row>
    <row r="184" spans="1:12" x14ac:dyDescent="0.3">
      <c r="A184">
        <v>9.5299999999999994</v>
      </c>
      <c r="B184">
        <f t="shared" si="13"/>
        <v>1905.9999999999998</v>
      </c>
      <c r="C184">
        <v>0.33700000000000002</v>
      </c>
      <c r="D184" s="1">
        <v>2.4296250194311142E-2</v>
      </c>
      <c r="E184">
        <f t="shared" si="14"/>
        <v>1905.9999999999998</v>
      </c>
      <c r="F184">
        <f t="shared" si="15"/>
        <v>1.9796250194311141E-2</v>
      </c>
      <c r="I184">
        <f t="shared" si="12"/>
        <v>0.56854326435178515</v>
      </c>
      <c r="K184">
        <f t="shared" si="16"/>
        <v>0.57521460066726804</v>
      </c>
      <c r="L184">
        <f t="shared" si="17"/>
        <v>-0.64651055110794942</v>
      </c>
    </row>
    <row r="185" spans="1:12" x14ac:dyDescent="0.3">
      <c r="A185">
        <v>9.58</v>
      </c>
      <c r="B185">
        <f t="shared" si="13"/>
        <v>1916</v>
      </c>
      <c r="C185">
        <v>0.33500000000000002</v>
      </c>
      <c r="D185" s="1">
        <v>2.4016488343477249E-2</v>
      </c>
      <c r="E185">
        <f t="shared" si="14"/>
        <v>1916</v>
      </c>
      <c r="F185">
        <f t="shared" si="15"/>
        <v>1.9516488343477249E-2</v>
      </c>
      <c r="I185">
        <f t="shared" si="12"/>
        <v>0.56507795833051211</v>
      </c>
      <c r="K185">
        <f t="shared" si="16"/>
        <v>0.57161598192557694</v>
      </c>
      <c r="L185">
        <f t="shared" si="17"/>
        <v>-0.65010916984964051</v>
      </c>
    </row>
    <row r="186" spans="1:12" x14ac:dyDescent="0.3">
      <c r="A186">
        <v>9.6300000000000008</v>
      </c>
      <c r="B186">
        <f t="shared" si="13"/>
        <v>1926.0000000000002</v>
      </c>
      <c r="C186">
        <v>0.33300000000000002</v>
      </c>
      <c r="D186" s="1">
        <v>2.4950046092271805E-2</v>
      </c>
      <c r="E186">
        <f t="shared" si="14"/>
        <v>1926.0000000000002</v>
      </c>
      <c r="F186">
        <f t="shared" si="15"/>
        <v>2.0450046092271804E-2</v>
      </c>
      <c r="I186">
        <f t="shared" si="12"/>
        <v>0.57326894386857752</v>
      </c>
      <c r="K186">
        <f t="shared" si="16"/>
        <v>0.58007880921730404</v>
      </c>
      <c r="L186">
        <f t="shared" si="17"/>
        <v>-0.64164634255791342</v>
      </c>
    </row>
    <row r="187" spans="1:12" x14ac:dyDescent="0.3">
      <c r="A187">
        <v>9.69</v>
      </c>
      <c r="B187">
        <f t="shared" si="13"/>
        <v>1938</v>
      </c>
      <c r="C187">
        <v>0.33</v>
      </c>
      <c r="D187" s="1">
        <v>2.4746935814619064E-2</v>
      </c>
      <c r="E187">
        <f t="shared" si="14"/>
        <v>1938</v>
      </c>
      <c r="F187">
        <f t="shared" si="15"/>
        <v>2.0246935814619064E-2</v>
      </c>
      <c r="I187">
        <f t="shared" si="12"/>
        <v>0.56979780804365876</v>
      </c>
      <c r="K187">
        <f t="shared" si="16"/>
        <v>0.576479296862483</v>
      </c>
      <c r="L187">
        <f t="shared" si="17"/>
        <v>-0.64524585491273445</v>
      </c>
    </row>
    <row r="188" spans="1:12" x14ac:dyDescent="0.3">
      <c r="A188">
        <v>9.74</v>
      </c>
      <c r="B188">
        <f t="shared" si="13"/>
        <v>1948</v>
      </c>
      <c r="C188">
        <v>0.32800000000000001</v>
      </c>
      <c r="D188" s="1">
        <v>2.47977115213871E-2</v>
      </c>
      <c r="E188">
        <f t="shared" si="14"/>
        <v>1948</v>
      </c>
      <c r="F188">
        <f t="shared" si="15"/>
        <v>2.02977115213871E-2</v>
      </c>
      <c r="I188">
        <f t="shared" si="12"/>
        <v>0.56952971021831034</v>
      </c>
      <c r="K188">
        <f t="shared" si="16"/>
        <v>0.57618735959732525</v>
      </c>
      <c r="L188">
        <f t="shared" si="17"/>
        <v>-0.6455377921778922</v>
      </c>
    </row>
    <row r="189" spans="1:12" x14ac:dyDescent="0.3">
      <c r="A189">
        <v>9.7899999999999991</v>
      </c>
      <c r="B189">
        <f t="shared" si="13"/>
        <v>1957.9999999999998</v>
      </c>
      <c r="C189">
        <v>0.32700000000000001</v>
      </c>
      <c r="D189" s="1">
        <v>2.4553913623094559E-2</v>
      </c>
      <c r="E189">
        <f t="shared" si="14"/>
        <v>1957.9999999999998</v>
      </c>
      <c r="F189">
        <f t="shared" si="15"/>
        <v>2.0053913623094558E-2</v>
      </c>
      <c r="I189">
        <f t="shared" si="12"/>
        <v>0.56738281437009574</v>
      </c>
      <c r="K189">
        <f t="shared" si="16"/>
        <v>0.57394044412484768</v>
      </c>
      <c r="L189">
        <f t="shared" si="17"/>
        <v>-0.64778470765036977</v>
      </c>
    </row>
    <row r="190" spans="1:12" x14ac:dyDescent="0.3">
      <c r="A190">
        <v>9.84</v>
      </c>
      <c r="B190">
        <f t="shared" si="13"/>
        <v>1968</v>
      </c>
      <c r="C190">
        <v>0.32400000000000001</v>
      </c>
      <c r="D190" s="1">
        <v>2.4869997054338455E-2</v>
      </c>
      <c r="E190">
        <f t="shared" si="14"/>
        <v>1968</v>
      </c>
      <c r="F190">
        <f t="shared" si="15"/>
        <v>2.0369997054338455E-2</v>
      </c>
      <c r="I190">
        <f t="shared" si="12"/>
        <v>0.56872077101469043</v>
      </c>
      <c r="K190">
        <f t="shared" si="16"/>
        <v>0.57532065006029609</v>
      </c>
      <c r="L190">
        <f t="shared" si="17"/>
        <v>-0.64640450171492136</v>
      </c>
    </row>
    <row r="191" spans="1:12" x14ac:dyDescent="0.3">
      <c r="A191">
        <v>9.9</v>
      </c>
      <c r="B191">
        <f t="shared" si="13"/>
        <v>1980</v>
      </c>
      <c r="C191">
        <v>0.32200000000000001</v>
      </c>
      <c r="D191" s="1">
        <v>2.4348245933651924E-2</v>
      </c>
      <c r="E191">
        <f t="shared" si="14"/>
        <v>1980</v>
      </c>
      <c r="F191">
        <f t="shared" si="15"/>
        <v>1.9848245933651924E-2</v>
      </c>
      <c r="I191">
        <f t="shared" si="12"/>
        <v>0.56304763474315411</v>
      </c>
      <c r="K191">
        <f t="shared" si="16"/>
        <v>0.56943876993379006</v>
      </c>
      <c r="L191">
        <f t="shared" si="17"/>
        <v>-0.6522863818414274</v>
      </c>
    </row>
    <row r="192" spans="1:12" x14ac:dyDescent="0.3">
      <c r="A192">
        <v>9.9499999999999993</v>
      </c>
      <c r="B192">
        <f t="shared" si="13"/>
        <v>1989.9999999999998</v>
      </c>
      <c r="C192">
        <v>0.32</v>
      </c>
      <c r="D192" s="1">
        <v>2.5444960221648216E-2</v>
      </c>
      <c r="E192">
        <f t="shared" si="14"/>
        <v>1989.9999999999998</v>
      </c>
      <c r="F192">
        <f t="shared" si="15"/>
        <v>2.0944960221648216E-2</v>
      </c>
      <c r="I192">
        <f t="shared" si="12"/>
        <v>0.57317735420539973</v>
      </c>
      <c r="K192">
        <f t="shared" si="16"/>
        <v>0.57987974147632715</v>
      </c>
      <c r="L192">
        <f t="shared" si="17"/>
        <v>-0.64184541029889031</v>
      </c>
    </row>
    <row r="193" spans="1:12" x14ac:dyDescent="0.3">
      <c r="A193">
        <v>10</v>
      </c>
      <c r="B193">
        <f t="shared" si="13"/>
        <v>2000</v>
      </c>
      <c r="C193">
        <v>0.317</v>
      </c>
      <c r="D193" s="1">
        <v>2.464304119348526E-2</v>
      </c>
      <c r="E193">
        <f t="shared" si="14"/>
        <v>2000</v>
      </c>
      <c r="F193">
        <f t="shared" si="15"/>
        <v>2.0143041193485259E-2</v>
      </c>
      <c r="I193">
        <f t="shared" si="12"/>
        <v>0.56343041193485255</v>
      </c>
      <c r="K193">
        <f t="shared" si="16"/>
        <v>0.56981575599318735</v>
      </c>
      <c r="L193">
        <f t="shared" si="17"/>
        <v>-0.65190939578203011</v>
      </c>
    </row>
    <row r="194" spans="1:12" x14ac:dyDescent="0.3">
      <c r="A194">
        <v>10</v>
      </c>
      <c r="B194">
        <f t="shared" si="13"/>
        <v>2000</v>
      </c>
      <c r="C194">
        <v>0.315</v>
      </c>
      <c r="D194" s="1">
        <v>2.4760615080595016E-2</v>
      </c>
      <c r="E194">
        <f t="shared" si="14"/>
        <v>2000</v>
      </c>
      <c r="F194">
        <f t="shared" si="15"/>
        <v>2.0260615080595016E-2</v>
      </c>
      <c r="I194">
        <f t="shared" ref="I194:I223" si="18">C194+(D194*A194)</f>
        <v>0.56260615080595011</v>
      </c>
      <c r="K194">
        <f t="shared" si="16"/>
        <v>0.56898824455633756</v>
      </c>
      <c r="L194">
        <f t="shared" si="17"/>
        <v>-0.65273690721887989</v>
      </c>
    </row>
    <row r="195" spans="1:12" x14ac:dyDescent="0.3">
      <c r="A195">
        <v>10.1</v>
      </c>
      <c r="B195">
        <f t="shared" ref="B195:B223" si="19">A195*200</f>
        <v>2020</v>
      </c>
      <c r="C195">
        <v>0.313</v>
      </c>
      <c r="D195" s="1">
        <v>2.4760615080595016E-2</v>
      </c>
      <c r="E195">
        <f t="shared" ref="E195:E223" si="20">B195</f>
        <v>2020</v>
      </c>
      <c r="F195">
        <f t="shared" ref="F195" si="21">D195-0.0045</f>
        <v>2.0260615080595016E-2</v>
      </c>
      <c r="I195">
        <f t="shared" si="18"/>
        <v>0.56308221231400968</v>
      </c>
      <c r="K195">
        <f t="shared" ref="K195:K223" si="22">I195+(F195*C195)</f>
        <v>0.56942378483423595</v>
      </c>
      <c r="L195">
        <f t="shared" ref="L195:L223" si="23">K195-$I$1</f>
        <v>-0.65230136694098151</v>
      </c>
    </row>
    <row r="196" spans="1:12" x14ac:dyDescent="0.3">
      <c r="A196">
        <v>10.199999999999999</v>
      </c>
      <c r="B196">
        <f t="shared" si="19"/>
        <v>2039.9999999999998</v>
      </c>
      <c r="C196">
        <v>0.311</v>
      </c>
      <c r="D196" s="1">
        <v>2.4E-2</v>
      </c>
      <c r="E196">
        <f t="shared" si="20"/>
        <v>2039.9999999999998</v>
      </c>
      <c r="F196">
        <v>2.0369997054338455E-2</v>
      </c>
      <c r="I196">
        <f t="shared" si="18"/>
        <v>0.55579999999999996</v>
      </c>
      <c r="K196">
        <f t="shared" si="22"/>
        <v>0.56213506908389921</v>
      </c>
      <c r="L196">
        <f t="shared" si="23"/>
        <v>-0.65959008269131825</v>
      </c>
    </row>
    <row r="197" spans="1:12" x14ac:dyDescent="0.3">
      <c r="A197">
        <v>10.199999999999999</v>
      </c>
      <c r="B197">
        <f t="shared" si="19"/>
        <v>2039.9999999999998</v>
      </c>
      <c r="C197">
        <v>0.309</v>
      </c>
      <c r="D197" s="1">
        <v>2.4E-2</v>
      </c>
      <c r="E197">
        <f t="shared" si="20"/>
        <v>2039.9999999999998</v>
      </c>
      <c r="F197">
        <v>1.9848245933651924E-2</v>
      </c>
      <c r="I197">
        <f t="shared" si="18"/>
        <v>0.55379999999999996</v>
      </c>
      <c r="K197">
        <f t="shared" si="22"/>
        <v>0.55993310799349838</v>
      </c>
      <c r="L197">
        <f t="shared" si="23"/>
        <v>-0.66179204378171907</v>
      </c>
    </row>
    <row r="198" spans="1:12" x14ac:dyDescent="0.3">
      <c r="A198">
        <v>10.3</v>
      </c>
      <c r="B198">
        <f t="shared" si="19"/>
        <v>2060</v>
      </c>
      <c r="C198">
        <v>0.30599999999999999</v>
      </c>
      <c r="D198" s="1">
        <v>2.4E-2</v>
      </c>
      <c r="E198">
        <f t="shared" si="20"/>
        <v>2060</v>
      </c>
      <c r="F198">
        <v>2.0944960221648216E-2</v>
      </c>
      <c r="I198">
        <f t="shared" si="18"/>
        <v>0.55320000000000003</v>
      </c>
      <c r="K198">
        <f t="shared" si="22"/>
        <v>0.55960915782782439</v>
      </c>
      <c r="L198">
        <f t="shared" si="23"/>
        <v>-0.66211599394739307</v>
      </c>
    </row>
    <row r="199" spans="1:12" x14ac:dyDescent="0.3">
      <c r="A199">
        <v>10.3</v>
      </c>
      <c r="B199">
        <f t="shared" si="19"/>
        <v>2060</v>
      </c>
      <c r="C199">
        <v>0.30399999999999999</v>
      </c>
      <c r="D199" s="1">
        <v>2.4E-2</v>
      </c>
      <c r="E199">
        <f t="shared" si="20"/>
        <v>2060</v>
      </c>
      <c r="F199">
        <v>2.0143041193485259E-2</v>
      </c>
      <c r="I199">
        <f t="shared" si="18"/>
        <v>0.55120000000000002</v>
      </c>
      <c r="K199">
        <f t="shared" si="22"/>
        <v>0.55732348452281955</v>
      </c>
      <c r="L199">
        <f t="shared" si="23"/>
        <v>-0.66440166725239791</v>
      </c>
    </row>
    <row r="200" spans="1:12" x14ac:dyDescent="0.3">
      <c r="A200">
        <v>10.4</v>
      </c>
      <c r="B200">
        <f t="shared" si="19"/>
        <v>2080</v>
      </c>
      <c r="C200">
        <v>0.30099999999999999</v>
      </c>
      <c r="D200" s="1">
        <v>2.4E-2</v>
      </c>
      <c r="E200">
        <f t="shared" si="20"/>
        <v>2080</v>
      </c>
      <c r="F200">
        <v>1.9744915693998336E-2</v>
      </c>
      <c r="I200">
        <f t="shared" si="18"/>
        <v>0.55059999999999998</v>
      </c>
      <c r="K200">
        <f t="shared" si="22"/>
        <v>0.55654321962389353</v>
      </c>
      <c r="L200">
        <f t="shared" si="23"/>
        <v>-0.66518193215132393</v>
      </c>
    </row>
    <row r="201" spans="1:12" x14ac:dyDescent="0.3">
      <c r="A201">
        <v>10.4</v>
      </c>
      <c r="B201">
        <f t="shared" si="19"/>
        <v>2080</v>
      </c>
      <c r="C201">
        <v>0.29899999999999999</v>
      </c>
      <c r="D201" s="1">
        <v>2.4E-2</v>
      </c>
      <c r="E201">
        <f t="shared" si="20"/>
        <v>2080</v>
      </c>
      <c r="F201">
        <v>1.9829442530870437E-2</v>
      </c>
      <c r="I201">
        <f t="shared" si="18"/>
        <v>0.54859999999999998</v>
      </c>
      <c r="K201">
        <f t="shared" si="22"/>
        <v>0.55452900331673027</v>
      </c>
      <c r="L201">
        <f t="shared" si="23"/>
        <v>-0.66719614845848718</v>
      </c>
    </row>
    <row r="202" spans="1:12" x14ac:dyDescent="0.3">
      <c r="A202">
        <v>10.5</v>
      </c>
      <c r="B202">
        <f t="shared" si="19"/>
        <v>2100</v>
      </c>
      <c r="C202">
        <v>0.29699999999999999</v>
      </c>
      <c r="D202" s="1">
        <v>2.4E-2</v>
      </c>
      <c r="E202">
        <f t="shared" si="20"/>
        <v>2100</v>
      </c>
      <c r="F202">
        <v>2.0236572057008743E-2</v>
      </c>
      <c r="I202">
        <f t="shared" si="18"/>
        <v>0.54899999999999993</v>
      </c>
      <c r="K202">
        <f t="shared" si="22"/>
        <v>0.5550102619009315</v>
      </c>
      <c r="L202">
        <f t="shared" si="23"/>
        <v>-0.66671488987428595</v>
      </c>
    </row>
    <row r="203" spans="1:12" x14ac:dyDescent="0.3">
      <c r="A203">
        <v>10.5</v>
      </c>
      <c r="B203">
        <f t="shared" si="19"/>
        <v>2100</v>
      </c>
      <c r="C203">
        <v>0.29499999999999998</v>
      </c>
      <c r="D203" s="1">
        <v>2.4E-2</v>
      </c>
      <c r="E203">
        <f t="shared" si="20"/>
        <v>2100</v>
      </c>
      <c r="F203">
        <v>1.9775474250316619E-2</v>
      </c>
      <c r="I203">
        <f t="shared" si="18"/>
        <v>0.54699999999999993</v>
      </c>
      <c r="K203">
        <f t="shared" si="22"/>
        <v>0.55283376490384328</v>
      </c>
      <c r="L203">
        <f t="shared" si="23"/>
        <v>-0.66889138687137417</v>
      </c>
    </row>
    <row r="204" spans="1:12" x14ac:dyDescent="0.3">
      <c r="A204">
        <v>10.6</v>
      </c>
      <c r="B204">
        <f t="shared" si="19"/>
        <v>2120</v>
      </c>
      <c r="C204">
        <v>0.29299999999999998</v>
      </c>
      <c r="D204" s="1">
        <v>2.4E-2</v>
      </c>
      <c r="E204">
        <f t="shared" si="20"/>
        <v>2120</v>
      </c>
      <c r="F204">
        <v>1.9688827723264694E-2</v>
      </c>
      <c r="I204">
        <f t="shared" si="18"/>
        <v>0.5474</v>
      </c>
      <c r="K204">
        <f t="shared" si="22"/>
        <v>0.55316882652291655</v>
      </c>
      <c r="L204">
        <f t="shared" si="23"/>
        <v>-0.66855632525230091</v>
      </c>
    </row>
    <row r="205" spans="1:12" x14ac:dyDescent="0.3">
      <c r="A205">
        <v>10.6</v>
      </c>
      <c r="B205">
        <f t="shared" si="19"/>
        <v>2120</v>
      </c>
      <c r="C205">
        <v>0.29099999999999998</v>
      </c>
      <c r="D205" s="1">
        <v>2.4E-2</v>
      </c>
      <c r="E205">
        <f t="shared" si="20"/>
        <v>2120</v>
      </c>
      <c r="F205">
        <v>2.0091587483882904E-2</v>
      </c>
      <c r="I205">
        <f t="shared" si="18"/>
        <v>0.5454</v>
      </c>
      <c r="K205">
        <f t="shared" si="22"/>
        <v>0.55124665195780997</v>
      </c>
      <c r="L205">
        <f t="shared" si="23"/>
        <v>-0.67047849981740748</v>
      </c>
    </row>
    <row r="206" spans="1:12" x14ac:dyDescent="0.3">
      <c r="A206">
        <v>10.7</v>
      </c>
      <c r="B206">
        <f t="shared" si="19"/>
        <v>2140</v>
      </c>
      <c r="C206">
        <v>0.28799999999999998</v>
      </c>
      <c r="D206" s="1">
        <v>2.4E-2</v>
      </c>
      <c r="E206">
        <f t="shared" si="20"/>
        <v>2140</v>
      </c>
      <c r="F206">
        <v>2.0372282519936561E-2</v>
      </c>
      <c r="I206">
        <f t="shared" si="18"/>
        <v>0.54479999999999995</v>
      </c>
      <c r="K206">
        <f t="shared" si="22"/>
        <v>0.55066721736574165</v>
      </c>
      <c r="L206">
        <f t="shared" si="23"/>
        <v>-0.67105793440947581</v>
      </c>
    </row>
    <row r="207" spans="1:12" x14ac:dyDescent="0.3">
      <c r="A207">
        <v>10.7</v>
      </c>
      <c r="B207">
        <f t="shared" si="19"/>
        <v>2140</v>
      </c>
      <c r="C207">
        <v>0.28599999999999998</v>
      </c>
      <c r="D207" s="1">
        <v>2.4E-2</v>
      </c>
      <c r="E207">
        <f t="shared" si="20"/>
        <v>2140</v>
      </c>
      <c r="F207">
        <v>2.0065804749727249E-2</v>
      </c>
      <c r="I207">
        <f t="shared" si="18"/>
        <v>0.54279999999999995</v>
      </c>
      <c r="K207">
        <f t="shared" si="22"/>
        <v>0.54853882015842192</v>
      </c>
      <c r="L207">
        <f t="shared" si="23"/>
        <v>-0.67318633161679553</v>
      </c>
    </row>
    <row r="208" spans="1:12" x14ac:dyDescent="0.3">
      <c r="A208">
        <v>10.8</v>
      </c>
      <c r="B208">
        <f t="shared" si="19"/>
        <v>2160</v>
      </c>
      <c r="C208">
        <v>0.28399999999999997</v>
      </c>
      <c r="D208" s="1">
        <v>2.4E-2</v>
      </c>
      <c r="E208">
        <f t="shared" si="20"/>
        <v>2160</v>
      </c>
      <c r="F208">
        <v>1.9796250194311141E-2</v>
      </c>
      <c r="I208">
        <f t="shared" si="18"/>
        <v>0.54320000000000002</v>
      </c>
      <c r="K208">
        <f t="shared" si="22"/>
        <v>0.5488221350551844</v>
      </c>
      <c r="L208">
        <f t="shared" si="23"/>
        <v>-0.67290301672003305</v>
      </c>
    </row>
    <row r="209" spans="1:12" x14ac:dyDescent="0.3">
      <c r="A209">
        <v>10.8</v>
      </c>
      <c r="B209">
        <f t="shared" si="19"/>
        <v>2160</v>
      </c>
      <c r="C209">
        <v>0.28199999999999997</v>
      </c>
      <c r="D209" s="1">
        <v>2.4E-2</v>
      </c>
      <c r="E209">
        <f t="shared" si="20"/>
        <v>2160</v>
      </c>
      <c r="F209">
        <v>1.9516488343477249E-2</v>
      </c>
      <c r="I209">
        <f t="shared" si="18"/>
        <v>0.54120000000000001</v>
      </c>
      <c r="K209">
        <f t="shared" si="22"/>
        <v>0.54670364971286056</v>
      </c>
      <c r="L209">
        <f t="shared" si="23"/>
        <v>-0.67502150206235689</v>
      </c>
    </row>
    <row r="210" spans="1:12" x14ac:dyDescent="0.3">
      <c r="A210">
        <v>10.9</v>
      </c>
      <c r="B210">
        <f t="shared" si="19"/>
        <v>2180</v>
      </c>
      <c r="C210">
        <v>0.27900000000000003</v>
      </c>
      <c r="D210" s="1">
        <v>2.4E-2</v>
      </c>
      <c r="E210">
        <f t="shared" si="20"/>
        <v>2180</v>
      </c>
      <c r="F210">
        <v>2.0450046092271804E-2</v>
      </c>
      <c r="I210">
        <f t="shared" si="18"/>
        <v>0.54059999999999997</v>
      </c>
      <c r="K210">
        <f t="shared" si="22"/>
        <v>0.54630556285974385</v>
      </c>
      <c r="L210">
        <f t="shared" si="23"/>
        <v>-0.6754195889154736</v>
      </c>
    </row>
    <row r="211" spans="1:12" x14ac:dyDescent="0.3">
      <c r="A211">
        <v>10.9</v>
      </c>
      <c r="B211">
        <f t="shared" si="19"/>
        <v>2180</v>
      </c>
      <c r="C211">
        <v>0.27700000000000002</v>
      </c>
      <c r="D211" s="1">
        <v>2.4E-2</v>
      </c>
      <c r="E211">
        <f t="shared" si="20"/>
        <v>2180</v>
      </c>
      <c r="F211">
        <v>2.0246935814619064E-2</v>
      </c>
      <c r="I211">
        <f t="shared" si="18"/>
        <v>0.53859999999999997</v>
      </c>
      <c r="K211">
        <f t="shared" si="22"/>
        <v>0.5442084012206494</v>
      </c>
      <c r="L211">
        <f t="shared" si="23"/>
        <v>-0.67751675055456806</v>
      </c>
    </row>
    <row r="212" spans="1:12" x14ac:dyDescent="0.3">
      <c r="A212">
        <v>11</v>
      </c>
      <c r="B212">
        <f t="shared" si="19"/>
        <v>2200</v>
      </c>
      <c r="C212">
        <v>0.27500000000000002</v>
      </c>
      <c r="D212" s="1">
        <v>2.4E-2</v>
      </c>
      <c r="E212">
        <f t="shared" si="20"/>
        <v>2200</v>
      </c>
      <c r="F212">
        <v>2.02977115213871E-2</v>
      </c>
      <c r="I212">
        <f t="shared" si="18"/>
        <v>0.53900000000000003</v>
      </c>
      <c r="K212">
        <f t="shared" si="22"/>
        <v>0.54458187066838148</v>
      </c>
      <c r="L212">
        <f t="shared" si="23"/>
        <v>-0.67714328110683597</v>
      </c>
    </row>
    <row r="213" spans="1:12" x14ac:dyDescent="0.3">
      <c r="A213">
        <v>11</v>
      </c>
      <c r="B213">
        <f t="shared" si="19"/>
        <v>2200</v>
      </c>
      <c r="C213">
        <v>0.27200000000000002</v>
      </c>
      <c r="D213" s="1">
        <v>2.4E-2</v>
      </c>
      <c r="E213">
        <f t="shared" si="20"/>
        <v>2200</v>
      </c>
      <c r="F213">
        <v>2.0944960221648216E-2</v>
      </c>
      <c r="I213">
        <f t="shared" si="18"/>
        <v>0.53600000000000003</v>
      </c>
      <c r="K213">
        <f t="shared" si="22"/>
        <v>0.54169702918028839</v>
      </c>
      <c r="L213">
        <f t="shared" si="23"/>
        <v>-0.68002812259492906</v>
      </c>
    </row>
    <row r="214" spans="1:12" x14ac:dyDescent="0.3">
      <c r="A214">
        <v>11.1</v>
      </c>
      <c r="B214">
        <f t="shared" si="19"/>
        <v>2220</v>
      </c>
      <c r="C214">
        <v>0.27</v>
      </c>
      <c r="D214" s="1">
        <v>2.4E-2</v>
      </c>
      <c r="E214">
        <f t="shared" si="20"/>
        <v>2220</v>
      </c>
      <c r="F214">
        <v>2.0143041193485259E-2</v>
      </c>
      <c r="I214">
        <f t="shared" si="18"/>
        <v>0.53639999999999999</v>
      </c>
      <c r="K214">
        <f t="shared" si="22"/>
        <v>0.54183862112224102</v>
      </c>
      <c r="L214">
        <f t="shared" si="23"/>
        <v>-0.67988653065297644</v>
      </c>
    </row>
    <row r="215" spans="1:12" x14ac:dyDescent="0.3">
      <c r="A215">
        <v>11.1</v>
      </c>
      <c r="B215">
        <f t="shared" si="19"/>
        <v>2220</v>
      </c>
      <c r="C215">
        <v>0.26800000000000002</v>
      </c>
      <c r="D215" s="1">
        <v>2.4E-2</v>
      </c>
      <c r="E215">
        <f t="shared" si="20"/>
        <v>2220</v>
      </c>
      <c r="F215">
        <v>1.9744915693998336E-2</v>
      </c>
      <c r="I215">
        <f t="shared" si="18"/>
        <v>0.53439999999999999</v>
      </c>
      <c r="K215">
        <f t="shared" si="22"/>
        <v>0.53969163740599158</v>
      </c>
      <c r="L215">
        <f t="shared" si="23"/>
        <v>-0.68203351436922588</v>
      </c>
    </row>
    <row r="216" spans="1:12" x14ac:dyDescent="0.3">
      <c r="A216">
        <v>11.2</v>
      </c>
      <c r="B216">
        <f t="shared" si="19"/>
        <v>2240</v>
      </c>
      <c r="C216">
        <v>0.26500000000000001</v>
      </c>
      <c r="D216" s="1">
        <v>2.4E-2</v>
      </c>
      <c r="E216">
        <f t="shared" si="20"/>
        <v>2240</v>
      </c>
      <c r="F216">
        <v>1.9829442530870437E-2</v>
      </c>
      <c r="I216">
        <f t="shared" si="18"/>
        <v>0.53380000000000005</v>
      </c>
      <c r="K216">
        <f t="shared" si="22"/>
        <v>0.5390548022706807</v>
      </c>
      <c r="L216">
        <f t="shared" si="23"/>
        <v>-0.68267034950453676</v>
      </c>
    </row>
    <row r="217" spans="1:12" x14ac:dyDescent="0.3">
      <c r="A217">
        <v>11.2</v>
      </c>
      <c r="B217">
        <f t="shared" si="19"/>
        <v>2240</v>
      </c>
      <c r="C217">
        <v>0.26300000000000001</v>
      </c>
      <c r="D217" s="1">
        <v>2.4E-2</v>
      </c>
      <c r="E217">
        <f t="shared" si="20"/>
        <v>2240</v>
      </c>
      <c r="F217">
        <v>2.0236572057008743E-2</v>
      </c>
      <c r="I217">
        <f t="shared" si="18"/>
        <v>0.53180000000000005</v>
      </c>
      <c r="K217">
        <f t="shared" si="22"/>
        <v>0.53712221845099339</v>
      </c>
      <c r="L217">
        <f t="shared" si="23"/>
        <v>-0.68460293332422406</v>
      </c>
    </row>
    <row r="218" spans="1:12" x14ac:dyDescent="0.3">
      <c r="A218">
        <v>11.3</v>
      </c>
      <c r="B218">
        <f t="shared" si="19"/>
        <v>2260</v>
      </c>
      <c r="C218">
        <v>0.26100000000000001</v>
      </c>
      <c r="D218" s="1">
        <v>2.4E-2</v>
      </c>
      <c r="E218">
        <f t="shared" si="20"/>
        <v>2260</v>
      </c>
      <c r="F218">
        <v>1.9775474250316619E-2</v>
      </c>
      <c r="I218">
        <f t="shared" si="18"/>
        <v>0.53220000000000001</v>
      </c>
      <c r="K218">
        <f t="shared" si="22"/>
        <v>0.53736139877933264</v>
      </c>
      <c r="L218">
        <f t="shared" si="23"/>
        <v>-0.68436375299588481</v>
      </c>
    </row>
    <row r="219" spans="1:12" x14ac:dyDescent="0.3">
      <c r="A219">
        <v>11.4</v>
      </c>
      <c r="B219">
        <f t="shared" si="19"/>
        <v>2280</v>
      </c>
      <c r="C219">
        <v>0.25900000000000001</v>
      </c>
      <c r="D219" s="1">
        <v>2.4E-2</v>
      </c>
      <c r="E219">
        <f t="shared" si="20"/>
        <v>2280</v>
      </c>
      <c r="F219">
        <v>1.9688827723264694E-2</v>
      </c>
      <c r="I219">
        <f t="shared" si="18"/>
        <v>0.53259999999999996</v>
      </c>
      <c r="K219">
        <f t="shared" si="22"/>
        <v>0.53769940638032554</v>
      </c>
      <c r="L219">
        <f t="shared" si="23"/>
        <v>-0.68402574539489192</v>
      </c>
    </row>
    <row r="220" spans="1:12" x14ac:dyDescent="0.3">
      <c r="A220">
        <v>11.4</v>
      </c>
      <c r="B220">
        <f t="shared" si="19"/>
        <v>2280</v>
      </c>
      <c r="C220">
        <v>0.25600000000000001</v>
      </c>
      <c r="D220" s="1">
        <v>2.4E-2</v>
      </c>
      <c r="E220">
        <f t="shared" si="20"/>
        <v>2280</v>
      </c>
      <c r="F220">
        <v>2.0091587483882904E-2</v>
      </c>
      <c r="I220">
        <f t="shared" si="18"/>
        <v>0.52960000000000007</v>
      </c>
      <c r="K220">
        <f t="shared" si="22"/>
        <v>0.53474344639587412</v>
      </c>
      <c r="L220">
        <f t="shared" si="23"/>
        <v>-0.68698170537934333</v>
      </c>
    </row>
    <row r="221" spans="1:12" x14ac:dyDescent="0.3">
      <c r="A221">
        <v>11.5</v>
      </c>
      <c r="B221">
        <f t="shared" si="19"/>
        <v>2300</v>
      </c>
      <c r="C221">
        <v>0.254</v>
      </c>
      <c r="D221" s="1">
        <v>2.4E-2</v>
      </c>
      <c r="E221">
        <f t="shared" si="20"/>
        <v>2300</v>
      </c>
      <c r="F221">
        <v>2.0944960221648216E-2</v>
      </c>
      <c r="I221">
        <f t="shared" si="18"/>
        <v>0.53</v>
      </c>
      <c r="K221">
        <f t="shared" si="22"/>
        <v>0.53532001989629863</v>
      </c>
      <c r="L221">
        <f t="shared" si="23"/>
        <v>-0.68640513187891883</v>
      </c>
    </row>
    <row r="222" spans="1:12" x14ac:dyDescent="0.3">
      <c r="A222">
        <v>11.5</v>
      </c>
      <c r="B222">
        <f t="shared" si="19"/>
        <v>2300</v>
      </c>
      <c r="C222">
        <v>0.252</v>
      </c>
      <c r="D222" s="1">
        <v>2.4E-2</v>
      </c>
      <c r="E222">
        <f t="shared" si="20"/>
        <v>2300</v>
      </c>
      <c r="F222">
        <v>2.0143041193485259E-2</v>
      </c>
      <c r="I222">
        <f t="shared" si="18"/>
        <v>0.52800000000000002</v>
      </c>
      <c r="K222">
        <f t="shared" si="22"/>
        <v>0.53307604638075834</v>
      </c>
      <c r="L222">
        <f t="shared" si="23"/>
        <v>-0.68864910539445912</v>
      </c>
    </row>
    <row r="223" spans="1:12" x14ac:dyDescent="0.3">
      <c r="A223">
        <v>11.5</v>
      </c>
      <c r="B223">
        <f t="shared" si="19"/>
        <v>2300</v>
      </c>
      <c r="C223">
        <v>0.252</v>
      </c>
      <c r="D223" s="1">
        <v>2.4E-2</v>
      </c>
      <c r="E223">
        <f t="shared" si="20"/>
        <v>2300</v>
      </c>
      <c r="F223">
        <v>1.9744915693998336E-2</v>
      </c>
      <c r="I223">
        <f t="shared" si="18"/>
        <v>0.52800000000000002</v>
      </c>
      <c r="K223">
        <f t="shared" si="22"/>
        <v>0.53297571875488758</v>
      </c>
      <c r="L223">
        <f t="shared" si="23"/>
        <v>-0.68874943302032987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2026-04-20T04:24:40Z</dcterms:modified>
</cp:coreProperties>
</file>