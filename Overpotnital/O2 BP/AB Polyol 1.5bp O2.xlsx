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 BP\"/>
    </mc:Choice>
  </mc:AlternateContent>
  <xr:revisionPtr revIDLastSave="0" documentId="13_ncr:1_{BEFB214C-CE28-4F16-A5AB-A3B1AB8D10B5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3" sheetId="4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K212" i="1" s="1"/>
  <c r="C213" i="1"/>
  <c r="H213" i="1" s="1"/>
  <c r="J213" i="1"/>
  <c r="M213" i="1" s="1"/>
  <c r="G213" i="1"/>
  <c r="K213" i="1" s="1"/>
  <c r="C214" i="1"/>
  <c r="H214" i="1" s="1"/>
  <c r="J214" i="1"/>
  <c r="M214" i="1" s="1"/>
  <c r="G214" i="1"/>
  <c r="K214" i="1" s="1"/>
  <c r="C215" i="1"/>
  <c r="H215" i="1" s="1"/>
  <c r="J215" i="1"/>
  <c r="M215" i="1" s="1"/>
  <c r="G215" i="1"/>
  <c r="K215" i="1" s="1"/>
  <c r="C216" i="1"/>
  <c r="H216" i="1" s="1"/>
  <c r="J216" i="1"/>
  <c r="M216" i="1" s="1"/>
  <c r="G216" i="1"/>
  <c r="K216" i="1" s="1"/>
  <c r="C217" i="1"/>
  <c r="H217" i="1" s="1"/>
  <c r="J217" i="1"/>
  <c r="M217" i="1" s="1"/>
  <c r="G217" i="1"/>
  <c r="K217" i="1" s="1"/>
  <c r="C218" i="1"/>
  <c r="H218" i="1" s="1"/>
  <c r="J218" i="1"/>
  <c r="M218" i="1" s="1"/>
  <c r="G218" i="1"/>
  <c r="K218" i="1" s="1"/>
  <c r="C219" i="1"/>
  <c r="H219" i="1" s="1"/>
  <c r="J219" i="1"/>
  <c r="M219" i="1" s="1"/>
  <c r="G219" i="1"/>
  <c r="K219" i="1" s="1"/>
  <c r="C220" i="1"/>
  <c r="H220" i="1" s="1"/>
  <c r="J220" i="1"/>
  <c r="M220" i="1" s="1"/>
  <c r="G220" i="1"/>
  <c r="K220" i="1" s="1"/>
  <c r="C221" i="1"/>
  <c r="H221" i="1" s="1"/>
  <c r="J221" i="1"/>
  <c r="M221" i="1" s="1"/>
  <c r="G221" i="1"/>
  <c r="K221" i="1" s="1"/>
  <c r="C222" i="1"/>
  <c r="H222" i="1" s="1"/>
  <c r="J222" i="1"/>
  <c r="M222" i="1" s="1"/>
  <c r="G222" i="1"/>
  <c r="K222" i="1" s="1"/>
  <c r="C223" i="1"/>
  <c r="H223" i="1" s="1"/>
  <c r="J223" i="1"/>
  <c r="M223" i="1" s="1"/>
  <c r="G223" i="1"/>
  <c r="K223" i="1" s="1"/>
  <c r="C224" i="1"/>
  <c r="H224" i="1" s="1"/>
  <c r="J224" i="1"/>
  <c r="M224" i="1" s="1"/>
  <c r="G224" i="1"/>
  <c r="K224" i="1" s="1"/>
  <c r="C225" i="1"/>
  <c r="H225" i="1" s="1"/>
  <c r="J225" i="1"/>
  <c r="M225" i="1" s="1"/>
  <c r="G225" i="1"/>
  <c r="K225" i="1" s="1"/>
  <c r="C226" i="1"/>
  <c r="H226" i="1" s="1"/>
  <c r="J226" i="1"/>
  <c r="M226" i="1" s="1"/>
  <c r="G226" i="1"/>
  <c r="K226" i="1" s="1"/>
  <c r="C227" i="1"/>
  <c r="H227" i="1" s="1"/>
  <c r="J227" i="1"/>
  <c r="M227" i="1" s="1"/>
  <c r="G227" i="1"/>
  <c r="K227" i="1" s="1"/>
  <c r="C228" i="1"/>
  <c r="H228" i="1" s="1"/>
  <c r="J228" i="1"/>
  <c r="M228" i="1" s="1"/>
  <c r="G228" i="1"/>
  <c r="K228" i="1" s="1"/>
  <c r="C229" i="1"/>
  <c r="H229" i="1" s="1"/>
  <c r="J229" i="1"/>
  <c r="M229" i="1" s="1"/>
  <c r="G229" i="1"/>
  <c r="K229" i="1" s="1"/>
  <c r="C230" i="1"/>
  <c r="H230" i="1" s="1"/>
  <c r="J230" i="1"/>
  <c r="M230" i="1" s="1"/>
  <c r="G230" i="1"/>
  <c r="K230" i="1" s="1"/>
  <c r="C231" i="1"/>
  <c r="H231" i="1" s="1"/>
  <c r="J231" i="1"/>
  <c r="M231" i="1" s="1"/>
  <c r="G231" i="1"/>
  <c r="K231" i="1" s="1"/>
  <c r="C232" i="1"/>
  <c r="H232" i="1" s="1"/>
  <c r="J232" i="1"/>
  <c r="M232" i="1" s="1"/>
  <c r="G232" i="1"/>
  <c r="K232" i="1" s="1"/>
  <c r="C233" i="1"/>
  <c r="H233" i="1" s="1"/>
  <c r="J233" i="1"/>
  <c r="M233" i="1" s="1"/>
  <c r="G233" i="1"/>
  <c r="K233" i="1" s="1"/>
  <c r="C234" i="1"/>
  <c r="H234" i="1" s="1"/>
  <c r="J234" i="1"/>
  <c r="M234" i="1" s="1"/>
  <c r="G234" i="1"/>
  <c r="K234" i="1" s="1"/>
  <c r="C235" i="1"/>
  <c r="H235" i="1" s="1"/>
  <c r="G235" i="1"/>
  <c r="K235" i="1" s="1"/>
  <c r="C236" i="1"/>
  <c r="H236" i="1" s="1"/>
  <c r="G236" i="1"/>
  <c r="K236" i="1" s="1"/>
  <c r="C237" i="1"/>
  <c r="H237" i="1" s="1"/>
  <c r="G237" i="1"/>
  <c r="K237" i="1" s="1"/>
  <c r="C238" i="1"/>
  <c r="H238" i="1" s="1"/>
  <c r="G238" i="1"/>
  <c r="K238" i="1" s="1"/>
  <c r="C239" i="1"/>
  <c r="H239" i="1" s="1"/>
  <c r="G239" i="1"/>
  <c r="K239" i="1" s="1"/>
  <c r="C240" i="1"/>
  <c r="H240" i="1" s="1"/>
  <c r="G240" i="1"/>
  <c r="K240" i="1" s="1"/>
  <c r="C241" i="1"/>
  <c r="H241" i="1" s="1"/>
  <c r="G241" i="1"/>
  <c r="K241" i="1" s="1"/>
  <c r="C242" i="1"/>
  <c r="H242" i="1" s="1"/>
  <c r="G242" i="1"/>
  <c r="K242" i="1" s="1"/>
  <c r="C243" i="1"/>
  <c r="H243" i="1" s="1"/>
  <c r="G243" i="1"/>
  <c r="K243" i="1" s="1"/>
  <c r="C244" i="1"/>
  <c r="H244" i="1" s="1"/>
  <c r="G244" i="1"/>
  <c r="K244" i="1" s="1"/>
  <c r="C245" i="1"/>
  <c r="H245" i="1" s="1"/>
  <c r="G245" i="1"/>
  <c r="K245" i="1" s="1"/>
  <c r="C246" i="1"/>
  <c r="H246" i="1" s="1"/>
  <c r="G246" i="1"/>
  <c r="K246" i="1" s="1"/>
  <c r="C247" i="1"/>
  <c r="H247" i="1" s="1"/>
  <c r="G247" i="1"/>
  <c r="K247" i="1" s="1"/>
  <c r="C248" i="1"/>
  <c r="H248" i="1" s="1"/>
  <c r="G248" i="1"/>
  <c r="K248" i="1" s="1"/>
  <c r="C249" i="1"/>
  <c r="H249" i="1" s="1"/>
  <c r="G249" i="1"/>
  <c r="K249" i="1" s="1"/>
  <c r="C250" i="1"/>
  <c r="H250" i="1" s="1"/>
  <c r="G250" i="1"/>
  <c r="K250" i="1" s="1"/>
  <c r="C251" i="1"/>
  <c r="H251" i="1" s="1"/>
  <c r="G251" i="1"/>
  <c r="K251" i="1" s="1"/>
  <c r="C252" i="1"/>
  <c r="H252" i="1" s="1"/>
  <c r="G252" i="1"/>
  <c r="K252" i="1" s="1"/>
  <c r="C253" i="1"/>
  <c r="H253" i="1" s="1"/>
  <c r="G253" i="1"/>
  <c r="K253" i="1" s="1"/>
  <c r="C254" i="1"/>
  <c r="H254" i="1" s="1"/>
  <c r="G254" i="1"/>
  <c r="K254" i="1" s="1"/>
  <c r="C255" i="1"/>
  <c r="H255" i="1" s="1"/>
  <c r="G255" i="1"/>
  <c r="K255" i="1" s="1"/>
  <c r="C256" i="1"/>
  <c r="H256" i="1" s="1"/>
  <c r="G256" i="1"/>
  <c r="K256" i="1" s="1"/>
  <c r="C257" i="1"/>
  <c r="H257" i="1" s="1"/>
  <c r="G257" i="1"/>
  <c r="K257" i="1" s="1"/>
  <c r="C258" i="1"/>
  <c r="H258" i="1" s="1"/>
  <c r="G258" i="1"/>
  <c r="K258" i="1" s="1"/>
  <c r="C259" i="1"/>
  <c r="H259" i="1" s="1"/>
  <c r="G259" i="1"/>
  <c r="K259" i="1" s="1"/>
  <c r="C260" i="1"/>
  <c r="H260" i="1" s="1"/>
  <c r="G260" i="1"/>
  <c r="K260" i="1" s="1"/>
  <c r="C261" i="1"/>
  <c r="H261" i="1" s="1"/>
  <c r="G261" i="1"/>
  <c r="K261" i="1" s="1"/>
  <c r="C262" i="1"/>
  <c r="H262" i="1" s="1"/>
  <c r="G262" i="1"/>
  <c r="K262" i="1" s="1"/>
  <c r="C263" i="1"/>
  <c r="H263" i="1" s="1"/>
  <c r="G263" i="1"/>
  <c r="K263" i="1" s="1"/>
  <c r="C264" i="1"/>
  <c r="H264" i="1" s="1"/>
  <c r="G264" i="1"/>
  <c r="K264" i="1" s="1"/>
  <c r="C265" i="1"/>
  <c r="H265" i="1" s="1"/>
  <c r="G265" i="1"/>
  <c r="K265" i="1" s="1"/>
  <c r="C266" i="1"/>
  <c r="H266" i="1" s="1"/>
  <c r="G266" i="1"/>
  <c r="K266" i="1" s="1"/>
  <c r="C267" i="1"/>
  <c r="H267" i="1" s="1"/>
  <c r="G267" i="1"/>
  <c r="K267" i="1" s="1"/>
  <c r="C268" i="1"/>
  <c r="H268" i="1" s="1"/>
  <c r="G268" i="1"/>
  <c r="K268" i="1" s="1"/>
  <c r="C269" i="1"/>
  <c r="H269" i="1" s="1"/>
  <c r="G269" i="1"/>
  <c r="K269" i="1" s="1"/>
  <c r="C270" i="1"/>
  <c r="H270" i="1" s="1"/>
  <c r="G270" i="1"/>
  <c r="K270" i="1" s="1"/>
  <c r="C271" i="1"/>
  <c r="H271" i="1" s="1"/>
  <c r="G271" i="1"/>
  <c r="K271" i="1" s="1"/>
  <c r="C272" i="1"/>
  <c r="H272" i="1" s="1"/>
  <c r="G272" i="1"/>
  <c r="K272" i="1" s="1"/>
  <c r="C273" i="1"/>
  <c r="H273" i="1" s="1"/>
  <c r="G273" i="1"/>
  <c r="K273" i="1" s="1"/>
  <c r="C274" i="1"/>
  <c r="H274" i="1" s="1"/>
  <c r="G274" i="1"/>
  <c r="K274" i="1" s="1"/>
  <c r="C275" i="1"/>
  <c r="H275" i="1" s="1"/>
  <c r="G275" i="1"/>
  <c r="K275" i="1" s="1"/>
  <c r="C276" i="1"/>
  <c r="H276" i="1" s="1"/>
  <c r="G276" i="1"/>
  <c r="K276" i="1" s="1"/>
  <c r="C277" i="1"/>
  <c r="H277" i="1" s="1"/>
  <c r="G277" i="1"/>
  <c r="K277" i="1" s="1"/>
  <c r="C278" i="1"/>
  <c r="H278" i="1" s="1"/>
  <c r="G278" i="1"/>
  <c r="K278" i="1" s="1"/>
  <c r="C279" i="1"/>
  <c r="H279" i="1" s="1"/>
  <c r="G279" i="1"/>
  <c r="K279" i="1" s="1"/>
  <c r="C280" i="1"/>
  <c r="H280" i="1" s="1"/>
  <c r="G280" i="1"/>
  <c r="K280" i="1" s="1"/>
  <c r="C281" i="1"/>
  <c r="H281" i="1" s="1"/>
  <c r="G281" i="1"/>
  <c r="K281" i="1" s="1"/>
  <c r="C282" i="1"/>
  <c r="H282" i="1" s="1"/>
  <c r="G282" i="1"/>
  <c r="K282" i="1" s="1"/>
  <c r="C283" i="1"/>
  <c r="H283" i="1" s="1"/>
  <c r="G283" i="1"/>
  <c r="K283" i="1" s="1"/>
  <c r="C284" i="1"/>
  <c r="H284" i="1" s="1"/>
  <c r="G284" i="1"/>
  <c r="K284" i="1" s="1"/>
  <c r="C285" i="1"/>
  <c r="H285" i="1" s="1"/>
  <c r="G285" i="1"/>
  <c r="K285" i="1" s="1"/>
  <c r="C286" i="1"/>
  <c r="H286" i="1" s="1"/>
  <c r="G286" i="1"/>
  <c r="K286" i="1" s="1"/>
  <c r="C287" i="1"/>
  <c r="H287" i="1" s="1"/>
  <c r="G287" i="1"/>
  <c r="K287" i="1" s="1"/>
  <c r="C288" i="1"/>
  <c r="H288" i="1" s="1"/>
  <c r="G288" i="1"/>
  <c r="C289" i="1"/>
  <c r="H289" i="1" s="1"/>
  <c r="G289" i="1"/>
  <c r="K289" i="1" s="1"/>
  <c r="C290" i="1"/>
  <c r="H290" i="1" s="1"/>
  <c r="G290" i="1"/>
  <c r="K290" i="1" s="1"/>
  <c r="C291" i="1"/>
  <c r="H291" i="1" s="1"/>
  <c r="G291" i="1"/>
  <c r="K291" i="1" s="1"/>
  <c r="C292" i="1"/>
  <c r="H292" i="1" s="1"/>
  <c r="G292" i="1"/>
  <c r="K292" i="1" s="1"/>
  <c r="C293" i="1"/>
  <c r="H293" i="1" s="1"/>
  <c r="G293" i="1"/>
  <c r="K293" i="1" s="1"/>
  <c r="C294" i="1"/>
  <c r="H294" i="1" s="1"/>
  <c r="G294" i="1"/>
  <c r="K294" i="1" s="1"/>
  <c r="C295" i="1"/>
  <c r="H295" i="1" s="1"/>
  <c r="G295" i="1"/>
  <c r="K295" i="1" s="1"/>
  <c r="C296" i="1"/>
  <c r="H296" i="1" s="1"/>
  <c r="G296" i="1"/>
  <c r="K296" i="1" s="1"/>
  <c r="C297" i="1"/>
  <c r="H297" i="1" s="1"/>
  <c r="G297" i="1"/>
  <c r="K297" i="1" s="1"/>
  <c r="C298" i="1"/>
  <c r="H298" i="1" s="1"/>
  <c r="G298" i="1"/>
  <c r="K298" i="1" s="1"/>
  <c r="C299" i="1"/>
  <c r="H299" i="1" s="1"/>
  <c r="G299" i="1"/>
  <c r="K299" i="1" s="1"/>
  <c r="C300" i="1"/>
  <c r="H300" i="1" s="1"/>
  <c r="G300" i="1"/>
  <c r="K300" i="1" s="1"/>
  <c r="C301" i="1"/>
  <c r="H301" i="1" s="1"/>
  <c r="G301" i="1"/>
  <c r="K301" i="1" s="1"/>
  <c r="C302" i="1"/>
  <c r="H302" i="1" s="1"/>
  <c r="G302" i="1"/>
  <c r="K302" i="1" s="1"/>
  <c r="C303" i="1"/>
  <c r="H303" i="1" s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K188" i="1" s="1"/>
  <c r="J189" i="1"/>
  <c r="M189" i="1" s="1"/>
  <c r="G189" i="1"/>
  <c r="K189" i="1" s="1"/>
  <c r="J190" i="1"/>
  <c r="M190" i="1" s="1"/>
  <c r="G190" i="1"/>
  <c r="K190" i="1" s="1"/>
  <c r="J191" i="1"/>
  <c r="M191" i="1" s="1"/>
  <c r="G191" i="1"/>
  <c r="K191" i="1" s="1"/>
  <c r="J192" i="1"/>
  <c r="M192" i="1" s="1"/>
  <c r="G192" i="1"/>
  <c r="K192" i="1" s="1"/>
  <c r="J193" i="1"/>
  <c r="M193" i="1" s="1"/>
  <c r="G193" i="1"/>
  <c r="K193" i="1" s="1"/>
  <c r="J194" i="1"/>
  <c r="M194" i="1" s="1"/>
  <c r="G194" i="1"/>
  <c r="K194" i="1" s="1"/>
  <c r="J195" i="1"/>
  <c r="M195" i="1" s="1"/>
  <c r="G195" i="1"/>
  <c r="K195" i="1" s="1"/>
  <c r="J196" i="1"/>
  <c r="M196" i="1" s="1"/>
  <c r="G196" i="1"/>
  <c r="K196" i="1" s="1"/>
  <c r="J197" i="1"/>
  <c r="M197" i="1" s="1"/>
  <c r="G197" i="1"/>
  <c r="K197" i="1" s="1"/>
  <c r="J198" i="1"/>
  <c r="M198" i="1" s="1"/>
  <c r="G198" i="1"/>
  <c r="K198" i="1" s="1"/>
  <c r="J199" i="1"/>
  <c r="M199" i="1" s="1"/>
  <c r="G199" i="1"/>
  <c r="K199" i="1" s="1"/>
  <c r="J200" i="1"/>
  <c r="M200" i="1" s="1"/>
  <c r="G200" i="1"/>
  <c r="K200" i="1" s="1"/>
  <c r="J201" i="1"/>
  <c r="M201" i="1" s="1"/>
  <c r="G201" i="1"/>
  <c r="K201" i="1" s="1"/>
  <c r="J202" i="1"/>
  <c r="M202" i="1" s="1"/>
  <c r="G202" i="1"/>
  <c r="K202" i="1" s="1"/>
  <c r="J203" i="1"/>
  <c r="M203" i="1" s="1"/>
  <c r="G203" i="1"/>
  <c r="K203" i="1" s="1"/>
  <c r="J204" i="1"/>
  <c r="M204" i="1" s="1"/>
  <c r="G204" i="1"/>
  <c r="K204" i="1" s="1"/>
  <c r="J205" i="1"/>
  <c r="M205" i="1" s="1"/>
  <c r="G205" i="1"/>
  <c r="K205" i="1" s="1"/>
  <c r="J206" i="1"/>
  <c r="M206" i="1" s="1"/>
  <c r="G206" i="1"/>
  <c r="K206" i="1" s="1"/>
  <c r="J207" i="1"/>
  <c r="M207" i="1" s="1"/>
  <c r="G207" i="1"/>
  <c r="K207" i="1" s="1"/>
  <c r="J208" i="1"/>
  <c r="M208" i="1" s="1"/>
  <c r="G208" i="1"/>
  <c r="K208" i="1" s="1"/>
  <c r="J209" i="1"/>
  <c r="M209" i="1" s="1"/>
  <c r="G209" i="1"/>
  <c r="K209" i="1" s="1"/>
  <c r="J210" i="1"/>
  <c r="M210" i="1" s="1"/>
  <c r="G210" i="1"/>
  <c r="K210" i="1" s="1"/>
  <c r="J211" i="1"/>
  <c r="M211" i="1" s="1"/>
  <c r="G211" i="1"/>
  <c r="K211" i="1" s="1"/>
  <c r="J5" i="1"/>
  <c r="M5" i="1" s="1"/>
  <c r="G5" i="1"/>
  <c r="K5" i="1" s="1"/>
  <c r="J6" i="1"/>
  <c r="M6" i="1" s="1"/>
  <c r="G6" i="1"/>
  <c r="K6" i="1" s="1"/>
  <c r="J7" i="1"/>
  <c r="M7" i="1" s="1"/>
  <c r="G7" i="1"/>
  <c r="K7" i="1" s="1"/>
  <c r="J8" i="1"/>
  <c r="M8" i="1" s="1"/>
  <c r="G8" i="1"/>
  <c r="K8" i="1" s="1"/>
  <c r="J9" i="1"/>
  <c r="M9" i="1" s="1"/>
  <c r="G9" i="1"/>
  <c r="K9" i="1" s="1"/>
  <c r="J10" i="1"/>
  <c r="M10" i="1" s="1"/>
  <c r="G10" i="1"/>
  <c r="K10" i="1" s="1"/>
  <c r="J11" i="1"/>
  <c r="M11" i="1" s="1"/>
  <c r="G11" i="1"/>
  <c r="K11" i="1" s="1"/>
  <c r="J12" i="1"/>
  <c r="M12" i="1" s="1"/>
  <c r="G12" i="1"/>
  <c r="K12" i="1" s="1"/>
  <c r="J13" i="1"/>
  <c r="M13" i="1" s="1"/>
  <c r="G13" i="1"/>
  <c r="K13" i="1" s="1"/>
  <c r="J14" i="1"/>
  <c r="M14" i="1" s="1"/>
  <c r="G14" i="1"/>
  <c r="K14" i="1" s="1"/>
  <c r="J15" i="1"/>
  <c r="M15" i="1" s="1"/>
  <c r="G15" i="1"/>
  <c r="K15" i="1" s="1"/>
  <c r="J16" i="1"/>
  <c r="M16" i="1" s="1"/>
  <c r="G16" i="1"/>
  <c r="K16" i="1" s="1"/>
  <c r="J17" i="1"/>
  <c r="M17" i="1" s="1"/>
  <c r="G17" i="1"/>
  <c r="K17" i="1" s="1"/>
  <c r="J18" i="1"/>
  <c r="M18" i="1" s="1"/>
  <c r="G18" i="1"/>
  <c r="K18" i="1" s="1"/>
  <c r="J19" i="1"/>
  <c r="M19" i="1" s="1"/>
  <c r="G19" i="1"/>
  <c r="K19" i="1" s="1"/>
  <c r="J20" i="1"/>
  <c r="M20" i="1" s="1"/>
  <c r="G20" i="1"/>
  <c r="K20" i="1" s="1"/>
  <c r="J21" i="1"/>
  <c r="M21" i="1" s="1"/>
  <c r="G21" i="1"/>
  <c r="K21" i="1" s="1"/>
  <c r="J22" i="1"/>
  <c r="M22" i="1" s="1"/>
  <c r="G22" i="1"/>
  <c r="K22" i="1" s="1"/>
  <c r="J23" i="1"/>
  <c r="M23" i="1" s="1"/>
  <c r="G23" i="1"/>
  <c r="K23" i="1" s="1"/>
  <c r="J24" i="1"/>
  <c r="M24" i="1" s="1"/>
  <c r="G24" i="1"/>
  <c r="K24" i="1" s="1"/>
  <c r="J25" i="1"/>
  <c r="M25" i="1" s="1"/>
  <c r="G25" i="1"/>
  <c r="K25" i="1" s="1"/>
  <c r="J26" i="1"/>
  <c r="M26" i="1" s="1"/>
  <c r="G26" i="1"/>
  <c r="K26" i="1" s="1"/>
  <c r="J27" i="1"/>
  <c r="M27" i="1" s="1"/>
  <c r="G27" i="1"/>
  <c r="K27" i="1" s="1"/>
  <c r="J28" i="1"/>
  <c r="M28" i="1" s="1"/>
  <c r="G28" i="1"/>
  <c r="K28" i="1" s="1"/>
  <c r="J29" i="1"/>
  <c r="M29" i="1" s="1"/>
  <c r="G29" i="1"/>
  <c r="K29" i="1" s="1"/>
  <c r="J30" i="1"/>
  <c r="M30" i="1" s="1"/>
  <c r="G30" i="1"/>
  <c r="K30" i="1" s="1"/>
  <c r="J31" i="1"/>
  <c r="M31" i="1" s="1"/>
  <c r="G31" i="1"/>
  <c r="K31" i="1" s="1"/>
  <c r="J32" i="1"/>
  <c r="M32" i="1" s="1"/>
  <c r="G32" i="1"/>
  <c r="K32" i="1" s="1"/>
  <c r="J33" i="1"/>
  <c r="M33" i="1" s="1"/>
  <c r="G33" i="1"/>
  <c r="K33" i="1" s="1"/>
  <c r="J34" i="1"/>
  <c r="M34" i="1" s="1"/>
  <c r="G34" i="1"/>
  <c r="K34" i="1" s="1"/>
  <c r="J35" i="1"/>
  <c r="M35" i="1" s="1"/>
  <c r="G35" i="1"/>
  <c r="K35" i="1" s="1"/>
  <c r="J36" i="1"/>
  <c r="M36" i="1" s="1"/>
  <c r="G36" i="1"/>
  <c r="K36" i="1" s="1"/>
  <c r="J37" i="1"/>
  <c r="M37" i="1" s="1"/>
  <c r="G37" i="1"/>
  <c r="K37" i="1" s="1"/>
  <c r="J38" i="1"/>
  <c r="M38" i="1" s="1"/>
  <c r="G38" i="1"/>
  <c r="K38" i="1" s="1"/>
  <c r="J39" i="1"/>
  <c r="M39" i="1" s="1"/>
  <c r="G39" i="1"/>
  <c r="K39" i="1" s="1"/>
  <c r="J40" i="1"/>
  <c r="M40" i="1" s="1"/>
  <c r="G40" i="1"/>
  <c r="K40" i="1" s="1"/>
  <c r="J41" i="1"/>
  <c r="M41" i="1" s="1"/>
  <c r="G41" i="1"/>
  <c r="K41" i="1" s="1"/>
  <c r="J42" i="1"/>
  <c r="M42" i="1" s="1"/>
  <c r="G42" i="1"/>
  <c r="K42" i="1" s="1"/>
  <c r="J43" i="1"/>
  <c r="M43" i="1" s="1"/>
  <c r="G43" i="1"/>
  <c r="K43" i="1" s="1"/>
  <c r="J44" i="1"/>
  <c r="M44" i="1" s="1"/>
  <c r="G44" i="1"/>
  <c r="K44" i="1" s="1"/>
  <c r="J45" i="1"/>
  <c r="M45" i="1" s="1"/>
  <c r="G45" i="1"/>
  <c r="K45" i="1" s="1"/>
  <c r="J46" i="1"/>
  <c r="M46" i="1" s="1"/>
  <c r="G46" i="1"/>
  <c r="K46" i="1" s="1"/>
  <c r="J47" i="1"/>
  <c r="M47" i="1" s="1"/>
  <c r="G47" i="1"/>
  <c r="K47" i="1" s="1"/>
  <c r="J48" i="1"/>
  <c r="M48" i="1" s="1"/>
  <c r="G48" i="1"/>
  <c r="K48" i="1" s="1"/>
  <c r="J49" i="1"/>
  <c r="M49" i="1" s="1"/>
  <c r="G49" i="1"/>
  <c r="K49" i="1" s="1"/>
  <c r="J50" i="1"/>
  <c r="M50" i="1" s="1"/>
  <c r="G50" i="1"/>
  <c r="K50" i="1" s="1"/>
  <c r="J51" i="1"/>
  <c r="M51" i="1" s="1"/>
  <c r="G51" i="1"/>
  <c r="K51" i="1" s="1"/>
  <c r="J52" i="1"/>
  <c r="M52" i="1" s="1"/>
  <c r="G52" i="1"/>
  <c r="K52" i="1" s="1"/>
  <c r="J53" i="1"/>
  <c r="M53" i="1" s="1"/>
  <c r="G53" i="1"/>
  <c r="K53" i="1" s="1"/>
  <c r="J54" i="1"/>
  <c r="M54" i="1" s="1"/>
  <c r="G54" i="1"/>
  <c r="K54" i="1" s="1"/>
  <c r="J55" i="1"/>
  <c r="M55" i="1" s="1"/>
  <c r="G55" i="1"/>
  <c r="K55" i="1" s="1"/>
  <c r="J56" i="1"/>
  <c r="M56" i="1" s="1"/>
  <c r="G56" i="1"/>
  <c r="K56" i="1" s="1"/>
  <c r="J57" i="1"/>
  <c r="M57" i="1" s="1"/>
  <c r="G57" i="1"/>
  <c r="K57" i="1" s="1"/>
  <c r="J58" i="1"/>
  <c r="M58" i="1" s="1"/>
  <c r="G58" i="1"/>
  <c r="K58" i="1" s="1"/>
  <c r="J59" i="1"/>
  <c r="M59" i="1" s="1"/>
  <c r="G59" i="1"/>
  <c r="K59" i="1" s="1"/>
  <c r="J60" i="1"/>
  <c r="M60" i="1" s="1"/>
  <c r="G60" i="1"/>
  <c r="K60" i="1" s="1"/>
  <c r="J61" i="1"/>
  <c r="M61" i="1" s="1"/>
  <c r="G61" i="1"/>
  <c r="K61" i="1" s="1"/>
  <c r="J62" i="1"/>
  <c r="M62" i="1" s="1"/>
  <c r="G62" i="1"/>
  <c r="K62" i="1" s="1"/>
  <c r="J63" i="1"/>
  <c r="M63" i="1" s="1"/>
  <c r="G63" i="1"/>
  <c r="K63" i="1" s="1"/>
  <c r="J64" i="1"/>
  <c r="M64" i="1" s="1"/>
  <c r="G64" i="1"/>
  <c r="K64" i="1" s="1"/>
  <c r="J65" i="1"/>
  <c r="M65" i="1" s="1"/>
  <c r="G65" i="1"/>
  <c r="K65" i="1" s="1"/>
  <c r="J66" i="1"/>
  <c r="M66" i="1" s="1"/>
  <c r="G66" i="1"/>
  <c r="K66" i="1" s="1"/>
  <c r="J67" i="1"/>
  <c r="M67" i="1" s="1"/>
  <c r="G67" i="1"/>
  <c r="K67" i="1" s="1"/>
  <c r="J68" i="1"/>
  <c r="M68" i="1" s="1"/>
  <c r="G68" i="1"/>
  <c r="K68" i="1" s="1"/>
  <c r="J69" i="1"/>
  <c r="M69" i="1" s="1"/>
  <c r="G69" i="1"/>
  <c r="K69" i="1" s="1"/>
  <c r="J70" i="1"/>
  <c r="M70" i="1" s="1"/>
  <c r="G70" i="1"/>
  <c r="K70" i="1" s="1"/>
  <c r="J71" i="1"/>
  <c r="M71" i="1" s="1"/>
  <c r="G71" i="1"/>
  <c r="K71" i="1" s="1"/>
  <c r="J72" i="1"/>
  <c r="M72" i="1" s="1"/>
  <c r="G72" i="1"/>
  <c r="K72" i="1" s="1"/>
  <c r="J73" i="1"/>
  <c r="M73" i="1" s="1"/>
  <c r="G73" i="1"/>
  <c r="K73" i="1" s="1"/>
  <c r="J74" i="1"/>
  <c r="M74" i="1" s="1"/>
  <c r="G74" i="1"/>
  <c r="K74" i="1" s="1"/>
  <c r="J75" i="1"/>
  <c r="M75" i="1" s="1"/>
  <c r="G75" i="1"/>
  <c r="K75" i="1" s="1"/>
  <c r="J76" i="1"/>
  <c r="M76" i="1" s="1"/>
  <c r="G76" i="1"/>
  <c r="K76" i="1" s="1"/>
  <c r="J77" i="1"/>
  <c r="M77" i="1" s="1"/>
  <c r="G77" i="1"/>
  <c r="K77" i="1" s="1"/>
  <c r="J78" i="1"/>
  <c r="M78" i="1" s="1"/>
  <c r="G78" i="1"/>
  <c r="K78" i="1" s="1"/>
  <c r="J79" i="1"/>
  <c r="M79" i="1" s="1"/>
  <c r="G79" i="1"/>
  <c r="K79" i="1" s="1"/>
  <c r="J80" i="1"/>
  <c r="M80" i="1" s="1"/>
  <c r="G80" i="1"/>
  <c r="K80" i="1" s="1"/>
  <c r="J81" i="1"/>
  <c r="M81" i="1" s="1"/>
  <c r="G81" i="1"/>
  <c r="K81" i="1" s="1"/>
  <c r="J82" i="1"/>
  <c r="M82" i="1" s="1"/>
  <c r="G82" i="1"/>
  <c r="K82" i="1" s="1"/>
  <c r="J83" i="1"/>
  <c r="M83" i="1" s="1"/>
  <c r="G83" i="1"/>
  <c r="K83" i="1" s="1"/>
  <c r="J84" i="1"/>
  <c r="M84" i="1" s="1"/>
  <c r="G84" i="1"/>
  <c r="K84" i="1" s="1"/>
  <c r="J85" i="1"/>
  <c r="M85" i="1" s="1"/>
  <c r="G85" i="1"/>
  <c r="K85" i="1" s="1"/>
  <c r="J86" i="1"/>
  <c r="M86" i="1" s="1"/>
  <c r="G86" i="1"/>
  <c r="K86" i="1" s="1"/>
  <c r="J87" i="1"/>
  <c r="M87" i="1" s="1"/>
  <c r="G87" i="1"/>
  <c r="K87" i="1" s="1"/>
  <c r="J88" i="1"/>
  <c r="M88" i="1" s="1"/>
  <c r="G88" i="1"/>
  <c r="K88" i="1" s="1"/>
  <c r="J89" i="1"/>
  <c r="M89" i="1" s="1"/>
  <c r="G89" i="1"/>
  <c r="K89" i="1" s="1"/>
  <c r="J90" i="1"/>
  <c r="M90" i="1" s="1"/>
  <c r="G90" i="1"/>
  <c r="K90" i="1" s="1"/>
  <c r="J91" i="1"/>
  <c r="M91" i="1" s="1"/>
  <c r="G91" i="1"/>
  <c r="K91" i="1" s="1"/>
  <c r="J92" i="1"/>
  <c r="M92" i="1" s="1"/>
  <c r="G92" i="1"/>
  <c r="K92" i="1" s="1"/>
  <c r="J93" i="1"/>
  <c r="M93" i="1" s="1"/>
  <c r="G93" i="1"/>
  <c r="K93" i="1" s="1"/>
  <c r="J94" i="1"/>
  <c r="M94" i="1" s="1"/>
  <c r="G94" i="1"/>
  <c r="K94" i="1" s="1"/>
  <c r="J95" i="1"/>
  <c r="M95" i="1" s="1"/>
  <c r="G95" i="1"/>
  <c r="K95" i="1" s="1"/>
  <c r="J96" i="1"/>
  <c r="M96" i="1" s="1"/>
  <c r="G96" i="1"/>
  <c r="K96" i="1" s="1"/>
  <c r="J97" i="1"/>
  <c r="M97" i="1" s="1"/>
  <c r="G97" i="1"/>
  <c r="K97" i="1" s="1"/>
  <c r="J98" i="1"/>
  <c r="M98" i="1" s="1"/>
  <c r="G98" i="1"/>
  <c r="K98" i="1" s="1"/>
  <c r="J99" i="1"/>
  <c r="M99" i="1" s="1"/>
  <c r="G99" i="1"/>
  <c r="K99" i="1" s="1"/>
  <c r="J100" i="1"/>
  <c r="M100" i="1" s="1"/>
  <c r="G100" i="1"/>
  <c r="K100" i="1" s="1"/>
  <c r="J101" i="1"/>
  <c r="M101" i="1" s="1"/>
  <c r="G101" i="1"/>
  <c r="K101" i="1" s="1"/>
  <c r="J102" i="1"/>
  <c r="M102" i="1" s="1"/>
  <c r="G102" i="1"/>
  <c r="K102" i="1" s="1"/>
  <c r="J103" i="1"/>
  <c r="M103" i="1" s="1"/>
  <c r="G103" i="1"/>
  <c r="K103" i="1" s="1"/>
  <c r="J104" i="1"/>
  <c r="M104" i="1" s="1"/>
  <c r="G104" i="1"/>
  <c r="K104" i="1" s="1"/>
  <c r="J105" i="1"/>
  <c r="M105" i="1" s="1"/>
  <c r="G105" i="1"/>
  <c r="K105" i="1" s="1"/>
  <c r="J106" i="1"/>
  <c r="M106" i="1" s="1"/>
  <c r="G106" i="1"/>
  <c r="K106" i="1" s="1"/>
  <c r="J107" i="1"/>
  <c r="M107" i="1" s="1"/>
  <c r="G107" i="1"/>
  <c r="K107" i="1" s="1"/>
  <c r="J108" i="1"/>
  <c r="M108" i="1" s="1"/>
  <c r="G108" i="1"/>
  <c r="K108" i="1" s="1"/>
  <c r="J109" i="1"/>
  <c r="M109" i="1" s="1"/>
  <c r="G109" i="1"/>
  <c r="K109" i="1" s="1"/>
  <c r="J110" i="1"/>
  <c r="M110" i="1" s="1"/>
  <c r="G110" i="1"/>
  <c r="K110" i="1" s="1"/>
  <c r="J111" i="1"/>
  <c r="M111" i="1" s="1"/>
  <c r="G111" i="1"/>
  <c r="K111" i="1" s="1"/>
  <c r="J112" i="1"/>
  <c r="M112" i="1" s="1"/>
  <c r="G112" i="1"/>
  <c r="K112" i="1" s="1"/>
  <c r="J113" i="1"/>
  <c r="M113" i="1" s="1"/>
  <c r="G113" i="1"/>
  <c r="K113" i="1" s="1"/>
  <c r="J114" i="1"/>
  <c r="M114" i="1" s="1"/>
  <c r="G114" i="1"/>
  <c r="K114" i="1" s="1"/>
  <c r="J115" i="1"/>
  <c r="M115" i="1" s="1"/>
  <c r="G115" i="1"/>
  <c r="K115" i="1" s="1"/>
  <c r="J116" i="1"/>
  <c r="M116" i="1" s="1"/>
  <c r="G116" i="1"/>
  <c r="K116" i="1" s="1"/>
  <c r="J117" i="1"/>
  <c r="M117" i="1" s="1"/>
  <c r="G117" i="1"/>
  <c r="K117" i="1" s="1"/>
  <c r="J118" i="1"/>
  <c r="M118" i="1" s="1"/>
  <c r="G118" i="1"/>
  <c r="K118" i="1" s="1"/>
  <c r="J119" i="1"/>
  <c r="M119" i="1" s="1"/>
  <c r="G119" i="1"/>
  <c r="K119" i="1" s="1"/>
  <c r="J120" i="1"/>
  <c r="M120" i="1" s="1"/>
  <c r="G120" i="1"/>
  <c r="K120" i="1" s="1"/>
  <c r="J121" i="1"/>
  <c r="M121" i="1" s="1"/>
  <c r="G121" i="1"/>
  <c r="K121" i="1" s="1"/>
  <c r="J122" i="1"/>
  <c r="M122" i="1" s="1"/>
  <c r="G122" i="1"/>
  <c r="K122" i="1" s="1"/>
  <c r="J123" i="1"/>
  <c r="M123" i="1" s="1"/>
  <c r="G123" i="1"/>
  <c r="K123" i="1" s="1"/>
  <c r="J124" i="1"/>
  <c r="M124" i="1" s="1"/>
  <c r="G124" i="1"/>
  <c r="K124" i="1" s="1"/>
  <c r="J125" i="1"/>
  <c r="M125" i="1" s="1"/>
  <c r="G125" i="1"/>
  <c r="K125" i="1" s="1"/>
  <c r="J126" i="1"/>
  <c r="M126" i="1" s="1"/>
  <c r="G126" i="1"/>
  <c r="K126" i="1" s="1"/>
  <c r="J127" i="1"/>
  <c r="M127" i="1" s="1"/>
  <c r="G127" i="1"/>
  <c r="K127" i="1" s="1"/>
  <c r="J128" i="1"/>
  <c r="M128" i="1" s="1"/>
  <c r="G128" i="1"/>
  <c r="K128" i="1" s="1"/>
  <c r="J129" i="1"/>
  <c r="M129" i="1" s="1"/>
  <c r="G129" i="1"/>
  <c r="K129" i="1" s="1"/>
  <c r="J130" i="1"/>
  <c r="M130" i="1" s="1"/>
  <c r="G130" i="1"/>
  <c r="K130" i="1" s="1"/>
  <c r="J131" i="1"/>
  <c r="M131" i="1" s="1"/>
  <c r="G131" i="1"/>
  <c r="K131" i="1" s="1"/>
  <c r="J132" i="1"/>
  <c r="M132" i="1" s="1"/>
  <c r="G132" i="1"/>
  <c r="K132" i="1" s="1"/>
  <c r="J133" i="1"/>
  <c r="M133" i="1" s="1"/>
  <c r="G133" i="1"/>
  <c r="K133" i="1" s="1"/>
  <c r="J134" i="1"/>
  <c r="M134" i="1" s="1"/>
  <c r="G134" i="1"/>
  <c r="K134" i="1" s="1"/>
  <c r="J135" i="1"/>
  <c r="M135" i="1" s="1"/>
  <c r="G135" i="1"/>
  <c r="K135" i="1" s="1"/>
  <c r="J136" i="1"/>
  <c r="M136" i="1" s="1"/>
  <c r="G136" i="1"/>
  <c r="K136" i="1" s="1"/>
  <c r="J137" i="1"/>
  <c r="M137" i="1" s="1"/>
  <c r="G137" i="1"/>
  <c r="K137" i="1" s="1"/>
  <c r="J138" i="1"/>
  <c r="M138" i="1" s="1"/>
  <c r="G138" i="1"/>
  <c r="K138" i="1" s="1"/>
  <c r="J139" i="1"/>
  <c r="M139" i="1" s="1"/>
  <c r="G139" i="1"/>
  <c r="K139" i="1" s="1"/>
  <c r="J140" i="1"/>
  <c r="M140" i="1" s="1"/>
  <c r="G140" i="1"/>
  <c r="K140" i="1" s="1"/>
  <c r="J141" i="1"/>
  <c r="M141" i="1" s="1"/>
  <c r="G141" i="1"/>
  <c r="K141" i="1" s="1"/>
  <c r="J142" i="1"/>
  <c r="M142" i="1" s="1"/>
  <c r="G142" i="1"/>
  <c r="K142" i="1" s="1"/>
  <c r="J143" i="1"/>
  <c r="M143" i="1" s="1"/>
  <c r="G143" i="1"/>
  <c r="K143" i="1" s="1"/>
  <c r="J144" i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K145" i="1" s="1"/>
  <c r="J146" i="1"/>
  <c r="M146" i="1" s="1"/>
  <c r="G146" i="1"/>
  <c r="K146" i="1" s="1"/>
  <c r="J147" i="1"/>
  <c r="M147" i="1" s="1"/>
  <c r="G147" i="1"/>
  <c r="K147" i="1" s="1"/>
  <c r="J148" i="1"/>
  <c r="M148" i="1" s="1"/>
  <c r="G148" i="1"/>
  <c r="K148" i="1" s="1"/>
  <c r="J149" i="1"/>
  <c r="M149" i="1" s="1"/>
  <c r="G149" i="1"/>
  <c r="K149" i="1" s="1"/>
  <c r="J150" i="1"/>
  <c r="M150" i="1" s="1"/>
  <c r="G150" i="1"/>
  <c r="K150" i="1" s="1"/>
  <c r="J151" i="1"/>
  <c r="M151" i="1" s="1"/>
  <c r="G151" i="1"/>
  <c r="K151" i="1" s="1"/>
  <c r="J152" i="1"/>
  <c r="M152" i="1" s="1"/>
  <c r="G152" i="1"/>
  <c r="K152" i="1" s="1"/>
  <c r="J153" i="1"/>
  <c r="M153" i="1" s="1"/>
  <c r="G153" i="1"/>
  <c r="K153" i="1" s="1"/>
  <c r="J154" i="1"/>
  <c r="M154" i="1" s="1"/>
  <c r="G154" i="1"/>
  <c r="K154" i="1" s="1"/>
  <c r="J155" i="1"/>
  <c r="M155" i="1" s="1"/>
  <c r="G155" i="1"/>
  <c r="K155" i="1" s="1"/>
  <c r="J156" i="1"/>
  <c r="M156" i="1" s="1"/>
  <c r="G156" i="1"/>
  <c r="K156" i="1" s="1"/>
  <c r="J157" i="1"/>
  <c r="M157" i="1" s="1"/>
  <c r="G157" i="1"/>
  <c r="K157" i="1" s="1"/>
  <c r="J158" i="1"/>
  <c r="M158" i="1" s="1"/>
  <c r="G158" i="1"/>
  <c r="K158" i="1" s="1"/>
  <c r="J159" i="1"/>
  <c r="M159" i="1" s="1"/>
  <c r="G159" i="1"/>
  <c r="K159" i="1" s="1"/>
  <c r="J160" i="1"/>
  <c r="M160" i="1" s="1"/>
  <c r="G160" i="1"/>
  <c r="K160" i="1" s="1"/>
  <c r="J161" i="1"/>
  <c r="M161" i="1" s="1"/>
  <c r="G161" i="1"/>
  <c r="K161" i="1" s="1"/>
  <c r="J162" i="1"/>
  <c r="M162" i="1" s="1"/>
  <c r="G162" i="1"/>
  <c r="K162" i="1" s="1"/>
  <c r="J163" i="1"/>
  <c r="M163" i="1" s="1"/>
  <c r="G163" i="1"/>
  <c r="K163" i="1" s="1"/>
  <c r="J164" i="1"/>
  <c r="M164" i="1" s="1"/>
  <c r="G164" i="1"/>
  <c r="K164" i="1" s="1"/>
  <c r="J165" i="1"/>
  <c r="M165" i="1" s="1"/>
  <c r="G165" i="1"/>
  <c r="K165" i="1" s="1"/>
  <c r="J166" i="1"/>
  <c r="M166" i="1" s="1"/>
  <c r="G166" i="1"/>
  <c r="K166" i="1" s="1"/>
  <c r="J167" i="1"/>
  <c r="M167" i="1" s="1"/>
  <c r="G167" i="1"/>
  <c r="K167" i="1" s="1"/>
  <c r="J168" i="1"/>
  <c r="M168" i="1" s="1"/>
  <c r="G168" i="1"/>
  <c r="K168" i="1" s="1"/>
  <c r="J169" i="1"/>
  <c r="M169" i="1" s="1"/>
  <c r="G169" i="1"/>
  <c r="K169" i="1" s="1"/>
  <c r="J170" i="1"/>
  <c r="M170" i="1" s="1"/>
  <c r="G170" i="1"/>
  <c r="K170" i="1" s="1"/>
  <c r="J171" i="1"/>
  <c r="M171" i="1" s="1"/>
  <c r="G171" i="1"/>
  <c r="K171" i="1" s="1"/>
  <c r="J172" i="1"/>
  <c r="M172" i="1" s="1"/>
  <c r="G172" i="1"/>
  <c r="K172" i="1" s="1"/>
  <c r="J173" i="1"/>
  <c r="M173" i="1" s="1"/>
  <c r="G173" i="1"/>
  <c r="K173" i="1" s="1"/>
  <c r="J174" i="1"/>
  <c r="M174" i="1" s="1"/>
  <c r="G174" i="1"/>
  <c r="K174" i="1" s="1"/>
  <c r="J175" i="1"/>
  <c r="M175" i="1" s="1"/>
  <c r="G175" i="1"/>
  <c r="K175" i="1" s="1"/>
  <c r="J176" i="1"/>
  <c r="M176" i="1" s="1"/>
  <c r="G176" i="1"/>
  <c r="K176" i="1" s="1"/>
  <c r="J177" i="1"/>
  <c r="M177" i="1" s="1"/>
  <c r="G177" i="1"/>
  <c r="K177" i="1" s="1"/>
  <c r="J178" i="1"/>
  <c r="M178" i="1" s="1"/>
  <c r="G178" i="1"/>
  <c r="K178" i="1" s="1"/>
  <c r="J179" i="1"/>
  <c r="M179" i="1" s="1"/>
  <c r="G179" i="1"/>
  <c r="K179" i="1" s="1"/>
  <c r="J180" i="1"/>
  <c r="M180" i="1" s="1"/>
  <c r="G180" i="1"/>
  <c r="K180" i="1" s="1"/>
  <c r="J181" i="1"/>
  <c r="M181" i="1" s="1"/>
  <c r="G181" i="1"/>
  <c r="K181" i="1" s="1"/>
  <c r="J182" i="1"/>
  <c r="M182" i="1" s="1"/>
  <c r="G182" i="1"/>
  <c r="K182" i="1" s="1"/>
  <c r="J183" i="1"/>
  <c r="M183" i="1" s="1"/>
  <c r="G183" i="1"/>
  <c r="K183" i="1" s="1"/>
  <c r="J184" i="1"/>
  <c r="M184" i="1" s="1"/>
  <c r="G184" i="1"/>
  <c r="K184" i="1" s="1"/>
  <c r="J185" i="1"/>
  <c r="M185" i="1" s="1"/>
  <c r="G185" i="1"/>
  <c r="K185" i="1" s="1"/>
  <c r="J186" i="1"/>
  <c r="M186" i="1" s="1"/>
  <c r="G186" i="1"/>
  <c r="K186" i="1" s="1"/>
  <c r="J187" i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<sst xmlns="http://schemas.openxmlformats.org/spreadsheetml/2006/main" count="40" uniqueCount="36">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</sst>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S1" zoomScale="85" zoomScaleNormal="85" workbookViewId="0">
      <selection activeCell="Z10" sqref="Z10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-0.51007999999999998</v>
      </c>
      <c r="AC3" t="s">
        <v>30</v>
      </c>
    </row>
    <row r="4" spans="1:29" x14ac:dyDescent="0.3">
      <c r="A4">
        <v>3.8128200000000001E-2</v>
      </c>
      <c r="B4">
        <v>0.94379999999999997</v>
      </c>
      <c r="C4">
        <f>A4*B4</f>
        <v>3.5985395160000003E-2</v>
      </c>
      <c r="D4">
        <v>1.6299999999999999E-2</v>
      </c>
      <c r="E4">
        <v>2.8849251857154604E-3</v>
      </c>
      <c r="F4">
        <f>A4*200</f>
        <v>7.6256400000000006</v>
      </c>
      <c r="G4">
        <f>-B4</f>
        <v>-0.94379999999999997</v>
      </c>
      <c r="H4">
        <f t="shared" ref="H4" si="0">-C4*200</f>
        <v>-7.1970790320000004</v>
      </c>
      <c r="I4">
        <v>1</v>
      </c>
      <c r="J4">
        <f>LN(F4/1000)</f>
        <v>-4.876239025584729</v>
      </c>
      <c r="K4">
        <f>((-G4)-$N$2)</f>
        <v>-0.27792515177521748</v>
      </c>
      <c r="L4">
        <v>1</v>
      </c>
      <c r="M4">
        <f>-1*($S$4+($S$5*J4))</f>
        <v>0.27656830077340222</v>
      </c>
      <c r="N4">
        <f>D4*A4</f>
        <v>6.2148965999999999E-4</v>
      </c>
      <c r="O4">
        <f>E4*A4</f>
        <v>1.0999700446599621E-4</v>
      </c>
      <c r="P4">
        <f>-K4-M4-N4-O4</f>
        <v>6.2536433734926625E-4</v>
      </c>
      <c r="R4" s="2" t="s">
        <v>16</v>
      </c>
      <c r="S4">
        <v>-0.50463000000000002</v>
      </c>
      <c r="V4">
        <v>-6</v>
      </c>
      <c r="W4">
        <f>V4*$S$5+$S$4</f>
        <v>-0.22401000000000004</v>
      </c>
      <c r="Y4">
        <v>0</v>
      </c>
      <c r="Z4">
        <f>$AB$4*Y4+$AB$3</f>
        <v>-0.51007999999999998</v>
      </c>
      <c r="AB4">
        <v>14.426349999999999</v>
      </c>
      <c r="AC4" t="s">
        <v>31</v>
      </c>
    </row>
    <row r="5" spans="1:29" x14ac:dyDescent="0.3">
      <c r="A5">
        <v>9.1083250000000004E-2</v>
      </c>
      <c r="B5">
        <v>0.91418999999999995</v>
      </c>
      <c r="C5">
        <f t="shared" ref="C5:C68" si="1">A5*B5</f>
        <v>8.3267396317500006E-2</v>
      </c>
      <c r="D5">
        <v>1.6299999999999999E-2</v>
      </c>
      <c r="E5">
        <v>2.8849251857154604E-3</v>
      </c>
      <c r="F5">
        <f t="shared" ref="F5:F68" si="2">A5*200</f>
        <v>18.216650000000001</v>
      </c>
      <c r="G5">
        <f t="shared" ref="G5:G68" si="3">-B5</f>
        <v>-0.91418999999999995</v>
      </c>
      <c r="H5">
        <f t="shared" ref="H5:H68" si="4">-C5*200</f>
        <v>-16.6534792635</v>
      </c>
      <c r="I5">
        <v>1</v>
      </c>
      <c r="J5">
        <f t="shared" ref="J5:J68" si="5">LN(F5/1000)</f>
        <v>-4.0054192679412006</v>
      </c>
      <c r="K5">
        <f t="shared" ref="K5:K68" si="6">((-G5)-$N$2)</f>
        <v>-0.30753515177521751</v>
      </c>
      <c r="L5">
        <v>1</v>
      </c>
      <c r="M5">
        <f t="shared" ref="M5:M68" si="7">-1*($S$4+($S$5*J5))</f>
        <v>0.3172965408383901</v>
      </c>
      <c r="N5">
        <f t="shared" ref="N5:N6" si="8">D5*A5</f>
        <v>1.484656975E-3</v>
      </c>
      <c r="O5">
        <f>E5*A5</f>
        <v>2.6276836192181774E-4</v>
      </c>
      <c r="P5">
        <f>-K5-M5-N5-O5</f>
        <v>-1.1508814400094405E-2</v>
      </c>
      <c r="R5" s="2" t="s">
        <v>17</v>
      </c>
      <c r="S5">
        <v>-4.6769999999999999E-2</v>
      </c>
      <c r="V5">
        <v>-5.9</v>
      </c>
      <c r="W5">
        <f t="shared" ref="W5:W68" si="9">V5*$S$5+$S$4</f>
        <v>-0.22868700000000003</v>
      </c>
      <c r="Y5">
        <v>0.01</v>
      </c>
      <c r="Z5">
        <f t="shared" ref="Z5:Z31" si="10">$AB$4*Y5+$AB$3</f>
        <v>-0.36581649999999999</v>
      </c>
    </row>
    <row r="6" spans="1:29" x14ac:dyDescent="0.3">
      <c r="A6">
        <v>0.14200160000000001</v>
      </c>
      <c r="B6">
        <v>0.87692000000000003</v>
      </c>
      <c r="C6">
        <f t="shared" si="1"/>
        <v>0.124524043072</v>
      </c>
      <c r="D6">
        <v>1.6299999999999999E-2</v>
      </c>
      <c r="E6">
        <v>2.8849251857154604E-3</v>
      </c>
      <c r="F6">
        <f t="shared" si="2"/>
        <v>28.400320000000001</v>
      </c>
      <c r="G6">
        <f t="shared" si="3"/>
        <v>-0.87692000000000003</v>
      </c>
      <c r="H6">
        <f t="shared" si="4"/>
        <v>-24.9048086144</v>
      </c>
      <c r="I6">
        <v>1</v>
      </c>
      <c r="J6">
        <f t="shared" si="5"/>
        <v>-3.5613548662728221</v>
      </c>
      <c r="K6">
        <f t="shared" si="6"/>
        <v>-0.34480515177521742</v>
      </c>
      <c r="L6">
        <v>1</v>
      </c>
      <c r="M6">
        <f t="shared" si="7"/>
        <v>0.33806543290442015</v>
      </c>
      <c r="N6">
        <f t="shared" si="8"/>
        <v>2.3146260799999999E-3</v>
      </c>
      <c r="O6">
        <f t="shared" ref="O6:O69" si="11">E6*A6</f>
        <v>4.0966399225189252E-4</v>
      </c>
      <c r="P6">
        <f t="shared" ref="P6:P69" si="12">-K6-M6-N6-O6</f>
        <v>4.0154287985453806E-3</v>
      </c>
      <c r="V6">
        <v>-5.8</v>
      </c>
      <c r="W6">
        <f t="shared" si="9"/>
        <v>-0.23336400000000002</v>
      </c>
      <c r="Y6">
        <v>0.02</v>
      </c>
      <c r="Z6">
        <f t="shared" si="10"/>
        <v>-0.221553</v>
      </c>
      <c r="AB6" t="s">
        <v>32</v>
      </c>
    </row>
    <row r="7" spans="1:29" x14ac:dyDescent="0.3">
      <c r="A7">
        <v>0.19393830000000001</v>
      </c>
      <c r="B7">
        <v>0.85951</v>
      </c>
      <c r="C7">
        <f t="shared" si="1"/>
        <v>0.16669190823300001</v>
      </c>
      <c r="D7">
        <v>1.6299999999999999E-2</v>
      </c>
      <c r="E7">
        <v>2.8849251857154604E-3</v>
      </c>
      <c r="F7">
        <f t="shared" si="2"/>
        <v>38.787660000000002</v>
      </c>
      <c r="G7">
        <f t="shared" si="3"/>
        <v>-0.85951</v>
      </c>
      <c r="H7">
        <f t="shared" si="4"/>
        <v>-33.338381646599998</v>
      </c>
      <c r="I7">
        <v>1</v>
      </c>
      <c r="J7">
        <f t="shared" si="5"/>
        <v>-3.2496531241758628</v>
      </c>
      <c r="K7">
        <f t="shared" si="6"/>
        <v>-0.36221515177521746</v>
      </c>
      <c r="L7">
        <v>1</v>
      </c>
      <c r="M7">
        <f t="shared" si="7"/>
        <v>0.35264372338229488</v>
      </c>
      <c r="N7">
        <f t="shared" ref="N7:N70" si="13">D7*A7</f>
        <v>3.1611942899999997E-3</v>
      </c>
      <c r="O7">
        <f t="shared" si="11"/>
        <v>5.5949748614484069E-4</v>
      </c>
      <c r="P7">
        <f t="shared" si="12"/>
        <v>5.8507366167777361E-3</v>
      </c>
      <c r="V7">
        <v>-5.7</v>
      </c>
      <c r="W7">
        <f t="shared" si="9"/>
        <v>-0.238041</v>
      </c>
      <c r="Y7">
        <v>0.03</v>
      </c>
      <c r="Z7">
        <f t="shared" si="10"/>
        <v>-7.7289500000000011E-2</v>
      </c>
      <c r="AB7" t="s">
        <v>33</v>
      </c>
      <c r="AC7">
        <f>-AB3/AB4</f>
        <v>3.5357522866144242E-2</v>
      </c>
    </row>
    <row r="8" spans="1:29" x14ac:dyDescent="0.3">
      <c r="A8">
        <v>0.24434744999999999</v>
      </c>
      <c r="B8">
        <v>0.84765000000000001</v>
      </c>
      <c r="C8">
        <f t="shared" si="1"/>
        <v>0.20712111599249999</v>
      </c>
      <c r="D8">
        <v>1.6299999999999999E-2</v>
      </c>
      <c r="E8">
        <v>2.8849251857154604E-3</v>
      </c>
      <c r="F8">
        <f t="shared" si="2"/>
        <v>48.869489999999999</v>
      </c>
      <c r="G8">
        <f t="shared" si="3"/>
        <v>-0.84765000000000001</v>
      </c>
      <c r="H8">
        <f t="shared" si="4"/>
        <v>-41.424223198500002</v>
      </c>
      <c r="I8">
        <v>1</v>
      </c>
      <c r="J8">
        <f t="shared" si="5"/>
        <v>-3.0186020036047423</v>
      </c>
      <c r="K8">
        <f t="shared" si="6"/>
        <v>-0.37407515177521744</v>
      </c>
      <c r="L8">
        <v>1</v>
      </c>
      <c r="M8">
        <f t="shared" si="7"/>
        <v>0.36344998429140624</v>
      </c>
      <c r="N8">
        <f t="shared" si="13"/>
        <v>3.9828634349999992E-3</v>
      </c>
      <c r="O8">
        <f t="shared" si="11"/>
        <v>7.0492411257034909E-4</v>
      </c>
      <c r="P8">
        <f t="shared" si="12"/>
        <v>5.9373799362408561E-3</v>
      </c>
      <c r="V8">
        <v>-5.6</v>
      </c>
      <c r="W8">
        <f t="shared" si="9"/>
        <v>-0.24271800000000004</v>
      </c>
      <c r="Y8">
        <v>0.04</v>
      </c>
      <c r="Z8">
        <f t="shared" si="10"/>
        <v>6.6973999999999978E-2</v>
      </c>
    </row>
    <row r="9" spans="1:29" x14ac:dyDescent="0.3">
      <c r="A9">
        <v>0.29781170000000001</v>
      </c>
      <c r="B9">
        <v>0.83899999999999997</v>
      </c>
      <c r="C9">
        <f t="shared" si="1"/>
        <v>0.24986401629999999</v>
      </c>
      <c r="D9">
        <v>1.6299999999999999E-2</v>
      </c>
      <c r="E9">
        <v>2.8849251857154604E-3</v>
      </c>
      <c r="F9">
        <f t="shared" si="2"/>
        <v>59.562340000000006</v>
      </c>
      <c r="G9">
        <f t="shared" si="3"/>
        <v>-0.83899999999999997</v>
      </c>
      <c r="H9">
        <f t="shared" si="4"/>
        <v>-49.972803259999999</v>
      </c>
      <c r="I9">
        <v>1</v>
      </c>
      <c r="J9">
        <f t="shared" si="5"/>
        <v>-2.8207317838252588</v>
      </c>
      <c r="K9">
        <f t="shared" si="6"/>
        <v>-0.38272515177521749</v>
      </c>
      <c r="L9">
        <v>1</v>
      </c>
      <c r="M9">
        <f t="shared" si="7"/>
        <v>0.37270437447049265</v>
      </c>
      <c r="N9">
        <f t="shared" si="13"/>
        <v>4.8543307099999993E-3</v>
      </c>
      <c r="O9">
        <f t="shared" si="11"/>
        <v>8.5916447393073704E-4</v>
      </c>
      <c r="P9">
        <f t="shared" si="12"/>
        <v>4.3072821207941012E-3</v>
      </c>
      <c r="V9">
        <v>-5.5</v>
      </c>
      <c r="W9">
        <f t="shared" si="9"/>
        <v>-0.24739500000000003</v>
      </c>
      <c r="Y9">
        <v>0.05</v>
      </c>
      <c r="Z9">
        <f t="shared" si="10"/>
        <v>0.21123750000000008</v>
      </c>
      <c r="AB9" t="s">
        <v>35</v>
      </c>
      <c r="AC9">
        <v>3.4079999999999999E-2</v>
      </c>
    </row>
    <row r="10" spans="1:29" x14ac:dyDescent="0.3">
      <c r="A10">
        <v>0.3522943</v>
      </c>
      <c r="B10">
        <v>0.83135999999999999</v>
      </c>
      <c r="C10">
        <f t="shared" si="1"/>
        <v>0.292883389248</v>
      </c>
      <c r="D10">
        <v>1.6299999999999999E-2</v>
      </c>
      <c r="E10">
        <v>2.8849251857154604E-3</v>
      </c>
      <c r="F10">
        <f t="shared" si="2"/>
        <v>70.458860000000001</v>
      </c>
      <c r="G10">
        <f t="shared" si="3"/>
        <v>-0.83135999999999999</v>
      </c>
      <c r="H10">
        <f t="shared" si="4"/>
        <v>-58.576677849600003</v>
      </c>
      <c r="I10">
        <v>1</v>
      </c>
      <c r="J10">
        <f t="shared" si="5"/>
        <v>-2.6527262855924962</v>
      </c>
      <c r="K10">
        <f t="shared" si="6"/>
        <v>-0.39036515177521747</v>
      </c>
      <c r="L10">
        <v>1</v>
      </c>
      <c r="M10">
        <f t="shared" si="7"/>
        <v>0.38056199162283899</v>
      </c>
      <c r="N10">
        <f t="shared" si="13"/>
        <v>5.7423970899999994E-3</v>
      </c>
      <c r="O10">
        <f t="shared" si="11"/>
        <v>1.016342698853998E-3</v>
      </c>
      <c r="P10">
        <f t="shared" si="12"/>
        <v>3.0444203635244787E-3</v>
      </c>
      <c r="V10">
        <v>-5.4</v>
      </c>
      <c r="W10">
        <f t="shared" si="9"/>
        <v>-0.25207200000000002</v>
      </c>
      <c r="Y10">
        <v>0.06</v>
      </c>
      <c r="Z10">
        <f t="shared" si="10"/>
        <v>0.35550099999999996</v>
      </c>
    </row>
    <row r="11" spans="1:29" x14ac:dyDescent="0.3">
      <c r="A11">
        <v>0.40372184999999999</v>
      </c>
      <c r="B11">
        <v>0.82486999999999999</v>
      </c>
      <c r="C11">
        <f t="shared" si="1"/>
        <v>0.3330180424095</v>
      </c>
      <c r="D11">
        <v>1.6299999999999999E-2</v>
      </c>
      <c r="E11">
        <v>2.8849251857154604E-3</v>
      </c>
      <c r="F11">
        <f t="shared" si="2"/>
        <v>80.744370000000004</v>
      </c>
      <c r="G11">
        <f t="shared" si="3"/>
        <v>-0.82486999999999999</v>
      </c>
      <c r="H11">
        <f t="shared" si="4"/>
        <v>-66.603608481899997</v>
      </c>
      <c r="I11">
        <v>1</v>
      </c>
      <c r="J11">
        <f t="shared" si="5"/>
        <v>-2.5164670406722474</v>
      </c>
      <c r="K11">
        <f t="shared" si="6"/>
        <v>-0.39685515177521746</v>
      </c>
      <c r="L11">
        <v>1</v>
      </c>
      <c r="M11">
        <f t="shared" si="7"/>
        <v>0.38693483650775901</v>
      </c>
      <c r="N11">
        <f t="shared" si="13"/>
        <v>6.5806661549999996E-3</v>
      </c>
      <c r="O11">
        <f t="shared" si="11"/>
        <v>1.1647073330886392E-3</v>
      </c>
      <c r="P11">
        <f t="shared" si="12"/>
        <v>2.1749417793698184E-3</v>
      </c>
      <c r="V11">
        <v>-5.3</v>
      </c>
      <c r="W11">
        <f t="shared" si="9"/>
        <v>-0.256749</v>
      </c>
      <c r="Y11">
        <v>7.0000000000000007E-2</v>
      </c>
      <c r="Z11">
        <f t="shared" si="10"/>
        <v>0.49976450000000006</v>
      </c>
      <c r="AB11" t="s">
        <v>34</v>
      </c>
      <c r="AC11">
        <f>AC7-AC9</f>
        <v>1.2775228661442428E-3</v>
      </c>
    </row>
    <row r="12" spans="1:29" x14ac:dyDescent="0.3">
      <c r="A12">
        <v>0.45565855</v>
      </c>
      <c r="B12">
        <v>0.81966000000000006</v>
      </c>
      <c r="C12">
        <f t="shared" si="1"/>
        <v>0.37348508709300005</v>
      </c>
      <c r="D12">
        <v>1.6299999999999999E-2</v>
      </c>
      <c r="E12">
        <v>2.8849251857154604E-3</v>
      </c>
      <c r="F12">
        <f t="shared" si="2"/>
        <v>91.131709999999998</v>
      </c>
      <c r="G12">
        <f t="shared" si="3"/>
        <v>-0.81966000000000006</v>
      </c>
      <c r="H12">
        <f t="shared" si="4"/>
        <v>-74.697017418600012</v>
      </c>
      <c r="I12">
        <v>1</v>
      </c>
      <c r="J12">
        <f t="shared" si="5"/>
        <v>-2.3954494562476487</v>
      </c>
      <c r="K12">
        <f t="shared" si="6"/>
        <v>-0.4020651517752174</v>
      </c>
      <c r="L12">
        <v>1</v>
      </c>
      <c r="M12">
        <f t="shared" si="7"/>
        <v>0.39259482893129749</v>
      </c>
      <c r="N12">
        <f t="shared" si="13"/>
        <v>7.4272343649999994E-3</v>
      </c>
      <c r="O12">
        <f t="shared" si="11"/>
        <v>1.3145408269815873E-3</v>
      </c>
      <c r="P12">
        <f t="shared" si="12"/>
        <v>7.2854765193832273E-4</v>
      </c>
      <c r="V12">
        <v>-5.2</v>
      </c>
      <c r="W12">
        <f t="shared" si="9"/>
        <v>-0.26142600000000005</v>
      </c>
      <c r="Y12">
        <v>0.08</v>
      </c>
      <c r="Z12">
        <f t="shared" si="10"/>
        <v>0.64402799999999993</v>
      </c>
      <c r="AC12">
        <f>AC11*3</f>
        <v>3.8325685984327285E-3</v>
      </c>
    </row>
    <row r="13" spans="1:29" x14ac:dyDescent="0.3">
      <c r="A13">
        <v>0.50708599999999993</v>
      </c>
      <c r="B13">
        <v>0.81430000000000002</v>
      </c>
      <c r="C13">
        <f t="shared" si="1"/>
        <v>0.41292012979999992</v>
      </c>
      <c r="D13">
        <v>1.6299999999999999E-2</v>
      </c>
      <c r="E13">
        <v>2.8849251857154604E-3</v>
      </c>
      <c r="F13">
        <f t="shared" si="2"/>
        <v>101.41719999999998</v>
      </c>
      <c r="G13">
        <f t="shared" si="3"/>
        <v>-0.81430000000000002</v>
      </c>
      <c r="H13">
        <f t="shared" si="4"/>
        <v>-82.584025959999991</v>
      </c>
      <c r="I13">
        <v>1</v>
      </c>
      <c r="J13">
        <f t="shared" si="5"/>
        <v>-2.2885125769632415</v>
      </c>
      <c r="K13">
        <f t="shared" si="6"/>
        <v>-0.40742515177521743</v>
      </c>
      <c r="L13">
        <v>1</v>
      </c>
      <c r="M13">
        <f t="shared" si="7"/>
        <v>0.39759626677542925</v>
      </c>
      <c r="N13">
        <f t="shared" si="13"/>
        <v>8.2655017999999983E-3</v>
      </c>
      <c r="O13">
        <f t="shared" si="11"/>
        <v>1.4629051727237097E-3</v>
      </c>
      <c r="P13">
        <f t="shared" si="12"/>
        <v>1.0047802706447087E-4</v>
      </c>
      <c r="V13">
        <v>-5.0999999999999996</v>
      </c>
      <c r="W13">
        <f t="shared" si="9"/>
        <v>-0.26610300000000003</v>
      </c>
      <c r="Y13">
        <v>0.09</v>
      </c>
      <c r="Z13">
        <f t="shared" si="10"/>
        <v>0.78829149999999981</v>
      </c>
    </row>
    <row r="14" spans="1:29" x14ac:dyDescent="0.3">
      <c r="A14">
        <v>0.56666050000000001</v>
      </c>
      <c r="B14">
        <v>0.80983000000000005</v>
      </c>
      <c r="C14">
        <f t="shared" si="1"/>
        <v>0.45889867271500001</v>
      </c>
      <c r="D14">
        <v>1.6299999999999999E-2</v>
      </c>
      <c r="E14">
        <v>2.8849251857154604E-3</v>
      </c>
      <c r="F14">
        <f t="shared" si="2"/>
        <v>113.3321</v>
      </c>
      <c r="G14">
        <f t="shared" si="3"/>
        <v>-0.80983000000000005</v>
      </c>
      <c r="H14">
        <f t="shared" si="4"/>
        <v>-91.779734543000004</v>
      </c>
      <c r="I14">
        <v>1</v>
      </c>
      <c r="J14">
        <f t="shared" si="5"/>
        <v>-2.1774328324521943</v>
      </c>
      <c r="K14">
        <f t="shared" si="6"/>
        <v>-0.41189515177521741</v>
      </c>
      <c r="L14">
        <v>1</v>
      </c>
      <c r="M14">
        <f t="shared" si="7"/>
        <v>0.40279146642621089</v>
      </c>
      <c r="N14">
        <f t="shared" si="13"/>
        <v>9.2365661500000001E-3</v>
      </c>
      <c r="O14">
        <f t="shared" si="11"/>
        <v>1.6347731482001158E-3</v>
      </c>
      <c r="P14">
        <f t="shared" si="12"/>
        <v>-1.7676539491935975E-3</v>
      </c>
      <c r="V14">
        <v>-5</v>
      </c>
      <c r="W14">
        <f t="shared" si="9"/>
        <v>-0.27078000000000002</v>
      </c>
      <c r="Y14">
        <v>0.1</v>
      </c>
      <c r="Z14">
        <f t="shared" si="10"/>
        <v>0.93255500000000013</v>
      </c>
    </row>
    <row r="15" spans="1:29" x14ac:dyDescent="0.3">
      <c r="A15">
        <v>0.61706964999999991</v>
      </c>
      <c r="B15">
        <v>0.80532000000000004</v>
      </c>
      <c r="C15">
        <f t="shared" si="1"/>
        <v>0.49693853053799997</v>
      </c>
      <c r="D15">
        <v>1.6299999999999999E-2</v>
      </c>
      <c r="E15">
        <v>2.8849251857154604E-3</v>
      </c>
      <c r="F15">
        <f t="shared" si="2"/>
        <v>123.41392999999998</v>
      </c>
      <c r="G15">
        <f t="shared" si="3"/>
        <v>-0.80532000000000004</v>
      </c>
      <c r="H15">
        <f t="shared" si="4"/>
        <v>-99.387706107599996</v>
      </c>
      <c r="I15">
        <v>1</v>
      </c>
      <c r="J15">
        <f t="shared" si="5"/>
        <v>-2.0922112889548075</v>
      </c>
      <c r="K15">
        <f t="shared" si="6"/>
        <v>-0.41640515177521742</v>
      </c>
      <c r="L15">
        <v>1</v>
      </c>
      <c r="M15">
        <f t="shared" si="7"/>
        <v>0.40677727801558367</v>
      </c>
      <c r="N15">
        <f t="shared" si="13"/>
        <v>1.0058235294999997E-2</v>
      </c>
      <c r="O15">
        <f t="shared" si="11"/>
        <v>1.7801997746256239E-3</v>
      </c>
      <c r="P15">
        <f t="shared" si="12"/>
        <v>-2.210561309991867E-3</v>
      </c>
      <c r="V15">
        <v>-4.9000000000000004</v>
      </c>
      <c r="W15">
        <f t="shared" si="9"/>
        <v>-0.27545700000000001</v>
      </c>
      <c r="Y15">
        <v>0.11</v>
      </c>
      <c r="Z15">
        <f t="shared" si="10"/>
        <v>1.0768184999999999</v>
      </c>
    </row>
    <row r="16" spans="1:29" x14ac:dyDescent="0.3">
      <c r="A16">
        <v>0.67002470000000003</v>
      </c>
      <c r="B16">
        <v>0.80140999999999996</v>
      </c>
      <c r="C16">
        <f t="shared" si="1"/>
        <v>0.53696449482700004</v>
      </c>
      <c r="D16">
        <v>1.6299999999999999E-2</v>
      </c>
      <c r="E16">
        <v>2.8849251857154604E-3</v>
      </c>
      <c r="F16">
        <f t="shared" si="2"/>
        <v>134.00494</v>
      </c>
      <c r="G16">
        <f t="shared" si="3"/>
        <v>-0.80140999999999996</v>
      </c>
      <c r="H16">
        <f t="shared" si="4"/>
        <v>-107.39289896540001</v>
      </c>
      <c r="I16">
        <v>1</v>
      </c>
      <c r="J16">
        <f t="shared" si="5"/>
        <v>-2.0098786140391058</v>
      </c>
      <c r="K16">
        <f t="shared" si="6"/>
        <v>-0.4203151517752175</v>
      </c>
      <c r="L16">
        <v>1</v>
      </c>
      <c r="M16">
        <f t="shared" si="7"/>
        <v>0.41062797722139105</v>
      </c>
      <c r="N16">
        <f t="shared" si="13"/>
        <v>1.0921402609999999E-2</v>
      </c>
      <c r="O16">
        <f t="shared" si="11"/>
        <v>1.9329711320814457E-3</v>
      </c>
      <c r="P16">
        <f t="shared" si="12"/>
        <v>-3.1671991882549948E-3</v>
      </c>
      <c r="V16">
        <v>-4.8</v>
      </c>
      <c r="W16">
        <f t="shared" si="9"/>
        <v>-0.28013399999999999</v>
      </c>
      <c r="Y16">
        <v>0.12</v>
      </c>
      <c r="Z16">
        <f t="shared" si="10"/>
        <v>1.221082</v>
      </c>
    </row>
    <row r="17" spans="1:26" x14ac:dyDescent="0.3">
      <c r="A17">
        <v>0.720943</v>
      </c>
      <c r="B17">
        <v>0.79745999999999995</v>
      </c>
      <c r="C17">
        <f t="shared" si="1"/>
        <v>0.57492320477999992</v>
      </c>
      <c r="D17">
        <v>1.6299999999999999E-2</v>
      </c>
      <c r="E17">
        <v>2.8849251857154604E-3</v>
      </c>
      <c r="F17">
        <f t="shared" si="2"/>
        <v>144.18860000000001</v>
      </c>
      <c r="G17">
        <f t="shared" si="3"/>
        <v>-0.79745999999999995</v>
      </c>
      <c r="H17">
        <f t="shared" si="4"/>
        <v>-114.98464095599998</v>
      </c>
      <c r="I17">
        <v>1</v>
      </c>
      <c r="J17">
        <f t="shared" si="5"/>
        <v>-1.9366331141219117</v>
      </c>
      <c r="K17">
        <f t="shared" si="6"/>
        <v>-0.42426515177521751</v>
      </c>
      <c r="L17">
        <v>1</v>
      </c>
      <c r="M17">
        <f t="shared" si="7"/>
        <v>0.41405366925251819</v>
      </c>
      <c r="N17">
        <f t="shared" si="13"/>
        <v>1.1751370899999999E-2</v>
      </c>
      <c r="O17">
        <f t="shared" si="11"/>
        <v>2.0798666181652613E-3</v>
      </c>
      <c r="P17">
        <f t="shared" si="12"/>
        <v>-3.6197549954659377E-3</v>
      </c>
      <c r="V17">
        <v>-4.7</v>
      </c>
      <c r="W17">
        <f t="shared" si="9"/>
        <v>-0.28481100000000004</v>
      </c>
      <c r="Y17">
        <v>0.13</v>
      </c>
      <c r="Z17">
        <f t="shared" si="10"/>
        <v>1.3653455000000001</v>
      </c>
    </row>
    <row r="18" spans="1:26" x14ac:dyDescent="0.3">
      <c r="A18">
        <v>0.77186134999999989</v>
      </c>
      <c r="B18">
        <v>0.79410000000000003</v>
      </c>
      <c r="C18">
        <f t="shared" si="1"/>
        <v>0.6129350980349999</v>
      </c>
      <c r="D18">
        <v>1.6299999999999999E-2</v>
      </c>
      <c r="E18">
        <v>2.8849251857154604E-3</v>
      </c>
      <c r="F18">
        <f t="shared" si="2"/>
        <v>154.37226999999999</v>
      </c>
      <c r="G18">
        <f t="shared" si="3"/>
        <v>-0.79410000000000003</v>
      </c>
      <c r="H18">
        <f t="shared" si="4"/>
        <v>-122.58701960699997</v>
      </c>
      <c r="I18">
        <v>1</v>
      </c>
      <c r="J18">
        <f t="shared" si="5"/>
        <v>-1.8683882559667893</v>
      </c>
      <c r="K18">
        <f t="shared" si="6"/>
        <v>-0.42762515177521743</v>
      </c>
      <c r="L18">
        <v>1</v>
      </c>
      <c r="M18">
        <f t="shared" si="7"/>
        <v>0.4172454812684333</v>
      </c>
      <c r="N18">
        <f t="shared" si="13"/>
        <v>1.2581340004999997E-2</v>
      </c>
      <c r="O18">
        <f t="shared" si="11"/>
        <v>2.2267622484953356E-3</v>
      </c>
      <c r="P18">
        <f t="shared" si="12"/>
        <v>-4.4284317467112103E-3</v>
      </c>
      <c r="V18">
        <v>-4.5999999999999996</v>
      </c>
      <c r="W18">
        <f t="shared" si="9"/>
        <v>-0.28948800000000008</v>
      </c>
      <c r="Y18">
        <v>0.14000000000000001</v>
      </c>
      <c r="Z18">
        <f t="shared" si="10"/>
        <v>1.5096090000000002</v>
      </c>
    </row>
    <row r="19" spans="1:26" x14ac:dyDescent="0.3">
      <c r="A19">
        <v>0.82328879999999993</v>
      </c>
      <c r="B19">
        <v>0.79057999999999995</v>
      </c>
      <c r="C19">
        <f t="shared" si="1"/>
        <v>0.65087565950399995</v>
      </c>
      <c r="D19">
        <v>1.6299999999999999E-2</v>
      </c>
      <c r="E19">
        <v>2.8849251857154604E-3</v>
      </c>
      <c r="F19">
        <f t="shared" si="2"/>
        <v>164.65776</v>
      </c>
      <c r="G19">
        <f t="shared" si="3"/>
        <v>-0.79057999999999995</v>
      </c>
      <c r="H19">
        <f t="shared" si="4"/>
        <v>-130.17513190079998</v>
      </c>
      <c r="I19">
        <v>1</v>
      </c>
      <c r="J19">
        <f t="shared" si="5"/>
        <v>-1.8038861409940166</v>
      </c>
      <c r="K19">
        <f t="shared" si="6"/>
        <v>-0.43114515177521751</v>
      </c>
      <c r="L19">
        <v>1</v>
      </c>
      <c r="M19">
        <f t="shared" si="7"/>
        <v>0.42026224518570987</v>
      </c>
      <c r="N19">
        <f t="shared" si="13"/>
        <v>1.3419607439999998E-2</v>
      </c>
      <c r="O19">
        <f t="shared" si="11"/>
        <v>2.3751265942374583E-3</v>
      </c>
      <c r="P19">
        <f t="shared" si="12"/>
        <v>-4.9118274447298212E-3</v>
      </c>
      <c r="V19">
        <v>-4.5000000000000098</v>
      </c>
      <c r="W19">
        <f t="shared" si="9"/>
        <v>-0.29416499999999957</v>
      </c>
      <c r="Y19">
        <v>0.15</v>
      </c>
      <c r="Z19">
        <f t="shared" si="10"/>
        <v>1.6538724999999999</v>
      </c>
    </row>
    <row r="20" spans="1:26" x14ac:dyDescent="0.3">
      <c r="A20">
        <v>0.87624390000000008</v>
      </c>
      <c r="B20">
        <v>0.78756999999999999</v>
      </c>
      <c r="C20">
        <f t="shared" si="1"/>
        <v>0.6901034083230001</v>
      </c>
      <c r="D20">
        <v>1.6299999999999999E-2</v>
      </c>
      <c r="E20">
        <v>2.8849251857154604E-3</v>
      </c>
      <c r="F20">
        <f t="shared" si="2"/>
        <v>175.24878000000001</v>
      </c>
      <c r="G20">
        <f t="shared" si="3"/>
        <v>-0.78756999999999999</v>
      </c>
      <c r="H20">
        <f t="shared" si="4"/>
        <v>-138.02068166460003</v>
      </c>
      <c r="I20">
        <v>1</v>
      </c>
      <c r="J20">
        <f t="shared" si="5"/>
        <v>-1.7415487145752635</v>
      </c>
      <c r="K20">
        <f t="shared" si="6"/>
        <v>-0.43415515177521746</v>
      </c>
      <c r="L20">
        <v>1</v>
      </c>
      <c r="M20">
        <f t="shared" si="7"/>
        <v>0.42317776661931494</v>
      </c>
      <c r="N20">
        <f t="shared" si="13"/>
        <v>1.428277557E-2</v>
      </c>
      <c r="O20">
        <f t="shared" si="11"/>
        <v>2.5278980959395395E-3</v>
      </c>
      <c r="P20">
        <f t="shared" si="12"/>
        <v>-5.8332885100370203E-3</v>
      </c>
      <c r="V20">
        <v>-4.4000000000000101</v>
      </c>
      <c r="W20">
        <f t="shared" si="9"/>
        <v>-0.29884199999999955</v>
      </c>
      <c r="Y20">
        <v>0.16</v>
      </c>
      <c r="Z20">
        <f t="shared" si="10"/>
        <v>1.798136</v>
      </c>
    </row>
    <row r="21" spans="1:26" x14ac:dyDescent="0.3">
      <c r="A21">
        <v>0.93174480000000004</v>
      </c>
      <c r="B21">
        <v>0.78417000000000003</v>
      </c>
      <c r="C21">
        <f t="shared" si="1"/>
        <v>0.73064631981600003</v>
      </c>
      <c r="D21">
        <v>1.6299999999999999E-2</v>
      </c>
      <c r="E21">
        <v>2.8849251857154604E-3</v>
      </c>
      <c r="F21">
        <f t="shared" si="2"/>
        <v>186.34896000000001</v>
      </c>
      <c r="G21">
        <f t="shared" si="3"/>
        <v>-0.78417000000000003</v>
      </c>
      <c r="H21">
        <f t="shared" si="4"/>
        <v>-146.1292639632</v>
      </c>
      <c r="I21">
        <v>1</v>
      </c>
      <c r="J21">
        <f t="shared" si="5"/>
        <v>-1.6801342339686061</v>
      </c>
      <c r="K21">
        <f t="shared" si="6"/>
        <v>-0.43755515177521742</v>
      </c>
      <c r="L21">
        <v>1</v>
      </c>
      <c r="M21">
        <f t="shared" si="7"/>
        <v>0.4260501218772883</v>
      </c>
      <c r="N21">
        <f t="shared" si="13"/>
        <v>1.5187440239999999E-2</v>
      </c>
      <c r="O21">
        <f t="shared" si="11"/>
        <v>2.6880140401794148E-3</v>
      </c>
      <c r="P21">
        <f t="shared" si="12"/>
        <v>-6.3704243822502934E-3</v>
      </c>
      <c r="V21">
        <v>-4.3000000000000096</v>
      </c>
      <c r="W21">
        <f t="shared" si="9"/>
        <v>-0.30351899999999954</v>
      </c>
      <c r="Y21">
        <v>0.17</v>
      </c>
      <c r="Z21">
        <f t="shared" si="10"/>
        <v>1.9423995000000001</v>
      </c>
    </row>
    <row r="22" spans="1:26" x14ac:dyDescent="0.3">
      <c r="A22">
        <v>0.98673670000000002</v>
      </c>
      <c r="B22">
        <v>0.78100000000000003</v>
      </c>
      <c r="C22">
        <f t="shared" si="1"/>
        <v>0.77064136270000005</v>
      </c>
      <c r="D22">
        <v>1.6299999999999999E-2</v>
      </c>
      <c r="E22">
        <v>2.8849251857154604E-3</v>
      </c>
      <c r="F22">
        <f t="shared" si="2"/>
        <v>197.34734</v>
      </c>
      <c r="G22">
        <f t="shared" si="3"/>
        <v>-0.78100000000000003</v>
      </c>
      <c r="H22">
        <f t="shared" si="4"/>
        <v>-154.12827254000001</v>
      </c>
      <c r="I22">
        <v>1</v>
      </c>
      <c r="J22">
        <f t="shared" si="5"/>
        <v>-1.622789955555453</v>
      </c>
      <c r="K22">
        <f t="shared" si="6"/>
        <v>-0.44072515177521743</v>
      </c>
      <c r="L22">
        <v>1</v>
      </c>
      <c r="M22">
        <f t="shared" si="7"/>
        <v>0.42873211377867149</v>
      </c>
      <c r="N22">
        <f t="shared" si="13"/>
        <v>1.6083808209999998E-2</v>
      </c>
      <c r="O22">
        <f t="shared" si="11"/>
        <v>2.8466615574997607E-3</v>
      </c>
      <c r="P22">
        <f t="shared" si="12"/>
        <v>-6.9374317709538173E-3</v>
      </c>
      <c r="V22">
        <v>-4.2000000000000099</v>
      </c>
      <c r="W22">
        <f t="shared" si="9"/>
        <v>-0.30819599999999958</v>
      </c>
      <c r="Y22">
        <v>0.18</v>
      </c>
      <c r="Z22">
        <f t="shared" si="10"/>
        <v>2.0866629999999997</v>
      </c>
    </row>
    <row r="23" spans="1:26" x14ac:dyDescent="0.3">
      <c r="A23">
        <v>1.037655</v>
      </c>
      <c r="B23">
        <v>0.77805999999999997</v>
      </c>
      <c r="C23">
        <f t="shared" si="1"/>
        <v>0.80735784929999999</v>
      </c>
      <c r="D23">
        <v>1.6299999999999999E-2</v>
      </c>
      <c r="E23">
        <v>2.8849251857154604E-3</v>
      </c>
      <c r="F23">
        <f t="shared" si="2"/>
        <v>207.53100000000001</v>
      </c>
      <c r="G23">
        <f t="shared" si="3"/>
        <v>-0.77805999999999997</v>
      </c>
      <c r="H23">
        <f t="shared" si="4"/>
        <v>-161.47156985999999</v>
      </c>
      <c r="I23">
        <v>1</v>
      </c>
      <c r="J23">
        <f t="shared" si="5"/>
        <v>-1.5724745528797313</v>
      </c>
      <c r="K23">
        <f t="shared" si="6"/>
        <v>-0.44366515177521748</v>
      </c>
      <c r="L23">
        <v>1</v>
      </c>
      <c r="M23">
        <f t="shared" si="7"/>
        <v>0.431085365161815</v>
      </c>
      <c r="N23">
        <f t="shared" si="13"/>
        <v>1.6913776499999998E-2</v>
      </c>
      <c r="O23">
        <f t="shared" si="11"/>
        <v>2.993557043583576E-3</v>
      </c>
      <c r="P23">
        <f t="shared" si="12"/>
        <v>-7.327546930181097E-3</v>
      </c>
      <c r="V23">
        <v>-4.1000000000000103</v>
      </c>
      <c r="W23">
        <f t="shared" si="9"/>
        <v>-0.31287299999999951</v>
      </c>
      <c r="Y23">
        <v>0.19</v>
      </c>
      <c r="Z23">
        <f t="shared" si="10"/>
        <v>2.2309265000000003</v>
      </c>
    </row>
    <row r="24" spans="1:26" x14ac:dyDescent="0.3">
      <c r="A24">
        <v>1.0895918</v>
      </c>
      <c r="B24">
        <v>0.77537</v>
      </c>
      <c r="C24">
        <f t="shared" si="1"/>
        <v>0.84483679396599998</v>
      </c>
      <c r="D24">
        <v>1.6299999999999999E-2</v>
      </c>
      <c r="E24">
        <v>2.8849251857154604E-3</v>
      </c>
      <c r="F24">
        <f t="shared" si="2"/>
        <v>217.91836000000001</v>
      </c>
      <c r="G24">
        <f t="shared" si="3"/>
        <v>-0.77537</v>
      </c>
      <c r="H24">
        <f t="shared" si="4"/>
        <v>-168.96735879319999</v>
      </c>
      <c r="I24">
        <v>1</v>
      </c>
      <c r="J24">
        <f t="shared" si="5"/>
        <v>-1.5236347817468114</v>
      </c>
      <c r="K24">
        <f t="shared" si="6"/>
        <v>-0.44635515177521745</v>
      </c>
      <c r="L24">
        <v>1</v>
      </c>
      <c r="M24">
        <f t="shared" si="7"/>
        <v>0.43336960125770163</v>
      </c>
      <c r="N24">
        <f t="shared" si="13"/>
        <v>1.7760346339999997E-2</v>
      </c>
      <c r="O24">
        <f t="shared" si="11"/>
        <v>3.1433908259690425E-3</v>
      </c>
      <c r="P24">
        <f t="shared" si="12"/>
        <v>-7.9181866484532189E-3</v>
      </c>
      <c r="V24">
        <v>-4.0000000000000098</v>
      </c>
      <c r="W24">
        <f t="shared" si="9"/>
        <v>-0.31754999999999955</v>
      </c>
      <c r="Y24">
        <v>0.2</v>
      </c>
      <c r="Z24">
        <f t="shared" si="10"/>
        <v>2.3751900000000004</v>
      </c>
    </row>
    <row r="25" spans="1:26" x14ac:dyDescent="0.3">
      <c r="A25">
        <v>1.1400009</v>
      </c>
      <c r="B25">
        <v>0.77283000000000002</v>
      </c>
      <c r="C25">
        <f t="shared" si="1"/>
        <v>0.88102689554699998</v>
      </c>
      <c r="D25">
        <v>1.6299999999999999E-2</v>
      </c>
      <c r="E25">
        <v>2.8849251857154604E-3</v>
      </c>
      <c r="F25">
        <f t="shared" si="2"/>
        <v>228.00018</v>
      </c>
      <c r="G25">
        <f t="shared" si="3"/>
        <v>-0.77283000000000002</v>
      </c>
      <c r="H25">
        <f t="shared" si="4"/>
        <v>-176.20537910939998</v>
      </c>
      <c r="I25">
        <v>1</v>
      </c>
      <c r="J25">
        <f t="shared" si="5"/>
        <v>-1.4784088605543237</v>
      </c>
      <c r="K25">
        <f t="shared" si="6"/>
        <v>-0.44889515177521744</v>
      </c>
      <c r="L25">
        <v>1</v>
      </c>
      <c r="M25">
        <f t="shared" si="7"/>
        <v>0.4354848175918743</v>
      </c>
      <c r="N25">
        <f t="shared" si="13"/>
        <v>1.8582014669999997E-2</v>
      </c>
      <c r="O25">
        <f t="shared" si="11"/>
        <v>3.2888173081482919E-3</v>
      </c>
      <c r="P25">
        <f t="shared" si="12"/>
        <v>-8.4604977948051462E-3</v>
      </c>
      <c r="V25">
        <v>-3.9000000000000101</v>
      </c>
      <c r="W25">
        <f t="shared" si="9"/>
        <v>-0.32222699999999954</v>
      </c>
      <c r="Y25">
        <v>0.21</v>
      </c>
      <c r="Z25">
        <f t="shared" si="10"/>
        <v>2.5194535</v>
      </c>
    </row>
    <row r="26" spans="1:26" x14ac:dyDescent="0.3">
      <c r="A26">
        <v>1.1929561</v>
      </c>
      <c r="B26">
        <v>0.76990000000000003</v>
      </c>
      <c r="C26">
        <f t="shared" si="1"/>
        <v>0.91845690139000002</v>
      </c>
      <c r="D26">
        <v>1.6299999999999999E-2</v>
      </c>
      <c r="E26">
        <v>2.8849251857154604E-3</v>
      </c>
      <c r="F26">
        <f t="shared" si="2"/>
        <v>238.59121999999999</v>
      </c>
      <c r="G26">
        <f t="shared" si="3"/>
        <v>-0.76990000000000003</v>
      </c>
      <c r="H26">
        <f t="shared" si="4"/>
        <v>-183.691380278</v>
      </c>
      <c r="I26">
        <v>1</v>
      </c>
      <c r="J26">
        <f t="shared" si="5"/>
        <v>-1.4330035679836488</v>
      </c>
      <c r="K26">
        <f t="shared" si="6"/>
        <v>-0.45182515177521743</v>
      </c>
      <c r="L26">
        <v>1</v>
      </c>
      <c r="M26">
        <f t="shared" si="7"/>
        <v>0.43760842312540477</v>
      </c>
      <c r="N26">
        <f t="shared" si="13"/>
        <v>1.9445184429999998E-2</v>
      </c>
      <c r="O26">
        <f t="shared" si="11"/>
        <v>3.4415890983428912E-3</v>
      </c>
      <c r="P26">
        <f t="shared" si="12"/>
        <v>-8.6700448785302295E-3</v>
      </c>
      <c r="V26">
        <v>-3.80000000000001</v>
      </c>
      <c r="W26">
        <f t="shared" si="9"/>
        <v>-0.32690399999999953</v>
      </c>
      <c r="Y26">
        <v>0.22</v>
      </c>
      <c r="Z26">
        <f t="shared" si="10"/>
        <v>2.6637170000000001</v>
      </c>
    </row>
    <row r="27" spans="1:26" x14ac:dyDescent="0.3">
      <c r="A27">
        <v>1.2438742999999999</v>
      </c>
      <c r="B27">
        <v>0.76717000000000002</v>
      </c>
      <c r="C27">
        <f t="shared" si="1"/>
        <v>0.95426304673099993</v>
      </c>
      <c r="D27">
        <v>1.6299999999999999E-2</v>
      </c>
      <c r="E27">
        <v>2.8849251857154604E-3</v>
      </c>
      <c r="F27">
        <f t="shared" si="2"/>
        <v>248.77485999999999</v>
      </c>
      <c r="G27">
        <f t="shared" si="3"/>
        <v>-0.76717000000000002</v>
      </c>
      <c r="H27">
        <f t="shared" si="4"/>
        <v>-190.85260934619998</v>
      </c>
      <c r="I27">
        <v>1</v>
      </c>
      <c r="J27">
        <f t="shared" si="5"/>
        <v>-1.3912069682385815</v>
      </c>
      <c r="K27">
        <f t="shared" si="6"/>
        <v>-0.45455515177521744</v>
      </c>
      <c r="L27">
        <v>1</v>
      </c>
      <c r="M27">
        <f t="shared" si="7"/>
        <v>0.43956325009548158</v>
      </c>
      <c r="N27">
        <f t="shared" si="13"/>
        <v>2.0275151089999995E-2</v>
      </c>
      <c r="O27">
        <f t="shared" si="11"/>
        <v>3.588484295934188E-3</v>
      </c>
      <c r="P27">
        <f t="shared" si="12"/>
        <v>-8.8717337061983304E-3</v>
      </c>
      <c r="V27">
        <v>-3.7000000000000099</v>
      </c>
      <c r="W27">
        <f t="shared" si="9"/>
        <v>-0.33158099999999957</v>
      </c>
      <c r="Y27">
        <v>0.23</v>
      </c>
      <c r="Z27">
        <f t="shared" si="10"/>
        <v>2.8079805000000002</v>
      </c>
    </row>
    <row r="28" spans="1:26" x14ac:dyDescent="0.3">
      <c r="A28">
        <v>1.2968293</v>
      </c>
      <c r="B28">
        <v>0.76480999999999999</v>
      </c>
      <c r="C28">
        <f t="shared" si="1"/>
        <v>0.99182801693299993</v>
      </c>
      <c r="D28">
        <v>1.6299999999999999E-2</v>
      </c>
      <c r="E28">
        <v>2.8849251857154604E-3</v>
      </c>
      <c r="F28">
        <f t="shared" si="2"/>
        <v>259.36586</v>
      </c>
      <c r="G28">
        <f t="shared" si="3"/>
        <v>-0.76480999999999999</v>
      </c>
      <c r="H28">
        <f t="shared" si="4"/>
        <v>-198.36560338659999</v>
      </c>
      <c r="I28">
        <v>1</v>
      </c>
      <c r="J28">
        <f t="shared" si="5"/>
        <v>-1.3495156271722837</v>
      </c>
      <c r="K28">
        <f t="shared" si="6"/>
        <v>-0.45691515177521747</v>
      </c>
      <c r="L28">
        <v>1</v>
      </c>
      <c r="M28">
        <f t="shared" si="7"/>
        <v>0.44151315411715231</v>
      </c>
      <c r="N28">
        <f t="shared" si="13"/>
        <v>2.1138317589999997E-2</v>
      </c>
      <c r="O28">
        <f t="shared" si="11"/>
        <v>3.7412555091437504E-3</v>
      </c>
      <c r="P28">
        <f t="shared" si="12"/>
        <v>-9.4775754410785888E-3</v>
      </c>
      <c r="V28">
        <v>-3.6000000000000099</v>
      </c>
      <c r="W28">
        <f t="shared" si="9"/>
        <v>-0.33625799999999956</v>
      </c>
      <c r="Y28">
        <v>0.24</v>
      </c>
      <c r="Z28">
        <f t="shared" si="10"/>
        <v>2.9522439999999999</v>
      </c>
    </row>
    <row r="29" spans="1:26" x14ac:dyDescent="0.3">
      <c r="A29">
        <v>1.3477477</v>
      </c>
      <c r="B29">
        <v>0.76204000000000005</v>
      </c>
      <c r="C29">
        <f t="shared" si="1"/>
        <v>1.027037657308</v>
      </c>
      <c r="D29">
        <v>1.6299999999999999E-2</v>
      </c>
      <c r="E29">
        <v>2.8849251857154604E-3</v>
      </c>
      <c r="F29">
        <f t="shared" si="2"/>
        <v>269.54953999999998</v>
      </c>
      <c r="G29">
        <f t="shared" si="3"/>
        <v>-0.76204000000000005</v>
      </c>
      <c r="H29">
        <f t="shared" si="4"/>
        <v>-205.4075314616</v>
      </c>
      <c r="I29">
        <v>1</v>
      </c>
      <c r="J29">
        <f t="shared" si="5"/>
        <v>-1.3110030836338658</v>
      </c>
      <c r="K29">
        <f t="shared" si="6"/>
        <v>-0.4596851517752174</v>
      </c>
      <c r="L29">
        <v>1</v>
      </c>
      <c r="M29">
        <f t="shared" si="7"/>
        <v>0.44331438577844412</v>
      </c>
      <c r="N29">
        <f t="shared" si="13"/>
        <v>2.1968287509999997E-2</v>
      </c>
      <c r="O29">
        <f t="shared" si="11"/>
        <v>3.8881512837200846E-3</v>
      </c>
      <c r="P29">
        <f t="shared" si="12"/>
        <v>-9.4856727969467973E-3</v>
      </c>
      <c r="V29">
        <v>-3.5000000000000102</v>
      </c>
      <c r="W29">
        <f t="shared" si="9"/>
        <v>-0.34093499999999954</v>
      </c>
      <c r="Y29">
        <v>0.25</v>
      </c>
      <c r="Z29">
        <f t="shared" si="10"/>
        <v>3.0965075</v>
      </c>
    </row>
    <row r="30" spans="1:26" x14ac:dyDescent="0.3">
      <c r="A30">
        <v>1.3991752</v>
      </c>
      <c r="B30">
        <v>0.75951999999999997</v>
      </c>
      <c r="C30">
        <f t="shared" si="1"/>
        <v>1.0627015479039998</v>
      </c>
      <c r="D30">
        <v>1.6299999999999999E-2</v>
      </c>
      <c r="E30">
        <v>2.8849251857154604E-3</v>
      </c>
      <c r="F30">
        <f t="shared" si="2"/>
        <v>279.83503999999999</v>
      </c>
      <c r="G30">
        <f t="shared" si="3"/>
        <v>-0.75951999999999997</v>
      </c>
      <c r="H30">
        <f t="shared" si="4"/>
        <v>-212.54030958079997</v>
      </c>
      <c r="I30">
        <v>1</v>
      </c>
      <c r="J30">
        <f t="shared" si="5"/>
        <v>-1.2735549922828753</v>
      </c>
      <c r="K30">
        <f t="shared" si="6"/>
        <v>-0.46220515177521748</v>
      </c>
      <c r="L30">
        <v>1</v>
      </c>
      <c r="M30">
        <f t="shared" si="7"/>
        <v>0.44506583301092995</v>
      </c>
      <c r="N30">
        <f t="shared" si="13"/>
        <v>2.2806555759999996E-2</v>
      </c>
      <c r="O30">
        <f t="shared" si="11"/>
        <v>4.0365157737084663E-3</v>
      </c>
      <c r="P30">
        <f t="shared" si="12"/>
        <v>-9.7037527694209258E-3</v>
      </c>
      <c r="V30">
        <v>-3.4000000000000101</v>
      </c>
      <c r="W30">
        <f t="shared" si="9"/>
        <v>-0.34561199999999959</v>
      </c>
      <c r="Y30">
        <v>0.26</v>
      </c>
      <c r="Z30">
        <f t="shared" si="10"/>
        <v>3.2407710000000001</v>
      </c>
    </row>
    <row r="31" spans="1:26" x14ac:dyDescent="0.3">
      <c r="A31">
        <v>1.4495841999999999</v>
      </c>
      <c r="B31">
        <v>0.75734000000000001</v>
      </c>
      <c r="C31">
        <f t="shared" si="1"/>
        <v>1.097828098028</v>
      </c>
      <c r="D31">
        <v>1.6299999999999999E-2</v>
      </c>
      <c r="E31">
        <v>2.8849251857154604E-3</v>
      </c>
      <c r="F31">
        <f t="shared" si="2"/>
        <v>289.91683999999998</v>
      </c>
      <c r="G31">
        <f t="shared" si="3"/>
        <v>-0.75734000000000001</v>
      </c>
      <c r="H31">
        <f t="shared" si="4"/>
        <v>-219.56561960560001</v>
      </c>
      <c r="I31">
        <v>1</v>
      </c>
      <c r="J31">
        <f t="shared" si="5"/>
        <v>-1.2381611557454222</v>
      </c>
      <c r="K31">
        <f t="shared" si="6"/>
        <v>-0.46438515177521744</v>
      </c>
      <c r="L31">
        <v>1</v>
      </c>
      <c r="M31">
        <f t="shared" si="7"/>
        <v>0.44672120274578664</v>
      </c>
      <c r="N31">
        <f t="shared" si="13"/>
        <v>2.3628222459999997E-2</v>
      </c>
      <c r="O31">
        <f t="shared" si="11"/>
        <v>4.1819419673951967E-3</v>
      </c>
      <c r="P31">
        <f t="shared" si="12"/>
        <v>-1.0146215397964391E-2</v>
      </c>
      <c r="V31">
        <v>-3.30000000000001</v>
      </c>
      <c r="W31">
        <f t="shared" si="9"/>
        <v>-0.35028899999999952</v>
      </c>
      <c r="Y31">
        <v>0.27</v>
      </c>
      <c r="Z31">
        <f t="shared" si="10"/>
        <v>3.3850345000000002</v>
      </c>
    </row>
    <row r="32" spans="1:26" x14ac:dyDescent="0.3">
      <c r="A32">
        <v>1.5010117000000001</v>
      </c>
      <c r="B32">
        <v>0.75478000000000001</v>
      </c>
      <c r="C32">
        <f t="shared" si="1"/>
        <v>1.132933610926</v>
      </c>
      <c r="D32">
        <v>1.6299999999999999E-2</v>
      </c>
      <c r="E32">
        <v>2.8849251857154604E-3</v>
      </c>
      <c r="F32">
        <f t="shared" si="2"/>
        <v>300.20233999999999</v>
      </c>
      <c r="G32">
        <f t="shared" si="3"/>
        <v>-0.75478000000000001</v>
      </c>
      <c r="H32">
        <f t="shared" si="4"/>
        <v>-226.58672218519999</v>
      </c>
      <c r="I32">
        <v>1</v>
      </c>
      <c r="J32">
        <f t="shared" si="5"/>
        <v>-1.2032985650096903</v>
      </c>
      <c r="K32">
        <f t="shared" si="6"/>
        <v>-0.46694515177521745</v>
      </c>
      <c r="L32">
        <v>1</v>
      </c>
      <c r="M32">
        <f t="shared" si="7"/>
        <v>0.44835172611449681</v>
      </c>
      <c r="N32">
        <f t="shared" si="13"/>
        <v>2.446649071E-2</v>
      </c>
      <c r="O32">
        <f t="shared" si="11"/>
        <v>4.3303064573835788E-3</v>
      </c>
      <c r="P32">
        <f t="shared" si="12"/>
        <v>-1.0203371506662937E-2</v>
      </c>
      <c r="V32">
        <v>-3.2000000000000099</v>
      </c>
      <c r="W32">
        <f t="shared" si="9"/>
        <v>-0.35496599999999956</v>
      </c>
    </row>
    <row r="33" spans="1:23" x14ac:dyDescent="0.3">
      <c r="A33">
        <v>1.5519301999999999</v>
      </c>
      <c r="B33">
        <v>0.75255000000000005</v>
      </c>
      <c r="C33">
        <f t="shared" si="1"/>
        <v>1.1679050720099999</v>
      </c>
      <c r="D33">
        <v>1.6299999999999999E-2</v>
      </c>
      <c r="E33">
        <v>2.8849251857154604E-3</v>
      </c>
      <c r="F33">
        <f t="shared" si="2"/>
        <v>310.38603999999998</v>
      </c>
      <c r="G33">
        <f t="shared" si="3"/>
        <v>-0.75255000000000005</v>
      </c>
      <c r="H33">
        <f t="shared" si="4"/>
        <v>-233.58101440199999</v>
      </c>
      <c r="I33">
        <v>1</v>
      </c>
      <c r="J33">
        <f t="shared" si="5"/>
        <v>-1.1699384659112484</v>
      </c>
      <c r="K33">
        <f t="shared" si="6"/>
        <v>-0.4691751517752174</v>
      </c>
      <c r="L33">
        <v>1</v>
      </c>
      <c r="M33">
        <f t="shared" si="7"/>
        <v>0.44991197794933091</v>
      </c>
      <c r="N33">
        <f t="shared" si="13"/>
        <v>2.5296462259999996E-2</v>
      </c>
      <c r="O33">
        <f t="shared" si="11"/>
        <v>4.4772025204524316E-3</v>
      </c>
      <c r="P33">
        <f t="shared" si="12"/>
        <v>-1.0510490954565934E-2</v>
      </c>
      <c r="V33">
        <v>-3.1000000000000099</v>
      </c>
      <c r="W33">
        <f t="shared" si="9"/>
        <v>-0.3596429999999996</v>
      </c>
    </row>
    <row r="34" spans="1:23" x14ac:dyDescent="0.3">
      <c r="A34">
        <v>1.6048851</v>
      </c>
      <c r="B34">
        <v>0.74982000000000004</v>
      </c>
      <c r="C34">
        <f t="shared" si="1"/>
        <v>1.203374945682</v>
      </c>
      <c r="D34">
        <v>1.6299999999999999E-2</v>
      </c>
      <c r="E34">
        <v>2.8849251857154604E-3</v>
      </c>
      <c r="F34">
        <f t="shared" si="2"/>
        <v>320.97701999999998</v>
      </c>
      <c r="G34">
        <f t="shared" si="3"/>
        <v>-0.74982000000000004</v>
      </c>
      <c r="H34">
        <f t="shared" si="4"/>
        <v>-240.6749891364</v>
      </c>
      <c r="I34">
        <v>1</v>
      </c>
      <c r="J34">
        <f t="shared" si="5"/>
        <v>-1.1363857471997674</v>
      </c>
      <c r="K34">
        <f t="shared" si="6"/>
        <v>-0.47190515177521741</v>
      </c>
      <c r="L34">
        <v>1</v>
      </c>
      <c r="M34">
        <f t="shared" si="7"/>
        <v>0.45148123860346689</v>
      </c>
      <c r="N34">
        <f t="shared" si="13"/>
        <v>2.6159627129999998E-2</v>
      </c>
      <c r="O34">
        <f t="shared" si="11"/>
        <v>4.629973445169475E-3</v>
      </c>
      <c r="P34">
        <f t="shared" si="12"/>
        <v>-1.0365687403418955E-2</v>
      </c>
      <c r="V34">
        <v>-3.0000000000000102</v>
      </c>
      <c r="W34">
        <f t="shared" si="9"/>
        <v>-0.36431999999999953</v>
      </c>
    </row>
    <row r="35" spans="1:23" x14ac:dyDescent="0.3">
      <c r="A35">
        <v>1.6558036</v>
      </c>
      <c r="B35">
        <v>0.74797000000000002</v>
      </c>
      <c r="C35">
        <f t="shared" si="1"/>
        <v>1.238491418692</v>
      </c>
      <c r="D35">
        <v>1.6299999999999999E-2</v>
      </c>
      <c r="E35">
        <v>2.8849251857154604E-3</v>
      </c>
      <c r="F35">
        <f t="shared" si="2"/>
        <v>331.16072000000003</v>
      </c>
      <c r="G35">
        <f t="shared" si="3"/>
        <v>-0.74797000000000002</v>
      </c>
      <c r="H35">
        <f t="shared" si="4"/>
        <v>-247.69828373839999</v>
      </c>
      <c r="I35">
        <v>1</v>
      </c>
      <c r="J35">
        <f t="shared" si="5"/>
        <v>-1.1051514625382703</v>
      </c>
      <c r="K35">
        <f t="shared" si="6"/>
        <v>-0.47375515177521743</v>
      </c>
      <c r="L35">
        <v>1</v>
      </c>
      <c r="M35">
        <f t="shared" si="7"/>
        <v>0.45294206609708509</v>
      </c>
      <c r="N35">
        <f t="shared" si="13"/>
        <v>2.6989598679999997E-2</v>
      </c>
      <c r="O35">
        <f t="shared" si="11"/>
        <v>4.7768695082383277E-3</v>
      </c>
      <c r="P35">
        <f t="shared" si="12"/>
        <v>-1.0953382510105988E-2</v>
      </c>
      <c r="V35">
        <v>-2.9000000000000101</v>
      </c>
      <c r="W35">
        <f t="shared" si="9"/>
        <v>-0.36899699999999958</v>
      </c>
    </row>
    <row r="36" spans="1:23" x14ac:dyDescent="0.3">
      <c r="A36">
        <v>1.7072309999999999</v>
      </c>
      <c r="B36">
        <v>0.74533000000000005</v>
      </c>
      <c r="C36">
        <f t="shared" si="1"/>
        <v>1.2724504812299999</v>
      </c>
      <c r="D36">
        <v>1.6299999999999999E-2</v>
      </c>
      <c r="E36">
        <v>2.8849251857154604E-3</v>
      </c>
      <c r="F36">
        <f t="shared" si="2"/>
        <v>341.44619999999998</v>
      </c>
      <c r="G36">
        <f t="shared" si="3"/>
        <v>-0.74533000000000005</v>
      </c>
      <c r="H36">
        <f t="shared" si="4"/>
        <v>-254.49009624599998</v>
      </c>
      <c r="I36">
        <v>1</v>
      </c>
      <c r="J36">
        <f t="shared" si="5"/>
        <v>-1.0745651526456064</v>
      </c>
      <c r="K36">
        <f t="shared" si="6"/>
        <v>-0.47639515177521741</v>
      </c>
      <c r="L36">
        <v>1</v>
      </c>
      <c r="M36">
        <f t="shared" si="7"/>
        <v>0.45437258781076501</v>
      </c>
      <c r="N36">
        <f t="shared" si="13"/>
        <v>2.7827865299999997E-2</v>
      </c>
      <c r="O36">
        <f t="shared" si="11"/>
        <v>4.9252337097341909E-3</v>
      </c>
      <c r="P36">
        <f t="shared" si="12"/>
        <v>-1.0730535045281786E-2</v>
      </c>
      <c r="V36">
        <v>-2.80000000000001</v>
      </c>
      <c r="W36">
        <f t="shared" si="9"/>
        <v>-0.37367399999999956</v>
      </c>
    </row>
    <row r="37" spans="1:23" x14ac:dyDescent="0.3">
      <c r="A37">
        <v>1.7581493000000001</v>
      </c>
      <c r="B37">
        <v>0.74314000000000002</v>
      </c>
      <c r="C37">
        <f t="shared" si="1"/>
        <v>1.3065510708020001</v>
      </c>
      <c r="D37">
        <v>1.6299999999999999E-2</v>
      </c>
      <c r="E37">
        <v>2.8849251857154604E-3</v>
      </c>
      <c r="F37">
        <f t="shared" si="2"/>
        <v>351.62986000000001</v>
      </c>
      <c r="G37">
        <f t="shared" si="3"/>
        <v>-0.74314000000000002</v>
      </c>
      <c r="H37">
        <f t="shared" si="4"/>
        <v>-261.31021416039999</v>
      </c>
      <c r="I37">
        <v>1</v>
      </c>
      <c r="J37">
        <f t="shared" si="5"/>
        <v>-1.0451761907247958</v>
      </c>
      <c r="K37">
        <f t="shared" si="6"/>
        <v>-0.47858515177521743</v>
      </c>
      <c r="L37">
        <v>1</v>
      </c>
      <c r="M37">
        <f t="shared" si="7"/>
        <v>0.4557471095598013</v>
      </c>
      <c r="N37">
        <f t="shared" si="13"/>
        <v>2.8657833590000001E-2</v>
      </c>
      <c r="O37">
        <f t="shared" si="11"/>
        <v>5.0721291958180066E-3</v>
      </c>
      <c r="P37">
        <f t="shared" si="12"/>
        <v>-1.0891920570401874E-2</v>
      </c>
      <c r="V37">
        <v>-2.7000000000000099</v>
      </c>
      <c r="W37">
        <f t="shared" si="9"/>
        <v>-0.37835099999999955</v>
      </c>
    </row>
    <row r="38" spans="1:23" x14ac:dyDescent="0.3">
      <c r="A38">
        <v>1.8111044000000001</v>
      </c>
      <c r="B38">
        <v>0.74094000000000004</v>
      </c>
      <c r="C38">
        <f t="shared" si="1"/>
        <v>1.3419196941360001</v>
      </c>
      <c r="D38">
        <v>1.6299999999999999E-2</v>
      </c>
      <c r="E38">
        <v>2.8849251857154604E-3</v>
      </c>
      <c r="F38">
        <f t="shared" si="2"/>
        <v>362.22088000000002</v>
      </c>
      <c r="G38">
        <f t="shared" si="3"/>
        <v>-0.74094000000000004</v>
      </c>
      <c r="H38">
        <f t="shared" si="4"/>
        <v>-268.38393882720004</v>
      </c>
      <c r="I38">
        <v>1</v>
      </c>
      <c r="J38">
        <f t="shared" si="5"/>
        <v>-1.0155010874859409</v>
      </c>
      <c r="K38">
        <f t="shared" si="6"/>
        <v>-0.48078515177521741</v>
      </c>
      <c r="L38">
        <v>1</v>
      </c>
      <c r="M38">
        <f t="shared" si="7"/>
        <v>0.45713501413828256</v>
      </c>
      <c r="N38">
        <f t="shared" si="13"/>
        <v>2.9521001719999999E-2</v>
      </c>
      <c r="O38">
        <f t="shared" si="11"/>
        <v>5.2249006975200879E-3</v>
      </c>
      <c r="P38">
        <f t="shared" si="12"/>
        <v>-1.1095764780585233E-2</v>
      </c>
      <c r="V38">
        <v>-2.6000000000000099</v>
      </c>
      <c r="W38">
        <f t="shared" si="9"/>
        <v>-0.38302799999999959</v>
      </c>
    </row>
    <row r="39" spans="1:23" x14ac:dyDescent="0.3">
      <c r="A39">
        <v>1.8630409999999999</v>
      </c>
      <c r="B39">
        <v>0.73877999999999999</v>
      </c>
      <c r="C39">
        <f t="shared" si="1"/>
        <v>1.37637742998</v>
      </c>
      <c r="D39">
        <v>1.6299999999999999E-2</v>
      </c>
      <c r="E39">
        <v>2.8849251857154604E-3</v>
      </c>
      <c r="F39">
        <f t="shared" si="2"/>
        <v>372.60820000000001</v>
      </c>
      <c r="G39">
        <f t="shared" si="3"/>
        <v>-0.73877999999999999</v>
      </c>
      <c r="H39">
        <f t="shared" si="4"/>
        <v>-275.27548599599999</v>
      </c>
      <c r="I39">
        <v>1</v>
      </c>
      <c r="J39">
        <f t="shared" si="5"/>
        <v>-0.98722781354204958</v>
      </c>
      <c r="K39">
        <f t="shared" si="6"/>
        <v>-0.48294515177521746</v>
      </c>
      <c r="L39">
        <v>1</v>
      </c>
      <c r="M39">
        <f t="shared" si="7"/>
        <v>0.45845735516063835</v>
      </c>
      <c r="N39">
        <f t="shared" si="13"/>
        <v>3.0367568299999998E-2</v>
      </c>
      <c r="O39">
        <f t="shared" si="11"/>
        <v>5.3747339029205166E-3</v>
      </c>
      <c r="P39">
        <f t="shared" si="12"/>
        <v>-1.1254505588341398E-2</v>
      </c>
      <c r="V39">
        <v>-2.5000000000000102</v>
      </c>
      <c r="W39">
        <f t="shared" si="9"/>
        <v>-0.38770499999999952</v>
      </c>
    </row>
    <row r="40" spans="1:23" x14ac:dyDescent="0.3">
      <c r="A40">
        <v>1.9144686</v>
      </c>
      <c r="B40">
        <v>0.73660999999999999</v>
      </c>
      <c r="C40">
        <f t="shared" si="1"/>
        <v>1.4102167154459999</v>
      </c>
      <c r="D40">
        <v>1.6299999999999999E-2</v>
      </c>
      <c r="E40">
        <v>2.8849251857154604E-3</v>
      </c>
      <c r="F40">
        <f t="shared" si="2"/>
        <v>382.89371999999997</v>
      </c>
      <c r="G40">
        <f t="shared" si="3"/>
        <v>-0.73660999999999999</v>
      </c>
      <c r="H40">
        <f t="shared" si="4"/>
        <v>-282.04334308919999</v>
      </c>
      <c r="I40">
        <v>1</v>
      </c>
      <c r="J40">
        <f t="shared" si="5"/>
        <v>-0.95999782178251369</v>
      </c>
      <c r="K40">
        <f t="shared" si="6"/>
        <v>-0.48511515177521747</v>
      </c>
      <c r="L40">
        <v>1</v>
      </c>
      <c r="M40">
        <f t="shared" si="7"/>
        <v>0.45973090187523186</v>
      </c>
      <c r="N40">
        <f t="shared" si="13"/>
        <v>3.1205838179999997E-2</v>
      </c>
      <c r="O40">
        <f t="shared" si="11"/>
        <v>5.5230986814014177E-3</v>
      </c>
      <c r="P40">
        <f t="shared" si="12"/>
        <v>-1.1344686961415804E-2</v>
      </c>
      <c r="V40">
        <v>-2.4000000000000101</v>
      </c>
      <c r="W40">
        <f t="shared" si="9"/>
        <v>-0.39238199999999956</v>
      </c>
    </row>
    <row r="41" spans="1:23" x14ac:dyDescent="0.3">
      <c r="A41">
        <v>1.968442</v>
      </c>
      <c r="B41">
        <v>0.73418000000000005</v>
      </c>
      <c r="C41">
        <f t="shared" si="1"/>
        <v>1.4451907475600001</v>
      </c>
      <c r="D41">
        <v>1.6299999999999999E-2</v>
      </c>
      <c r="E41">
        <v>2.8849251857154604E-3</v>
      </c>
      <c r="F41">
        <f t="shared" si="2"/>
        <v>393.6884</v>
      </c>
      <c r="G41">
        <f t="shared" si="3"/>
        <v>-0.73418000000000005</v>
      </c>
      <c r="H41">
        <f t="shared" si="4"/>
        <v>-289.03814951200002</v>
      </c>
      <c r="I41">
        <v>1</v>
      </c>
      <c r="J41">
        <f t="shared" si="5"/>
        <v>-0.93219554552544726</v>
      </c>
      <c r="K41">
        <f t="shared" si="6"/>
        <v>-0.4875451517752174</v>
      </c>
      <c r="L41">
        <v>1</v>
      </c>
      <c r="M41">
        <f t="shared" si="7"/>
        <v>0.46103121433577487</v>
      </c>
      <c r="N41">
        <f t="shared" si="13"/>
        <v>3.2085604599999998E-2</v>
      </c>
      <c r="O41">
        <f t="shared" si="11"/>
        <v>5.6788079024201127E-3</v>
      </c>
      <c r="P41">
        <f t="shared" si="12"/>
        <v>-1.1250475062977584E-2</v>
      </c>
      <c r="V41">
        <v>-2.30000000000001</v>
      </c>
      <c r="W41">
        <f t="shared" si="9"/>
        <v>-0.39705899999999955</v>
      </c>
    </row>
    <row r="42" spans="1:23" x14ac:dyDescent="0.3">
      <c r="A42">
        <v>2.0188511</v>
      </c>
      <c r="B42">
        <v>0.73204000000000002</v>
      </c>
      <c r="C42">
        <f t="shared" si="1"/>
        <v>1.4778797592440001</v>
      </c>
      <c r="D42">
        <v>1.6299999999999999E-2</v>
      </c>
      <c r="E42">
        <v>2.8849251857154604E-3</v>
      </c>
      <c r="F42">
        <f t="shared" si="2"/>
        <v>403.77021999999999</v>
      </c>
      <c r="G42">
        <f t="shared" si="3"/>
        <v>-0.73204000000000002</v>
      </c>
      <c r="H42">
        <f t="shared" si="4"/>
        <v>-295.5759518488</v>
      </c>
      <c r="I42">
        <v>1</v>
      </c>
      <c r="J42">
        <f t="shared" si="5"/>
        <v>-0.90690932520390077</v>
      </c>
      <c r="K42">
        <f t="shared" si="6"/>
        <v>-0.48968515177521743</v>
      </c>
      <c r="L42">
        <v>1</v>
      </c>
      <c r="M42">
        <f t="shared" si="7"/>
        <v>0.4622138508602136</v>
      </c>
      <c r="N42">
        <f t="shared" si="13"/>
        <v>3.2907272929999995E-2</v>
      </c>
      <c r="O42">
        <f t="shared" si="11"/>
        <v>5.8242343845993612E-3</v>
      </c>
      <c r="P42">
        <f t="shared" si="12"/>
        <v>-1.1260206399595529E-2</v>
      </c>
      <c r="V42">
        <v>-2.2000000000000099</v>
      </c>
      <c r="W42">
        <f t="shared" si="9"/>
        <v>-0.40173599999999954</v>
      </c>
    </row>
    <row r="43" spans="1:23" x14ac:dyDescent="0.3">
      <c r="A43">
        <v>2.0702788000000001</v>
      </c>
      <c r="B43">
        <v>0.73014999999999997</v>
      </c>
      <c r="C43">
        <f t="shared" si="1"/>
        <v>1.5116140658199999</v>
      </c>
      <c r="D43">
        <v>1.6299999999999999E-2</v>
      </c>
      <c r="E43">
        <v>2.8849251857154604E-3</v>
      </c>
      <c r="F43">
        <f t="shared" si="2"/>
        <v>414.05576000000002</v>
      </c>
      <c r="G43">
        <f t="shared" si="3"/>
        <v>-0.73014999999999997</v>
      </c>
      <c r="H43">
        <f t="shared" si="4"/>
        <v>-302.32281316399997</v>
      </c>
      <c r="I43">
        <v>1</v>
      </c>
      <c r="J43">
        <f t="shared" si="5"/>
        <v>-0.88175462823582818</v>
      </c>
      <c r="K43">
        <f t="shared" si="6"/>
        <v>-0.49157515177521749</v>
      </c>
      <c r="L43">
        <v>1</v>
      </c>
      <c r="M43">
        <f t="shared" si="7"/>
        <v>0.46339033603741031</v>
      </c>
      <c r="N43">
        <f t="shared" si="13"/>
        <v>3.3745544439999997E-2</v>
      </c>
      <c r="O43">
        <f t="shared" si="11"/>
        <v>5.9725994515727803E-3</v>
      </c>
      <c r="P43">
        <f t="shared" si="12"/>
        <v>-1.15333281537656E-2</v>
      </c>
      <c r="V43">
        <v>-2.1000000000000099</v>
      </c>
      <c r="W43">
        <f t="shared" si="9"/>
        <v>-0.40641299999999958</v>
      </c>
    </row>
    <row r="44" spans="1:23" x14ac:dyDescent="0.3">
      <c r="A44">
        <v>2.1211973</v>
      </c>
      <c r="B44">
        <v>0.72802999999999995</v>
      </c>
      <c r="C44">
        <f t="shared" si="1"/>
        <v>1.5442952703189998</v>
      </c>
      <c r="D44">
        <v>1.6299999999999999E-2</v>
      </c>
      <c r="E44">
        <v>2.8849251857154604E-3</v>
      </c>
      <c r="F44">
        <f t="shared" si="2"/>
        <v>424.23946000000001</v>
      </c>
      <c r="G44">
        <f t="shared" si="3"/>
        <v>-0.72802999999999995</v>
      </c>
      <c r="H44">
        <f t="shared" si="4"/>
        <v>-308.85905406379999</v>
      </c>
      <c r="I44">
        <v>1</v>
      </c>
      <c r="J44">
        <f t="shared" si="5"/>
        <v>-0.85745721901848893</v>
      </c>
      <c r="K44">
        <f t="shared" si="6"/>
        <v>-0.4936951517752175</v>
      </c>
      <c r="L44">
        <v>1</v>
      </c>
      <c r="M44">
        <f t="shared" si="7"/>
        <v>0.46452672586650529</v>
      </c>
      <c r="N44">
        <f t="shared" si="13"/>
        <v>3.4575515989999993E-2</v>
      </c>
      <c r="O44">
        <f t="shared" si="11"/>
        <v>6.1194955146416331E-3</v>
      </c>
      <c r="P44">
        <f t="shared" si="12"/>
        <v>-1.1526585595929412E-2</v>
      </c>
      <c r="V44">
        <v>-2.0000000000000102</v>
      </c>
      <c r="W44">
        <f t="shared" si="9"/>
        <v>-0.41108999999999957</v>
      </c>
    </row>
    <row r="45" spans="1:23" x14ac:dyDescent="0.3">
      <c r="A45">
        <v>2.1716063999999999</v>
      </c>
      <c r="B45">
        <v>0.72611999999999999</v>
      </c>
      <c r="C45">
        <f t="shared" si="1"/>
        <v>1.5768468391679999</v>
      </c>
      <c r="D45">
        <v>1.6299999999999999E-2</v>
      </c>
      <c r="E45">
        <v>2.8849251857154604E-3</v>
      </c>
      <c r="F45">
        <f t="shared" si="2"/>
        <v>434.32128</v>
      </c>
      <c r="G45">
        <f t="shared" si="3"/>
        <v>-0.72611999999999999</v>
      </c>
      <c r="H45">
        <f t="shared" si="4"/>
        <v>-315.36936783359999</v>
      </c>
      <c r="I45">
        <v>1</v>
      </c>
      <c r="J45">
        <f t="shared" si="5"/>
        <v>-0.83397074225353185</v>
      </c>
      <c r="K45">
        <f t="shared" si="6"/>
        <v>-0.49560515177521747</v>
      </c>
      <c r="L45">
        <v>1</v>
      </c>
      <c r="M45">
        <f t="shared" si="7"/>
        <v>0.46562518838480232</v>
      </c>
      <c r="N45">
        <f t="shared" si="13"/>
        <v>3.5397184319999997E-2</v>
      </c>
      <c r="O45">
        <f t="shared" si="11"/>
        <v>6.2649219968208825E-3</v>
      </c>
      <c r="P45">
        <f t="shared" si="12"/>
        <v>-1.1682142926405736E-2</v>
      </c>
      <c r="V45">
        <v>-1.9000000000000099</v>
      </c>
      <c r="W45">
        <f t="shared" si="9"/>
        <v>-0.41576699999999955</v>
      </c>
    </row>
    <row r="46" spans="1:23" x14ac:dyDescent="0.3">
      <c r="A46">
        <v>2.2220156000000002</v>
      </c>
      <c r="B46">
        <v>0.72392999999999996</v>
      </c>
      <c r="C46">
        <f t="shared" si="1"/>
        <v>1.6085837533080001</v>
      </c>
      <c r="D46">
        <v>1.6299999999999999E-2</v>
      </c>
      <c r="E46">
        <v>2.8849251857154604E-3</v>
      </c>
      <c r="F46">
        <f t="shared" si="2"/>
        <v>444.40312000000006</v>
      </c>
      <c r="G46">
        <f t="shared" si="3"/>
        <v>-0.72392999999999996</v>
      </c>
      <c r="H46">
        <f t="shared" si="4"/>
        <v>-321.71675066160003</v>
      </c>
      <c r="I46">
        <v>1</v>
      </c>
      <c r="J46">
        <f t="shared" si="5"/>
        <v>-0.81102320053923682</v>
      </c>
      <c r="K46">
        <f t="shared" si="6"/>
        <v>-0.49779515177521749</v>
      </c>
      <c r="L46">
        <v>1</v>
      </c>
      <c r="M46">
        <f t="shared" si="7"/>
        <v>0.46669844491077994</v>
      </c>
      <c r="N46">
        <f t="shared" si="13"/>
        <v>3.6218854279999997E-2</v>
      </c>
      <c r="O46">
        <f t="shared" si="11"/>
        <v>6.4103487674926508E-3</v>
      </c>
      <c r="P46">
        <f t="shared" si="12"/>
        <v>-1.1532496183055097E-2</v>
      </c>
      <c r="V46">
        <v>-1.80000000000001</v>
      </c>
      <c r="W46">
        <f t="shared" si="9"/>
        <v>-0.42044399999999954</v>
      </c>
    </row>
    <row r="47" spans="1:23" x14ac:dyDescent="0.3">
      <c r="A47">
        <v>2.2739520999999998</v>
      </c>
      <c r="B47">
        <v>0.72177000000000002</v>
      </c>
      <c r="C47">
        <f t="shared" si="1"/>
        <v>1.6412704072169999</v>
      </c>
      <c r="D47">
        <v>1.6299999999999999E-2</v>
      </c>
      <c r="E47">
        <v>2.8849251857154604E-3</v>
      </c>
      <c r="F47">
        <f t="shared" si="2"/>
        <v>454.79041999999998</v>
      </c>
      <c r="G47">
        <f t="shared" si="3"/>
        <v>-0.72177000000000002</v>
      </c>
      <c r="H47">
        <f t="shared" si="4"/>
        <v>-328.25408144339997</v>
      </c>
      <c r="I47">
        <v>1</v>
      </c>
      <c r="J47">
        <f t="shared" si="5"/>
        <v>-0.78791858153165528</v>
      </c>
      <c r="K47">
        <f t="shared" si="6"/>
        <v>-0.49995515177521743</v>
      </c>
      <c r="L47">
        <v>1</v>
      </c>
      <c r="M47">
        <f t="shared" si="7"/>
        <v>0.4677790479417645</v>
      </c>
      <c r="N47">
        <f t="shared" si="13"/>
        <v>3.7065419229999994E-2</v>
      </c>
      <c r="O47">
        <f t="shared" si="11"/>
        <v>6.5601816844005605E-3</v>
      </c>
      <c r="P47">
        <f t="shared" si="12"/>
        <v>-1.1449497080947625E-2</v>
      </c>
      <c r="V47">
        <v>-1.7000000000000199</v>
      </c>
      <c r="W47">
        <f t="shared" si="9"/>
        <v>-0.42512099999999908</v>
      </c>
    </row>
    <row r="48" spans="1:23" x14ac:dyDescent="0.3">
      <c r="A48">
        <v>2.3263978999999999</v>
      </c>
      <c r="B48">
        <v>0.71984000000000004</v>
      </c>
      <c r="C48">
        <f t="shared" si="1"/>
        <v>1.6746342643359999</v>
      </c>
      <c r="D48">
        <v>1.6299999999999999E-2</v>
      </c>
      <c r="E48">
        <v>2.8849251857154604E-3</v>
      </c>
      <c r="F48">
        <f t="shared" si="2"/>
        <v>465.27958000000001</v>
      </c>
      <c r="G48">
        <f t="shared" si="3"/>
        <v>-0.71984000000000004</v>
      </c>
      <c r="H48">
        <f t="shared" si="4"/>
        <v>-334.92685286720001</v>
      </c>
      <c r="I48">
        <v>1</v>
      </c>
      <c r="J48">
        <f t="shared" si="5"/>
        <v>-0.7651168067597004</v>
      </c>
      <c r="K48">
        <f t="shared" si="6"/>
        <v>-0.50188515177521742</v>
      </c>
      <c r="L48">
        <v>1</v>
      </c>
      <c r="M48">
        <f t="shared" si="7"/>
        <v>0.46884548694784883</v>
      </c>
      <c r="N48">
        <f t="shared" si="13"/>
        <v>3.7920285769999992E-2</v>
      </c>
      <c r="O48">
        <f t="shared" si="11"/>
        <v>6.7114838937055565E-3</v>
      </c>
      <c r="P48">
        <f t="shared" si="12"/>
        <v>-1.1592104836336962E-2</v>
      </c>
      <c r="V48">
        <v>-1.6000000000000201</v>
      </c>
      <c r="W48">
        <f t="shared" si="9"/>
        <v>-0.42979799999999907</v>
      </c>
    </row>
    <row r="49" spans="1:23" x14ac:dyDescent="0.3">
      <c r="A49">
        <v>2.3778256999999998</v>
      </c>
      <c r="B49">
        <v>0.71779999999999999</v>
      </c>
      <c r="C49">
        <f t="shared" si="1"/>
        <v>1.7068032874599999</v>
      </c>
      <c r="D49">
        <v>1.6299999999999999E-2</v>
      </c>
      <c r="E49">
        <v>2.8849251857154604E-3</v>
      </c>
      <c r="F49">
        <f t="shared" si="2"/>
        <v>475.56513999999999</v>
      </c>
      <c r="G49">
        <f t="shared" si="3"/>
        <v>-0.71779999999999999</v>
      </c>
      <c r="H49">
        <f t="shared" si="4"/>
        <v>-341.36065749199997</v>
      </c>
      <c r="I49">
        <v>1</v>
      </c>
      <c r="J49">
        <f t="shared" si="5"/>
        <v>-0.74325141373999981</v>
      </c>
      <c r="K49">
        <f t="shared" si="6"/>
        <v>-0.50392515177521746</v>
      </c>
      <c r="L49">
        <v>1</v>
      </c>
      <c r="M49">
        <f t="shared" si="7"/>
        <v>0.46986813137938022</v>
      </c>
      <c r="N49">
        <f t="shared" si="13"/>
        <v>3.8758558909999991E-2</v>
      </c>
      <c r="O49">
        <f t="shared" si="11"/>
        <v>6.8598492491714937E-3</v>
      </c>
      <c r="P49">
        <f t="shared" si="12"/>
        <v>-1.1561387763334239E-2</v>
      </c>
      <c r="V49">
        <v>-1.50000000000002</v>
      </c>
      <c r="W49">
        <f t="shared" si="9"/>
        <v>-0.43447499999999906</v>
      </c>
    </row>
    <row r="50" spans="1:23" x14ac:dyDescent="0.3">
      <c r="A50">
        <v>2.4323080999999998</v>
      </c>
      <c r="B50">
        <v>0.71575999999999995</v>
      </c>
      <c r="C50">
        <f t="shared" si="1"/>
        <v>1.7409488456559996</v>
      </c>
      <c r="D50">
        <v>1.6299999999999999E-2</v>
      </c>
      <c r="E50">
        <v>2.8849251857154604E-3</v>
      </c>
      <c r="F50">
        <f t="shared" si="2"/>
        <v>486.46161999999993</v>
      </c>
      <c r="G50">
        <f t="shared" si="3"/>
        <v>-0.71575999999999995</v>
      </c>
      <c r="H50">
        <f t="shared" si="4"/>
        <v>-348.18976913119991</v>
      </c>
      <c r="I50">
        <v>1</v>
      </c>
      <c r="J50">
        <f t="shared" si="5"/>
        <v>-0.72059727049889211</v>
      </c>
      <c r="K50">
        <f t="shared" si="6"/>
        <v>-0.5059651517752175</v>
      </c>
      <c r="L50">
        <v>1</v>
      </c>
      <c r="M50">
        <f t="shared" si="7"/>
        <v>0.47092766565876687</v>
      </c>
      <c r="N50">
        <f t="shared" si="13"/>
        <v>3.9646622029999995E-2</v>
      </c>
      <c r="O50">
        <f t="shared" si="11"/>
        <v>7.0170268971097181E-3</v>
      </c>
      <c r="P50">
        <f t="shared" si="12"/>
        <v>-1.162616281065908E-2</v>
      </c>
      <c r="V50">
        <v>-1.4000000000000199</v>
      </c>
      <c r="W50">
        <f t="shared" si="9"/>
        <v>-0.4391519999999991</v>
      </c>
    </row>
    <row r="51" spans="1:23" x14ac:dyDescent="0.3">
      <c r="A51">
        <v>2.4827173</v>
      </c>
      <c r="B51">
        <v>0.71352000000000004</v>
      </c>
      <c r="C51">
        <f t="shared" si="1"/>
        <v>1.7714684478960001</v>
      </c>
      <c r="D51">
        <v>1.6299999999999999E-2</v>
      </c>
      <c r="E51">
        <v>2.8849251857154604E-3</v>
      </c>
      <c r="F51">
        <f t="shared" si="2"/>
        <v>496.54345999999998</v>
      </c>
      <c r="G51">
        <f t="shared" si="3"/>
        <v>-0.71352000000000004</v>
      </c>
      <c r="H51">
        <f t="shared" si="4"/>
        <v>-354.29368957920002</v>
      </c>
      <c r="I51">
        <v>1</v>
      </c>
      <c r="J51">
        <f t="shared" si="5"/>
        <v>-0.70008426659857181</v>
      </c>
      <c r="K51">
        <f t="shared" si="6"/>
        <v>-0.50820515177521741</v>
      </c>
      <c r="L51">
        <v>1</v>
      </c>
      <c r="M51">
        <f t="shared" si="7"/>
        <v>0.47188705885118482</v>
      </c>
      <c r="N51">
        <f t="shared" si="13"/>
        <v>4.0468291989999995E-2</v>
      </c>
      <c r="O51">
        <f t="shared" si="11"/>
        <v>7.1624536677814864E-3</v>
      </c>
      <c r="P51">
        <f t="shared" si="12"/>
        <v>-1.1312652733748884E-2</v>
      </c>
      <c r="V51">
        <v>-1.30000000000002</v>
      </c>
      <c r="W51">
        <f t="shared" si="9"/>
        <v>-0.44382899999999909</v>
      </c>
    </row>
    <row r="52" spans="1:23" x14ac:dyDescent="0.3">
      <c r="A52">
        <v>2.5346541</v>
      </c>
      <c r="B52">
        <v>0.71169000000000004</v>
      </c>
      <c r="C52">
        <f t="shared" si="1"/>
        <v>1.8038879764290001</v>
      </c>
      <c r="D52">
        <v>1.6299999999999999E-2</v>
      </c>
      <c r="E52">
        <v>2.8849251857154604E-3</v>
      </c>
      <c r="F52">
        <f t="shared" si="2"/>
        <v>506.93081999999998</v>
      </c>
      <c r="G52">
        <f t="shared" si="3"/>
        <v>-0.71169000000000004</v>
      </c>
      <c r="H52">
        <f t="shared" si="4"/>
        <v>-360.77759528580003</v>
      </c>
      <c r="I52">
        <v>1</v>
      </c>
      <c r="J52">
        <f t="shared" si="5"/>
        <v>-0.67938073440520363</v>
      </c>
      <c r="K52">
        <f t="shared" si="6"/>
        <v>-0.51003515177521741</v>
      </c>
      <c r="L52">
        <v>1</v>
      </c>
      <c r="M52">
        <f t="shared" si="7"/>
        <v>0.47285536305186865</v>
      </c>
      <c r="N52">
        <f t="shared" si="13"/>
        <v>4.1314861829999994E-2</v>
      </c>
      <c r="O52">
        <f t="shared" si="11"/>
        <v>7.312287450166953E-3</v>
      </c>
      <c r="P52">
        <f t="shared" si="12"/>
        <v>-1.1447360556818185E-2</v>
      </c>
      <c r="V52">
        <v>-1.2000000000000199</v>
      </c>
      <c r="W52">
        <f t="shared" si="9"/>
        <v>-0.44850599999999907</v>
      </c>
    </row>
    <row r="53" spans="1:23" x14ac:dyDescent="0.3">
      <c r="A53">
        <v>2.5876089000000002</v>
      </c>
      <c r="B53">
        <v>0.70960999999999996</v>
      </c>
      <c r="C53">
        <f t="shared" si="1"/>
        <v>1.836193151529</v>
      </c>
      <c r="D53">
        <v>1.6299999999999999E-2</v>
      </c>
      <c r="E53">
        <v>2.8849251857154604E-3</v>
      </c>
      <c r="F53">
        <f t="shared" si="2"/>
        <v>517.52178000000004</v>
      </c>
      <c r="G53">
        <f t="shared" si="3"/>
        <v>-0.70960999999999996</v>
      </c>
      <c r="H53">
        <f t="shared" si="4"/>
        <v>-367.23863030579997</v>
      </c>
      <c r="I53">
        <v>1</v>
      </c>
      <c r="J53">
        <f t="shared" si="5"/>
        <v>-0.65870366777172218</v>
      </c>
      <c r="K53">
        <f t="shared" si="6"/>
        <v>-0.51211515177521749</v>
      </c>
      <c r="L53">
        <v>1</v>
      </c>
      <c r="M53">
        <f t="shared" si="7"/>
        <v>0.4738224294583166</v>
      </c>
      <c r="N53">
        <f t="shared" si="13"/>
        <v>4.217802507E-2</v>
      </c>
      <c r="O53">
        <f t="shared" si="11"/>
        <v>7.4650580863914783E-3</v>
      </c>
      <c r="P53">
        <f t="shared" si="12"/>
        <v>-1.1350360839490582E-2</v>
      </c>
      <c r="V53">
        <v>-1.1000000000000201</v>
      </c>
      <c r="W53">
        <f t="shared" si="9"/>
        <v>-0.45318299999999911</v>
      </c>
    </row>
    <row r="54" spans="1:23" x14ac:dyDescent="0.3">
      <c r="A54">
        <v>2.6405639999999999</v>
      </c>
      <c r="B54">
        <v>0.70750999999999997</v>
      </c>
      <c r="C54">
        <f t="shared" si="1"/>
        <v>1.8682254356399999</v>
      </c>
      <c r="D54">
        <v>1.6299999999999999E-2</v>
      </c>
      <c r="E54">
        <v>2.8849251857154604E-3</v>
      </c>
      <c r="F54">
        <f t="shared" si="2"/>
        <v>528.11279999999999</v>
      </c>
      <c r="G54">
        <f t="shared" si="3"/>
        <v>-0.70750999999999997</v>
      </c>
      <c r="H54">
        <f t="shared" si="4"/>
        <v>-373.645087128</v>
      </c>
      <c r="I54">
        <v>1</v>
      </c>
      <c r="J54">
        <f t="shared" si="5"/>
        <v>-0.63844538172923759</v>
      </c>
      <c r="K54">
        <f t="shared" si="6"/>
        <v>-0.51421515177521748</v>
      </c>
      <c r="L54">
        <v>1</v>
      </c>
      <c r="M54">
        <f t="shared" si="7"/>
        <v>0.47476990949652359</v>
      </c>
      <c r="N54">
        <f t="shared" si="13"/>
        <v>4.3041193199999994E-2</v>
      </c>
      <c r="O54">
        <f t="shared" si="11"/>
        <v>7.6178295880935587E-3</v>
      </c>
      <c r="P54">
        <f t="shared" si="12"/>
        <v>-1.1213780509399661E-2</v>
      </c>
      <c r="V54">
        <v>-1.00000000000002</v>
      </c>
      <c r="W54">
        <f t="shared" si="9"/>
        <v>-0.4578599999999991</v>
      </c>
    </row>
    <row r="55" spans="1:23" x14ac:dyDescent="0.3">
      <c r="A55">
        <v>2.6914823999999999</v>
      </c>
      <c r="B55">
        <v>0.70538999999999996</v>
      </c>
      <c r="C55">
        <f t="shared" si="1"/>
        <v>1.8985447701359999</v>
      </c>
      <c r="D55">
        <v>1.6299999999999999E-2</v>
      </c>
      <c r="E55">
        <v>2.8849251857154604E-3</v>
      </c>
      <c r="F55">
        <f t="shared" si="2"/>
        <v>538.29647999999997</v>
      </c>
      <c r="G55">
        <f t="shared" si="3"/>
        <v>-0.70538999999999996</v>
      </c>
      <c r="H55">
        <f t="shared" si="4"/>
        <v>-379.70895402719998</v>
      </c>
      <c r="I55">
        <v>1</v>
      </c>
      <c r="J55">
        <f t="shared" si="5"/>
        <v>-0.61934579254119404</v>
      </c>
      <c r="K55">
        <f t="shared" si="6"/>
        <v>-0.51633515177521749</v>
      </c>
      <c r="L55">
        <v>1</v>
      </c>
      <c r="M55">
        <f t="shared" si="7"/>
        <v>0.47566319728284839</v>
      </c>
      <c r="N55">
        <f t="shared" si="13"/>
        <v>4.3871163119999994E-2</v>
      </c>
      <c r="O55">
        <f t="shared" si="11"/>
        <v>7.7647253626698925E-3</v>
      </c>
      <c r="P55">
        <f t="shared" si="12"/>
        <v>-1.0963933990300786E-2</v>
      </c>
      <c r="V55">
        <v>-0.90000000000002001</v>
      </c>
      <c r="W55">
        <f t="shared" si="9"/>
        <v>-0.46253699999999909</v>
      </c>
    </row>
    <row r="56" spans="1:23" x14ac:dyDescent="0.3">
      <c r="A56">
        <v>2.7429099000000003</v>
      </c>
      <c r="B56">
        <v>0.70360999999999996</v>
      </c>
      <c r="C56">
        <f t="shared" si="1"/>
        <v>1.9299388347390001</v>
      </c>
      <c r="D56">
        <v>1.6299999999999999E-2</v>
      </c>
      <c r="E56">
        <v>2.8849251857154604E-3</v>
      </c>
      <c r="F56">
        <f t="shared" si="2"/>
        <v>548.58198000000004</v>
      </c>
      <c r="G56">
        <f t="shared" si="3"/>
        <v>-0.70360999999999996</v>
      </c>
      <c r="H56">
        <f t="shared" si="4"/>
        <v>-385.98776694780003</v>
      </c>
      <c r="I56">
        <v>1</v>
      </c>
      <c r="J56">
        <f t="shared" si="5"/>
        <v>-0.60041854826565599</v>
      </c>
      <c r="K56">
        <f t="shared" si="6"/>
        <v>-0.5181151517752175</v>
      </c>
      <c r="L56">
        <v>1</v>
      </c>
      <c r="M56">
        <f t="shared" si="7"/>
        <v>0.47654842449761531</v>
      </c>
      <c r="N56">
        <f t="shared" si="13"/>
        <v>4.4709431370000004E-2</v>
      </c>
      <c r="O56">
        <f t="shared" si="11"/>
        <v>7.9130898526582755E-3</v>
      </c>
      <c r="P56">
        <f t="shared" si="12"/>
        <v>-1.105579394505609E-2</v>
      </c>
      <c r="V56">
        <v>-0.80000000000002003</v>
      </c>
      <c r="W56">
        <f t="shared" si="9"/>
        <v>-0.46721399999999907</v>
      </c>
    </row>
    <row r="57" spans="1:23" x14ac:dyDescent="0.3">
      <c r="A57">
        <v>2.7948466999999999</v>
      </c>
      <c r="B57">
        <v>0.70157000000000003</v>
      </c>
      <c r="C57">
        <f t="shared" si="1"/>
        <v>1.960780599319</v>
      </c>
      <c r="D57">
        <v>1.6299999999999999E-2</v>
      </c>
      <c r="E57">
        <v>2.8849251857154604E-3</v>
      </c>
      <c r="F57">
        <f t="shared" si="2"/>
        <v>558.96933999999999</v>
      </c>
      <c r="G57">
        <f t="shared" si="3"/>
        <v>-0.70157000000000003</v>
      </c>
      <c r="H57">
        <f t="shared" si="4"/>
        <v>-392.15611986379997</v>
      </c>
      <c r="I57">
        <v>1</v>
      </c>
      <c r="J57">
        <f t="shared" si="5"/>
        <v>-0.58166065527399624</v>
      </c>
      <c r="K57">
        <f t="shared" si="6"/>
        <v>-0.52015515177521743</v>
      </c>
      <c r="L57">
        <v>1</v>
      </c>
      <c r="M57">
        <f t="shared" si="7"/>
        <v>0.47742573115283521</v>
      </c>
      <c r="N57">
        <f t="shared" si="13"/>
        <v>4.5556001209999995E-2</v>
      </c>
      <c r="O57">
        <f t="shared" si="11"/>
        <v>8.0629236350437412E-3</v>
      </c>
      <c r="P57">
        <f t="shared" si="12"/>
        <v>-1.0889504222661517E-2</v>
      </c>
      <c r="V57">
        <v>-0.70000000000002005</v>
      </c>
      <c r="W57">
        <f t="shared" si="9"/>
        <v>-0.47189099999999906</v>
      </c>
    </row>
    <row r="58" spans="1:23" x14ac:dyDescent="0.3">
      <c r="A58">
        <v>2.8452559000000002</v>
      </c>
      <c r="B58">
        <v>0.69989000000000001</v>
      </c>
      <c r="C58">
        <f t="shared" si="1"/>
        <v>1.9913661518510002</v>
      </c>
      <c r="D58">
        <v>1.6299999999999999E-2</v>
      </c>
      <c r="E58">
        <v>2.8849251857154604E-3</v>
      </c>
      <c r="F58">
        <f t="shared" si="2"/>
        <v>569.05118000000004</v>
      </c>
      <c r="G58">
        <f t="shared" si="3"/>
        <v>-0.69989000000000001</v>
      </c>
      <c r="H58">
        <f t="shared" si="4"/>
        <v>-398.27323037020005</v>
      </c>
      <c r="I58">
        <v>1</v>
      </c>
      <c r="J58">
        <f t="shared" si="5"/>
        <v>-0.56378490162489714</v>
      </c>
      <c r="K58">
        <f t="shared" si="6"/>
        <v>-0.52183515177521744</v>
      </c>
      <c r="L58">
        <v>1</v>
      </c>
      <c r="M58">
        <f t="shared" si="7"/>
        <v>0.47826178015100357</v>
      </c>
      <c r="N58">
        <f t="shared" si="13"/>
        <v>4.6377671169999996E-2</v>
      </c>
      <c r="O58">
        <f t="shared" si="11"/>
        <v>8.2083504057155095E-3</v>
      </c>
      <c r="P58">
        <f t="shared" si="12"/>
        <v>-1.101264995150163E-2</v>
      </c>
      <c r="V58">
        <v>-0.60000000000001996</v>
      </c>
      <c r="W58">
        <f t="shared" si="9"/>
        <v>-0.4765679999999991</v>
      </c>
    </row>
    <row r="59" spans="1:23" x14ac:dyDescent="0.3">
      <c r="A59">
        <v>2.8961741000000001</v>
      </c>
      <c r="B59">
        <v>0.69799999999999995</v>
      </c>
      <c r="C59">
        <f t="shared" si="1"/>
        <v>2.0215295217999998</v>
      </c>
      <c r="D59">
        <v>1.6299999999999999E-2</v>
      </c>
      <c r="E59">
        <v>2.8849251857154604E-3</v>
      </c>
      <c r="F59">
        <f t="shared" si="2"/>
        <v>579.23482000000001</v>
      </c>
      <c r="G59">
        <f t="shared" si="3"/>
        <v>-0.69799999999999995</v>
      </c>
      <c r="H59">
        <f t="shared" si="4"/>
        <v>-404.30590435999994</v>
      </c>
      <c r="I59">
        <v>1</v>
      </c>
      <c r="J59">
        <f t="shared" si="5"/>
        <v>-0.54604732231429409</v>
      </c>
      <c r="K59">
        <f t="shared" si="6"/>
        <v>-0.5237251517752175</v>
      </c>
      <c r="L59">
        <v>1</v>
      </c>
      <c r="M59">
        <f t="shared" si="7"/>
        <v>0.47909136673536051</v>
      </c>
      <c r="N59">
        <f t="shared" si="13"/>
        <v>4.7207637829999996E-2</v>
      </c>
      <c r="O59">
        <f t="shared" si="11"/>
        <v>8.3552456033068063E-3</v>
      </c>
      <c r="P59">
        <f t="shared" si="12"/>
        <v>-1.0929098393449814E-2</v>
      </c>
      <c r="V59">
        <v>-0.50000000000001998</v>
      </c>
      <c r="W59">
        <f t="shared" si="9"/>
        <v>-0.48124499999999909</v>
      </c>
    </row>
    <row r="60" spans="1:23" x14ac:dyDescent="0.3">
      <c r="A60">
        <v>2.9501474999999999</v>
      </c>
      <c r="B60">
        <v>0.69586000000000003</v>
      </c>
      <c r="C60">
        <f t="shared" si="1"/>
        <v>2.05288963935</v>
      </c>
      <c r="D60">
        <v>1.6299999999999999E-2</v>
      </c>
      <c r="E60">
        <v>2.8849251857154604E-3</v>
      </c>
      <c r="F60">
        <f t="shared" si="2"/>
        <v>590.02949999999998</v>
      </c>
      <c r="G60">
        <f t="shared" si="3"/>
        <v>-0.69586000000000003</v>
      </c>
      <c r="H60">
        <f t="shared" si="4"/>
        <v>-410.57792787</v>
      </c>
      <c r="I60">
        <v>1</v>
      </c>
      <c r="J60">
        <f t="shared" si="5"/>
        <v>-0.52758274333233024</v>
      </c>
      <c r="K60">
        <f t="shared" si="6"/>
        <v>-0.52586515177521742</v>
      </c>
      <c r="L60">
        <v>1</v>
      </c>
      <c r="M60">
        <f t="shared" si="7"/>
        <v>0.47995495509434694</v>
      </c>
      <c r="N60">
        <f t="shared" si="13"/>
        <v>4.8087404249999993E-2</v>
      </c>
      <c r="O60">
        <f t="shared" si="11"/>
        <v>8.5109548243255013E-3</v>
      </c>
      <c r="P60">
        <f t="shared" si="12"/>
        <v>-1.0688162393455009E-2</v>
      </c>
      <c r="V60">
        <v>-0.40000000000002001</v>
      </c>
      <c r="W60">
        <f t="shared" si="9"/>
        <v>-0.48592199999999908</v>
      </c>
    </row>
    <row r="61" spans="1:23" x14ac:dyDescent="0.3">
      <c r="A61">
        <v>3.0010659</v>
      </c>
      <c r="B61">
        <v>0.69408999999999998</v>
      </c>
      <c r="C61">
        <f t="shared" si="1"/>
        <v>2.0830098305310001</v>
      </c>
      <c r="D61">
        <v>1.6299999999999999E-2</v>
      </c>
      <c r="E61">
        <v>2.8849251857154604E-3</v>
      </c>
      <c r="F61">
        <f t="shared" si="2"/>
        <v>600.21317999999997</v>
      </c>
      <c r="G61">
        <f t="shared" si="3"/>
        <v>-0.69408999999999998</v>
      </c>
      <c r="H61">
        <f t="shared" si="4"/>
        <v>-416.6019661062</v>
      </c>
      <c r="I61">
        <v>1</v>
      </c>
      <c r="J61">
        <f t="shared" si="5"/>
        <v>-0.51047038687008883</v>
      </c>
      <c r="K61">
        <f t="shared" si="6"/>
        <v>-0.52763515177521747</v>
      </c>
      <c r="L61">
        <v>1</v>
      </c>
      <c r="M61">
        <f t="shared" si="7"/>
        <v>0.48075530000608596</v>
      </c>
      <c r="N61">
        <f t="shared" si="13"/>
        <v>4.8917374169999993E-2</v>
      </c>
      <c r="O61">
        <f t="shared" si="11"/>
        <v>8.6578505989018343E-3</v>
      </c>
      <c r="P61">
        <f t="shared" si="12"/>
        <v>-1.0695372999770318E-2</v>
      </c>
      <c r="V61">
        <v>-0.30000000000001997</v>
      </c>
      <c r="W61">
        <f t="shared" si="9"/>
        <v>-0.49059899999999906</v>
      </c>
    </row>
    <row r="62" spans="1:23" x14ac:dyDescent="0.3">
      <c r="A62">
        <v>3.0540208</v>
      </c>
      <c r="B62">
        <v>0.69221999999999995</v>
      </c>
      <c r="C62">
        <f t="shared" si="1"/>
        <v>2.1140542781759999</v>
      </c>
      <c r="D62">
        <v>1.6299999999999999E-2</v>
      </c>
      <c r="E62">
        <v>2.8849251857154604E-3</v>
      </c>
      <c r="F62">
        <f t="shared" si="2"/>
        <v>610.80416000000002</v>
      </c>
      <c r="G62">
        <f t="shared" si="3"/>
        <v>-0.69221999999999995</v>
      </c>
      <c r="H62">
        <f t="shared" si="4"/>
        <v>-422.81085563519997</v>
      </c>
      <c r="I62">
        <v>1</v>
      </c>
      <c r="J62">
        <f t="shared" si="5"/>
        <v>-0.49297889492083952</v>
      </c>
      <c r="K62">
        <f t="shared" si="6"/>
        <v>-0.52950515177521751</v>
      </c>
      <c r="L62">
        <v>1</v>
      </c>
      <c r="M62">
        <f t="shared" si="7"/>
        <v>0.48157337708455233</v>
      </c>
      <c r="N62">
        <f t="shared" si="13"/>
        <v>4.9780539039999995E-2</v>
      </c>
      <c r="O62">
        <f t="shared" si="11"/>
        <v>8.8106215236188785E-3</v>
      </c>
      <c r="P62">
        <f t="shared" si="12"/>
        <v>-1.0659385872953699E-2</v>
      </c>
      <c r="V62">
        <v>-0.20000000000002</v>
      </c>
      <c r="W62">
        <f t="shared" si="9"/>
        <v>-0.49527599999999911</v>
      </c>
    </row>
    <row r="63" spans="1:23" x14ac:dyDescent="0.3">
      <c r="A63">
        <v>3.1054482000000001</v>
      </c>
      <c r="B63">
        <v>0.69008000000000003</v>
      </c>
      <c r="C63">
        <f t="shared" si="1"/>
        <v>2.1430076938560001</v>
      </c>
      <c r="D63">
        <v>1.6299999999999999E-2</v>
      </c>
      <c r="E63">
        <v>2.8849251857154604E-3</v>
      </c>
      <c r="F63">
        <f t="shared" si="2"/>
        <v>621.08964000000003</v>
      </c>
      <c r="G63">
        <f t="shared" si="3"/>
        <v>-0.69008000000000003</v>
      </c>
      <c r="H63">
        <f t="shared" si="4"/>
        <v>-428.60153877120001</v>
      </c>
      <c r="I63">
        <v>1</v>
      </c>
      <c r="J63">
        <f t="shared" si="5"/>
        <v>-0.47627985963971631</v>
      </c>
      <c r="K63">
        <f t="shared" si="6"/>
        <v>-0.53164515177521743</v>
      </c>
      <c r="L63">
        <v>1</v>
      </c>
      <c r="M63">
        <f t="shared" si="7"/>
        <v>0.48235439096465049</v>
      </c>
      <c r="N63">
        <f t="shared" si="13"/>
        <v>5.0618805659999995E-2</v>
      </c>
      <c r="O63">
        <f t="shared" si="11"/>
        <v>8.9589857251147417E-3</v>
      </c>
      <c r="P63">
        <f t="shared" si="12"/>
        <v>-1.0287030574547801E-2</v>
      </c>
      <c r="V63">
        <v>-0.10000000000002</v>
      </c>
      <c r="W63">
        <f t="shared" si="9"/>
        <v>-0.49995299999999909</v>
      </c>
    </row>
    <row r="64" spans="1:23" x14ac:dyDescent="0.3">
      <c r="A64">
        <v>3.1568757000000001</v>
      </c>
      <c r="B64">
        <v>0.68828</v>
      </c>
      <c r="C64">
        <f t="shared" si="1"/>
        <v>2.1728144067960002</v>
      </c>
      <c r="D64">
        <v>1.6299999999999999E-2</v>
      </c>
      <c r="E64">
        <v>2.8849251857154604E-3</v>
      </c>
      <c r="F64">
        <f t="shared" si="2"/>
        <v>631.37513999999999</v>
      </c>
      <c r="G64">
        <f t="shared" si="3"/>
        <v>-0.68828</v>
      </c>
      <c r="H64">
        <f t="shared" si="4"/>
        <v>-434.56288135920005</v>
      </c>
      <c r="I64">
        <v>1</v>
      </c>
      <c r="J64">
        <f t="shared" si="5"/>
        <v>-0.45985507645567542</v>
      </c>
      <c r="K64">
        <f t="shared" si="6"/>
        <v>-0.53344515177521745</v>
      </c>
      <c r="L64">
        <v>1</v>
      </c>
      <c r="M64">
        <f t="shared" si="7"/>
        <v>0.48312257807416809</v>
      </c>
      <c r="N64">
        <f t="shared" si="13"/>
        <v>5.1457073909999998E-2</v>
      </c>
      <c r="O64">
        <f t="shared" si="11"/>
        <v>9.1073502151031247E-3</v>
      </c>
      <c r="P64">
        <f t="shared" si="12"/>
        <v>-1.0241850424053756E-2</v>
      </c>
      <c r="V64">
        <v>-2.0428103653102899E-14</v>
      </c>
      <c r="W64">
        <f t="shared" si="9"/>
        <v>-0.50462999999999902</v>
      </c>
    </row>
    <row r="65" spans="1:23" x14ac:dyDescent="0.3">
      <c r="A65">
        <v>3.2108488999999998</v>
      </c>
      <c r="B65">
        <v>0.68638999999999994</v>
      </c>
      <c r="C65">
        <f t="shared" si="1"/>
        <v>2.2038945764709998</v>
      </c>
      <c r="D65">
        <v>1.6299999999999999E-2</v>
      </c>
      <c r="E65">
        <v>2.8849251857154604E-3</v>
      </c>
      <c r="F65">
        <f t="shared" si="2"/>
        <v>642.16977999999995</v>
      </c>
      <c r="G65">
        <f t="shared" si="3"/>
        <v>-0.68638999999999994</v>
      </c>
      <c r="H65">
        <f t="shared" si="4"/>
        <v>-440.77891529419998</v>
      </c>
      <c r="I65">
        <v>1</v>
      </c>
      <c r="J65">
        <f t="shared" si="5"/>
        <v>-0.44290255542552998</v>
      </c>
      <c r="K65">
        <f t="shared" si="6"/>
        <v>-0.53533515177521751</v>
      </c>
      <c r="L65">
        <v>1</v>
      </c>
      <c r="M65">
        <f t="shared" si="7"/>
        <v>0.48391544748274801</v>
      </c>
      <c r="N65">
        <f t="shared" si="13"/>
        <v>5.2336837069999989E-2</v>
      </c>
      <c r="O65">
        <f t="shared" si="11"/>
        <v>9.2630588591367802E-3</v>
      </c>
      <c r="P65">
        <f t="shared" si="12"/>
        <v>-1.0180191636667266E-2</v>
      </c>
      <c r="V65">
        <v>9.9999999999980105E-2</v>
      </c>
      <c r="W65">
        <f t="shared" si="9"/>
        <v>-0.50930699999999907</v>
      </c>
    </row>
    <row r="66" spans="1:23" x14ac:dyDescent="0.3">
      <c r="A66">
        <v>3.2653318000000002</v>
      </c>
      <c r="B66">
        <v>0.68464000000000003</v>
      </c>
      <c r="C66">
        <f t="shared" si="1"/>
        <v>2.2355767635520003</v>
      </c>
      <c r="D66">
        <v>1.6299999999999999E-2</v>
      </c>
      <c r="E66">
        <v>2.8849251857154604E-3</v>
      </c>
      <c r="F66">
        <f t="shared" si="2"/>
        <v>653.06636000000003</v>
      </c>
      <c r="G66">
        <f t="shared" si="3"/>
        <v>-0.68464000000000003</v>
      </c>
      <c r="H66">
        <f t="shared" si="4"/>
        <v>-447.11535271040009</v>
      </c>
      <c r="I66">
        <v>1</v>
      </c>
      <c r="J66">
        <f t="shared" si="5"/>
        <v>-0.42607653159181907</v>
      </c>
      <c r="K66">
        <f t="shared" si="6"/>
        <v>-0.53708515177521743</v>
      </c>
      <c r="L66">
        <v>1</v>
      </c>
      <c r="M66">
        <f t="shared" si="7"/>
        <v>0.48470240061745062</v>
      </c>
      <c r="N66">
        <f t="shared" si="13"/>
        <v>5.3224908340000002E-2</v>
      </c>
      <c r="O66">
        <f t="shared" si="11"/>
        <v>9.4202379495375993E-3</v>
      </c>
      <c r="P66">
        <f t="shared" si="12"/>
        <v>-1.0262395131770796E-2</v>
      </c>
      <c r="V66">
        <v>0.19999999999998</v>
      </c>
      <c r="W66">
        <f t="shared" si="9"/>
        <v>-0.51398399999999911</v>
      </c>
    </row>
    <row r="67" spans="1:23" x14ac:dyDescent="0.3">
      <c r="A67">
        <v>3.315741</v>
      </c>
      <c r="B67">
        <v>0.68264999999999998</v>
      </c>
      <c r="C67">
        <f t="shared" si="1"/>
        <v>2.2634905936499998</v>
      </c>
      <c r="D67">
        <v>1.6299999999999999E-2</v>
      </c>
      <c r="E67">
        <v>2.8849251857154604E-3</v>
      </c>
      <c r="F67">
        <f t="shared" si="2"/>
        <v>663.14819999999997</v>
      </c>
      <c r="G67">
        <f t="shared" si="3"/>
        <v>-0.68264999999999998</v>
      </c>
      <c r="H67">
        <f t="shared" si="4"/>
        <v>-452.69811872999998</v>
      </c>
      <c r="I67">
        <v>1</v>
      </c>
      <c r="J67">
        <f t="shared" si="5"/>
        <v>-0.41075678436348656</v>
      </c>
      <c r="K67">
        <f t="shared" si="6"/>
        <v>-0.53907515177521748</v>
      </c>
      <c r="L67">
        <v>1</v>
      </c>
      <c r="M67">
        <f t="shared" si="7"/>
        <v>0.48541890519531977</v>
      </c>
      <c r="N67">
        <f t="shared" si="13"/>
        <v>5.4046578299999995E-2</v>
      </c>
      <c r="O67">
        <f t="shared" si="11"/>
        <v>9.5656647202093659E-3</v>
      </c>
      <c r="P67">
        <f t="shared" si="12"/>
        <v>-9.9559964403116569E-3</v>
      </c>
      <c r="V67">
        <v>0.29999999999998</v>
      </c>
      <c r="W67">
        <f t="shared" si="9"/>
        <v>-0.51866099999999904</v>
      </c>
    </row>
    <row r="68" spans="1:23" x14ac:dyDescent="0.3">
      <c r="A68">
        <v>3.3661501</v>
      </c>
      <c r="B68">
        <v>0.68086999999999998</v>
      </c>
      <c r="C68">
        <f t="shared" si="1"/>
        <v>2.291910618587</v>
      </c>
      <c r="D68">
        <v>1.6299999999999999E-2</v>
      </c>
      <c r="E68">
        <v>2.8849251857154604E-3</v>
      </c>
      <c r="F68">
        <f t="shared" si="2"/>
        <v>673.23001999999997</v>
      </c>
      <c r="G68">
        <f t="shared" si="3"/>
        <v>-0.68086999999999998</v>
      </c>
      <c r="H68">
        <f t="shared" si="4"/>
        <v>-458.38212371739996</v>
      </c>
      <c r="I68">
        <v>1</v>
      </c>
      <c r="J68">
        <f t="shared" si="5"/>
        <v>-0.39566822467101326</v>
      </c>
      <c r="K68">
        <f t="shared" si="6"/>
        <v>-0.54085515177521748</v>
      </c>
      <c r="L68">
        <v>1</v>
      </c>
      <c r="M68">
        <f t="shared" si="7"/>
        <v>0.48612459713213674</v>
      </c>
      <c r="N68">
        <f t="shared" si="13"/>
        <v>5.4868246629999992E-2</v>
      </c>
      <c r="O68">
        <f t="shared" si="11"/>
        <v>9.7110912023886161E-3</v>
      </c>
      <c r="P68">
        <f t="shared" si="12"/>
        <v>-9.8487831893078661E-3</v>
      </c>
      <c r="V68">
        <v>0.39999999999997998</v>
      </c>
      <c r="W68">
        <f t="shared" si="9"/>
        <v>-0.52333799999999908</v>
      </c>
    </row>
    <row r="69" spans="1:23" x14ac:dyDescent="0.3">
      <c r="A69">
        <v>3.4165593000000003</v>
      </c>
      <c r="B69">
        <v>0.67901999999999996</v>
      </c>
      <c r="C69">
        <f t="shared" ref="C69:C132" si="14">A69*B69</f>
        <v>2.319912095886</v>
      </c>
      <c r="D69">
        <v>1.6299999999999999E-2</v>
      </c>
      <c r="E69">
        <v>2.8849251857154604E-3</v>
      </c>
      <c r="F69">
        <f t="shared" ref="F69:F132" si="15">A69*200</f>
        <v>683.31186000000002</v>
      </c>
      <c r="G69">
        <f t="shared" ref="G69:G132" si="16">-B69</f>
        <v>-0.67901999999999996</v>
      </c>
      <c r="H69">
        <f t="shared" ref="H69:H132" si="17">-C69*200</f>
        <v>-463.98241917719997</v>
      </c>
      <c r="I69">
        <v>1</v>
      </c>
      <c r="J69">
        <f t="shared" ref="J69:J132" si="18">LN(F69/1000)</f>
        <v>-0.38080392040179328</v>
      </c>
      <c r="K69">
        <f t="shared" ref="K69:K132" si="19">((-G69)-$N$2)</f>
        <v>-0.5427051517752175</v>
      </c>
      <c r="L69">
        <v>1</v>
      </c>
      <c r="M69">
        <f t="shared" ref="M69:M132" si="20">-1*($S$4+($S$5*J69))</f>
        <v>0.48681980064280816</v>
      </c>
      <c r="N69">
        <f t="shared" si="13"/>
        <v>5.5689916589999999E-2</v>
      </c>
      <c r="O69">
        <f t="shared" si="11"/>
        <v>9.8565179730603844E-3</v>
      </c>
      <c r="P69">
        <f t="shared" si="12"/>
        <v>-9.6610834306510504E-3</v>
      </c>
      <c r="V69">
        <v>0.49999999999998002</v>
      </c>
      <c r="W69">
        <f t="shared" ref="W69:W132" si="21">V69*$S$5+$S$4</f>
        <v>-0.52801499999999912</v>
      </c>
    </row>
    <row r="70" spans="1:23" x14ac:dyDescent="0.3">
      <c r="A70">
        <v>3.4684960999999999</v>
      </c>
      <c r="B70">
        <v>0.67691999999999997</v>
      </c>
      <c r="C70">
        <f t="shared" si="14"/>
        <v>2.3478943800119998</v>
      </c>
      <c r="D70">
        <v>1.6299999999999999E-2</v>
      </c>
      <c r="E70">
        <v>2.8849251857154604E-3</v>
      </c>
      <c r="F70">
        <f t="shared" si="15"/>
        <v>693.69921999999997</v>
      </c>
      <c r="G70">
        <f t="shared" si="16"/>
        <v>-0.67691999999999997</v>
      </c>
      <c r="H70">
        <f t="shared" si="17"/>
        <v>-469.57887600239997</v>
      </c>
      <c r="I70">
        <v>1</v>
      </c>
      <c r="J70">
        <f t="shared" si="18"/>
        <v>-0.36571681299687619</v>
      </c>
      <c r="K70">
        <f t="shared" si="19"/>
        <v>-0.54480515177521749</v>
      </c>
      <c r="L70">
        <v>1</v>
      </c>
      <c r="M70">
        <f t="shared" si="20"/>
        <v>0.48752542465613613</v>
      </c>
      <c r="N70">
        <f t="shared" si="13"/>
        <v>5.6536486429999991E-2</v>
      </c>
      <c r="O70">
        <f t="shared" ref="O70:O133" si="22">E70*A70</f>
        <v>1.000635175544585E-2</v>
      </c>
      <c r="P70">
        <f t="shared" ref="P70:P133" si="23">-K70-M70-N70-O70</f>
        <v>-9.2631110663644826E-3</v>
      </c>
      <c r="V70">
        <v>0.59999999999997999</v>
      </c>
      <c r="W70">
        <f t="shared" si="21"/>
        <v>-0.53269199999999906</v>
      </c>
    </row>
    <row r="71" spans="1:23" x14ac:dyDescent="0.3">
      <c r="A71">
        <v>3.5199236000000003</v>
      </c>
      <c r="B71">
        <v>0.67518</v>
      </c>
      <c r="C71">
        <f t="shared" si="14"/>
        <v>2.3765820162480003</v>
      </c>
      <c r="D71">
        <v>1.6299999999999999E-2</v>
      </c>
      <c r="E71">
        <v>2.8849251857154604E-3</v>
      </c>
      <c r="F71">
        <f t="shared" si="15"/>
        <v>703.98472000000004</v>
      </c>
      <c r="G71">
        <f t="shared" si="16"/>
        <v>-0.67518</v>
      </c>
      <c r="H71">
        <f t="shared" si="17"/>
        <v>-475.31640324960006</v>
      </c>
      <c r="I71">
        <v>1</v>
      </c>
      <c r="J71">
        <f t="shared" si="18"/>
        <v>-0.35099862760509626</v>
      </c>
      <c r="K71">
        <f t="shared" si="19"/>
        <v>-0.54654515177521745</v>
      </c>
      <c r="L71">
        <v>1</v>
      </c>
      <c r="M71">
        <f t="shared" si="20"/>
        <v>0.48821379418690969</v>
      </c>
      <c r="N71">
        <f t="shared" ref="N71:N134" si="24">D71*A71</f>
        <v>5.7374754680000001E-2</v>
      </c>
      <c r="O71">
        <f t="shared" si="22"/>
        <v>1.0154716245434233E-2</v>
      </c>
      <c r="P71">
        <f t="shared" si="23"/>
        <v>-9.1981133371264699E-3</v>
      </c>
      <c r="V71">
        <v>0.69999999999997997</v>
      </c>
      <c r="W71">
        <f t="shared" si="21"/>
        <v>-0.5373689999999991</v>
      </c>
    </row>
    <row r="72" spans="1:23" x14ac:dyDescent="0.3">
      <c r="A72">
        <v>3.5703328000000001</v>
      </c>
      <c r="B72">
        <v>0.67359999999999998</v>
      </c>
      <c r="C72">
        <f t="shared" si="14"/>
        <v>2.4049761740799998</v>
      </c>
      <c r="D72">
        <v>1.6299999999999999E-2</v>
      </c>
      <c r="E72">
        <v>2.8849251857154604E-3</v>
      </c>
      <c r="F72">
        <f t="shared" si="15"/>
        <v>714.06655999999998</v>
      </c>
      <c r="G72">
        <f t="shared" si="16"/>
        <v>-0.67359999999999998</v>
      </c>
      <c r="H72">
        <f t="shared" si="17"/>
        <v>-480.99523481599994</v>
      </c>
      <c r="I72">
        <v>1</v>
      </c>
      <c r="J72">
        <f t="shared" si="18"/>
        <v>-0.33677909969887154</v>
      </c>
      <c r="K72">
        <f t="shared" si="19"/>
        <v>-0.54812515177521748</v>
      </c>
      <c r="L72">
        <v>1</v>
      </c>
      <c r="M72">
        <f t="shared" si="20"/>
        <v>0.48887884150708383</v>
      </c>
      <c r="N72">
        <f t="shared" si="24"/>
        <v>5.8196424639999994E-2</v>
      </c>
      <c r="O72">
        <f t="shared" si="22"/>
        <v>1.0300143016106E-2</v>
      </c>
      <c r="P72">
        <f t="shared" si="23"/>
        <v>-9.2502573879723431E-3</v>
      </c>
      <c r="V72">
        <v>0.79999999999997995</v>
      </c>
      <c r="W72">
        <f t="shared" si="21"/>
        <v>-0.54204599999999914</v>
      </c>
    </row>
    <row r="73" spans="1:23" x14ac:dyDescent="0.3">
      <c r="A73">
        <v>3.6217603</v>
      </c>
      <c r="B73">
        <v>0.67173000000000005</v>
      </c>
      <c r="C73">
        <f t="shared" si="14"/>
        <v>2.4328450463190001</v>
      </c>
      <c r="D73">
        <v>1.6299999999999999E-2</v>
      </c>
      <c r="E73">
        <v>2.8849251857154604E-3</v>
      </c>
      <c r="F73">
        <f t="shared" si="15"/>
        <v>724.35206000000005</v>
      </c>
      <c r="G73">
        <f t="shared" si="16"/>
        <v>-0.67173000000000005</v>
      </c>
      <c r="H73">
        <f t="shared" si="17"/>
        <v>-486.56900926380001</v>
      </c>
      <c r="I73">
        <v>1</v>
      </c>
      <c r="J73">
        <f t="shared" si="18"/>
        <v>-0.32247773406948049</v>
      </c>
      <c r="K73">
        <f t="shared" si="19"/>
        <v>-0.54999515177521741</v>
      </c>
      <c r="L73">
        <v>1</v>
      </c>
      <c r="M73">
        <f t="shared" si="20"/>
        <v>0.48954771637757044</v>
      </c>
      <c r="N73">
        <f t="shared" si="24"/>
        <v>5.9034692889999997E-2</v>
      </c>
      <c r="O73">
        <f t="shared" si="22"/>
        <v>1.0448507506094381E-2</v>
      </c>
      <c r="P73">
        <f t="shared" si="23"/>
        <v>-9.0357649984474132E-3</v>
      </c>
      <c r="V73">
        <v>0.89999999999998004</v>
      </c>
      <c r="W73">
        <f t="shared" si="21"/>
        <v>-0.54672299999999907</v>
      </c>
    </row>
    <row r="74" spans="1:23" x14ac:dyDescent="0.3">
      <c r="A74">
        <v>3.6726787000000001</v>
      </c>
      <c r="B74">
        <v>0.66988000000000003</v>
      </c>
      <c r="C74">
        <f t="shared" si="14"/>
        <v>2.4602540075560002</v>
      </c>
      <c r="D74">
        <v>1.6299999999999999E-2</v>
      </c>
      <c r="E74">
        <v>2.8849251857154604E-3</v>
      </c>
      <c r="F74">
        <f t="shared" si="15"/>
        <v>734.53574000000003</v>
      </c>
      <c r="G74">
        <f t="shared" si="16"/>
        <v>-0.66988000000000003</v>
      </c>
      <c r="H74">
        <f t="shared" si="17"/>
        <v>-492.05080151120006</v>
      </c>
      <c r="I74">
        <v>1</v>
      </c>
      <c r="J74">
        <f t="shared" si="18"/>
        <v>-0.30851662560034565</v>
      </c>
      <c r="K74">
        <f t="shared" si="19"/>
        <v>-0.55184515177521742</v>
      </c>
      <c r="L74">
        <v>1</v>
      </c>
      <c r="M74">
        <f t="shared" si="20"/>
        <v>0.49020067742067186</v>
      </c>
      <c r="N74">
        <f t="shared" si="24"/>
        <v>5.9864662809999997E-2</v>
      </c>
      <c r="O74">
        <f t="shared" si="22"/>
        <v>1.0595403280670716E-2</v>
      </c>
      <c r="P74">
        <f t="shared" si="23"/>
        <v>-8.815591736125148E-3</v>
      </c>
      <c r="V74">
        <v>0.99999999999998002</v>
      </c>
      <c r="W74">
        <f t="shared" si="21"/>
        <v>-0.55139999999999911</v>
      </c>
    </row>
    <row r="75" spans="1:23" x14ac:dyDescent="0.3">
      <c r="A75">
        <v>3.7235966999999999</v>
      </c>
      <c r="B75">
        <v>0.66805999999999999</v>
      </c>
      <c r="C75">
        <f t="shared" si="14"/>
        <v>2.4875860114020001</v>
      </c>
      <c r="D75">
        <v>1.6299999999999999E-2</v>
      </c>
      <c r="E75">
        <v>2.8849251857154604E-3</v>
      </c>
      <c r="F75">
        <f t="shared" si="15"/>
        <v>744.71933999999999</v>
      </c>
      <c r="G75">
        <f t="shared" si="16"/>
        <v>-0.66805999999999999</v>
      </c>
      <c r="H75">
        <f t="shared" si="17"/>
        <v>-497.5172022804</v>
      </c>
      <c r="I75">
        <v>1</v>
      </c>
      <c r="J75">
        <f t="shared" si="18"/>
        <v>-0.29474785641341883</v>
      </c>
      <c r="K75">
        <f t="shared" si="19"/>
        <v>-0.55366515177521747</v>
      </c>
      <c r="L75">
        <v>1</v>
      </c>
      <c r="M75">
        <f t="shared" si="20"/>
        <v>0.4908446427555444</v>
      </c>
      <c r="N75">
        <f t="shared" si="24"/>
        <v>6.0694626209999991E-2</v>
      </c>
      <c r="O75">
        <f t="shared" si="22"/>
        <v>1.0742297901276975E-2</v>
      </c>
      <c r="P75">
        <f t="shared" si="23"/>
        <v>-8.6164150916039003E-3</v>
      </c>
      <c r="V75">
        <v>1.0999999999999699</v>
      </c>
      <c r="W75">
        <f t="shared" si="21"/>
        <v>-0.5560769999999986</v>
      </c>
    </row>
    <row r="76" spans="1:23" x14ac:dyDescent="0.3">
      <c r="A76">
        <v>3.7760425</v>
      </c>
      <c r="B76">
        <v>0.66635999999999995</v>
      </c>
      <c r="C76">
        <f t="shared" si="14"/>
        <v>2.5162036802999999</v>
      </c>
      <c r="D76">
        <v>1.6299999999999999E-2</v>
      </c>
      <c r="E76">
        <v>2.8849251857154604E-3</v>
      </c>
      <c r="F76">
        <f t="shared" si="15"/>
        <v>755.20849999999996</v>
      </c>
      <c r="G76">
        <f t="shared" si="16"/>
        <v>-0.66635999999999995</v>
      </c>
      <c r="H76">
        <f t="shared" si="17"/>
        <v>-503.24073605999996</v>
      </c>
      <c r="I76">
        <v>1</v>
      </c>
      <c r="J76">
        <f t="shared" si="18"/>
        <v>-0.28076140891757639</v>
      </c>
      <c r="K76">
        <f t="shared" si="19"/>
        <v>-0.5553651517752175</v>
      </c>
      <c r="L76">
        <v>1</v>
      </c>
      <c r="M76">
        <f t="shared" si="20"/>
        <v>0.49149878890492499</v>
      </c>
      <c r="N76">
        <f t="shared" si="24"/>
        <v>6.1549492749999997E-2</v>
      </c>
      <c r="O76">
        <f t="shared" si="22"/>
        <v>1.089360011058197E-2</v>
      </c>
      <c r="P76">
        <f t="shared" si="23"/>
        <v>-8.5767299902894528E-3</v>
      </c>
      <c r="V76">
        <v>1.19999999999997</v>
      </c>
      <c r="W76">
        <f t="shared" si="21"/>
        <v>-0.56075399999999864</v>
      </c>
    </row>
    <row r="77" spans="1:23" x14ac:dyDescent="0.3">
      <c r="A77">
        <v>3.8300163999999999</v>
      </c>
      <c r="B77">
        <v>0.66461000000000003</v>
      </c>
      <c r="C77">
        <f t="shared" si="14"/>
        <v>2.5454671996039999</v>
      </c>
      <c r="D77">
        <v>1.6299999999999999E-2</v>
      </c>
      <c r="E77">
        <v>2.8849251857154604E-3</v>
      </c>
      <c r="F77">
        <f t="shared" si="15"/>
        <v>766.00328000000002</v>
      </c>
      <c r="G77">
        <f t="shared" si="16"/>
        <v>-0.66461000000000003</v>
      </c>
      <c r="H77">
        <f t="shared" si="17"/>
        <v>-509.09343992079999</v>
      </c>
      <c r="I77">
        <v>1</v>
      </c>
      <c r="J77">
        <f t="shared" si="18"/>
        <v>-0.26656882726637915</v>
      </c>
      <c r="K77">
        <f t="shared" si="19"/>
        <v>-0.55711515177521742</v>
      </c>
      <c r="L77">
        <v>1</v>
      </c>
      <c r="M77">
        <f t="shared" si="20"/>
        <v>0.49216257594875146</v>
      </c>
      <c r="N77">
        <f t="shared" si="24"/>
        <v>6.2429267319999995E-2</v>
      </c>
      <c r="O77">
        <f t="shared" si="22"/>
        <v>1.1049310774063259E-2</v>
      </c>
      <c r="P77">
        <f t="shared" si="23"/>
        <v>-8.5260022675972911E-3</v>
      </c>
      <c r="V77">
        <v>1.2999999999999701</v>
      </c>
      <c r="W77">
        <f t="shared" si="21"/>
        <v>-0.56543099999999857</v>
      </c>
    </row>
    <row r="78" spans="1:23" x14ac:dyDescent="0.3">
      <c r="A78">
        <v>3.8824619</v>
      </c>
      <c r="B78">
        <v>0.66271999999999998</v>
      </c>
      <c r="C78">
        <f t="shared" si="14"/>
        <v>2.5729851503679999</v>
      </c>
      <c r="D78">
        <v>1.6299999999999999E-2</v>
      </c>
      <c r="E78">
        <v>2.8849251857154604E-3</v>
      </c>
      <c r="F78">
        <f t="shared" si="15"/>
        <v>776.49238000000003</v>
      </c>
      <c r="G78">
        <f t="shared" si="16"/>
        <v>-0.66271999999999998</v>
      </c>
      <c r="H78">
        <f t="shared" si="17"/>
        <v>-514.59703007359997</v>
      </c>
      <c r="I78">
        <v>1</v>
      </c>
      <c r="J78">
        <f t="shared" si="18"/>
        <v>-0.25296844970619475</v>
      </c>
      <c r="K78">
        <f t="shared" si="19"/>
        <v>-0.55900515177521748</v>
      </c>
      <c r="L78">
        <v>1</v>
      </c>
      <c r="M78">
        <f t="shared" si="20"/>
        <v>0.49279866560724128</v>
      </c>
      <c r="N78">
        <f t="shared" si="24"/>
        <v>6.3284128969999992E-2</v>
      </c>
      <c r="O78">
        <f t="shared" si="22"/>
        <v>1.1200612117890699E-2</v>
      </c>
      <c r="P78">
        <f t="shared" si="23"/>
        <v>-8.2782549199144941E-3</v>
      </c>
      <c r="V78">
        <v>1.3999999999999699</v>
      </c>
      <c r="W78">
        <f t="shared" si="21"/>
        <v>-0.57010799999999862</v>
      </c>
    </row>
    <row r="79" spans="1:23" x14ac:dyDescent="0.3">
      <c r="A79">
        <v>3.9328710999999998</v>
      </c>
      <c r="B79">
        <v>0.66076999999999997</v>
      </c>
      <c r="C79">
        <f t="shared" si="14"/>
        <v>2.5987232367469999</v>
      </c>
      <c r="D79">
        <v>1.6299999999999999E-2</v>
      </c>
      <c r="E79">
        <v>2.8849251857154604E-3</v>
      </c>
      <c r="F79">
        <f t="shared" si="15"/>
        <v>786.57421999999997</v>
      </c>
      <c r="G79">
        <f t="shared" si="16"/>
        <v>-0.66076999999999997</v>
      </c>
      <c r="H79">
        <f t="shared" si="17"/>
        <v>-519.7446473494</v>
      </c>
      <c r="I79">
        <v>1</v>
      </c>
      <c r="J79">
        <f t="shared" si="18"/>
        <v>-0.24006819348540123</v>
      </c>
      <c r="K79">
        <f t="shared" si="19"/>
        <v>-0.56095515177521749</v>
      </c>
      <c r="L79">
        <v>1</v>
      </c>
      <c r="M79">
        <f t="shared" si="20"/>
        <v>0.49340201059068783</v>
      </c>
      <c r="N79">
        <f t="shared" si="24"/>
        <v>6.4105798929999985E-2</v>
      </c>
      <c r="O79">
        <f t="shared" si="22"/>
        <v>1.1346038888562466E-2</v>
      </c>
      <c r="P79">
        <f t="shared" si="23"/>
        <v>-7.8986966340327987E-3</v>
      </c>
      <c r="V79">
        <v>1.49999999999997</v>
      </c>
      <c r="W79">
        <f t="shared" si="21"/>
        <v>-0.57478499999999866</v>
      </c>
    </row>
    <row r="80" spans="1:23" x14ac:dyDescent="0.3">
      <c r="A80">
        <v>3.9842988000000004</v>
      </c>
      <c r="B80">
        <v>0.65893999999999997</v>
      </c>
      <c r="C80">
        <f t="shared" si="14"/>
        <v>2.625413851272</v>
      </c>
      <c r="D80">
        <v>1.6299999999999999E-2</v>
      </c>
      <c r="E80">
        <v>2.8849251857154604E-3</v>
      </c>
      <c r="F80">
        <f t="shared" si="15"/>
        <v>796.85976000000005</v>
      </c>
      <c r="G80">
        <f t="shared" si="16"/>
        <v>-0.65893999999999997</v>
      </c>
      <c r="H80">
        <f t="shared" si="17"/>
        <v>-525.08277025439997</v>
      </c>
      <c r="I80">
        <v>1</v>
      </c>
      <c r="J80">
        <f t="shared" si="18"/>
        <v>-0.22707657552410793</v>
      </c>
      <c r="K80">
        <f t="shared" si="19"/>
        <v>-0.56278515177521748</v>
      </c>
      <c r="L80">
        <v>1</v>
      </c>
      <c r="M80">
        <f t="shared" si="20"/>
        <v>0.4940096285627375</v>
      </c>
      <c r="N80">
        <f t="shared" si="24"/>
        <v>6.4944070440000001E-2</v>
      </c>
      <c r="O80">
        <f t="shared" si="22"/>
        <v>1.1494403955535887E-2</v>
      </c>
      <c r="P80">
        <f t="shared" si="23"/>
        <v>-7.6629511830559049E-3</v>
      </c>
      <c r="V80">
        <v>1.5999999999999699</v>
      </c>
      <c r="W80">
        <f t="shared" si="21"/>
        <v>-0.57946199999999859</v>
      </c>
    </row>
    <row r="81" spans="1:23" x14ac:dyDescent="0.3">
      <c r="A81">
        <v>4.0347080000000002</v>
      </c>
      <c r="B81">
        <v>0.65756000000000003</v>
      </c>
      <c r="C81">
        <f t="shared" si="14"/>
        <v>2.6530625924800004</v>
      </c>
      <c r="D81">
        <v>1.6299999999999999E-2</v>
      </c>
      <c r="E81">
        <v>2.8849251857154604E-3</v>
      </c>
      <c r="F81">
        <f t="shared" si="15"/>
        <v>806.94159999999999</v>
      </c>
      <c r="G81">
        <f t="shared" si="16"/>
        <v>-0.65756000000000003</v>
      </c>
      <c r="H81">
        <f t="shared" si="17"/>
        <v>-530.61251849600012</v>
      </c>
      <c r="I81">
        <v>1</v>
      </c>
      <c r="J81">
        <f t="shared" si="18"/>
        <v>-0.21450398012137314</v>
      </c>
      <c r="K81">
        <f t="shared" si="19"/>
        <v>-0.56416515177521742</v>
      </c>
      <c r="L81">
        <v>1</v>
      </c>
      <c r="M81">
        <f t="shared" si="20"/>
        <v>0.4945976488497234</v>
      </c>
      <c r="N81">
        <f t="shared" si="24"/>
        <v>6.5765740399999995E-2</v>
      </c>
      <c r="O81">
        <f t="shared" si="22"/>
        <v>1.1639830726207653E-2</v>
      </c>
      <c r="P81">
        <f t="shared" si="23"/>
        <v>-7.8380682007136299E-3</v>
      </c>
      <c r="V81">
        <v>1.69999999999997</v>
      </c>
      <c r="W81">
        <f t="shared" si="21"/>
        <v>-0.58413899999999863</v>
      </c>
    </row>
    <row r="82" spans="1:23" x14ac:dyDescent="0.3">
      <c r="A82">
        <v>4.0866445000000002</v>
      </c>
      <c r="B82">
        <v>0.65559999999999996</v>
      </c>
      <c r="C82">
        <f t="shared" si="14"/>
        <v>2.6792041341999999</v>
      </c>
      <c r="D82">
        <v>1.6299999999999999E-2</v>
      </c>
      <c r="E82">
        <v>2.8849251857154604E-3</v>
      </c>
      <c r="F82">
        <f t="shared" si="15"/>
        <v>817.32890000000009</v>
      </c>
      <c r="G82">
        <f t="shared" si="16"/>
        <v>-0.65559999999999996</v>
      </c>
      <c r="H82">
        <f t="shared" si="17"/>
        <v>-535.84082683999998</v>
      </c>
      <c r="I82">
        <v>1</v>
      </c>
      <c r="J82">
        <f t="shared" si="18"/>
        <v>-0.20171369475241155</v>
      </c>
      <c r="K82">
        <f t="shared" si="19"/>
        <v>-0.56612515177521749</v>
      </c>
      <c r="L82">
        <v>1</v>
      </c>
      <c r="M82">
        <f t="shared" si="20"/>
        <v>0.49519585049642972</v>
      </c>
      <c r="N82">
        <f t="shared" si="24"/>
        <v>6.6612305349999998E-2</v>
      </c>
      <c r="O82">
        <f t="shared" si="22"/>
        <v>1.1789663643115565E-2</v>
      </c>
      <c r="P82">
        <f t="shared" si="23"/>
        <v>-7.4726677143277919E-3</v>
      </c>
      <c r="V82">
        <v>1.7999999999999701</v>
      </c>
      <c r="W82">
        <f t="shared" si="21"/>
        <v>-0.58881599999999867</v>
      </c>
    </row>
    <row r="83" spans="1:23" x14ac:dyDescent="0.3">
      <c r="A83">
        <v>4.1380723000000001</v>
      </c>
      <c r="B83">
        <v>0.65410999999999997</v>
      </c>
      <c r="C83">
        <f t="shared" si="14"/>
        <v>2.7067544721529999</v>
      </c>
      <c r="D83">
        <v>1.6299999999999999E-2</v>
      </c>
      <c r="E83">
        <v>2.8849251857154604E-3</v>
      </c>
      <c r="F83">
        <f t="shared" si="15"/>
        <v>827.61446000000001</v>
      </c>
      <c r="G83">
        <f t="shared" si="16"/>
        <v>-0.65410999999999997</v>
      </c>
      <c r="H83">
        <f t="shared" si="17"/>
        <v>-541.35089443059996</v>
      </c>
      <c r="I83">
        <v>1</v>
      </c>
      <c r="J83">
        <f t="shared" si="18"/>
        <v>-0.18920786105458975</v>
      </c>
      <c r="K83">
        <f t="shared" si="19"/>
        <v>-0.56761515177521749</v>
      </c>
      <c r="L83">
        <v>1</v>
      </c>
      <c r="M83">
        <f t="shared" si="20"/>
        <v>0.49578074833847685</v>
      </c>
      <c r="N83">
        <f t="shared" si="24"/>
        <v>6.7450578489999996E-2</v>
      </c>
      <c r="O83">
        <f t="shared" si="22"/>
        <v>1.1938028998581502E-2</v>
      </c>
      <c r="P83">
        <f t="shared" si="23"/>
        <v>-7.5542040518408633E-3</v>
      </c>
      <c r="V83">
        <v>1.8999999999999699</v>
      </c>
      <c r="W83">
        <f t="shared" si="21"/>
        <v>-0.5934929999999986</v>
      </c>
    </row>
    <row r="84" spans="1:23" x14ac:dyDescent="0.3">
      <c r="A84">
        <v>4.1889906999999997</v>
      </c>
      <c r="B84">
        <v>0.65222000000000002</v>
      </c>
      <c r="C84">
        <f t="shared" si="14"/>
        <v>2.732143514354</v>
      </c>
      <c r="D84">
        <v>1.6299999999999999E-2</v>
      </c>
      <c r="E84">
        <v>2.8849251857154604E-3</v>
      </c>
      <c r="F84">
        <f t="shared" si="15"/>
        <v>837.79813999999999</v>
      </c>
      <c r="G84">
        <f t="shared" si="16"/>
        <v>-0.65222000000000002</v>
      </c>
      <c r="H84">
        <f t="shared" si="17"/>
        <v>-546.42870287079995</v>
      </c>
      <c r="I84">
        <v>1</v>
      </c>
      <c r="J84">
        <f t="shared" si="18"/>
        <v>-0.17697809057192962</v>
      </c>
      <c r="K84">
        <f t="shared" si="19"/>
        <v>-0.56950515177521743</v>
      </c>
      <c r="L84">
        <v>1</v>
      </c>
      <c r="M84">
        <f t="shared" si="20"/>
        <v>0.49635273470395086</v>
      </c>
      <c r="N84">
        <f t="shared" si="24"/>
        <v>6.8280548409999989E-2</v>
      </c>
      <c r="O84">
        <f t="shared" si="22"/>
        <v>1.2084924773157835E-2</v>
      </c>
      <c r="P84">
        <f t="shared" si="23"/>
        <v>-7.2130561118912504E-3</v>
      </c>
      <c r="V84">
        <v>1.99999999999997</v>
      </c>
      <c r="W84">
        <f t="shared" si="21"/>
        <v>-0.59816999999999865</v>
      </c>
    </row>
    <row r="85" spans="1:23" x14ac:dyDescent="0.3">
      <c r="A85">
        <v>4.2429638999999995</v>
      </c>
      <c r="B85">
        <v>0.65031000000000005</v>
      </c>
      <c r="C85">
        <f t="shared" si="14"/>
        <v>2.7592418538089998</v>
      </c>
      <c r="D85">
        <v>1.6299999999999999E-2</v>
      </c>
      <c r="E85">
        <v>2.8849251857154604E-3</v>
      </c>
      <c r="F85">
        <f t="shared" si="15"/>
        <v>848.59277999999995</v>
      </c>
      <c r="G85">
        <f t="shared" si="16"/>
        <v>-0.65031000000000005</v>
      </c>
      <c r="H85">
        <f t="shared" si="17"/>
        <v>-551.84837076179997</v>
      </c>
      <c r="I85">
        <v>1</v>
      </c>
      <c r="J85">
        <f t="shared" si="18"/>
        <v>-0.16417585438114635</v>
      </c>
      <c r="K85">
        <f t="shared" si="19"/>
        <v>-0.5714151517752174</v>
      </c>
      <c r="L85">
        <v>1</v>
      </c>
      <c r="M85">
        <f t="shared" si="20"/>
        <v>0.49695149529059379</v>
      </c>
      <c r="N85">
        <f t="shared" si="24"/>
        <v>6.916031156999998E-2</v>
      </c>
      <c r="O85">
        <f t="shared" si="22"/>
        <v>1.2240633417191492E-2</v>
      </c>
      <c r="P85">
        <f t="shared" si="23"/>
        <v>-6.9372885025678638E-3</v>
      </c>
      <c r="V85">
        <v>2.0999999999999699</v>
      </c>
      <c r="W85">
        <f t="shared" si="21"/>
        <v>-0.60284699999999858</v>
      </c>
    </row>
    <row r="86" spans="1:23" x14ac:dyDescent="0.3">
      <c r="A86">
        <v>4.2933729999999999</v>
      </c>
      <c r="B86">
        <v>0.64868000000000003</v>
      </c>
      <c r="C86">
        <f t="shared" si="14"/>
        <v>2.78502519764</v>
      </c>
      <c r="D86">
        <v>1.6299999999999999E-2</v>
      </c>
      <c r="E86">
        <v>2.8849251857154604E-3</v>
      </c>
      <c r="F86">
        <f t="shared" si="15"/>
        <v>858.67459999999994</v>
      </c>
      <c r="G86">
        <f t="shared" si="16"/>
        <v>-0.64868000000000003</v>
      </c>
      <c r="H86">
        <f t="shared" si="17"/>
        <v>-557.005039528</v>
      </c>
      <c r="I86">
        <v>1</v>
      </c>
      <c r="J86">
        <f t="shared" si="18"/>
        <v>-0.15236524133824828</v>
      </c>
      <c r="K86">
        <f t="shared" si="19"/>
        <v>-0.57304515177521742</v>
      </c>
      <c r="L86">
        <v>1</v>
      </c>
      <c r="M86">
        <f t="shared" si="20"/>
        <v>0.49750387766261017</v>
      </c>
      <c r="N86">
        <f t="shared" si="24"/>
        <v>6.9981979899999991E-2</v>
      </c>
      <c r="O86">
        <f t="shared" si="22"/>
        <v>1.2386059899370742E-2</v>
      </c>
      <c r="P86">
        <f t="shared" si="23"/>
        <v>-6.8267656867634849E-3</v>
      </c>
      <c r="V86">
        <v>2.19999999999997</v>
      </c>
      <c r="W86">
        <f t="shared" si="21"/>
        <v>-0.60752399999999862</v>
      </c>
    </row>
    <row r="87" spans="1:23" x14ac:dyDescent="0.3">
      <c r="A87">
        <v>4.3468374000000001</v>
      </c>
      <c r="B87">
        <v>0.64673999999999998</v>
      </c>
      <c r="C87">
        <f t="shared" si="14"/>
        <v>2.8112736200759998</v>
      </c>
      <c r="D87">
        <v>1.6299999999999999E-2</v>
      </c>
      <c r="E87">
        <v>2.8849251857154604E-3</v>
      </c>
      <c r="F87">
        <f t="shared" si="15"/>
        <v>869.36748</v>
      </c>
      <c r="G87">
        <f t="shared" si="16"/>
        <v>-0.64673999999999998</v>
      </c>
      <c r="H87">
        <f t="shared" si="17"/>
        <v>-562.25472401519994</v>
      </c>
      <c r="I87">
        <v>1</v>
      </c>
      <c r="J87">
        <f t="shared" si="18"/>
        <v>-0.13998936623400418</v>
      </c>
      <c r="K87">
        <f t="shared" si="19"/>
        <v>-0.57498515177521747</v>
      </c>
      <c r="L87">
        <v>1</v>
      </c>
      <c r="M87">
        <f t="shared" si="20"/>
        <v>0.49808269734123567</v>
      </c>
      <c r="N87">
        <f t="shared" si="24"/>
        <v>7.0853449619999995E-2</v>
      </c>
      <c r="O87">
        <f t="shared" si="22"/>
        <v>1.2540300693469909E-2</v>
      </c>
      <c r="P87">
        <f t="shared" si="23"/>
        <v>-6.4912958794880998E-3</v>
      </c>
      <c r="V87">
        <v>2.2999999999999701</v>
      </c>
      <c r="W87">
        <f t="shared" si="21"/>
        <v>-0.61220099999999866</v>
      </c>
    </row>
    <row r="88" spans="1:23" x14ac:dyDescent="0.3">
      <c r="A88">
        <v>4.3977558999999999</v>
      </c>
      <c r="B88">
        <v>0.64507999999999999</v>
      </c>
      <c r="C88">
        <f t="shared" si="14"/>
        <v>2.8369043759719998</v>
      </c>
      <c r="D88">
        <v>1.6299999999999999E-2</v>
      </c>
      <c r="E88">
        <v>2.8849251857154604E-3</v>
      </c>
      <c r="F88">
        <f t="shared" si="15"/>
        <v>879.55117999999993</v>
      </c>
      <c r="G88">
        <f t="shared" si="16"/>
        <v>-0.64507999999999999</v>
      </c>
      <c r="H88">
        <f t="shared" si="17"/>
        <v>-567.38087519440001</v>
      </c>
      <c r="I88">
        <v>1</v>
      </c>
      <c r="J88">
        <f t="shared" si="18"/>
        <v>-0.12834352434298876</v>
      </c>
      <c r="K88">
        <f t="shared" si="19"/>
        <v>-0.57664515177521747</v>
      </c>
      <c r="L88">
        <v>1</v>
      </c>
      <c r="M88">
        <f t="shared" si="20"/>
        <v>0.49862737336647844</v>
      </c>
      <c r="N88">
        <f t="shared" si="24"/>
        <v>7.1683421169999997E-2</v>
      </c>
      <c r="O88">
        <f t="shared" si="22"/>
        <v>1.2687196756538762E-2</v>
      </c>
      <c r="P88">
        <f t="shared" si="23"/>
        <v>-6.3528395177997344E-3</v>
      </c>
      <c r="V88">
        <v>2.3999999999999702</v>
      </c>
      <c r="W88">
        <f t="shared" si="21"/>
        <v>-0.61687799999999859</v>
      </c>
    </row>
    <row r="89" spans="1:23" x14ac:dyDescent="0.3">
      <c r="A89">
        <v>4.4517294999999999</v>
      </c>
      <c r="B89">
        <v>0.64332</v>
      </c>
      <c r="C89">
        <f t="shared" si="14"/>
        <v>2.8638866219399999</v>
      </c>
      <c r="D89">
        <v>1.6299999999999999E-2</v>
      </c>
      <c r="E89">
        <v>2.8849251857154604E-3</v>
      </c>
      <c r="F89">
        <f t="shared" si="15"/>
        <v>890.34590000000003</v>
      </c>
      <c r="G89">
        <f t="shared" si="16"/>
        <v>-0.64332</v>
      </c>
      <c r="H89">
        <f t="shared" si="17"/>
        <v>-572.77732438800001</v>
      </c>
      <c r="I89">
        <v>1</v>
      </c>
      <c r="J89">
        <f t="shared" si="18"/>
        <v>-0.1161452400760616</v>
      </c>
      <c r="K89">
        <f t="shared" si="19"/>
        <v>-0.57840515177521745</v>
      </c>
      <c r="L89">
        <v>1</v>
      </c>
      <c r="M89">
        <f t="shared" si="20"/>
        <v>0.49919788712164265</v>
      </c>
      <c r="N89">
        <f t="shared" si="24"/>
        <v>7.2563190849999987E-2</v>
      </c>
      <c r="O89">
        <f t="shared" si="22"/>
        <v>1.2842906554542493E-2</v>
      </c>
      <c r="P89">
        <f t="shared" si="23"/>
        <v>-6.1988327509676748E-3</v>
      </c>
      <c r="V89">
        <v>2.4999999999999698</v>
      </c>
      <c r="W89">
        <f t="shared" si="21"/>
        <v>-0.62155499999999864</v>
      </c>
    </row>
    <row r="90" spans="1:23" x14ac:dyDescent="0.3">
      <c r="A90">
        <v>4.5021386999999997</v>
      </c>
      <c r="B90">
        <v>0.64166000000000001</v>
      </c>
      <c r="C90">
        <f t="shared" si="14"/>
        <v>2.8888423182419998</v>
      </c>
      <c r="D90">
        <v>1.6299999999999999E-2</v>
      </c>
      <c r="E90">
        <v>2.8849251857154604E-3</v>
      </c>
      <c r="F90">
        <f t="shared" si="15"/>
        <v>900.42773999999997</v>
      </c>
      <c r="G90">
        <f t="shared" si="16"/>
        <v>-0.64166000000000001</v>
      </c>
      <c r="H90">
        <f t="shared" si="17"/>
        <v>-577.76846364839992</v>
      </c>
      <c r="I90">
        <v>1</v>
      </c>
      <c r="J90">
        <f t="shared" si="18"/>
        <v>-0.10488536189459054</v>
      </c>
      <c r="K90">
        <f t="shared" si="19"/>
        <v>-0.58006515177521745</v>
      </c>
      <c r="L90">
        <v>1</v>
      </c>
      <c r="M90">
        <f t="shared" si="20"/>
        <v>0.49972451162419002</v>
      </c>
      <c r="N90">
        <f t="shared" si="24"/>
        <v>7.3384860809999994E-2</v>
      </c>
      <c r="O90">
        <f t="shared" si="22"/>
        <v>1.2988333325214261E-2</v>
      </c>
      <c r="P90">
        <f t="shared" si="23"/>
        <v>-6.0325539841868236E-3</v>
      </c>
      <c r="V90">
        <v>2.5999999999999699</v>
      </c>
      <c r="W90">
        <f t="shared" si="21"/>
        <v>-0.62623199999999857</v>
      </c>
    </row>
    <row r="91" spans="1:23" x14ac:dyDescent="0.3">
      <c r="A91">
        <v>4.5525473999999999</v>
      </c>
      <c r="B91">
        <v>0.63973000000000002</v>
      </c>
      <c r="C91">
        <f t="shared" si="14"/>
        <v>2.912401148202</v>
      </c>
      <c r="D91">
        <v>1.6299999999999999E-2</v>
      </c>
      <c r="E91">
        <v>2.8849251857154604E-3</v>
      </c>
      <c r="F91">
        <f t="shared" si="15"/>
        <v>910.50947999999994</v>
      </c>
      <c r="G91">
        <f t="shared" si="16"/>
        <v>-0.63973000000000002</v>
      </c>
      <c r="H91">
        <f t="shared" si="17"/>
        <v>-582.48022964040001</v>
      </c>
      <c r="I91">
        <v>1</v>
      </c>
      <c r="J91">
        <f t="shared" si="18"/>
        <v>-9.3750968007062979E-2</v>
      </c>
      <c r="K91">
        <f t="shared" si="19"/>
        <v>-0.58199515177521743</v>
      </c>
      <c r="L91">
        <v>1</v>
      </c>
      <c r="M91">
        <f t="shared" si="20"/>
        <v>0.50024526722630969</v>
      </c>
      <c r="N91">
        <f t="shared" si="24"/>
        <v>7.4206522619999993E-2</v>
      </c>
      <c r="O91">
        <f t="shared" si="22"/>
        <v>1.3133758653423436E-2</v>
      </c>
      <c r="P91">
        <f t="shared" si="23"/>
        <v>-5.590396724515681E-3</v>
      </c>
      <c r="V91">
        <v>2.69999999999997</v>
      </c>
      <c r="W91">
        <f t="shared" si="21"/>
        <v>-0.63090899999999861</v>
      </c>
    </row>
    <row r="92" spans="1:23" x14ac:dyDescent="0.3">
      <c r="A92">
        <v>4.6049932</v>
      </c>
      <c r="B92">
        <v>0.63815999999999995</v>
      </c>
      <c r="C92">
        <f t="shared" si="14"/>
        <v>2.9387224605119999</v>
      </c>
      <c r="D92">
        <v>1.6299999999999999E-2</v>
      </c>
      <c r="E92">
        <v>2.8849251857154604E-3</v>
      </c>
      <c r="F92">
        <f t="shared" si="15"/>
        <v>920.99864000000002</v>
      </c>
      <c r="G92">
        <f t="shared" si="16"/>
        <v>-0.63815999999999995</v>
      </c>
      <c r="H92">
        <f t="shared" si="17"/>
        <v>-587.74449210239993</v>
      </c>
      <c r="I92">
        <v>1</v>
      </c>
      <c r="J92">
        <f t="shared" si="18"/>
        <v>-8.2296719383729386E-2</v>
      </c>
      <c r="K92">
        <f t="shared" si="19"/>
        <v>-0.58356515177521751</v>
      </c>
      <c r="L92">
        <v>1</v>
      </c>
      <c r="M92">
        <f t="shared" si="20"/>
        <v>0.50078098243442304</v>
      </c>
      <c r="N92">
        <f t="shared" si="24"/>
        <v>7.5061389159999992E-2</v>
      </c>
      <c r="O92">
        <f t="shared" si="22"/>
        <v>1.3285060862728432E-2</v>
      </c>
      <c r="P92">
        <f t="shared" si="23"/>
        <v>-5.5622806819339565E-3</v>
      </c>
      <c r="V92">
        <v>2.7999999999999701</v>
      </c>
      <c r="W92">
        <f t="shared" si="21"/>
        <v>-0.63558599999999865</v>
      </c>
    </row>
    <row r="93" spans="1:23" x14ac:dyDescent="0.3">
      <c r="A93">
        <v>4.6579481999999999</v>
      </c>
      <c r="B93">
        <v>0.63644999999999996</v>
      </c>
      <c r="C93">
        <f t="shared" si="14"/>
        <v>2.9645511318899995</v>
      </c>
      <c r="D93">
        <v>1.6299999999999999E-2</v>
      </c>
      <c r="E93">
        <v>2.8849251857154604E-3</v>
      </c>
      <c r="F93">
        <f t="shared" si="15"/>
        <v>931.58963999999992</v>
      </c>
      <c r="G93">
        <f t="shared" si="16"/>
        <v>-0.63644999999999996</v>
      </c>
      <c r="H93">
        <f t="shared" si="17"/>
        <v>-592.91022637799995</v>
      </c>
      <c r="I93">
        <v>1</v>
      </c>
      <c r="J93">
        <f t="shared" si="18"/>
        <v>-7.0862861686426776E-2</v>
      </c>
      <c r="K93">
        <f t="shared" si="19"/>
        <v>-0.58527515177521749</v>
      </c>
      <c r="L93">
        <v>1</v>
      </c>
      <c r="M93">
        <f t="shared" si="20"/>
        <v>0.50131574395892586</v>
      </c>
      <c r="N93">
        <f t="shared" si="24"/>
        <v>7.592455565999999E-2</v>
      </c>
      <c r="O93">
        <f t="shared" si="22"/>
        <v>1.3437832075937994E-2</v>
      </c>
      <c r="P93">
        <f t="shared" si="23"/>
        <v>-5.4029799196463526E-3</v>
      </c>
      <c r="V93">
        <v>2.8999999999999702</v>
      </c>
      <c r="W93">
        <f t="shared" si="21"/>
        <v>-0.64026299999999858</v>
      </c>
    </row>
    <row r="94" spans="1:23" x14ac:dyDescent="0.3">
      <c r="A94">
        <v>4.710394</v>
      </c>
      <c r="B94">
        <v>0.63468999999999998</v>
      </c>
      <c r="C94">
        <f t="shared" si="14"/>
        <v>2.9896399678600001</v>
      </c>
      <c r="D94">
        <v>1.6299999999999999E-2</v>
      </c>
      <c r="E94">
        <v>2.8849251857154604E-3</v>
      </c>
      <c r="F94">
        <f t="shared" si="15"/>
        <v>942.0788</v>
      </c>
      <c r="G94">
        <f t="shared" si="16"/>
        <v>-0.63468999999999998</v>
      </c>
      <c r="H94">
        <f t="shared" si="17"/>
        <v>-597.92799357199999</v>
      </c>
      <c r="I94">
        <v>1</v>
      </c>
      <c r="J94">
        <f t="shared" si="18"/>
        <v>-5.9666356099720187E-2</v>
      </c>
      <c r="K94">
        <f t="shared" si="19"/>
        <v>-0.58703515177521748</v>
      </c>
      <c r="L94">
        <v>1</v>
      </c>
      <c r="M94">
        <f t="shared" si="20"/>
        <v>0.50183940452521614</v>
      </c>
      <c r="N94">
        <f t="shared" si="24"/>
        <v>7.6779422199999989E-2</v>
      </c>
      <c r="O94">
        <f t="shared" si="22"/>
        <v>1.358913428524299E-2</v>
      </c>
      <c r="P94">
        <f t="shared" si="23"/>
        <v>-5.1728092352416374E-3</v>
      </c>
      <c r="V94">
        <v>2.9999999999999698</v>
      </c>
      <c r="W94">
        <f t="shared" si="21"/>
        <v>-0.64493999999999863</v>
      </c>
    </row>
    <row r="95" spans="1:23" x14ac:dyDescent="0.3">
      <c r="A95">
        <v>4.7613130000000004</v>
      </c>
      <c r="B95">
        <v>0.63290999999999997</v>
      </c>
      <c r="C95">
        <f t="shared" si="14"/>
        <v>3.0134826108300001</v>
      </c>
      <c r="D95">
        <v>1.6299999999999999E-2</v>
      </c>
      <c r="E95">
        <v>2.8849251857154604E-3</v>
      </c>
      <c r="F95">
        <f t="shared" si="15"/>
        <v>952.26260000000002</v>
      </c>
      <c r="G95">
        <f t="shared" si="16"/>
        <v>-0.63290999999999997</v>
      </c>
      <c r="H95">
        <f t="shared" si="17"/>
        <v>-602.69652216600002</v>
      </c>
      <c r="I95">
        <v>1</v>
      </c>
      <c r="J95">
        <f t="shared" si="18"/>
        <v>-4.891444189158814E-2</v>
      </c>
      <c r="K95">
        <f t="shared" si="19"/>
        <v>-0.58881515177521748</v>
      </c>
      <c r="L95">
        <v>1</v>
      </c>
      <c r="M95">
        <f t="shared" si="20"/>
        <v>0.50234227155273048</v>
      </c>
      <c r="N95">
        <f t="shared" si="24"/>
        <v>7.76094019E-2</v>
      </c>
      <c r="O95">
        <f t="shared" si="22"/>
        <v>1.3736031790774436E-2</v>
      </c>
      <c r="P95">
        <f t="shared" si="23"/>
        <v>-4.8725534682874331E-3</v>
      </c>
      <c r="V95">
        <v>3.0999999999999699</v>
      </c>
      <c r="W95">
        <f t="shared" si="21"/>
        <v>-0.64961699999999856</v>
      </c>
    </row>
    <row r="96" spans="1:23" x14ac:dyDescent="0.3">
      <c r="A96">
        <v>4.8157949000000002</v>
      </c>
      <c r="B96">
        <v>0.63114000000000003</v>
      </c>
      <c r="C96">
        <f t="shared" si="14"/>
        <v>3.0394407931860004</v>
      </c>
      <c r="D96">
        <v>1.6299999999999999E-2</v>
      </c>
      <c r="E96">
        <v>2.8849251857154604E-3</v>
      </c>
      <c r="F96">
        <f t="shared" si="15"/>
        <v>963.15898000000004</v>
      </c>
      <c r="G96">
        <f t="shared" si="16"/>
        <v>-0.63114000000000003</v>
      </c>
      <c r="H96">
        <f t="shared" si="17"/>
        <v>-607.88815863720004</v>
      </c>
      <c r="I96">
        <v>1</v>
      </c>
      <c r="J96">
        <f t="shared" si="18"/>
        <v>-3.7536792543743737E-2</v>
      </c>
      <c r="K96">
        <f t="shared" si="19"/>
        <v>-0.59058515177521742</v>
      </c>
      <c r="L96">
        <v>1</v>
      </c>
      <c r="M96">
        <f t="shared" si="20"/>
        <v>0.50287440421272911</v>
      </c>
      <c r="N96">
        <f t="shared" si="24"/>
        <v>7.8497456869999996E-2</v>
      </c>
      <c r="O96">
        <f t="shared" si="22"/>
        <v>1.3893207996250068E-2</v>
      </c>
      <c r="P96">
        <f t="shared" si="23"/>
        <v>-4.6799173037617523E-3</v>
      </c>
      <c r="V96">
        <v>3.19999999999997</v>
      </c>
      <c r="W96">
        <f t="shared" si="21"/>
        <v>-0.6542939999999986</v>
      </c>
    </row>
    <row r="97" spans="1:23" x14ac:dyDescent="0.3">
      <c r="A97">
        <v>4.8672227000000001</v>
      </c>
      <c r="B97">
        <v>0.62949999999999995</v>
      </c>
      <c r="C97">
        <f t="shared" si="14"/>
        <v>3.0639166896499996</v>
      </c>
      <c r="D97">
        <v>1.6299999999999999E-2</v>
      </c>
      <c r="E97">
        <v>2.8849251857154604E-3</v>
      </c>
      <c r="F97">
        <f t="shared" si="15"/>
        <v>973.44454000000007</v>
      </c>
      <c r="G97">
        <f t="shared" si="16"/>
        <v>-0.62949999999999995</v>
      </c>
      <c r="H97">
        <f t="shared" si="17"/>
        <v>-612.7833379299999</v>
      </c>
      <c r="I97">
        <v>1</v>
      </c>
      <c r="J97">
        <f t="shared" si="18"/>
        <v>-2.6914425489687168E-2</v>
      </c>
      <c r="K97">
        <f t="shared" si="19"/>
        <v>-0.59222515177521751</v>
      </c>
      <c r="L97">
        <v>1</v>
      </c>
      <c r="M97">
        <f t="shared" si="20"/>
        <v>0.50337121231984738</v>
      </c>
      <c r="N97">
        <f t="shared" si="24"/>
        <v>7.9335730009999994E-2</v>
      </c>
      <c r="O97">
        <f t="shared" si="22"/>
        <v>1.4041573351716005E-2</v>
      </c>
      <c r="P97">
        <f t="shared" si="23"/>
        <v>-4.5233639063458758E-3</v>
      </c>
      <c r="V97">
        <v>3.2999999999999701</v>
      </c>
      <c r="W97">
        <f t="shared" si="21"/>
        <v>-0.65897099999999864</v>
      </c>
    </row>
    <row r="98" spans="1:23" x14ac:dyDescent="0.3">
      <c r="A98">
        <v>4.9196685000000002</v>
      </c>
      <c r="B98">
        <v>0.62782000000000004</v>
      </c>
      <c r="C98">
        <f t="shared" si="14"/>
        <v>3.0886662776700002</v>
      </c>
      <c r="D98">
        <v>1.6299999999999999E-2</v>
      </c>
      <c r="E98">
        <v>2.8849251857154604E-3</v>
      </c>
      <c r="F98">
        <f t="shared" si="15"/>
        <v>983.93370000000004</v>
      </c>
      <c r="G98">
        <f t="shared" si="16"/>
        <v>-0.62782000000000004</v>
      </c>
      <c r="H98">
        <f t="shared" si="17"/>
        <v>-617.73325553400002</v>
      </c>
      <c r="I98">
        <v>1</v>
      </c>
      <c r="J98">
        <f t="shared" si="18"/>
        <v>-1.6196762248666789E-2</v>
      </c>
      <c r="K98">
        <f t="shared" si="19"/>
        <v>-0.59390515177521741</v>
      </c>
      <c r="L98">
        <v>1</v>
      </c>
      <c r="M98">
        <f t="shared" si="20"/>
        <v>0.50387247742962993</v>
      </c>
      <c r="N98">
        <f t="shared" si="24"/>
        <v>8.0190596549999993E-2</v>
      </c>
      <c r="O98">
        <f t="shared" si="22"/>
        <v>1.4192875561021001E-2</v>
      </c>
      <c r="P98">
        <f t="shared" si="23"/>
        <v>-4.3507977654335117E-3</v>
      </c>
      <c r="V98">
        <v>3.3999999999999702</v>
      </c>
      <c r="W98">
        <f t="shared" si="21"/>
        <v>-0.66364799999999868</v>
      </c>
    </row>
    <row r="99" spans="1:23" x14ac:dyDescent="0.3">
      <c r="A99">
        <v>4.9721147000000006</v>
      </c>
      <c r="B99">
        <v>0.62626999999999999</v>
      </c>
      <c r="C99">
        <f t="shared" si="14"/>
        <v>3.1138862731690002</v>
      </c>
      <c r="D99">
        <v>1.6299999999999999E-2</v>
      </c>
      <c r="E99">
        <v>2.8849251857154604E-3</v>
      </c>
      <c r="F99">
        <f t="shared" si="15"/>
        <v>994.42294000000015</v>
      </c>
      <c r="G99">
        <f t="shared" si="16"/>
        <v>-0.62626999999999999</v>
      </c>
      <c r="H99">
        <f t="shared" si="17"/>
        <v>-622.7772546338</v>
      </c>
      <c r="I99">
        <v>1</v>
      </c>
      <c r="J99">
        <f t="shared" si="18"/>
        <v>-5.5926698642753889E-3</v>
      </c>
      <c r="K99">
        <f t="shared" si="19"/>
        <v>-0.59545515177521746</v>
      </c>
      <c r="L99">
        <v>1</v>
      </c>
      <c r="M99">
        <f t="shared" si="20"/>
        <v>0.50436843083044791</v>
      </c>
      <c r="N99">
        <f t="shared" si="24"/>
        <v>8.1045469610000004E-2</v>
      </c>
      <c r="O99">
        <f t="shared" si="22"/>
        <v>1.4344178924296073E-2</v>
      </c>
      <c r="P99">
        <f t="shared" si="23"/>
        <v>-4.3029275895265263E-3</v>
      </c>
      <c r="V99">
        <v>3.4999999999999698</v>
      </c>
      <c r="W99">
        <f t="shared" si="21"/>
        <v>-0.66832499999999861</v>
      </c>
    </row>
    <row r="100" spans="1:23" x14ac:dyDescent="0.3">
      <c r="A100">
        <v>5.0230326999999999</v>
      </c>
      <c r="B100">
        <v>0.62448999999999999</v>
      </c>
      <c r="C100">
        <f t="shared" si="14"/>
        <v>3.1368336908229999</v>
      </c>
      <c r="D100">
        <v>1.6299999999999999E-2</v>
      </c>
      <c r="E100">
        <v>2.8849251857154604E-3</v>
      </c>
      <c r="F100">
        <f t="shared" si="15"/>
        <v>1004.60654</v>
      </c>
      <c r="G100">
        <f t="shared" si="16"/>
        <v>-0.62448999999999999</v>
      </c>
      <c r="H100">
        <f t="shared" si="17"/>
        <v>-627.36673816459995</v>
      </c>
      <c r="I100">
        <v>1</v>
      </c>
      <c r="J100">
        <f t="shared" si="18"/>
        <v>4.5959623663696528E-3</v>
      </c>
      <c r="K100">
        <f t="shared" si="19"/>
        <v>-0.59723515177521747</v>
      </c>
      <c r="L100">
        <v>1</v>
      </c>
      <c r="M100">
        <f t="shared" si="20"/>
        <v>0.5048449531598751</v>
      </c>
      <c r="N100">
        <f t="shared" si="24"/>
        <v>8.1875433009999984E-2</v>
      </c>
      <c r="O100">
        <f t="shared" si="22"/>
        <v>1.449107354490233E-2</v>
      </c>
      <c r="P100">
        <f t="shared" si="23"/>
        <v>-3.9763079395599473E-3</v>
      </c>
      <c r="V100">
        <v>3.5999999999999699</v>
      </c>
      <c r="W100">
        <f t="shared" si="21"/>
        <v>-0.67300199999999855</v>
      </c>
    </row>
    <row r="101" spans="1:23" x14ac:dyDescent="0.3">
      <c r="A101">
        <v>5.0764971000000001</v>
      </c>
      <c r="B101">
        <v>0.62255000000000005</v>
      </c>
      <c r="C101">
        <f t="shared" si="14"/>
        <v>3.1603732696050004</v>
      </c>
      <c r="D101">
        <v>1.6299999999999999E-2</v>
      </c>
      <c r="E101">
        <v>2.8849251857154604E-3</v>
      </c>
      <c r="F101">
        <f t="shared" si="15"/>
        <v>1015.2994200000001</v>
      </c>
      <c r="G101">
        <f t="shared" si="16"/>
        <v>-0.62255000000000005</v>
      </c>
      <c r="H101">
        <f t="shared" si="17"/>
        <v>-632.07465392100005</v>
      </c>
      <c r="I101">
        <v>1</v>
      </c>
      <c r="J101">
        <f t="shared" si="18"/>
        <v>1.518356406515067E-2</v>
      </c>
      <c r="K101">
        <f t="shared" si="19"/>
        <v>-0.59917515177521741</v>
      </c>
      <c r="L101">
        <v>1</v>
      </c>
      <c r="M101">
        <f t="shared" si="20"/>
        <v>0.50534013529132715</v>
      </c>
      <c r="N101">
        <f t="shared" si="24"/>
        <v>8.2746902729999988E-2</v>
      </c>
      <c r="O101">
        <f t="shared" si="22"/>
        <v>1.4645314339001497E-2</v>
      </c>
      <c r="P101">
        <f t="shared" si="23"/>
        <v>-3.5572005851112302E-3</v>
      </c>
      <c r="V101">
        <v>3.69999999999997</v>
      </c>
      <c r="W101">
        <f t="shared" si="21"/>
        <v>-0.67767899999999859</v>
      </c>
    </row>
    <row r="102" spans="1:23" x14ac:dyDescent="0.3">
      <c r="A102">
        <v>5.1284335999999993</v>
      </c>
      <c r="B102">
        <v>0.62094000000000005</v>
      </c>
      <c r="C102">
        <f t="shared" si="14"/>
        <v>3.1844495595839999</v>
      </c>
      <c r="D102">
        <v>1.6299999999999999E-2</v>
      </c>
      <c r="E102">
        <v>2.8849251857154604E-3</v>
      </c>
      <c r="F102">
        <f t="shared" si="15"/>
        <v>1025.6867199999999</v>
      </c>
      <c r="G102">
        <f t="shared" si="16"/>
        <v>-0.62094000000000005</v>
      </c>
      <c r="H102">
        <f t="shared" si="17"/>
        <v>-636.88991191679997</v>
      </c>
      <c r="I102">
        <v>1</v>
      </c>
      <c r="J102">
        <f t="shared" si="18"/>
        <v>2.5362358991878942E-2</v>
      </c>
      <c r="K102">
        <f t="shared" si="19"/>
        <v>-0.60078515177521741</v>
      </c>
      <c r="L102">
        <v>1</v>
      </c>
      <c r="M102">
        <f t="shared" si="20"/>
        <v>0.50581619753005025</v>
      </c>
      <c r="N102">
        <f t="shared" si="24"/>
        <v>8.3593467679999978E-2</v>
      </c>
      <c r="O102">
        <f t="shared" si="22"/>
        <v>1.4795147255909405E-2</v>
      </c>
      <c r="P102">
        <f t="shared" si="23"/>
        <v>-3.4196606907422235E-3</v>
      </c>
      <c r="V102">
        <v>3.7999999999999701</v>
      </c>
      <c r="W102">
        <f t="shared" si="21"/>
        <v>-0.68235599999999863</v>
      </c>
    </row>
    <row r="103" spans="1:23" x14ac:dyDescent="0.3">
      <c r="A103">
        <v>5.1844438000000004</v>
      </c>
      <c r="B103">
        <v>0.61914999999999998</v>
      </c>
      <c r="C103">
        <f t="shared" si="14"/>
        <v>3.2099483787700001</v>
      </c>
      <c r="D103">
        <v>1.6299999999999999E-2</v>
      </c>
      <c r="E103">
        <v>2.8849251857154604E-3</v>
      </c>
      <c r="F103">
        <f t="shared" si="15"/>
        <v>1036.88876</v>
      </c>
      <c r="G103">
        <f t="shared" si="16"/>
        <v>-0.61914999999999998</v>
      </c>
      <c r="H103">
        <f t="shared" si="17"/>
        <v>-641.98967575400002</v>
      </c>
      <c r="I103">
        <v>1</v>
      </c>
      <c r="J103">
        <f t="shared" si="18"/>
        <v>3.6224652519484576E-2</v>
      </c>
      <c r="K103">
        <f t="shared" si="19"/>
        <v>-0.60257515177521748</v>
      </c>
      <c r="L103">
        <v>1</v>
      </c>
      <c r="M103">
        <f t="shared" si="20"/>
        <v>0.50632422699833635</v>
      </c>
      <c r="N103">
        <f t="shared" si="24"/>
        <v>8.450643394E-2</v>
      </c>
      <c r="O103">
        <f t="shared" si="22"/>
        <v>1.4956732492546369E-2</v>
      </c>
      <c r="P103">
        <f t="shared" si="23"/>
        <v>-3.2122416556652385E-3</v>
      </c>
      <c r="V103">
        <v>3.8999999999999599</v>
      </c>
      <c r="W103">
        <f t="shared" si="21"/>
        <v>-0.68703299999999812</v>
      </c>
    </row>
    <row r="104" spans="1:23" x14ac:dyDescent="0.3">
      <c r="A104">
        <v>5.2363804000000007</v>
      </c>
      <c r="B104">
        <v>0.61751</v>
      </c>
      <c r="C104">
        <f t="shared" si="14"/>
        <v>3.2335172608040006</v>
      </c>
      <c r="D104">
        <v>1.6299999999999999E-2</v>
      </c>
      <c r="E104">
        <v>2.8849251857154604E-3</v>
      </c>
      <c r="F104">
        <f t="shared" si="15"/>
        <v>1047.2760800000001</v>
      </c>
      <c r="G104">
        <f t="shared" si="16"/>
        <v>-0.61751</v>
      </c>
      <c r="H104">
        <f t="shared" si="17"/>
        <v>-646.70345216080011</v>
      </c>
      <c r="I104">
        <v>1</v>
      </c>
      <c r="J104">
        <f t="shared" si="18"/>
        <v>4.6192583853139145E-2</v>
      </c>
      <c r="K104">
        <f t="shared" si="19"/>
        <v>-0.60421515177521745</v>
      </c>
      <c r="L104">
        <v>1</v>
      </c>
      <c r="M104">
        <f t="shared" si="20"/>
        <v>0.50679042714681133</v>
      </c>
      <c r="N104">
        <f t="shared" si="24"/>
        <v>8.535300052E-2</v>
      </c>
      <c r="O104">
        <f t="shared" si="22"/>
        <v>1.5106565697946798E-2</v>
      </c>
      <c r="P104">
        <f t="shared" si="23"/>
        <v>-3.0348415895406749E-3</v>
      </c>
      <c r="V104">
        <v>3.99999999999996</v>
      </c>
      <c r="W104">
        <f t="shared" si="21"/>
        <v>-0.69170999999999816</v>
      </c>
    </row>
    <row r="105" spans="1:23" x14ac:dyDescent="0.3">
      <c r="A105">
        <v>5.2867895999999996</v>
      </c>
      <c r="B105">
        <v>0.61556</v>
      </c>
      <c r="C105">
        <f t="shared" si="14"/>
        <v>3.2543362061759997</v>
      </c>
      <c r="D105">
        <v>1.6299999999999999E-2</v>
      </c>
      <c r="E105">
        <v>2.8849251857154604E-3</v>
      </c>
      <c r="F105">
        <f t="shared" si="15"/>
        <v>1057.3579199999999</v>
      </c>
      <c r="G105">
        <f t="shared" si="16"/>
        <v>-0.61556</v>
      </c>
      <c r="H105">
        <f t="shared" si="17"/>
        <v>-650.86724123519991</v>
      </c>
      <c r="I105">
        <v>1</v>
      </c>
      <c r="J105">
        <f t="shared" si="18"/>
        <v>5.5773268301977645E-2</v>
      </c>
      <c r="K105">
        <f t="shared" si="19"/>
        <v>-0.60616515177521746</v>
      </c>
      <c r="L105">
        <v>1</v>
      </c>
      <c r="M105">
        <f t="shared" si="20"/>
        <v>0.50723851575848355</v>
      </c>
      <c r="N105">
        <f t="shared" si="24"/>
        <v>8.6174670479999993E-2</v>
      </c>
      <c r="O105">
        <f t="shared" si="22"/>
        <v>1.5251992468618563E-2</v>
      </c>
      <c r="P105">
        <f t="shared" si="23"/>
        <v>-2.5000269318846517E-3</v>
      </c>
      <c r="V105">
        <v>4.0999999999999996</v>
      </c>
      <c r="W105">
        <f t="shared" si="21"/>
        <v>-0.69638699999999998</v>
      </c>
    </row>
    <row r="106" spans="1:23" x14ac:dyDescent="0.3">
      <c r="A106">
        <v>5.3397441000000008</v>
      </c>
      <c r="B106">
        <v>0.61417999999999995</v>
      </c>
      <c r="C106">
        <f t="shared" si="14"/>
        <v>3.2795640313380003</v>
      </c>
      <c r="D106">
        <v>1.6299999999999999E-2</v>
      </c>
      <c r="E106">
        <v>2.8849251857154604E-3</v>
      </c>
      <c r="F106">
        <f t="shared" si="15"/>
        <v>1067.9488200000001</v>
      </c>
      <c r="G106">
        <f t="shared" si="16"/>
        <v>-0.61417999999999995</v>
      </c>
      <c r="H106">
        <f t="shared" si="17"/>
        <v>-655.9128062676001</v>
      </c>
      <c r="I106">
        <v>1</v>
      </c>
      <c r="J106">
        <f t="shared" si="18"/>
        <v>6.5739818041424009E-2</v>
      </c>
      <c r="K106">
        <f t="shared" si="19"/>
        <v>-0.60754515177521751</v>
      </c>
      <c r="L106">
        <v>1</v>
      </c>
      <c r="M106">
        <f t="shared" si="20"/>
        <v>0.50770465128979747</v>
      </c>
      <c r="N106">
        <f t="shared" si="24"/>
        <v>8.7037828830000011E-2</v>
      </c>
      <c r="O106">
        <f t="shared" si="22"/>
        <v>1.5404762239365537E-2</v>
      </c>
      <c r="P106">
        <f t="shared" si="23"/>
        <v>-2.6020905839455113E-3</v>
      </c>
      <c r="V106">
        <v>4.2</v>
      </c>
      <c r="W106">
        <f t="shared" si="21"/>
        <v>-0.70106400000000002</v>
      </c>
    </row>
    <row r="107" spans="1:23" x14ac:dyDescent="0.3">
      <c r="A107">
        <v>5.3916815999999992</v>
      </c>
      <c r="B107">
        <v>0.61241000000000001</v>
      </c>
      <c r="C107">
        <f t="shared" si="14"/>
        <v>3.3019197286559994</v>
      </c>
      <c r="D107">
        <v>1.6299999999999999E-2</v>
      </c>
      <c r="E107">
        <v>2.8849251857154604E-3</v>
      </c>
      <c r="F107">
        <f t="shared" si="15"/>
        <v>1078.3363199999999</v>
      </c>
      <c r="G107">
        <f t="shared" si="16"/>
        <v>-0.61241000000000001</v>
      </c>
      <c r="H107">
        <f t="shared" si="17"/>
        <v>-660.3839457311999</v>
      </c>
      <c r="I107">
        <v>1</v>
      </c>
      <c r="J107">
        <f t="shared" si="18"/>
        <v>7.5419408987255313E-2</v>
      </c>
      <c r="K107">
        <f t="shared" si="19"/>
        <v>-0.60931515177521745</v>
      </c>
      <c r="L107">
        <v>1</v>
      </c>
      <c r="M107">
        <f t="shared" si="20"/>
        <v>0.50815736575833392</v>
      </c>
      <c r="N107">
        <f t="shared" si="24"/>
        <v>8.7884410079999975E-2</v>
      </c>
      <c r="O107">
        <f t="shared" si="22"/>
        <v>1.5554598041198629E-2</v>
      </c>
      <c r="P107">
        <f t="shared" si="23"/>
        <v>-2.281222104315082E-3</v>
      </c>
      <c r="V107">
        <v>4.3</v>
      </c>
      <c r="W107">
        <f t="shared" si="21"/>
        <v>-0.70574099999999995</v>
      </c>
    </row>
    <row r="108" spans="1:23" x14ac:dyDescent="0.3">
      <c r="A108">
        <v>5.4431088999999995</v>
      </c>
      <c r="B108">
        <v>0.61060999999999999</v>
      </c>
      <c r="C108">
        <f t="shared" si="14"/>
        <v>3.3236167254289994</v>
      </c>
      <c r="D108">
        <v>1.6299999999999999E-2</v>
      </c>
      <c r="E108">
        <v>2.8849251857154604E-3</v>
      </c>
      <c r="F108">
        <f t="shared" si="15"/>
        <v>1088.6217799999999</v>
      </c>
      <c r="G108">
        <f t="shared" si="16"/>
        <v>-0.61060999999999999</v>
      </c>
      <c r="H108">
        <f t="shared" si="17"/>
        <v>-664.72334508579991</v>
      </c>
      <c r="I108">
        <v>1</v>
      </c>
      <c r="J108">
        <f t="shared" si="18"/>
        <v>8.4912474166706733E-2</v>
      </c>
      <c r="K108">
        <f t="shared" si="19"/>
        <v>-0.61111515177521747</v>
      </c>
      <c r="L108">
        <v>1</v>
      </c>
      <c r="M108">
        <f t="shared" si="20"/>
        <v>0.50860135641677695</v>
      </c>
      <c r="N108">
        <f t="shared" si="24"/>
        <v>8.8722675069999979E-2</v>
      </c>
      <c r="O108">
        <f t="shared" si="22"/>
        <v>1.5702961954201972E-2</v>
      </c>
      <c r="P108">
        <f t="shared" si="23"/>
        <v>-1.911841665761433E-3</v>
      </c>
      <c r="V108">
        <v>4.4000000000000004</v>
      </c>
      <c r="W108">
        <f t="shared" si="21"/>
        <v>-0.71041799999999999</v>
      </c>
    </row>
    <row r="109" spans="1:23" x14ac:dyDescent="0.3">
      <c r="A109">
        <v>5.4955547000000005</v>
      </c>
      <c r="B109">
        <v>0.60914000000000001</v>
      </c>
      <c r="C109">
        <f t="shared" si="14"/>
        <v>3.3475621899580004</v>
      </c>
      <c r="D109">
        <v>1.6299999999999999E-2</v>
      </c>
      <c r="E109">
        <v>2.8849251857154604E-3</v>
      </c>
      <c r="F109">
        <f t="shared" si="15"/>
        <v>1099.11094</v>
      </c>
      <c r="G109">
        <f t="shared" si="16"/>
        <v>-0.60914000000000001</v>
      </c>
      <c r="H109">
        <f t="shared" si="17"/>
        <v>-669.51243799160011</v>
      </c>
      <c r="I109">
        <v>1</v>
      </c>
      <c r="J109">
        <f t="shared" si="18"/>
        <v>9.4501616641579675E-2</v>
      </c>
      <c r="K109">
        <f t="shared" si="19"/>
        <v>-0.61258515177521744</v>
      </c>
      <c r="L109">
        <v>1</v>
      </c>
      <c r="M109">
        <f t="shared" si="20"/>
        <v>0.50904984061032665</v>
      </c>
      <c r="N109">
        <f t="shared" si="24"/>
        <v>8.9577541610000005E-2</v>
      </c>
      <c r="O109">
        <f t="shared" si="22"/>
        <v>1.5854264163506972E-2</v>
      </c>
      <c r="P109">
        <f t="shared" si="23"/>
        <v>-1.8964946086161907E-3</v>
      </c>
      <c r="V109">
        <v>4.5</v>
      </c>
      <c r="W109">
        <f t="shared" si="21"/>
        <v>-0.71509500000000004</v>
      </c>
    </row>
    <row r="110" spans="1:23" x14ac:dyDescent="0.3">
      <c r="A110">
        <v>5.5459639000000003</v>
      </c>
      <c r="B110">
        <v>0.60733000000000004</v>
      </c>
      <c r="C110">
        <f t="shared" si="14"/>
        <v>3.3682302553870005</v>
      </c>
      <c r="D110">
        <v>1.6299999999999999E-2</v>
      </c>
      <c r="E110">
        <v>2.8849251857154604E-3</v>
      </c>
      <c r="F110">
        <f t="shared" si="15"/>
        <v>1109.1927800000001</v>
      </c>
      <c r="G110">
        <f t="shared" si="16"/>
        <v>-0.60733000000000004</v>
      </c>
      <c r="H110">
        <f t="shared" si="17"/>
        <v>-673.6460510774001</v>
      </c>
      <c r="I110">
        <v>1</v>
      </c>
      <c r="J110">
        <f t="shared" si="18"/>
        <v>0.1036325255424843</v>
      </c>
      <c r="K110">
        <f t="shared" si="19"/>
        <v>-0.61439515177521742</v>
      </c>
      <c r="L110">
        <v>1</v>
      </c>
      <c r="M110">
        <f t="shared" si="20"/>
        <v>0.50947689321962197</v>
      </c>
      <c r="N110">
        <f t="shared" si="24"/>
        <v>9.0399211569999999E-2</v>
      </c>
      <c r="O110">
        <f t="shared" si="22"/>
        <v>1.5999690934178738E-2</v>
      </c>
      <c r="P110">
        <f t="shared" si="23"/>
        <v>-1.480643948583292E-3</v>
      </c>
      <c r="V110">
        <v>4.5999999999999996</v>
      </c>
      <c r="W110">
        <f t="shared" si="21"/>
        <v>-0.71977199999999997</v>
      </c>
    </row>
    <row r="111" spans="1:23" x14ac:dyDescent="0.3">
      <c r="A111">
        <v>5.6009555999999998</v>
      </c>
      <c r="B111">
        <v>0.60582000000000003</v>
      </c>
      <c r="C111">
        <f t="shared" si="14"/>
        <v>3.3931709215920001</v>
      </c>
      <c r="D111">
        <v>1.6299999999999999E-2</v>
      </c>
      <c r="E111">
        <v>2.8849251857154604E-3</v>
      </c>
      <c r="F111">
        <f t="shared" si="15"/>
        <v>1120.19112</v>
      </c>
      <c r="G111">
        <f t="shared" si="16"/>
        <v>-0.60582000000000003</v>
      </c>
      <c r="H111">
        <f t="shared" si="17"/>
        <v>-678.6341843184</v>
      </c>
      <c r="I111">
        <v>1</v>
      </c>
      <c r="J111">
        <f t="shared" si="18"/>
        <v>0.11349931360630967</v>
      </c>
      <c r="K111">
        <f t="shared" si="19"/>
        <v>-0.61590515177521743</v>
      </c>
      <c r="L111">
        <v>1</v>
      </c>
      <c r="M111">
        <f t="shared" si="20"/>
        <v>0.50993836289736716</v>
      </c>
      <c r="N111">
        <f t="shared" si="24"/>
        <v>9.1295576279999985E-2</v>
      </c>
      <c r="O111">
        <f t="shared" si="22"/>
        <v>1.6158337874514046E-2</v>
      </c>
      <c r="P111">
        <f t="shared" si="23"/>
        <v>-1.4871252766637602E-3</v>
      </c>
      <c r="V111">
        <v>4.7</v>
      </c>
      <c r="W111">
        <f t="shared" si="21"/>
        <v>-0.72444900000000001</v>
      </c>
    </row>
    <row r="112" spans="1:23" x14ac:dyDescent="0.3">
      <c r="A112">
        <v>5.6523833000000003</v>
      </c>
      <c r="B112">
        <v>0.60409999999999997</v>
      </c>
      <c r="C112">
        <f t="shared" si="14"/>
        <v>3.4146047515300002</v>
      </c>
      <c r="D112">
        <v>1.6299999999999999E-2</v>
      </c>
      <c r="E112">
        <v>2.8849251857154604E-3</v>
      </c>
      <c r="F112">
        <f t="shared" si="15"/>
        <v>1130.47666</v>
      </c>
      <c r="G112">
        <f t="shared" si="16"/>
        <v>-0.60409999999999997</v>
      </c>
      <c r="H112">
        <f t="shared" si="17"/>
        <v>-682.92095030600001</v>
      </c>
      <c r="I112">
        <v>1</v>
      </c>
      <c r="J112">
        <f t="shared" si="18"/>
        <v>0.12263936679078444</v>
      </c>
      <c r="K112">
        <f t="shared" si="19"/>
        <v>-0.61762515177521748</v>
      </c>
      <c r="L112">
        <v>1</v>
      </c>
      <c r="M112">
        <f t="shared" si="20"/>
        <v>0.51036584318480505</v>
      </c>
      <c r="N112">
        <f t="shared" si="24"/>
        <v>9.2133847790000001E-2</v>
      </c>
      <c r="O112">
        <f t="shared" si="22"/>
        <v>1.6306702941487467E-2</v>
      </c>
      <c r="P112">
        <f t="shared" si="23"/>
        <v>-1.1812421410750291E-3</v>
      </c>
      <c r="V112">
        <v>4.8</v>
      </c>
      <c r="W112">
        <f t="shared" si="21"/>
        <v>-0.72912600000000005</v>
      </c>
    </row>
    <row r="113" spans="1:23" x14ac:dyDescent="0.3">
      <c r="A113">
        <v>5.7053384000000005</v>
      </c>
      <c r="B113">
        <v>0.60233000000000003</v>
      </c>
      <c r="C113">
        <f t="shared" si="14"/>
        <v>3.4364964784720007</v>
      </c>
      <c r="D113">
        <v>1.6299999999999999E-2</v>
      </c>
      <c r="E113">
        <v>2.8849251857154604E-3</v>
      </c>
      <c r="F113">
        <f t="shared" si="15"/>
        <v>1141.0676800000001</v>
      </c>
      <c r="G113">
        <f t="shared" si="16"/>
        <v>-0.60233000000000003</v>
      </c>
      <c r="H113">
        <f t="shared" si="17"/>
        <v>-687.29929569440014</v>
      </c>
      <c r="I113">
        <v>1</v>
      </c>
      <c r="J113">
        <f t="shared" si="18"/>
        <v>0.13196438550992359</v>
      </c>
      <c r="K113">
        <f t="shared" si="19"/>
        <v>-0.61939515177521742</v>
      </c>
      <c r="L113">
        <v>1</v>
      </c>
      <c r="M113">
        <f t="shared" si="20"/>
        <v>0.51080197431029917</v>
      </c>
      <c r="N113">
        <f t="shared" si="24"/>
        <v>9.2997015919999995E-2</v>
      </c>
      <c r="O113">
        <f t="shared" si="22"/>
        <v>1.6459474443189549E-2</v>
      </c>
      <c r="P113">
        <f t="shared" si="23"/>
        <v>-8.6331289827128871E-4</v>
      </c>
      <c r="V113">
        <v>4.9000000000000004</v>
      </c>
      <c r="W113">
        <f t="shared" si="21"/>
        <v>-0.73380299999999998</v>
      </c>
    </row>
    <row r="114" spans="1:23" x14ac:dyDescent="0.3">
      <c r="A114">
        <v>5.7562568000000001</v>
      </c>
      <c r="B114">
        <v>0.6008</v>
      </c>
      <c r="C114">
        <f t="shared" si="14"/>
        <v>3.4583590854400001</v>
      </c>
      <c r="D114">
        <v>1.6299999999999999E-2</v>
      </c>
      <c r="E114">
        <v>2.8849251857154604E-3</v>
      </c>
      <c r="F114">
        <f t="shared" si="15"/>
        <v>1151.25136</v>
      </c>
      <c r="G114">
        <f t="shared" si="16"/>
        <v>-0.6008</v>
      </c>
      <c r="H114">
        <f t="shared" si="17"/>
        <v>-691.67181708800001</v>
      </c>
      <c r="I114">
        <v>1</v>
      </c>
      <c r="J114">
        <f t="shared" si="18"/>
        <v>0.14084948991132895</v>
      </c>
      <c r="K114">
        <f t="shared" si="19"/>
        <v>-0.62092515177521745</v>
      </c>
      <c r="L114">
        <v>1</v>
      </c>
      <c r="M114">
        <f t="shared" si="20"/>
        <v>0.5112175306431529</v>
      </c>
      <c r="N114">
        <f t="shared" si="24"/>
        <v>9.3826985839999988E-2</v>
      </c>
      <c r="O114">
        <f t="shared" si="22"/>
        <v>1.660637021776588E-2</v>
      </c>
      <c r="P114">
        <f t="shared" si="23"/>
        <v>-7.2573492570130946E-4</v>
      </c>
      <c r="V114">
        <v>5</v>
      </c>
      <c r="W114">
        <f t="shared" si="21"/>
        <v>-0.73848000000000003</v>
      </c>
    </row>
    <row r="115" spans="1:23" x14ac:dyDescent="0.3">
      <c r="A115">
        <v>5.8076841000000003</v>
      </c>
      <c r="B115">
        <v>0.59902</v>
      </c>
      <c r="C115">
        <f t="shared" si="14"/>
        <v>3.478918929582</v>
      </c>
      <c r="D115">
        <v>1.6299999999999999E-2</v>
      </c>
      <c r="E115">
        <v>2.8849251857154604E-3</v>
      </c>
      <c r="F115">
        <f t="shared" si="15"/>
        <v>1161.53682</v>
      </c>
      <c r="G115">
        <f t="shared" si="16"/>
        <v>-0.59902</v>
      </c>
      <c r="H115">
        <f t="shared" si="17"/>
        <v>-695.78378591640001</v>
      </c>
      <c r="I115">
        <v>1</v>
      </c>
      <c r="J115">
        <f t="shared" si="18"/>
        <v>0.1497439731133102</v>
      </c>
      <c r="K115">
        <f t="shared" si="19"/>
        <v>-0.62270515177521746</v>
      </c>
      <c r="L115">
        <v>1</v>
      </c>
      <c r="M115">
        <f t="shared" si="20"/>
        <v>0.51163352562250952</v>
      </c>
      <c r="N115">
        <f t="shared" si="24"/>
        <v>9.4665250829999992E-2</v>
      </c>
      <c r="O115">
        <f t="shared" si="22"/>
        <v>1.6754734130769226E-2</v>
      </c>
      <c r="P115">
        <f t="shared" si="23"/>
        <v>-3.4835880806128108E-4</v>
      </c>
      <c r="V115">
        <v>5.0999999999999996</v>
      </c>
      <c r="W115">
        <f t="shared" si="21"/>
        <v>-0.74315700000000007</v>
      </c>
    </row>
    <row r="116" spans="1:23" x14ac:dyDescent="0.3">
      <c r="A116">
        <v>5.8591117999999991</v>
      </c>
      <c r="B116">
        <v>0.59738000000000002</v>
      </c>
      <c r="C116">
        <f t="shared" si="14"/>
        <v>3.5001162070839995</v>
      </c>
      <c r="D116">
        <v>1.6299999999999999E-2</v>
      </c>
      <c r="E116">
        <v>2.8849251857154604E-3</v>
      </c>
      <c r="F116">
        <f t="shared" si="15"/>
        <v>1171.8223599999999</v>
      </c>
      <c r="G116">
        <f t="shared" si="16"/>
        <v>-0.59738000000000002</v>
      </c>
      <c r="H116">
        <f t="shared" si="17"/>
        <v>-700.02324141679992</v>
      </c>
      <c r="I116">
        <v>1</v>
      </c>
      <c r="J116">
        <f t="shared" si="18"/>
        <v>0.15856010970106241</v>
      </c>
      <c r="K116">
        <f t="shared" si="19"/>
        <v>-0.62434515177521743</v>
      </c>
      <c r="L116">
        <v>1</v>
      </c>
      <c r="M116">
        <f t="shared" si="20"/>
        <v>0.51204585633071875</v>
      </c>
      <c r="N116">
        <f t="shared" si="24"/>
        <v>9.550352233999998E-2</v>
      </c>
      <c r="O116">
        <f t="shared" si="22"/>
        <v>1.6903099197742643E-2</v>
      </c>
      <c r="P116">
        <f t="shared" si="23"/>
        <v>-1.0732609324394168E-4</v>
      </c>
      <c r="V116">
        <v>5.2</v>
      </c>
      <c r="W116">
        <f t="shared" si="21"/>
        <v>-0.747834</v>
      </c>
    </row>
    <row r="117" spans="1:23" x14ac:dyDescent="0.3">
      <c r="A117">
        <v>5.9115580999999997</v>
      </c>
      <c r="B117">
        <v>0.59582000000000002</v>
      </c>
      <c r="C117">
        <f t="shared" si="14"/>
        <v>3.5222245471419997</v>
      </c>
      <c r="D117">
        <v>1.6299999999999999E-2</v>
      </c>
      <c r="E117">
        <v>2.8849251857154604E-3</v>
      </c>
      <c r="F117">
        <f t="shared" si="15"/>
        <v>1182.3116199999999</v>
      </c>
      <c r="G117">
        <f t="shared" si="16"/>
        <v>-0.59582000000000002</v>
      </c>
      <c r="H117">
        <f t="shared" si="17"/>
        <v>-704.44490942839991</v>
      </c>
      <c r="I117">
        <v>1</v>
      </c>
      <c r="J117">
        <f t="shared" si="18"/>
        <v>0.16747152213940281</v>
      </c>
      <c r="K117">
        <f t="shared" si="19"/>
        <v>-0.62590515177521744</v>
      </c>
      <c r="L117">
        <v>1</v>
      </c>
      <c r="M117">
        <f t="shared" si="20"/>
        <v>0.51246264309045986</v>
      </c>
      <c r="N117">
        <f t="shared" si="24"/>
        <v>9.6358397029999987E-2</v>
      </c>
      <c r="O117">
        <f t="shared" si="22"/>
        <v>1.7054402849510233E-2</v>
      </c>
      <c r="P117">
        <f t="shared" si="23"/>
        <v>2.9708805247361664E-5</v>
      </c>
      <c r="V117">
        <v>5.3</v>
      </c>
      <c r="W117">
        <f t="shared" si="21"/>
        <v>-0.75251100000000004</v>
      </c>
    </row>
    <row r="118" spans="1:23" x14ac:dyDescent="0.3">
      <c r="A118">
        <v>5.9640034000000002</v>
      </c>
      <c r="B118">
        <v>0.59406000000000003</v>
      </c>
      <c r="C118">
        <f t="shared" si="14"/>
        <v>3.5429758598040002</v>
      </c>
      <c r="D118">
        <v>1.6299999999999999E-2</v>
      </c>
      <c r="E118">
        <v>2.8849251857154604E-3</v>
      </c>
      <c r="F118">
        <f t="shared" si="15"/>
        <v>1192.8006800000001</v>
      </c>
      <c r="G118">
        <f t="shared" si="16"/>
        <v>-0.59406000000000003</v>
      </c>
      <c r="H118">
        <f t="shared" si="17"/>
        <v>-708.59517196080003</v>
      </c>
      <c r="I118">
        <v>1</v>
      </c>
      <c r="J118">
        <f t="shared" si="18"/>
        <v>0.17630405455541887</v>
      </c>
      <c r="K118">
        <f t="shared" si="19"/>
        <v>-0.62766515177521742</v>
      </c>
      <c r="L118">
        <v>1</v>
      </c>
      <c r="M118">
        <f t="shared" si="20"/>
        <v>0.51287574063155694</v>
      </c>
      <c r="N118">
        <f t="shared" si="24"/>
        <v>9.7213255419999992E-2</v>
      </c>
      <c r="O118">
        <f t="shared" si="22"/>
        <v>1.7205703616352638E-2</v>
      </c>
      <c r="P118">
        <f t="shared" si="23"/>
        <v>3.7045210730785039E-4</v>
      </c>
      <c r="V118">
        <v>5.4</v>
      </c>
      <c r="W118">
        <f t="shared" si="21"/>
        <v>-0.75718799999999997</v>
      </c>
    </row>
    <row r="119" spans="1:23" x14ac:dyDescent="0.3">
      <c r="A119">
        <v>6.0154312000000001</v>
      </c>
      <c r="B119">
        <v>0.59250999999999998</v>
      </c>
      <c r="C119">
        <f t="shared" si="14"/>
        <v>3.5642031403119998</v>
      </c>
      <c r="D119">
        <v>1.6299999999999999E-2</v>
      </c>
      <c r="E119">
        <v>2.8849251857154604E-3</v>
      </c>
      <c r="F119">
        <f t="shared" si="15"/>
        <v>1203.0862400000001</v>
      </c>
      <c r="G119">
        <f t="shared" si="16"/>
        <v>-0.59250999999999998</v>
      </c>
      <c r="H119">
        <f t="shared" si="17"/>
        <v>-712.84062806240001</v>
      </c>
      <c r="I119">
        <v>1</v>
      </c>
      <c r="J119">
        <f t="shared" si="18"/>
        <v>0.18489012187116624</v>
      </c>
      <c r="K119">
        <f t="shared" si="19"/>
        <v>-0.62921515177521747</v>
      </c>
      <c r="L119">
        <v>1</v>
      </c>
      <c r="M119">
        <f t="shared" si="20"/>
        <v>0.51327731099991447</v>
      </c>
      <c r="N119">
        <f t="shared" si="24"/>
        <v>9.805152855999999E-2</v>
      </c>
      <c r="O119">
        <f t="shared" si="22"/>
        <v>1.7354068971818574E-2</v>
      </c>
      <c r="P119">
        <f t="shared" si="23"/>
        <v>5.3224324348443916E-4</v>
      </c>
      <c r="V119">
        <v>5.5</v>
      </c>
      <c r="W119">
        <f t="shared" si="21"/>
        <v>-0.76186500000000001</v>
      </c>
    </row>
    <row r="120" spans="1:23" x14ac:dyDescent="0.3">
      <c r="A120">
        <v>6.0678769999999993</v>
      </c>
      <c r="B120">
        <v>0.59094999999999998</v>
      </c>
      <c r="C120">
        <f t="shared" si="14"/>
        <v>3.5858119131499993</v>
      </c>
      <c r="D120">
        <v>1.6299999999999999E-2</v>
      </c>
      <c r="E120">
        <v>2.8849251857154604E-3</v>
      </c>
      <c r="F120">
        <f t="shared" si="15"/>
        <v>1213.5753999999999</v>
      </c>
      <c r="G120">
        <f t="shared" si="16"/>
        <v>-0.59094999999999998</v>
      </c>
      <c r="H120">
        <f t="shared" si="17"/>
        <v>-717.1623826299998</v>
      </c>
      <c r="I120">
        <v>1</v>
      </c>
      <c r="J120">
        <f t="shared" si="18"/>
        <v>0.19357087857647035</v>
      </c>
      <c r="K120">
        <f t="shared" si="19"/>
        <v>-0.63077515177521748</v>
      </c>
      <c r="L120">
        <v>1</v>
      </c>
      <c r="M120">
        <f t="shared" si="20"/>
        <v>0.51368330999102152</v>
      </c>
      <c r="N120">
        <f t="shared" si="24"/>
        <v>9.8906395099999975E-2</v>
      </c>
      <c r="O120">
        <f t="shared" si="22"/>
        <v>1.750537118112357E-2</v>
      </c>
      <c r="P120">
        <f t="shared" si="23"/>
        <v>6.8007550307241579E-4</v>
      </c>
      <c r="V120">
        <v>5.6</v>
      </c>
      <c r="W120">
        <f t="shared" si="21"/>
        <v>-0.76654200000000006</v>
      </c>
    </row>
    <row r="121" spans="1:23" x14ac:dyDescent="0.3">
      <c r="A121">
        <v>6.1193046999999998</v>
      </c>
      <c r="B121">
        <v>0.58921000000000001</v>
      </c>
      <c r="C121">
        <f t="shared" si="14"/>
        <v>3.6055555222870002</v>
      </c>
      <c r="D121">
        <v>1.6299999999999999E-2</v>
      </c>
      <c r="E121">
        <v>2.8849251857154604E-3</v>
      </c>
      <c r="F121">
        <f t="shared" si="15"/>
        <v>1223.86094</v>
      </c>
      <c r="G121">
        <f t="shared" si="16"/>
        <v>-0.58921000000000001</v>
      </c>
      <c r="H121">
        <f t="shared" si="17"/>
        <v>-721.11110445740007</v>
      </c>
      <c r="I121">
        <v>1</v>
      </c>
      <c r="J121">
        <f t="shared" si="18"/>
        <v>0.2020105665247921</v>
      </c>
      <c r="K121">
        <f t="shared" si="19"/>
        <v>-0.63251515177521744</v>
      </c>
      <c r="L121">
        <v>1</v>
      </c>
      <c r="M121">
        <f t="shared" si="20"/>
        <v>0.51407803419636455</v>
      </c>
      <c r="N121">
        <f t="shared" si="24"/>
        <v>9.9744666609999991E-2</v>
      </c>
      <c r="O121">
        <f t="shared" si="22"/>
        <v>1.7653736248096991E-2</v>
      </c>
      <c r="P121">
        <f t="shared" si="23"/>
        <v>1.0387147207559094E-3</v>
      </c>
      <c r="V121">
        <v>5.7</v>
      </c>
      <c r="W121">
        <f t="shared" si="21"/>
        <v>-0.7712190000000001</v>
      </c>
    </row>
    <row r="122" spans="1:23" x14ac:dyDescent="0.3">
      <c r="A122">
        <v>6.1712411999999999</v>
      </c>
      <c r="B122">
        <v>0.58764000000000005</v>
      </c>
      <c r="C122">
        <f t="shared" si="14"/>
        <v>3.6264681787680004</v>
      </c>
      <c r="D122">
        <v>1.6299999999999999E-2</v>
      </c>
      <c r="E122">
        <v>2.8849251857154604E-3</v>
      </c>
      <c r="F122">
        <f t="shared" si="15"/>
        <v>1234.2482399999999</v>
      </c>
      <c r="G122">
        <f t="shared" si="16"/>
        <v>-0.58764000000000005</v>
      </c>
      <c r="H122">
        <f t="shared" si="17"/>
        <v>-725.29363575360003</v>
      </c>
      <c r="I122">
        <v>1</v>
      </c>
      <c r="J122">
        <f t="shared" si="18"/>
        <v>0.21046207218863189</v>
      </c>
      <c r="K122">
        <f t="shared" si="19"/>
        <v>-0.6340851517752174</v>
      </c>
      <c r="L122">
        <v>1</v>
      </c>
      <c r="M122">
        <f t="shared" si="20"/>
        <v>0.51447331111626238</v>
      </c>
      <c r="N122">
        <f t="shared" si="24"/>
        <v>0.10059123155999999</v>
      </c>
      <c r="O122">
        <f t="shared" si="22"/>
        <v>1.78035691650049E-2</v>
      </c>
      <c r="P122">
        <f t="shared" si="23"/>
        <v>1.2170399339501321E-3</v>
      </c>
      <c r="V122">
        <v>5.8</v>
      </c>
      <c r="W122">
        <f t="shared" si="21"/>
        <v>-0.77589600000000003</v>
      </c>
    </row>
    <row r="123" spans="1:23" x14ac:dyDescent="0.3">
      <c r="A123">
        <v>6.2272509999999999</v>
      </c>
      <c r="B123">
        <v>0.58594000000000002</v>
      </c>
      <c r="C123">
        <f t="shared" si="14"/>
        <v>3.6487954509400002</v>
      </c>
      <c r="D123">
        <v>1.6299999999999999E-2</v>
      </c>
      <c r="E123">
        <v>2.8849251857154604E-3</v>
      </c>
      <c r="F123">
        <f t="shared" si="15"/>
        <v>1245.4502</v>
      </c>
      <c r="G123">
        <f t="shared" si="16"/>
        <v>-0.58594000000000002</v>
      </c>
      <c r="H123">
        <f t="shared" si="17"/>
        <v>-729.75909018800007</v>
      </c>
      <c r="I123">
        <v>1</v>
      </c>
      <c r="J123">
        <f t="shared" si="18"/>
        <v>0.21949707097852708</v>
      </c>
      <c r="K123">
        <f t="shared" si="19"/>
        <v>-0.63578515177521744</v>
      </c>
      <c r="L123">
        <v>1</v>
      </c>
      <c r="M123">
        <f t="shared" si="20"/>
        <v>0.51489587800966574</v>
      </c>
      <c r="N123">
        <f t="shared" si="24"/>
        <v>0.10150419129999999</v>
      </c>
      <c r="O123">
        <f t="shared" si="22"/>
        <v>1.7965153247671787E-2</v>
      </c>
      <c r="P123">
        <f t="shared" si="23"/>
        <v>1.4199292178799193E-3</v>
      </c>
      <c r="V123">
        <v>5.9</v>
      </c>
      <c r="W123">
        <f t="shared" si="21"/>
        <v>-0.78057299999999996</v>
      </c>
    </row>
    <row r="124" spans="1:23" x14ac:dyDescent="0.3">
      <c r="A124">
        <v>6.2858070999999995</v>
      </c>
      <c r="B124">
        <v>0.58428000000000002</v>
      </c>
      <c r="C124">
        <f t="shared" si="14"/>
        <v>3.6726713723879998</v>
      </c>
      <c r="D124">
        <v>1.6299999999999999E-2</v>
      </c>
      <c r="E124">
        <v>2.8849251857154604E-3</v>
      </c>
      <c r="F124">
        <f t="shared" si="15"/>
        <v>1257.1614199999999</v>
      </c>
      <c r="G124">
        <f t="shared" si="16"/>
        <v>-0.58428000000000002</v>
      </c>
      <c r="H124">
        <f t="shared" si="17"/>
        <v>-734.53427447759998</v>
      </c>
      <c r="I124">
        <v>1</v>
      </c>
      <c r="J124">
        <f t="shared" si="18"/>
        <v>0.22885633822892332</v>
      </c>
      <c r="K124">
        <f t="shared" si="19"/>
        <v>-0.63744515177521743</v>
      </c>
      <c r="L124">
        <v>1</v>
      </c>
      <c r="M124">
        <f t="shared" si="20"/>
        <v>0.51533361093896679</v>
      </c>
      <c r="N124">
        <f t="shared" si="24"/>
        <v>0.10245865572999999</v>
      </c>
      <c r="O124">
        <f t="shared" si="22"/>
        <v>1.8134083215339058E-2</v>
      </c>
      <c r="P124">
        <f t="shared" si="23"/>
        <v>1.5188018909115981E-3</v>
      </c>
      <c r="V124">
        <v>6</v>
      </c>
      <c r="W124">
        <f t="shared" si="21"/>
        <v>-0.78525</v>
      </c>
    </row>
    <row r="125" spans="1:23" x14ac:dyDescent="0.3">
      <c r="A125">
        <v>6.3362157999999997</v>
      </c>
      <c r="B125">
        <v>0.58243</v>
      </c>
      <c r="C125">
        <f t="shared" si="14"/>
        <v>3.6904021683939998</v>
      </c>
      <c r="D125">
        <v>1.6299999999999999E-2</v>
      </c>
      <c r="E125">
        <v>2.8849251857154604E-3</v>
      </c>
      <c r="F125">
        <f t="shared" si="15"/>
        <v>1267.24316</v>
      </c>
      <c r="G125">
        <f t="shared" si="16"/>
        <v>-0.58243</v>
      </c>
      <c r="H125">
        <f t="shared" si="17"/>
        <v>-738.08043367879998</v>
      </c>
      <c r="I125">
        <v>1</v>
      </c>
      <c r="J125">
        <f t="shared" si="18"/>
        <v>0.23684380084145246</v>
      </c>
      <c r="K125">
        <f t="shared" si="19"/>
        <v>-0.63929515177521745</v>
      </c>
      <c r="L125">
        <v>1</v>
      </c>
      <c r="M125">
        <f t="shared" si="20"/>
        <v>0.5157071845653548</v>
      </c>
      <c r="N125">
        <f t="shared" si="24"/>
        <v>0.10328031753999999</v>
      </c>
      <c r="O125">
        <f t="shared" si="22"/>
        <v>1.8279508543548234E-2</v>
      </c>
      <c r="P125">
        <f t="shared" si="23"/>
        <v>2.0281411263144283E-3</v>
      </c>
      <c r="V125">
        <v>6.1</v>
      </c>
      <c r="W125">
        <f t="shared" si="21"/>
        <v>-0.78992700000000005</v>
      </c>
    </row>
    <row r="126" spans="1:23" x14ac:dyDescent="0.3">
      <c r="A126">
        <v>6.3932451000000006</v>
      </c>
      <c r="B126">
        <v>0.58070999999999995</v>
      </c>
      <c r="C126">
        <f t="shared" si="14"/>
        <v>3.7126213620209998</v>
      </c>
      <c r="D126">
        <v>1.6299999999999999E-2</v>
      </c>
      <c r="E126">
        <v>2.8849251857154604E-3</v>
      </c>
      <c r="F126">
        <f t="shared" si="15"/>
        <v>1278.6490200000001</v>
      </c>
      <c r="G126">
        <f t="shared" si="16"/>
        <v>-0.58070999999999995</v>
      </c>
      <c r="H126">
        <f t="shared" si="17"/>
        <v>-742.52427240419991</v>
      </c>
      <c r="I126">
        <v>1</v>
      </c>
      <c r="J126">
        <f t="shared" si="18"/>
        <v>0.24580406742364744</v>
      </c>
      <c r="K126">
        <f t="shared" si="19"/>
        <v>-0.64101515177521751</v>
      </c>
      <c r="L126">
        <v>1</v>
      </c>
      <c r="M126">
        <f t="shared" si="20"/>
        <v>0.51612625623340402</v>
      </c>
      <c r="N126">
        <f t="shared" si="24"/>
        <v>0.10420989512999999</v>
      </c>
      <c r="O126">
        <f t="shared" si="22"/>
        <v>1.8444033807441959E-2</v>
      </c>
      <c r="P126">
        <f t="shared" si="23"/>
        <v>2.2349666043715299E-3</v>
      </c>
      <c r="V126">
        <v>6.2</v>
      </c>
      <c r="W126">
        <f t="shared" si="21"/>
        <v>-0.79460400000000009</v>
      </c>
    </row>
    <row r="127" spans="1:23" x14ac:dyDescent="0.3">
      <c r="A127">
        <v>6.4456898999999996</v>
      </c>
      <c r="B127">
        <v>0.57913000000000003</v>
      </c>
      <c r="C127">
        <f t="shared" si="14"/>
        <v>3.7328923917869998</v>
      </c>
      <c r="D127">
        <v>1.6299999999999999E-2</v>
      </c>
      <c r="E127">
        <v>2.8849251857154604E-3</v>
      </c>
      <c r="F127">
        <f t="shared" si="15"/>
        <v>1289.13798</v>
      </c>
      <c r="G127">
        <f t="shared" si="16"/>
        <v>-0.57913000000000003</v>
      </c>
      <c r="H127">
        <f t="shared" si="17"/>
        <v>-746.57847835739994</v>
      </c>
      <c r="I127">
        <v>1</v>
      </c>
      <c r="J127">
        <f t="shared" si="18"/>
        <v>0.25397376244855246</v>
      </c>
      <c r="K127">
        <f t="shared" si="19"/>
        <v>-0.64259515177521742</v>
      </c>
      <c r="L127">
        <v>1</v>
      </c>
      <c r="M127">
        <f t="shared" si="20"/>
        <v>0.51650835286971886</v>
      </c>
      <c r="N127">
        <f t="shared" si="24"/>
        <v>0.10506474536999999</v>
      </c>
      <c r="O127">
        <f t="shared" si="22"/>
        <v>1.8595333131821767E-2</v>
      </c>
      <c r="P127">
        <f t="shared" si="23"/>
        <v>2.4267204036768075E-3</v>
      </c>
      <c r="V127">
        <v>6.3</v>
      </c>
      <c r="W127">
        <f t="shared" si="21"/>
        <v>-0.79928100000000002</v>
      </c>
    </row>
    <row r="128" spans="1:23" x14ac:dyDescent="0.3">
      <c r="A128">
        <v>6.4960996</v>
      </c>
      <c r="B128">
        <v>0.57737000000000005</v>
      </c>
      <c r="C128">
        <f t="shared" si="14"/>
        <v>3.7506530260520003</v>
      </c>
      <c r="D128">
        <v>1.6299999999999999E-2</v>
      </c>
      <c r="E128">
        <v>2.8849251857154604E-3</v>
      </c>
      <c r="F128">
        <f t="shared" si="15"/>
        <v>1299.21992</v>
      </c>
      <c r="G128">
        <f t="shared" si="16"/>
        <v>-0.57737000000000005</v>
      </c>
      <c r="H128">
        <f t="shared" si="17"/>
        <v>-750.13060521040006</v>
      </c>
      <c r="I128">
        <v>1</v>
      </c>
      <c r="J128">
        <f t="shared" si="18"/>
        <v>0.26176402282005001</v>
      </c>
      <c r="K128">
        <f t="shared" si="19"/>
        <v>-0.64435515177521741</v>
      </c>
      <c r="L128">
        <v>1</v>
      </c>
      <c r="M128">
        <f t="shared" si="20"/>
        <v>0.51687270334729374</v>
      </c>
      <c r="N128">
        <f t="shared" si="24"/>
        <v>0.10588642347999999</v>
      </c>
      <c r="O128">
        <f t="shared" si="22"/>
        <v>1.8740761344956128E-2</v>
      </c>
      <c r="P128">
        <f t="shared" si="23"/>
        <v>2.8552636029675477E-3</v>
      </c>
      <c r="V128">
        <v>6.4</v>
      </c>
      <c r="W128">
        <f t="shared" si="21"/>
        <v>-0.80395799999999995</v>
      </c>
    </row>
    <row r="129" spans="1:23" x14ac:dyDescent="0.3">
      <c r="A129">
        <v>6.5480361000000009</v>
      </c>
      <c r="B129">
        <v>0.57589999999999997</v>
      </c>
      <c r="C129">
        <f t="shared" si="14"/>
        <v>3.7710139899900001</v>
      </c>
      <c r="D129">
        <v>1.6299999999999999E-2</v>
      </c>
      <c r="E129">
        <v>2.8849251857154604E-3</v>
      </c>
      <c r="F129">
        <f t="shared" si="15"/>
        <v>1309.6072200000001</v>
      </c>
      <c r="G129">
        <f t="shared" si="16"/>
        <v>-0.57589999999999997</v>
      </c>
      <c r="H129">
        <f t="shared" si="17"/>
        <v>-754.20279799800005</v>
      </c>
      <c r="I129">
        <v>1</v>
      </c>
      <c r="J129">
        <f t="shared" si="18"/>
        <v>0.26972726019337229</v>
      </c>
      <c r="K129">
        <f t="shared" si="19"/>
        <v>-0.64582515177521749</v>
      </c>
      <c r="L129">
        <v>1</v>
      </c>
      <c r="M129">
        <f t="shared" si="20"/>
        <v>0.51724514395924404</v>
      </c>
      <c r="N129">
        <f t="shared" si="24"/>
        <v>0.10673298843000001</v>
      </c>
      <c r="O129">
        <f t="shared" si="22"/>
        <v>1.8890594261864041E-2</v>
      </c>
      <c r="P129">
        <f t="shared" si="23"/>
        <v>2.9564251241094019E-3</v>
      </c>
      <c r="V129">
        <v>6.5</v>
      </c>
      <c r="W129">
        <f t="shared" si="21"/>
        <v>-0.80863499999999999</v>
      </c>
    </row>
    <row r="130" spans="1:23" x14ac:dyDescent="0.3">
      <c r="A130">
        <v>6.6004819000000001</v>
      </c>
      <c r="B130">
        <v>0.57413000000000003</v>
      </c>
      <c r="C130">
        <f t="shared" si="14"/>
        <v>3.7895346732470001</v>
      </c>
      <c r="D130">
        <v>1.6299999999999999E-2</v>
      </c>
      <c r="E130">
        <v>2.8849251857154604E-3</v>
      </c>
      <c r="F130">
        <f t="shared" si="15"/>
        <v>1320.09638</v>
      </c>
      <c r="G130">
        <f t="shared" si="16"/>
        <v>-0.57413000000000003</v>
      </c>
      <c r="H130">
        <f t="shared" si="17"/>
        <v>-757.9069346494</v>
      </c>
      <c r="I130">
        <v>1</v>
      </c>
      <c r="J130">
        <f t="shared" si="18"/>
        <v>0.27770474908431808</v>
      </c>
      <c r="K130">
        <f t="shared" si="19"/>
        <v>-0.64759515177521743</v>
      </c>
      <c r="L130">
        <v>1</v>
      </c>
      <c r="M130">
        <f t="shared" si="20"/>
        <v>0.51761825111467363</v>
      </c>
      <c r="N130">
        <f t="shared" si="24"/>
        <v>0.10758785496999999</v>
      </c>
      <c r="O130">
        <f t="shared" si="22"/>
        <v>1.9041896471169033E-2</v>
      </c>
      <c r="P130">
        <f t="shared" si="23"/>
        <v>3.3471492193747655E-3</v>
      </c>
      <c r="V130">
        <v>6.6</v>
      </c>
      <c r="W130">
        <f t="shared" si="21"/>
        <v>-0.81331200000000003</v>
      </c>
    </row>
    <row r="131" spans="1:23" x14ac:dyDescent="0.3">
      <c r="A131">
        <v>6.6539463000000003</v>
      </c>
      <c r="B131">
        <v>0.57255999999999996</v>
      </c>
      <c r="C131">
        <f t="shared" si="14"/>
        <v>3.8097834935279997</v>
      </c>
      <c r="D131">
        <v>1.6299999999999999E-2</v>
      </c>
      <c r="E131">
        <v>2.8849251857154604E-3</v>
      </c>
      <c r="F131">
        <f t="shared" si="15"/>
        <v>1330.78926</v>
      </c>
      <c r="G131">
        <f t="shared" si="16"/>
        <v>-0.57255999999999996</v>
      </c>
      <c r="H131">
        <f t="shared" si="17"/>
        <v>-761.95669870559993</v>
      </c>
      <c r="I131">
        <v>1</v>
      </c>
      <c r="J131">
        <f t="shared" si="18"/>
        <v>0.28577219479598537</v>
      </c>
      <c r="K131">
        <f t="shared" si="19"/>
        <v>-0.6491651517752175</v>
      </c>
      <c r="L131">
        <v>1</v>
      </c>
      <c r="M131">
        <f t="shared" si="20"/>
        <v>0.51799556555060822</v>
      </c>
      <c r="N131">
        <f t="shared" si="24"/>
        <v>0.10845932469</v>
      </c>
      <c r="O131">
        <f t="shared" si="22"/>
        <v>1.9196137265268202E-2</v>
      </c>
      <c r="P131">
        <f t="shared" si="23"/>
        <v>3.5141242693410811E-3</v>
      </c>
      <c r="V131">
        <v>6.7</v>
      </c>
      <c r="W131">
        <f t="shared" si="21"/>
        <v>-0.81798900000000008</v>
      </c>
    </row>
    <row r="132" spans="1:23" x14ac:dyDescent="0.3">
      <c r="A132">
        <v>6.7058833</v>
      </c>
      <c r="B132">
        <v>0.57108999999999999</v>
      </c>
      <c r="C132">
        <f t="shared" si="14"/>
        <v>3.8296628937969999</v>
      </c>
      <c r="D132">
        <v>1.6299999999999999E-2</v>
      </c>
      <c r="E132">
        <v>2.8849251857154604E-3</v>
      </c>
      <c r="F132">
        <f t="shared" si="15"/>
        <v>1341.1766600000001</v>
      </c>
      <c r="G132">
        <f t="shared" si="16"/>
        <v>-0.57108999999999999</v>
      </c>
      <c r="H132">
        <f t="shared" si="17"/>
        <v>-765.93257875940003</v>
      </c>
      <c r="I132">
        <v>1</v>
      </c>
      <c r="J132">
        <f t="shared" si="18"/>
        <v>0.2935473331322393</v>
      </c>
      <c r="K132">
        <f t="shared" si="19"/>
        <v>-0.65063515177521747</v>
      </c>
      <c r="L132">
        <v>1</v>
      </c>
      <c r="M132">
        <f t="shared" si="20"/>
        <v>0.51835920877059483</v>
      </c>
      <c r="N132">
        <f t="shared" si="24"/>
        <v>0.10930589779</v>
      </c>
      <c r="O132">
        <f t="shared" si="22"/>
        <v>1.9345971624638705E-2</v>
      </c>
      <c r="P132">
        <f t="shared" si="23"/>
        <v>3.6240735899839421E-3</v>
      </c>
      <c r="V132">
        <v>6.8</v>
      </c>
      <c r="W132">
        <f t="shared" si="21"/>
        <v>-0.82266600000000001</v>
      </c>
    </row>
    <row r="133" spans="1:23" x14ac:dyDescent="0.3">
      <c r="A133">
        <v>6.7573100999999998</v>
      </c>
      <c r="B133">
        <v>0.56925999999999999</v>
      </c>
      <c r="C133">
        <f t="shared" ref="C133:C196" si="25">A133*B133</f>
        <v>3.8466663475259999</v>
      </c>
      <c r="D133">
        <v>1.6299999999999999E-2</v>
      </c>
      <c r="E133">
        <v>2.8849251857154604E-3</v>
      </c>
      <c r="F133">
        <f t="shared" ref="F133:F196" si="26">A133*200</f>
        <v>1351.4620199999999</v>
      </c>
      <c r="G133">
        <f t="shared" ref="G133:G144" si="27">-B133</f>
        <v>-0.56925999999999999</v>
      </c>
      <c r="H133">
        <f t="shared" ref="H133:H196" si="28">-C133*200</f>
        <v>-769.33326950519995</v>
      </c>
      <c r="I133">
        <v>1</v>
      </c>
      <c r="J133">
        <f t="shared" ref="J133:J196" si="29">LN(F133/1000)</f>
        <v>0.3011869842307256</v>
      </c>
      <c r="K133">
        <f t="shared" ref="K133:K187" si="30">((-G133)-$N$2)</f>
        <v>-0.65246515177521747</v>
      </c>
      <c r="L133">
        <v>1</v>
      </c>
      <c r="M133">
        <f t="shared" ref="M133:M196" si="31">-1*($S$4+($S$5*J133))</f>
        <v>0.51871651525247109</v>
      </c>
      <c r="N133">
        <f t="shared" si="24"/>
        <v>0.11014415462999999</v>
      </c>
      <c r="O133">
        <f t="shared" si="22"/>
        <v>1.9494334095179457E-2</v>
      </c>
      <c r="P133">
        <f t="shared" si="23"/>
        <v>4.1101477975669307E-3</v>
      </c>
      <c r="V133">
        <v>6.9</v>
      </c>
      <c r="W133">
        <f t="shared" ref="W133:W139" si="32">V133*$S$5+$S$4</f>
        <v>-0.82734300000000005</v>
      </c>
    </row>
    <row r="134" spans="1:23" x14ac:dyDescent="0.3">
      <c r="A134">
        <v>6.8082294999999995</v>
      </c>
      <c r="B134">
        <v>0.56759999999999999</v>
      </c>
      <c r="C134">
        <f t="shared" si="25"/>
        <v>3.8643510641999996</v>
      </c>
      <c r="D134">
        <v>1.6299999999999999E-2</v>
      </c>
      <c r="E134">
        <v>2.8849251857154604E-3</v>
      </c>
      <c r="F134">
        <f t="shared" si="26"/>
        <v>1361.6459</v>
      </c>
      <c r="G134">
        <f t="shared" si="27"/>
        <v>-0.56759999999999999</v>
      </c>
      <c r="H134">
        <f t="shared" si="28"/>
        <v>-772.87021283999991</v>
      </c>
      <c r="I134">
        <v>1</v>
      </c>
      <c r="J134">
        <f t="shared" si="29"/>
        <v>0.30869418860956749</v>
      </c>
      <c r="K134">
        <f t="shared" si="30"/>
        <v>-0.65412515177521746</v>
      </c>
      <c r="L134">
        <v>1</v>
      </c>
      <c r="M134">
        <f t="shared" si="31"/>
        <v>0.51906762720126953</v>
      </c>
      <c r="N134">
        <f t="shared" si="24"/>
        <v>0.11097414084999999</v>
      </c>
      <c r="O134">
        <f t="shared" ref="O134:O144" si="33">E134*A134</f>
        <v>1.9641232754680975E-2</v>
      </c>
      <c r="P134">
        <f t="shared" ref="P134:P144" si="34">-K134-M134-N134-O134</f>
        <v>4.4421509692669676E-3</v>
      </c>
      <c r="V134">
        <v>7</v>
      </c>
      <c r="W134">
        <f t="shared" si="32"/>
        <v>-0.83201999999999998</v>
      </c>
    </row>
    <row r="135" spans="1:23" x14ac:dyDescent="0.3">
      <c r="A135">
        <v>6.8601660000000004</v>
      </c>
      <c r="B135">
        <v>0.56601000000000001</v>
      </c>
      <c r="C135">
        <f t="shared" si="25"/>
        <v>3.8829225576600002</v>
      </c>
      <c r="D135">
        <v>1.6299999999999999E-2</v>
      </c>
      <c r="E135">
        <v>2.8849251857154604E-3</v>
      </c>
      <c r="F135">
        <f t="shared" si="26"/>
        <v>1372.0332000000001</v>
      </c>
      <c r="G135">
        <f t="shared" si="27"/>
        <v>-0.56601000000000001</v>
      </c>
      <c r="H135">
        <f t="shared" si="28"/>
        <v>-776.58451153200008</v>
      </c>
      <c r="I135">
        <v>1</v>
      </c>
      <c r="J135">
        <f t="shared" si="29"/>
        <v>0.3162937272616495</v>
      </c>
      <c r="K135">
        <f t="shared" si="30"/>
        <v>-0.65571515177521744</v>
      </c>
      <c r="L135">
        <v>1</v>
      </c>
      <c r="M135">
        <f t="shared" si="31"/>
        <v>0.51942305762402741</v>
      </c>
      <c r="N135">
        <f t="shared" ref="N135:N144" si="35">D135*A135</f>
        <v>0.1118207058</v>
      </c>
      <c r="O135">
        <f t="shared" si="33"/>
        <v>1.9791065671588889E-2</v>
      </c>
      <c r="P135">
        <f t="shared" si="34"/>
        <v>4.6803226796011434E-3</v>
      </c>
      <c r="V135">
        <v>7.1</v>
      </c>
      <c r="W135">
        <f t="shared" si="32"/>
        <v>-0.83669700000000002</v>
      </c>
    </row>
    <row r="136" spans="1:23" x14ac:dyDescent="0.3">
      <c r="A136">
        <v>6.9105746999999997</v>
      </c>
      <c r="B136">
        <v>0.56474999999999997</v>
      </c>
      <c r="C136">
        <f t="shared" si="25"/>
        <v>3.9027470618249995</v>
      </c>
      <c r="D136">
        <v>1.6299999999999999E-2</v>
      </c>
      <c r="E136">
        <v>2.8849251857154604E-3</v>
      </c>
      <c r="F136">
        <f t="shared" si="26"/>
        <v>1382.1149399999999</v>
      </c>
      <c r="G136">
        <f t="shared" si="27"/>
        <v>-0.56474999999999997</v>
      </c>
      <c r="H136">
        <f t="shared" si="28"/>
        <v>-780.54941236499985</v>
      </c>
      <c r="I136">
        <v>1</v>
      </c>
      <c r="J136">
        <f t="shared" si="29"/>
        <v>0.32361489120692827</v>
      </c>
      <c r="K136">
        <f t="shared" si="30"/>
        <v>-0.65697515177521748</v>
      </c>
      <c r="L136">
        <v>1</v>
      </c>
      <c r="M136">
        <f t="shared" si="31"/>
        <v>0.51976546846174809</v>
      </c>
      <c r="N136">
        <f t="shared" si="35"/>
        <v>0.11264236760999999</v>
      </c>
      <c r="O136">
        <f t="shared" si="33"/>
        <v>1.9936490999798061E-2</v>
      </c>
      <c r="P136">
        <f t="shared" si="34"/>
        <v>4.6308247036713386E-3</v>
      </c>
      <c r="V136">
        <v>7.2</v>
      </c>
      <c r="W136">
        <f t="shared" si="32"/>
        <v>-0.84137400000000007</v>
      </c>
    </row>
    <row r="137" spans="1:23" x14ac:dyDescent="0.3">
      <c r="A137">
        <v>6.962002</v>
      </c>
      <c r="B137">
        <v>0.56296000000000002</v>
      </c>
      <c r="C137">
        <f t="shared" si="25"/>
        <v>3.9193286459200003</v>
      </c>
      <c r="D137">
        <v>1.6299999999999999E-2</v>
      </c>
      <c r="E137">
        <v>2.8849251857154604E-3</v>
      </c>
      <c r="F137">
        <f t="shared" si="26"/>
        <v>1392.4004</v>
      </c>
      <c r="G137">
        <f t="shared" si="27"/>
        <v>-0.56296000000000002</v>
      </c>
      <c r="H137">
        <f t="shared" si="28"/>
        <v>-783.86572918400009</v>
      </c>
      <c r="I137">
        <v>1</v>
      </c>
      <c r="J137">
        <f t="shared" si="29"/>
        <v>0.33102916422887751</v>
      </c>
      <c r="K137">
        <f t="shared" si="30"/>
        <v>-0.65876515177521744</v>
      </c>
      <c r="L137">
        <v>1</v>
      </c>
      <c r="M137">
        <f t="shared" si="31"/>
        <v>0.52011223401098461</v>
      </c>
      <c r="N137">
        <f t="shared" si="35"/>
        <v>0.11348063259999999</v>
      </c>
      <c r="O137">
        <f t="shared" si="33"/>
        <v>2.0084854912801407E-2</v>
      </c>
      <c r="P137">
        <f t="shared" si="34"/>
        <v>5.0874302514314317E-3</v>
      </c>
      <c r="V137">
        <v>7.3</v>
      </c>
      <c r="W137">
        <f t="shared" si="32"/>
        <v>-0.846051</v>
      </c>
    </row>
    <row r="138" spans="1:23" x14ac:dyDescent="0.3">
      <c r="A138">
        <v>7.0175034000000007</v>
      </c>
      <c r="B138">
        <v>0.56150999999999995</v>
      </c>
      <c r="C138">
        <f t="shared" si="25"/>
        <v>3.9403983341340001</v>
      </c>
      <c r="D138">
        <v>1.6299999999999999E-2</v>
      </c>
      <c r="E138">
        <v>2.8849251857154604E-3</v>
      </c>
      <c r="F138">
        <f t="shared" si="26"/>
        <v>1403.5006800000001</v>
      </c>
      <c r="G138">
        <f t="shared" si="27"/>
        <v>-0.56150999999999995</v>
      </c>
      <c r="H138">
        <f t="shared" si="28"/>
        <v>-788.07966682680001</v>
      </c>
      <c r="I138">
        <v>1</v>
      </c>
      <c r="J138">
        <f t="shared" si="29"/>
        <v>0.33896960132271092</v>
      </c>
      <c r="K138">
        <f t="shared" si="30"/>
        <v>-0.6602151517752175</v>
      </c>
      <c r="L138">
        <v>1</v>
      </c>
      <c r="M138">
        <f t="shared" si="31"/>
        <v>0.52048360825386319</v>
      </c>
      <c r="N138">
        <f t="shared" si="35"/>
        <v>0.11438530542</v>
      </c>
      <c r="O138">
        <f t="shared" si="33"/>
        <v>2.0244972299503877E-2</v>
      </c>
      <c r="P138">
        <f t="shared" si="34"/>
        <v>5.1012658018504305E-3</v>
      </c>
      <c r="V138">
        <v>7.4</v>
      </c>
      <c r="W138">
        <f t="shared" si="32"/>
        <v>-0.85072800000000004</v>
      </c>
    </row>
    <row r="139" spans="1:23" x14ac:dyDescent="0.3">
      <c r="A139">
        <v>7.0684218999999997</v>
      </c>
      <c r="B139">
        <v>0.55962000000000001</v>
      </c>
      <c r="C139">
        <f t="shared" si="25"/>
        <v>3.9556302636780001</v>
      </c>
      <c r="D139">
        <v>1.6299999999999999E-2</v>
      </c>
      <c r="E139">
        <v>2.8849251857154604E-3</v>
      </c>
      <c r="F139">
        <f t="shared" si="26"/>
        <v>1413.6843799999999</v>
      </c>
      <c r="G139">
        <f t="shared" si="27"/>
        <v>-0.55962000000000001</v>
      </c>
      <c r="H139">
        <f t="shared" si="28"/>
        <v>-791.12605273560007</v>
      </c>
      <c r="I139">
        <v>1</v>
      </c>
      <c r="J139">
        <f t="shared" si="29"/>
        <v>0.34619933180950752</v>
      </c>
      <c r="K139">
        <f t="shared" si="30"/>
        <v>-0.66210515177521745</v>
      </c>
      <c r="L139">
        <v>1</v>
      </c>
      <c r="M139">
        <f t="shared" si="31"/>
        <v>0.52082174274873072</v>
      </c>
      <c r="N139">
        <f t="shared" si="35"/>
        <v>0.11521527696999999</v>
      </c>
      <c r="O139">
        <f t="shared" si="33"/>
        <v>2.0391868362572726E-2</v>
      </c>
      <c r="P139">
        <f t="shared" si="34"/>
        <v>5.6762636939140139E-3</v>
      </c>
      <c r="V139">
        <v>7.5</v>
      </c>
      <c r="W139">
        <f t="shared" si="32"/>
        <v>-0.85540499999999997</v>
      </c>
    </row>
    <row r="140" spans="1:23" x14ac:dyDescent="0.3">
      <c r="A140">
        <v>7.1203583999999998</v>
      </c>
      <c r="B140">
        <v>0.55803000000000003</v>
      </c>
      <c r="C140">
        <f t="shared" si="25"/>
        <v>3.973373597952</v>
      </c>
      <c r="D140">
        <v>1.6299999999999999E-2</v>
      </c>
      <c r="E140">
        <v>2.8849251857154604E-3</v>
      </c>
      <c r="F140">
        <f t="shared" si="26"/>
        <v>1424.07168</v>
      </c>
      <c r="G140">
        <f t="shared" si="27"/>
        <v>-0.55803000000000003</v>
      </c>
      <c r="H140">
        <f t="shared" si="28"/>
        <v>-794.67471959039995</v>
      </c>
      <c r="I140">
        <v>1</v>
      </c>
      <c r="J140">
        <f t="shared" si="29"/>
        <v>0.35352014880156746</v>
      </c>
      <c r="K140">
        <f t="shared" si="30"/>
        <v>-0.66369515177521743</v>
      </c>
      <c r="L140">
        <v>1</v>
      </c>
      <c r="M140">
        <f t="shared" si="31"/>
        <v>0.52116413735944933</v>
      </c>
      <c r="N140">
        <f t="shared" si="35"/>
        <v>0.11606184191999999</v>
      </c>
      <c r="O140">
        <f t="shared" si="33"/>
        <v>2.0541701279480639E-2</v>
      </c>
      <c r="P140">
        <f t="shared" si="34"/>
        <v>5.9274712162874672E-3</v>
      </c>
    </row>
    <row r="141" spans="1:23" x14ac:dyDescent="0.3">
      <c r="A141">
        <v>7.1717861000000003</v>
      </c>
      <c r="B141">
        <v>0.55642999999999998</v>
      </c>
      <c r="C141">
        <f t="shared" si="25"/>
        <v>3.9905969396229999</v>
      </c>
      <c r="D141">
        <v>1.6299999999999999E-2</v>
      </c>
      <c r="E141">
        <v>2.8849251857154604E-3</v>
      </c>
      <c r="F141">
        <f t="shared" si="26"/>
        <v>1434.3572200000001</v>
      </c>
      <c r="G141">
        <f t="shared" si="27"/>
        <v>-0.55642999999999998</v>
      </c>
      <c r="H141">
        <f t="shared" si="28"/>
        <v>-798.11938792460001</v>
      </c>
      <c r="I141">
        <v>1</v>
      </c>
      <c r="J141">
        <f t="shared" si="29"/>
        <v>0.36071681854724486</v>
      </c>
      <c r="K141">
        <f t="shared" si="30"/>
        <v>-0.66529515177521747</v>
      </c>
      <c r="L141">
        <v>1</v>
      </c>
      <c r="M141">
        <f t="shared" si="31"/>
        <v>0.52150072560345462</v>
      </c>
      <c r="N141">
        <f t="shared" si="35"/>
        <v>0.11690011342999999</v>
      </c>
      <c r="O141">
        <f t="shared" si="33"/>
        <v>2.0690066346454056E-2</v>
      </c>
      <c r="P141">
        <f t="shared" si="34"/>
        <v>6.2042463953088066E-3</v>
      </c>
    </row>
    <row r="142" spans="1:23" x14ac:dyDescent="0.3">
      <c r="A142">
        <v>7.2221947999999996</v>
      </c>
      <c r="B142">
        <v>0.55496000000000001</v>
      </c>
      <c r="C142">
        <f t="shared" si="25"/>
        <v>4.0080292262079995</v>
      </c>
      <c r="D142">
        <v>1.6299999999999999E-2</v>
      </c>
      <c r="E142">
        <v>2.8849251857154604E-3</v>
      </c>
      <c r="F142">
        <f t="shared" si="26"/>
        <v>1444.43896</v>
      </c>
      <c r="G142">
        <f t="shared" si="27"/>
        <v>-0.55496000000000001</v>
      </c>
      <c r="H142">
        <f t="shared" si="28"/>
        <v>-801.60584524159992</v>
      </c>
      <c r="I142">
        <v>1</v>
      </c>
      <c r="J142">
        <f t="shared" si="29"/>
        <v>0.36772098319503216</v>
      </c>
      <c r="K142">
        <f t="shared" si="30"/>
        <v>-0.66676515177521745</v>
      </c>
      <c r="L142">
        <v>1</v>
      </c>
      <c r="M142">
        <f t="shared" si="31"/>
        <v>0.52182831038403166</v>
      </c>
      <c r="N142">
        <f t="shared" si="35"/>
        <v>0.11772177523999998</v>
      </c>
      <c r="O142">
        <f t="shared" si="33"/>
        <v>2.0835491674663229E-2</v>
      </c>
      <c r="P142">
        <f t="shared" si="34"/>
        <v>6.3795744765225808E-3</v>
      </c>
    </row>
    <row r="143" spans="1:23" x14ac:dyDescent="0.3">
      <c r="A143">
        <v>7.2731138</v>
      </c>
      <c r="B143">
        <v>0.55332999999999999</v>
      </c>
      <c r="C143">
        <f t="shared" si="25"/>
        <v>4.0244320589539999</v>
      </c>
      <c r="D143">
        <v>1.6299999999999999E-2</v>
      </c>
      <c r="E143">
        <v>2.8849251857154604E-3</v>
      </c>
      <c r="F143">
        <f t="shared" si="26"/>
        <v>1454.62276</v>
      </c>
      <c r="G143">
        <f t="shared" si="27"/>
        <v>-0.55332999999999999</v>
      </c>
      <c r="H143">
        <f t="shared" si="28"/>
        <v>-804.88641179080003</v>
      </c>
      <c r="I143">
        <v>1</v>
      </c>
      <c r="J143">
        <f t="shared" si="29"/>
        <v>0.37474659552913231</v>
      </c>
      <c r="K143">
        <f t="shared" si="30"/>
        <v>-0.66839515177521747</v>
      </c>
      <c r="L143">
        <v>1</v>
      </c>
      <c r="M143">
        <f t="shared" si="31"/>
        <v>0.52215689827289757</v>
      </c>
      <c r="N143">
        <f t="shared" si="35"/>
        <v>0.11855175493999999</v>
      </c>
      <c r="O143">
        <f t="shared" si="33"/>
        <v>2.0982389180194679E-2</v>
      </c>
      <c r="P143">
        <f t="shared" si="34"/>
        <v>6.7041093821252236E-3</v>
      </c>
    </row>
    <row r="144" spans="1:23" x14ac:dyDescent="0.3">
      <c r="A144">
        <v>7.3281050000000008</v>
      </c>
      <c r="B144">
        <v>0.55191999999999997</v>
      </c>
      <c r="C144">
        <f t="shared" si="25"/>
        <v>4.0445277115999998</v>
      </c>
      <c r="D144">
        <v>1.6299999999999999E-2</v>
      </c>
      <c r="E144">
        <v>2.8849251857154604E-3</v>
      </c>
      <c r="F144">
        <f t="shared" si="26"/>
        <v>1465.6210000000001</v>
      </c>
      <c r="G144">
        <f t="shared" si="27"/>
        <v>-0.55191999999999997</v>
      </c>
      <c r="H144">
        <f t="shared" si="28"/>
        <v>-808.90554232</v>
      </c>
      <c r="I144">
        <v>1</v>
      </c>
      <c r="J144">
        <f t="shared" si="29"/>
        <v>0.38227904343769548</v>
      </c>
      <c r="K144">
        <f t="shared" si="30"/>
        <v>-0.66980515177521749</v>
      </c>
      <c r="L144">
        <v>1</v>
      </c>
      <c r="M144">
        <f t="shared" si="31"/>
        <v>0.5225091908615811</v>
      </c>
      <c r="N144">
        <f t="shared" si="35"/>
        <v>0.1194481115</v>
      </c>
      <c r="O144">
        <f t="shared" si="33"/>
        <v>2.1141034678067397E-2</v>
      </c>
      <c r="P144">
        <f t="shared" si="34"/>
        <v>6.706814735569E-3</v>
      </c>
    </row>
    <row r="145" spans="1:16" x14ac:dyDescent="0.3">
      <c r="A145">
        <v>7.3830971999999999</v>
      </c>
      <c r="B145">
        <v>0.55015999999999998</v>
      </c>
      <c r="C145">
        <f t="shared" si="25"/>
        <v>4.0618847555519997</v>
      </c>
      <c r="D145">
        <v>1.6299999999999999E-2</v>
      </c>
      <c r="E145">
        <v>2.8849251857154604E-3</v>
      </c>
      <c r="F145">
        <f t="shared" si="26"/>
        <v>1476.6194399999999</v>
      </c>
      <c r="G145">
        <f t="shared" ref="G145:G187" si="36">-B145</f>
        <v>-0.55015999999999998</v>
      </c>
      <c r="H145">
        <f t="shared" si="28"/>
        <v>-812.37695111039989</v>
      </c>
      <c r="I145">
        <v>1</v>
      </c>
      <c r="J145">
        <f t="shared" si="29"/>
        <v>0.38975531293619209</v>
      </c>
      <c r="K145">
        <f t="shared" si="30"/>
        <v>-0.67156515177521747</v>
      </c>
      <c r="L145">
        <v>1</v>
      </c>
      <c r="M145">
        <f t="shared" si="31"/>
        <v>0.52285885598602577</v>
      </c>
      <c r="N145">
        <f t="shared" ref="N145:N187" si="37">D145*A145</f>
        <v>0.12034448435999999</v>
      </c>
      <c r="O145">
        <f t="shared" ref="O145:O187" si="38">E145*A145</f>
        <v>2.1299683060865295E-2</v>
      </c>
      <c r="P145">
        <f t="shared" ref="P145:P187" si="39">-K145-M145-N145-O145</f>
        <v>7.0621283683264154E-3</v>
      </c>
    </row>
    <row r="146" spans="1:16" x14ac:dyDescent="0.3">
      <c r="A146">
        <v>7.4370703000000002</v>
      </c>
      <c r="B146">
        <v>0.54847999999999997</v>
      </c>
      <c r="C146">
        <f t="shared" si="25"/>
        <v>4.079084318144</v>
      </c>
      <c r="D146">
        <v>1.6299999999999999E-2</v>
      </c>
      <c r="E146">
        <v>2.8849251857154604E-3</v>
      </c>
      <c r="F146">
        <f t="shared" si="26"/>
        <v>1487.4140600000001</v>
      </c>
      <c r="G146">
        <f t="shared" si="36"/>
        <v>-0.54847999999999997</v>
      </c>
      <c r="H146">
        <f t="shared" si="28"/>
        <v>-815.81686362879998</v>
      </c>
      <c r="I146">
        <v>1</v>
      </c>
      <c r="J146">
        <f t="shared" si="29"/>
        <v>0.39703908197870441</v>
      </c>
      <c r="K146">
        <f t="shared" si="30"/>
        <v>-0.67324515177521749</v>
      </c>
      <c r="L146">
        <v>1</v>
      </c>
      <c r="M146">
        <f t="shared" si="31"/>
        <v>0.52319951786414398</v>
      </c>
      <c r="N146">
        <f t="shared" si="37"/>
        <v>0.12122424589</v>
      </c>
      <c r="O146">
        <f t="shared" si="38"/>
        <v>2.1455391416406434E-2</v>
      </c>
      <c r="P146">
        <f t="shared" si="39"/>
        <v>7.365996604667073E-3</v>
      </c>
    </row>
    <row r="147" spans="1:16" x14ac:dyDescent="0.3">
      <c r="A147">
        <v>7.4879888000000001</v>
      </c>
      <c r="B147">
        <v>0.54679999999999995</v>
      </c>
      <c r="C147">
        <f t="shared" si="25"/>
        <v>4.09443227584</v>
      </c>
      <c r="D147">
        <v>1.6299999999999999E-2</v>
      </c>
      <c r="E147">
        <v>2.8849251857154604E-3</v>
      </c>
      <c r="F147">
        <f t="shared" si="26"/>
        <v>1497.5977600000001</v>
      </c>
      <c r="G147">
        <f t="shared" si="36"/>
        <v>-0.54679999999999995</v>
      </c>
      <c r="H147">
        <f t="shared" si="28"/>
        <v>-818.886455168</v>
      </c>
      <c r="I147">
        <v>1</v>
      </c>
      <c r="J147">
        <f t="shared" si="29"/>
        <v>0.40386233101357627</v>
      </c>
      <c r="K147">
        <f t="shared" si="30"/>
        <v>-0.6749251517752175</v>
      </c>
      <c r="L147">
        <v>1</v>
      </c>
      <c r="M147">
        <f t="shared" si="31"/>
        <v>0.52351864122150493</v>
      </c>
      <c r="N147">
        <f t="shared" si="37"/>
        <v>0.12205421743999999</v>
      </c>
      <c r="O147">
        <f t="shared" si="38"/>
        <v>2.1602287479475287E-2</v>
      </c>
      <c r="P147">
        <f t="shared" si="39"/>
        <v>7.7500056342372954E-3</v>
      </c>
    </row>
    <row r="148" spans="1:16" x14ac:dyDescent="0.3">
      <c r="A148">
        <v>7.5404350999999998</v>
      </c>
      <c r="B148">
        <v>0.54532000000000003</v>
      </c>
      <c r="C148">
        <f t="shared" si="25"/>
        <v>4.1119500687319999</v>
      </c>
      <c r="D148">
        <v>1.6299999999999999E-2</v>
      </c>
      <c r="E148">
        <v>2.8849251857154604E-3</v>
      </c>
      <c r="F148">
        <f t="shared" si="26"/>
        <v>1508.0870199999999</v>
      </c>
      <c r="G148">
        <f t="shared" si="36"/>
        <v>-0.54532000000000003</v>
      </c>
      <c r="H148">
        <f t="shared" si="28"/>
        <v>-822.39001374639997</v>
      </c>
      <c r="I148">
        <v>1</v>
      </c>
      <c r="J148">
        <f t="shared" si="29"/>
        <v>0.41084197349115364</v>
      </c>
      <c r="K148">
        <f t="shared" si="30"/>
        <v>-0.67640515177521743</v>
      </c>
      <c r="L148">
        <v>1</v>
      </c>
      <c r="M148">
        <f t="shared" si="31"/>
        <v>0.5238450791001813</v>
      </c>
      <c r="N148">
        <f t="shared" si="37"/>
        <v>0.12290909212999998</v>
      </c>
      <c r="O148">
        <f t="shared" si="38"/>
        <v>2.1753591131242877E-2</v>
      </c>
      <c r="P148">
        <f t="shared" si="39"/>
        <v>7.8973894137932717E-3</v>
      </c>
    </row>
    <row r="149" spans="1:16" x14ac:dyDescent="0.3">
      <c r="A149">
        <v>7.5908442000000003</v>
      </c>
      <c r="B149">
        <v>0.54376999999999998</v>
      </c>
      <c r="C149">
        <f t="shared" si="25"/>
        <v>4.1276733506339998</v>
      </c>
      <c r="D149">
        <v>1.6299999999999999E-2</v>
      </c>
      <c r="E149">
        <v>2.8849251857154604E-3</v>
      </c>
      <c r="F149">
        <f t="shared" si="26"/>
        <v>1518.16884</v>
      </c>
      <c r="G149">
        <f t="shared" si="36"/>
        <v>-0.54376999999999998</v>
      </c>
      <c r="H149">
        <f t="shared" si="28"/>
        <v>-825.53467012679994</v>
      </c>
      <c r="I149">
        <v>1</v>
      </c>
      <c r="J149">
        <f t="shared" si="29"/>
        <v>0.41750489808480618</v>
      </c>
      <c r="K149">
        <f t="shared" si="30"/>
        <v>-0.67795515177521748</v>
      </c>
      <c r="L149">
        <v>1</v>
      </c>
      <c r="M149">
        <f t="shared" si="31"/>
        <v>0.52415670408342641</v>
      </c>
      <c r="N149">
        <f t="shared" si="37"/>
        <v>0.12373076045999999</v>
      </c>
      <c r="O149">
        <f t="shared" si="38"/>
        <v>2.1899017613422125E-2</v>
      </c>
      <c r="P149">
        <f t="shared" si="39"/>
        <v>8.1686696183689567E-3</v>
      </c>
    </row>
    <row r="150" spans="1:16" x14ac:dyDescent="0.3">
      <c r="A150">
        <v>7.6412528999999996</v>
      </c>
      <c r="B150">
        <v>0.54205000000000003</v>
      </c>
      <c r="C150">
        <f t="shared" si="25"/>
        <v>4.1419411344450001</v>
      </c>
      <c r="D150">
        <v>1.6299999999999999E-2</v>
      </c>
      <c r="E150">
        <v>2.8849251857154604E-3</v>
      </c>
      <c r="F150">
        <f t="shared" si="26"/>
        <v>1528.2505799999999</v>
      </c>
      <c r="G150">
        <f t="shared" si="36"/>
        <v>-0.54205000000000003</v>
      </c>
      <c r="H150">
        <f t="shared" si="28"/>
        <v>-828.38822688900007</v>
      </c>
      <c r="I150">
        <v>1</v>
      </c>
      <c r="J150">
        <f t="shared" si="29"/>
        <v>0.42412366944568342</v>
      </c>
      <c r="K150">
        <f t="shared" si="30"/>
        <v>-0.67967515177521742</v>
      </c>
      <c r="L150">
        <v>1</v>
      </c>
      <c r="M150">
        <f t="shared" si="31"/>
        <v>0.52446626401997465</v>
      </c>
      <c r="N150">
        <f t="shared" si="37"/>
        <v>0.12455242226999998</v>
      </c>
      <c r="O150">
        <f t="shared" si="38"/>
        <v>2.2044442941631298E-2</v>
      </c>
      <c r="P150">
        <f t="shared" si="39"/>
        <v>8.6120225436115E-3</v>
      </c>
    </row>
    <row r="151" spans="1:16" x14ac:dyDescent="0.3">
      <c r="A151">
        <v>7.6916625999999999</v>
      </c>
      <c r="B151">
        <v>0.54049999999999998</v>
      </c>
      <c r="C151">
        <f t="shared" si="25"/>
        <v>4.1573436353000002</v>
      </c>
      <c r="D151">
        <v>1.6299999999999999E-2</v>
      </c>
      <c r="E151">
        <v>2.8849251857154604E-3</v>
      </c>
      <c r="F151">
        <f t="shared" si="26"/>
        <v>1538.3325199999999</v>
      </c>
      <c r="G151">
        <f t="shared" si="36"/>
        <v>-0.54049999999999998</v>
      </c>
      <c r="H151">
        <f t="shared" si="28"/>
        <v>-831.46872705999999</v>
      </c>
      <c r="I151">
        <v>1</v>
      </c>
      <c r="J151">
        <f t="shared" si="29"/>
        <v>0.43069905057584013</v>
      </c>
      <c r="K151">
        <f t="shared" si="30"/>
        <v>-0.68122515177521747</v>
      </c>
      <c r="L151">
        <v>1</v>
      </c>
      <c r="M151">
        <f t="shared" si="31"/>
        <v>0.52477379459543205</v>
      </c>
      <c r="N151">
        <f t="shared" si="37"/>
        <v>0.12537410037999999</v>
      </c>
      <c r="O151">
        <f t="shared" si="38"/>
        <v>2.2189871154765662E-2</v>
      </c>
      <c r="P151">
        <f t="shared" si="39"/>
        <v>8.8873856450197679E-3</v>
      </c>
    </row>
    <row r="152" spans="1:16" x14ac:dyDescent="0.3">
      <c r="A152">
        <v>7.7420713000000001</v>
      </c>
      <c r="B152">
        <v>0.53893999999999997</v>
      </c>
      <c r="C152">
        <f t="shared" si="25"/>
        <v>4.1725119064219998</v>
      </c>
      <c r="D152">
        <v>1.6299999999999999E-2</v>
      </c>
      <c r="E152">
        <v>2.8849251857154604E-3</v>
      </c>
      <c r="F152">
        <f t="shared" si="26"/>
        <v>1548.41426</v>
      </c>
      <c r="G152">
        <f t="shared" si="36"/>
        <v>-0.53893999999999997</v>
      </c>
      <c r="H152">
        <f t="shared" si="28"/>
        <v>-834.50238128439992</v>
      </c>
      <c r="I152">
        <v>1</v>
      </c>
      <c r="J152">
        <f t="shared" si="29"/>
        <v>0.43723134918553613</v>
      </c>
      <c r="K152">
        <f t="shared" si="30"/>
        <v>-0.68278515177521748</v>
      </c>
      <c r="L152">
        <v>1</v>
      </c>
      <c r="M152">
        <f t="shared" si="31"/>
        <v>0.52507931020140752</v>
      </c>
      <c r="N152">
        <f t="shared" si="37"/>
        <v>0.12619576218999998</v>
      </c>
      <c r="O152">
        <f t="shared" si="38"/>
        <v>2.2335296482974835E-2</v>
      </c>
      <c r="P152">
        <f t="shared" si="39"/>
        <v>9.1747829008351454E-3</v>
      </c>
    </row>
    <row r="153" spans="1:16" x14ac:dyDescent="0.3">
      <c r="A153">
        <v>7.7950264000000002</v>
      </c>
      <c r="B153">
        <v>0.53752999999999995</v>
      </c>
      <c r="C153">
        <f t="shared" si="25"/>
        <v>4.1900605407919995</v>
      </c>
      <c r="D153">
        <v>1.6299999999999999E-2</v>
      </c>
      <c r="E153">
        <v>2.8849251857154604E-3</v>
      </c>
      <c r="F153">
        <f t="shared" si="26"/>
        <v>1559.0052800000001</v>
      </c>
      <c r="G153">
        <f t="shared" si="36"/>
        <v>-0.53752999999999995</v>
      </c>
      <c r="H153">
        <f t="shared" si="28"/>
        <v>-838.01210815839988</v>
      </c>
      <c r="I153">
        <v>1</v>
      </c>
      <c r="J153">
        <f t="shared" si="29"/>
        <v>0.44404797685630587</v>
      </c>
      <c r="K153">
        <f t="shared" si="30"/>
        <v>-0.6841951517752175</v>
      </c>
      <c r="L153">
        <v>1</v>
      </c>
      <c r="M153">
        <f t="shared" si="31"/>
        <v>0.52539812387756946</v>
      </c>
      <c r="N153">
        <f t="shared" si="37"/>
        <v>0.12705893031999999</v>
      </c>
      <c r="O153">
        <f t="shared" si="38"/>
        <v>2.2488067984676917E-2</v>
      </c>
      <c r="P153">
        <f t="shared" si="39"/>
        <v>9.2500295929711443E-3</v>
      </c>
    </row>
    <row r="154" spans="1:16" x14ac:dyDescent="0.3">
      <c r="A154">
        <v>7.8454354999999998</v>
      </c>
      <c r="B154">
        <v>0.53600000000000003</v>
      </c>
      <c r="C154">
        <f t="shared" si="25"/>
        <v>4.205153428</v>
      </c>
      <c r="D154">
        <v>1.6299999999999999E-2</v>
      </c>
      <c r="E154">
        <v>2.8849251857154604E-3</v>
      </c>
      <c r="F154">
        <f t="shared" si="26"/>
        <v>1569.0871</v>
      </c>
      <c r="G154">
        <f t="shared" si="36"/>
        <v>-0.53600000000000003</v>
      </c>
      <c r="H154">
        <f t="shared" si="28"/>
        <v>-841.03068559999997</v>
      </c>
      <c r="I154">
        <v>1</v>
      </c>
      <c r="J154">
        <f t="shared" si="29"/>
        <v>0.45049398527574924</v>
      </c>
      <c r="K154">
        <f t="shared" si="30"/>
        <v>-0.68572515177521742</v>
      </c>
      <c r="L154">
        <v>1</v>
      </c>
      <c r="M154">
        <f t="shared" si="31"/>
        <v>0.52569960369134683</v>
      </c>
      <c r="N154">
        <f t="shared" si="37"/>
        <v>0.12788059864999998</v>
      </c>
      <c r="O154">
        <f t="shared" si="38"/>
        <v>2.2633494466856165E-2</v>
      </c>
      <c r="P154">
        <f t="shared" si="39"/>
        <v>9.5114549670144467E-3</v>
      </c>
    </row>
    <row r="155" spans="1:16" x14ac:dyDescent="0.3">
      <c r="A155">
        <v>7.8958447000000005</v>
      </c>
      <c r="B155">
        <v>0.53444999999999998</v>
      </c>
      <c r="C155">
        <f t="shared" si="25"/>
        <v>4.2199341999150004</v>
      </c>
      <c r="D155">
        <v>1.6299999999999999E-2</v>
      </c>
      <c r="E155">
        <v>2.8849251857154604E-3</v>
      </c>
      <c r="F155">
        <f t="shared" si="26"/>
        <v>1579.16894</v>
      </c>
      <c r="G155">
        <f t="shared" si="36"/>
        <v>-0.53444999999999998</v>
      </c>
      <c r="H155">
        <f t="shared" si="28"/>
        <v>-843.9868399830001</v>
      </c>
      <c r="I155">
        <v>1</v>
      </c>
      <c r="J155">
        <f t="shared" si="29"/>
        <v>0.45689872131723525</v>
      </c>
      <c r="K155">
        <f t="shared" si="30"/>
        <v>-0.68727515177521747</v>
      </c>
      <c r="L155">
        <v>1</v>
      </c>
      <c r="M155">
        <f t="shared" si="31"/>
        <v>0.5259991531960071</v>
      </c>
      <c r="N155">
        <f t="shared" si="37"/>
        <v>0.12870226861</v>
      </c>
      <c r="O155">
        <f t="shared" si="38"/>
        <v>2.2778921237527935E-2</v>
      </c>
      <c r="P155">
        <f t="shared" si="39"/>
        <v>9.7948087316824389E-3</v>
      </c>
    </row>
    <row r="156" spans="1:16" x14ac:dyDescent="0.3">
      <c r="A156">
        <v>7.9477812999999999</v>
      </c>
      <c r="B156">
        <v>0.53259999999999996</v>
      </c>
      <c r="C156">
        <f t="shared" si="25"/>
        <v>4.2329883203799996</v>
      </c>
      <c r="D156">
        <v>1.6299999999999999E-2</v>
      </c>
      <c r="E156">
        <v>2.8849251857154604E-3</v>
      </c>
      <c r="F156">
        <f t="shared" si="26"/>
        <v>1589.5562600000001</v>
      </c>
      <c r="G156">
        <f t="shared" si="36"/>
        <v>-0.53259999999999996</v>
      </c>
      <c r="H156">
        <f t="shared" si="28"/>
        <v>-846.59766407599989</v>
      </c>
      <c r="I156">
        <v>1</v>
      </c>
      <c r="J156">
        <f t="shared" si="29"/>
        <v>0.46345489552057223</v>
      </c>
      <c r="K156">
        <f t="shared" si="30"/>
        <v>-0.68912515177521749</v>
      </c>
      <c r="L156">
        <v>1</v>
      </c>
      <c r="M156">
        <f t="shared" si="31"/>
        <v>0.52630578546349716</v>
      </c>
      <c r="N156">
        <f t="shared" si="37"/>
        <v>0.12954883518999999</v>
      </c>
      <c r="O156">
        <f t="shared" si="38"/>
        <v>2.2928754442928363E-2</v>
      </c>
      <c r="P156">
        <f t="shared" si="39"/>
        <v>1.0341776678791985E-2</v>
      </c>
    </row>
    <row r="157" spans="1:16" x14ac:dyDescent="0.3">
      <c r="A157">
        <v>8.0002274999999994</v>
      </c>
      <c r="B157">
        <v>0.53086</v>
      </c>
      <c r="C157">
        <f t="shared" si="25"/>
        <v>4.2470007706499997</v>
      </c>
      <c r="D157">
        <v>1.6299999999999999E-2</v>
      </c>
      <c r="E157">
        <v>2.8849251857154604E-3</v>
      </c>
      <c r="F157">
        <f t="shared" si="26"/>
        <v>1600.0454999999999</v>
      </c>
      <c r="G157">
        <f t="shared" si="36"/>
        <v>-0.53086</v>
      </c>
      <c r="H157">
        <f t="shared" si="28"/>
        <v>-849.40015412999992</v>
      </c>
      <c r="I157">
        <v>1</v>
      </c>
      <c r="J157">
        <f t="shared" si="29"/>
        <v>0.47003206634139755</v>
      </c>
      <c r="K157">
        <f t="shared" si="30"/>
        <v>-0.69086515177521746</v>
      </c>
      <c r="L157">
        <v>1</v>
      </c>
      <c r="M157">
        <f t="shared" si="31"/>
        <v>0.5266133997427872</v>
      </c>
      <c r="N157">
        <f t="shared" si="37"/>
        <v>0.13040370824999997</v>
      </c>
      <c r="O157">
        <f t="shared" si="38"/>
        <v>2.3080057806203431E-2</v>
      </c>
      <c r="P157">
        <f t="shared" si="39"/>
        <v>1.076798597622685E-2</v>
      </c>
    </row>
    <row r="158" spans="1:16" x14ac:dyDescent="0.3">
      <c r="A158">
        <v>8.0531821000000008</v>
      </c>
      <c r="B158">
        <v>0.52939000000000003</v>
      </c>
      <c r="C158">
        <f t="shared" si="25"/>
        <v>4.2632740719190005</v>
      </c>
      <c r="D158">
        <v>1.6299999999999999E-2</v>
      </c>
      <c r="E158">
        <v>2.8849251857154604E-3</v>
      </c>
      <c r="F158">
        <f t="shared" si="26"/>
        <v>1610.6364200000003</v>
      </c>
      <c r="G158">
        <f t="shared" si="36"/>
        <v>-0.52939000000000003</v>
      </c>
      <c r="H158">
        <f t="shared" si="28"/>
        <v>-852.65481438380016</v>
      </c>
      <c r="I158">
        <v>1</v>
      </c>
      <c r="J158">
        <f t="shared" si="29"/>
        <v>0.47662939281456723</v>
      </c>
      <c r="K158">
        <f t="shared" si="30"/>
        <v>-0.69233515177521743</v>
      </c>
      <c r="L158">
        <v>1</v>
      </c>
      <c r="M158">
        <f t="shared" si="31"/>
        <v>0.52692195670193731</v>
      </c>
      <c r="N158">
        <f t="shared" si="37"/>
        <v>0.13126686823</v>
      </c>
      <c r="O158">
        <f t="shared" si="38"/>
        <v>2.3232827865442923E-2</v>
      </c>
      <c r="P158">
        <f t="shared" si="39"/>
        <v>1.0913498977837194E-2</v>
      </c>
    </row>
    <row r="159" spans="1:16" x14ac:dyDescent="0.3">
      <c r="A159">
        <v>8.1051190999999996</v>
      </c>
      <c r="B159">
        <v>0.52775000000000005</v>
      </c>
      <c r="C159">
        <f t="shared" si="25"/>
        <v>4.2774766050249999</v>
      </c>
      <c r="D159">
        <v>1.6299999999999999E-2</v>
      </c>
      <c r="E159">
        <v>2.8849251857154604E-3</v>
      </c>
      <c r="F159">
        <f t="shared" si="26"/>
        <v>1621.0238199999999</v>
      </c>
      <c r="G159">
        <f t="shared" si="36"/>
        <v>-0.52775000000000005</v>
      </c>
      <c r="H159">
        <f t="shared" si="28"/>
        <v>-855.49532100499994</v>
      </c>
      <c r="I159">
        <v>1</v>
      </c>
      <c r="J159">
        <f t="shared" si="29"/>
        <v>0.48305793727851648</v>
      </c>
      <c r="K159">
        <f t="shared" si="30"/>
        <v>-0.6939751517752174</v>
      </c>
      <c r="L159">
        <v>1</v>
      </c>
      <c r="M159">
        <f t="shared" si="31"/>
        <v>0.52722261972651618</v>
      </c>
      <c r="N159">
        <f t="shared" si="37"/>
        <v>0.13211344132999997</v>
      </c>
      <c r="O159">
        <f t="shared" si="38"/>
        <v>2.3382662224813423E-2</v>
      </c>
      <c r="P159">
        <f t="shared" si="39"/>
        <v>1.1256428493887825E-2</v>
      </c>
    </row>
    <row r="160" spans="1:16" x14ac:dyDescent="0.3">
      <c r="A160">
        <v>8.1555277999999998</v>
      </c>
      <c r="B160">
        <v>0.52617000000000003</v>
      </c>
      <c r="C160">
        <f t="shared" si="25"/>
        <v>4.2911940625260003</v>
      </c>
      <c r="D160">
        <v>1.6299999999999999E-2</v>
      </c>
      <c r="E160">
        <v>2.8849251857154604E-3</v>
      </c>
      <c r="F160">
        <f t="shared" si="26"/>
        <v>1631.10556</v>
      </c>
      <c r="G160">
        <f t="shared" si="36"/>
        <v>-0.52617000000000003</v>
      </c>
      <c r="H160">
        <f t="shared" si="28"/>
        <v>-858.23881250520003</v>
      </c>
      <c r="I160">
        <v>1</v>
      </c>
      <c r="J160">
        <f t="shared" si="29"/>
        <v>0.4892580425746042</v>
      </c>
      <c r="K160">
        <f t="shared" si="30"/>
        <v>-0.69555515177521743</v>
      </c>
      <c r="L160">
        <v>1</v>
      </c>
      <c r="M160">
        <f t="shared" si="31"/>
        <v>0.52751259865121425</v>
      </c>
      <c r="N160">
        <f t="shared" si="37"/>
        <v>0.13293510313999998</v>
      </c>
      <c r="O160">
        <f t="shared" si="38"/>
        <v>2.35280875530226E-2</v>
      </c>
      <c r="P160">
        <f t="shared" si="39"/>
        <v>1.1579362430980598E-2</v>
      </c>
    </row>
    <row r="161" spans="1:16" x14ac:dyDescent="0.3">
      <c r="A161">
        <v>8.2074648000000003</v>
      </c>
      <c r="B161">
        <v>0.52476999999999996</v>
      </c>
      <c r="C161">
        <f t="shared" si="25"/>
        <v>4.3070313030960001</v>
      </c>
      <c r="D161">
        <v>1.6299999999999999E-2</v>
      </c>
      <c r="E161">
        <v>2.8849251857154604E-3</v>
      </c>
      <c r="F161">
        <f t="shared" si="26"/>
        <v>1641.49296</v>
      </c>
      <c r="G161">
        <f t="shared" si="36"/>
        <v>-0.52476999999999996</v>
      </c>
      <c r="H161">
        <f t="shared" si="28"/>
        <v>-861.4062606192</v>
      </c>
      <c r="I161">
        <v>1</v>
      </c>
      <c r="J161">
        <f t="shared" si="29"/>
        <v>0.49560616919003336</v>
      </c>
      <c r="K161">
        <f t="shared" si="30"/>
        <v>-0.6969551517752175</v>
      </c>
      <c r="L161">
        <v>1</v>
      </c>
      <c r="M161">
        <f t="shared" si="31"/>
        <v>0.52780950053301789</v>
      </c>
      <c r="N161">
        <f t="shared" si="37"/>
        <v>0.13378167623999998</v>
      </c>
      <c r="O161">
        <f t="shared" si="38"/>
        <v>2.3677921912393103E-2</v>
      </c>
      <c r="P161">
        <f t="shared" si="39"/>
        <v>1.1686053089806518E-2</v>
      </c>
    </row>
    <row r="162" spans="1:16" x14ac:dyDescent="0.3">
      <c r="A162">
        <v>8.2604199000000005</v>
      </c>
      <c r="B162">
        <v>0.52329999999999999</v>
      </c>
      <c r="C162">
        <f t="shared" si="25"/>
        <v>4.32267773367</v>
      </c>
      <c r="D162">
        <v>1.6299999999999999E-2</v>
      </c>
      <c r="E162">
        <v>2.8849251857154604E-3</v>
      </c>
      <c r="F162">
        <f t="shared" si="26"/>
        <v>1652.0839800000001</v>
      </c>
      <c r="G162">
        <f t="shared" si="36"/>
        <v>-0.52329999999999999</v>
      </c>
      <c r="H162">
        <f t="shared" si="28"/>
        <v>-864.53554673400004</v>
      </c>
      <c r="I162">
        <v>1</v>
      </c>
      <c r="J162">
        <f t="shared" si="29"/>
        <v>0.50203750915780321</v>
      </c>
      <c r="K162">
        <f t="shared" si="30"/>
        <v>-0.69842515177521747</v>
      </c>
      <c r="L162">
        <v>1</v>
      </c>
      <c r="M162">
        <f t="shared" si="31"/>
        <v>0.52811029430331047</v>
      </c>
      <c r="N162">
        <f t="shared" si="37"/>
        <v>0.13464484436999999</v>
      </c>
      <c r="O162">
        <f t="shared" si="38"/>
        <v>2.3830693414095185E-2</v>
      </c>
      <c r="P162">
        <f t="shared" si="39"/>
        <v>1.1839319687811826E-2</v>
      </c>
    </row>
    <row r="163" spans="1:16" x14ac:dyDescent="0.3">
      <c r="A163">
        <v>8.3123564000000005</v>
      </c>
      <c r="B163">
        <v>0.52146999999999999</v>
      </c>
      <c r="C163">
        <f t="shared" si="25"/>
        <v>4.3346444919080005</v>
      </c>
      <c r="D163">
        <v>1.6299999999999999E-2</v>
      </c>
      <c r="E163">
        <v>2.8849251857154604E-3</v>
      </c>
      <c r="F163">
        <f t="shared" si="26"/>
        <v>1662.4712800000002</v>
      </c>
      <c r="G163">
        <f t="shared" si="36"/>
        <v>-0.52146999999999999</v>
      </c>
      <c r="H163">
        <f t="shared" si="28"/>
        <v>-866.92889838160011</v>
      </c>
      <c r="I163">
        <v>1</v>
      </c>
      <c r="J163">
        <f t="shared" si="29"/>
        <v>0.50830521821068453</v>
      </c>
      <c r="K163">
        <f t="shared" si="30"/>
        <v>-0.70025515177521747</v>
      </c>
      <c r="L163">
        <v>1</v>
      </c>
      <c r="M163">
        <f t="shared" si="31"/>
        <v>0.52840343505571374</v>
      </c>
      <c r="N163">
        <f t="shared" si="37"/>
        <v>0.13549140932000001</v>
      </c>
      <c r="O163">
        <f t="shared" si="38"/>
        <v>2.3980526331003098E-2</v>
      </c>
      <c r="P163">
        <f t="shared" si="39"/>
        <v>1.2379781068500618E-2</v>
      </c>
    </row>
    <row r="164" spans="1:16" x14ac:dyDescent="0.3">
      <c r="A164">
        <v>8.3637841999999996</v>
      </c>
      <c r="B164">
        <v>0.51983000000000001</v>
      </c>
      <c r="C164">
        <f t="shared" si="25"/>
        <v>4.347745940686</v>
      </c>
      <c r="D164">
        <v>1.6299999999999999E-2</v>
      </c>
      <c r="E164">
        <v>2.8849251857154604E-3</v>
      </c>
      <c r="F164">
        <f t="shared" si="26"/>
        <v>1672.75684</v>
      </c>
      <c r="G164">
        <f t="shared" si="36"/>
        <v>-0.51983000000000001</v>
      </c>
      <c r="H164">
        <f t="shared" si="28"/>
        <v>-869.54918813719996</v>
      </c>
      <c r="I164">
        <v>1</v>
      </c>
      <c r="J164">
        <f t="shared" si="29"/>
        <v>0.51447306774730572</v>
      </c>
      <c r="K164">
        <f t="shared" si="30"/>
        <v>-0.70189515177521744</v>
      </c>
      <c r="L164">
        <v>1</v>
      </c>
      <c r="M164">
        <f t="shared" si="31"/>
        <v>0.52869190537854149</v>
      </c>
      <c r="N164">
        <f t="shared" si="37"/>
        <v>0.13632968245999999</v>
      </c>
      <c r="O164">
        <f t="shared" si="38"/>
        <v>2.412889168646903E-2</v>
      </c>
      <c r="P164">
        <f t="shared" si="39"/>
        <v>1.2744672250206927E-2</v>
      </c>
    </row>
    <row r="165" spans="1:16" x14ac:dyDescent="0.3">
      <c r="A165">
        <v>8.4141943000000001</v>
      </c>
      <c r="B165">
        <v>0.51844999999999997</v>
      </c>
      <c r="C165">
        <f t="shared" si="25"/>
        <v>4.3623390348350002</v>
      </c>
      <c r="D165">
        <v>1.6299999999999999E-2</v>
      </c>
      <c r="E165">
        <v>2.8849251857154604E-3</v>
      </c>
      <c r="F165">
        <f t="shared" si="26"/>
        <v>1682.8388600000001</v>
      </c>
      <c r="G165">
        <f t="shared" si="36"/>
        <v>-0.51844999999999997</v>
      </c>
      <c r="H165">
        <f t="shared" si="28"/>
        <v>-872.467806967</v>
      </c>
      <c r="I165">
        <v>1</v>
      </c>
      <c r="J165">
        <f t="shared" si="29"/>
        <v>0.5204821649325414</v>
      </c>
      <c r="K165">
        <f t="shared" si="30"/>
        <v>-0.70327515177521749</v>
      </c>
      <c r="L165">
        <v>1</v>
      </c>
      <c r="M165">
        <f t="shared" si="31"/>
        <v>0.52897295085389495</v>
      </c>
      <c r="N165">
        <f t="shared" si="37"/>
        <v>0.13715136708999998</v>
      </c>
      <c r="O165">
        <f t="shared" si="38"/>
        <v>2.427432105357347E-2</v>
      </c>
      <c r="P165">
        <f t="shared" si="39"/>
        <v>1.2876512777749091E-2</v>
      </c>
    </row>
    <row r="166" spans="1:16" x14ac:dyDescent="0.3">
      <c r="A166">
        <v>8.4661309000000013</v>
      </c>
      <c r="B166">
        <v>0.51680999999999999</v>
      </c>
      <c r="C166">
        <f t="shared" si="25"/>
        <v>4.375381110429001</v>
      </c>
      <c r="D166">
        <v>1.6299999999999999E-2</v>
      </c>
      <c r="E166">
        <v>2.8849251857154604E-3</v>
      </c>
      <c r="F166">
        <f t="shared" si="26"/>
        <v>1693.2261800000003</v>
      </c>
      <c r="G166">
        <f t="shared" si="36"/>
        <v>-0.51680999999999999</v>
      </c>
      <c r="H166">
        <f t="shared" si="28"/>
        <v>-875.07622208580017</v>
      </c>
      <c r="I166">
        <v>1</v>
      </c>
      <c r="J166">
        <f t="shared" si="29"/>
        <v>0.52663569139248823</v>
      </c>
      <c r="K166">
        <f t="shared" si="30"/>
        <v>-0.70491515177521746</v>
      </c>
      <c r="L166">
        <v>1</v>
      </c>
      <c r="M166">
        <f t="shared" si="31"/>
        <v>0.52926075128642669</v>
      </c>
      <c r="N166">
        <f t="shared" si="37"/>
        <v>0.13799793367000002</v>
      </c>
      <c r="O166">
        <f t="shared" si="38"/>
        <v>2.4424154258973901E-2</v>
      </c>
      <c r="P166">
        <f t="shared" si="39"/>
        <v>1.3232312559816856E-2</v>
      </c>
    </row>
    <row r="167" spans="1:16" x14ac:dyDescent="0.3">
      <c r="A167">
        <v>8.5165399999999991</v>
      </c>
      <c r="B167">
        <v>0.51526000000000005</v>
      </c>
      <c r="C167">
        <f t="shared" si="25"/>
        <v>4.3882324003999997</v>
      </c>
      <c r="D167">
        <v>1.6299999999999999E-2</v>
      </c>
      <c r="E167">
        <v>2.8849251857154604E-3</v>
      </c>
      <c r="F167">
        <f t="shared" si="26"/>
        <v>1703.3079999999998</v>
      </c>
      <c r="G167">
        <f t="shared" si="36"/>
        <v>-0.51526000000000005</v>
      </c>
      <c r="H167">
        <f t="shared" si="28"/>
        <v>-877.64648007999995</v>
      </c>
      <c r="I167">
        <v>1</v>
      </c>
      <c r="J167">
        <f t="shared" si="29"/>
        <v>0.5325722426384677</v>
      </c>
      <c r="K167">
        <f t="shared" si="30"/>
        <v>-0.7064651517752174</v>
      </c>
      <c r="L167">
        <v>1</v>
      </c>
      <c r="M167">
        <f t="shared" si="31"/>
        <v>0.52953840378820116</v>
      </c>
      <c r="N167">
        <f t="shared" si="37"/>
        <v>0.13881960199999999</v>
      </c>
      <c r="O167">
        <f t="shared" si="38"/>
        <v>2.4569580741153143E-2</v>
      </c>
      <c r="P167">
        <f t="shared" si="39"/>
        <v>1.3537565245863113E-2</v>
      </c>
    </row>
    <row r="168" spans="1:16" x14ac:dyDescent="0.3">
      <c r="A168">
        <v>8.5715313000000002</v>
      </c>
      <c r="B168">
        <v>0.51373999999999997</v>
      </c>
      <c r="C168">
        <f t="shared" si="25"/>
        <v>4.403538490062</v>
      </c>
      <c r="D168">
        <v>1.6299999999999999E-2</v>
      </c>
      <c r="E168">
        <v>2.8849251857154604E-3</v>
      </c>
      <c r="F168">
        <f t="shared" si="26"/>
        <v>1714.3062600000001</v>
      </c>
      <c r="G168">
        <f t="shared" si="36"/>
        <v>-0.51373999999999997</v>
      </c>
      <c r="H168">
        <f t="shared" si="28"/>
        <v>-880.70769801239999</v>
      </c>
      <c r="I168">
        <v>1</v>
      </c>
      <c r="J168">
        <f t="shared" si="29"/>
        <v>0.53900848566086756</v>
      </c>
      <c r="K168">
        <f t="shared" si="30"/>
        <v>-0.70798515177521748</v>
      </c>
      <c r="L168">
        <v>1</v>
      </c>
      <c r="M168">
        <f t="shared" si="31"/>
        <v>0.52983942687435881</v>
      </c>
      <c r="N168">
        <f t="shared" si="37"/>
        <v>0.13971596018999999</v>
      </c>
      <c r="O168">
        <f t="shared" si="38"/>
        <v>2.4728226527518382E-2</v>
      </c>
      <c r="P168">
        <f t="shared" si="39"/>
        <v>1.37015381833403E-2</v>
      </c>
    </row>
    <row r="169" spans="1:16" x14ac:dyDescent="0.3">
      <c r="A169">
        <v>8.6219403999999997</v>
      </c>
      <c r="B169">
        <v>0.51202000000000003</v>
      </c>
      <c r="C169">
        <f t="shared" si="25"/>
        <v>4.4146059236079997</v>
      </c>
      <c r="D169">
        <v>1.6299999999999999E-2</v>
      </c>
      <c r="E169">
        <v>2.8849251857154604E-3</v>
      </c>
      <c r="F169">
        <f t="shared" si="26"/>
        <v>1724.3880799999999</v>
      </c>
      <c r="G169">
        <f t="shared" si="36"/>
        <v>-0.51202000000000003</v>
      </c>
      <c r="H169">
        <f t="shared" si="28"/>
        <v>-882.92118472159996</v>
      </c>
      <c r="I169">
        <v>1</v>
      </c>
      <c r="J169">
        <f t="shared" si="29"/>
        <v>0.54487225131765826</v>
      </c>
      <c r="K169">
        <f t="shared" si="30"/>
        <v>-0.70970515177521742</v>
      </c>
      <c r="L169">
        <v>1</v>
      </c>
      <c r="M169">
        <f t="shared" si="31"/>
        <v>0.53011367519412689</v>
      </c>
      <c r="N169">
        <f t="shared" si="37"/>
        <v>0.14053762851999999</v>
      </c>
      <c r="O169">
        <f t="shared" si="38"/>
        <v>2.4873653009697631E-2</v>
      </c>
      <c r="P169">
        <f t="shared" si="39"/>
        <v>1.4180195051392921E-2</v>
      </c>
    </row>
    <row r="170" spans="1:16" x14ac:dyDescent="0.3">
      <c r="A170">
        <v>8.6769326000000007</v>
      </c>
      <c r="B170">
        <v>0.51032</v>
      </c>
      <c r="C170">
        <f t="shared" si="25"/>
        <v>4.4280122444320007</v>
      </c>
      <c r="D170">
        <v>1.6299999999999999E-2</v>
      </c>
      <c r="E170">
        <v>2.8849251857154604E-3</v>
      </c>
      <c r="F170">
        <f t="shared" si="26"/>
        <v>1735.38652</v>
      </c>
      <c r="G170">
        <f t="shared" si="36"/>
        <v>-0.51032</v>
      </c>
      <c r="H170">
        <f t="shared" si="28"/>
        <v>-885.60244888640011</v>
      </c>
      <c r="I170">
        <v>1</v>
      </c>
      <c r="J170">
        <f t="shared" si="29"/>
        <v>0.55123016668544966</v>
      </c>
      <c r="K170">
        <f t="shared" si="30"/>
        <v>-0.71140515177521746</v>
      </c>
      <c r="L170">
        <v>1</v>
      </c>
      <c r="M170">
        <f t="shared" si="31"/>
        <v>0.53041103489587849</v>
      </c>
      <c r="N170">
        <f t="shared" si="37"/>
        <v>0.14143400138000001</v>
      </c>
      <c r="O170">
        <f t="shared" si="38"/>
        <v>2.5032301392495536E-2</v>
      </c>
      <c r="P170">
        <f t="shared" si="39"/>
        <v>1.452781410684343E-2</v>
      </c>
    </row>
    <row r="171" spans="1:16" x14ac:dyDescent="0.3">
      <c r="A171">
        <v>8.7278506</v>
      </c>
      <c r="B171">
        <v>0.50880999999999998</v>
      </c>
      <c r="C171">
        <f t="shared" si="25"/>
        <v>4.4408176637859995</v>
      </c>
      <c r="D171">
        <v>1.6299999999999999E-2</v>
      </c>
      <c r="E171">
        <v>2.8849251857154604E-3</v>
      </c>
      <c r="F171">
        <f t="shared" si="26"/>
        <v>1745.5701200000001</v>
      </c>
      <c r="G171">
        <f t="shared" si="36"/>
        <v>-0.50880999999999998</v>
      </c>
      <c r="H171">
        <f t="shared" si="28"/>
        <v>-888.16353275719985</v>
      </c>
      <c r="I171">
        <v>1</v>
      </c>
      <c r="J171">
        <f t="shared" si="29"/>
        <v>0.55708121862660986</v>
      </c>
      <c r="K171">
        <f t="shared" si="30"/>
        <v>-0.71291515177521747</v>
      </c>
      <c r="L171">
        <v>1</v>
      </c>
      <c r="M171">
        <f t="shared" si="31"/>
        <v>0.5306846885951666</v>
      </c>
      <c r="N171">
        <f t="shared" si="37"/>
        <v>0.14226396477999997</v>
      </c>
      <c r="O171">
        <f t="shared" si="38"/>
        <v>2.5179196013101791E-2</v>
      </c>
      <c r="P171">
        <f t="shared" si="39"/>
        <v>1.4787302386949107E-2</v>
      </c>
    </row>
    <row r="172" spans="1:16" x14ac:dyDescent="0.3">
      <c r="A172">
        <v>8.7787685999999994</v>
      </c>
      <c r="B172">
        <v>0.50738000000000005</v>
      </c>
      <c r="C172">
        <f t="shared" si="25"/>
        <v>4.4541716122680004</v>
      </c>
      <c r="D172">
        <v>1.6299999999999999E-2</v>
      </c>
      <c r="E172">
        <v>2.8849251857154604E-3</v>
      </c>
      <c r="F172">
        <f t="shared" si="26"/>
        <v>1755.7537199999999</v>
      </c>
      <c r="G172">
        <f t="shared" si="36"/>
        <v>-0.50738000000000005</v>
      </c>
      <c r="H172">
        <f t="shared" si="28"/>
        <v>-890.83432245360007</v>
      </c>
      <c r="I172">
        <v>1</v>
      </c>
      <c r="J172">
        <f t="shared" si="29"/>
        <v>0.56289823480741796</v>
      </c>
      <c r="K172">
        <f t="shared" si="30"/>
        <v>-0.7143451517752174</v>
      </c>
      <c r="L172">
        <v>1</v>
      </c>
      <c r="M172">
        <f t="shared" si="31"/>
        <v>0.53095675044194302</v>
      </c>
      <c r="N172">
        <f t="shared" si="37"/>
        <v>0.14309392817999997</v>
      </c>
      <c r="O172">
        <f t="shared" si="38"/>
        <v>2.532609063370805E-2</v>
      </c>
      <c r="P172">
        <f t="shared" si="39"/>
        <v>1.4968382519566368E-2</v>
      </c>
    </row>
    <row r="173" spans="1:16" x14ac:dyDescent="0.3">
      <c r="A173">
        <v>8.8307050999999994</v>
      </c>
      <c r="B173">
        <v>0.50561999999999996</v>
      </c>
      <c r="C173">
        <f t="shared" si="25"/>
        <v>4.4649811126619996</v>
      </c>
      <c r="D173">
        <v>1.6299999999999999E-2</v>
      </c>
      <c r="E173">
        <v>2.8849251857154604E-3</v>
      </c>
      <c r="F173">
        <f t="shared" si="26"/>
        <v>1766.1410199999998</v>
      </c>
      <c r="G173">
        <f t="shared" si="36"/>
        <v>-0.50561999999999996</v>
      </c>
      <c r="H173">
        <f t="shared" si="28"/>
        <v>-892.99622253239988</v>
      </c>
      <c r="I173">
        <v>1</v>
      </c>
      <c r="J173">
        <f t="shared" si="29"/>
        <v>0.568796951768337</v>
      </c>
      <c r="K173">
        <f t="shared" si="30"/>
        <v>-0.7161051517752175</v>
      </c>
      <c r="L173">
        <v>1</v>
      </c>
      <c r="M173">
        <f t="shared" si="31"/>
        <v>0.53123263343420513</v>
      </c>
      <c r="N173">
        <f t="shared" si="37"/>
        <v>0.14394049312999999</v>
      </c>
      <c r="O173">
        <f t="shared" si="38"/>
        <v>2.547592355061596E-2</v>
      </c>
      <c r="P173">
        <f t="shared" si="39"/>
        <v>1.5456101660396425E-2</v>
      </c>
    </row>
    <row r="174" spans="1:16" x14ac:dyDescent="0.3">
      <c r="A174">
        <v>8.8816240000000004</v>
      </c>
      <c r="B174">
        <v>0.50392000000000003</v>
      </c>
      <c r="C174">
        <f t="shared" si="25"/>
        <v>4.4756279660800002</v>
      </c>
      <c r="D174">
        <v>1.6299999999999999E-2</v>
      </c>
      <c r="E174">
        <v>2.8849251857154604E-3</v>
      </c>
      <c r="F174">
        <f t="shared" si="26"/>
        <v>1776.3248000000001</v>
      </c>
      <c r="G174">
        <f t="shared" si="36"/>
        <v>-0.50392000000000003</v>
      </c>
      <c r="H174">
        <f t="shared" si="28"/>
        <v>-895.12559321600008</v>
      </c>
      <c r="I174">
        <v>1</v>
      </c>
      <c r="J174">
        <f t="shared" si="29"/>
        <v>0.57454651073182539</v>
      </c>
      <c r="K174">
        <f t="shared" si="30"/>
        <v>-0.71780515177521742</v>
      </c>
      <c r="L174">
        <v>1</v>
      </c>
      <c r="M174">
        <f t="shared" si="31"/>
        <v>0.53150154030692753</v>
      </c>
      <c r="N174">
        <f t="shared" si="37"/>
        <v>0.1447704712</v>
      </c>
      <c r="O174">
        <f t="shared" si="38"/>
        <v>2.5622820767654892E-2</v>
      </c>
      <c r="P174">
        <f t="shared" si="39"/>
        <v>1.5910319500634994E-2</v>
      </c>
    </row>
    <row r="175" spans="1:16" x14ac:dyDescent="0.3">
      <c r="A175">
        <v>8.9386522999999993</v>
      </c>
      <c r="B175">
        <v>0.50222</v>
      </c>
      <c r="C175">
        <f t="shared" si="25"/>
        <v>4.4891699581059994</v>
      </c>
      <c r="D175">
        <v>1.6299999999999999E-2</v>
      </c>
      <c r="E175">
        <v>2.8849251857154604E-3</v>
      </c>
      <c r="F175">
        <f t="shared" si="26"/>
        <v>1787.7304599999998</v>
      </c>
      <c r="G175">
        <f t="shared" si="36"/>
        <v>-0.50222</v>
      </c>
      <c r="H175">
        <f t="shared" si="28"/>
        <v>-897.83399162119986</v>
      </c>
      <c r="I175">
        <v>1</v>
      </c>
      <c r="J175">
        <f t="shared" si="29"/>
        <v>0.58094691594676728</v>
      </c>
      <c r="K175">
        <f t="shared" si="30"/>
        <v>-0.71950515177521746</v>
      </c>
      <c r="L175">
        <v>1</v>
      </c>
      <c r="M175">
        <f t="shared" si="31"/>
        <v>0.53180088725883035</v>
      </c>
      <c r="N175">
        <f t="shared" si="37"/>
        <v>0.14570003248999996</v>
      </c>
      <c r="O175">
        <f t="shared" si="38"/>
        <v>2.5787343146623426E-2</v>
      </c>
      <c r="P175">
        <f t="shared" si="39"/>
        <v>1.6216888879763719E-2</v>
      </c>
    </row>
    <row r="176" spans="1:16" x14ac:dyDescent="0.3">
      <c r="A176">
        <v>8.9921172000000009</v>
      </c>
      <c r="B176">
        <v>0.50070999999999999</v>
      </c>
      <c r="C176">
        <f t="shared" si="25"/>
        <v>4.502443003212</v>
      </c>
      <c r="D176">
        <v>1.6299999999999999E-2</v>
      </c>
      <c r="E176">
        <v>2.8849251857154604E-3</v>
      </c>
      <c r="F176">
        <f t="shared" si="26"/>
        <v>1798.4234400000003</v>
      </c>
      <c r="G176">
        <f t="shared" si="36"/>
        <v>-0.50070999999999999</v>
      </c>
      <c r="H176">
        <f t="shared" si="28"/>
        <v>-900.4886006424</v>
      </c>
      <c r="I176">
        <v>1</v>
      </c>
      <c r="J176">
        <f t="shared" si="29"/>
        <v>0.58691041444012493</v>
      </c>
      <c r="K176">
        <f t="shared" si="30"/>
        <v>-0.72101515177521747</v>
      </c>
      <c r="L176">
        <v>1</v>
      </c>
      <c r="M176">
        <f t="shared" si="31"/>
        <v>0.53207980008336464</v>
      </c>
      <c r="N176">
        <f t="shared" si="37"/>
        <v>0.14657151035999999</v>
      </c>
      <c r="O176">
        <f t="shared" si="38"/>
        <v>2.5941585383185188E-2</v>
      </c>
      <c r="P176">
        <f t="shared" si="39"/>
        <v>1.6422255948667648E-2</v>
      </c>
    </row>
    <row r="177" spans="1:16" x14ac:dyDescent="0.3">
      <c r="A177">
        <v>9.0476171999999995</v>
      </c>
      <c r="B177">
        <v>0.49904999999999999</v>
      </c>
      <c r="C177">
        <f t="shared" si="25"/>
        <v>4.51521336366</v>
      </c>
      <c r="D177">
        <v>1.6299999999999999E-2</v>
      </c>
      <c r="E177">
        <v>2.8849251857154604E-3</v>
      </c>
      <c r="F177">
        <f t="shared" si="26"/>
        <v>1809.5234399999999</v>
      </c>
      <c r="G177">
        <f t="shared" si="36"/>
        <v>-0.49904999999999999</v>
      </c>
      <c r="H177">
        <f t="shared" si="28"/>
        <v>-903.04267273200003</v>
      </c>
      <c r="I177">
        <v>1</v>
      </c>
      <c r="J177">
        <f t="shared" si="29"/>
        <v>0.59306351779241562</v>
      </c>
      <c r="K177">
        <f t="shared" si="30"/>
        <v>-0.72267515177521746</v>
      </c>
      <c r="L177">
        <v>1</v>
      </c>
      <c r="M177">
        <f t="shared" si="31"/>
        <v>0.53236758072715129</v>
      </c>
      <c r="N177">
        <f t="shared" si="37"/>
        <v>0.14747616035999997</v>
      </c>
      <c r="O177">
        <f t="shared" si="38"/>
        <v>2.6101698730992391E-2</v>
      </c>
      <c r="P177">
        <f t="shared" si="39"/>
        <v>1.672971195707381E-2</v>
      </c>
    </row>
    <row r="178" spans="1:16" x14ac:dyDescent="0.3">
      <c r="A178">
        <v>9.0990449000000009</v>
      </c>
      <c r="B178">
        <v>0.49736999999999998</v>
      </c>
      <c r="C178">
        <f t="shared" si="25"/>
        <v>4.5255919619130003</v>
      </c>
      <c r="D178">
        <v>1.6299999999999999E-2</v>
      </c>
      <c r="E178">
        <v>2.8849251857154604E-3</v>
      </c>
      <c r="F178">
        <f t="shared" si="26"/>
        <v>1819.8089800000002</v>
      </c>
      <c r="G178">
        <f t="shared" si="36"/>
        <v>-0.49736999999999998</v>
      </c>
      <c r="H178">
        <f t="shared" si="28"/>
        <v>-905.11839238260006</v>
      </c>
      <c r="I178">
        <v>1</v>
      </c>
      <c r="J178">
        <f t="shared" si="29"/>
        <v>0.59873153953647718</v>
      </c>
      <c r="K178">
        <f t="shared" si="30"/>
        <v>-0.72435515177521748</v>
      </c>
      <c r="L178">
        <v>1</v>
      </c>
      <c r="M178">
        <f t="shared" si="31"/>
        <v>0.53263267410412107</v>
      </c>
      <c r="N178">
        <f t="shared" si="37"/>
        <v>0.14831443187000001</v>
      </c>
      <c r="O178">
        <f t="shared" si="38"/>
        <v>2.6250063797965816E-2</v>
      </c>
      <c r="P178">
        <f t="shared" si="39"/>
        <v>1.7157982003130574E-2</v>
      </c>
    </row>
    <row r="179" spans="1:16" x14ac:dyDescent="0.3">
      <c r="A179">
        <v>9.1499629000000002</v>
      </c>
      <c r="B179">
        <v>0.49573</v>
      </c>
      <c r="C179">
        <f t="shared" si="25"/>
        <v>4.5359111084170003</v>
      </c>
      <c r="D179">
        <v>1.6299999999999999E-2</v>
      </c>
      <c r="E179">
        <v>2.8849251857154604E-3</v>
      </c>
      <c r="F179">
        <f t="shared" si="26"/>
        <v>1829.9925800000001</v>
      </c>
      <c r="G179">
        <f t="shared" si="36"/>
        <v>-0.49573</v>
      </c>
      <c r="H179">
        <f t="shared" si="28"/>
        <v>-907.18222168340003</v>
      </c>
      <c r="I179">
        <v>1</v>
      </c>
      <c r="J179">
        <f t="shared" si="29"/>
        <v>0.60431191220030078</v>
      </c>
      <c r="K179">
        <f t="shared" si="30"/>
        <v>-0.72599515177521745</v>
      </c>
      <c r="L179">
        <v>1</v>
      </c>
      <c r="M179">
        <f t="shared" si="31"/>
        <v>0.53289366813360806</v>
      </c>
      <c r="N179">
        <f t="shared" si="37"/>
        <v>0.14914439526999998</v>
      </c>
      <c r="O179">
        <f t="shared" si="38"/>
        <v>2.6396958418572074E-2</v>
      </c>
      <c r="P179">
        <f t="shared" si="39"/>
        <v>1.7560129953037341E-2</v>
      </c>
    </row>
    <row r="180" spans="1:16" x14ac:dyDescent="0.3">
      <c r="A180">
        <v>9.2013915999999991</v>
      </c>
      <c r="B180">
        <v>0.49419999999999997</v>
      </c>
      <c r="C180">
        <f t="shared" si="25"/>
        <v>4.5473277287199991</v>
      </c>
      <c r="D180">
        <v>1.6299999999999999E-2</v>
      </c>
      <c r="E180">
        <v>2.8849251857154604E-3</v>
      </c>
      <c r="F180">
        <f t="shared" si="26"/>
        <v>1840.2783199999999</v>
      </c>
      <c r="G180">
        <f t="shared" si="36"/>
        <v>-0.49419999999999997</v>
      </c>
      <c r="H180">
        <f t="shared" si="28"/>
        <v>-909.46554574399988</v>
      </c>
      <c r="I180">
        <v>1</v>
      </c>
      <c r="J180">
        <f t="shared" si="29"/>
        <v>0.60991682105168754</v>
      </c>
      <c r="K180">
        <f t="shared" si="30"/>
        <v>-0.72752515177521748</v>
      </c>
      <c r="L180">
        <v>1</v>
      </c>
      <c r="M180">
        <f t="shared" si="31"/>
        <v>0.5331558097205874</v>
      </c>
      <c r="N180">
        <f t="shared" si="37"/>
        <v>0.14998268307999998</v>
      </c>
      <c r="O180">
        <f t="shared" si="38"/>
        <v>2.6545326370470676E-2</v>
      </c>
      <c r="P180">
        <f t="shared" si="39"/>
        <v>1.7841332604159418E-2</v>
      </c>
    </row>
    <row r="181" spans="1:16" x14ac:dyDescent="0.3">
      <c r="A181">
        <v>9.2543466999999993</v>
      </c>
      <c r="B181">
        <v>0.49249999999999999</v>
      </c>
      <c r="C181">
        <f t="shared" si="25"/>
        <v>4.5577657497499997</v>
      </c>
      <c r="D181">
        <v>1.6299999999999999E-2</v>
      </c>
      <c r="E181">
        <v>2.8849251857154604E-3</v>
      </c>
      <c r="F181">
        <f t="shared" si="26"/>
        <v>1850.8693399999997</v>
      </c>
      <c r="G181">
        <f t="shared" si="36"/>
        <v>-0.49249999999999999</v>
      </c>
      <c r="H181">
        <f t="shared" si="28"/>
        <v>-911.55314994999992</v>
      </c>
      <c r="I181">
        <v>1</v>
      </c>
      <c r="J181">
        <f t="shared" si="29"/>
        <v>0.61565544222896817</v>
      </c>
      <c r="K181">
        <f t="shared" si="30"/>
        <v>-0.72922515177521752</v>
      </c>
      <c r="L181">
        <v>1</v>
      </c>
      <c r="M181">
        <f t="shared" si="31"/>
        <v>0.53342420503304888</v>
      </c>
      <c r="N181">
        <f t="shared" si="37"/>
        <v>0.15084585120999996</v>
      </c>
      <c r="O181">
        <f t="shared" si="38"/>
        <v>2.6698097872172755E-2</v>
      </c>
      <c r="P181">
        <f t="shared" si="39"/>
        <v>1.8256997659995916E-2</v>
      </c>
    </row>
    <row r="182" spans="1:16" x14ac:dyDescent="0.3">
      <c r="A182">
        <v>9.3083193000000009</v>
      </c>
      <c r="B182">
        <v>0.49080000000000001</v>
      </c>
      <c r="C182">
        <f t="shared" si="25"/>
        <v>4.5685231124400003</v>
      </c>
      <c r="D182">
        <v>1.6299999999999999E-2</v>
      </c>
      <c r="E182">
        <v>2.8849251857154604E-3</v>
      </c>
      <c r="F182">
        <f t="shared" si="26"/>
        <v>1861.6638600000001</v>
      </c>
      <c r="G182">
        <f t="shared" si="36"/>
        <v>-0.49080000000000001</v>
      </c>
      <c r="H182">
        <f t="shared" si="28"/>
        <v>-913.70462248800004</v>
      </c>
      <c r="I182">
        <v>1</v>
      </c>
      <c r="J182">
        <f t="shared" si="29"/>
        <v>0.62147063624224919</v>
      </c>
      <c r="K182">
        <f t="shared" si="30"/>
        <v>-0.73092515177521744</v>
      </c>
      <c r="L182">
        <v>1</v>
      </c>
      <c r="M182">
        <f t="shared" si="31"/>
        <v>0.53369618165705002</v>
      </c>
      <c r="N182">
        <f t="shared" si="37"/>
        <v>0.15172560459000001</v>
      </c>
      <c r="O182">
        <f t="shared" si="38"/>
        <v>2.6853804785251307E-2</v>
      </c>
      <c r="P182">
        <f t="shared" si="39"/>
        <v>1.864956074291611E-2</v>
      </c>
    </row>
    <row r="183" spans="1:16" x14ac:dyDescent="0.3">
      <c r="A183">
        <v>9.3607645999999995</v>
      </c>
      <c r="B183">
        <v>0.48921999999999999</v>
      </c>
      <c r="C183">
        <f t="shared" si="25"/>
        <v>4.5794732576119994</v>
      </c>
      <c r="D183">
        <v>1.6299999999999999E-2</v>
      </c>
      <c r="E183">
        <v>2.8849251857154604E-3</v>
      </c>
      <c r="F183">
        <f t="shared" si="26"/>
        <v>1872.15292</v>
      </c>
      <c r="G183">
        <f t="shared" si="36"/>
        <v>-0.48921999999999999</v>
      </c>
      <c r="H183">
        <f t="shared" si="28"/>
        <v>-915.89465152239984</v>
      </c>
      <c r="I183">
        <v>1</v>
      </c>
      <c r="J183">
        <f t="shared" si="29"/>
        <v>0.62708906275330256</v>
      </c>
      <c r="K183">
        <f t="shared" si="30"/>
        <v>-0.73250515177521747</v>
      </c>
      <c r="L183">
        <v>1</v>
      </c>
      <c r="M183">
        <f t="shared" si="31"/>
        <v>0.53395895546497196</v>
      </c>
      <c r="N183">
        <f t="shared" si="37"/>
        <v>0.15258046297999997</v>
      </c>
      <c r="O183">
        <f t="shared" si="38"/>
        <v>2.7005105552093706E-2</v>
      </c>
      <c r="P183">
        <f t="shared" si="39"/>
        <v>1.8960627778151828E-2</v>
      </c>
    </row>
    <row r="184" spans="1:16" x14ac:dyDescent="0.3">
      <c r="A184">
        <v>9.4111747999999995</v>
      </c>
      <c r="B184">
        <v>0.48743999999999998</v>
      </c>
      <c r="C184">
        <f t="shared" si="25"/>
        <v>4.5873830445119994</v>
      </c>
      <c r="D184">
        <v>1.6299999999999999E-2</v>
      </c>
      <c r="E184">
        <v>2.8849251857154604E-3</v>
      </c>
      <c r="F184">
        <f t="shared" si="26"/>
        <v>1882.23496</v>
      </c>
      <c r="G184">
        <f t="shared" si="36"/>
        <v>-0.48743999999999998</v>
      </c>
      <c r="H184">
        <f t="shared" si="28"/>
        <v>-917.4766089023999</v>
      </c>
      <c r="I184">
        <v>1</v>
      </c>
      <c r="J184">
        <f t="shared" si="29"/>
        <v>0.63245987927919378</v>
      </c>
      <c r="K184">
        <f t="shared" si="30"/>
        <v>-0.73428515177521747</v>
      </c>
      <c r="L184">
        <v>1</v>
      </c>
      <c r="M184">
        <f t="shared" si="31"/>
        <v>0.53421014855388793</v>
      </c>
      <c r="N184">
        <f t="shared" si="37"/>
        <v>0.15340214923999998</v>
      </c>
      <c r="O184">
        <f t="shared" si="38"/>
        <v>2.715053520769066E-2</v>
      </c>
      <c r="P184">
        <f t="shared" si="39"/>
        <v>1.95223187736389E-2</v>
      </c>
    </row>
    <row r="185" spans="1:16" x14ac:dyDescent="0.3">
      <c r="A185">
        <v>9.4631113000000013</v>
      </c>
      <c r="B185">
        <v>0.48603000000000002</v>
      </c>
      <c r="C185">
        <f t="shared" si="25"/>
        <v>4.5993559851390007</v>
      </c>
      <c r="D185">
        <v>1.6299999999999999E-2</v>
      </c>
      <c r="E185">
        <v>2.8849251857154604E-3</v>
      </c>
      <c r="F185">
        <f t="shared" si="26"/>
        <v>1892.6222600000003</v>
      </c>
      <c r="G185">
        <f t="shared" si="36"/>
        <v>-0.48603000000000002</v>
      </c>
      <c r="H185">
        <f t="shared" si="28"/>
        <v>-919.87119702780012</v>
      </c>
      <c r="I185">
        <v>1</v>
      </c>
      <c r="J185">
        <f t="shared" si="29"/>
        <v>0.63796330662063028</v>
      </c>
      <c r="K185">
        <f t="shared" si="30"/>
        <v>-0.73569515177521749</v>
      </c>
      <c r="L185">
        <v>1</v>
      </c>
      <c r="M185">
        <f t="shared" si="31"/>
        <v>0.53446754385064688</v>
      </c>
      <c r="N185">
        <f t="shared" si="37"/>
        <v>0.15424871419</v>
      </c>
      <c r="O185">
        <f t="shared" si="38"/>
        <v>2.7300368124598576E-2</v>
      </c>
      <c r="P185">
        <f t="shared" si="39"/>
        <v>1.9678525609972044E-2</v>
      </c>
    </row>
    <row r="186" spans="1:16" x14ac:dyDescent="0.3">
      <c r="A186">
        <v>9.5135205000000003</v>
      </c>
      <c r="B186">
        <v>0.48435</v>
      </c>
      <c r="C186">
        <f t="shared" si="25"/>
        <v>4.6078736541750001</v>
      </c>
      <c r="D186">
        <v>1.6299999999999999E-2</v>
      </c>
      <c r="E186">
        <v>2.8849251857154604E-3</v>
      </c>
      <c r="F186">
        <f t="shared" si="26"/>
        <v>1902.7041000000002</v>
      </c>
      <c r="G186">
        <f t="shared" si="36"/>
        <v>-0.48435</v>
      </c>
      <c r="H186">
        <f t="shared" si="28"/>
        <v>-921.57473083499997</v>
      </c>
      <c r="I186">
        <v>1</v>
      </c>
      <c r="J186">
        <f t="shared" si="29"/>
        <v>0.64327608489450272</v>
      </c>
      <c r="K186">
        <f t="shared" si="30"/>
        <v>-0.7373751517752174</v>
      </c>
      <c r="L186">
        <v>1</v>
      </c>
      <c r="M186">
        <f t="shared" si="31"/>
        <v>0.53471602249051586</v>
      </c>
      <c r="N186">
        <f t="shared" si="37"/>
        <v>0.15507038414999999</v>
      </c>
      <c r="O186">
        <f t="shared" si="38"/>
        <v>2.744579489527034E-2</v>
      </c>
      <c r="P186">
        <f t="shared" si="39"/>
        <v>2.0142950239431204E-2</v>
      </c>
    </row>
    <row r="187" spans="1:16" x14ac:dyDescent="0.3">
      <c r="A187">
        <v>9.5710586000000006</v>
      </c>
      <c r="B187">
        <v>0.48293999999999998</v>
      </c>
      <c r="C187">
        <f t="shared" si="25"/>
        <v>4.6222470402839999</v>
      </c>
      <c r="D187">
        <v>1.6299999999999999E-2</v>
      </c>
      <c r="E187">
        <v>2.8849251857154604E-3</v>
      </c>
      <c r="F187">
        <f t="shared" si="26"/>
        <v>1914.2117200000002</v>
      </c>
      <c r="G187">
        <f t="shared" si="36"/>
        <v>-0.48293999999999998</v>
      </c>
      <c r="H187">
        <f t="shared" si="28"/>
        <v>-924.44940805679994</v>
      </c>
      <c r="I187">
        <v>1</v>
      </c>
      <c r="J187">
        <f t="shared" si="29"/>
        <v>0.64930590342313443</v>
      </c>
      <c r="K187">
        <f t="shared" si="30"/>
        <v>-0.73878515177521753</v>
      </c>
      <c r="L187">
        <v>1</v>
      </c>
      <c r="M187">
        <f t="shared" si="31"/>
        <v>0.53499803710310001</v>
      </c>
      <c r="N187">
        <f t="shared" si="37"/>
        <v>0.15600825518</v>
      </c>
      <c r="O187">
        <f t="shared" si="38"/>
        <v>2.7611788009098557E-2</v>
      </c>
      <c r="P187">
        <f t="shared" si="39"/>
        <v>2.0167071483018963E-2</v>
      </c>
    </row>
    <row r="188" spans="1:16" x14ac:dyDescent="0.3">
      <c r="A188">
        <v>9.6240137000000008</v>
      </c>
      <c r="B188">
        <v>0.48086000000000001</v>
      </c>
      <c r="C188">
        <f t="shared" si="25"/>
        <v>4.6278032277820005</v>
      </c>
      <c r="D188">
        <v>1.6299999999999999E-2</v>
      </c>
      <c r="E188">
        <v>2.8849251857154604E-3</v>
      </c>
      <c r="F188">
        <f t="shared" si="26"/>
        <v>1924.8027400000001</v>
      </c>
      <c r="G188">
        <f t="shared" ref="G188:G211" si="40">-B188</f>
        <v>-0.48086000000000001</v>
      </c>
      <c r="H188">
        <f t="shared" si="28"/>
        <v>-925.56064555640012</v>
      </c>
      <c r="I188">
        <v>1</v>
      </c>
      <c r="J188">
        <f t="shared" si="29"/>
        <v>0.65482348976178628</v>
      </c>
      <c r="K188">
        <f t="shared" ref="K188:K211" si="41">((-G188)-$N$2)</f>
        <v>-0.74086515177521739</v>
      </c>
      <c r="L188">
        <v>1</v>
      </c>
      <c r="M188">
        <f t="shared" si="31"/>
        <v>0.53525609461615875</v>
      </c>
      <c r="N188">
        <f t="shared" ref="N188:N211" si="42">D188*A188</f>
        <v>0.15687142331000001</v>
      </c>
      <c r="O188">
        <f t="shared" ref="O188:O211" si="43">E188*A188</f>
        <v>2.7764559510800636E-2</v>
      </c>
      <c r="P188">
        <f t="shared" ref="P188:P211" si="44">-K188-M188-N188-O188</f>
        <v>2.0973074338257996E-2</v>
      </c>
    </row>
    <row r="189" spans="1:16" x14ac:dyDescent="0.3">
      <c r="A189">
        <v>9.6749316000000007</v>
      </c>
      <c r="B189">
        <v>0.47938999999999998</v>
      </c>
      <c r="C189">
        <f t="shared" si="25"/>
        <v>4.6380654597240003</v>
      </c>
      <c r="D189">
        <v>1.6299999999999999E-2</v>
      </c>
      <c r="E189">
        <v>2.8849251857154604E-3</v>
      </c>
      <c r="F189">
        <f t="shared" si="26"/>
        <v>1934.9863200000002</v>
      </c>
      <c r="G189">
        <f t="shared" si="40"/>
        <v>-0.47938999999999998</v>
      </c>
      <c r="H189">
        <f t="shared" si="28"/>
        <v>-927.61309194480009</v>
      </c>
      <c r="I189">
        <v>1</v>
      </c>
      <c r="J189">
        <f t="shared" si="29"/>
        <v>0.66010025668931238</v>
      </c>
      <c r="K189">
        <f t="shared" si="41"/>
        <v>-0.74233515177521747</v>
      </c>
      <c r="L189">
        <v>1</v>
      </c>
      <c r="M189">
        <f t="shared" si="31"/>
        <v>0.53550288900535914</v>
      </c>
      <c r="N189">
        <f t="shared" si="42"/>
        <v>0.15770138508000001</v>
      </c>
      <c r="O189">
        <f t="shared" si="43"/>
        <v>2.791145384291438E-2</v>
      </c>
      <c r="P189">
        <f t="shared" si="44"/>
        <v>2.1219423846943947E-2</v>
      </c>
    </row>
    <row r="190" spans="1:16" x14ac:dyDescent="0.3">
      <c r="A190">
        <v>9.7258496000000001</v>
      </c>
      <c r="B190">
        <v>0.47765000000000002</v>
      </c>
      <c r="C190">
        <f t="shared" si="25"/>
        <v>4.6455520614400001</v>
      </c>
      <c r="D190">
        <v>1.6299999999999999E-2</v>
      </c>
      <c r="E190">
        <v>2.8849251857154604E-3</v>
      </c>
      <c r="F190">
        <f t="shared" si="26"/>
        <v>1945.16992</v>
      </c>
      <c r="G190">
        <f t="shared" si="40"/>
        <v>-0.47765000000000002</v>
      </c>
      <c r="H190">
        <f t="shared" si="28"/>
        <v>-929.11041228800002</v>
      </c>
      <c r="I190">
        <v>1</v>
      </c>
      <c r="J190">
        <f t="shared" si="29"/>
        <v>0.66534933572239785</v>
      </c>
      <c r="K190">
        <f t="shared" si="41"/>
        <v>-0.74407515177521744</v>
      </c>
      <c r="L190">
        <v>1</v>
      </c>
      <c r="M190">
        <f t="shared" si="31"/>
        <v>0.53574838843173656</v>
      </c>
      <c r="N190">
        <f t="shared" si="42"/>
        <v>0.15853134848</v>
      </c>
      <c r="O190">
        <f t="shared" si="43"/>
        <v>2.8058348463520635E-2</v>
      </c>
      <c r="P190">
        <f t="shared" si="44"/>
        <v>2.1737066399960245E-2</v>
      </c>
    </row>
    <row r="191" spans="1:16" x14ac:dyDescent="0.3">
      <c r="A191">
        <v>9.7777871000000012</v>
      </c>
      <c r="B191">
        <v>0.47620000000000001</v>
      </c>
      <c r="C191">
        <f t="shared" si="25"/>
        <v>4.6561822170200005</v>
      </c>
      <c r="D191">
        <v>1.6299999999999999E-2</v>
      </c>
      <c r="E191">
        <v>2.8849251857154604E-3</v>
      </c>
      <c r="F191">
        <f t="shared" si="26"/>
        <v>1955.5574200000003</v>
      </c>
      <c r="G191">
        <f t="shared" si="40"/>
        <v>-0.47620000000000001</v>
      </c>
      <c r="H191">
        <f t="shared" si="28"/>
        <v>-931.23644340400006</v>
      </c>
      <c r="I191">
        <v>1</v>
      </c>
      <c r="J191">
        <f t="shared" si="29"/>
        <v>0.67067527811652328</v>
      </c>
      <c r="K191">
        <f t="shared" si="41"/>
        <v>-0.7455251517752175</v>
      </c>
      <c r="L191">
        <v>1</v>
      </c>
      <c r="M191">
        <f t="shared" si="31"/>
        <v>0.5359974827575098</v>
      </c>
      <c r="N191">
        <f t="shared" si="42"/>
        <v>0.15937792973000001</v>
      </c>
      <c r="O191">
        <f t="shared" si="43"/>
        <v>2.8208184265353736E-2</v>
      </c>
      <c r="P191">
        <f t="shared" si="44"/>
        <v>2.1941555022353953E-2</v>
      </c>
    </row>
    <row r="192" spans="1:16" x14ac:dyDescent="0.3">
      <c r="A192">
        <v>9.8292138999999992</v>
      </c>
      <c r="B192">
        <v>0.47443999999999997</v>
      </c>
      <c r="C192">
        <f t="shared" si="25"/>
        <v>4.6633722427159991</v>
      </c>
      <c r="D192">
        <v>1.6299999999999999E-2</v>
      </c>
      <c r="E192">
        <v>2.8849251857154604E-3</v>
      </c>
      <c r="F192">
        <f t="shared" si="26"/>
        <v>1965.8427799999999</v>
      </c>
      <c r="G192">
        <f t="shared" si="40"/>
        <v>-0.47443999999999997</v>
      </c>
      <c r="H192">
        <f t="shared" si="28"/>
        <v>-932.67444854319979</v>
      </c>
      <c r="I192">
        <v>1</v>
      </c>
      <c r="J192">
        <f t="shared" si="29"/>
        <v>0.67592104904606531</v>
      </c>
      <c r="K192">
        <f t="shared" si="41"/>
        <v>-0.74728515177521748</v>
      </c>
      <c r="L192">
        <v>1</v>
      </c>
      <c r="M192">
        <f t="shared" si="31"/>
        <v>0.53624282746388452</v>
      </c>
      <c r="N192">
        <f t="shared" si="42"/>
        <v>0.16021618656999997</v>
      </c>
      <c r="O192">
        <f t="shared" si="43"/>
        <v>2.8356546735894481E-2</v>
      </c>
      <c r="P192">
        <f t="shared" si="44"/>
        <v>2.2469591005438508E-2</v>
      </c>
    </row>
    <row r="193" spans="1:16" x14ac:dyDescent="0.3">
      <c r="A193">
        <v>9.8796239999999997</v>
      </c>
      <c r="B193">
        <v>0.47300999999999999</v>
      </c>
      <c r="C193">
        <f t="shared" si="25"/>
        <v>4.6731609482399996</v>
      </c>
      <c r="D193">
        <v>1.6299999999999999E-2</v>
      </c>
      <c r="E193">
        <v>2.8849251857154604E-3</v>
      </c>
      <c r="F193">
        <f t="shared" si="26"/>
        <v>1975.9248</v>
      </c>
      <c r="G193">
        <f t="shared" si="40"/>
        <v>-0.47300999999999999</v>
      </c>
      <c r="H193">
        <f t="shared" si="28"/>
        <v>-934.63218964799989</v>
      </c>
      <c r="I193">
        <v>1</v>
      </c>
      <c r="J193">
        <f t="shared" si="29"/>
        <v>0.68103654192134033</v>
      </c>
      <c r="K193">
        <f t="shared" si="41"/>
        <v>-0.74871515177521752</v>
      </c>
      <c r="L193">
        <v>1</v>
      </c>
      <c r="M193">
        <f t="shared" si="31"/>
        <v>0.53648207906566114</v>
      </c>
      <c r="N193">
        <f t="shared" si="42"/>
        <v>0.16103787119999999</v>
      </c>
      <c r="O193">
        <f t="shared" si="43"/>
        <v>2.850197610299892E-2</v>
      </c>
      <c r="P193">
        <f t="shared" si="44"/>
        <v>2.2693225406557473E-2</v>
      </c>
    </row>
    <row r="194" spans="1:16" x14ac:dyDescent="0.3">
      <c r="A194">
        <v>9.9305409999999998</v>
      </c>
      <c r="B194">
        <v>0.47131000000000001</v>
      </c>
      <c r="C194">
        <f t="shared" si="25"/>
        <v>4.6803632787099998</v>
      </c>
      <c r="D194">
        <v>1.6299999999999999E-2</v>
      </c>
      <c r="E194">
        <v>2.8849251857154604E-3</v>
      </c>
      <c r="F194">
        <f t="shared" si="26"/>
        <v>1986.1081999999999</v>
      </c>
      <c r="G194">
        <f t="shared" si="40"/>
        <v>-0.47131000000000001</v>
      </c>
      <c r="H194">
        <f t="shared" si="28"/>
        <v>-936.07265574199994</v>
      </c>
      <c r="I194">
        <v>1</v>
      </c>
      <c r="J194">
        <f t="shared" si="29"/>
        <v>0.686177045508512</v>
      </c>
      <c r="K194">
        <f t="shared" si="41"/>
        <v>-0.75041515177521745</v>
      </c>
      <c r="L194">
        <v>1</v>
      </c>
      <c r="M194">
        <f t="shared" si="31"/>
        <v>0.53672250041843317</v>
      </c>
      <c r="N194">
        <f t="shared" si="42"/>
        <v>0.16186781829999999</v>
      </c>
      <c r="O194">
        <f t="shared" si="43"/>
        <v>2.8648867838679992E-2</v>
      </c>
      <c r="P194">
        <f t="shared" si="44"/>
        <v>2.3175965218104295E-2</v>
      </c>
    </row>
    <row r="195" spans="1:16" x14ac:dyDescent="0.3">
      <c r="A195">
        <v>9.985533199999999</v>
      </c>
      <c r="B195">
        <v>0.46951999999999999</v>
      </c>
      <c r="C195">
        <f t="shared" si="25"/>
        <v>4.6884075480639993</v>
      </c>
      <c r="D195">
        <v>1.6299999999999999E-2</v>
      </c>
      <c r="E195">
        <v>2.8849251857154604E-3</v>
      </c>
      <c r="F195">
        <f t="shared" si="26"/>
        <v>1997.1066399999997</v>
      </c>
      <c r="G195">
        <f t="shared" si="40"/>
        <v>-0.46951999999999999</v>
      </c>
      <c r="H195">
        <f t="shared" si="28"/>
        <v>-937.6815096127998</v>
      </c>
      <c r="I195">
        <v>1</v>
      </c>
      <c r="J195">
        <f t="shared" si="29"/>
        <v>0.69169945310809366</v>
      </c>
      <c r="K195">
        <f t="shared" si="41"/>
        <v>-0.75220515177521752</v>
      </c>
      <c r="L195">
        <v>1</v>
      </c>
      <c r="M195">
        <f t="shared" si="31"/>
        <v>0.53698078342186562</v>
      </c>
      <c r="N195">
        <f t="shared" si="42"/>
        <v>0.16276419115999996</v>
      </c>
      <c r="O195">
        <f t="shared" si="43"/>
        <v>2.8807516221477893E-2</v>
      </c>
      <c r="P195">
        <f t="shared" si="44"/>
        <v>2.3652660971874049E-2</v>
      </c>
    </row>
    <row r="196" spans="1:16" x14ac:dyDescent="0.3">
      <c r="A196">
        <v>10.037469</v>
      </c>
      <c r="B196">
        <v>0.46787000000000001</v>
      </c>
      <c r="C196">
        <f t="shared" si="25"/>
        <v>4.6962306210299998</v>
      </c>
      <c r="D196">
        <v>1.6299999999999999E-2</v>
      </c>
      <c r="E196">
        <v>2.8849251857154604E-3</v>
      </c>
      <c r="F196">
        <f t="shared" si="26"/>
        <v>2007.4938</v>
      </c>
      <c r="G196">
        <f t="shared" si="40"/>
        <v>-0.46787000000000001</v>
      </c>
      <c r="H196">
        <f t="shared" si="28"/>
        <v>-939.24612420599999</v>
      </c>
      <c r="I196">
        <v>1</v>
      </c>
      <c r="J196">
        <f t="shared" si="29"/>
        <v>0.69688707841557951</v>
      </c>
      <c r="K196">
        <f t="shared" si="41"/>
        <v>-0.75385515177521745</v>
      </c>
      <c r="L196">
        <v>1</v>
      </c>
      <c r="M196">
        <f t="shared" si="31"/>
        <v>0.53722340865749663</v>
      </c>
      <c r="N196">
        <f t="shared" si="42"/>
        <v>0.16361074469999998</v>
      </c>
      <c r="O196">
        <f t="shared" si="43"/>
        <v>2.8957347118938177E-2</v>
      </c>
      <c r="P196">
        <f t="shared" si="44"/>
        <v>2.4063651298782667E-2</v>
      </c>
    </row>
    <row r="197" spans="1:16" x14ac:dyDescent="0.3">
      <c r="A197">
        <v>10.090426000000001</v>
      </c>
      <c r="B197">
        <v>0.46639000000000003</v>
      </c>
      <c r="C197">
        <f t="shared" ref="C197:C211" si="45">A197*B197</f>
        <v>4.7060737821400007</v>
      </c>
      <c r="D197">
        <v>1.6299999999999999E-2</v>
      </c>
      <c r="E197">
        <v>2.8849251857154604E-3</v>
      </c>
      <c r="F197">
        <f t="shared" ref="F197:F260" si="46">A197*200</f>
        <v>2018.0852000000002</v>
      </c>
      <c r="G197">
        <f t="shared" si="40"/>
        <v>-0.46639000000000003</v>
      </c>
      <c r="H197">
        <f t="shared" ref="H197:H211" si="47">-C197*200</f>
        <v>-941.2147564280001</v>
      </c>
      <c r="I197">
        <v>1</v>
      </c>
      <c r="J197">
        <f t="shared" ref="J197:J260" si="48">LN(F197/1000)</f>
        <v>0.70214914105999904</v>
      </c>
      <c r="K197">
        <f t="shared" si="41"/>
        <v>-0.75533515177521737</v>
      </c>
      <c r="L197">
        <v>1</v>
      </c>
      <c r="M197">
        <f t="shared" ref="M197:M260" si="49">-1*($S$4+($S$5*J197))</f>
        <v>0.53746951532737619</v>
      </c>
      <c r="N197">
        <f t="shared" si="42"/>
        <v>0.16447394379999999</v>
      </c>
      <c r="O197">
        <f t="shared" si="43"/>
        <v>2.9110124101998112E-2</v>
      </c>
      <c r="P197">
        <f t="shared" si="44"/>
        <v>2.4281568545843076E-2</v>
      </c>
    </row>
    <row r="198" spans="1:16" x14ac:dyDescent="0.3">
      <c r="A198">
        <v>10.142360999999999</v>
      </c>
      <c r="B198">
        <v>0.46465000000000001</v>
      </c>
      <c r="C198">
        <f t="shared" si="45"/>
        <v>4.7126480386499994</v>
      </c>
      <c r="D198">
        <v>1.6299999999999999E-2</v>
      </c>
      <c r="E198">
        <v>2.8849251857154604E-3</v>
      </c>
      <c r="F198">
        <f t="shared" si="46"/>
        <v>2028.4721999999999</v>
      </c>
      <c r="G198">
        <f t="shared" si="40"/>
        <v>-0.46465000000000001</v>
      </c>
      <c r="H198">
        <f t="shared" si="47"/>
        <v>-942.52960772999984</v>
      </c>
      <c r="I198">
        <v>1</v>
      </c>
      <c r="J198">
        <f t="shared" si="48"/>
        <v>0.70728289886254225</v>
      </c>
      <c r="K198">
        <f t="shared" si="41"/>
        <v>-0.75707515177521745</v>
      </c>
      <c r="L198">
        <v>1</v>
      </c>
      <c r="M198">
        <f t="shared" si="49"/>
        <v>0.53770962117980114</v>
      </c>
      <c r="N198">
        <f t="shared" si="42"/>
        <v>0.16532048429999999</v>
      </c>
      <c r="O198">
        <f t="shared" si="43"/>
        <v>2.9259952691518241E-2</v>
      </c>
      <c r="P198">
        <f t="shared" si="44"/>
        <v>2.4785093603898075E-2</v>
      </c>
    </row>
    <row r="199" spans="1:16" x14ac:dyDescent="0.3">
      <c r="A199">
        <v>10.193279</v>
      </c>
      <c r="B199">
        <v>0.46293000000000001</v>
      </c>
      <c r="C199">
        <f t="shared" si="45"/>
        <v>4.7187746474700001</v>
      </c>
      <c r="D199">
        <v>1.6299999999999999E-2</v>
      </c>
      <c r="E199">
        <v>2.8849251857154604E-3</v>
      </c>
      <c r="F199">
        <f t="shared" si="46"/>
        <v>2038.6558</v>
      </c>
      <c r="G199">
        <f t="shared" si="40"/>
        <v>-0.46293000000000001</v>
      </c>
      <c r="H199">
        <f t="shared" si="47"/>
        <v>-943.75492949400007</v>
      </c>
      <c r="I199">
        <v>1</v>
      </c>
      <c r="J199">
        <f t="shared" si="48"/>
        <v>0.71229066910327055</v>
      </c>
      <c r="K199">
        <f t="shared" si="41"/>
        <v>-0.75879515177521739</v>
      </c>
      <c r="L199">
        <v>1</v>
      </c>
      <c r="M199">
        <f t="shared" si="49"/>
        <v>0.53794383459396</v>
      </c>
      <c r="N199">
        <f t="shared" si="42"/>
        <v>0.16615044769999998</v>
      </c>
      <c r="O199">
        <f t="shared" si="43"/>
        <v>2.9406847312124503E-2</v>
      </c>
      <c r="P199">
        <f t="shared" si="44"/>
        <v>2.5294022169132905E-2</v>
      </c>
    </row>
    <row r="200" spans="1:16" x14ac:dyDescent="0.3">
      <c r="A200">
        <v>10.243689</v>
      </c>
      <c r="B200">
        <v>0.46145999999999998</v>
      </c>
      <c r="C200">
        <f t="shared" si="45"/>
        <v>4.7270527259400001</v>
      </c>
      <c r="D200">
        <v>1.6299999999999999E-2</v>
      </c>
      <c r="E200">
        <v>2.8849251857154604E-3</v>
      </c>
      <c r="F200">
        <f t="shared" si="46"/>
        <v>2048.7377999999999</v>
      </c>
      <c r="G200">
        <f t="shared" si="40"/>
        <v>-0.46145999999999998</v>
      </c>
      <c r="H200">
        <f t="shared" si="47"/>
        <v>-945.41054518800001</v>
      </c>
      <c r="I200">
        <v>1</v>
      </c>
      <c r="J200">
        <f t="shared" si="48"/>
        <v>0.71722389620765359</v>
      </c>
      <c r="K200">
        <f t="shared" si="41"/>
        <v>-0.76026515177521747</v>
      </c>
      <c r="L200">
        <v>1</v>
      </c>
      <c r="M200">
        <f t="shared" si="49"/>
        <v>0.53817456162563193</v>
      </c>
      <c r="N200">
        <f t="shared" si="42"/>
        <v>0.16697213069999997</v>
      </c>
      <c r="O200">
        <f t="shared" si="43"/>
        <v>2.9552276390736418E-2</v>
      </c>
      <c r="P200">
        <f t="shared" si="44"/>
        <v>2.5566183058849154E-2</v>
      </c>
    </row>
    <row r="201" spans="1:16" x14ac:dyDescent="0.3">
      <c r="A201">
        <v>10.294607000000001</v>
      </c>
      <c r="B201">
        <v>0.45976</v>
      </c>
      <c r="C201">
        <f t="shared" si="45"/>
        <v>4.7330485143200001</v>
      </c>
      <c r="D201">
        <v>1.6299999999999999E-2</v>
      </c>
      <c r="E201">
        <v>2.8849251857154604E-3</v>
      </c>
      <c r="F201">
        <f t="shared" si="46"/>
        <v>2058.9214000000002</v>
      </c>
      <c r="G201">
        <f t="shared" si="40"/>
        <v>-0.45976</v>
      </c>
      <c r="H201">
        <f t="shared" si="47"/>
        <v>-946.60970286400004</v>
      </c>
      <c r="I201">
        <v>1</v>
      </c>
      <c r="J201">
        <f t="shared" si="48"/>
        <v>0.72218225344620057</v>
      </c>
      <c r="K201">
        <f t="shared" si="41"/>
        <v>-0.76196515177521751</v>
      </c>
      <c r="L201">
        <v>1</v>
      </c>
      <c r="M201">
        <f t="shared" si="49"/>
        <v>0.53840646399367886</v>
      </c>
      <c r="N201">
        <f t="shared" si="42"/>
        <v>0.16780209409999999</v>
      </c>
      <c r="O201">
        <f t="shared" si="43"/>
        <v>2.969917101134268E-2</v>
      </c>
      <c r="P201">
        <f t="shared" si="44"/>
        <v>2.6057422670195972E-2</v>
      </c>
    </row>
    <row r="202" spans="1:16" x14ac:dyDescent="0.3">
      <c r="A202">
        <v>10.345016000000001</v>
      </c>
      <c r="B202">
        <v>0.45818999999999999</v>
      </c>
      <c r="C202">
        <f t="shared" si="45"/>
        <v>4.7399828810400004</v>
      </c>
      <c r="D202">
        <v>1.6299999999999999E-2</v>
      </c>
      <c r="E202">
        <v>2.8849251857154604E-3</v>
      </c>
      <c r="F202">
        <f t="shared" si="46"/>
        <v>2069.0032000000001</v>
      </c>
      <c r="G202">
        <f t="shared" si="40"/>
        <v>-0.45818999999999999</v>
      </c>
      <c r="H202">
        <f t="shared" si="47"/>
        <v>-947.99657620800008</v>
      </c>
      <c r="I202">
        <v>1</v>
      </c>
      <c r="J202">
        <f t="shared" si="48"/>
        <v>0.72706694540309924</v>
      </c>
      <c r="K202">
        <f t="shared" si="41"/>
        <v>-0.76353515177521747</v>
      </c>
      <c r="L202">
        <v>1</v>
      </c>
      <c r="M202">
        <f t="shared" si="49"/>
        <v>0.53863492103650301</v>
      </c>
      <c r="N202">
        <f t="shared" si="42"/>
        <v>0.16862376079999999</v>
      </c>
      <c r="O202">
        <f t="shared" si="43"/>
        <v>2.9844597205029411E-2</v>
      </c>
      <c r="P202">
        <f t="shared" si="44"/>
        <v>2.6431872733685052E-2</v>
      </c>
    </row>
    <row r="203" spans="1:16" x14ac:dyDescent="0.3">
      <c r="A203">
        <v>10.396443999999999</v>
      </c>
      <c r="B203">
        <v>0.45635999999999999</v>
      </c>
      <c r="C203">
        <f t="shared" si="45"/>
        <v>4.744521183839999</v>
      </c>
      <c r="D203">
        <v>1.6299999999999999E-2</v>
      </c>
      <c r="E203">
        <v>2.8849251857154604E-3</v>
      </c>
      <c r="F203">
        <f t="shared" si="46"/>
        <v>2079.2887999999998</v>
      </c>
      <c r="G203">
        <f t="shared" si="40"/>
        <v>-0.45635999999999999</v>
      </c>
      <c r="H203">
        <f t="shared" si="47"/>
        <v>-948.90423676799981</v>
      </c>
      <c r="I203">
        <v>1</v>
      </c>
      <c r="J203">
        <f t="shared" si="48"/>
        <v>0.73202591216727975</v>
      </c>
      <c r="K203">
        <f t="shared" si="41"/>
        <v>-0.76536515177521747</v>
      </c>
      <c r="L203">
        <v>1</v>
      </c>
      <c r="M203">
        <f t="shared" si="49"/>
        <v>0.53886685191206374</v>
      </c>
      <c r="N203">
        <f t="shared" si="42"/>
        <v>0.16946203719999997</v>
      </c>
      <c r="O203">
        <f t="shared" si="43"/>
        <v>2.9992963137480379E-2</v>
      </c>
      <c r="P203">
        <f t="shared" si="44"/>
        <v>2.704329952567338E-2</v>
      </c>
    </row>
    <row r="204" spans="1:16" x14ac:dyDescent="0.3">
      <c r="A204">
        <v>10.450417</v>
      </c>
      <c r="B204">
        <v>0.45483000000000001</v>
      </c>
      <c r="C204">
        <f t="shared" si="45"/>
        <v>4.7531631641100001</v>
      </c>
      <c r="D204">
        <v>1.6299999999999999E-2</v>
      </c>
      <c r="E204">
        <v>2.8849251857154604E-3</v>
      </c>
      <c r="F204">
        <f t="shared" si="46"/>
        <v>2090.0834</v>
      </c>
      <c r="G204">
        <f t="shared" si="40"/>
        <v>-0.45483000000000001</v>
      </c>
      <c r="H204">
        <f t="shared" si="47"/>
        <v>-950.63263282200001</v>
      </c>
      <c r="I204">
        <v>1</v>
      </c>
      <c r="J204">
        <f t="shared" si="48"/>
        <v>0.73720396948678413</v>
      </c>
      <c r="K204">
        <f t="shared" si="41"/>
        <v>-0.76689515177521739</v>
      </c>
      <c r="L204">
        <v>1</v>
      </c>
      <c r="M204">
        <f t="shared" si="49"/>
        <v>0.53910902965289687</v>
      </c>
      <c r="N204">
        <f t="shared" si="42"/>
        <v>0.17034179709999997</v>
      </c>
      <c r="O204">
        <f t="shared" si="43"/>
        <v>3.0148671204529003E-2</v>
      </c>
      <c r="P204">
        <f t="shared" si="44"/>
        <v>2.7295653817791549E-2</v>
      </c>
    </row>
    <row r="205" spans="1:16" x14ac:dyDescent="0.3">
      <c r="A205">
        <v>10.501844</v>
      </c>
      <c r="B205">
        <v>0.45317000000000002</v>
      </c>
      <c r="C205">
        <f t="shared" si="45"/>
        <v>4.7591206454800004</v>
      </c>
      <c r="D205">
        <v>1.6299999999999999E-2</v>
      </c>
      <c r="E205">
        <v>2.8849251857154604E-3</v>
      </c>
      <c r="F205">
        <f t="shared" si="46"/>
        <v>2100.3688000000002</v>
      </c>
      <c r="G205">
        <f t="shared" si="40"/>
        <v>-0.45317000000000002</v>
      </c>
      <c r="H205">
        <f t="shared" si="47"/>
        <v>-951.82412909600009</v>
      </c>
      <c r="I205">
        <v>1</v>
      </c>
      <c r="J205">
        <f t="shared" si="48"/>
        <v>0.74211294835777664</v>
      </c>
      <c r="K205">
        <f t="shared" si="41"/>
        <v>-0.76855515177521738</v>
      </c>
      <c r="L205">
        <v>1</v>
      </c>
      <c r="M205">
        <f t="shared" si="49"/>
        <v>0.53933862259469323</v>
      </c>
      <c r="N205">
        <f t="shared" si="42"/>
        <v>0.17118005719999999</v>
      </c>
      <c r="O205">
        <f t="shared" si="43"/>
        <v>3.0297034252054794E-2</v>
      </c>
      <c r="P205">
        <f t="shared" si="44"/>
        <v>2.7739437728469374E-2</v>
      </c>
    </row>
    <row r="206" spans="1:16" x14ac:dyDescent="0.3">
      <c r="A206">
        <v>10.553272</v>
      </c>
      <c r="B206">
        <v>0.45140000000000002</v>
      </c>
      <c r="C206">
        <f t="shared" si="45"/>
        <v>4.7637469807999997</v>
      </c>
      <c r="D206">
        <v>1.6299999999999999E-2</v>
      </c>
      <c r="E206">
        <v>2.8849251857154604E-3</v>
      </c>
      <c r="F206">
        <f t="shared" si="46"/>
        <v>2110.6543999999999</v>
      </c>
      <c r="G206">
        <f t="shared" si="40"/>
        <v>-0.45140000000000002</v>
      </c>
      <c r="H206">
        <f t="shared" si="47"/>
        <v>-952.74939615999995</v>
      </c>
      <c r="I206">
        <v>1</v>
      </c>
      <c r="J206">
        <f t="shared" si="48"/>
        <v>0.74699804158392569</v>
      </c>
      <c r="K206">
        <f t="shared" si="41"/>
        <v>-0.77032515177521743</v>
      </c>
      <c r="L206">
        <v>1</v>
      </c>
      <c r="M206">
        <f t="shared" si="49"/>
        <v>0.53956709840488026</v>
      </c>
      <c r="N206">
        <f t="shared" si="42"/>
        <v>0.17201833359999999</v>
      </c>
      <c r="O206">
        <f t="shared" si="43"/>
        <v>3.0445400184505766E-2</v>
      </c>
      <c r="P206">
        <f t="shared" si="44"/>
        <v>2.8294319585831413E-2</v>
      </c>
    </row>
    <row r="207" spans="1:16" x14ac:dyDescent="0.3">
      <c r="A207">
        <v>10.604700000000001</v>
      </c>
      <c r="B207">
        <v>0.44979000000000002</v>
      </c>
      <c r="C207">
        <f t="shared" si="45"/>
        <v>4.769888013000001</v>
      </c>
      <c r="D207">
        <v>1.6299999999999999E-2</v>
      </c>
      <c r="E207">
        <v>2.8849251857154604E-3</v>
      </c>
      <c r="F207">
        <f t="shared" si="46"/>
        <v>2120.94</v>
      </c>
      <c r="G207">
        <f t="shared" si="40"/>
        <v>-0.44979000000000002</v>
      </c>
      <c r="H207">
        <f t="shared" si="47"/>
        <v>-953.97760260000018</v>
      </c>
      <c r="I207">
        <v>1</v>
      </c>
      <c r="J207">
        <f t="shared" si="48"/>
        <v>0.75185938663927698</v>
      </c>
      <c r="K207">
        <f t="shared" si="41"/>
        <v>-0.77193515177521743</v>
      </c>
      <c r="L207">
        <v>1</v>
      </c>
      <c r="M207">
        <f t="shared" si="49"/>
        <v>0.53979446351311899</v>
      </c>
      <c r="N207">
        <f t="shared" si="42"/>
        <v>0.17285660999999999</v>
      </c>
      <c r="O207">
        <f t="shared" si="43"/>
        <v>3.0593766116956744E-2</v>
      </c>
      <c r="P207">
        <f t="shared" si="44"/>
        <v>2.86903121451417E-2</v>
      </c>
    </row>
    <row r="208" spans="1:16" x14ac:dyDescent="0.3">
      <c r="A208">
        <v>10.656127</v>
      </c>
      <c r="B208">
        <v>0.44797999999999999</v>
      </c>
      <c r="C208">
        <f t="shared" si="45"/>
        <v>4.7737317734599998</v>
      </c>
      <c r="D208">
        <v>1.6299999999999999E-2</v>
      </c>
      <c r="E208">
        <v>2.8849251857154604E-3</v>
      </c>
      <c r="F208">
        <f t="shared" si="46"/>
        <v>2131.2253999999998</v>
      </c>
      <c r="G208">
        <f t="shared" si="40"/>
        <v>-0.44797999999999999</v>
      </c>
      <c r="H208">
        <f t="shared" si="47"/>
        <v>-954.74635469199995</v>
      </c>
      <c r="I208">
        <v>1</v>
      </c>
      <c r="J208">
        <f t="shared" si="48"/>
        <v>0.75669711946108031</v>
      </c>
      <c r="K208">
        <f t="shared" si="41"/>
        <v>-0.77374515177521741</v>
      </c>
      <c r="L208">
        <v>1</v>
      </c>
      <c r="M208">
        <f t="shared" si="49"/>
        <v>0.54002072427719472</v>
      </c>
      <c r="N208">
        <f t="shared" si="42"/>
        <v>0.17369487009999998</v>
      </c>
      <c r="O208">
        <f t="shared" si="43"/>
        <v>3.0742129164482532E-2</v>
      </c>
      <c r="P208">
        <f t="shared" si="44"/>
        <v>2.9287428233540178E-2</v>
      </c>
    </row>
    <row r="209" spans="1:16" x14ac:dyDescent="0.3">
      <c r="A209">
        <v>10.708064</v>
      </c>
      <c r="B209">
        <v>0.44629999999999997</v>
      </c>
      <c r="C209">
        <f t="shared" si="45"/>
        <v>4.7790089631999999</v>
      </c>
      <c r="D209">
        <v>1.6299999999999999E-2</v>
      </c>
      <c r="E209">
        <v>2.8849251857154604E-3</v>
      </c>
      <c r="F209">
        <f t="shared" si="46"/>
        <v>2141.6127999999999</v>
      </c>
      <c r="G209">
        <f t="shared" si="40"/>
        <v>-0.44629999999999997</v>
      </c>
      <c r="H209">
        <f t="shared" si="47"/>
        <v>-955.80179264000003</v>
      </c>
      <c r="I209">
        <v>1</v>
      </c>
      <c r="J209">
        <f t="shared" si="48"/>
        <v>0.76155919004589034</v>
      </c>
      <c r="K209">
        <f t="shared" si="41"/>
        <v>-0.77542515177521754</v>
      </c>
      <c r="L209">
        <v>1</v>
      </c>
      <c r="M209">
        <f t="shared" si="49"/>
        <v>0.54024812331844629</v>
      </c>
      <c r="N209">
        <f t="shared" si="42"/>
        <v>0.17454144319999998</v>
      </c>
      <c r="O209">
        <f t="shared" si="43"/>
        <v>3.0891963523853035E-2</v>
      </c>
      <c r="P209">
        <f t="shared" si="44"/>
        <v>2.9743621732918227E-2</v>
      </c>
    </row>
    <row r="210" spans="1:16" x14ac:dyDescent="0.3">
      <c r="A210">
        <v>10.759492</v>
      </c>
      <c r="B210">
        <v>0.44473000000000001</v>
      </c>
      <c r="C210">
        <f t="shared" si="45"/>
        <v>4.7850688771600005</v>
      </c>
      <c r="D210">
        <v>1.6299999999999999E-2</v>
      </c>
      <c r="E210">
        <v>2.8849251857154604E-3</v>
      </c>
      <c r="F210">
        <f t="shared" si="46"/>
        <v>2151.8984</v>
      </c>
      <c r="G210">
        <f t="shared" si="40"/>
        <v>-0.44473000000000001</v>
      </c>
      <c r="H210">
        <f t="shared" si="47"/>
        <v>-957.0137754320001</v>
      </c>
      <c r="I210">
        <v>1</v>
      </c>
      <c r="J210">
        <f t="shared" si="48"/>
        <v>0.76635042928911046</v>
      </c>
      <c r="K210">
        <f t="shared" si="41"/>
        <v>-0.77699515177521739</v>
      </c>
      <c r="L210">
        <v>1</v>
      </c>
      <c r="M210">
        <f t="shared" si="49"/>
        <v>0.54047220957785169</v>
      </c>
      <c r="N210">
        <f t="shared" si="42"/>
        <v>0.17537971959999998</v>
      </c>
      <c r="O210">
        <f t="shared" si="43"/>
        <v>3.104032945630401E-2</v>
      </c>
      <c r="P210">
        <f t="shared" si="44"/>
        <v>3.0102893141061699E-2</v>
      </c>
    </row>
    <row r="211" spans="1:16" x14ac:dyDescent="0.3">
      <c r="A211">
        <v>10.810918999999998</v>
      </c>
      <c r="B211">
        <v>0.44297999999999998</v>
      </c>
      <c r="C211">
        <f t="shared" si="45"/>
        <v>4.7890208986199987</v>
      </c>
      <c r="D211">
        <v>1.6299999999999999E-2</v>
      </c>
      <c r="E211">
        <v>2.8849251857154604E-3</v>
      </c>
      <c r="F211">
        <f t="shared" si="46"/>
        <v>2162.1837999999998</v>
      </c>
      <c r="G211">
        <f t="shared" si="40"/>
        <v>-0.44297999999999998</v>
      </c>
      <c r="H211">
        <f t="shared" si="47"/>
        <v>-957.80417972399971</v>
      </c>
      <c r="I211">
        <v>1</v>
      </c>
      <c r="J211">
        <f t="shared" si="48"/>
        <v>0.77111872947958238</v>
      </c>
      <c r="K211">
        <f t="shared" si="41"/>
        <v>-0.77874515177521753</v>
      </c>
      <c r="L211">
        <v>1</v>
      </c>
      <c r="M211">
        <f t="shared" si="49"/>
        <v>0.54069522297776007</v>
      </c>
      <c r="N211">
        <f t="shared" si="42"/>
        <v>0.17621797969999997</v>
      </c>
      <c r="O211">
        <f t="shared" si="43"/>
        <v>3.1188692503829794E-2</v>
      </c>
      <c r="P211">
        <f t="shared" si="44"/>
        <v>3.0643256593627689E-2</v>
      </c>
    </row>
    <row r="212" spans="1:16" x14ac:dyDescent="0.3">
      <c r="A212">
        <v>10.862855999999999</v>
      </c>
      <c r="B212">
        <v>0.44131999999999999</v>
      </c>
      <c r="C212">
        <f t="shared" ref="C212:C275" si="50">A212*B212</f>
        <v>4.7939956099199996</v>
      </c>
      <c r="D212">
        <v>1.6299999999999999E-2</v>
      </c>
      <c r="E212">
        <v>2.8849251857154604E-3</v>
      </c>
      <c r="F212">
        <f t="shared" si="46"/>
        <v>2172.5711999999999</v>
      </c>
      <c r="G212">
        <f t="shared" ref="G212:G275" si="51">-B212</f>
        <v>-0.44131999999999999</v>
      </c>
      <c r="H212">
        <f t="shared" ref="H212:H275" si="52">-C212*200</f>
        <v>-958.79912198399995</v>
      </c>
      <c r="I212">
        <v>1</v>
      </c>
      <c r="J212">
        <f t="shared" si="48"/>
        <v>0.77591135092302366</v>
      </c>
      <c r="K212">
        <f t="shared" ref="K212:K275" si="53">((-G212)-$N$2)</f>
        <v>-0.78040515177521752</v>
      </c>
      <c r="L212">
        <v>1</v>
      </c>
      <c r="M212">
        <f t="shared" si="49"/>
        <v>0.54091937388266986</v>
      </c>
      <c r="N212">
        <f t="shared" ref="N212:N275" si="54">D212*A212</f>
        <v>0.17706455279999997</v>
      </c>
      <c r="O212">
        <f t="shared" ref="O212:O275" si="55">E212*A212</f>
        <v>3.1338526863200301E-2</v>
      </c>
      <c r="P212">
        <f t="shared" ref="P212:P275" si="56">-K212-M212-N212-O212</f>
        <v>3.1082698229347387E-2</v>
      </c>
    </row>
    <row r="213" spans="1:16" x14ac:dyDescent="0.3">
      <c r="A213">
        <v>10.913266</v>
      </c>
      <c r="B213">
        <v>0.43956000000000001</v>
      </c>
      <c r="C213">
        <f t="shared" si="50"/>
        <v>4.7970352029600001</v>
      </c>
      <c r="D213">
        <v>1.6299999999999999E-2</v>
      </c>
      <c r="E213">
        <v>2.8849251857154604E-3</v>
      </c>
      <c r="F213">
        <f t="shared" si="46"/>
        <v>2182.6532000000002</v>
      </c>
      <c r="G213">
        <f t="shared" si="51"/>
        <v>-0.43956000000000001</v>
      </c>
      <c r="H213">
        <f t="shared" si="52"/>
        <v>-959.40704059200004</v>
      </c>
      <c r="I213">
        <v>1</v>
      </c>
      <c r="J213">
        <f t="shared" si="48"/>
        <v>0.78054120099889879</v>
      </c>
      <c r="K213">
        <f t="shared" si="53"/>
        <v>-0.7821651517752175</v>
      </c>
      <c r="L213">
        <v>1</v>
      </c>
      <c r="M213">
        <f t="shared" si="49"/>
        <v>0.54113591197071853</v>
      </c>
      <c r="N213">
        <f t="shared" si="54"/>
        <v>0.17788623579999999</v>
      </c>
      <c r="O213">
        <f t="shared" si="55"/>
        <v>3.1483955941812219E-2</v>
      </c>
      <c r="P213">
        <f t="shared" si="56"/>
        <v>3.1659048062686768E-2</v>
      </c>
    </row>
    <row r="214" spans="1:16" x14ac:dyDescent="0.3">
      <c r="A214">
        <v>10.965710999999999</v>
      </c>
      <c r="B214">
        <v>0.43814999999999998</v>
      </c>
      <c r="C214">
        <f t="shared" si="50"/>
        <v>4.8046262746499995</v>
      </c>
      <c r="D214">
        <v>1.6299999999999999E-2</v>
      </c>
      <c r="E214">
        <v>2.8849251857154604E-3</v>
      </c>
      <c r="F214">
        <f t="shared" si="46"/>
        <v>2193.1421999999998</v>
      </c>
      <c r="G214">
        <f t="shared" si="51"/>
        <v>-0.43814999999999998</v>
      </c>
      <c r="H214">
        <f t="shared" si="52"/>
        <v>-960.92525492999994</v>
      </c>
      <c r="I214">
        <v>1</v>
      </c>
      <c r="J214">
        <f t="shared" si="48"/>
        <v>0.78533531001481371</v>
      </c>
      <c r="K214">
        <f t="shared" si="53"/>
        <v>-0.78357515177521742</v>
      </c>
      <c r="L214">
        <v>1</v>
      </c>
      <c r="M214">
        <f t="shared" si="49"/>
        <v>0.54136013244939285</v>
      </c>
      <c r="N214">
        <f t="shared" si="54"/>
        <v>0.17874108929999996</v>
      </c>
      <c r="O214">
        <f t="shared" si="55"/>
        <v>3.1635255843177064E-2</v>
      </c>
      <c r="P214">
        <f t="shared" si="56"/>
        <v>3.183867418264754E-2</v>
      </c>
    </row>
    <row r="215" spans="1:16" x14ac:dyDescent="0.3">
      <c r="A215">
        <v>11.016120000000001</v>
      </c>
      <c r="B215">
        <v>0.43614000000000003</v>
      </c>
      <c r="C215">
        <f t="shared" si="50"/>
        <v>4.8045705768000007</v>
      </c>
      <c r="D215">
        <v>1.6299999999999999E-2</v>
      </c>
      <c r="E215">
        <v>2.8849251857154604E-3</v>
      </c>
      <c r="F215">
        <f t="shared" si="46"/>
        <v>2203.2240000000002</v>
      </c>
      <c r="G215">
        <f t="shared" si="51"/>
        <v>-0.43614000000000003</v>
      </c>
      <c r="H215">
        <f t="shared" si="52"/>
        <v>-960.9141153600001</v>
      </c>
      <c r="I215">
        <v>1</v>
      </c>
      <c r="J215">
        <f t="shared" si="48"/>
        <v>0.78992174217910982</v>
      </c>
      <c r="K215">
        <f t="shared" si="53"/>
        <v>-0.78558515177521748</v>
      </c>
      <c r="L215">
        <v>1</v>
      </c>
      <c r="M215">
        <f t="shared" si="49"/>
        <v>0.54157463988171695</v>
      </c>
      <c r="N215">
        <f t="shared" si="54"/>
        <v>0.17956275599999999</v>
      </c>
      <c r="O215">
        <f t="shared" si="55"/>
        <v>3.1780682036863801E-2</v>
      </c>
      <c r="P215">
        <f t="shared" si="56"/>
        <v>3.2667073856636746E-2</v>
      </c>
    </row>
    <row r="216" spans="1:16" x14ac:dyDescent="0.3">
      <c r="A216">
        <v>11.067546999999999</v>
      </c>
      <c r="B216">
        <v>0.43476999999999999</v>
      </c>
      <c r="C216">
        <f t="shared" si="50"/>
        <v>4.8118374091899998</v>
      </c>
      <c r="D216">
        <v>1.6299999999999999E-2</v>
      </c>
      <c r="E216">
        <v>2.8849251857154604E-3</v>
      </c>
      <c r="F216">
        <f t="shared" si="46"/>
        <v>2213.5093999999999</v>
      </c>
      <c r="G216">
        <f t="shared" si="51"/>
        <v>-0.43476999999999999</v>
      </c>
      <c r="H216">
        <f t="shared" si="52"/>
        <v>-962.367481838</v>
      </c>
      <c r="I216">
        <v>1</v>
      </c>
      <c r="J216">
        <f t="shared" si="48"/>
        <v>0.7945792198492142</v>
      </c>
      <c r="K216">
        <f t="shared" si="53"/>
        <v>-0.78695515177521747</v>
      </c>
      <c r="L216">
        <v>1</v>
      </c>
      <c r="M216">
        <f t="shared" si="49"/>
        <v>0.54179247011234777</v>
      </c>
      <c r="N216">
        <f t="shared" si="54"/>
        <v>0.18040101609999998</v>
      </c>
      <c r="O216">
        <f t="shared" si="55"/>
        <v>3.1929045084389582E-2</v>
      </c>
      <c r="P216">
        <f t="shared" si="56"/>
        <v>3.2832620478480137E-2</v>
      </c>
    </row>
    <row r="217" spans="1:16" x14ac:dyDescent="0.3">
      <c r="A217">
        <v>11.119484</v>
      </c>
      <c r="B217">
        <v>0.43281999999999998</v>
      </c>
      <c r="C217">
        <f t="shared" si="50"/>
        <v>4.81273506488</v>
      </c>
      <c r="D217">
        <v>1.6299999999999999E-2</v>
      </c>
      <c r="E217">
        <v>2.8849251857154604E-3</v>
      </c>
      <c r="F217">
        <f t="shared" si="46"/>
        <v>2223.8968</v>
      </c>
      <c r="G217">
        <f t="shared" si="51"/>
        <v>-0.43281999999999998</v>
      </c>
      <c r="H217">
        <f t="shared" si="52"/>
        <v>-962.54701297600002</v>
      </c>
      <c r="I217">
        <v>1</v>
      </c>
      <c r="J217">
        <f t="shared" si="48"/>
        <v>0.79926097243399119</v>
      </c>
      <c r="K217">
        <f t="shared" si="53"/>
        <v>-0.78890515177521747</v>
      </c>
      <c r="L217">
        <v>1</v>
      </c>
      <c r="M217">
        <f t="shared" si="49"/>
        <v>0.54201143568073784</v>
      </c>
      <c r="N217">
        <f t="shared" si="54"/>
        <v>0.18124758919999998</v>
      </c>
      <c r="O217">
        <f t="shared" si="55"/>
        <v>3.2078879443760089E-2</v>
      </c>
      <c r="P217">
        <f t="shared" si="56"/>
        <v>3.3567247450719567E-2</v>
      </c>
    </row>
    <row r="218" spans="1:16" x14ac:dyDescent="0.3">
      <c r="A218">
        <v>11.172947999999998</v>
      </c>
      <c r="B218">
        <v>0.43106</v>
      </c>
      <c r="C218">
        <f t="shared" si="50"/>
        <v>4.8162109648799989</v>
      </c>
      <c r="D218">
        <v>1.6299999999999999E-2</v>
      </c>
      <c r="E218">
        <v>2.8849251857154604E-3</v>
      </c>
      <c r="F218">
        <f t="shared" si="46"/>
        <v>2234.5895999999998</v>
      </c>
      <c r="G218">
        <f t="shared" si="51"/>
        <v>-0.43106</v>
      </c>
      <c r="H218">
        <f t="shared" si="52"/>
        <v>-963.24219297599973</v>
      </c>
      <c r="I218">
        <v>1</v>
      </c>
      <c r="J218">
        <f t="shared" si="48"/>
        <v>0.80405758704347785</v>
      </c>
      <c r="K218">
        <f t="shared" si="53"/>
        <v>-0.79066515177521746</v>
      </c>
      <c r="L218">
        <v>1</v>
      </c>
      <c r="M218">
        <f t="shared" si="49"/>
        <v>0.54223577334602346</v>
      </c>
      <c r="N218">
        <f t="shared" si="54"/>
        <v>0.18211905239999995</v>
      </c>
      <c r="O218">
        <f t="shared" si="55"/>
        <v>3.2233119083889178E-2</v>
      </c>
      <c r="P218">
        <f t="shared" si="56"/>
        <v>3.4077206945304861E-2</v>
      </c>
    </row>
    <row r="219" spans="1:16" x14ac:dyDescent="0.3">
      <c r="A219">
        <v>11.224375</v>
      </c>
      <c r="B219">
        <v>0.42929</v>
      </c>
      <c r="C219">
        <f t="shared" si="50"/>
        <v>4.8185119437499999</v>
      </c>
      <c r="D219">
        <v>1.6299999999999999E-2</v>
      </c>
      <c r="E219">
        <v>2.8849251857154604E-3</v>
      </c>
      <c r="F219">
        <f t="shared" si="46"/>
        <v>2244.875</v>
      </c>
      <c r="G219">
        <f t="shared" si="51"/>
        <v>-0.42929</v>
      </c>
      <c r="H219">
        <f t="shared" si="52"/>
        <v>-963.70238874999995</v>
      </c>
      <c r="I219">
        <v>1</v>
      </c>
      <c r="J219">
        <f t="shared" si="48"/>
        <v>0.80864984035676346</v>
      </c>
      <c r="K219">
        <f t="shared" si="53"/>
        <v>-0.79243515177521751</v>
      </c>
      <c r="L219">
        <v>1</v>
      </c>
      <c r="M219">
        <f t="shared" si="49"/>
        <v>0.54245055303348588</v>
      </c>
      <c r="N219">
        <f t="shared" si="54"/>
        <v>0.1829573125</v>
      </c>
      <c r="O219">
        <f t="shared" si="55"/>
        <v>3.2381482131414972E-2</v>
      </c>
      <c r="P219">
        <f t="shared" si="56"/>
        <v>3.4645804110316654E-2</v>
      </c>
    </row>
    <row r="220" spans="1:16" x14ac:dyDescent="0.3">
      <c r="A220">
        <v>11.275804000000001</v>
      </c>
      <c r="B220">
        <v>0.42771999999999999</v>
      </c>
      <c r="C220">
        <f t="shared" si="50"/>
        <v>4.8228868868800001</v>
      </c>
      <c r="D220">
        <v>1.6299999999999999E-2</v>
      </c>
      <c r="E220">
        <v>2.8849251857154604E-3</v>
      </c>
      <c r="F220">
        <f t="shared" si="46"/>
        <v>2255.1608000000001</v>
      </c>
      <c r="G220">
        <f t="shared" si="51"/>
        <v>-0.42771999999999999</v>
      </c>
      <c r="H220">
        <f t="shared" si="52"/>
        <v>-964.57737737600007</v>
      </c>
      <c r="I220">
        <v>1</v>
      </c>
      <c r="J220">
        <f t="shared" si="48"/>
        <v>0.81322127861632376</v>
      </c>
      <c r="K220">
        <f t="shared" si="53"/>
        <v>-0.79400515177521747</v>
      </c>
      <c r="L220">
        <v>1</v>
      </c>
      <c r="M220">
        <f t="shared" si="49"/>
        <v>0.54266435920088552</v>
      </c>
      <c r="N220">
        <f t="shared" si="54"/>
        <v>0.18379560519999999</v>
      </c>
      <c r="O220">
        <f t="shared" si="55"/>
        <v>3.2529850948791135E-2</v>
      </c>
      <c r="P220">
        <f t="shared" si="56"/>
        <v>3.5015336425540826E-2</v>
      </c>
    </row>
    <row r="221" spans="1:16" x14ac:dyDescent="0.3">
      <c r="A221">
        <v>11.326722</v>
      </c>
      <c r="B221">
        <v>0.42576999999999998</v>
      </c>
      <c r="C221">
        <f t="shared" si="50"/>
        <v>4.8225784259399997</v>
      </c>
      <c r="D221">
        <v>1.6299999999999999E-2</v>
      </c>
      <c r="E221">
        <v>2.8849251857154604E-3</v>
      </c>
      <c r="F221">
        <f t="shared" si="46"/>
        <v>2265.3444</v>
      </c>
      <c r="G221">
        <f t="shared" si="51"/>
        <v>-0.42576999999999998</v>
      </c>
      <c r="H221">
        <f t="shared" si="52"/>
        <v>-964.51568518799991</v>
      </c>
      <c r="I221">
        <v>1</v>
      </c>
      <c r="J221">
        <f t="shared" si="48"/>
        <v>0.81772680035624712</v>
      </c>
      <c r="K221">
        <f t="shared" si="53"/>
        <v>-0.79595515177521747</v>
      </c>
      <c r="L221">
        <v>1</v>
      </c>
      <c r="M221">
        <f t="shared" si="49"/>
        <v>0.54287508245266169</v>
      </c>
      <c r="N221">
        <f t="shared" si="54"/>
        <v>0.18462556859999998</v>
      </c>
      <c r="O221">
        <f t="shared" si="55"/>
        <v>3.267674556939739E-2</v>
      </c>
      <c r="P221">
        <f t="shared" si="56"/>
        <v>3.5777755153158404E-2</v>
      </c>
    </row>
    <row r="222" spans="1:16" x14ac:dyDescent="0.3">
      <c r="A222">
        <v>11.380186000000002</v>
      </c>
      <c r="B222">
        <v>0.42398000000000002</v>
      </c>
      <c r="C222">
        <f t="shared" si="50"/>
        <v>4.8249712602800008</v>
      </c>
      <c r="D222">
        <v>1.6299999999999999E-2</v>
      </c>
      <c r="E222">
        <v>2.8849251857154604E-3</v>
      </c>
      <c r="F222">
        <f t="shared" si="46"/>
        <v>2276.0372000000002</v>
      </c>
      <c r="G222">
        <f t="shared" si="51"/>
        <v>-0.42398000000000002</v>
      </c>
      <c r="H222">
        <f t="shared" si="52"/>
        <v>-964.99425205600016</v>
      </c>
      <c r="I222">
        <v>1</v>
      </c>
      <c r="J222">
        <f t="shared" si="48"/>
        <v>0.82243586059448714</v>
      </c>
      <c r="K222">
        <f t="shared" si="53"/>
        <v>-0.79774515177521743</v>
      </c>
      <c r="L222">
        <v>1</v>
      </c>
      <c r="M222">
        <f t="shared" si="49"/>
        <v>0.54309532520000414</v>
      </c>
      <c r="N222">
        <f t="shared" si="54"/>
        <v>0.18549703180000002</v>
      </c>
      <c r="O222">
        <f t="shared" si="55"/>
        <v>3.2830985209526486E-2</v>
      </c>
      <c r="P222">
        <f t="shared" si="56"/>
        <v>3.6321809565686786E-2</v>
      </c>
    </row>
    <row r="223" spans="1:16" x14ac:dyDescent="0.3">
      <c r="A223">
        <v>11.431613</v>
      </c>
      <c r="B223">
        <v>0.42247000000000001</v>
      </c>
      <c r="C223">
        <f t="shared" si="50"/>
        <v>4.8295135441100001</v>
      </c>
      <c r="D223">
        <v>1.6299999999999999E-2</v>
      </c>
      <c r="E223">
        <v>2.8849251857154604E-3</v>
      </c>
      <c r="F223">
        <f t="shared" si="46"/>
        <v>2286.3226</v>
      </c>
      <c r="G223">
        <f t="shared" si="51"/>
        <v>-0.42247000000000001</v>
      </c>
      <c r="H223">
        <f t="shared" si="52"/>
        <v>-965.90270882200002</v>
      </c>
      <c r="I223">
        <v>1</v>
      </c>
      <c r="J223">
        <f t="shared" si="48"/>
        <v>0.82694467527616566</v>
      </c>
      <c r="K223">
        <f t="shared" si="53"/>
        <v>-0.79925515177521744</v>
      </c>
      <c r="L223">
        <v>1</v>
      </c>
      <c r="M223">
        <f t="shared" si="49"/>
        <v>0.54330620246266625</v>
      </c>
      <c r="N223">
        <f t="shared" si="54"/>
        <v>0.18633529189999998</v>
      </c>
      <c r="O223">
        <f t="shared" si="55"/>
        <v>3.2979348257052274E-2</v>
      </c>
      <c r="P223">
        <f t="shared" si="56"/>
        <v>3.6634309155498937E-2</v>
      </c>
    </row>
    <row r="224" spans="1:16" x14ac:dyDescent="0.3">
      <c r="A224">
        <v>11.482531</v>
      </c>
      <c r="B224">
        <v>0.42068</v>
      </c>
      <c r="C224">
        <f t="shared" si="50"/>
        <v>4.8304711410800003</v>
      </c>
      <c r="D224">
        <v>1.6299999999999999E-2</v>
      </c>
      <c r="E224">
        <v>2.8849251857154604E-3</v>
      </c>
      <c r="F224">
        <f t="shared" si="46"/>
        <v>2296.5061999999998</v>
      </c>
      <c r="G224">
        <f t="shared" si="51"/>
        <v>-0.42068</v>
      </c>
      <c r="H224">
        <f t="shared" si="52"/>
        <v>-966.09422821600003</v>
      </c>
      <c r="I224">
        <v>1</v>
      </c>
      <c r="J224">
        <f t="shared" si="48"/>
        <v>0.83138892454057167</v>
      </c>
      <c r="K224">
        <f t="shared" si="53"/>
        <v>-0.80104515177521751</v>
      </c>
      <c r="L224">
        <v>1</v>
      </c>
      <c r="M224">
        <f t="shared" si="49"/>
        <v>0.54351406000076252</v>
      </c>
      <c r="N224">
        <f t="shared" si="54"/>
        <v>0.18716525529999997</v>
      </c>
      <c r="O224">
        <f t="shared" si="55"/>
        <v>3.3126242877658529E-2</v>
      </c>
      <c r="P224">
        <f t="shared" si="56"/>
        <v>3.7239593596796489E-2</v>
      </c>
    </row>
    <row r="225" spans="1:18" x14ac:dyDescent="0.3">
      <c r="A225">
        <v>11.53345</v>
      </c>
      <c r="B225">
        <v>0.41907</v>
      </c>
      <c r="C225">
        <f t="shared" si="50"/>
        <v>4.8333228914999999</v>
      </c>
      <c r="D225">
        <v>1.6299999999999999E-2</v>
      </c>
      <c r="E225">
        <v>2.8849251857154604E-3</v>
      </c>
      <c r="F225">
        <f t="shared" si="46"/>
        <v>2306.69</v>
      </c>
      <c r="G225">
        <f t="shared" si="51"/>
        <v>-0.41907</v>
      </c>
      <c r="H225">
        <f t="shared" si="52"/>
        <v>-966.66457830000002</v>
      </c>
      <c r="I225">
        <v>1</v>
      </c>
      <c r="J225">
        <f t="shared" si="48"/>
        <v>0.83581359651724252</v>
      </c>
      <c r="K225">
        <f t="shared" si="53"/>
        <v>-0.8026551517752174</v>
      </c>
      <c r="L225">
        <v>1</v>
      </c>
      <c r="M225">
        <f t="shared" si="49"/>
        <v>0.54372100190911143</v>
      </c>
      <c r="N225">
        <f t="shared" si="54"/>
        <v>0.18799523499999998</v>
      </c>
      <c r="O225">
        <f t="shared" si="55"/>
        <v>3.3273140383189979E-2</v>
      </c>
      <c r="P225">
        <f t="shared" si="56"/>
        <v>3.7665774482916005E-2</v>
      </c>
      <c r="R225">
        <f>O225+N225+M225</f>
        <v>0.76498937729230143</v>
      </c>
    </row>
    <row r="226" spans="1:18" x14ac:dyDescent="0.3">
      <c r="A226">
        <v>11.584368999999999</v>
      </c>
      <c r="B226">
        <v>0.41724</v>
      </c>
      <c r="C226">
        <f t="shared" si="50"/>
        <v>4.8334621215599993</v>
      </c>
      <c r="D226">
        <v>1.6299999999999999E-2</v>
      </c>
      <c r="E226">
        <v>2.8849251857154604E-3</v>
      </c>
      <c r="F226">
        <f t="shared" si="46"/>
        <v>2316.8737999999998</v>
      </c>
      <c r="G226">
        <f t="shared" si="51"/>
        <v>-0.41724</v>
      </c>
      <c r="H226">
        <f t="shared" si="52"/>
        <v>-966.69242431199984</v>
      </c>
      <c r="I226">
        <v>1</v>
      </c>
      <c r="J226">
        <f t="shared" si="48"/>
        <v>0.84021877698369118</v>
      </c>
      <c r="K226">
        <f t="shared" si="53"/>
        <v>-0.8044851517752174</v>
      </c>
      <c r="L226">
        <v>1</v>
      </c>
      <c r="M226">
        <f t="shared" si="49"/>
        <v>0.54392703219952732</v>
      </c>
      <c r="N226">
        <f t="shared" si="54"/>
        <v>0.18882521469999997</v>
      </c>
      <c r="O226">
        <f t="shared" si="55"/>
        <v>3.3420037888721416E-2</v>
      </c>
      <c r="P226">
        <f t="shared" si="56"/>
        <v>3.8312866986968702E-2</v>
      </c>
    </row>
    <row r="227" spans="1:18" x14ac:dyDescent="0.3">
      <c r="A227">
        <v>11.634777999999999</v>
      </c>
      <c r="B227">
        <v>0.41560000000000002</v>
      </c>
      <c r="C227">
        <f t="shared" si="50"/>
        <v>4.8354137367999996</v>
      </c>
      <c r="D227">
        <v>1.6299999999999999E-2</v>
      </c>
      <c r="E227">
        <v>2.8849251857154604E-3</v>
      </c>
      <c r="F227">
        <f t="shared" si="46"/>
        <v>2326.9555999999998</v>
      </c>
      <c r="G227">
        <f t="shared" si="51"/>
        <v>-0.41560000000000002</v>
      </c>
      <c r="H227">
        <f t="shared" si="52"/>
        <v>-967.08274735999998</v>
      </c>
      <c r="I227">
        <v>1</v>
      </c>
      <c r="J227">
        <f t="shared" si="48"/>
        <v>0.84456080377714238</v>
      </c>
      <c r="K227">
        <f t="shared" si="53"/>
        <v>-0.80612515177521749</v>
      </c>
      <c r="L227">
        <v>1</v>
      </c>
      <c r="M227">
        <f t="shared" si="49"/>
        <v>0.544130108792657</v>
      </c>
      <c r="N227">
        <f t="shared" si="54"/>
        <v>0.18964688139999997</v>
      </c>
      <c r="O227">
        <f t="shared" si="55"/>
        <v>3.3565464082408146E-2</v>
      </c>
      <c r="P227">
        <f t="shared" si="56"/>
        <v>3.8782697500152376E-2</v>
      </c>
    </row>
    <row r="228" spans="1:18" x14ac:dyDescent="0.3">
      <c r="A228">
        <v>11.687224000000001</v>
      </c>
      <c r="B228">
        <v>0.41372999999999999</v>
      </c>
      <c r="C228">
        <f t="shared" si="50"/>
        <v>4.8353551855200001</v>
      </c>
      <c r="D228">
        <v>1.6299999999999999E-2</v>
      </c>
      <c r="E228">
        <v>2.8849251857154604E-3</v>
      </c>
      <c r="F228">
        <f t="shared" si="46"/>
        <v>2337.4448000000002</v>
      </c>
      <c r="G228">
        <f t="shared" si="51"/>
        <v>-0.41372999999999999</v>
      </c>
      <c r="H228">
        <f t="shared" si="52"/>
        <v>-967.07103710399997</v>
      </c>
      <c r="I228">
        <v>1</v>
      </c>
      <c r="J228">
        <f t="shared" si="48"/>
        <v>0.84905836692860515</v>
      </c>
      <c r="K228">
        <f t="shared" si="53"/>
        <v>-0.80799515177521752</v>
      </c>
      <c r="L228">
        <v>1</v>
      </c>
      <c r="M228">
        <f t="shared" si="49"/>
        <v>0.5443404598212509</v>
      </c>
      <c r="N228">
        <f t="shared" si="54"/>
        <v>0.19050175119999999</v>
      </c>
      <c r="O228">
        <f t="shared" si="55"/>
        <v>3.3716766868698185E-2</v>
      </c>
      <c r="P228">
        <f t="shared" si="56"/>
        <v>3.9436173885268454E-2</v>
      </c>
    </row>
    <row r="229" spans="1:18" x14ac:dyDescent="0.3">
      <c r="A229">
        <v>11.738143000000001</v>
      </c>
      <c r="B229">
        <v>0.41197</v>
      </c>
      <c r="C229">
        <f t="shared" si="50"/>
        <v>4.8357627717100007</v>
      </c>
      <c r="D229">
        <v>1.6299999999999999E-2</v>
      </c>
      <c r="E229">
        <v>2.8849251857154604E-3</v>
      </c>
      <c r="F229">
        <f t="shared" si="46"/>
        <v>2347.6286</v>
      </c>
      <c r="G229">
        <f t="shared" si="51"/>
        <v>-0.41197</v>
      </c>
      <c r="H229">
        <f t="shared" si="52"/>
        <v>-967.15255434200014</v>
      </c>
      <c r="I229">
        <v>1</v>
      </c>
      <c r="J229">
        <f t="shared" si="48"/>
        <v>0.85340571228246054</v>
      </c>
      <c r="K229">
        <f t="shared" si="53"/>
        <v>-0.80975515177521751</v>
      </c>
      <c r="L229">
        <v>1</v>
      </c>
      <c r="M229">
        <f t="shared" si="49"/>
        <v>0.5445437851634507</v>
      </c>
      <c r="N229">
        <f t="shared" si="54"/>
        <v>0.1913317309</v>
      </c>
      <c r="O229">
        <f t="shared" si="55"/>
        <v>3.3863664374229635E-2</v>
      </c>
      <c r="P229">
        <f t="shared" si="56"/>
        <v>4.0015971337537176E-2</v>
      </c>
    </row>
    <row r="230" spans="1:18" x14ac:dyDescent="0.3">
      <c r="A230">
        <v>11.789060999999998</v>
      </c>
      <c r="B230">
        <v>0.41034999999999999</v>
      </c>
      <c r="C230">
        <f t="shared" si="50"/>
        <v>4.8376411813499995</v>
      </c>
      <c r="D230">
        <v>1.6299999999999999E-2</v>
      </c>
      <c r="E230">
        <v>2.8849251857154604E-3</v>
      </c>
      <c r="F230">
        <f t="shared" si="46"/>
        <v>2357.8121999999998</v>
      </c>
      <c r="G230">
        <f t="shared" si="51"/>
        <v>-0.41034999999999999</v>
      </c>
      <c r="H230">
        <f t="shared" si="52"/>
        <v>-967.52823626999987</v>
      </c>
      <c r="I230">
        <v>1</v>
      </c>
      <c r="J230">
        <f t="shared" si="48"/>
        <v>0.85773415517754259</v>
      </c>
      <c r="K230">
        <f t="shared" si="53"/>
        <v>-0.81137515177521746</v>
      </c>
      <c r="L230">
        <v>1</v>
      </c>
      <c r="M230">
        <f t="shared" si="49"/>
        <v>0.54474622643765369</v>
      </c>
      <c r="N230">
        <f t="shared" si="54"/>
        <v>0.19216169429999996</v>
      </c>
      <c r="O230">
        <f t="shared" si="55"/>
        <v>3.4010558994835884E-2</v>
      </c>
      <c r="P230">
        <f t="shared" si="56"/>
        <v>4.0456672042727924E-2</v>
      </c>
    </row>
    <row r="231" spans="1:18" x14ac:dyDescent="0.3">
      <c r="A231">
        <v>11.840997</v>
      </c>
      <c r="B231">
        <v>0.40838000000000002</v>
      </c>
      <c r="C231">
        <f t="shared" si="50"/>
        <v>4.8356263548600005</v>
      </c>
      <c r="D231">
        <v>1.6299999999999999E-2</v>
      </c>
      <c r="E231">
        <v>2.8849251857154604E-3</v>
      </c>
      <c r="F231">
        <f t="shared" si="46"/>
        <v>2368.1994</v>
      </c>
      <c r="G231">
        <f t="shared" si="51"/>
        <v>-0.40838000000000002</v>
      </c>
      <c r="H231">
        <f t="shared" si="52"/>
        <v>-967.12527097200007</v>
      </c>
      <c r="I231">
        <v>1</v>
      </c>
      <c r="J231">
        <f t="shared" si="48"/>
        <v>0.86212991955770724</v>
      </c>
      <c r="K231">
        <f t="shared" si="53"/>
        <v>-0.81334515177521749</v>
      </c>
      <c r="L231">
        <v>1</v>
      </c>
      <c r="M231">
        <f t="shared" si="49"/>
        <v>0.54495181633771395</v>
      </c>
      <c r="N231">
        <f t="shared" si="54"/>
        <v>0.19300825109999997</v>
      </c>
      <c r="O231">
        <f t="shared" si="55"/>
        <v>3.416039046928121E-2</v>
      </c>
      <c r="P231">
        <f t="shared" si="56"/>
        <v>4.1224693868222362E-2</v>
      </c>
    </row>
    <row r="232" spans="1:18" x14ac:dyDescent="0.3">
      <c r="A232">
        <v>11.896497</v>
      </c>
      <c r="B232">
        <v>0.40653</v>
      </c>
      <c r="C232">
        <f t="shared" si="50"/>
        <v>4.8362829254099999</v>
      </c>
      <c r="D232">
        <v>1.6299999999999999E-2</v>
      </c>
      <c r="E232">
        <v>2.8849251857154604E-3</v>
      </c>
      <c r="F232">
        <f t="shared" si="46"/>
        <v>2379.2993999999999</v>
      </c>
      <c r="G232">
        <f t="shared" si="51"/>
        <v>-0.40653</v>
      </c>
      <c r="H232">
        <f t="shared" si="52"/>
        <v>-967.25658508200002</v>
      </c>
      <c r="I232">
        <v>1</v>
      </c>
      <c r="J232">
        <f t="shared" si="48"/>
        <v>0.8668060746002052</v>
      </c>
      <c r="K232">
        <f t="shared" si="53"/>
        <v>-0.8151951517752174</v>
      </c>
      <c r="L232">
        <v>1</v>
      </c>
      <c r="M232">
        <f t="shared" si="49"/>
        <v>0.54517052010905165</v>
      </c>
      <c r="N232">
        <f t="shared" si="54"/>
        <v>0.19391290109999998</v>
      </c>
      <c r="O232">
        <f t="shared" si="55"/>
        <v>3.432050381708842E-2</v>
      </c>
      <c r="P232">
        <f t="shared" si="56"/>
        <v>4.179122674907735E-2</v>
      </c>
    </row>
    <row r="233" spans="1:18" x14ac:dyDescent="0.3">
      <c r="A233">
        <v>11.948435</v>
      </c>
      <c r="B233">
        <v>0.40466000000000002</v>
      </c>
      <c r="C233">
        <f t="shared" si="50"/>
        <v>4.8350537071000002</v>
      </c>
      <c r="D233">
        <v>1.6299999999999999E-2</v>
      </c>
      <c r="E233">
        <v>2.8849251857154604E-3</v>
      </c>
      <c r="F233">
        <f t="shared" si="46"/>
        <v>2389.6869999999999</v>
      </c>
      <c r="G233">
        <f t="shared" si="51"/>
        <v>-0.40466000000000002</v>
      </c>
      <c r="H233">
        <f t="shared" si="52"/>
        <v>-967.01074142000004</v>
      </c>
      <c r="I233">
        <v>1</v>
      </c>
      <c r="J233">
        <f t="shared" si="48"/>
        <v>0.87116239502400661</v>
      </c>
      <c r="K233">
        <f t="shared" si="53"/>
        <v>-0.81706515177521744</v>
      </c>
      <c r="L233">
        <v>1</v>
      </c>
      <c r="M233">
        <f t="shared" si="49"/>
        <v>0.54537426521527277</v>
      </c>
      <c r="N233">
        <f t="shared" si="54"/>
        <v>0.19475949049999999</v>
      </c>
      <c r="O233">
        <f t="shared" si="55"/>
        <v>3.4470341061384108E-2</v>
      </c>
      <c r="P233">
        <f t="shared" si="56"/>
        <v>4.2461054998560566E-2</v>
      </c>
    </row>
    <row r="234" spans="1:18" x14ac:dyDescent="0.3">
      <c r="A234">
        <v>12.000372</v>
      </c>
      <c r="B234">
        <v>0.40283999999999998</v>
      </c>
      <c r="C234">
        <f t="shared" si="50"/>
        <v>4.8342298564799995</v>
      </c>
      <c r="D234">
        <v>1.6299999999999999E-2</v>
      </c>
      <c r="E234">
        <v>2.8849251857154604E-3</v>
      </c>
      <c r="F234">
        <f t="shared" si="46"/>
        <v>2400.0744</v>
      </c>
      <c r="G234">
        <f t="shared" si="51"/>
        <v>-0.40283999999999998</v>
      </c>
      <c r="H234">
        <f t="shared" si="52"/>
        <v>-966.8459712959999</v>
      </c>
      <c r="I234">
        <v>1</v>
      </c>
      <c r="J234">
        <f t="shared" si="48"/>
        <v>0.87549973687340976</v>
      </c>
      <c r="K234">
        <f t="shared" si="53"/>
        <v>-0.81888515177521748</v>
      </c>
      <c r="L234">
        <v>1</v>
      </c>
      <c r="M234">
        <f t="shared" si="49"/>
        <v>0.54557712269356939</v>
      </c>
      <c r="N234">
        <f t="shared" si="54"/>
        <v>0.19560606359999999</v>
      </c>
      <c r="O234">
        <f t="shared" si="55"/>
        <v>3.4620175420754615E-2</v>
      </c>
      <c r="P234">
        <f t="shared" si="56"/>
        <v>4.308179006089348E-2</v>
      </c>
    </row>
    <row r="235" spans="1:18" x14ac:dyDescent="0.3">
      <c r="A235">
        <v>12.05078</v>
      </c>
      <c r="B235">
        <v>0.40122000000000002</v>
      </c>
      <c r="C235">
        <f t="shared" si="50"/>
        <v>4.8350139515999997</v>
      </c>
      <c r="D235">
        <v>1.6299999999999999E-2</v>
      </c>
      <c r="E235">
        <v>2.8849251857154604E-3</v>
      </c>
      <c r="F235">
        <f t="shared" si="46"/>
        <v>2410.1559999999999</v>
      </c>
      <c r="G235">
        <f t="shared" si="51"/>
        <v>-0.40122000000000002</v>
      </c>
      <c r="H235">
        <f t="shared" si="52"/>
        <v>-967.00279031999992</v>
      </c>
      <c r="I235">
        <v>1</v>
      </c>
      <c r="J235">
        <f t="shared" si="48"/>
        <v>0.87969147569810513</v>
      </c>
      <c r="K235">
        <f t="shared" si="53"/>
        <v>-0.82050515177521743</v>
      </c>
      <c r="L235">
        <v>1</v>
      </c>
      <c r="M235">
        <f t="shared" si="49"/>
        <v>0.54577317031840045</v>
      </c>
      <c r="N235">
        <f t="shared" si="54"/>
        <v>0.19642771399999998</v>
      </c>
      <c r="O235">
        <f t="shared" si="55"/>
        <v>3.4765598729516158E-2</v>
      </c>
      <c r="P235">
        <f t="shared" si="56"/>
        <v>4.3538668727300854E-2</v>
      </c>
    </row>
    <row r="236" spans="1:18" x14ac:dyDescent="0.3">
      <c r="A236">
        <v>12.103226999999999</v>
      </c>
      <c r="B236">
        <v>0.39945999999999998</v>
      </c>
      <c r="C236">
        <f t="shared" si="50"/>
        <v>4.8347550574199989</v>
      </c>
      <c r="D236">
        <v>1.6299999999999999E-2</v>
      </c>
      <c r="E236">
        <v>2.8849251857154604E-3</v>
      </c>
      <c r="F236">
        <f t="shared" si="46"/>
        <v>2420.6453999999999</v>
      </c>
      <c r="G236">
        <f t="shared" si="51"/>
        <v>-0.39945999999999998</v>
      </c>
      <c r="H236">
        <f t="shared" si="52"/>
        <v>-966.95101148399976</v>
      </c>
      <c r="I236">
        <v>1</v>
      </c>
      <c r="J236">
        <f t="shared" si="48"/>
        <v>0.88403419882689049</v>
      </c>
      <c r="K236">
        <f t="shared" si="53"/>
        <v>-0.82226515177521753</v>
      </c>
      <c r="L236">
        <v>1</v>
      </c>
      <c r="M236">
        <f t="shared" si="49"/>
        <v>0.54597627947913374</v>
      </c>
      <c r="N236">
        <f t="shared" si="54"/>
        <v>0.19728260009999996</v>
      </c>
      <c r="O236">
        <f t="shared" si="55"/>
        <v>3.491690440073137E-2</v>
      </c>
      <c r="P236">
        <f t="shared" si="56"/>
        <v>4.4089367795352462E-2</v>
      </c>
    </row>
    <row r="237" spans="1:18" x14ac:dyDescent="0.3">
      <c r="A237">
        <v>12.160765</v>
      </c>
      <c r="B237">
        <v>0.39751999999999998</v>
      </c>
      <c r="C237">
        <f t="shared" si="50"/>
        <v>4.8341473027999999</v>
      </c>
      <c r="D237">
        <v>1.6299999999999999E-2</v>
      </c>
      <c r="E237">
        <v>2.8849251857154604E-3</v>
      </c>
      <c r="F237">
        <f t="shared" si="46"/>
        <v>2432.1529999999998</v>
      </c>
      <c r="G237">
        <f t="shared" si="51"/>
        <v>-0.39751999999999998</v>
      </c>
      <c r="H237">
        <f t="shared" si="52"/>
        <v>-966.82946056000003</v>
      </c>
      <c r="I237">
        <v>1</v>
      </c>
      <c r="J237">
        <f t="shared" si="48"/>
        <v>0.88877687330930555</v>
      </c>
      <c r="K237">
        <f t="shared" si="53"/>
        <v>-0.82420515177521747</v>
      </c>
      <c r="L237">
        <v>1</v>
      </c>
      <c r="M237">
        <f t="shared" si="49"/>
        <v>0.54619809436467626</v>
      </c>
      <c r="N237">
        <f t="shared" si="54"/>
        <v>0.19822046949999997</v>
      </c>
      <c r="O237">
        <f t="shared" si="55"/>
        <v>3.508289722606707E-2</v>
      </c>
      <c r="P237">
        <f t="shared" si="56"/>
        <v>4.4703690684474176E-2</v>
      </c>
    </row>
    <row r="238" spans="1:18" x14ac:dyDescent="0.3">
      <c r="A238">
        <v>12.211682000000001</v>
      </c>
      <c r="B238">
        <v>0.39532</v>
      </c>
      <c r="C238">
        <f t="shared" si="50"/>
        <v>4.8275221282400009</v>
      </c>
      <c r="D238">
        <v>1.6299999999999999E-2</v>
      </c>
      <c r="E238">
        <v>2.8849251857154604E-3</v>
      </c>
      <c r="F238">
        <f t="shared" si="46"/>
        <v>2442.3364000000001</v>
      </c>
      <c r="G238">
        <f t="shared" si="51"/>
        <v>-0.39532</v>
      </c>
      <c r="H238">
        <f t="shared" si="52"/>
        <v>-965.50442564800016</v>
      </c>
      <c r="I238">
        <v>1</v>
      </c>
      <c r="J238">
        <f t="shared" si="48"/>
        <v>0.89295512213879114</v>
      </c>
      <c r="K238">
        <f t="shared" si="53"/>
        <v>-0.82640515177521745</v>
      </c>
      <c r="L238">
        <v>1</v>
      </c>
      <c r="M238">
        <f t="shared" si="49"/>
        <v>0.54639351106243128</v>
      </c>
      <c r="N238">
        <f t="shared" si="54"/>
        <v>0.1990504166</v>
      </c>
      <c r="O238">
        <f t="shared" si="55"/>
        <v>3.5229788961748151E-2</v>
      </c>
      <c r="P238">
        <f t="shared" si="56"/>
        <v>4.5731435151038016E-2</v>
      </c>
    </row>
    <row r="239" spans="1:18" x14ac:dyDescent="0.3">
      <c r="A239">
        <v>12.265656</v>
      </c>
      <c r="B239">
        <v>0.39389000000000002</v>
      </c>
      <c r="C239">
        <f t="shared" si="50"/>
        <v>4.8313192418400002</v>
      </c>
      <c r="D239">
        <v>1.6299999999999999E-2</v>
      </c>
      <c r="E239">
        <v>2.8849251857154604E-3</v>
      </c>
      <c r="F239">
        <f t="shared" si="46"/>
        <v>2453.1311999999998</v>
      </c>
      <c r="G239">
        <f t="shared" si="51"/>
        <v>-0.39389000000000002</v>
      </c>
      <c r="H239">
        <f t="shared" si="52"/>
        <v>-966.26384836800003</v>
      </c>
      <c r="I239">
        <v>1</v>
      </c>
      <c r="J239">
        <f t="shared" si="48"/>
        <v>0.89736524937397721</v>
      </c>
      <c r="K239">
        <f t="shared" si="53"/>
        <v>-0.82783515177521738</v>
      </c>
      <c r="L239">
        <v>1</v>
      </c>
      <c r="M239">
        <f t="shared" si="49"/>
        <v>0.54659977271322091</v>
      </c>
      <c r="N239">
        <f t="shared" si="54"/>
        <v>0.19993019279999999</v>
      </c>
      <c r="O239">
        <f t="shared" si="55"/>
        <v>3.5385499913721953E-2</v>
      </c>
      <c r="P239">
        <f t="shared" si="56"/>
        <v>4.5919686348274528E-2</v>
      </c>
    </row>
    <row r="240" spans="1:18" x14ac:dyDescent="0.3">
      <c r="A240">
        <v>12.317592999999999</v>
      </c>
      <c r="B240">
        <v>0.39174999999999999</v>
      </c>
      <c r="C240">
        <f t="shared" si="50"/>
        <v>4.8254170577499993</v>
      </c>
      <c r="D240">
        <v>1.6299999999999999E-2</v>
      </c>
      <c r="E240">
        <v>2.8849251857154604E-3</v>
      </c>
      <c r="F240">
        <f t="shared" si="46"/>
        <v>2463.5185999999999</v>
      </c>
      <c r="G240">
        <f t="shared" si="51"/>
        <v>-0.39174999999999999</v>
      </c>
      <c r="H240">
        <f t="shared" si="52"/>
        <v>-965.08341154999982</v>
      </c>
      <c r="I240">
        <v>1</v>
      </c>
      <c r="J240">
        <f t="shared" si="48"/>
        <v>0.90159065320678555</v>
      </c>
      <c r="K240">
        <f t="shared" si="53"/>
        <v>-0.82997515177521741</v>
      </c>
      <c r="L240">
        <v>1</v>
      </c>
      <c r="M240">
        <f t="shared" si="49"/>
        <v>0.5467973948504814</v>
      </c>
      <c r="N240">
        <f t="shared" si="54"/>
        <v>0.20077676589999996</v>
      </c>
      <c r="O240">
        <f t="shared" si="55"/>
        <v>3.5535334273092453E-2</v>
      </c>
      <c r="P240">
        <f t="shared" si="56"/>
        <v>4.68656567516436E-2</v>
      </c>
    </row>
    <row r="241" spans="1:16" x14ac:dyDescent="0.3">
      <c r="A241">
        <v>12.369021</v>
      </c>
      <c r="B241">
        <v>0.38984000000000002</v>
      </c>
      <c r="C241">
        <f t="shared" si="50"/>
        <v>4.8219391466400001</v>
      </c>
      <c r="D241">
        <v>1.6299999999999999E-2</v>
      </c>
      <c r="E241">
        <v>2.8849251857154604E-3</v>
      </c>
      <c r="F241">
        <f t="shared" si="46"/>
        <v>2473.8042</v>
      </c>
      <c r="G241">
        <f t="shared" si="51"/>
        <v>-0.38984000000000002</v>
      </c>
      <c r="H241">
        <f t="shared" si="52"/>
        <v>-964.38782932800007</v>
      </c>
      <c r="I241">
        <v>1</v>
      </c>
      <c r="J241">
        <f t="shared" si="48"/>
        <v>0.90575712775020034</v>
      </c>
      <c r="K241">
        <f t="shared" si="53"/>
        <v>-0.83188515177521749</v>
      </c>
      <c r="L241">
        <v>1</v>
      </c>
      <c r="M241">
        <f t="shared" si="49"/>
        <v>0.54699226086487684</v>
      </c>
      <c r="N241">
        <f t="shared" si="54"/>
        <v>0.20161504229999999</v>
      </c>
      <c r="O241">
        <f t="shared" si="55"/>
        <v>3.5683700205543428E-2</v>
      </c>
      <c r="P241">
        <f t="shared" si="56"/>
        <v>4.7594148404797226E-2</v>
      </c>
    </row>
    <row r="242" spans="1:16" x14ac:dyDescent="0.3">
      <c r="A242">
        <v>12.421467</v>
      </c>
      <c r="B242">
        <v>0.38799</v>
      </c>
      <c r="C242">
        <f t="shared" si="50"/>
        <v>4.8194049813299999</v>
      </c>
      <c r="D242">
        <v>1.6299999999999999E-2</v>
      </c>
      <c r="E242">
        <v>2.8849251857154604E-3</v>
      </c>
      <c r="F242">
        <f t="shared" si="46"/>
        <v>2484.2934</v>
      </c>
      <c r="G242">
        <f t="shared" si="51"/>
        <v>-0.38799</v>
      </c>
      <c r="H242">
        <f t="shared" si="52"/>
        <v>-963.88099626600001</v>
      </c>
      <c r="I242">
        <v>1</v>
      </c>
      <c r="J242">
        <f t="shared" si="48"/>
        <v>0.90998827303812269</v>
      </c>
      <c r="K242">
        <f t="shared" si="53"/>
        <v>-0.8337351517752174</v>
      </c>
      <c r="L242">
        <v>1</v>
      </c>
      <c r="M242">
        <f t="shared" si="49"/>
        <v>0.54719015152999306</v>
      </c>
      <c r="N242">
        <f t="shared" si="54"/>
        <v>0.20246991209999998</v>
      </c>
      <c r="O242">
        <f t="shared" si="55"/>
        <v>3.583500299183346E-2</v>
      </c>
      <c r="P242">
        <f t="shared" si="56"/>
        <v>4.8240085153390892E-2</v>
      </c>
    </row>
    <row r="243" spans="1:16" x14ac:dyDescent="0.3">
      <c r="A243">
        <v>12.474931</v>
      </c>
      <c r="B243">
        <v>0.38613999999999998</v>
      </c>
      <c r="C243">
        <f t="shared" si="50"/>
        <v>4.8170698563399998</v>
      </c>
      <c r="D243">
        <v>1.6299999999999999E-2</v>
      </c>
      <c r="E243">
        <v>2.8849251857154604E-3</v>
      </c>
      <c r="F243">
        <f t="shared" si="46"/>
        <v>2494.9861999999998</v>
      </c>
      <c r="G243">
        <f t="shared" si="51"/>
        <v>-0.38613999999999998</v>
      </c>
      <c r="H243">
        <f t="shared" si="52"/>
        <v>-963.41397126799995</v>
      </c>
      <c r="I243">
        <v>1</v>
      </c>
      <c r="J243">
        <f t="shared" si="48"/>
        <v>0.9142831981260614</v>
      </c>
      <c r="K243">
        <f t="shared" si="53"/>
        <v>-0.83558515177521753</v>
      </c>
      <c r="L243">
        <v>1</v>
      </c>
      <c r="M243">
        <f t="shared" si="49"/>
        <v>0.54739102517635596</v>
      </c>
      <c r="N243">
        <f t="shared" si="54"/>
        <v>0.20334137529999999</v>
      </c>
      <c r="O243">
        <f t="shared" si="55"/>
        <v>3.5989242631962556E-2</v>
      </c>
      <c r="P243">
        <f t="shared" si="56"/>
        <v>4.8863508666899022E-2</v>
      </c>
    </row>
    <row r="244" spans="1:16" x14ac:dyDescent="0.3">
      <c r="A244">
        <v>12.526357000000001</v>
      </c>
      <c r="B244">
        <v>0.38424999999999998</v>
      </c>
      <c r="C244">
        <f t="shared" si="50"/>
        <v>4.8132526772500004</v>
      </c>
      <c r="D244">
        <v>1.6299999999999999E-2</v>
      </c>
      <c r="E244">
        <v>2.8849251857154604E-3</v>
      </c>
      <c r="F244">
        <f t="shared" si="46"/>
        <v>2505.2714000000001</v>
      </c>
      <c r="G244">
        <f t="shared" si="51"/>
        <v>-0.38424999999999998</v>
      </c>
      <c r="H244">
        <f t="shared" si="52"/>
        <v>-962.65053545000012</v>
      </c>
      <c r="I244">
        <v>1</v>
      </c>
      <c r="J244">
        <f t="shared" si="48"/>
        <v>0.91839707198148857</v>
      </c>
      <c r="K244">
        <f t="shared" si="53"/>
        <v>-0.83747515177521747</v>
      </c>
      <c r="L244">
        <v>1</v>
      </c>
      <c r="M244">
        <f t="shared" si="49"/>
        <v>0.54758343105657425</v>
      </c>
      <c r="N244">
        <f t="shared" si="54"/>
        <v>0.20417961909999999</v>
      </c>
      <c r="O244">
        <f t="shared" si="55"/>
        <v>3.6137602794563156E-2</v>
      </c>
      <c r="P244">
        <f t="shared" si="56"/>
        <v>4.9574498824080077E-2</v>
      </c>
    </row>
    <row r="245" spans="1:16" x14ac:dyDescent="0.3">
      <c r="A245">
        <v>12.577783999999999</v>
      </c>
      <c r="B245">
        <v>0.38238</v>
      </c>
      <c r="C245">
        <f t="shared" si="50"/>
        <v>4.80949304592</v>
      </c>
      <c r="D245">
        <v>1.6299999999999999E-2</v>
      </c>
      <c r="E245">
        <v>2.8849251857154604E-3</v>
      </c>
      <c r="F245">
        <f t="shared" si="46"/>
        <v>2515.5567999999998</v>
      </c>
      <c r="G245">
        <f t="shared" si="51"/>
        <v>-0.38238</v>
      </c>
      <c r="H245">
        <f t="shared" si="52"/>
        <v>-961.89860918399995</v>
      </c>
      <c r="I245">
        <v>1</v>
      </c>
      <c r="J245">
        <f t="shared" si="48"/>
        <v>0.92249417069828699</v>
      </c>
      <c r="K245">
        <f t="shared" si="53"/>
        <v>-0.83934515177521751</v>
      </c>
      <c r="L245">
        <v>1</v>
      </c>
      <c r="M245">
        <f t="shared" si="49"/>
        <v>0.54777505236355895</v>
      </c>
      <c r="N245">
        <f t="shared" si="54"/>
        <v>0.20501787919999998</v>
      </c>
      <c r="O245">
        <f t="shared" si="55"/>
        <v>3.6285965842088944E-2</v>
      </c>
      <c r="P245">
        <f t="shared" si="56"/>
        <v>5.0266254369569649E-2</v>
      </c>
    </row>
    <row r="246" spans="1:16" x14ac:dyDescent="0.3">
      <c r="A246">
        <v>12.629721</v>
      </c>
      <c r="B246">
        <v>0.38051000000000001</v>
      </c>
      <c r="C246">
        <f t="shared" si="50"/>
        <v>4.8057351377100002</v>
      </c>
      <c r="D246">
        <v>1.6299999999999999E-2</v>
      </c>
      <c r="E246">
        <v>2.8849251857154604E-3</v>
      </c>
      <c r="F246">
        <f t="shared" si="46"/>
        <v>2525.9441999999999</v>
      </c>
      <c r="G246">
        <f t="shared" si="51"/>
        <v>-0.38051000000000001</v>
      </c>
      <c r="H246">
        <f t="shared" si="52"/>
        <v>-961.14702754200005</v>
      </c>
      <c r="I246">
        <v>1</v>
      </c>
      <c r="J246">
        <f t="shared" si="48"/>
        <v>0.92661493342302337</v>
      </c>
      <c r="K246">
        <f t="shared" si="53"/>
        <v>-0.84121515177521744</v>
      </c>
      <c r="L246">
        <v>1</v>
      </c>
      <c r="M246">
        <f t="shared" si="49"/>
        <v>0.54796778043619487</v>
      </c>
      <c r="N246">
        <f t="shared" si="54"/>
        <v>0.20586445229999997</v>
      </c>
      <c r="O246">
        <f t="shared" si="55"/>
        <v>3.6435800201459451E-2</v>
      </c>
      <c r="P246">
        <f t="shared" si="56"/>
        <v>5.0947118837563143E-2</v>
      </c>
    </row>
    <row r="247" spans="1:16" x14ac:dyDescent="0.3">
      <c r="A247">
        <v>12.680130999999999</v>
      </c>
      <c r="B247">
        <v>0.37852000000000002</v>
      </c>
      <c r="C247">
        <f t="shared" si="50"/>
        <v>4.7996831861200002</v>
      </c>
      <c r="D247">
        <v>1.6299999999999999E-2</v>
      </c>
      <c r="E247">
        <v>2.8849251857154604E-3</v>
      </c>
      <c r="F247">
        <f t="shared" si="46"/>
        <v>2536.0261999999998</v>
      </c>
      <c r="G247">
        <f t="shared" si="51"/>
        <v>-0.37852000000000002</v>
      </c>
      <c r="H247">
        <f t="shared" si="52"/>
        <v>-959.93663722400004</v>
      </c>
      <c r="I247">
        <v>1</v>
      </c>
      <c r="J247">
        <f t="shared" si="48"/>
        <v>0.93059836775189653</v>
      </c>
      <c r="K247">
        <f t="shared" si="53"/>
        <v>-0.84320515177521749</v>
      </c>
      <c r="L247">
        <v>1</v>
      </c>
      <c r="M247">
        <f t="shared" si="49"/>
        <v>0.54815408565975621</v>
      </c>
      <c r="N247">
        <f t="shared" si="54"/>
        <v>0.20668613529999996</v>
      </c>
      <c r="O247">
        <f t="shared" si="55"/>
        <v>3.6581229280071362E-2</v>
      </c>
      <c r="P247">
        <f t="shared" si="56"/>
        <v>5.1783701535389956E-2</v>
      </c>
    </row>
    <row r="248" spans="1:16" x14ac:dyDescent="0.3">
      <c r="A248">
        <v>12.732066</v>
      </c>
      <c r="B248">
        <v>0.37661</v>
      </c>
      <c r="C248">
        <f t="shared" si="50"/>
        <v>4.7950233762599996</v>
      </c>
      <c r="D248">
        <v>1.6299999999999999E-2</v>
      </c>
      <c r="E248">
        <v>2.8849251857154604E-3</v>
      </c>
      <c r="F248">
        <f t="shared" si="46"/>
        <v>2546.4132</v>
      </c>
      <c r="G248">
        <f t="shared" si="51"/>
        <v>-0.37661</v>
      </c>
      <c r="H248">
        <f t="shared" si="52"/>
        <v>-959.00467525199997</v>
      </c>
      <c r="I248">
        <v>1</v>
      </c>
      <c r="J248">
        <f t="shared" si="48"/>
        <v>0.93468578076118858</v>
      </c>
      <c r="K248">
        <f t="shared" si="53"/>
        <v>-0.84511515177521745</v>
      </c>
      <c r="L248">
        <v>1</v>
      </c>
      <c r="M248">
        <f t="shared" si="49"/>
        <v>0.54834525396620082</v>
      </c>
      <c r="N248">
        <f t="shared" si="54"/>
        <v>0.20753267579999998</v>
      </c>
      <c r="O248">
        <f t="shared" si="55"/>
        <v>3.67310578695915E-2</v>
      </c>
      <c r="P248">
        <f t="shared" si="56"/>
        <v>5.2506164139425153E-2</v>
      </c>
    </row>
    <row r="249" spans="1:16" x14ac:dyDescent="0.3">
      <c r="A249">
        <v>12.784514</v>
      </c>
      <c r="B249">
        <v>0.37468000000000001</v>
      </c>
      <c r="C249">
        <f t="shared" si="50"/>
        <v>4.7901017055199997</v>
      </c>
      <c r="D249">
        <v>1.6299999999999999E-2</v>
      </c>
      <c r="E249">
        <v>2.8849251857154604E-3</v>
      </c>
      <c r="F249">
        <f t="shared" si="46"/>
        <v>2556.9027999999998</v>
      </c>
      <c r="G249">
        <f t="shared" si="51"/>
        <v>-0.37468000000000001</v>
      </c>
      <c r="H249">
        <f t="shared" si="52"/>
        <v>-958.02034110399995</v>
      </c>
      <c r="I249">
        <v>1</v>
      </c>
      <c r="J249">
        <f t="shared" si="48"/>
        <v>0.93879668228969371</v>
      </c>
      <c r="K249">
        <f t="shared" si="53"/>
        <v>-0.84704515177521744</v>
      </c>
      <c r="L249">
        <v>1</v>
      </c>
      <c r="M249">
        <f t="shared" si="49"/>
        <v>0.54853752083068896</v>
      </c>
      <c r="N249">
        <f t="shared" si="54"/>
        <v>0.20838757819999998</v>
      </c>
      <c r="O249">
        <f t="shared" si="55"/>
        <v>3.6882366425731901E-2</v>
      </c>
      <c r="P249">
        <f t="shared" si="56"/>
        <v>5.32376863187966E-2</v>
      </c>
    </row>
    <row r="250" spans="1:16" x14ac:dyDescent="0.3">
      <c r="A250">
        <v>12.835940000000001</v>
      </c>
      <c r="B250">
        <v>0.37285000000000001</v>
      </c>
      <c r="C250">
        <f t="shared" si="50"/>
        <v>4.7858802290000009</v>
      </c>
      <c r="D250">
        <v>1.6299999999999999E-2</v>
      </c>
      <c r="E250">
        <v>2.8849251857154604E-3</v>
      </c>
      <c r="F250">
        <f t="shared" si="46"/>
        <v>2567.1880000000001</v>
      </c>
      <c r="G250">
        <f t="shared" si="51"/>
        <v>-0.37285000000000001</v>
      </c>
      <c r="H250">
        <f t="shared" si="52"/>
        <v>-957.17604580000022</v>
      </c>
      <c r="I250">
        <v>1</v>
      </c>
      <c r="J250">
        <f t="shared" si="48"/>
        <v>0.94281113644920422</v>
      </c>
      <c r="K250">
        <f t="shared" si="53"/>
        <v>-0.84887515177521744</v>
      </c>
      <c r="L250">
        <v>1</v>
      </c>
      <c r="M250">
        <f t="shared" si="49"/>
        <v>0.54872527685172934</v>
      </c>
      <c r="N250">
        <f t="shared" si="54"/>
        <v>0.20922582200000001</v>
      </c>
      <c r="O250">
        <f t="shared" si="55"/>
        <v>3.7030726588332508E-2</v>
      </c>
      <c r="P250">
        <f t="shared" si="56"/>
        <v>5.3893326335155589E-2</v>
      </c>
    </row>
    <row r="251" spans="1:16" x14ac:dyDescent="0.3">
      <c r="A251">
        <v>12.887369000000001</v>
      </c>
      <c r="B251">
        <v>0.37076999999999999</v>
      </c>
      <c r="C251">
        <f t="shared" si="50"/>
        <v>4.7782498041300006</v>
      </c>
      <c r="D251">
        <v>1.6299999999999999E-2</v>
      </c>
      <c r="E251">
        <v>2.8849251857154604E-3</v>
      </c>
      <c r="F251">
        <f t="shared" si="46"/>
        <v>2577.4738000000002</v>
      </c>
      <c r="G251">
        <f t="shared" si="51"/>
        <v>-0.37076999999999999</v>
      </c>
      <c r="H251">
        <f t="shared" si="52"/>
        <v>-955.6499608260001</v>
      </c>
      <c r="I251">
        <v>1</v>
      </c>
      <c r="J251">
        <f t="shared" si="48"/>
        <v>0.94680977196885741</v>
      </c>
      <c r="K251">
        <f t="shared" si="53"/>
        <v>-0.85095515177521741</v>
      </c>
      <c r="L251">
        <v>1</v>
      </c>
      <c r="M251">
        <f t="shared" si="49"/>
        <v>0.54891229303498346</v>
      </c>
      <c r="N251">
        <f t="shared" si="54"/>
        <v>0.2100641147</v>
      </c>
      <c r="O251">
        <f t="shared" si="55"/>
        <v>3.717909540570867E-2</v>
      </c>
      <c r="P251">
        <f t="shared" si="56"/>
        <v>5.4799648634525286E-2</v>
      </c>
    </row>
    <row r="252" spans="1:16" x14ac:dyDescent="0.3">
      <c r="A252">
        <v>12.939304999999999</v>
      </c>
      <c r="B252">
        <v>0.36914999999999998</v>
      </c>
      <c r="C252">
        <f t="shared" si="50"/>
        <v>4.7765444407499995</v>
      </c>
      <c r="D252">
        <v>1.6299999999999999E-2</v>
      </c>
      <c r="E252">
        <v>2.8849251857154604E-3</v>
      </c>
      <c r="F252">
        <f t="shared" si="46"/>
        <v>2587.8609999999999</v>
      </c>
      <c r="G252">
        <f t="shared" si="51"/>
        <v>-0.36914999999999998</v>
      </c>
      <c r="H252">
        <f t="shared" si="52"/>
        <v>-955.30888814999992</v>
      </c>
      <c r="I252">
        <v>1</v>
      </c>
      <c r="J252">
        <f t="shared" si="48"/>
        <v>0.95083166576812117</v>
      </c>
      <c r="K252">
        <f t="shared" si="53"/>
        <v>-0.85257515177521748</v>
      </c>
      <c r="L252">
        <v>1</v>
      </c>
      <c r="M252">
        <f t="shared" si="49"/>
        <v>0.54910039700797508</v>
      </c>
      <c r="N252">
        <f t="shared" si="54"/>
        <v>0.21091067149999998</v>
      </c>
      <c r="O252">
        <f t="shared" si="55"/>
        <v>3.7328926880153983E-2</v>
      </c>
      <c r="P252">
        <f t="shared" si="56"/>
        <v>5.5235156387088431E-2</v>
      </c>
    </row>
    <row r="253" spans="1:16" x14ac:dyDescent="0.3">
      <c r="A253">
        <v>12.991750999999999</v>
      </c>
      <c r="B253">
        <v>0.36695</v>
      </c>
      <c r="C253">
        <f t="shared" si="50"/>
        <v>4.76732302945</v>
      </c>
      <c r="D253">
        <v>1.6299999999999999E-2</v>
      </c>
      <c r="E253">
        <v>2.8849251857154604E-3</v>
      </c>
      <c r="F253">
        <f t="shared" si="46"/>
        <v>2598.3501999999999</v>
      </c>
      <c r="G253">
        <f t="shared" si="51"/>
        <v>-0.36695</v>
      </c>
      <c r="H253">
        <f t="shared" si="52"/>
        <v>-953.46460589000003</v>
      </c>
      <c r="I253">
        <v>1</v>
      </c>
      <c r="J253">
        <f t="shared" si="48"/>
        <v>0.95487670516116441</v>
      </c>
      <c r="K253">
        <f t="shared" si="53"/>
        <v>-0.85477515177521746</v>
      </c>
      <c r="L253">
        <v>1</v>
      </c>
      <c r="M253">
        <f t="shared" si="49"/>
        <v>0.5492895835003877</v>
      </c>
      <c r="N253">
        <f t="shared" si="54"/>
        <v>0.21176554129999997</v>
      </c>
      <c r="O253">
        <f t="shared" si="55"/>
        <v>3.7480229666444015E-2</v>
      </c>
      <c r="P253">
        <f t="shared" si="56"/>
        <v>5.6239797308385769E-2</v>
      </c>
    </row>
    <row r="254" spans="1:16" x14ac:dyDescent="0.3">
      <c r="A254">
        <v>13.042159</v>
      </c>
      <c r="B254">
        <v>0.36512</v>
      </c>
      <c r="C254">
        <f t="shared" si="50"/>
        <v>4.7619530940799999</v>
      </c>
      <c r="D254">
        <v>1.6299999999999999E-2</v>
      </c>
      <c r="E254">
        <v>2.8849251857154604E-3</v>
      </c>
      <c r="F254">
        <f t="shared" si="46"/>
        <v>2608.4317999999998</v>
      </c>
      <c r="G254">
        <f t="shared" si="51"/>
        <v>-0.36512</v>
      </c>
      <c r="H254">
        <f t="shared" si="52"/>
        <v>-952.39061881600003</v>
      </c>
      <c r="I254">
        <v>1</v>
      </c>
      <c r="J254">
        <f t="shared" si="48"/>
        <v>0.95874919784428581</v>
      </c>
      <c r="K254">
        <f t="shared" si="53"/>
        <v>-0.85660515177521745</v>
      </c>
      <c r="L254">
        <v>1</v>
      </c>
      <c r="M254">
        <f t="shared" si="49"/>
        <v>0.54947069998317732</v>
      </c>
      <c r="N254">
        <f t="shared" si="54"/>
        <v>0.21258719169999998</v>
      </c>
      <c r="O254">
        <f t="shared" si="55"/>
        <v>3.7625652975205565E-2</v>
      </c>
      <c r="P254">
        <f t="shared" si="56"/>
        <v>5.6921607116834583E-2</v>
      </c>
    </row>
    <row r="255" spans="1:16" x14ac:dyDescent="0.3">
      <c r="A255">
        <v>13.092568000000002</v>
      </c>
      <c r="B255">
        <v>0.36299999999999999</v>
      </c>
      <c r="C255">
        <f t="shared" si="50"/>
        <v>4.7526021840000006</v>
      </c>
      <c r="D255">
        <v>1.6299999999999999E-2</v>
      </c>
      <c r="E255">
        <v>2.8849251857154604E-3</v>
      </c>
      <c r="F255">
        <f t="shared" si="46"/>
        <v>2618.5136000000002</v>
      </c>
      <c r="G255">
        <f t="shared" si="51"/>
        <v>-0.36299999999999999</v>
      </c>
      <c r="H255">
        <f t="shared" si="52"/>
        <v>-950.52043680000008</v>
      </c>
      <c r="I255">
        <v>1</v>
      </c>
      <c r="J255">
        <f t="shared" si="48"/>
        <v>0.9626068285371695</v>
      </c>
      <c r="K255">
        <f t="shared" si="53"/>
        <v>-0.85872515177521747</v>
      </c>
      <c r="L255">
        <v>1</v>
      </c>
      <c r="M255">
        <f t="shared" si="49"/>
        <v>0.54965112137068339</v>
      </c>
      <c r="N255">
        <f t="shared" si="54"/>
        <v>0.21340885840000001</v>
      </c>
      <c r="O255">
        <f t="shared" si="55"/>
        <v>3.7771079168892295E-2</v>
      </c>
      <c r="P255">
        <f t="shared" si="56"/>
        <v>5.7894092835641765E-2</v>
      </c>
    </row>
    <row r="256" spans="1:16" x14ac:dyDescent="0.3">
      <c r="A256">
        <v>13.142978000000001</v>
      </c>
      <c r="B256">
        <v>0.36133999999999999</v>
      </c>
      <c r="C256">
        <f t="shared" si="50"/>
        <v>4.7490836705200001</v>
      </c>
      <c r="D256">
        <v>1.6299999999999999E-2</v>
      </c>
      <c r="E256">
        <v>2.8849251857154604E-3</v>
      </c>
      <c r="F256">
        <f t="shared" si="46"/>
        <v>2628.5956000000001</v>
      </c>
      <c r="G256">
        <f t="shared" si="51"/>
        <v>-0.36133999999999999</v>
      </c>
      <c r="H256">
        <f t="shared" si="52"/>
        <v>-949.81673410400003</v>
      </c>
      <c r="I256">
        <v>1</v>
      </c>
      <c r="J256">
        <f t="shared" si="48"/>
        <v>0.96644971116952083</v>
      </c>
      <c r="K256">
        <f t="shared" si="53"/>
        <v>-0.86038515177521746</v>
      </c>
      <c r="L256">
        <v>1</v>
      </c>
      <c r="M256">
        <f t="shared" si="49"/>
        <v>0.54983085299139856</v>
      </c>
      <c r="N256">
        <f t="shared" si="54"/>
        <v>0.2142305414</v>
      </c>
      <c r="O256">
        <f t="shared" si="55"/>
        <v>3.7916508247504213E-2</v>
      </c>
      <c r="P256">
        <f t="shared" si="56"/>
        <v>5.840724913631469E-2</v>
      </c>
    </row>
    <row r="257" spans="1:16" x14ac:dyDescent="0.3">
      <c r="A257">
        <v>13.193388000000001</v>
      </c>
      <c r="B257">
        <v>0.35937000000000002</v>
      </c>
      <c r="C257">
        <f t="shared" si="50"/>
        <v>4.7413078455600006</v>
      </c>
      <c r="D257">
        <v>1.6299999999999999E-2</v>
      </c>
      <c r="E257">
        <v>2.8849251857154604E-3</v>
      </c>
      <c r="F257">
        <f t="shared" si="46"/>
        <v>2638.6776</v>
      </c>
      <c r="G257">
        <f t="shared" si="51"/>
        <v>-0.35937000000000002</v>
      </c>
      <c r="H257">
        <f t="shared" si="52"/>
        <v>-948.26156911200007</v>
      </c>
      <c r="I257">
        <v>1</v>
      </c>
      <c r="J257">
        <f t="shared" si="48"/>
        <v>0.97027788257044689</v>
      </c>
      <c r="K257">
        <f t="shared" si="53"/>
        <v>-0.86235515177521749</v>
      </c>
      <c r="L257">
        <v>1</v>
      </c>
      <c r="M257">
        <f t="shared" si="49"/>
        <v>0.55000989656781984</v>
      </c>
      <c r="N257">
        <f t="shared" si="54"/>
        <v>0.21505222439999999</v>
      </c>
      <c r="O257">
        <f t="shared" si="55"/>
        <v>3.8061937326116131E-2</v>
      </c>
      <c r="P257">
        <f t="shared" si="56"/>
        <v>5.923109348128152E-2</v>
      </c>
    </row>
    <row r="258" spans="1:16" x14ac:dyDescent="0.3">
      <c r="A258">
        <v>13.244306999999999</v>
      </c>
      <c r="B258">
        <v>0.35746</v>
      </c>
      <c r="C258">
        <f t="shared" si="50"/>
        <v>4.7343099802199999</v>
      </c>
      <c r="D258">
        <v>1.6299999999999999E-2</v>
      </c>
      <c r="E258">
        <v>2.8849251857154604E-3</v>
      </c>
      <c r="F258">
        <f t="shared" si="46"/>
        <v>2648.8613999999998</v>
      </c>
      <c r="G258">
        <f t="shared" si="51"/>
        <v>-0.35746</v>
      </c>
      <c r="H258">
        <f t="shared" si="52"/>
        <v>-946.86199604399997</v>
      </c>
      <c r="I258">
        <v>1</v>
      </c>
      <c r="J258">
        <f t="shared" si="48"/>
        <v>0.97412988729030425</v>
      </c>
      <c r="K258">
        <f t="shared" si="53"/>
        <v>-0.86426515177521746</v>
      </c>
      <c r="L258">
        <v>1</v>
      </c>
      <c r="M258">
        <f t="shared" si="49"/>
        <v>0.55019005482856753</v>
      </c>
      <c r="N258">
        <f t="shared" si="54"/>
        <v>0.21588220409999997</v>
      </c>
      <c r="O258">
        <f t="shared" si="55"/>
        <v>3.8208834831647567E-2</v>
      </c>
      <c r="P258">
        <f t="shared" si="56"/>
        <v>5.9984058015002381E-2</v>
      </c>
    </row>
    <row r="259" spans="1:16" x14ac:dyDescent="0.3">
      <c r="A259">
        <v>13.296750999999999</v>
      </c>
      <c r="B259">
        <v>0.35546</v>
      </c>
      <c r="C259">
        <f t="shared" si="50"/>
        <v>4.7264631104599992</v>
      </c>
      <c r="D259">
        <v>1.6299999999999999E-2</v>
      </c>
      <c r="E259">
        <v>2.8849251857154604E-3</v>
      </c>
      <c r="F259">
        <f t="shared" si="46"/>
        <v>2659.3501999999999</v>
      </c>
      <c r="G259">
        <f t="shared" si="51"/>
        <v>-0.35546</v>
      </c>
      <c r="H259">
        <f t="shared" si="52"/>
        <v>-945.29262209199987</v>
      </c>
      <c r="I259">
        <v>1</v>
      </c>
      <c r="J259">
        <f t="shared" si="48"/>
        <v>0.97808180723670668</v>
      </c>
      <c r="K259">
        <f t="shared" si="53"/>
        <v>-0.86626515177521746</v>
      </c>
      <c r="L259">
        <v>1</v>
      </c>
      <c r="M259">
        <f t="shared" si="49"/>
        <v>0.55037488612446084</v>
      </c>
      <c r="N259">
        <f t="shared" si="54"/>
        <v>0.21673704129999996</v>
      </c>
      <c r="O259">
        <f t="shared" si="55"/>
        <v>3.8360131848087231E-2</v>
      </c>
      <c r="P259">
        <f t="shared" si="56"/>
        <v>6.0793092502669427E-2</v>
      </c>
    </row>
    <row r="260" spans="1:16" x14ac:dyDescent="0.3">
      <c r="A260">
        <v>13.348687999999999</v>
      </c>
      <c r="B260">
        <v>0.35341</v>
      </c>
      <c r="C260">
        <f t="shared" si="50"/>
        <v>4.7175598260799996</v>
      </c>
      <c r="D260">
        <v>1.6299999999999999E-2</v>
      </c>
      <c r="E260">
        <v>2.8849251857154604E-3</v>
      </c>
      <c r="F260">
        <f t="shared" si="46"/>
        <v>2669.7375999999999</v>
      </c>
      <c r="G260">
        <f t="shared" si="51"/>
        <v>-0.35341</v>
      </c>
      <c r="H260">
        <f t="shared" si="52"/>
        <v>-943.51196521599991</v>
      </c>
      <c r="I260">
        <v>1</v>
      </c>
      <c r="J260">
        <f t="shared" si="48"/>
        <v>0.98198019042908424</v>
      </c>
      <c r="K260">
        <f t="shared" si="53"/>
        <v>-0.86831515177521745</v>
      </c>
      <c r="L260">
        <v>1</v>
      </c>
      <c r="M260">
        <f t="shared" si="49"/>
        <v>0.55055721350636833</v>
      </c>
      <c r="N260">
        <f t="shared" si="54"/>
        <v>0.21758361439999996</v>
      </c>
      <c r="O260">
        <f t="shared" si="55"/>
        <v>3.8509966207457738E-2</v>
      </c>
      <c r="P260">
        <f t="shared" si="56"/>
        <v>6.1664357661391431E-2</v>
      </c>
    </row>
    <row r="261" spans="1:16" x14ac:dyDescent="0.3">
      <c r="A261">
        <v>13.401643999999999</v>
      </c>
      <c r="B261">
        <v>0.35141</v>
      </c>
      <c r="C261">
        <f t="shared" si="50"/>
        <v>4.7094717180399996</v>
      </c>
      <c r="D261">
        <v>1.6299999999999999E-2</v>
      </c>
      <c r="E261">
        <v>2.8849251857154604E-3</v>
      </c>
      <c r="F261">
        <f t="shared" ref="F261:F303" si="57">A261*200</f>
        <v>2680.3287999999998</v>
      </c>
      <c r="G261">
        <f t="shared" si="51"/>
        <v>-0.35141</v>
      </c>
      <c r="H261">
        <f t="shared" si="52"/>
        <v>-941.89434360799987</v>
      </c>
      <c r="I261">
        <v>1</v>
      </c>
      <c r="J261">
        <f t="shared" ref="J261:J303" si="58">LN(F261/1000)</f>
        <v>0.98593947356454803</v>
      </c>
      <c r="K261">
        <f t="shared" si="53"/>
        <v>-0.87031515177521745</v>
      </c>
      <c r="L261">
        <v>1</v>
      </c>
      <c r="M261">
        <f t="shared" ref="M261:M303" si="59">-1*($S$4+($S$5*J261))</f>
        <v>0.55074238917861396</v>
      </c>
      <c r="N261">
        <f t="shared" si="54"/>
        <v>0.21844679719999996</v>
      </c>
      <c r="O261">
        <f t="shared" si="55"/>
        <v>3.8662740305592483E-2</v>
      </c>
      <c r="P261">
        <f t="shared" si="56"/>
        <v>6.2463225091011057E-2</v>
      </c>
    </row>
    <row r="262" spans="1:16" x14ac:dyDescent="0.3">
      <c r="A262">
        <v>13.453581</v>
      </c>
      <c r="B262">
        <v>0.34931000000000001</v>
      </c>
      <c r="C262">
        <f t="shared" si="50"/>
        <v>4.6994703791100001</v>
      </c>
      <c r="D262">
        <v>1.6299999999999999E-2</v>
      </c>
      <c r="E262">
        <v>2.8849251857154604E-3</v>
      </c>
      <c r="F262">
        <f t="shared" si="57"/>
        <v>2690.7161999999998</v>
      </c>
      <c r="G262">
        <f t="shared" si="51"/>
        <v>-0.34931000000000001</v>
      </c>
      <c r="H262">
        <f t="shared" si="52"/>
        <v>-939.89407582199999</v>
      </c>
      <c r="I262">
        <v>1</v>
      </c>
      <c r="J262">
        <f t="shared" si="58"/>
        <v>0.98980740352990326</v>
      </c>
      <c r="K262">
        <f t="shared" si="53"/>
        <v>-0.87241515177521745</v>
      </c>
      <c r="L262">
        <v>1</v>
      </c>
      <c r="M262">
        <f t="shared" si="59"/>
        <v>0.55092329226309356</v>
      </c>
      <c r="N262">
        <f t="shared" si="54"/>
        <v>0.21929337029999998</v>
      </c>
      <c r="O262">
        <f t="shared" si="55"/>
        <v>3.881257466496299E-2</v>
      </c>
      <c r="P262">
        <f t="shared" si="56"/>
        <v>6.3385914547160915E-2</v>
      </c>
    </row>
    <row r="263" spans="1:16" x14ac:dyDescent="0.3">
      <c r="A263">
        <v>13.508062000000001</v>
      </c>
      <c r="B263">
        <v>0.34725</v>
      </c>
      <c r="C263">
        <f t="shared" si="50"/>
        <v>4.6906745294999999</v>
      </c>
      <c r="D263">
        <v>1.6299999999999999E-2</v>
      </c>
      <c r="E263">
        <v>2.8849251857154604E-3</v>
      </c>
      <c r="F263">
        <f t="shared" si="57"/>
        <v>2701.6124</v>
      </c>
      <c r="G263">
        <f t="shared" si="51"/>
        <v>-0.34725</v>
      </c>
      <c r="H263">
        <f t="shared" si="52"/>
        <v>-938.13490589999992</v>
      </c>
      <c r="I263">
        <v>1</v>
      </c>
      <c r="J263">
        <f t="shared" si="58"/>
        <v>0.99384877995135557</v>
      </c>
      <c r="K263">
        <f t="shared" si="53"/>
        <v>-0.8744751517752174</v>
      </c>
      <c r="L263">
        <v>1</v>
      </c>
      <c r="M263">
        <f t="shared" si="59"/>
        <v>0.55111230743832496</v>
      </c>
      <c r="N263">
        <f t="shared" si="54"/>
        <v>0.22018141059999999</v>
      </c>
      <c r="O263">
        <f t="shared" si="55"/>
        <v>3.8969748274005955E-2</v>
      </c>
      <c r="P263">
        <f t="shared" si="56"/>
        <v>6.4211685462886497E-2</v>
      </c>
    </row>
    <row r="264" spans="1:16" x14ac:dyDescent="0.3">
      <c r="A264">
        <v>13.562036000000001</v>
      </c>
      <c r="B264">
        <v>0.34509000000000001</v>
      </c>
      <c r="C264">
        <f t="shared" si="50"/>
        <v>4.6801230032400003</v>
      </c>
      <c r="D264">
        <v>1.6299999999999999E-2</v>
      </c>
      <c r="E264">
        <v>2.8849251857154604E-3</v>
      </c>
      <c r="F264">
        <f t="shared" si="57"/>
        <v>2712.4072000000001</v>
      </c>
      <c r="G264">
        <f t="shared" si="51"/>
        <v>-0.34509000000000001</v>
      </c>
      <c r="H264">
        <f t="shared" si="52"/>
        <v>-936.02460064800005</v>
      </c>
      <c r="I264">
        <v>1</v>
      </c>
      <c r="J264">
        <f t="shared" si="58"/>
        <v>0.99783650629976794</v>
      </c>
      <c r="K264">
        <f t="shared" si="53"/>
        <v>-0.87663515177521745</v>
      </c>
      <c r="L264">
        <v>1</v>
      </c>
      <c r="M264">
        <f t="shared" si="59"/>
        <v>0.55129881339964015</v>
      </c>
      <c r="N264">
        <f t="shared" si="54"/>
        <v>0.2210611868</v>
      </c>
      <c r="O264">
        <f t="shared" si="55"/>
        <v>3.9125459225979764E-2</v>
      </c>
      <c r="P264">
        <f t="shared" si="56"/>
        <v>6.5149692349597527E-2</v>
      </c>
    </row>
    <row r="265" spans="1:16" x14ac:dyDescent="0.3">
      <c r="A265">
        <v>13.614482000000001</v>
      </c>
      <c r="B265">
        <v>0.34305000000000002</v>
      </c>
      <c r="C265">
        <f t="shared" si="50"/>
        <v>4.6704480501000001</v>
      </c>
      <c r="D265">
        <v>1.6299999999999999E-2</v>
      </c>
      <c r="E265">
        <v>2.8849251857154604E-3</v>
      </c>
      <c r="F265">
        <f t="shared" si="57"/>
        <v>2722.8964000000001</v>
      </c>
      <c r="G265">
        <f t="shared" si="51"/>
        <v>-0.34305000000000002</v>
      </c>
      <c r="H265">
        <f t="shared" si="52"/>
        <v>-934.08961002000001</v>
      </c>
      <c r="I265">
        <v>1</v>
      </c>
      <c r="J265">
        <f t="shared" si="58"/>
        <v>1.0016961666953512</v>
      </c>
      <c r="K265">
        <f t="shared" si="53"/>
        <v>-0.87867515177521738</v>
      </c>
      <c r="L265">
        <v>1</v>
      </c>
      <c r="M265">
        <f t="shared" si="59"/>
        <v>0.55147932971634162</v>
      </c>
      <c r="N265">
        <f t="shared" si="54"/>
        <v>0.22191605659999999</v>
      </c>
      <c r="O265">
        <f t="shared" si="55"/>
        <v>3.9276762012269796E-2</v>
      </c>
      <c r="P265">
        <f t="shared" si="56"/>
        <v>6.6003003446605979E-2</v>
      </c>
    </row>
    <row r="266" spans="1:16" x14ac:dyDescent="0.3">
      <c r="A266">
        <v>13.667945999999999</v>
      </c>
      <c r="B266">
        <v>0.34072000000000002</v>
      </c>
      <c r="C266">
        <f t="shared" si="50"/>
        <v>4.6569425611200002</v>
      </c>
      <c r="D266">
        <v>1.6299999999999999E-2</v>
      </c>
      <c r="E266">
        <v>2.8849251857154604E-3</v>
      </c>
      <c r="F266">
        <f t="shared" si="57"/>
        <v>2733.5891999999999</v>
      </c>
      <c r="G266">
        <f t="shared" si="51"/>
        <v>-0.34072000000000002</v>
      </c>
      <c r="H266">
        <f t="shared" si="52"/>
        <v>-931.38851222400001</v>
      </c>
      <c r="I266">
        <v>1</v>
      </c>
      <c r="J266">
        <f t="shared" si="58"/>
        <v>1.0056154709770755</v>
      </c>
      <c r="K266">
        <f t="shared" si="53"/>
        <v>-0.88100515177521743</v>
      </c>
      <c r="L266">
        <v>1</v>
      </c>
      <c r="M266">
        <f t="shared" si="59"/>
        <v>0.55166263557759787</v>
      </c>
      <c r="N266">
        <f t="shared" si="54"/>
        <v>0.22278751979999997</v>
      </c>
      <c r="O266">
        <f t="shared" si="55"/>
        <v>3.9431001652398878E-2</v>
      </c>
      <c r="P266">
        <f t="shared" si="56"/>
        <v>6.7123994745220711E-2</v>
      </c>
    </row>
    <row r="267" spans="1:16" x14ac:dyDescent="0.3">
      <c r="A267">
        <v>13.718354999999999</v>
      </c>
      <c r="B267">
        <v>0.33875</v>
      </c>
      <c r="C267">
        <f t="shared" si="50"/>
        <v>4.6470927562499993</v>
      </c>
      <c r="D267">
        <v>1.6299999999999999E-2</v>
      </c>
      <c r="E267">
        <v>2.8849251857154604E-3</v>
      </c>
      <c r="F267">
        <f t="shared" si="57"/>
        <v>2743.6709999999998</v>
      </c>
      <c r="G267">
        <f t="shared" si="51"/>
        <v>-0.33875</v>
      </c>
      <c r="H267">
        <f t="shared" si="52"/>
        <v>-929.41855124999984</v>
      </c>
      <c r="I267">
        <v>1</v>
      </c>
      <c r="J267">
        <f t="shared" si="58"/>
        <v>1.0092968047161202</v>
      </c>
      <c r="K267">
        <f t="shared" si="53"/>
        <v>-0.88297515177521746</v>
      </c>
      <c r="L267">
        <v>1</v>
      </c>
      <c r="M267">
        <f t="shared" si="59"/>
        <v>0.55183481155657299</v>
      </c>
      <c r="N267">
        <f t="shared" si="54"/>
        <v>0.22360918649999997</v>
      </c>
      <c r="O267">
        <f t="shared" si="55"/>
        <v>3.9576427846085609E-2</v>
      </c>
      <c r="P267">
        <f t="shared" si="56"/>
        <v>6.795472587255888E-2</v>
      </c>
    </row>
    <row r="268" spans="1:16" x14ac:dyDescent="0.3">
      <c r="A268">
        <v>13.770292</v>
      </c>
      <c r="B268">
        <v>0.33661000000000002</v>
      </c>
      <c r="C268">
        <f t="shared" si="50"/>
        <v>4.6352179901200001</v>
      </c>
      <c r="D268">
        <v>1.6299999999999999E-2</v>
      </c>
      <c r="E268">
        <v>2.8849251857154604E-3</v>
      </c>
      <c r="F268">
        <f t="shared" si="57"/>
        <v>2754.0583999999999</v>
      </c>
      <c r="G268">
        <f t="shared" si="51"/>
        <v>-0.33661000000000002</v>
      </c>
      <c r="H268">
        <f t="shared" si="52"/>
        <v>-927.04359802400006</v>
      </c>
      <c r="I268">
        <v>1</v>
      </c>
      <c r="J268">
        <f t="shared" si="58"/>
        <v>1.0130756056008741</v>
      </c>
      <c r="K268">
        <f t="shared" si="53"/>
        <v>-0.88511515177521738</v>
      </c>
      <c r="L268">
        <v>1</v>
      </c>
      <c r="M268">
        <f t="shared" si="59"/>
        <v>0.55201154607395286</v>
      </c>
      <c r="N268">
        <f t="shared" si="54"/>
        <v>0.22445575959999997</v>
      </c>
      <c r="O268">
        <f t="shared" si="55"/>
        <v>3.9726262205456116E-2</v>
      </c>
      <c r="P268">
        <f t="shared" si="56"/>
        <v>6.8921583895808436E-2</v>
      </c>
    </row>
    <row r="269" spans="1:16" x14ac:dyDescent="0.3">
      <c r="A269">
        <v>13.822229</v>
      </c>
      <c r="B269">
        <v>0.3347</v>
      </c>
      <c r="C269">
        <f t="shared" si="50"/>
        <v>4.6263000462999999</v>
      </c>
      <c r="D269">
        <v>1.6299999999999999E-2</v>
      </c>
      <c r="E269">
        <v>2.8849251857154604E-3</v>
      </c>
      <c r="F269">
        <f t="shared" si="57"/>
        <v>2764.4458</v>
      </c>
      <c r="G269">
        <f t="shared" si="51"/>
        <v>-0.3347</v>
      </c>
      <c r="H269">
        <f t="shared" si="52"/>
        <v>-925.26000925999995</v>
      </c>
      <c r="I269">
        <v>1</v>
      </c>
      <c r="J269">
        <f t="shared" si="58"/>
        <v>1.0168401808883367</v>
      </c>
      <c r="K269">
        <f t="shared" si="53"/>
        <v>-0.88702515177521746</v>
      </c>
      <c r="L269">
        <v>1</v>
      </c>
      <c r="M269">
        <f t="shared" si="59"/>
        <v>0.55218761526014748</v>
      </c>
      <c r="N269">
        <f t="shared" si="54"/>
        <v>0.22530233269999997</v>
      </c>
      <c r="O269">
        <f t="shared" si="55"/>
        <v>3.9876096564826623E-2</v>
      </c>
      <c r="P269">
        <f t="shared" si="56"/>
        <v>6.9659107250243379E-2</v>
      </c>
    </row>
    <row r="270" spans="1:16" x14ac:dyDescent="0.3">
      <c r="A270">
        <v>13.876201000000002</v>
      </c>
      <c r="B270">
        <v>0.33256000000000002</v>
      </c>
      <c r="C270">
        <f t="shared" si="50"/>
        <v>4.6146694045600007</v>
      </c>
      <c r="D270">
        <v>1.6299999999999999E-2</v>
      </c>
      <c r="E270">
        <v>2.8849251857154604E-3</v>
      </c>
      <c r="F270">
        <f t="shared" si="57"/>
        <v>2775.2402000000002</v>
      </c>
      <c r="G270">
        <f t="shared" si="51"/>
        <v>-0.33256000000000002</v>
      </c>
      <c r="H270">
        <f t="shared" si="52"/>
        <v>-922.93388091200018</v>
      </c>
      <c r="I270">
        <v>1</v>
      </c>
      <c r="J270">
        <f t="shared" si="58"/>
        <v>1.0207373020109807</v>
      </c>
      <c r="K270">
        <f t="shared" si="53"/>
        <v>-0.88916515177521749</v>
      </c>
      <c r="L270">
        <v>1</v>
      </c>
      <c r="M270">
        <f t="shared" si="59"/>
        <v>0.55236988361505357</v>
      </c>
      <c r="N270">
        <f t="shared" si="54"/>
        <v>0.22618207630000001</v>
      </c>
      <c r="O270">
        <f t="shared" si="55"/>
        <v>4.0031801746950063E-2</v>
      </c>
      <c r="P270">
        <f t="shared" si="56"/>
        <v>7.0581390113213849E-2</v>
      </c>
    </row>
    <row r="271" spans="1:16" x14ac:dyDescent="0.3">
      <c r="A271">
        <v>13.928139000000002</v>
      </c>
      <c r="B271">
        <v>0.33024999999999999</v>
      </c>
      <c r="C271">
        <f t="shared" si="50"/>
        <v>4.5997679047500002</v>
      </c>
      <c r="D271">
        <v>1.6299999999999999E-2</v>
      </c>
      <c r="E271">
        <v>2.8849251857154604E-3</v>
      </c>
      <c r="F271">
        <f t="shared" si="57"/>
        <v>2785.6278000000002</v>
      </c>
      <c r="G271">
        <f t="shared" si="51"/>
        <v>-0.33024999999999999</v>
      </c>
      <c r="H271">
        <f t="shared" si="52"/>
        <v>-919.95358095000006</v>
      </c>
      <c r="I271">
        <v>1</v>
      </c>
      <c r="J271">
        <f t="shared" si="58"/>
        <v>1.0244732698785999</v>
      </c>
      <c r="K271">
        <f t="shared" si="53"/>
        <v>-0.89147515177521752</v>
      </c>
      <c r="L271">
        <v>1</v>
      </c>
      <c r="M271">
        <f t="shared" si="59"/>
        <v>0.55254461483222217</v>
      </c>
      <c r="N271">
        <f t="shared" si="54"/>
        <v>0.22702866569999999</v>
      </c>
      <c r="O271">
        <f t="shared" si="55"/>
        <v>4.0181638991245751E-2</v>
      </c>
      <c r="P271">
        <f t="shared" si="56"/>
        <v>7.1720232251749616E-2</v>
      </c>
    </row>
    <row r="272" spans="1:16" x14ac:dyDescent="0.3">
      <c r="A272">
        <v>13.981094000000001</v>
      </c>
      <c r="B272">
        <v>0.32812999999999998</v>
      </c>
      <c r="C272">
        <f t="shared" si="50"/>
        <v>4.5876163742199996</v>
      </c>
      <c r="D272">
        <v>1.6299999999999999E-2</v>
      </c>
      <c r="E272">
        <v>2.8849251857154604E-3</v>
      </c>
      <c r="F272">
        <f t="shared" si="57"/>
        <v>2796.2188000000001</v>
      </c>
      <c r="G272">
        <f t="shared" si="51"/>
        <v>-0.32812999999999998</v>
      </c>
      <c r="H272">
        <f t="shared" si="52"/>
        <v>-917.52327484399996</v>
      </c>
      <c r="I272">
        <v>1</v>
      </c>
      <c r="J272">
        <f t="shared" si="58"/>
        <v>1.0282680759593279</v>
      </c>
      <c r="K272">
        <f t="shared" si="53"/>
        <v>-0.89359515177521742</v>
      </c>
      <c r="L272">
        <v>1</v>
      </c>
      <c r="M272">
        <f t="shared" si="59"/>
        <v>0.55272209791261784</v>
      </c>
      <c r="N272">
        <f t="shared" si="54"/>
        <v>0.22789183219999998</v>
      </c>
      <c r="O272">
        <f t="shared" si="55"/>
        <v>4.0334410204455308E-2</v>
      </c>
      <c r="P272">
        <f t="shared" si="56"/>
        <v>7.2646811458144306E-2</v>
      </c>
    </row>
    <row r="273" spans="1:16" x14ac:dyDescent="0.3">
      <c r="A273">
        <v>14.031503000000001</v>
      </c>
      <c r="B273">
        <v>0.32582</v>
      </c>
      <c r="C273">
        <f t="shared" si="50"/>
        <v>4.5717443074600004</v>
      </c>
      <c r="D273">
        <v>1.6299999999999999E-2</v>
      </c>
      <c r="E273">
        <v>2.8849251857154604E-3</v>
      </c>
      <c r="F273">
        <f t="shared" si="57"/>
        <v>2806.3006</v>
      </c>
      <c r="G273">
        <f t="shared" si="51"/>
        <v>-0.32582</v>
      </c>
      <c r="H273">
        <f t="shared" si="52"/>
        <v>-914.34886149200008</v>
      </c>
      <c r="I273">
        <v>1</v>
      </c>
      <c r="J273">
        <f t="shared" si="58"/>
        <v>1.0318671035262685</v>
      </c>
      <c r="K273">
        <f t="shared" si="53"/>
        <v>-0.89590515177521746</v>
      </c>
      <c r="L273">
        <v>1</v>
      </c>
      <c r="M273">
        <f t="shared" si="59"/>
        <v>0.5528904244319236</v>
      </c>
      <c r="N273">
        <f t="shared" si="54"/>
        <v>0.22871349889999998</v>
      </c>
      <c r="O273">
        <f t="shared" si="55"/>
        <v>4.0479836398142038E-2</v>
      </c>
      <c r="P273">
        <f t="shared" si="56"/>
        <v>7.382139204515184E-2</v>
      </c>
    </row>
    <row r="274" spans="1:16" x14ac:dyDescent="0.3">
      <c r="A274">
        <v>14.081911999999999</v>
      </c>
      <c r="B274">
        <v>0.32368999999999998</v>
      </c>
      <c r="C274">
        <f t="shared" si="50"/>
        <v>4.5581740952799992</v>
      </c>
      <c r="D274">
        <v>1.6299999999999999E-2</v>
      </c>
      <c r="E274">
        <v>2.8849251857154604E-3</v>
      </c>
      <c r="F274">
        <f t="shared" si="57"/>
        <v>2816.3824</v>
      </c>
      <c r="G274">
        <f t="shared" si="51"/>
        <v>-0.32368999999999998</v>
      </c>
      <c r="H274">
        <f t="shared" si="52"/>
        <v>-911.63481905599986</v>
      </c>
      <c r="I274">
        <v>1</v>
      </c>
      <c r="J274">
        <f t="shared" si="58"/>
        <v>1.0354532245309733</v>
      </c>
      <c r="K274">
        <f t="shared" si="53"/>
        <v>-0.89803515177521742</v>
      </c>
      <c r="L274">
        <v>1</v>
      </c>
      <c r="M274">
        <f t="shared" si="59"/>
        <v>0.55305814731131364</v>
      </c>
      <c r="N274">
        <f t="shared" si="54"/>
        <v>0.22953516559999995</v>
      </c>
      <c r="O274">
        <f t="shared" si="55"/>
        <v>4.0625262591828769E-2</v>
      </c>
      <c r="P274">
        <f t="shared" si="56"/>
        <v>7.4816576272075053E-2</v>
      </c>
    </row>
    <row r="275" spans="1:16" x14ac:dyDescent="0.3">
      <c r="A275">
        <v>14.133341</v>
      </c>
      <c r="B275">
        <v>0.3216</v>
      </c>
      <c r="C275">
        <f t="shared" si="50"/>
        <v>4.5452824655999997</v>
      </c>
      <c r="D275">
        <v>1.6299999999999999E-2</v>
      </c>
      <c r="E275">
        <v>2.8849251857154604E-3</v>
      </c>
      <c r="F275">
        <f t="shared" si="57"/>
        <v>2826.6682000000001</v>
      </c>
      <c r="G275">
        <f t="shared" si="51"/>
        <v>-0.3216</v>
      </c>
      <c r="H275">
        <f t="shared" si="52"/>
        <v>-909.05649311999991</v>
      </c>
      <c r="I275">
        <v>1</v>
      </c>
      <c r="J275">
        <f t="shared" si="58"/>
        <v>1.039098703588385</v>
      </c>
      <c r="K275">
        <f t="shared" si="53"/>
        <v>-0.90012515177521746</v>
      </c>
      <c r="L275">
        <v>1</v>
      </c>
      <c r="M275">
        <f t="shared" si="59"/>
        <v>0.55322864636682878</v>
      </c>
      <c r="N275">
        <f t="shared" si="54"/>
        <v>0.23037345829999997</v>
      </c>
      <c r="O275">
        <f t="shared" si="55"/>
        <v>4.0773631409204932E-2</v>
      </c>
      <c r="P275">
        <f t="shared" si="56"/>
        <v>7.5749415699183781E-2</v>
      </c>
    </row>
    <row r="276" spans="1:16" x14ac:dyDescent="0.3">
      <c r="A276">
        <v>14.183749000000001</v>
      </c>
      <c r="B276">
        <v>0.31945000000000001</v>
      </c>
      <c r="C276">
        <f t="shared" ref="C276:C303" si="60">A276*B276</f>
        <v>4.5309986180499999</v>
      </c>
      <c r="D276">
        <v>1.6299999999999999E-2</v>
      </c>
      <c r="E276">
        <v>2.8849251857154604E-3</v>
      </c>
      <c r="F276">
        <f t="shared" si="57"/>
        <v>2836.7498000000001</v>
      </c>
      <c r="G276">
        <f t="shared" ref="G276:G303" si="61">-B276</f>
        <v>-0.31945000000000001</v>
      </c>
      <c r="H276">
        <f t="shared" ref="H276:H303" si="62">-C276*200</f>
        <v>-906.19972360999998</v>
      </c>
      <c r="I276">
        <v>1</v>
      </c>
      <c r="J276">
        <f t="shared" si="58"/>
        <v>1.0426589601857426</v>
      </c>
      <c r="K276">
        <f t="shared" ref="K276:K303" si="63">((-G276)-$N$2)</f>
        <v>-0.90227515177521744</v>
      </c>
      <c r="L276">
        <v>1</v>
      </c>
      <c r="M276">
        <f t="shared" si="59"/>
        <v>0.55339515956788721</v>
      </c>
      <c r="N276">
        <f t="shared" ref="N276:N303" si="64">D276*A276</f>
        <v>0.23119510869999998</v>
      </c>
      <c r="O276">
        <f t="shared" ref="O276:O303" si="65">E276*A276</f>
        <v>4.0919054717966474E-2</v>
      </c>
      <c r="P276">
        <f t="shared" ref="P276:P303" si="66">-K276-M276-N276-O276</f>
        <v>7.6765828789363777E-2</v>
      </c>
    </row>
    <row r="277" spans="1:16" x14ac:dyDescent="0.3">
      <c r="A277">
        <v>14.234667</v>
      </c>
      <c r="B277">
        <v>0.31716</v>
      </c>
      <c r="C277">
        <f t="shared" si="60"/>
        <v>4.5146669857199999</v>
      </c>
      <c r="D277">
        <v>1.6299999999999999E-2</v>
      </c>
      <c r="E277">
        <v>2.8849251857154604E-3</v>
      </c>
      <c r="F277">
        <f t="shared" si="57"/>
        <v>2846.9333999999999</v>
      </c>
      <c r="G277">
        <f t="shared" si="61"/>
        <v>-0.31716</v>
      </c>
      <c r="H277">
        <f t="shared" si="62"/>
        <v>-902.93339714399997</v>
      </c>
      <c r="I277">
        <v>1</v>
      </c>
      <c r="J277">
        <f t="shared" si="58"/>
        <v>1.046242414976968</v>
      </c>
      <c r="K277">
        <f t="shared" si="63"/>
        <v>-0.90456515177521746</v>
      </c>
      <c r="L277">
        <v>1</v>
      </c>
      <c r="M277">
        <f t="shared" si="59"/>
        <v>0.55356275774847286</v>
      </c>
      <c r="N277">
        <f t="shared" si="64"/>
        <v>0.23202507209999998</v>
      </c>
      <c r="O277">
        <f t="shared" si="65"/>
        <v>4.1065949338572737E-2</v>
      </c>
      <c r="P277">
        <f t="shared" si="66"/>
        <v>7.7911372588171879E-2</v>
      </c>
    </row>
    <row r="278" spans="1:16" x14ac:dyDescent="0.3">
      <c r="A278">
        <v>14.286096000000001</v>
      </c>
      <c r="B278">
        <v>0.31523000000000001</v>
      </c>
      <c r="C278">
        <f t="shared" si="60"/>
        <v>4.5034060420799999</v>
      </c>
      <c r="D278">
        <v>1.6299999999999999E-2</v>
      </c>
      <c r="E278">
        <v>2.8849251857154604E-3</v>
      </c>
      <c r="F278">
        <f t="shared" si="57"/>
        <v>2857.2192</v>
      </c>
      <c r="G278">
        <f t="shared" si="61"/>
        <v>-0.31523000000000001</v>
      </c>
      <c r="H278">
        <f t="shared" si="62"/>
        <v>-900.681208416</v>
      </c>
      <c r="I278">
        <v>1</v>
      </c>
      <c r="J278">
        <f t="shared" si="58"/>
        <v>1.0498488441417049</v>
      </c>
      <c r="K278">
        <f t="shared" si="63"/>
        <v>-0.90649515177521744</v>
      </c>
      <c r="L278">
        <v>1</v>
      </c>
      <c r="M278">
        <f t="shared" si="59"/>
        <v>0.55373143044050754</v>
      </c>
      <c r="N278">
        <f t="shared" si="64"/>
        <v>0.2328633648</v>
      </c>
      <c r="O278">
        <f t="shared" si="65"/>
        <v>4.1214318155948899E-2</v>
      </c>
      <c r="P278">
        <f t="shared" si="66"/>
        <v>7.8686038378761008E-2</v>
      </c>
    </row>
    <row r="279" spans="1:16" x14ac:dyDescent="0.3">
      <c r="A279">
        <v>14.337014</v>
      </c>
      <c r="B279">
        <v>0.31274000000000002</v>
      </c>
      <c r="C279">
        <f t="shared" si="60"/>
        <v>4.4837577583600003</v>
      </c>
      <c r="D279">
        <v>1.6299999999999999E-2</v>
      </c>
      <c r="E279">
        <v>2.8849251857154604E-3</v>
      </c>
      <c r="F279">
        <f t="shared" si="57"/>
        <v>2867.4027999999998</v>
      </c>
      <c r="G279">
        <f t="shared" si="61"/>
        <v>-0.31274000000000002</v>
      </c>
      <c r="H279">
        <f t="shared" si="62"/>
        <v>-896.75155167200012</v>
      </c>
      <c r="I279">
        <v>1</v>
      </c>
      <c r="J279">
        <f t="shared" si="58"/>
        <v>1.0534066723239388</v>
      </c>
      <c r="K279">
        <f t="shared" si="63"/>
        <v>-0.90898515177521744</v>
      </c>
      <c r="L279">
        <v>1</v>
      </c>
      <c r="M279">
        <f t="shared" si="59"/>
        <v>0.55389783006459059</v>
      </c>
      <c r="N279">
        <f t="shared" si="64"/>
        <v>0.23369332819999997</v>
      </c>
      <c r="O279">
        <f t="shared" si="65"/>
        <v>4.1361212776555155E-2</v>
      </c>
      <c r="P279">
        <f t="shared" si="66"/>
        <v>8.0032780734071718E-2</v>
      </c>
    </row>
    <row r="280" spans="1:16" x14ac:dyDescent="0.3">
      <c r="A280">
        <v>14.389457999999999</v>
      </c>
      <c r="B280">
        <v>0.31061</v>
      </c>
      <c r="C280">
        <f t="shared" si="60"/>
        <v>4.4695095493799997</v>
      </c>
      <c r="D280">
        <v>1.6299999999999999E-2</v>
      </c>
      <c r="E280">
        <v>2.8849251857154604E-3</v>
      </c>
      <c r="F280">
        <f t="shared" si="57"/>
        <v>2877.8915999999999</v>
      </c>
      <c r="G280">
        <f t="shared" si="61"/>
        <v>-0.31061</v>
      </c>
      <c r="H280">
        <f t="shared" si="62"/>
        <v>-893.90190987599999</v>
      </c>
      <c r="I280">
        <v>1</v>
      </c>
      <c r="J280">
        <f t="shared" si="58"/>
        <v>1.0570579427106601</v>
      </c>
      <c r="K280">
        <f t="shared" si="63"/>
        <v>-0.9111151517752174</v>
      </c>
      <c r="L280">
        <v>1</v>
      </c>
      <c r="M280">
        <f t="shared" si="59"/>
        <v>0.55406859998057756</v>
      </c>
      <c r="N280">
        <f t="shared" si="64"/>
        <v>0.23454816539999998</v>
      </c>
      <c r="O280">
        <f t="shared" si="65"/>
        <v>4.1512509792994812E-2</v>
      </c>
      <c r="P280">
        <f t="shared" si="66"/>
        <v>8.0985876601645052E-2</v>
      </c>
    </row>
    <row r="281" spans="1:16" x14ac:dyDescent="0.3">
      <c r="A281">
        <v>14.442414000000001</v>
      </c>
      <c r="B281">
        <v>0.30812</v>
      </c>
      <c r="C281">
        <f t="shared" si="60"/>
        <v>4.4499966016800006</v>
      </c>
      <c r="D281">
        <v>1.6299999999999999E-2</v>
      </c>
      <c r="E281">
        <v>2.8849251857154604E-3</v>
      </c>
      <c r="F281">
        <f t="shared" si="57"/>
        <v>2888.4828000000002</v>
      </c>
      <c r="G281">
        <f t="shared" si="61"/>
        <v>-0.30812</v>
      </c>
      <c r="H281">
        <f t="shared" si="62"/>
        <v>-889.9993203360001</v>
      </c>
      <c r="I281">
        <v>1</v>
      </c>
      <c r="J281">
        <f t="shared" si="58"/>
        <v>1.0607313815737132</v>
      </c>
      <c r="K281">
        <f t="shared" si="63"/>
        <v>-0.91360515177521751</v>
      </c>
      <c r="L281">
        <v>1</v>
      </c>
      <c r="M281">
        <f t="shared" si="59"/>
        <v>0.55424040671620256</v>
      </c>
      <c r="N281">
        <f t="shared" si="64"/>
        <v>0.23541134820000001</v>
      </c>
      <c r="O281">
        <f t="shared" si="65"/>
        <v>4.166528389112957E-2</v>
      </c>
      <c r="P281">
        <f t="shared" si="66"/>
        <v>8.2288112967885366E-2</v>
      </c>
    </row>
    <row r="282" spans="1:16" x14ac:dyDescent="0.3">
      <c r="A282">
        <v>14.492823000000001</v>
      </c>
      <c r="B282">
        <v>0.30586999999999998</v>
      </c>
      <c r="C282">
        <f t="shared" si="60"/>
        <v>4.4329197710099999</v>
      </c>
      <c r="D282">
        <v>1.6299999999999999E-2</v>
      </c>
      <c r="E282">
        <v>2.8849251857154604E-3</v>
      </c>
      <c r="F282">
        <f t="shared" si="57"/>
        <v>2898.5646000000002</v>
      </c>
      <c r="G282">
        <f t="shared" si="61"/>
        <v>-0.30586999999999998</v>
      </c>
      <c r="H282">
        <f t="shared" si="62"/>
        <v>-886.58395420199997</v>
      </c>
      <c r="I282">
        <v>1</v>
      </c>
      <c r="J282">
        <f t="shared" si="58"/>
        <v>1.0642156489393197</v>
      </c>
      <c r="K282">
        <f t="shared" si="63"/>
        <v>-0.91585515177521748</v>
      </c>
      <c r="L282">
        <v>1</v>
      </c>
      <c r="M282">
        <f t="shared" si="59"/>
        <v>0.55440336590089201</v>
      </c>
      <c r="N282">
        <f t="shared" si="64"/>
        <v>0.23623301490000001</v>
      </c>
      <c r="O282">
        <f t="shared" si="65"/>
        <v>4.1810710084816301E-2</v>
      </c>
      <c r="P282">
        <f t="shared" si="66"/>
        <v>8.3408060889509167E-2</v>
      </c>
    </row>
    <row r="283" spans="1:16" x14ac:dyDescent="0.3">
      <c r="A283">
        <v>14.547814000000001</v>
      </c>
      <c r="B283">
        <v>0.30349999999999999</v>
      </c>
      <c r="C283">
        <f t="shared" si="60"/>
        <v>4.4152615490000002</v>
      </c>
      <c r="D283">
        <v>1.6299999999999999E-2</v>
      </c>
      <c r="E283">
        <v>2.8849251857154604E-3</v>
      </c>
      <c r="F283">
        <f t="shared" si="57"/>
        <v>2909.5628000000002</v>
      </c>
      <c r="G283">
        <f t="shared" si="61"/>
        <v>-0.30349999999999999</v>
      </c>
      <c r="H283">
        <f t="shared" si="62"/>
        <v>-883.0523098000001</v>
      </c>
      <c r="I283">
        <v>1</v>
      </c>
      <c r="J283">
        <f t="shared" si="58"/>
        <v>1.0680028293463311</v>
      </c>
      <c r="K283">
        <f t="shared" si="63"/>
        <v>-0.91822515177521746</v>
      </c>
      <c r="L283">
        <v>1</v>
      </c>
      <c r="M283">
        <f t="shared" si="59"/>
        <v>0.55458049232852791</v>
      </c>
      <c r="N283">
        <f t="shared" si="64"/>
        <v>0.2371293682</v>
      </c>
      <c r="O283">
        <f t="shared" si="65"/>
        <v>4.1969355005703979E-2</v>
      </c>
      <c r="P283">
        <f t="shared" si="66"/>
        <v>8.4545936240985581E-2</v>
      </c>
    </row>
    <row r="284" spans="1:16" x14ac:dyDescent="0.3">
      <c r="A284">
        <v>14.599243</v>
      </c>
      <c r="B284">
        <v>0.30119000000000001</v>
      </c>
      <c r="C284">
        <f t="shared" si="60"/>
        <v>4.3971459991700002</v>
      </c>
      <c r="D284">
        <v>1.6299999999999999E-2</v>
      </c>
      <c r="E284">
        <v>2.8849251857154604E-3</v>
      </c>
      <c r="F284">
        <f t="shared" si="57"/>
        <v>2919.8485999999998</v>
      </c>
      <c r="G284">
        <f t="shared" si="61"/>
        <v>-0.30119000000000001</v>
      </c>
      <c r="H284">
        <f t="shared" si="62"/>
        <v>-879.42919983399997</v>
      </c>
      <c r="I284">
        <v>1</v>
      </c>
      <c r="J284">
        <f t="shared" si="58"/>
        <v>1.0715317656208996</v>
      </c>
      <c r="K284">
        <f t="shared" si="63"/>
        <v>-0.92053515177521739</v>
      </c>
      <c r="L284">
        <v>1</v>
      </c>
      <c r="M284">
        <f t="shared" si="59"/>
        <v>0.55474554067808945</v>
      </c>
      <c r="N284">
        <f t="shared" si="64"/>
        <v>0.23796766089999996</v>
      </c>
      <c r="O284">
        <f t="shared" si="65"/>
        <v>4.2117723823080135E-2</v>
      </c>
      <c r="P284">
        <f t="shared" si="66"/>
        <v>8.5704226374047843E-2</v>
      </c>
    </row>
    <row r="285" spans="1:16" x14ac:dyDescent="0.3">
      <c r="A285">
        <v>14.652706999999999</v>
      </c>
      <c r="B285">
        <v>0.29870999999999998</v>
      </c>
      <c r="C285">
        <f t="shared" si="60"/>
        <v>4.3769101079699997</v>
      </c>
      <c r="D285">
        <v>1.6299999999999999E-2</v>
      </c>
      <c r="E285">
        <v>2.8849251857154604E-3</v>
      </c>
      <c r="F285">
        <f t="shared" si="57"/>
        <v>2930.5414000000001</v>
      </c>
      <c r="G285">
        <f t="shared" si="61"/>
        <v>-0.29870999999999998</v>
      </c>
      <c r="H285">
        <f t="shared" si="62"/>
        <v>-875.38202159399998</v>
      </c>
      <c r="I285">
        <v>1</v>
      </c>
      <c r="J285">
        <f t="shared" si="58"/>
        <v>1.0751871841165916</v>
      </c>
      <c r="K285">
        <f t="shared" si="63"/>
        <v>-0.92301515177521742</v>
      </c>
      <c r="L285">
        <v>1</v>
      </c>
      <c r="M285">
        <f t="shared" si="59"/>
        <v>0.55491650460113306</v>
      </c>
      <c r="N285">
        <f t="shared" si="64"/>
        <v>0.23883912409999997</v>
      </c>
      <c r="O285">
        <f t="shared" si="65"/>
        <v>4.2271963463209224E-2</v>
      </c>
      <c r="P285">
        <f t="shared" si="66"/>
        <v>8.6987559610875176E-2</v>
      </c>
    </row>
    <row r="286" spans="1:16" x14ac:dyDescent="0.3">
      <c r="A286">
        <v>14.704134</v>
      </c>
      <c r="B286">
        <v>0.29622999999999999</v>
      </c>
      <c r="C286">
        <f t="shared" si="60"/>
        <v>4.3558056148199995</v>
      </c>
      <c r="D286">
        <v>1.6299999999999999E-2</v>
      </c>
      <c r="E286">
        <v>2.8849251857154604E-3</v>
      </c>
      <c r="F286">
        <f t="shared" si="57"/>
        <v>2940.8267999999998</v>
      </c>
      <c r="G286">
        <f t="shared" si="61"/>
        <v>-0.29622999999999999</v>
      </c>
      <c r="H286">
        <f t="shared" si="62"/>
        <v>-871.1611229639999</v>
      </c>
      <c r="I286">
        <v>1</v>
      </c>
      <c r="J286">
        <f t="shared" si="58"/>
        <v>1.0786907663041916</v>
      </c>
      <c r="K286">
        <f t="shared" si="63"/>
        <v>-0.92549515177521746</v>
      </c>
      <c r="L286">
        <v>1</v>
      </c>
      <c r="M286">
        <f t="shared" si="59"/>
        <v>0.55508036714004705</v>
      </c>
      <c r="N286">
        <f t="shared" si="64"/>
        <v>0.23967738419999998</v>
      </c>
      <c r="O286">
        <f t="shared" si="65"/>
        <v>4.2420326510735011E-2</v>
      </c>
      <c r="P286">
        <f t="shared" si="66"/>
        <v>8.8317073924435413E-2</v>
      </c>
    </row>
    <row r="287" spans="1:16" x14ac:dyDescent="0.3">
      <c r="A287">
        <v>14.754543000000002</v>
      </c>
      <c r="B287">
        <v>0.29376999999999998</v>
      </c>
      <c r="C287">
        <f t="shared" si="60"/>
        <v>4.3344420971100002</v>
      </c>
      <c r="D287">
        <v>1.6299999999999999E-2</v>
      </c>
      <c r="E287">
        <v>2.8849251857154604E-3</v>
      </c>
      <c r="F287">
        <f t="shared" si="57"/>
        <v>2950.9086000000002</v>
      </c>
      <c r="G287">
        <f t="shared" si="61"/>
        <v>-0.29376999999999998</v>
      </c>
      <c r="H287">
        <f t="shared" si="62"/>
        <v>-866.88841942200008</v>
      </c>
      <c r="I287">
        <v>1</v>
      </c>
      <c r="J287">
        <f t="shared" si="58"/>
        <v>1.0821131229294656</v>
      </c>
      <c r="K287">
        <f t="shared" si="63"/>
        <v>-0.92795515177521748</v>
      </c>
      <c r="L287">
        <v>1</v>
      </c>
      <c r="M287">
        <f t="shared" si="59"/>
        <v>0.5552404307594111</v>
      </c>
      <c r="N287">
        <f t="shared" si="64"/>
        <v>0.24049905090000001</v>
      </c>
      <c r="O287">
        <f t="shared" si="65"/>
        <v>4.2565752704421748E-2</v>
      </c>
      <c r="P287">
        <f t="shared" si="66"/>
        <v>8.9649917411384616E-2</v>
      </c>
    </row>
    <row r="288" spans="1:16" x14ac:dyDescent="0.3">
      <c r="A288">
        <v>14.805462</v>
      </c>
      <c r="B288">
        <v>0.29146</v>
      </c>
      <c r="C288">
        <f t="shared" si="60"/>
        <v>4.3151999545199997</v>
      </c>
      <c r="D288">
        <v>1.6299999999999999E-2</v>
      </c>
      <c r="E288">
        <v>2.8849251857154604E-3</v>
      </c>
      <c r="F288">
        <f t="shared" si="57"/>
        <v>2961.0924</v>
      </c>
      <c r="G288">
        <f t="shared" si="61"/>
        <v>-0.29146</v>
      </c>
      <c r="H288">
        <f t="shared" si="62"/>
        <v>-863.03999090399998</v>
      </c>
      <c r="I288">
        <v>1</v>
      </c>
      <c r="J288">
        <f t="shared" si="58"/>
        <v>1.0855582543063262</v>
      </c>
      <c r="K288">
        <f t="shared" si="63"/>
        <v>-0.9302651517752174</v>
      </c>
      <c r="L288">
        <v>1</v>
      </c>
      <c r="M288">
        <f t="shared" si="59"/>
        <v>0.55540155955390691</v>
      </c>
      <c r="N288">
        <f t="shared" si="64"/>
        <v>0.24132903059999999</v>
      </c>
      <c r="O288">
        <f t="shared" si="65"/>
        <v>4.2712650209953192E-2</v>
      </c>
      <c r="P288">
        <f t="shared" si="66"/>
        <v>9.0821911411357314E-2</v>
      </c>
    </row>
    <row r="289" spans="1:16" x14ac:dyDescent="0.3">
      <c r="A289">
        <v>14.860453999999999</v>
      </c>
      <c r="B289">
        <v>0.28909000000000001</v>
      </c>
      <c r="C289">
        <f t="shared" si="60"/>
        <v>4.2960086468599998</v>
      </c>
      <c r="D289">
        <v>1.6299999999999999E-2</v>
      </c>
      <c r="E289">
        <v>2.8849251857154604E-3</v>
      </c>
      <c r="F289">
        <f t="shared" si="57"/>
        <v>2972.0907999999999</v>
      </c>
      <c r="G289">
        <f t="shared" si="61"/>
        <v>-0.28909000000000001</v>
      </c>
      <c r="H289">
        <f t="shared" si="62"/>
        <v>-859.20172937199993</v>
      </c>
      <c r="I289">
        <v>1</v>
      </c>
      <c r="J289">
        <f t="shared" si="58"/>
        <v>1.0892656782057739</v>
      </c>
      <c r="K289">
        <f t="shared" si="63"/>
        <v>-0.93263515177521739</v>
      </c>
      <c r="L289">
        <v>1</v>
      </c>
      <c r="M289">
        <f t="shared" si="59"/>
        <v>0.55557495576968408</v>
      </c>
      <c r="N289">
        <f t="shared" si="64"/>
        <v>0.24222540019999997</v>
      </c>
      <c r="O289">
        <f t="shared" si="65"/>
        <v>4.287129801576605E-2</v>
      </c>
      <c r="P289">
        <f t="shared" si="66"/>
        <v>9.1963497789767285E-2</v>
      </c>
    </row>
    <row r="290" spans="1:16" x14ac:dyDescent="0.3">
      <c r="A290">
        <v>14.912392000000001</v>
      </c>
      <c r="B290">
        <v>0.28623999999999999</v>
      </c>
      <c r="C290">
        <f t="shared" si="60"/>
        <v>4.2685230860800001</v>
      </c>
      <c r="D290">
        <v>1.6299999999999999E-2</v>
      </c>
      <c r="E290">
        <v>2.8849251857154604E-3</v>
      </c>
      <c r="F290">
        <f t="shared" si="57"/>
        <v>2982.4784</v>
      </c>
      <c r="G290">
        <f t="shared" si="61"/>
        <v>-0.28623999999999999</v>
      </c>
      <c r="H290">
        <f t="shared" si="62"/>
        <v>-853.70461721599997</v>
      </c>
      <c r="I290">
        <v>1</v>
      </c>
      <c r="J290">
        <f t="shared" si="58"/>
        <v>1.0927546327172712</v>
      </c>
      <c r="K290">
        <f t="shared" si="63"/>
        <v>-0.93548515177521741</v>
      </c>
      <c r="L290">
        <v>1</v>
      </c>
      <c r="M290">
        <f t="shared" si="59"/>
        <v>0.55573813417218676</v>
      </c>
      <c r="N290">
        <f t="shared" si="64"/>
        <v>0.24307198959999998</v>
      </c>
      <c r="O290">
        <f t="shared" si="65"/>
        <v>4.3021135260061745E-2</v>
      </c>
      <c r="P290">
        <f t="shared" si="66"/>
        <v>9.3653892742968925E-2</v>
      </c>
    </row>
    <row r="291" spans="1:16" x14ac:dyDescent="0.3">
      <c r="A291">
        <v>14.963816</v>
      </c>
      <c r="B291">
        <v>0.28386</v>
      </c>
      <c r="C291">
        <f t="shared" si="60"/>
        <v>4.2476288097600001</v>
      </c>
      <c r="D291">
        <v>1.6299999999999999E-2</v>
      </c>
      <c r="E291">
        <v>2.8849251857154604E-3</v>
      </c>
      <c r="F291">
        <f t="shared" si="57"/>
        <v>2992.7631999999999</v>
      </c>
      <c r="G291">
        <f t="shared" si="61"/>
        <v>-0.28386</v>
      </c>
      <c r="H291">
        <f t="shared" si="62"/>
        <v>-849.52576195200004</v>
      </c>
      <c r="I291">
        <v>1</v>
      </c>
      <c r="J291">
        <f t="shared" si="58"/>
        <v>1.096197107798708</v>
      </c>
      <c r="K291">
        <f t="shared" si="63"/>
        <v>-0.93786515177521745</v>
      </c>
      <c r="L291">
        <v>1</v>
      </c>
      <c r="M291">
        <f t="shared" si="59"/>
        <v>0.55589913873174557</v>
      </c>
      <c r="N291">
        <f t="shared" si="64"/>
        <v>0.24391020079999998</v>
      </c>
      <c r="O291">
        <f t="shared" si="65"/>
        <v>4.3169489652811976E-2</v>
      </c>
      <c r="P291">
        <f t="shared" si="66"/>
        <v>9.4886322590659933E-2</v>
      </c>
    </row>
    <row r="292" spans="1:16" x14ac:dyDescent="0.3">
      <c r="A292">
        <v>15.015245</v>
      </c>
      <c r="B292">
        <v>0.28140999999999999</v>
      </c>
      <c r="C292">
        <f t="shared" si="60"/>
        <v>4.2254400954499998</v>
      </c>
      <c r="D292">
        <v>1.6299999999999999E-2</v>
      </c>
      <c r="E292">
        <v>2.8849251857154604E-3</v>
      </c>
      <c r="F292">
        <f t="shared" si="57"/>
        <v>3003.049</v>
      </c>
      <c r="G292">
        <f t="shared" si="61"/>
        <v>-0.28140999999999999</v>
      </c>
      <c r="H292">
        <f t="shared" si="62"/>
        <v>-845.08801908999999</v>
      </c>
      <c r="I292">
        <v>1</v>
      </c>
      <c r="J292">
        <f t="shared" si="58"/>
        <v>1.0996281058843891</v>
      </c>
      <c r="K292">
        <f t="shared" si="63"/>
        <v>-0.94031515177521752</v>
      </c>
      <c r="L292">
        <v>1</v>
      </c>
      <c r="M292">
        <f t="shared" si="59"/>
        <v>0.55605960651221287</v>
      </c>
      <c r="N292">
        <f t="shared" si="64"/>
        <v>0.24474849349999997</v>
      </c>
      <c r="O292">
        <f t="shared" si="65"/>
        <v>4.3317858470188139E-2</v>
      </c>
      <c r="P292">
        <f t="shared" si="66"/>
        <v>9.6189193292816541E-2</v>
      </c>
    </row>
    <row r="293" spans="1:16" x14ac:dyDescent="0.3">
      <c r="A293">
        <v>15.066163</v>
      </c>
      <c r="B293">
        <v>0.27873999999999999</v>
      </c>
      <c r="C293">
        <f t="shared" si="60"/>
        <v>4.1995422746199997</v>
      </c>
      <c r="D293">
        <v>1.6299999999999999E-2</v>
      </c>
      <c r="E293">
        <v>2.8849251857154604E-3</v>
      </c>
      <c r="F293">
        <f t="shared" si="57"/>
        <v>3013.2325999999998</v>
      </c>
      <c r="G293">
        <f t="shared" si="61"/>
        <v>-0.27873999999999999</v>
      </c>
      <c r="H293">
        <f t="shared" si="62"/>
        <v>-839.9084549239999</v>
      </c>
      <c r="I293">
        <v>1</v>
      </c>
      <c r="J293">
        <f t="shared" si="58"/>
        <v>1.1030134559736673</v>
      </c>
      <c r="K293">
        <f t="shared" si="63"/>
        <v>-0.94298515177521747</v>
      </c>
      <c r="L293">
        <v>1</v>
      </c>
      <c r="M293">
        <f t="shared" si="59"/>
        <v>0.55621793933588848</v>
      </c>
      <c r="N293">
        <f t="shared" si="64"/>
        <v>0.24557845689999996</v>
      </c>
      <c r="O293">
        <f t="shared" si="65"/>
        <v>4.3464753090794395E-2</v>
      </c>
      <c r="P293">
        <f t="shared" si="66"/>
        <v>9.772400244853463E-2</v>
      </c>
    </row>
    <row r="294" spans="1:16" x14ac:dyDescent="0.3">
      <c r="A294">
        <v>15.119627000000001</v>
      </c>
      <c r="B294">
        <v>0.27616000000000002</v>
      </c>
      <c r="C294">
        <f t="shared" si="60"/>
        <v>4.1754361923200003</v>
      </c>
      <c r="D294">
        <v>1.6299999999999999E-2</v>
      </c>
      <c r="E294">
        <v>2.8849251857154604E-3</v>
      </c>
      <c r="F294">
        <f t="shared" si="57"/>
        <v>3023.9254000000001</v>
      </c>
      <c r="G294">
        <f t="shared" si="61"/>
        <v>-0.27616000000000002</v>
      </c>
      <c r="H294">
        <f t="shared" si="62"/>
        <v>-835.08723846400005</v>
      </c>
      <c r="I294">
        <v>1</v>
      </c>
      <c r="J294">
        <f t="shared" si="58"/>
        <v>1.1065557887008248</v>
      </c>
      <c r="K294">
        <f t="shared" si="63"/>
        <v>-0.94556515177521749</v>
      </c>
      <c r="L294">
        <v>1</v>
      </c>
      <c r="M294">
        <f t="shared" si="59"/>
        <v>0.55638361423753757</v>
      </c>
      <c r="N294">
        <f t="shared" si="64"/>
        <v>0.2464499201</v>
      </c>
      <c r="O294">
        <f t="shared" si="65"/>
        <v>4.3618992730923491E-2</v>
      </c>
      <c r="P294">
        <f t="shared" si="66"/>
        <v>9.9112624706756441E-2</v>
      </c>
    </row>
    <row r="295" spans="1:16" x14ac:dyDescent="0.3">
      <c r="A295">
        <v>15.172582999999999</v>
      </c>
      <c r="B295">
        <v>0.27359</v>
      </c>
      <c r="C295">
        <f t="shared" si="60"/>
        <v>4.1510669829699998</v>
      </c>
      <c r="D295">
        <v>1.6299999999999999E-2</v>
      </c>
      <c r="E295">
        <v>2.8849251857154604E-3</v>
      </c>
      <c r="F295">
        <f t="shared" si="57"/>
        <v>3034.5165999999999</v>
      </c>
      <c r="G295">
        <f t="shared" si="61"/>
        <v>-0.27359</v>
      </c>
      <c r="H295">
        <f t="shared" si="62"/>
        <v>-830.21339659399996</v>
      </c>
      <c r="I295">
        <v>1</v>
      </c>
      <c r="J295">
        <f t="shared" si="58"/>
        <v>1.1100521367022735</v>
      </c>
      <c r="K295">
        <f t="shared" si="63"/>
        <v>-0.94813515177521746</v>
      </c>
      <c r="L295">
        <v>1</v>
      </c>
      <c r="M295">
        <f t="shared" si="59"/>
        <v>0.5565471384335654</v>
      </c>
      <c r="N295">
        <f t="shared" si="64"/>
        <v>0.24731310289999997</v>
      </c>
      <c r="O295">
        <f t="shared" si="65"/>
        <v>4.3771766829058235E-2</v>
      </c>
      <c r="P295">
        <f t="shared" si="66"/>
        <v>0.10050314361259385</v>
      </c>
    </row>
    <row r="296" spans="1:16" x14ac:dyDescent="0.3">
      <c r="A296">
        <v>15.224012</v>
      </c>
      <c r="B296">
        <v>0.27078000000000002</v>
      </c>
      <c r="C296">
        <f t="shared" si="60"/>
        <v>4.1223579693600003</v>
      </c>
      <c r="D296">
        <v>1.6299999999999999E-2</v>
      </c>
      <c r="E296">
        <v>2.8849251857154604E-3</v>
      </c>
      <c r="F296">
        <f t="shared" si="57"/>
        <v>3044.8024</v>
      </c>
      <c r="G296">
        <f t="shared" si="61"/>
        <v>-0.27078000000000002</v>
      </c>
      <c r="H296">
        <f t="shared" si="62"/>
        <v>-824.47159387200008</v>
      </c>
      <c r="I296">
        <v>1</v>
      </c>
      <c r="J296">
        <f t="shared" si="58"/>
        <v>1.1134360057885493</v>
      </c>
      <c r="K296">
        <f t="shared" si="63"/>
        <v>-0.95094515177521743</v>
      </c>
      <c r="L296">
        <v>1</v>
      </c>
      <c r="M296">
        <f t="shared" si="59"/>
        <v>0.55670540199073049</v>
      </c>
      <c r="N296">
        <f t="shared" si="64"/>
        <v>0.24815139559999999</v>
      </c>
      <c r="O296">
        <f t="shared" si="65"/>
        <v>4.3920135646434398E-2</v>
      </c>
      <c r="P296">
        <f t="shared" si="66"/>
        <v>0.10216821853805255</v>
      </c>
    </row>
    <row r="297" spans="1:16" x14ac:dyDescent="0.3">
      <c r="A297">
        <v>15.274929999999999</v>
      </c>
      <c r="B297">
        <v>0.26812000000000002</v>
      </c>
      <c r="C297">
        <f t="shared" si="60"/>
        <v>4.0955142316000002</v>
      </c>
      <c r="D297">
        <v>1.6299999999999999E-2</v>
      </c>
      <c r="E297">
        <v>2.8849251857154604E-3</v>
      </c>
      <c r="F297">
        <f t="shared" si="57"/>
        <v>3054.9859999999999</v>
      </c>
      <c r="G297">
        <f t="shared" si="61"/>
        <v>-0.26812000000000002</v>
      </c>
      <c r="H297">
        <f t="shared" si="62"/>
        <v>-819.10284632000003</v>
      </c>
      <c r="I297">
        <v>1</v>
      </c>
      <c r="J297">
        <f t="shared" si="58"/>
        <v>1.1167750099616671</v>
      </c>
      <c r="K297">
        <f t="shared" si="63"/>
        <v>-0.95360515177521743</v>
      </c>
      <c r="L297">
        <v>1</v>
      </c>
      <c r="M297">
        <f t="shared" si="59"/>
        <v>0.55686156721590718</v>
      </c>
      <c r="N297">
        <f t="shared" si="64"/>
        <v>0.24898135899999996</v>
      </c>
      <c r="O297">
        <f t="shared" si="65"/>
        <v>4.4067030267040654E-2</v>
      </c>
      <c r="P297">
        <f t="shared" si="66"/>
        <v>0.10369519529226964</v>
      </c>
    </row>
    <row r="298" spans="1:16" x14ac:dyDescent="0.3">
      <c r="A298">
        <v>15.325845999999999</v>
      </c>
      <c r="B298">
        <v>0.26528000000000002</v>
      </c>
      <c r="C298">
        <f t="shared" si="60"/>
        <v>4.0656404268799999</v>
      </c>
      <c r="D298">
        <v>1.6299999999999999E-2</v>
      </c>
      <c r="E298">
        <v>2.8849251857154604E-3</v>
      </c>
      <c r="F298">
        <f t="shared" si="57"/>
        <v>3065.1691999999998</v>
      </c>
      <c r="G298">
        <f t="shared" si="61"/>
        <v>-0.26528000000000002</v>
      </c>
      <c r="H298">
        <f t="shared" si="62"/>
        <v>-813.12808537599994</v>
      </c>
      <c r="I298">
        <v>1</v>
      </c>
      <c r="J298">
        <f t="shared" si="58"/>
        <v>1.1201027717796659</v>
      </c>
      <c r="K298">
        <f t="shared" si="63"/>
        <v>-0.95644515177521749</v>
      </c>
      <c r="L298">
        <v>1</v>
      </c>
      <c r="M298">
        <f t="shared" si="59"/>
        <v>0.55701720663613496</v>
      </c>
      <c r="N298">
        <f t="shared" si="64"/>
        <v>0.24981128979999995</v>
      </c>
      <c r="O298">
        <f t="shared" si="65"/>
        <v>4.4213919117796541E-2</v>
      </c>
      <c r="P298">
        <f t="shared" si="66"/>
        <v>0.10540273622128604</v>
      </c>
    </row>
    <row r="299" spans="1:16" x14ac:dyDescent="0.3">
      <c r="A299">
        <v>15.377274</v>
      </c>
      <c r="B299">
        <v>0.26272000000000001</v>
      </c>
      <c r="C299">
        <f t="shared" si="60"/>
        <v>4.0399174252800005</v>
      </c>
      <c r="D299">
        <v>1.6299999999999999E-2</v>
      </c>
      <c r="E299">
        <v>2.8849251857154604E-3</v>
      </c>
      <c r="F299">
        <f t="shared" si="57"/>
        <v>3075.4548</v>
      </c>
      <c r="G299">
        <f t="shared" si="61"/>
        <v>-0.26272000000000001</v>
      </c>
      <c r="H299">
        <f t="shared" si="62"/>
        <v>-807.98348505600006</v>
      </c>
      <c r="I299">
        <v>1</v>
      </c>
      <c r="J299">
        <f t="shared" si="58"/>
        <v>1.1234527927610183</v>
      </c>
      <c r="K299">
        <f t="shared" si="63"/>
        <v>-0.95900515177521739</v>
      </c>
      <c r="L299">
        <v>1</v>
      </c>
      <c r="M299">
        <f t="shared" si="59"/>
        <v>0.55717388711743288</v>
      </c>
      <c r="N299">
        <f t="shared" si="64"/>
        <v>0.25064956619999995</v>
      </c>
      <c r="O299">
        <f t="shared" si="65"/>
        <v>4.4362285050247523E-2</v>
      </c>
      <c r="P299">
        <f t="shared" si="66"/>
        <v>0.10681941340753703</v>
      </c>
    </row>
    <row r="300" spans="1:16" x14ac:dyDescent="0.3">
      <c r="A300">
        <v>15.428191999999999</v>
      </c>
      <c r="B300">
        <v>0.25978000000000001</v>
      </c>
      <c r="C300">
        <f t="shared" si="60"/>
        <v>4.0079357177599997</v>
      </c>
      <c r="D300">
        <v>1.6299999999999999E-2</v>
      </c>
      <c r="E300">
        <v>2.8849251857154604E-3</v>
      </c>
      <c r="F300">
        <f t="shared" si="57"/>
        <v>3085.6383999999998</v>
      </c>
      <c r="G300">
        <f t="shared" si="61"/>
        <v>-0.25978000000000001</v>
      </c>
      <c r="H300">
        <f t="shared" si="62"/>
        <v>-801.58714355199993</v>
      </c>
      <c r="I300">
        <v>1</v>
      </c>
      <c r="J300">
        <f t="shared" si="58"/>
        <v>1.1267585727398106</v>
      </c>
      <c r="K300">
        <f t="shared" si="63"/>
        <v>-0.96194515177521744</v>
      </c>
      <c r="L300">
        <v>1</v>
      </c>
      <c r="M300">
        <f t="shared" si="59"/>
        <v>0.55732849844704102</v>
      </c>
      <c r="N300">
        <f t="shared" si="64"/>
        <v>0.25147952959999997</v>
      </c>
      <c r="O300">
        <f t="shared" si="65"/>
        <v>4.4509179670853778E-2</v>
      </c>
      <c r="P300">
        <f t="shared" si="66"/>
        <v>0.10862794405732268</v>
      </c>
    </row>
    <row r="301" spans="1:16" x14ac:dyDescent="0.3">
      <c r="A301">
        <v>15.479112000000001</v>
      </c>
      <c r="B301">
        <v>0.25708999999999999</v>
      </c>
      <c r="C301">
        <f t="shared" si="60"/>
        <v>3.9795249040799998</v>
      </c>
      <c r="D301">
        <v>1.6299999999999999E-2</v>
      </c>
      <c r="E301">
        <v>2.8849251857154604E-3</v>
      </c>
      <c r="F301">
        <f t="shared" si="57"/>
        <v>3095.8224</v>
      </c>
      <c r="G301">
        <f t="shared" si="61"/>
        <v>-0.25708999999999999</v>
      </c>
      <c r="H301">
        <f t="shared" si="62"/>
        <v>-795.90498081599992</v>
      </c>
      <c r="I301">
        <v>1</v>
      </c>
      <c r="J301">
        <f t="shared" si="58"/>
        <v>1.1300535897409987</v>
      </c>
      <c r="K301">
        <f t="shared" si="63"/>
        <v>-0.96463515177521741</v>
      </c>
      <c r="L301">
        <v>1</v>
      </c>
      <c r="M301">
        <f t="shared" si="59"/>
        <v>0.5574826063921865</v>
      </c>
      <c r="N301">
        <f t="shared" si="64"/>
        <v>0.25230952559999997</v>
      </c>
      <c r="O301">
        <f t="shared" si="65"/>
        <v>4.4656080061310416E-2</v>
      </c>
      <c r="P301">
        <f t="shared" si="66"/>
        <v>0.11018693972172053</v>
      </c>
    </row>
    <row r="302" spans="1:16" x14ac:dyDescent="0.3">
      <c r="A302">
        <v>15.529520999999999</v>
      </c>
      <c r="B302">
        <v>0.25419000000000003</v>
      </c>
      <c r="C302">
        <f t="shared" si="60"/>
        <v>3.9474489429900004</v>
      </c>
      <c r="D302">
        <v>1.6299999999999999E-2</v>
      </c>
      <c r="E302">
        <v>2.8849251857154604E-3</v>
      </c>
      <c r="F302">
        <f t="shared" si="57"/>
        <v>3105.9041999999999</v>
      </c>
      <c r="G302">
        <f t="shared" si="61"/>
        <v>-0.25419000000000003</v>
      </c>
      <c r="H302">
        <f t="shared" si="62"/>
        <v>-789.48978859800013</v>
      </c>
      <c r="I302">
        <v>1</v>
      </c>
      <c r="J302">
        <f t="shared" si="58"/>
        <v>1.1333048807221697</v>
      </c>
      <c r="K302">
        <f t="shared" si="63"/>
        <v>-0.96753515177521743</v>
      </c>
      <c r="L302">
        <v>1</v>
      </c>
      <c r="M302">
        <f t="shared" si="59"/>
        <v>0.55763466927137595</v>
      </c>
      <c r="N302">
        <f t="shared" si="64"/>
        <v>0.25313119229999997</v>
      </c>
      <c r="O302">
        <f t="shared" si="65"/>
        <v>4.4801506254997139E-2</v>
      </c>
      <c r="P302">
        <f t="shared" si="66"/>
        <v>0.11196778394884437</v>
      </c>
    </row>
    <row r="303" spans="1:16" x14ac:dyDescent="0.3">
      <c r="A303">
        <v>15.565672999999999</v>
      </c>
      <c r="B303">
        <v>0.25167</v>
      </c>
      <c r="C303">
        <f t="shared" si="60"/>
        <v>3.9174129239099997</v>
      </c>
      <c r="D303">
        <v>1.6299999999999999E-2</v>
      </c>
      <c r="E303">
        <v>2.8849251857154604E-3</v>
      </c>
      <c r="F303">
        <f t="shared" si="57"/>
        <v>3113.1345999999999</v>
      </c>
      <c r="G303">
        <f t="shared" si="61"/>
        <v>-0.25167</v>
      </c>
      <c r="H303">
        <f t="shared" si="62"/>
        <v>-783.482584782</v>
      </c>
      <c r="I303">
        <v>1</v>
      </c>
      <c r="J303">
        <f t="shared" si="58"/>
        <v>1.1356301285587851</v>
      </c>
      <c r="K303">
        <f t="shared" si="63"/>
        <v>-0.97005515177521739</v>
      </c>
      <c r="L303">
        <v>1</v>
      </c>
      <c r="M303">
        <f t="shared" si="59"/>
        <v>0.55774342111269437</v>
      </c>
      <c r="N303">
        <f t="shared" si="64"/>
        <v>0.25372046989999997</v>
      </c>
      <c r="O303">
        <f t="shared" si="65"/>
        <v>4.490580207031112E-2</v>
      </c>
      <c r="P303">
        <f t="shared" si="66"/>
        <v>0.11368545869221194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D7D9-6648-4951-9F68-CF9D4B729191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2026-03-24T06:24:53Z</dcterms:modified>
</cp:coreProperties>
</file>