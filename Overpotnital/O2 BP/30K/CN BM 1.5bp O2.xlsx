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30K\"/>
    </mc:Choice>
  </mc:AlternateContent>
  <xr:revisionPtr revIDLastSave="0" documentId="13_ncr:1_{A92F9576-D25E-4B2D-9939-76CF9E45FC26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K212" i="1" s="1"/>
  <c r="C213" i="1"/>
  <c r="H213" i="1" s="1"/>
  <c r="F213" i="1"/>
  <c r="J213" i="1" s="1"/>
  <c r="M213" i="1" s="1"/>
  <c r="G213" i="1"/>
  <c r="K213" i="1" s="1"/>
  <c r="C214" i="1"/>
  <c r="H214" i="1" s="1"/>
  <c r="F214" i="1"/>
  <c r="J214" i="1" s="1"/>
  <c r="M214" i="1" s="1"/>
  <c r="G214" i="1"/>
  <c r="K214" i="1" s="1"/>
  <c r="C215" i="1"/>
  <c r="H215" i="1" s="1"/>
  <c r="F215" i="1"/>
  <c r="J215" i="1" s="1"/>
  <c r="M215" i="1" s="1"/>
  <c r="G215" i="1"/>
  <c r="K215" i="1" s="1"/>
  <c r="C216" i="1"/>
  <c r="H216" i="1" s="1"/>
  <c r="F216" i="1"/>
  <c r="J216" i="1" s="1"/>
  <c r="M216" i="1" s="1"/>
  <c r="G216" i="1"/>
  <c r="K216" i="1" s="1"/>
  <c r="C217" i="1"/>
  <c r="H217" i="1" s="1"/>
  <c r="F217" i="1"/>
  <c r="J217" i="1" s="1"/>
  <c r="M217" i="1" s="1"/>
  <c r="G217" i="1"/>
  <c r="K217" i="1" s="1"/>
  <c r="C218" i="1"/>
  <c r="H218" i="1" s="1"/>
  <c r="F218" i="1"/>
  <c r="J218" i="1" s="1"/>
  <c r="M218" i="1" s="1"/>
  <c r="G218" i="1"/>
  <c r="K218" i="1" s="1"/>
  <c r="C219" i="1"/>
  <c r="H219" i="1" s="1"/>
  <c r="F219" i="1"/>
  <c r="J219" i="1" s="1"/>
  <c r="M219" i="1" s="1"/>
  <c r="G219" i="1"/>
  <c r="K219" i="1" s="1"/>
  <c r="C220" i="1"/>
  <c r="H220" i="1" s="1"/>
  <c r="F220" i="1"/>
  <c r="J220" i="1" s="1"/>
  <c r="M220" i="1" s="1"/>
  <c r="G220" i="1"/>
  <c r="K220" i="1" s="1"/>
  <c r="C221" i="1"/>
  <c r="H221" i="1" s="1"/>
  <c r="F221" i="1"/>
  <c r="J221" i="1" s="1"/>
  <c r="M221" i="1" s="1"/>
  <c r="G221" i="1"/>
  <c r="K221" i="1" s="1"/>
  <c r="C222" i="1"/>
  <c r="H222" i="1" s="1"/>
  <c r="F222" i="1"/>
  <c r="J222" i="1" s="1"/>
  <c r="M222" i="1" s="1"/>
  <c r="G222" i="1"/>
  <c r="K222" i="1" s="1"/>
  <c r="C223" i="1"/>
  <c r="H223" i="1" s="1"/>
  <c r="F223" i="1"/>
  <c r="J223" i="1" s="1"/>
  <c r="M223" i="1" s="1"/>
  <c r="G223" i="1"/>
  <c r="K223" i="1" s="1"/>
  <c r="C224" i="1"/>
  <c r="H224" i="1" s="1"/>
  <c r="F224" i="1"/>
  <c r="J224" i="1" s="1"/>
  <c r="M224" i="1" s="1"/>
  <c r="G224" i="1"/>
  <c r="K224" i="1" s="1"/>
  <c r="C225" i="1"/>
  <c r="H225" i="1" s="1"/>
  <c r="F225" i="1"/>
  <c r="J225" i="1" s="1"/>
  <c r="M225" i="1" s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K188" i="1" s="1"/>
  <c r="F189" i="1"/>
  <c r="J189" i="1" s="1"/>
  <c r="M189" i="1" s="1"/>
  <c r="G189" i="1"/>
  <c r="K189" i="1" s="1"/>
  <c r="F190" i="1"/>
  <c r="J190" i="1" s="1"/>
  <c r="M190" i="1" s="1"/>
  <c r="G190" i="1"/>
  <c r="K190" i="1" s="1"/>
  <c r="F191" i="1"/>
  <c r="J191" i="1" s="1"/>
  <c r="M191" i="1" s="1"/>
  <c r="G191" i="1"/>
  <c r="K191" i="1" s="1"/>
  <c r="F192" i="1"/>
  <c r="J192" i="1" s="1"/>
  <c r="M192" i="1" s="1"/>
  <c r="G192" i="1"/>
  <c r="K192" i="1" s="1"/>
  <c r="F193" i="1"/>
  <c r="J193" i="1" s="1"/>
  <c r="M193" i="1" s="1"/>
  <c r="G193" i="1"/>
  <c r="K193" i="1" s="1"/>
  <c r="F194" i="1"/>
  <c r="J194" i="1" s="1"/>
  <c r="M194" i="1" s="1"/>
  <c r="G194" i="1"/>
  <c r="K194" i="1" s="1"/>
  <c r="F195" i="1"/>
  <c r="J195" i="1" s="1"/>
  <c r="M195" i="1" s="1"/>
  <c r="G195" i="1"/>
  <c r="K195" i="1" s="1"/>
  <c r="F196" i="1"/>
  <c r="J196" i="1" s="1"/>
  <c r="M196" i="1" s="1"/>
  <c r="G196" i="1"/>
  <c r="K196" i="1" s="1"/>
  <c r="F197" i="1"/>
  <c r="J197" i="1" s="1"/>
  <c r="M197" i="1" s="1"/>
  <c r="G197" i="1"/>
  <c r="K197" i="1" s="1"/>
  <c r="F198" i="1"/>
  <c r="J198" i="1" s="1"/>
  <c r="M198" i="1" s="1"/>
  <c r="G198" i="1"/>
  <c r="K198" i="1" s="1"/>
  <c r="F199" i="1"/>
  <c r="J199" i="1" s="1"/>
  <c r="M199" i="1" s="1"/>
  <c r="G199" i="1"/>
  <c r="K199" i="1" s="1"/>
  <c r="F200" i="1"/>
  <c r="J200" i="1" s="1"/>
  <c r="M200" i="1" s="1"/>
  <c r="G200" i="1"/>
  <c r="K200" i="1" s="1"/>
  <c r="F201" i="1"/>
  <c r="J201" i="1" s="1"/>
  <c r="M201" i="1" s="1"/>
  <c r="G201" i="1"/>
  <c r="K201" i="1" s="1"/>
  <c r="F202" i="1"/>
  <c r="J202" i="1" s="1"/>
  <c r="M202" i="1" s="1"/>
  <c r="G202" i="1"/>
  <c r="K202" i="1" s="1"/>
  <c r="F203" i="1"/>
  <c r="J203" i="1" s="1"/>
  <c r="M203" i="1" s="1"/>
  <c r="G203" i="1"/>
  <c r="K203" i="1" s="1"/>
  <c r="F204" i="1"/>
  <c r="J204" i="1" s="1"/>
  <c r="M204" i="1" s="1"/>
  <c r="G204" i="1"/>
  <c r="K204" i="1" s="1"/>
  <c r="F205" i="1"/>
  <c r="J205" i="1" s="1"/>
  <c r="M205" i="1" s="1"/>
  <c r="G205" i="1"/>
  <c r="K205" i="1" s="1"/>
  <c r="F206" i="1"/>
  <c r="J206" i="1" s="1"/>
  <c r="M206" i="1" s="1"/>
  <c r="G206" i="1"/>
  <c r="K206" i="1" s="1"/>
  <c r="F207" i="1"/>
  <c r="J207" i="1" s="1"/>
  <c r="M207" i="1" s="1"/>
  <c r="G207" i="1"/>
  <c r="K207" i="1" s="1"/>
  <c r="F208" i="1"/>
  <c r="J208" i="1" s="1"/>
  <c r="M208" i="1" s="1"/>
  <c r="G208" i="1"/>
  <c r="K208" i="1" s="1"/>
  <c r="F209" i="1"/>
  <c r="J209" i="1" s="1"/>
  <c r="M209" i="1" s="1"/>
  <c r="G209" i="1"/>
  <c r="K209" i="1" s="1"/>
  <c r="F210" i="1"/>
  <c r="J210" i="1" s="1"/>
  <c r="M210" i="1" s="1"/>
  <c r="G210" i="1"/>
  <c r="K210" i="1" s="1"/>
  <c r="F211" i="1"/>
  <c r="J211" i="1" s="1"/>
  <c r="M211" i="1" s="1"/>
  <c r="G211" i="1"/>
  <c r="K211" i="1" s="1"/>
  <c r="F5" i="1"/>
  <c r="J5" i="1" s="1"/>
  <c r="M5" i="1" s="1"/>
  <c r="G5" i="1"/>
  <c r="K5" i="1" s="1"/>
  <c r="F6" i="1"/>
  <c r="J6" i="1" s="1"/>
  <c r="M6" i="1" s="1"/>
  <c r="G6" i="1"/>
  <c r="K6" i="1" s="1"/>
  <c r="F7" i="1"/>
  <c r="J7" i="1" s="1"/>
  <c r="M7" i="1" s="1"/>
  <c r="G7" i="1"/>
  <c r="K7" i="1" s="1"/>
  <c r="F8" i="1"/>
  <c r="J8" i="1" s="1"/>
  <c r="M8" i="1" s="1"/>
  <c r="G8" i="1"/>
  <c r="K8" i="1" s="1"/>
  <c r="F9" i="1"/>
  <c r="J9" i="1" s="1"/>
  <c r="M9" i="1" s="1"/>
  <c r="G9" i="1"/>
  <c r="K9" i="1" s="1"/>
  <c r="F10" i="1"/>
  <c r="J10" i="1" s="1"/>
  <c r="M10" i="1" s="1"/>
  <c r="G10" i="1"/>
  <c r="K10" i="1" s="1"/>
  <c r="F11" i="1"/>
  <c r="J11" i="1" s="1"/>
  <c r="M11" i="1" s="1"/>
  <c r="G11" i="1"/>
  <c r="K11" i="1" s="1"/>
  <c r="F12" i="1"/>
  <c r="J12" i="1" s="1"/>
  <c r="M12" i="1" s="1"/>
  <c r="G12" i="1"/>
  <c r="K12" i="1" s="1"/>
  <c r="F13" i="1"/>
  <c r="J13" i="1" s="1"/>
  <c r="M13" i="1" s="1"/>
  <c r="G13" i="1"/>
  <c r="K13" i="1" s="1"/>
  <c r="F14" i="1"/>
  <c r="J14" i="1" s="1"/>
  <c r="M14" i="1" s="1"/>
  <c r="G14" i="1"/>
  <c r="K14" i="1" s="1"/>
  <c r="F15" i="1"/>
  <c r="J15" i="1" s="1"/>
  <c r="M15" i="1" s="1"/>
  <c r="G15" i="1"/>
  <c r="K15" i="1" s="1"/>
  <c r="F16" i="1"/>
  <c r="J16" i="1" s="1"/>
  <c r="M16" i="1" s="1"/>
  <c r="G16" i="1"/>
  <c r="K16" i="1" s="1"/>
  <c r="F17" i="1"/>
  <c r="J17" i="1" s="1"/>
  <c r="M17" i="1" s="1"/>
  <c r="G17" i="1"/>
  <c r="K17" i="1" s="1"/>
  <c r="F18" i="1"/>
  <c r="J18" i="1" s="1"/>
  <c r="M18" i="1" s="1"/>
  <c r="G18" i="1"/>
  <c r="K18" i="1" s="1"/>
  <c r="F19" i="1"/>
  <c r="J19" i="1" s="1"/>
  <c r="M19" i="1" s="1"/>
  <c r="G19" i="1"/>
  <c r="K19" i="1" s="1"/>
  <c r="F20" i="1"/>
  <c r="J20" i="1" s="1"/>
  <c r="M20" i="1" s="1"/>
  <c r="G20" i="1"/>
  <c r="K20" i="1" s="1"/>
  <c r="F21" i="1"/>
  <c r="J21" i="1" s="1"/>
  <c r="M21" i="1" s="1"/>
  <c r="G21" i="1"/>
  <c r="K21" i="1" s="1"/>
  <c r="F22" i="1"/>
  <c r="J22" i="1" s="1"/>
  <c r="M22" i="1" s="1"/>
  <c r="G22" i="1"/>
  <c r="K22" i="1" s="1"/>
  <c r="F23" i="1"/>
  <c r="J23" i="1" s="1"/>
  <c r="M23" i="1" s="1"/>
  <c r="G23" i="1"/>
  <c r="K23" i="1" s="1"/>
  <c r="F24" i="1"/>
  <c r="J24" i="1" s="1"/>
  <c r="M24" i="1" s="1"/>
  <c r="G24" i="1"/>
  <c r="K24" i="1" s="1"/>
  <c r="F25" i="1"/>
  <c r="J25" i="1" s="1"/>
  <c r="M25" i="1" s="1"/>
  <c r="G25" i="1"/>
  <c r="K25" i="1" s="1"/>
  <c r="F26" i="1"/>
  <c r="J26" i="1" s="1"/>
  <c r="M26" i="1" s="1"/>
  <c r="G26" i="1"/>
  <c r="K26" i="1" s="1"/>
  <c r="F27" i="1"/>
  <c r="J27" i="1" s="1"/>
  <c r="M27" i="1" s="1"/>
  <c r="G27" i="1"/>
  <c r="K27" i="1" s="1"/>
  <c r="F28" i="1"/>
  <c r="J28" i="1" s="1"/>
  <c r="M28" i="1" s="1"/>
  <c r="G28" i="1"/>
  <c r="K28" i="1" s="1"/>
  <c r="F29" i="1"/>
  <c r="J29" i="1" s="1"/>
  <c r="M29" i="1" s="1"/>
  <c r="G29" i="1"/>
  <c r="K29" i="1" s="1"/>
  <c r="F30" i="1"/>
  <c r="J30" i="1" s="1"/>
  <c r="M30" i="1" s="1"/>
  <c r="G30" i="1"/>
  <c r="K30" i="1" s="1"/>
  <c r="F31" i="1"/>
  <c r="J31" i="1" s="1"/>
  <c r="M31" i="1" s="1"/>
  <c r="G31" i="1"/>
  <c r="K31" i="1" s="1"/>
  <c r="F32" i="1"/>
  <c r="J32" i="1" s="1"/>
  <c r="M32" i="1" s="1"/>
  <c r="G32" i="1"/>
  <c r="K32" i="1" s="1"/>
  <c r="F33" i="1"/>
  <c r="J33" i="1" s="1"/>
  <c r="M33" i="1" s="1"/>
  <c r="G33" i="1"/>
  <c r="K33" i="1" s="1"/>
  <c r="F34" i="1"/>
  <c r="J34" i="1" s="1"/>
  <c r="M34" i="1" s="1"/>
  <c r="G34" i="1"/>
  <c r="K34" i="1" s="1"/>
  <c r="F35" i="1"/>
  <c r="J35" i="1" s="1"/>
  <c r="M35" i="1" s="1"/>
  <c r="G35" i="1"/>
  <c r="K35" i="1" s="1"/>
  <c r="F36" i="1"/>
  <c r="J36" i="1" s="1"/>
  <c r="M36" i="1" s="1"/>
  <c r="G36" i="1"/>
  <c r="K36" i="1" s="1"/>
  <c r="F37" i="1"/>
  <c r="J37" i="1" s="1"/>
  <c r="M37" i="1" s="1"/>
  <c r="G37" i="1"/>
  <c r="K37" i="1" s="1"/>
  <c r="F38" i="1"/>
  <c r="J38" i="1" s="1"/>
  <c r="M38" i="1" s="1"/>
  <c r="G38" i="1"/>
  <c r="K38" i="1" s="1"/>
  <c r="F39" i="1"/>
  <c r="J39" i="1" s="1"/>
  <c r="M39" i="1" s="1"/>
  <c r="G39" i="1"/>
  <c r="K39" i="1" s="1"/>
  <c r="F40" i="1"/>
  <c r="J40" i="1" s="1"/>
  <c r="M40" i="1" s="1"/>
  <c r="G40" i="1"/>
  <c r="K40" i="1" s="1"/>
  <c r="F41" i="1"/>
  <c r="J41" i="1" s="1"/>
  <c r="M41" i="1" s="1"/>
  <c r="G41" i="1"/>
  <c r="K41" i="1" s="1"/>
  <c r="F42" i="1"/>
  <c r="J42" i="1" s="1"/>
  <c r="M42" i="1" s="1"/>
  <c r="G42" i="1"/>
  <c r="K42" i="1" s="1"/>
  <c r="F43" i="1"/>
  <c r="J43" i="1" s="1"/>
  <c r="M43" i="1" s="1"/>
  <c r="G43" i="1"/>
  <c r="K43" i="1" s="1"/>
  <c r="F44" i="1"/>
  <c r="J44" i="1" s="1"/>
  <c r="M44" i="1" s="1"/>
  <c r="G44" i="1"/>
  <c r="K44" i="1" s="1"/>
  <c r="F45" i="1"/>
  <c r="J45" i="1" s="1"/>
  <c r="M45" i="1" s="1"/>
  <c r="G45" i="1"/>
  <c r="K45" i="1" s="1"/>
  <c r="F46" i="1"/>
  <c r="J46" i="1" s="1"/>
  <c r="M46" i="1" s="1"/>
  <c r="G46" i="1"/>
  <c r="K46" i="1" s="1"/>
  <c r="F47" i="1"/>
  <c r="J47" i="1" s="1"/>
  <c r="M47" i="1" s="1"/>
  <c r="G47" i="1"/>
  <c r="K47" i="1" s="1"/>
  <c r="F48" i="1"/>
  <c r="J48" i="1" s="1"/>
  <c r="M48" i="1" s="1"/>
  <c r="G48" i="1"/>
  <c r="K48" i="1" s="1"/>
  <c r="F49" i="1"/>
  <c r="J49" i="1" s="1"/>
  <c r="M49" i="1" s="1"/>
  <c r="G49" i="1"/>
  <c r="K49" i="1" s="1"/>
  <c r="F50" i="1"/>
  <c r="J50" i="1" s="1"/>
  <c r="M50" i="1" s="1"/>
  <c r="G50" i="1"/>
  <c r="K50" i="1" s="1"/>
  <c r="F51" i="1"/>
  <c r="J51" i="1" s="1"/>
  <c r="M51" i="1" s="1"/>
  <c r="G51" i="1"/>
  <c r="K51" i="1" s="1"/>
  <c r="F52" i="1"/>
  <c r="J52" i="1" s="1"/>
  <c r="M52" i="1" s="1"/>
  <c r="G52" i="1"/>
  <c r="K52" i="1" s="1"/>
  <c r="F53" i="1"/>
  <c r="J53" i="1" s="1"/>
  <c r="M53" i="1" s="1"/>
  <c r="G53" i="1"/>
  <c r="K53" i="1" s="1"/>
  <c r="F54" i="1"/>
  <c r="J54" i="1" s="1"/>
  <c r="M54" i="1" s="1"/>
  <c r="G54" i="1"/>
  <c r="K54" i="1" s="1"/>
  <c r="F55" i="1"/>
  <c r="J55" i="1" s="1"/>
  <c r="M55" i="1" s="1"/>
  <c r="G55" i="1"/>
  <c r="K55" i="1" s="1"/>
  <c r="F56" i="1"/>
  <c r="J56" i="1" s="1"/>
  <c r="M56" i="1" s="1"/>
  <c r="G56" i="1"/>
  <c r="K56" i="1" s="1"/>
  <c r="F57" i="1"/>
  <c r="J57" i="1" s="1"/>
  <c r="M57" i="1" s="1"/>
  <c r="G57" i="1"/>
  <c r="K57" i="1" s="1"/>
  <c r="F58" i="1"/>
  <c r="J58" i="1" s="1"/>
  <c r="M58" i="1" s="1"/>
  <c r="G58" i="1"/>
  <c r="K58" i="1" s="1"/>
  <c r="F59" i="1"/>
  <c r="J59" i="1" s="1"/>
  <c r="M59" i="1" s="1"/>
  <c r="G59" i="1"/>
  <c r="K59" i="1" s="1"/>
  <c r="F60" i="1"/>
  <c r="J60" i="1" s="1"/>
  <c r="M60" i="1" s="1"/>
  <c r="G60" i="1"/>
  <c r="K60" i="1" s="1"/>
  <c r="F61" i="1"/>
  <c r="J61" i="1" s="1"/>
  <c r="M61" i="1" s="1"/>
  <c r="G61" i="1"/>
  <c r="K61" i="1" s="1"/>
  <c r="F62" i="1"/>
  <c r="J62" i="1" s="1"/>
  <c r="M62" i="1" s="1"/>
  <c r="G62" i="1"/>
  <c r="K62" i="1" s="1"/>
  <c r="F63" i="1"/>
  <c r="J63" i="1" s="1"/>
  <c r="M63" i="1" s="1"/>
  <c r="G63" i="1"/>
  <c r="K63" i="1" s="1"/>
  <c r="F64" i="1"/>
  <c r="J64" i="1" s="1"/>
  <c r="M64" i="1" s="1"/>
  <c r="G64" i="1"/>
  <c r="K64" i="1" s="1"/>
  <c r="F65" i="1"/>
  <c r="J65" i="1" s="1"/>
  <c r="M65" i="1" s="1"/>
  <c r="G65" i="1"/>
  <c r="K65" i="1" s="1"/>
  <c r="F66" i="1"/>
  <c r="J66" i="1" s="1"/>
  <c r="M66" i="1" s="1"/>
  <c r="G66" i="1"/>
  <c r="K66" i="1" s="1"/>
  <c r="F67" i="1"/>
  <c r="J67" i="1" s="1"/>
  <c r="M67" i="1" s="1"/>
  <c r="G67" i="1"/>
  <c r="K67" i="1" s="1"/>
  <c r="F68" i="1"/>
  <c r="J68" i="1" s="1"/>
  <c r="M68" i="1" s="1"/>
  <c r="G68" i="1"/>
  <c r="K68" i="1" s="1"/>
  <c r="F69" i="1"/>
  <c r="J69" i="1" s="1"/>
  <c r="M69" i="1" s="1"/>
  <c r="G69" i="1"/>
  <c r="K69" i="1" s="1"/>
  <c r="F70" i="1"/>
  <c r="J70" i="1" s="1"/>
  <c r="M70" i="1" s="1"/>
  <c r="G70" i="1"/>
  <c r="K70" i="1" s="1"/>
  <c r="F71" i="1"/>
  <c r="J71" i="1" s="1"/>
  <c r="M71" i="1" s="1"/>
  <c r="G71" i="1"/>
  <c r="K71" i="1" s="1"/>
  <c r="F72" i="1"/>
  <c r="J72" i="1" s="1"/>
  <c r="M72" i="1" s="1"/>
  <c r="G72" i="1"/>
  <c r="K72" i="1" s="1"/>
  <c r="F73" i="1"/>
  <c r="J73" i="1" s="1"/>
  <c r="M73" i="1" s="1"/>
  <c r="G73" i="1"/>
  <c r="K73" i="1" s="1"/>
  <c r="F74" i="1"/>
  <c r="J74" i="1" s="1"/>
  <c r="M74" i="1" s="1"/>
  <c r="G74" i="1"/>
  <c r="K74" i="1" s="1"/>
  <c r="F75" i="1"/>
  <c r="J75" i="1" s="1"/>
  <c r="M75" i="1" s="1"/>
  <c r="G75" i="1"/>
  <c r="K75" i="1" s="1"/>
  <c r="F76" i="1"/>
  <c r="J76" i="1" s="1"/>
  <c r="M76" i="1" s="1"/>
  <c r="G76" i="1"/>
  <c r="K76" i="1" s="1"/>
  <c r="F77" i="1"/>
  <c r="J77" i="1" s="1"/>
  <c r="M77" i="1" s="1"/>
  <c r="G77" i="1"/>
  <c r="K77" i="1" s="1"/>
  <c r="F78" i="1"/>
  <c r="J78" i="1" s="1"/>
  <c r="M78" i="1" s="1"/>
  <c r="G78" i="1"/>
  <c r="K78" i="1" s="1"/>
  <c r="F79" i="1"/>
  <c r="J79" i="1" s="1"/>
  <c r="M79" i="1" s="1"/>
  <c r="G79" i="1"/>
  <c r="K79" i="1" s="1"/>
  <c r="F80" i="1"/>
  <c r="J80" i="1" s="1"/>
  <c r="M80" i="1" s="1"/>
  <c r="G80" i="1"/>
  <c r="K80" i="1" s="1"/>
  <c r="F81" i="1"/>
  <c r="J81" i="1" s="1"/>
  <c r="M81" i="1" s="1"/>
  <c r="G81" i="1"/>
  <c r="K81" i="1" s="1"/>
  <c r="F82" i="1"/>
  <c r="J82" i="1" s="1"/>
  <c r="M82" i="1" s="1"/>
  <c r="G82" i="1"/>
  <c r="K82" i="1" s="1"/>
  <c r="F83" i="1"/>
  <c r="J83" i="1" s="1"/>
  <c r="M83" i="1" s="1"/>
  <c r="G83" i="1"/>
  <c r="K83" i="1" s="1"/>
  <c r="F84" i="1"/>
  <c r="J84" i="1" s="1"/>
  <c r="M84" i="1" s="1"/>
  <c r="G84" i="1"/>
  <c r="K84" i="1" s="1"/>
  <c r="F85" i="1"/>
  <c r="J85" i="1" s="1"/>
  <c r="M85" i="1" s="1"/>
  <c r="G85" i="1"/>
  <c r="K85" i="1" s="1"/>
  <c r="F86" i="1"/>
  <c r="J86" i="1" s="1"/>
  <c r="M86" i="1" s="1"/>
  <c r="G86" i="1"/>
  <c r="K86" i="1" s="1"/>
  <c r="F87" i="1"/>
  <c r="J87" i="1" s="1"/>
  <c r="M87" i="1" s="1"/>
  <c r="G87" i="1"/>
  <c r="K87" i="1" s="1"/>
  <c r="F88" i="1"/>
  <c r="J88" i="1" s="1"/>
  <c r="M88" i="1" s="1"/>
  <c r="G88" i="1"/>
  <c r="K88" i="1" s="1"/>
  <c r="F89" i="1"/>
  <c r="J89" i="1" s="1"/>
  <c r="M89" i="1" s="1"/>
  <c r="G89" i="1"/>
  <c r="K89" i="1" s="1"/>
  <c r="F90" i="1"/>
  <c r="J90" i="1" s="1"/>
  <c r="M90" i="1" s="1"/>
  <c r="G90" i="1"/>
  <c r="K90" i="1" s="1"/>
  <c r="F91" i="1"/>
  <c r="J91" i="1" s="1"/>
  <c r="M91" i="1" s="1"/>
  <c r="G91" i="1"/>
  <c r="K91" i="1" s="1"/>
  <c r="F92" i="1"/>
  <c r="J92" i="1" s="1"/>
  <c r="M92" i="1" s="1"/>
  <c r="G92" i="1"/>
  <c r="K92" i="1" s="1"/>
  <c r="F93" i="1"/>
  <c r="J93" i="1" s="1"/>
  <c r="M93" i="1" s="1"/>
  <c r="G93" i="1"/>
  <c r="K93" i="1" s="1"/>
  <c r="F94" i="1"/>
  <c r="J94" i="1" s="1"/>
  <c r="M94" i="1" s="1"/>
  <c r="G94" i="1"/>
  <c r="K94" i="1" s="1"/>
  <c r="F95" i="1"/>
  <c r="J95" i="1" s="1"/>
  <c r="M95" i="1" s="1"/>
  <c r="G95" i="1"/>
  <c r="K95" i="1" s="1"/>
  <c r="F96" i="1"/>
  <c r="J96" i="1" s="1"/>
  <c r="M96" i="1" s="1"/>
  <c r="G96" i="1"/>
  <c r="K96" i="1" s="1"/>
  <c r="F97" i="1"/>
  <c r="J97" i="1" s="1"/>
  <c r="M97" i="1" s="1"/>
  <c r="G97" i="1"/>
  <c r="K97" i="1" s="1"/>
  <c r="F98" i="1"/>
  <c r="J98" i="1" s="1"/>
  <c r="M98" i="1" s="1"/>
  <c r="G98" i="1"/>
  <c r="K98" i="1" s="1"/>
  <c r="F99" i="1"/>
  <c r="J99" i="1" s="1"/>
  <c r="M99" i="1" s="1"/>
  <c r="G99" i="1"/>
  <c r="K99" i="1" s="1"/>
  <c r="F100" i="1"/>
  <c r="J100" i="1" s="1"/>
  <c r="M100" i="1" s="1"/>
  <c r="G100" i="1"/>
  <c r="K100" i="1" s="1"/>
  <c r="F101" i="1"/>
  <c r="J101" i="1" s="1"/>
  <c r="M101" i="1" s="1"/>
  <c r="G101" i="1"/>
  <c r="K101" i="1" s="1"/>
  <c r="F102" i="1"/>
  <c r="J102" i="1" s="1"/>
  <c r="M102" i="1" s="1"/>
  <c r="G102" i="1"/>
  <c r="K102" i="1" s="1"/>
  <c r="F103" i="1"/>
  <c r="J103" i="1" s="1"/>
  <c r="M103" i="1" s="1"/>
  <c r="G103" i="1"/>
  <c r="K103" i="1" s="1"/>
  <c r="F104" i="1"/>
  <c r="J104" i="1" s="1"/>
  <c r="M104" i="1" s="1"/>
  <c r="G104" i="1"/>
  <c r="K104" i="1" s="1"/>
  <c r="F105" i="1"/>
  <c r="J105" i="1" s="1"/>
  <c r="M105" i="1" s="1"/>
  <c r="G105" i="1"/>
  <c r="K105" i="1" s="1"/>
  <c r="F106" i="1"/>
  <c r="J106" i="1" s="1"/>
  <c r="M106" i="1" s="1"/>
  <c r="G106" i="1"/>
  <c r="K106" i="1" s="1"/>
  <c r="F107" i="1"/>
  <c r="J107" i="1" s="1"/>
  <c r="M107" i="1" s="1"/>
  <c r="G107" i="1"/>
  <c r="K107" i="1" s="1"/>
  <c r="F108" i="1"/>
  <c r="J108" i="1" s="1"/>
  <c r="M108" i="1" s="1"/>
  <c r="G108" i="1"/>
  <c r="K108" i="1" s="1"/>
  <c r="F109" i="1"/>
  <c r="J109" i="1" s="1"/>
  <c r="M109" i="1" s="1"/>
  <c r="G109" i="1"/>
  <c r="K109" i="1" s="1"/>
  <c r="F110" i="1"/>
  <c r="J110" i="1" s="1"/>
  <c r="M110" i="1" s="1"/>
  <c r="G110" i="1"/>
  <c r="K110" i="1" s="1"/>
  <c r="F111" i="1"/>
  <c r="J111" i="1" s="1"/>
  <c r="M111" i="1" s="1"/>
  <c r="G111" i="1"/>
  <c r="K111" i="1" s="1"/>
  <c r="F112" i="1"/>
  <c r="J112" i="1" s="1"/>
  <c r="M112" i="1" s="1"/>
  <c r="G112" i="1"/>
  <c r="K112" i="1" s="1"/>
  <c r="F113" i="1"/>
  <c r="J113" i="1" s="1"/>
  <c r="M113" i="1" s="1"/>
  <c r="G113" i="1"/>
  <c r="K113" i="1" s="1"/>
  <c r="F114" i="1"/>
  <c r="J114" i="1" s="1"/>
  <c r="M114" i="1" s="1"/>
  <c r="G114" i="1"/>
  <c r="K114" i="1" s="1"/>
  <c r="F115" i="1"/>
  <c r="J115" i="1" s="1"/>
  <c r="M115" i="1" s="1"/>
  <c r="G115" i="1"/>
  <c r="K115" i="1" s="1"/>
  <c r="F116" i="1"/>
  <c r="J116" i="1" s="1"/>
  <c r="M116" i="1" s="1"/>
  <c r="G116" i="1"/>
  <c r="K116" i="1" s="1"/>
  <c r="F117" i="1"/>
  <c r="J117" i="1" s="1"/>
  <c r="M117" i="1" s="1"/>
  <c r="G117" i="1"/>
  <c r="K117" i="1" s="1"/>
  <c r="F118" i="1"/>
  <c r="J118" i="1" s="1"/>
  <c r="M118" i="1" s="1"/>
  <c r="G118" i="1"/>
  <c r="K118" i="1" s="1"/>
  <c r="F119" i="1"/>
  <c r="J119" i="1" s="1"/>
  <c r="M119" i="1" s="1"/>
  <c r="G119" i="1"/>
  <c r="K119" i="1" s="1"/>
  <c r="F120" i="1"/>
  <c r="J120" i="1" s="1"/>
  <c r="M120" i="1" s="1"/>
  <c r="G120" i="1"/>
  <c r="K120" i="1" s="1"/>
  <c r="F121" i="1"/>
  <c r="J121" i="1" s="1"/>
  <c r="M121" i="1" s="1"/>
  <c r="G121" i="1"/>
  <c r="K121" i="1" s="1"/>
  <c r="F122" i="1"/>
  <c r="J122" i="1" s="1"/>
  <c r="M122" i="1" s="1"/>
  <c r="G122" i="1"/>
  <c r="K122" i="1" s="1"/>
  <c r="F123" i="1"/>
  <c r="J123" i="1" s="1"/>
  <c r="M123" i="1" s="1"/>
  <c r="G123" i="1"/>
  <c r="K123" i="1" s="1"/>
  <c r="F124" i="1"/>
  <c r="J124" i="1" s="1"/>
  <c r="M124" i="1" s="1"/>
  <c r="G124" i="1"/>
  <c r="K124" i="1" s="1"/>
  <c r="F125" i="1"/>
  <c r="J125" i="1" s="1"/>
  <c r="M125" i="1" s="1"/>
  <c r="G125" i="1"/>
  <c r="K125" i="1" s="1"/>
  <c r="F126" i="1"/>
  <c r="J126" i="1" s="1"/>
  <c r="M126" i="1" s="1"/>
  <c r="G126" i="1"/>
  <c r="K126" i="1" s="1"/>
  <c r="F127" i="1"/>
  <c r="J127" i="1" s="1"/>
  <c r="M127" i="1" s="1"/>
  <c r="G127" i="1"/>
  <c r="K127" i="1" s="1"/>
  <c r="F128" i="1"/>
  <c r="J128" i="1" s="1"/>
  <c r="M128" i="1" s="1"/>
  <c r="G128" i="1"/>
  <c r="K128" i="1" s="1"/>
  <c r="F129" i="1"/>
  <c r="J129" i="1" s="1"/>
  <c r="M129" i="1" s="1"/>
  <c r="G129" i="1"/>
  <c r="K129" i="1" s="1"/>
  <c r="F130" i="1"/>
  <c r="J130" i="1" s="1"/>
  <c r="M130" i="1" s="1"/>
  <c r="G130" i="1"/>
  <c r="K130" i="1" s="1"/>
  <c r="F131" i="1"/>
  <c r="J131" i="1" s="1"/>
  <c r="M131" i="1" s="1"/>
  <c r="G131" i="1"/>
  <c r="K131" i="1" s="1"/>
  <c r="F132" i="1"/>
  <c r="J132" i="1" s="1"/>
  <c r="M132" i="1" s="1"/>
  <c r="G132" i="1"/>
  <c r="K132" i="1" s="1"/>
  <c r="F133" i="1"/>
  <c r="J133" i="1" s="1"/>
  <c r="M133" i="1" s="1"/>
  <c r="G133" i="1"/>
  <c r="K133" i="1" s="1"/>
  <c r="F134" i="1"/>
  <c r="J134" i="1" s="1"/>
  <c r="M134" i="1" s="1"/>
  <c r="G134" i="1"/>
  <c r="K134" i="1" s="1"/>
  <c r="F135" i="1"/>
  <c r="J135" i="1" s="1"/>
  <c r="M135" i="1" s="1"/>
  <c r="G135" i="1"/>
  <c r="K135" i="1" s="1"/>
  <c r="F136" i="1"/>
  <c r="J136" i="1" s="1"/>
  <c r="M136" i="1" s="1"/>
  <c r="G136" i="1"/>
  <c r="K136" i="1" s="1"/>
  <c r="F137" i="1"/>
  <c r="J137" i="1" s="1"/>
  <c r="M137" i="1" s="1"/>
  <c r="G137" i="1"/>
  <c r="K137" i="1" s="1"/>
  <c r="F138" i="1"/>
  <c r="J138" i="1" s="1"/>
  <c r="M138" i="1" s="1"/>
  <c r="G138" i="1"/>
  <c r="K138" i="1" s="1"/>
  <c r="F139" i="1"/>
  <c r="J139" i="1" s="1"/>
  <c r="M139" i="1" s="1"/>
  <c r="G139" i="1"/>
  <c r="K139" i="1" s="1"/>
  <c r="F140" i="1"/>
  <c r="J140" i="1" s="1"/>
  <c r="M140" i="1" s="1"/>
  <c r="G140" i="1"/>
  <c r="K140" i="1" s="1"/>
  <c r="F141" i="1"/>
  <c r="J141" i="1" s="1"/>
  <c r="M141" i="1" s="1"/>
  <c r="G141" i="1"/>
  <c r="K141" i="1" s="1"/>
  <c r="F142" i="1"/>
  <c r="J142" i="1" s="1"/>
  <c r="M142" i="1" s="1"/>
  <c r="G142" i="1"/>
  <c r="K142" i="1" s="1"/>
  <c r="F143" i="1"/>
  <c r="J143" i="1" s="1"/>
  <c r="M143" i="1" s="1"/>
  <c r="G143" i="1"/>
  <c r="K143" i="1" s="1"/>
  <c r="F144" i="1"/>
  <c r="J144" i="1" s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K145" i="1" s="1"/>
  <c r="F146" i="1"/>
  <c r="J146" i="1" s="1"/>
  <c r="M146" i="1" s="1"/>
  <c r="G146" i="1"/>
  <c r="K146" i="1" s="1"/>
  <c r="F147" i="1"/>
  <c r="J147" i="1" s="1"/>
  <c r="M147" i="1" s="1"/>
  <c r="G147" i="1"/>
  <c r="K147" i="1" s="1"/>
  <c r="F148" i="1"/>
  <c r="J148" i="1" s="1"/>
  <c r="M148" i="1" s="1"/>
  <c r="G148" i="1"/>
  <c r="K148" i="1" s="1"/>
  <c r="F149" i="1"/>
  <c r="J149" i="1" s="1"/>
  <c r="M149" i="1" s="1"/>
  <c r="G149" i="1"/>
  <c r="K149" i="1" s="1"/>
  <c r="F150" i="1"/>
  <c r="J150" i="1" s="1"/>
  <c r="M150" i="1" s="1"/>
  <c r="G150" i="1"/>
  <c r="K150" i="1" s="1"/>
  <c r="F151" i="1"/>
  <c r="J151" i="1" s="1"/>
  <c r="M151" i="1" s="1"/>
  <c r="G151" i="1"/>
  <c r="K151" i="1" s="1"/>
  <c r="F152" i="1"/>
  <c r="J152" i="1" s="1"/>
  <c r="M152" i="1" s="1"/>
  <c r="G152" i="1"/>
  <c r="K152" i="1" s="1"/>
  <c r="F153" i="1"/>
  <c r="J153" i="1" s="1"/>
  <c r="M153" i="1" s="1"/>
  <c r="G153" i="1"/>
  <c r="K153" i="1" s="1"/>
  <c r="F154" i="1"/>
  <c r="J154" i="1" s="1"/>
  <c r="M154" i="1" s="1"/>
  <c r="G154" i="1"/>
  <c r="K154" i="1" s="1"/>
  <c r="F155" i="1"/>
  <c r="J155" i="1" s="1"/>
  <c r="M155" i="1" s="1"/>
  <c r="G155" i="1"/>
  <c r="K155" i="1" s="1"/>
  <c r="F156" i="1"/>
  <c r="J156" i="1" s="1"/>
  <c r="M156" i="1" s="1"/>
  <c r="G156" i="1"/>
  <c r="K156" i="1" s="1"/>
  <c r="F157" i="1"/>
  <c r="J157" i="1" s="1"/>
  <c r="M157" i="1" s="1"/>
  <c r="G157" i="1"/>
  <c r="K157" i="1" s="1"/>
  <c r="F158" i="1"/>
  <c r="J158" i="1" s="1"/>
  <c r="M158" i="1" s="1"/>
  <c r="G158" i="1"/>
  <c r="K158" i="1" s="1"/>
  <c r="F159" i="1"/>
  <c r="J159" i="1" s="1"/>
  <c r="M159" i="1" s="1"/>
  <c r="G159" i="1"/>
  <c r="K159" i="1" s="1"/>
  <c r="F160" i="1"/>
  <c r="J160" i="1" s="1"/>
  <c r="M160" i="1" s="1"/>
  <c r="G160" i="1"/>
  <c r="K160" i="1" s="1"/>
  <c r="F161" i="1"/>
  <c r="J161" i="1" s="1"/>
  <c r="M161" i="1" s="1"/>
  <c r="G161" i="1"/>
  <c r="K161" i="1" s="1"/>
  <c r="F162" i="1"/>
  <c r="J162" i="1" s="1"/>
  <c r="M162" i="1" s="1"/>
  <c r="G162" i="1"/>
  <c r="K162" i="1" s="1"/>
  <c r="F163" i="1"/>
  <c r="J163" i="1" s="1"/>
  <c r="M163" i="1" s="1"/>
  <c r="G163" i="1"/>
  <c r="K163" i="1" s="1"/>
  <c r="F164" i="1"/>
  <c r="J164" i="1" s="1"/>
  <c r="M164" i="1" s="1"/>
  <c r="G164" i="1"/>
  <c r="K164" i="1" s="1"/>
  <c r="F165" i="1"/>
  <c r="J165" i="1" s="1"/>
  <c r="M165" i="1" s="1"/>
  <c r="G165" i="1"/>
  <c r="K165" i="1" s="1"/>
  <c r="F166" i="1"/>
  <c r="J166" i="1" s="1"/>
  <c r="M166" i="1" s="1"/>
  <c r="G166" i="1"/>
  <c r="K166" i="1" s="1"/>
  <c r="F167" i="1"/>
  <c r="J167" i="1" s="1"/>
  <c r="M167" i="1" s="1"/>
  <c r="G167" i="1"/>
  <c r="K167" i="1" s="1"/>
  <c r="F168" i="1"/>
  <c r="J168" i="1" s="1"/>
  <c r="M168" i="1" s="1"/>
  <c r="G168" i="1"/>
  <c r="K168" i="1" s="1"/>
  <c r="F169" i="1"/>
  <c r="J169" i="1" s="1"/>
  <c r="M169" i="1" s="1"/>
  <c r="G169" i="1"/>
  <c r="K169" i="1" s="1"/>
  <c r="F170" i="1"/>
  <c r="J170" i="1" s="1"/>
  <c r="M170" i="1" s="1"/>
  <c r="G170" i="1"/>
  <c r="K170" i="1" s="1"/>
  <c r="F171" i="1"/>
  <c r="J171" i="1" s="1"/>
  <c r="M171" i="1" s="1"/>
  <c r="G171" i="1"/>
  <c r="K171" i="1" s="1"/>
  <c r="F172" i="1"/>
  <c r="J172" i="1" s="1"/>
  <c r="M172" i="1" s="1"/>
  <c r="G172" i="1"/>
  <c r="K172" i="1" s="1"/>
  <c r="F173" i="1"/>
  <c r="J173" i="1" s="1"/>
  <c r="M173" i="1" s="1"/>
  <c r="G173" i="1"/>
  <c r="K173" i="1" s="1"/>
  <c r="F174" i="1"/>
  <c r="J174" i="1" s="1"/>
  <c r="M174" i="1" s="1"/>
  <c r="G174" i="1"/>
  <c r="K174" i="1" s="1"/>
  <c r="F175" i="1"/>
  <c r="J175" i="1" s="1"/>
  <c r="M175" i="1" s="1"/>
  <c r="G175" i="1"/>
  <c r="K175" i="1" s="1"/>
  <c r="F176" i="1"/>
  <c r="J176" i="1" s="1"/>
  <c r="M176" i="1" s="1"/>
  <c r="G176" i="1"/>
  <c r="K176" i="1" s="1"/>
  <c r="F177" i="1"/>
  <c r="J177" i="1" s="1"/>
  <c r="M177" i="1" s="1"/>
  <c r="G177" i="1"/>
  <c r="K177" i="1" s="1"/>
  <c r="F178" i="1"/>
  <c r="J178" i="1" s="1"/>
  <c r="M178" i="1" s="1"/>
  <c r="G178" i="1"/>
  <c r="K178" i="1" s="1"/>
  <c r="F179" i="1"/>
  <c r="J179" i="1" s="1"/>
  <c r="M179" i="1" s="1"/>
  <c r="G179" i="1"/>
  <c r="K179" i="1" s="1"/>
  <c r="F180" i="1"/>
  <c r="J180" i="1" s="1"/>
  <c r="M180" i="1" s="1"/>
  <c r="G180" i="1"/>
  <c r="K180" i="1" s="1"/>
  <c r="F181" i="1"/>
  <c r="J181" i="1" s="1"/>
  <c r="M181" i="1" s="1"/>
  <c r="G181" i="1"/>
  <c r="K181" i="1" s="1"/>
  <c r="F182" i="1"/>
  <c r="J182" i="1" s="1"/>
  <c r="M182" i="1" s="1"/>
  <c r="G182" i="1"/>
  <c r="K182" i="1" s="1"/>
  <c r="F183" i="1"/>
  <c r="J183" i="1" s="1"/>
  <c r="M183" i="1" s="1"/>
  <c r="G183" i="1"/>
  <c r="K183" i="1" s="1"/>
  <c r="F184" i="1"/>
  <c r="J184" i="1" s="1"/>
  <c r="M184" i="1" s="1"/>
  <c r="G184" i="1"/>
  <c r="K184" i="1" s="1"/>
  <c r="F185" i="1"/>
  <c r="J185" i="1" s="1"/>
  <c r="M185" i="1" s="1"/>
  <c r="G185" i="1"/>
  <c r="K185" i="1" s="1"/>
  <c r="F186" i="1"/>
  <c r="J186" i="1" s="1"/>
  <c r="M186" i="1" s="1"/>
  <c r="G186" i="1"/>
  <c r="K186" i="1" s="1"/>
  <c r="F187" i="1"/>
  <c r="J187" i="1" s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<sst xmlns="http://schemas.openxmlformats.org/spreadsheetml/2006/main" count="40" uniqueCount="36">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</sst>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zoomScale="55" zoomScaleNormal="55" workbookViewId="0">
      <selection activeCell="K5" sqref="K5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-0.54984</v>
      </c>
      <c r="AC3" t="s">
        <v>30</v>
      </c>
    </row>
    <row r="4" spans="1:29" x14ac:dyDescent="0.3">
      <c r="A4">
        <v>5.2385349999999997E-2</v>
      </c>
      <c r="B4">
        <v>0.85346999999999995</v>
      </c>
      <c r="C4">
        <f>A4*B4</f>
        <v>4.4709324664499998E-2</v>
      </c>
      <c r="D4">
        <v>1.7299999999999999E-2</v>
      </c>
      <c r="E4" s="1">
        <v>1.4999999999999999E-2</v>
      </c>
      <c r="F4">
        <f>A4*200</f>
        <v>10.477069999999999</v>
      </c>
      <c r="G4">
        <f>-B4</f>
        <v>-0.85346999999999995</v>
      </c>
      <c r="H4">
        <f t="shared" ref="H4" si="0">-C4*200</f>
        <v>-8.9418649328999997</v>
      </c>
      <c r="I4">
        <v>1</v>
      </c>
      <c r="J4">
        <f>LN(F4/1000)</f>
        <v>-4.5585662193317296</v>
      </c>
      <c r="K4">
        <f>((-G4)-$N$2)</f>
        <v>-0.3682551517752175</v>
      </c>
      <c r="L4">
        <v>1</v>
      </c>
      <c r="M4">
        <f>-1*($S$4+($S$5*J4))</f>
        <v>0.34102232449093361</v>
      </c>
      <c r="N4">
        <f>D4*A4</f>
        <v>9.0626655499999992E-4</v>
      </c>
      <c r="O4">
        <f>E4*A4</f>
        <v>7.857802499999999E-4</v>
      </c>
      <c r="P4">
        <f>-K4-M4-N4-O4</f>
        <v>2.5540780479283889E-2</v>
      </c>
      <c r="R4" s="2" t="s">
        <v>16</v>
      </c>
      <c r="S4">
        <v>-0.51246999999999998</v>
      </c>
      <c r="V4">
        <v>-6</v>
      </c>
      <c r="W4">
        <f>V4*$S$5+$S$4</f>
        <v>-0.28681000000000001</v>
      </c>
      <c r="Y4">
        <v>0</v>
      </c>
      <c r="Z4">
        <f>$AB$4*Y4+$AB$3</f>
        <v>-0.54984</v>
      </c>
      <c r="AB4">
        <v>14.18899</v>
      </c>
      <c r="AC4" t="s">
        <v>31</v>
      </c>
    </row>
    <row r="5" spans="1:29" x14ac:dyDescent="0.3">
      <c r="A5">
        <v>0.1109414</v>
      </c>
      <c r="B5">
        <v>0.84530000000000005</v>
      </c>
      <c r="C5">
        <f t="shared" ref="C5:C68" si="1">A5*B5</f>
        <v>9.3778765420000007E-2</v>
      </c>
      <c r="D5">
        <v>1.7299999999999999E-2</v>
      </c>
      <c r="E5" s="1">
        <v>1.4999999999999999E-2</v>
      </c>
      <c r="F5">
        <f t="shared" ref="F5:F68" si="2">A5*200</f>
        <v>22.188279999999999</v>
      </c>
      <c r="G5">
        <f t="shared" ref="G5:G68" si="3">-B5</f>
        <v>-0.84530000000000005</v>
      </c>
      <c r="H5">
        <f t="shared" ref="H5:H68" si="4">-C5*200</f>
        <v>-18.755753084000002</v>
      </c>
      <c r="I5">
        <v>1</v>
      </c>
      <c r="J5">
        <f t="shared" ref="J5:J68" si="5">LN(F5/1000)</f>
        <v>-3.8081910574348452</v>
      </c>
      <c r="K5">
        <f t="shared" ref="K5:K68" si="6">((-G5)-$N$2)</f>
        <v>-0.3764251517752174</v>
      </c>
      <c r="L5">
        <v>1</v>
      </c>
      <c r="M5">
        <f t="shared" ref="M5:M68" si="7">-1*($S$4+($S$5*J5))</f>
        <v>0.36924393432987546</v>
      </c>
      <c r="N5">
        <f t="shared" ref="N5:N6" si="8">D5*A5</f>
        <v>1.9192862199999999E-3</v>
      </c>
      <c r="O5">
        <f>E5*A5</f>
        <v>1.664121E-3</v>
      </c>
      <c r="P5">
        <f>-K5-M5-N5-O5</f>
        <v>3.5978102253419473E-3</v>
      </c>
      <c r="R5" s="2" t="s">
        <v>17</v>
      </c>
      <c r="S5">
        <v>-3.7609999999999998E-2</v>
      </c>
      <c r="V5">
        <v>-5.9</v>
      </c>
      <c r="W5">
        <f t="shared" ref="W5:W68" si="9">V5*$S$5+$S$4</f>
        <v>-0.29057099999999997</v>
      </c>
      <c r="Y5">
        <v>0.01</v>
      </c>
      <c r="Z5">
        <f t="shared" ref="Z5:Z31" si="10">$AB$4*Y5+$AB$3</f>
        <v>-0.40795009999999998</v>
      </c>
    </row>
    <row r="6" spans="1:29" x14ac:dyDescent="0.3">
      <c r="A6">
        <v>0.16593325</v>
      </c>
      <c r="B6">
        <v>0.83486000000000005</v>
      </c>
      <c r="C6">
        <f t="shared" si="1"/>
        <v>0.13853103309500001</v>
      </c>
      <c r="D6">
        <v>1.7299999999999999E-2</v>
      </c>
      <c r="E6" s="1">
        <v>1.4999999999999999E-2</v>
      </c>
      <c r="F6">
        <f t="shared" si="2"/>
        <v>33.18665</v>
      </c>
      <c r="G6">
        <f t="shared" si="3"/>
        <v>-0.83486000000000005</v>
      </c>
      <c r="H6">
        <f t="shared" si="4"/>
        <v>-27.706206619</v>
      </c>
      <c r="I6">
        <v>1</v>
      </c>
      <c r="J6">
        <f t="shared" si="5"/>
        <v>-3.4056075923607043</v>
      </c>
      <c r="K6">
        <f t="shared" si="6"/>
        <v>-0.38686515177521741</v>
      </c>
      <c r="L6">
        <v>1</v>
      </c>
      <c r="M6">
        <f t="shared" si="7"/>
        <v>0.38438509845131391</v>
      </c>
      <c r="N6">
        <f t="shared" si="8"/>
        <v>2.8706452249999998E-3</v>
      </c>
      <c r="O6">
        <f t="shared" ref="O6:O69" si="11">E6*A6</f>
        <v>2.4889987500000001E-3</v>
      </c>
      <c r="P6">
        <f t="shared" ref="P6:P69" si="12">-K6-M6-N6-O6</f>
        <v>-2.8795906510965027E-3</v>
      </c>
      <c r="V6">
        <v>-5.8</v>
      </c>
      <c r="W6">
        <f t="shared" si="9"/>
        <v>-0.29433200000000004</v>
      </c>
      <c r="Y6">
        <v>0.02</v>
      </c>
      <c r="Z6">
        <f t="shared" si="10"/>
        <v>-0.26606019999999997</v>
      </c>
      <c r="AB6" t="s">
        <v>32</v>
      </c>
    </row>
    <row r="7" spans="1:29" x14ac:dyDescent="0.3">
      <c r="A7">
        <v>0.21837910000000002</v>
      </c>
      <c r="B7">
        <v>0.82687999999999995</v>
      </c>
      <c r="C7">
        <f t="shared" si="1"/>
        <v>0.18057331020799999</v>
      </c>
      <c r="D7">
        <v>1.7299999999999999E-2</v>
      </c>
      <c r="E7" s="1">
        <v>1.4999999999999999E-2</v>
      </c>
      <c r="F7">
        <f t="shared" si="2"/>
        <v>43.675820000000002</v>
      </c>
      <c r="G7">
        <f t="shared" si="3"/>
        <v>-0.82687999999999995</v>
      </c>
      <c r="H7">
        <f t="shared" si="4"/>
        <v>-36.114662041599999</v>
      </c>
      <c r="I7">
        <v>1</v>
      </c>
      <c r="J7">
        <f t="shared" si="5"/>
        <v>-3.1309606480953347</v>
      </c>
      <c r="K7">
        <f t="shared" si="6"/>
        <v>-0.39484515177521751</v>
      </c>
      <c r="L7">
        <v>1</v>
      </c>
      <c r="M7">
        <f t="shared" si="7"/>
        <v>0.39471457002513444</v>
      </c>
      <c r="N7">
        <f t="shared" ref="N7:N70" si="13">D7*A7</f>
        <v>3.7779584300000001E-3</v>
      </c>
      <c r="O7">
        <f t="shared" si="11"/>
        <v>3.2756865E-3</v>
      </c>
      <c r="P7">
        <f t="shared" si="12"/>
        <v>-6.9230631799169304E-3</v>
      </c>
      <c r="V7">
        <v>-5.7</v>
      </c>
      <c r="W7">
        <f t="shared" si="9"/>
        <v>-0.298093</v>
      </c>
      <c r="Y7">
        <v>0.03</v>
      </c>
      <c r="Z7">
        <f t="shared" si="10"/>
        <v>-0.12417030000000001</v>
      </c>
      <c r="AB7" t="s">
        <v>33</v>
      </c>
      <c r="AC7">
        <f>-AB3/AB4</f>
        <v>3.875117256407961E-2</v>
      </c>
    </row>
    <row r="8" spans="1:29" x14ac:dyDescent="0.3">
      <c r="A8">
        <v>0.27133415</v>
      </c>
      <c r="B8">
        <v>0.81901000000000002</v>
      </c>
      <c r="C8">
        <f t="shared" si="1"/>
        <v>0.22222538219150001</v>
      </c>
      <c r="D8">
        <v>1.7299999999999999E-2</v>
      </c>
      <c r="E8" s="1">
        <v>1.4999999999999999E-2</v>
      </c>
      <c r="F8">
        <f t="shared" si="2"/>
        <v>54.266829999999999</v>
      </c>
      <c r="G8">
        <f t="shared" si="3"/>
        <v>-0.81901000000000002</v>
      </c>
      <c r="H8">
        <f t="shared" si="4"/>
        <v>-44.445076438299999</v>
      </c>
      <c r="I8">
        <v>1</v>
      </c>
      <c r="J8">
        <f t="shared" si="5"/>
        <v>-2.9138421042583267</v>
      </c>
      <c r="K8">
        <f t="shared" si="6"/>
        <v>-0.40271515177521744</v>
      </c>
      <c r="L8">
        <v>1</v>
      </c>
      <c r="M8">
        <f t="shared" si="7"/>
        <v>0.40288039845884432</v>
      </c>
      <c r="N8">
        <f t="shared" si="13"/>
        <v>4.6940807949999996E-3</v>
      </c>
      <c r="O8">
        <f t="shared" si="11"/>
        <v>4.0700122499999995E-3</v>
      </c>
      <c r="P8">
        <f t="shared" si="12"/>
        <v>-8.9293397286268842E-3</v>
      </c>
      <c r="V8">
        <v>-5.6</v>
      </c>
      <c r="W8">
        <f t="shared" si="9"/>
        <v>-0.30185400000000001</v>
      </c>
      <c r="Y8">
        <v>0.04</v>
      </c>
      <c r="Z8">
        <f t="shared" si="10"/>
        <v>1.7719600000000058E-2</v>
      </c>
    </row>
    <row r="9" spans="1:29" x14ac:dyDescent="0.3">
      <c r="A9">
        <v>0.32225250000000005</v>
      </c>
      <c r="B9">
        <v>0.81245999999999996</v>
      </c>
      <c r="C9">
        <f t="shared" si="1"/>
        <v>0.26181726615000001</v>
      </c>
      <c r="D9">
        <v>1.7299999999999999E-2</v>
      </c>
      <c r="E9" s="1">
        <v>1.4999999999999999E-2</v>
      </c>
      <c r="F9">
        <f t="shared" si="2"/>
        <v>64.450500000000005</v>
      </c>
      <c r="G9">
        <f t="shared" si="3"/>
        <v>-0.81245999999999996</v>
      </c>
      <c r="H9">
        <f t="shared" si="4"/>
        <v>-52.363453230000005</v>
      </c>
      <c r="I9">
        <v>1</v>
      </c>
      <c r="J9">
        <f t="shared" si="5"/>
        <v>-2.7418577916751325</v>
      </c>
      <c r="K9">
        <f t="shared" si="6"/>
        <v>-0.4092651517752175</v>
      </c>
      <c r="L9">
        <v>1</v>
      </c>
      <c r="M9">
        <f t="shared" si="7"/>
        <v>0.40934872845509823</v>
      </c>
      <c r="N9">
        <f t="shared" si="13"/>
        <v>5.5749682500000003E-3</v>
      </c>
      <c r="O9">
        <f t="shared" si="11"/>
        <v>4.8337875000000006E-3</v>
      </c>
      <c r="P9">
        <f t="shared" si="12"/>
        <v>-1.0492332429880739E-2</v>
      </c>
      <c r="V9">
        <v>-5.5</v>
      </c>
      <c r="W9">
        <f t="shared" si="9"/>
        <v>-0.30561499999999997</v>
      </c>
      <c r="Y9">
        <v>0.05</v>
      </c>
      <c r="Z9">
        <f t="shared" si="10"/>
        <v>0.15960950000000007</v>
      </c>
      <c r="AB9" t="s">
        <v>35</v>
      </c>
      <c r="AC9">
        <v>3.2829999999999998E-2</v>
      </c>
    </row>
    <row r="10" spans="1:29" x14ac:dyDescent="0.3">
      <c r="A10">
        <v>0.37571674999999999</v>
      </c>
      <c r="B10">
        <v>0.80647000000000002</v>
      </c>
      <c r="C10">
        <f t="shared" si="1"/>
        <v>0.30300428737250001</v>
      </c>
      <c r="D10">
        <v>1.7299999999999999E-2</v>
      </c>
      <c r="E10" s="1">
        <v>1.4999999999999999E-2</v>
      </c>
      <c r="F10">
        <f t="shared" si="2"/>
        <v>75.143349999999998</v>
      </c>
      <c r="G10">
        <f t="shared" si="3"/>
        <v>-0.80647000000000002</v>
      </c>
      <c r="H10">
        <f t="shared" si="4"/>
        <v>-60.600857474500003</v>
      </c>
      <c r="I10">
        <v>1</v>
      </c>
      <c r="J10">
        <f t="shared" si="5"/>
        <v>-2.588357656385889</v>
      </c>
      <c r="K10">
        <f t="shared" si="6"/>
        <v>-0.41525515177521743</v>
      </c>
      <c r="L10">
        <v>1</v>
      </c>
      <c r="M10">
        <f t="shared" si="7"/>
        <v>0.41512186854332672</v>
      </c>
      <c r="N10">
        <f t="shared" si="13"/>
        <v>6.4998997749999999E-3</v>
      </c>
      <c r="O10">
        <f t="shared" si="11"/>
        <v>5.6357512499999995E-3</v>
      </c>
      <c r="P10">
        <f t="shared" si="12"/>
        <v>-1.2002367793109286E-2</v>
      </c>
      <c r="V10">
        <v>-5.4</v>
      </c>
      <c r="W10">
        <f t="shared" si="9"/>
        <v>-0.30937599999999998</v>
      </c>
      <c r="Y10">
        <v>0.06</v>
      </c>
      <c r="Z10">
        <f t="shared" si="10"/>
        <v>0.30149939999999997</v>
      </c>
    </row>
    <row r="11" spans="1:29" x14ac:dyDescent="0.3">
      <c r="A11">
        <v>0.43019934999999998</v>
      </c>
      <c r="B11">
        <v>0.8004</v>
      </c>
      <c r="C11">
        <f t="shared" si="1"/>
        <v>0.34433155973999996</v>
      </c>
      <c r="D11">
        <v>1.7299999999999999E-2</v>
      </c>
      <c r="E11" s="1">
        <v>1.4999999999999999E-2</v>
      </c>
      <c r="F11">
        <f t="shared" si="2"/>
        <v>86.039869999999993</v>
      </c>
      <c r="G11">
        <f t="shared" si="3"/>
        <v>-0.8004</v>
      </c>
      <c r="H11">
        <f t="shared" si="4"/>
        <v>-68.866311947999989</v>
      </c>
      <c r="I11">
        <v>1</v>
      </c>
      <c r="J11">
        <f t="shared" si="5"/>
        <v>-2.4529444855089002</v>
      </c>
      <c r="K11">
        <f t="shared" si="6"/>
        <v>-0.42132515177521745</v>
      </c>
      <c r="L11">
        <v>1</v>
      </c>
      <c r="M11">
        <f t="shared" si="7"/>
        <v>0.42021475790001028</v>
      </c>
      <c r="N11">
        <f t="shared" si="13"/>
        <v>7.4424487549999991E-3</v>
      </c>
      <c r="O11">
        <f t="shared" si="11"/>
        <v>6.4529902499999995E-3</v>
      </c>
      <c r="P11">
        <f t="shared" si="12"/>
        <v>-1.2785045129792828E-2</v>
      </c>
      <c r="V11">
        <v>-5.3</v>
      </c>
      <c r="W11">
        <f t="shared" si="9"/>
        <v>-0.313137</v>
      </c>
      <c r="Y11">
        <v>7.0000000000000007E-2</v>
      </c>
      <c r="Z11">
        <f t="shared" si="10"/>
        <v>0.4433893000000001</v>
      </c>
      <c r="AB11" t="s">
        <v>34</v>
      </c>
      <c r="AC11">
        <f>AC7-AC9</f>
        <v>5.9211725640796117E-3</v>
      </c>
    </row>
    <row r="12" spans="1:29" x14ac:dyDescent="0.3">
      <c r="A12">
        <v>0.48060845000000002</v>
      </c>
      <c r="B12">
        <v>0.79478000000000004</v>
      </c>
      <c r="C12">
        <f t="shared" si="1"/>
        <v>0.38197798389100002</v>
      </c>
      <c r="D12">
        <v>1.7299999999999999E-2</v>
      </c>
      <c r="E12" s="1">
        <v>1.4999999999999999E-2</v>
      </c>
      <c r="F12">
        <f t="shared" si="2"/>
        <v>96.121690000000001</v>
      </c>
      <c r="G12">
        <f t="shared" si="3"/>
        <v>-0.79478000000000004</v>
      </c>
      <c r="H12">
        <f t="shared" si="4"/>
        <v>-76.395596778200002</v>
      </c>
      <c r="I12">
        <v>1</v>
      </c>
      <c r="J12">
        <f t="shared" si="5"/>
        <v>-2.3421402860795033</v>
      </c>
      <c r="K12">
        <f t="shared" si="6"/>
        <v>-0.42694515177521741</v>
      </c>
      <c r="L12">
        <v>1</v>
      </c>
      <c r="M12">
        <f t="shared" si="7"/>
        <v>0.42438210384054986</v>
      </c>
      <c r="N12">
        <f t="shared" si="13"/>
        <v>8.3145261850000006E-3</v>
      </c>
      <c r="O12">
        <f t="shared" si="11"/>
        <v>7.2091267500000002E-3</v>
      </c>
      <c r="P12">
        <f t="shared" si="12"/>
        <v>-1.2960605000332449E-2</v>
      </c>
      <c r="V12">
        <v>-5.2</v>
      </c>
      <c r="W12">
        <f t="shared" si="9"/>
        <v>-0.31689800000000001</v>
      </c>
      <c r="Y12">
        <v>0.08</v>
      </c>
      <c r="Z12">
        <f t="shared" si="10"/>
        <v>0.58527920000000011</v>
      </c>
      <c r="AC12">
        <f>AC11*3</f>
        <v>1.7763517692238835E-2</v>
      </c>
    </row>
    <row r="13" spans="1:29" x14ac:dyDescent="0.3">
      <c r="A13">
        <v>0.53152685</v>
      </c>
      <c r="B13">
        <v>0.78961000000000003</v>
      </c>
      <c r="C13">
        <f t="shared" si="1"/>
        <v>0.41969891602850001</v>
      </c>
      <c r="D13">
        <v>1.7299999999999999E-2</v>
      </c>
      <c r="E13" s="1">
        <v>1.4999999999999999E-2</v>
      </c>
      <c r="F13">
        <f t="shared" si="2"/>
        <v>106.30537</v>
      </c>
      <c r="G13">
        <f t="shared" si="3"/>
        <v>-0.78961000000000003</v>
      </c>
      <c r="H13">
        <f t="shared" si="4"/>
        <v>-83.939783205699996</v>
      </c>
      <c r="I13">
        <v>1</v>
      </c>
      <c r="J13">
        <f t="shared" si="5"/>
        <v>-2.2414394775066211</v>
      </c>
      <c r="K13">
        <f t="shared" si="6"/>
        <v>-0.43211515177521742</v>
      </c>
      <c r="L13">
        <v>1</v>
      </c>
      <c r="M13">
        <f t="shared" si="7"/>
        <v>0.42816946125097599</v>
      </c>
      <c r="N13">
        <f t="shared" si="13"/>
        <v>9.1954145049999991E-3</v>
      </c>
      <c r="O13">
        <f t="shared" si="11"/>
        <v>7.9729027500000001E-3</v>
      </c>
      <c r="P13">
        <f t="shared" si="12"/>
        <v>-1.3222626730758569E-2</v>
      </c>
      <c r="V13">
        <v>-5.0999999999999996</v>
      </c>
      <c r="W13">
        <f t="shared" si="9"/>
        <v>-0.32065900000000003</v>
      </c>
      <c r="Y13">
        <v>0.09</v>
      </c>
      <c r="Z13">
        <f t="shared" si="10"/>
        <v>0.7271690999999999</v>
      </c>
    </row>
    <row r="14" spans="1:29" x14ac:dyDescent="0.3">
      <c r="A14">
        <v>0.58193594999999998</v>
      </c>
      <c r="B14">
        <v>0.78524000000000005</v>
      </c>
      <c r="C14">
        <f t="shared" si="1"/>
        <v>0.45695938537800002</v>
      </c>
      <c r="D14">
        <v>1.7299999999999999E-2</v>
      </c>
      <c r="E14" s="1">
        <v>1.4999999999999999E-2</v>
      </c>
      <c r="F14">
        <f t="shared" si="2"/>
        <v>116.38718999999999</v>
      </c>
      <c r="G14">
        <f t="shared" si="3"/>
        <v>-0.78524000000000005</v>
      </c>
      <c r="H14">
        <f t="shared" si="4"/>
        <v>-91.391877075600007</v>
      </c>
      <c r="I14">
        <v>1</v>
      </c>
      <c r="J14">
        <f t="shared" si="5"/>
        <v>-2.150832801287307</v>
      </c>
      <c r="K14">
        <f t="shared" si="6"/>
        <v>-0.43648515177521741</v>
      </c>
      <c r="L14">
        <v>1</v>
      </c>
      <c r="M14">
        <f t="shared" si="7"/>
        <v>0.43157717834358439</v>
      </c>
      <c r="N14">
        <f t="shared" si="13"/>
        <v>1.0067491934999999E-2</v>
      </c>
      <c r="O14">
        <f t="shared" si="11"/>
        <v>8.7290392499999991E-3</v>
      </c>
      <c r="P14">
        <f t="shared" si="12"/>
        <v>-1.3888557753366981E-2</v>
      </c>
      <c r="V14">
        <v>-5</v>
      </c>
      <c r="W14">
        <f t="shared" si="9"/>
        <v>-0.32441999999999999</v>
      </c>
      <c r="Y14">
        <v>0.1</v>
      </c>
      <c r="Z14">
        <f t="shared" si="10"/>
        <v>0.86905900000000014</v>
      </c>
    </row>
    <row r="15" spans="1:29" x14ac:dyDescent="0.3">
      <c r="A15">
        <v>0.63540019999999997</v>
      </c>
      <c r="B15">
        <v>0.78059999999999996</v>
      </c>
      <c r="C15">
        <f t="shared" si="1"/>
        <v>0.49599339611999993</v>
      </c>
      <c r="D15">
        <v>1.7299999999999999E-2</v>
      </c>
      <c r="E15" s="1">
        <v>1.4999999999999999E-2</v>
      </c>
      <c r="F15">
        <f t="shared" si="2"/>
        <v>127.08004</v>
      </c>
      <c r="G15">
        <f t="shared" si="3"/>
        <v>-0.78059999999999996</v>
      </c>
      <c r="H15">
        <f t="shared" si="4"/>
        <v>-99.198679223999989</v>
      </c>
      <c r="I15">
        <v>1</v>
      </c>
      <c r="J15">
        <f t="shared" si="5"/>
        <v>-2.0629381548185166</v>
      </c>
      <c r="K15">
        <f t="shared" si="6"/>
        <v>-0.44112515177521749</v>
      </c>
      <c r="L15">
        <v>1</v>
      </c>
      <c r="M15">
        <f t="shared" si="7"/>
        <v>0.43488289599727559</v>
      </c>
      <c r="N15">
        <f t="shared" si="13"/>
        <v>1.0992423459999999E-2</v>
      </c>
      <c r="O15">
        <f t="shared" si="11"/>
        <v>9.5310029999999997E-3</v>
      </c>
      <c r="P15">
        <f t="shared" si="12"/>
        <v>-1.4281170682058092E-2</v>
      </c>
      <c r="V15">
        <v>-4.9000000000000004</v>
      </c>
      <c r="W15">
        <f t="shared" si="9"/>
        <v>-0.32818099999999994</v>
      </c>
      <c r="Y15">
        <v>0.11</v>
      </c>
      <c r="Z15">
        <f t="shared" si="10"/>
        <v>1.0109489000000003</v>
      </c>
    </row>
    <row r="16" spans="1:29" x14ac:dyDescent="0.3">
      <c r="A16">
        <v>0.68784615000000005</v>
      </c>
      <c r="B16">
        <v>0.77583999999999997</v>
      </c>
      <c r="C16">
        <f t="shared" si="1"/>
        <v>0.53365855701600007</v>
      </c>
      <c r="D16">
        <v>1.7299999999999999E-2</v>
      </c>
      <c r="E16" s="1">
        <v>1.4999999999999999E-2</v>
      </c>
      <c r="F16">
        <f t="shared" si="2"/>
        <v>137.56923</v>
      </c>
      <c r="G16">
        <f t="shared" si="3"/>
        <v>-0.77583999999999997</v>
      </c>
      <c r="H16">
        <f t="shared" si="4"/>
        <v>-106.73171140320001</v>
      </c>
      <c r="I16">
        <v>1</v>
      </c>
      <c r="J16">
        <f t="shared" si="5"/>
        <v>-1.9836279976754383</v>
      </c>
      <c r="K16">
        <f t="shared" si="6"/>
        <v>-0.44588515177521748</v>
      </c>
      <c r="L16">
        <v>1</v>
      </c>
      <c r="M16">
        <f t="shared" si="7"/>
        <v>0.43786575100742675</v>
      </c>
      <c r="N16">
        <f t="shared" si="13"/>
        <v>1.1899738395E-2</v>
      </c>
      <c r="O16">
        <f t="shared" si="11"/>
        <v>1.031769225E-2</v>
      </c>
      <c r="P16">
        <f t="shared" si="12"/>
        <v>-1.419802987720927E-2</v>
      </c>
      <c r="V16">
        <v>-4.8</v>
      </c>
      <c r="W16">
        <f t="shared" si="9"/>
        <v>-0.33194199999999996</v>
      </c>
      <c r="Y16">
        <v>0.12</v>
      </c>
      <c r="Z16">
        <f t="shared" si="10"/>
        <v>1.1528388000000001</v>
      </c>
    </row>
    <row r="17" spans="1:26" x14ac:dyDescent="0.3">
      <c r="A17">
        <v>0.73825525000000003</v>
      </c>
      <c r="B17">
        <v>0.77151000000000003</v>
      </c>
      <c r="C17">
        <f t="shared" si="1"/>
        <v>0.56957130792749999</v>
      </c>
      <c r="D17">
        <v>1.7299999999999999E-2</v>
      </c>
      <c r="E17" s="1">
        <v>1.4999999999999999E-2</v>
      </c>
      <c r="F17">
        <f t="shared" si="2"/>
        <v>147.65105</v>
      </c>
      <c r="G17">
        <f t="shared" si="3"/>
        <v>-0.77151000000000003</v>
      </c>
      <c r="H17">
        <f t="shared" si="4"/>
        <v>-113.9142615855</v>
      </c>
      <c r="I17">
        <v>1</v>
      </c>
      <c r="J17">
        <f t="shared" si="5"/>
        <v>-1.912903559405368</v>
      </c>
      <c r="K17">
        <f t="shared" si="6"/>
        <v>-0.45021515177521743</v>
      </c>
      <c r="L17">
        <v>1</v>
      </c>
      <c r="M17">
        <f t="shared" si="7"/>
        <v>0.44052569713076406</v>
      </c>
      <c r="N17">
        <f t="shared" si="13"/>
        <v>1.2771815824999999E-2</v>
      </c>
      <c r="O17">
        <f t="shared" si="11"/>
        <v>1.107382875E-2</v>
      </c>
      <c r="P17">
        <f t="shared" si="12"/>
        <v>-1.4156189930546634E-2</v>
      </c>
      <c r="V17">
        <v>-4.7</v>
      </c>
      <c r="W17">
        <f t="shared" si="9"/>
        <v>-0.33570299999999997</v>
      </c>
      <c r="Y17">
        <v>0.13</v>
      </c>
      <c r="Z17">
        <f t="shared" si="10"/>
        <v>1.2947287000000003</v>
      </c>
    </row>
    <row r="18" spans="1:26" x14ac:dyDescent="0.3">
      <c r="A18">
        <v>0.78968270000000007</v>
      </c>
      <c r="B18">
        <v>0.76751999999999998</v>
      </c>
      <c r="C18">
        <f t="shared" si="1"/>
        <v>0.60609726590400004</v>
      </c>
      <c r="D18">
        <v>1.7299999999999999E-2</v>
      </c>
      <c r="E18" s="1">
        <v>1.4999999999999999E-2</v>
      </c>
      <c r="F18">
        <f t="shared" si="2"/>
        <v>157.93654000000001</v>
      </c>
      <c r="G18">
        <f t="shared" si="3"/>
        <v>-0.76751999999999998</v>
      </c>
      <c r="H18">
        <f t="shared" si="4"/>
        <v>-121.2194531808</v>
      </c>
      <c r="I18">
        <v>1</v>
      </c>
      <c r="J18">
        <f t="shared" si="5"/>
        <v>-1.8455619722059764</v>
      </c>
      <c r="K18">
        <f t="shared" si="6"/>
        <v>-0.45420515177521747</v>
      </c>
      <c r="L18">
        <v>1</v>
      </c>
      <c r="M18">
        <f t="shared" si="7"/>
        <v>0.44305841422533321</v>
      </c>
      <c r="N18">
        <f t="shared" si="13"/>
        <v>1.3661510710000001E-2</v>
      </c>
      <c r="O18">
        <f t="shared" si="11"/>
        <v>1.1845240500000001E-2</v>
      </c>
      <c r="P18">
        <f t="shared" si="12"/>
        <v>-1.4360013660115736E-2</v>
      </c>
      <c r="V18">
        <v>-4.5999999999999996</v>
      </c>
      <c r="W18">
        <f t="shared" si="9"/>
        <v>-0.33946399999999999</v>
      </c>
      <c r="Y18">
        <v>0.14000000000000001</v>
      </c>
      <c r="Z18">
        <f t="shared" si="10"/>
        <v>1.4366186000000001</v>
      </c>
    </row>
    <row r="19" spans="1:26" x14ac:dyDescent="0.3">
      <c r="A19">
        <v>0.84263779999999999</v>
      </c>
      <c r="B19">
        <v>0.76310999999999996</v>
      </c>
      <c r="C19">
        <f t="shared" si="1"/>
        <v>0.6430253315579999</v>
      </c>
      <c r="D19">
        <v>1.7299999999999999E-2</v>
      </c>
      <c r="E19" s="1">
        <v>1.4999999999999999E-2</v>
      </c>
      <c r="F19">
        <f t="shared" si="2"/>
        <v>168.52755999999999</v>
      </c>
      <c r="G19">
        <f t="shared" si="3"/>
        <v>-0.76310999999999996</v>
      </c>
      <c r="H19">
        <f t="shared" si="4"/>
        <v>-128.60506631159998</v>
      </c>
      <c r="I19">
        <v>1</v>
      </c>
      <c r="J19">
        <f t="shared" si="5"/>
        <v>-1.7806559817334744</v>
      </c>
      <c r="K19">
        <f t="shared" si="6"/>
        <v>-0.4586151517752175</v>
      </c>
      <c r="L19">
        <v>1</v>
      </c>
      <c r="M19">
        <f t="shared" si="7"/>
        <v>0.44549952852700403</v>
      </c>
      <c r="N19">
        <f t="shared" si="13"/>
        <v>1.4577633939999999E-2</v>
      </c>
      <c r="O19">
        <f t="shared" si="11"/>
        <v>1.2639566999999999E-2</v>
      </c>
      <c r="P19">
        <f t="shared" si="12"/>
        <v>-1.4101577691786528E-2</v>
      </c>
      <c r="V19">
        <v>-4.5000000000000098</v>
      </c>
      <c r="W19">
        <f t="shared" si="9"/>
        <v>-0.34322499999999961</v>
      </c>
      <c r="Y19">
        <v>0.15</v>
      </c>
      <c r="Z19">
        <f t="shared" si="10"/>
        <v>1.5785084999999999</v>
      </c>
    </row>
    <row r="20" spans="1:26" x14ac:dyDescent="0.3">
      <c r="A20">
        <v>0.89355614999999999</v>
      </c>
      <c r="B20">
        <v>0.75932999999999995</v>
      </c>
      <c r="C20">
        <f t="shared" si="1"/>
        <v>0.6785039913794999</v>
      </c>
      <c r="D20">
        <v>1.7299999999999999E-2</v>
      </c>
      <c r="E20" s="1">
        <v>1.4999999999999999E-2</v>
      </c>
      <c r="F20">
        <f t="shared" si="2"/>
        <v>178.71123</v>
      </c>
      <c r="G20">
        <f t="shared" si="3"/>
        <v>-0.75932999999999995</v>
      </c>
      <c r="H20">
        <f t="shared" si="4"/>
        <v>-135.70079827589998</v>
      </c>
      <c r="I20">
        <v>1</v>
      </c>
      <c r="J20">
        <f t="shared" si="5"/>
        <v>-1.7219840160380602</v>
      </c>
      <c r="K20">
        <f t="shared" si="6"/>
        <v>-0.46239515177521751</v>
      </c>
      <c r="L20">
        <v>1</v>
      </c>
      <c r="M20">
        <f t="shared" si="7"/>
        <v>0.44770618115680855</v>
      </c>
      <c r="N20">
        <f t="shared" si="13"/>
        <v>1.5458521394999999E-2</v>
      </c>
      <c r="O20">
        <f t="shared" si="11"/>
        <v>1.340334225E-2</v>
      </c>
      <c r="P20">
        <f t="shared" si="12"/>
        <v>-1.4172893026591041E-2</v>
      </c>
      <c r="V20">
        <v>-4.4000000000000101</v>
      </c>
      <c r="W20">
        <f t="shared" si="9"/>
        <v>-0.34698599999999957</v>
      </c>
      <c r="Y20">
        <v>0.16</v>
      </c>
      <c r="Z20">
        <f t="shared" si="10"/>
        <v>1.7203984000000001</v>
      </c>
    </row>
    <row r="21" spans="1:26" x14ac:dyDescent="0.3">
      <c r="A21">
        <v>0.94549279999999991</v>
      </c>
      <c r="B21">
        <v>0.75548999999999999</v>
      </c>
      <c r="C21">
        <f t="shared" si="1"/>
        <v>0.71431035547199995</v>
      </c>
      <c r="D21">
        <v>1.7299999999999999E-2</v>
      </c>
      <c r="E21" s="1">
        <v>1.4999999999999999E-2</v>
      </c>
      <c r="F21">
        <f t="shared" si="2"/>
        <v>189.09855999999999</v>
      </c>
      <c r="G21">
        <f t="shared" si="3"/>
        <v>-0.75548999999999999</v>
      </c>
      <c r="H21">
        <f t="shared" si="4"/>
        <v>-142.86207109439999</v>
      </c>
      <c r="I21">
        <v>1</v>
      </c>
      <c r="J21">
        <f t="shared" si="5"/>
        <v>-1.6654869183652283</v>
      </c>
      <c r="K21">
        <f t="shared" si="6"/>
        <v>-0.46623515177521746</v>
      </c>
      <c r="L21">
        <v>1</v>
      </c>
      <c r="M21">
        <f t="shared" si="7"/>
        <v>0.44983103700028376</v>
      </c>
      <c r="N21">
        <f t="shared" si="13"/>
        <v>1.6357025439999999E-2</v>
      </c>
      <c r="O21">
        <f t="shared" si="11"/>
        <v>1.4182391999999999E-2</v>
      </c>
      <c r="P21">
        <f t="shared" si="12"/>
        <v>-1.41353026650663E-2</v>
      </c>
      <c r="V21">
        <v>-4.3000000000000096</v>
      </c>
      <c r="W21">
        <f t="shared" si="9"/>
        <v>-0.35074699999999964</v>
      </c>
      <c r="Y21">
        <v>0.17</v>
      </c>
      <c r="Z21">
        <f t="shared" si="10"/>
        <v>1.8622883000000003</v>
      </c>
    </row>
    <row r="22" spans="1:26" x14ac:dyDescent="0.3">
      <c r="A22">
        <v>0.99895705000000001</v>
      </c>
      <c r="B22">
        <v>0.75161</v>
      </c>
      <c r="C22">
        <f t="shared" si="1"/>
        <v>0.75082610835050001</v>
      </c>
      <c r="D22">
        <v>1.7299999999999999E-2</v>
      </c>
      <c r="E22" s="1">
        <v>1.4999999999999999E-2</v>
      </c>
      <c r="F22">
        <f t="shared" si="2"/>
        <v>199.79141000000001</v>
      </c>
      <c r="G22">
        <f t="shared" si="3"/>
        <v>-0.75161</v>
      </c>
      <c r="H22">
        <f t="shared" si="4"/>
        <v>-150.16522167010001</v>
      </c>
      <c r="I22">
        <v>1</v>
      </c>
      <c r="J22">
        <f t="shared" si="5"/>
        <v>-1.610481406684902</v>
      </c>
      <c r="K22">
        <f t="shared" si="6"/>
        <v>-0.47011515177521745</v>
      </c>
      <c r="L22">
        <v>1</v>
      </c>
      <c r="M22">
        <f t="shared" si="7"/>
        <v>0.45189979429458083</v>
      </c>
      <c r="N22">
        <f t="shared" si="13"/>
        <v>1.7281956965000001E-2</v>
      </c>
      <c r="O22">
        <f t="shared" si="11"/>
        <v>1.4984355749999999E-2</v>
      </c>
      <c r="P22">
        <f t="shared" si="12"/>
        <v>-1.4050955234363371E-2</v>
      </c>
      <c r="V22">
        <v>-4.2000000000000099</v>
      </c>
      <c r="W22">
        <f t="shared" si="9"/>
        <v>-0.3545079999999996</v>
      </c>
      <c r="Y22">
        <v>0.18</v>
      </c>
      <c r="Z22">
        <f t="shared" si="10"/>
        <v>2.0041781999999997</v>
      </c>
    </row>
    <row r="23" spans="1:26" x14ac:dyDescent="0.3">
      <c r="A23">
        <v>1.0493663</v>
      </c>
      <c r="B23">
        <v>0.74795</v>
      </c>
      <c r="C23">
        <f t="shared" si="1"/>
        <v>0.784873524085</v>
      </c>
      <c r="D23">
        <v>1.7299999999999999E-2</v>
      </c>
      <c r="E23" s="1">
        <v>1.4999999999999999E-2</v>
      </c>
      <c r="F23">
        <f t="shared" si="2"/>
        <v>209.87325999999999</v>
      </c>
      <c r="G23">
        <f t="shared" si="3"/>
        <v>-0.74795</v>
      </c>
      <c r="H23">
        <f t="shared" si="4"/>
        <v>-156.974704817</v>
      </c>
      <c r="I23">
        <v>1</v>
      </c>
      <c r="J23">
        <f t="shared" si="5"/>
        <v>-1.5612514542679958</v>
      </c>
      <c r="K23">
        <f t="shared" si="6"/>
        <v>-0.47377515177521745</v>
      </c>
      <c r="L23">
        <v>1</v>
      </c>
      <c r="M23">
        <f t="shared" si="7"/>
        <v>0.45375133280498064</v>
      </c>
      <c r="N23">
        <f t="shared" si="13"/>
        <v>1.8154036990000001E-2</v>
      </c>
      <c r="O23">
        <f t="shared" si="11"/>
        <v>1.57404945E-2</v>
      </c>
      <c r="P23">
        <f t="shared" si="12"/>
        <v>-1.3870712519763195E-2</v>
      </c>
      <c r="V23">
        <v>-4.1000000000000103</v>
      </c>
      <c r="W23">
        <f t="shared" si="9"/>
        <v>-0.35826899999999962</v>
      </c>
      <c r="Y23">
        <v>0.19</v>
      </c>
      <c r="Z23">
        <f t="shared" si="10"/>
        <v>2.1460680999999999</v>
      </c>
    </row>
    <row r="24" spans="1:26" x14ac:dyDescent="0.3">
      <c r="A24">
        <v>1.1002845000000001</v>
      </c>
      <c r="B24">
        <v>0.74448999999999999</v>
      </c>
      <c r="C24">
        <f t="shared" si="1"/>
        <v>0.81915080740500001</v>
      </c>
      <c r="D24">
        <v>1.7299999999999999E-2</v>
      </c>
      <c r="E24" s="1">
        <v>1.4999999999999999E-2</v>
      </c>
      <c r="F24">
        <f t="shared" si="2"/>
        <v>220.05690000000001</v>
      </c>
      <c r="G24">
        <f t="shared" si="3"/>
        <v>-0.74448999999999999</v>
      </c>
      <c r="H24">
        <f t="shared" si="4"/>
        <v>-163.830161481</v>
      </c>
      <c r="I24">
        <v>1</v>
      </c>
      <c r="J24">
        <f t="shared" si="5"/>
        <v>-1.5138691297067577</v>
      </c>
      <c r="K24">
        <f t="shared" si="6"/>
        <v>-0.47723515177521747</v>
      </c>
      <c r="L24">
        <v>1</v>
      </c>
      <c r="M24">
        <f t="shared" si="7"/>
        <v>0.45553338203172883</v>
      </c>
      <c r="N24">
        <f t="shared" si="13"/>
        <v>1.9034921850000001E-2</v>
      </c>
      <c r="O24">
        <f t="shared" si="11"/>
        <v>1.6504267500000003E-2</v>
      </c>
      <c r="P24">
        <f t="shared" si="12"/>
        <v>-1.3837419606511362E-2</v>
      </c>
      <c r="V24">
        <v>-4.0000000000000098</v>
      </c>
      <c r="W24">
        <f t="shared" si="9"/>
        <v>-0.36202999999999963</v>
      </c>
      <c r="Y24">
        <v>0.2</v>
      </c>
      <c r="Z24">
        <f t="shared" si="10"/>
        <v>2.2879580000000002</v>
      </c>
    </row>
    <row r="25" spans="1:26" x14ac:dyDescent="0.3">
      <c r="A25">
        <v>1.1532396</v>
      </c>
      <c r="B25">
        <v>0.74106000000000005</v>
      </c>
      <c r="C25">
        <f t="shared" si="1"/>
        <v>0.8546197379760001</v>
      </c>
      <c r="D25">
        <v>1.7299999999999999E-2</v>
      </c>
      <c r="E25" s="1">
        <v>1.4999999999999999E-2</v>
      </c>
      <c r="F25">
        <f t="shared" si="2"/>
        <v>230.64792</v>
      </c>
      <c r="G25">
        <f t="shared" si="3"/>
        <v>-0.74106000000000005</v>
      </c>
      <c r="H25">
        <f t="shared" si="4"/>
        <v>-170.92394759520002</v>
      </c>
      <c r="I25">
        <v>1</v>
      </c>
      <c r="J25">
        <f t="shared" si="5"/>
        <v>-1.4668628870115994</v>
      </c>
      <c r="K25">
        <f t="shared" si="6"/>
        <v>-0.4806651517752174</v>
      </c>
      <c r="L25">
        <v>1</v>
      </c>
      <c r="M25">
        <f t="shared" si="7"/>
        <v>0.45730128681949372</v>
      </c>
      <c r="N25">
        <f t="shared" si="13"/>
        <v>1.995104508E-2</v>
      </c>
      <c r="O25">
        <f t="shared" si="11"/>
        <v>1.7298594E-2</v>
      </c>
      <c r="P25">
        <f t="shared" si="12"/>
        <v>-1.3885774124276322E-2</v>
      </c>
      <c r="V25">
        <v>-3.9000000000000101</v>
      </c>
      <c r="W25">
        <f t="shared" si="9"/>
        <v>-0.36579099999999964</v>
      </c>
      <c r="Y25">
        <v>0.21</v>
      </c>
      <c r="Z25">
        <f t="shared" si="10"/>
        <v>2.4298478999999999</v>
      </c>
    </row>
    <row r="26" spans="1:26" x14ac:dyDescent="0.3">
      <c r="A26">
        <v>1.2072130999999999</v>
      </c>
      <c r="B26">
        <v>0.73734999999999995</v>
      </c>
      <c r="C26">
        <f t="shared" si="1"/>
        <v>0.89013857928499984</v>
      </c>
      <c r="D26">
        <v>1.7299999999999999E-2</v>
      </c>
      <c r="E26" s="1">
        <v>1.4999999999999999E-2</v>
      </c>
      <c r="F26">
        <f t="shared" si="2"/>
        <v>241.44261999999998</v>
      </c>
      <c r="G26">
        <f t="shared" si="3"/>
        <v>-0.73734999999999995</v>
      </c>
      <c r="H26">
        <f t="shared" si="4"/>
        <v>-178.02771585699998</v>
      </c>
      <c r="I26">
        <v>1</v>
      </c>
      <c r="J26">
        <f t="shared" si="5"/>
        <v>-1.4211234324641535</v>
      </c>
      <c r="K26">
        <f t="shared" si="6"/>
        <v>-0.48437515177521751</v>
      </c>
      <c r="L26">
        <v>1</v>
      </c>
      <c r="M26">
        <f t="shared" si="7"/>
        <v>0.45902154770502318</v>
      </c>
      <c r="N26">
        <f t="shared" si="13"/>
        <v>2.0884786629999999E-2</v>
      </c>
      <c r="O26">
        <f t="shared" si="11"/>
        <v>1.81081965E-2</v>
      </c>
      <c r="P26">
        <f t="shared" si="12"/>
        <v>-1.3639379059805674E-2</v>
      </c>
      <c r="V26">
        <v>-3.80000000000001</v>
      </c>
      <c r="W26">
        <f t="shared" si="9"/>
        <v>-0.3695519999999996</v>
      </c>
      <c r="Y26">
        <v>0.22</v>
      </c>
      <c r="Z26">
        <f t="shared" si="10"/>
        <v>2.5717378000000002</v>
      </c>
    </row>
    <row r="27" spans="1:26" x14ac:dyDescent="0.3">
      <c r="A27">
        <v>1.2596588</v>
      </c>
      <c r="B27">
        <v>0.7339</v>
      </c>
      <c r="C27">
        <f t="shared" si="1"/>
        <v>0.92446359331999994</v>
      </c>
      <c r="D27">
        <v>1.7299999999999999E-2</v>
      </c>
      <c r="E27" s="1">
        <v>1.4999999999999999E-2</v>
      </c>
      <c r="F27">
        <f t="shared" si="2"/>
        <v>251.93176</v>
      </c>
      <c r="G27">
        <f t="shared" si="3"/>
        <v>-0.7339</v>
      </c>
      <c r="H27">
        <f t="shared" si="4"/>
        <v>-184.892718664</v>
      </c>
      <c r="I27">
        <v>1</v>
      </c>
      <c r="J27">
        <f t="shared" si="5"/>
        <v>-1.3785970217927284</v>
      </c>
      <c r="K27">
        <f t="shared" si="6"/>
        <v>-0.48782515177521746</v>
      </c>
      <c r="L27">
        <v>1</v>
      </c>
      <c r="M27">
        <f t="shared" si="7"/>
        <v>0.4606209660103755</v>
      </c>
      <c r="N27">
        <f t="shared" si="13"/>
        <v>2.1792097239999999E-2</v>
      </c>
      <c r="O27">
        <f t="shared" si="11"/>
        <v>1.8894881999999998E-2</v>
      </c>
      <c r="P27">
        <f t="shared" si="12"/>
        <v>-1.3482793475158038E-2</v>
      </c>
      <c r="V27">
        <v>-3.7000000000000099</v>
      </c>
      <c r="W27">
        <f t="shared" si="9"/>
        <v>-0.37331299999999962</v>
      </c>
      <c r="Y27">
        <v>0.23</v>
      </c>
      <c r="Z27">
        <f t="shared" si="10"/>
        <v>2.7136277</v>
      </c>
    </row>
    <row r="28" spans="1:26" x14ac:dyDescent="0.3">
      <c r="A28">
        <v>1.3131231999999999</v>
      </c>
      <c r="B28">
        <v>0.73058999999999996</v>
      </c>
      <c r="C28">
        <f t="shared" si="1"/>
        <v>0.95935467868799995</v>
      </c>
      <c r="D28">
        <v>1.7299999999999999E-2</v>
      </c>
      <c r="E28" s="1">
        <v>1.4999999999999999E-2</v>
      </c>
      <c r="F28">
        <f t="shared" si="2"/>
        <v>262.62464</v>
      </c>
      <c r="G28">
        <f t="shared" si="3"/>
        <v>-0.73058999999999996</v>
      </c>
      <c r="H28">
        <f t="shared" si="4"/>
        <v>-191.87093573759998</v>
      </c>
      <c r="I28">
        <v>1</v>
      </c>
      <c r="J28">
        <f t="shared" si="5"/>
        <v>-1.337029490593733</v>
      </c>
      <c r="K28">
        <f t="shared" si="6"/>
        <v>-0.49113515177521749</v>
      </c>
      <c r="L28">
        <v>1</v>
      </c>
      <c r="M28">
        <f t="shared" si="7"/>
        <v>0.4621843208587697</v>
      </c>
      <c r="N28">
        <f t="shared" si="13"/>
        <v>2.2717031359999997E-2</v>
      </c>
      <c r="O28">
        <f t="shared" si="11"/>
        <v>1.9696847999999999E-2</v>
      </c>
      <c r="P28">
        <f t="shared" si="12"/>
        <v>-1.3463048443552207E-2</v>
      </c>
      <c r="V28">
        <v>-3.6000000000000099</v>
      </c>
      <c r="W28">
        <f t="shared" si="9"/>
        <v>-0.37707399999999963</v>
      </c>
      <c r="Y28">
        <v>0.24</v>
      </c>
      <c r="Z28">
        <f t="shared" si="10"/>
        <v>2.8555175999999998</v>
      </c>
    </row>
    <row r="29" spans="1:26" x14ac:dyDescent="0.3">
      <c r="A29">
        <v>1.3665874</v>
      </c>
      <c r="B29">
        <v>0.72719</v>
      </c>
      <c r="C29">
        <f t="shared" si="1"/>
        <v>0.99376869140599999</v>
      </c>
      <c r="D29">
        <v>1.7299999999999999E-2</v>
      </c>
      <c r="E29" s="1">
        <v>1.4999999999999999E-2</v>
      </c>
      <c r="F29">
        <f t="shared" si="2"/>
        <v>273.31747999999999</v>
      </c>
      <c r="G29">
        <f t="shared" si="3"/>
        <v>-0.72719</v>
      </c>
      <c r="H29">
        <f t="shared" si="4"/>
        <v>-198.75373828119999</v>
      </c>
      <c r="I29">
        <v>1</v>
      </c>
      <c r="J29">
        <f t="shared" si="5"/>
        <v>-1.2971212290740131</v>
      </c>
      <c r="K29">
        <f t="shared" si="6"/>
        <v>-0.49453515177521745</v>
      </c>
      <c r="L29">
        <v>1</v>
      </c>
      <c r="M29">
        <f t="shared" si="7"/>
        <v>0.46368527057452635</v>
      </c>
      <c r="N29">
        <f t="shared" si="13"/>
        <v>2.3641962020000001E-2</v>
      </c>
      <c r="O29">
        <f t="shared" si="11"/>
        <v>2.0498810999999999E-2</v>
      </c>
      <c r="P29">
        <f t="shared" si="12"/>
        <v>-1.3290891819308901E-2</v>
      </c>
      <c r="V29">
        <v>-3.5000000000000102</v>
      </c>
      <c r="W29">
        <f t="shared" si="9"/>
        <v>-0.38083499999999959</v>
      </c>
      <c r="Y29">
        <v>0.25</v>
      </c>
      <c r="Z29">
        <f t="shared" si="10"/>
        <v>2.9974075</v>
      </c>
    </row>
    <row r="30" spans="1:26" x14ac:dyDescent="0.3">
      <c r="A30">
        <v>1.4175058999999999</v>
      </c>
      <c r="B30">
        <v>0.72372000000000003</v>
      </c>
      <c r="C30">
        <f t="shared" si="1"/>
        <v>1.0258773699479999</v>
      </c>
      <c r="D30">
        <v>1.7299999999999999E-2</v>
      </c>
      <c r="E30" s="1">
        <v>1.4999999999999999E-2</v>
      </c>
      <c r="F30">
        <f t="shared" si="2"/>
        <v>283.50117999999998</v>
      </c>
      <c r="G30">
        <f t="shared" si="3"/>
        <v>-0.72372000000000003</v>
      </c>
      <c r="H30">
        <f t="shared" si="4"/>
        <v>-205.17547398959999</v>
      </c>
      <c r="I30">
        <v>1</v>
      </c>
      <c r="J30">
        <f t="shared" si="5"/>
        <v>-1.2605389935654969</v>
      </c>
      <c r="K30">
        <f t="shared" si="6"/>
        <v>-0.49800515177521743</v>
      </c>
      <c r="L30">
        <v>1</v>
      </c>
      <c r="M30">
        <f t="shared" si="7"/>
        <v>0.46506112845200165</v>
      </c>
      <c r="N30">
        <f t="shared" si="13"/>
        <v>2.4522852069999997E-2</v>
      </c>
      <c r="O30">
        <f t="shared" si="11"/>
        <v>2.1262588499999999E-2</v>
      </c>
      <c r="P30">
        <f t="shared" si="12"/>
        <v>-1.2841417246784219E-2</v>
      </c>
      <c r="V30">
        <v>-3.4000000000000101</v>
      </c>
      <c r="W30">
        <f t="shared" si="9"/>
        <v>-0.3845959999999996</v>
      </c>
      <c r="Y30">
        <v>0.26</v>
      </c>
      <c r="Z30">
        <f t="shared" si="10"/>
        <v>3.1392974000000002</v>
      </c>
    </row>
    <row r="31" spans="1:26" x14ac:dyDescent="0.3">
      <c r="A31">
        <v>1.4684241</v>
      </c>
      <c r="B31">
        <v>0.72077999999999998</v>
      </c>
      <c r="C31">
        <f t="shared" si="1"/>
        <v>1.058410722798</v>
      </c>
      <c r="D31">
        <v>1.7299999999999999E-2</v>
      </c>
      <c r="E31" s="1">
        <v>1.4999999999999999E-2</v>
      </c>
      <c r="F31">
        <f t="shared" si="2"/>
        <v>293.68482</v>
      </c>
      <c r="G31">
        <f t="shared" si="3"/>
        <v>-0.72077999999999998</v>
      </c>
      <c r="H31">
        <f t="shared" si="4"/>
        <v>-211.6821445596</v>
      </c>
      <c r="I31">
        <v>1</v>
      </c>
      <c r="J31">
        <f t="shared" si="5"/>
        <v>-1.225248127506557</v>
      </c>
      <c r="K31">
        <f t="shared" si="6"/>
        <v>-0.50094515177521748</v>
      </c>
      <c r="L31">
        <v>1</v>
      </c>
      <c r="M31">
        <f t="shared" si="7"/>
        <v>0.46638841792447838</v>
      </c>
      <c r="N31">
        <f t="shared" si="13"/>
        <v>2.540373693E-2</v>
      </c>
      <c r="O31">
        <f t="shared" si="11"/>
        <v>2.2026361500000001E-2</v>
      </c>
      <c r="P31">
        <f t="shared" si="12"/>
        <v>-1.2873364579260905E-2</v>
      </c>
      <c r="V31">
        <v>-3.30000000000001</v>
      </c>
      <c r="W31">
        <f t="shared" si="9"/>
        <v>-0.38835699999999962</v>
      </c>
      <c r="Y31">
        <v>0.27</v>
      </c>
      <c r="Z31">
        <f t="shared" si="10"/>
        <v>3.2811873000000005</v>
      </c>
    </row>
    <row r="32" spans="1:26" x14ac:dyDescent="0.3">
      <c r="A32">
        <v>1.5193424</v>
      </c>
      <c r="B32">
        <v>0.71767000000000003</v>
      </c>
      <c r="C32">
        <f t="shared" si="1"/>
        <v>1.090386460208</v>
      </c>
      <c r="D32">
        <v>1.7299999999999999E-2</v>
      </c>
      <c r="E32" s="1">
        <v>1.4999999999999999E-2</v>
      </c>
      <c r="F32">
        <f t="shared" si="2"/>
        <v>303.86847999999998</v>
      </c>
      <c r="G32">
        <f t="shared" si="3"/>
        <v>-0.71767000000000003</v>
      </c>
      <c r="H32">
        <f t="shared" si="4"/>
        <v>-218.0772920416</v>
      </c>
      <c r="I32">
        <v>1</v>
      </c>
      <c r="J32">
        <f t="shared" si="5"/>
        <v>-1.1911603027669049</v>
      </c>
      <c r="K32">
        <f t="shared" si="6"/>
        <v>-0.50405515177521742</v>
      </c>
      <c r="L32">
        <v>1</v>
      </c>
      <c r="M32">
        <f t="shared" si="7"/>
        <v>0.46767046101293669</v>
      </c>
      <c r="N32">
        <f t="shared" si="13"/>
        <v>2.6284623519999998E-2</v>
      </c>
      <c r="O32">
        <f t="shared" si="11"/>
        <v>2.2790135999999999E-2</v>
      </c>
      <c r="P32">
        <f t="shared" si="12"/>
        <v>-1.2690068757719261E-2</v>
      </c>
      <c r="V32">
        <v>-3.2000000000000099</v>
      </c>
      <c r="W32">
        <f t="shared" si="9"/>
        <v>-0.39211799999999963</v>
      </c>
    </row>
    <row r="33" spans="1:23" x14ac:dyDescent="0.3">
      <c r="A33">
        <v>1.5697515000000002</v>
      </c>
      <c r="B33">
        <v>0.71440000000000003</v>
      </c>
      <c r="C33">
        <f t="shared" si="1"/>
        <v>1.1214304716000001</v>
      </c>
      <c r="D33">
        <v>1.7299999999999999E-2</v>
      </c>
      <c r="E33" s="1">
        <v>1.4999999999999999E-2</v>
      </c>
      <c r="F33">
        <f t="shared" si="2"/>
        <v>313.95030000000003</v>
      </c>
      <c r="G33">
        <f t="shared" si="3"/>
        <v>-0.71440000000000003</v>
      </c>
      <c r="H33">
        <f t="shared" si="4"/>
        <v>-224.28609432000002</v>
      </c>
      <c r="I33">
        <v>1</v>
      </c>
      <c r="J33">
        <f t="shared" si="5"/>
        <v>-1.1585205858563021</v>
      </c>
      <c r="K33">
        <f t="shared" si="6"/>
        <v>-0.50732515177521742</v>
      </c>
      <c r="L33">
        <v>1</v>
      </c>
      <c r="M33">
        <f t="shared" si="7"/>
        <v>0.46889804076594443</v>
      </c>
      <c r="N33">
        <f t="shared" si="13"/>
        <v>2.7156700950000001E-2</v>
      </c>
      <c r="O33">
        <f t="shared" si="11"/>
        <v>2.3546272500000003E-2</v>
      </c>
      <c r="P33">
        <f t="shared" si="12"/>
        <v>-1.2275862440727019E-2</v>
      </c>
      <c r="V33">
        <v>-3.1000000000000099</v>
      </c>
      <c r="W33">
        <f t="shared" si="9"/>
        <v>-0.39587899999999965</v>
      </c>
    </row>
    <row r="34" spans="1:23" x14ac:dyDescent="0.3">
      <c r="A34">
        <v>1.6211791</v>
      </c>
      <c r="B34">
        <v>0.71153999999999995</v>
      </c>
      <c r="C34">
        <f t="shared" si="1"/>
        <v>1.1535337768139999</v>
      </c>
      <c r="D34">
        <v>1.7299999999999999E-2</v>
      </c>
      <c r="E34" s="1">
        <v>1.4999999999999999E-2</v>
      </c>
      <c r="F34">
        <f t="shared" si="2"/>
        <v>324.23581999999999</v>
      </c>
      <c r="G34">
        <f t="shared" si="3"/>
        <v>-0.71153999999999995</v>
      </c>
      <c r="H34">
        <f t="shared" si="4"/>
        <v>-230.70675536279998</v>
      </c>
      <c r="I34">
        <v>1</v>
      </c>
      <c r="J34">
        <f t="shared" si="5"/>
        <v>-1.1262841884303538</v>
      </c>
      <c r="K34">
        <f t="shared" si="6"/>
        <v>-0.5101851517752175</v>
      </c>
      <c r="L34">
        <v>1</v>
      </c>
      <c r="M34">
        <f t="shared" si="7"/>
        <v>0.47011045167313437</v>
      </c>
      <c r="N34">
        <f t="shared" si="13"/>
        <v>2.8046398429999998E-2</v>
      </c>
      <c r="O34">
        <f t="shared" si="11"/>
        <v>2.4317686499999998E-2</v>
      </c>
      <c r="P34">
        <f t="shared" si="12"/>
        <v>-1.2289384827916857E-2</v>
      </c>
      <c r="V34">
        <v>-3.0000000000000102</v>
      </c>
      <c r="W34">
        <f t="shared" si="9"/>
        <v>-0.39963999999999961</v>
      </c>
    </row>
    <row r="35" spans="1:23" x14ac:dyDescent="0.3">
      <c r="A35">
        <v>1.6715880999999999</v>
      </c>
      <c r="B35">
        <v>0.70852000000000004</v>
      </c>
      <c r="C35">
        <f t="shared" si="1"/>
        <v>1.1843536006119999</v>
      </c>
      <c r="D35">
        <v>1.7299999999999999E-2</v>
      </c>
      <c r="E35" s="1">
        <v>1.4999999999999999E-2</v>
      </c>
      <c r="F35">
        <f t="shared" si="2"/>
        <v>334.31761999999998</v>
      </c>
      <c r="G35">
        <f t="shared" si="3"/>
        <v>-0.70852000000000004</v>
      </c>
      <c r="H35">
        <f t="shared" si="4"/>
        <v>-236.87072012239997</v>
      </c>
      <c r="I35">
        <v>1</v>
      </c>
      <c r="J35">
        <f t="shared" si="5"/>
        <v>-1.09566377979579</v>
      </c>
      <c r="K35">
        <f t="shared" si="6"/>
        <v>-0.51320515177521742</v>
      </c>
      <c r="L35">
        <v>1</v>
      </c>
      <c r="M35">
        <f t="shared" si="7"/>
        <v>0.47126208524188035</v>
      </c>
      <c r="N35">
        <f t="shared" si="13"/>
        <v>2.8918474129999996E-2</v>
      </c>
      <c r="O35">
        <f t="shared" si="11"/>
        <v>2.5073821499999999E-2</v>
      </c>
      <c r="P35">
        <f t="shared" si="12"/>
        <v>-1.2049229096662926E-2</v>
      </c>
      <c r="V35">
        <v>-2.9000000000000101</v>
      </c>
      <c r="W35">
        <f t="shared" si="9"/>
        <v>-0.40340099999999962</v>
      </c>
    </row>
    <row r="36" spans="1:23" x14ac:dyDescent="0.3">
      <c r="A36">
        <v>1.7230155999999999</v>
      </c>
      <c r="B36">
        <v>0.70528000000000002</v>
      </c>
      <c r="C36">
        <f t="shared" si="1"/>
        <v>1.2152084423679999</v>
      </c>
      <c r="D36">
        <v>1.7299999999999999E-2</v>
      </c>
      <c r="E36" s="1">
        <v>1.4999999999999999E-2</v>
      </c>
      <c r="F36">
        <f t="shared" si="2"/>
        <v>344.60311999999999</v>
      </c>
      <c r="G36">
        <f t="shared" si="3"/>
        <v>-0.70528000000000002</v>
      </c>
      <c r="H36">
        <f t="shared" si="4"/>
        <v>-243.04168847359998</v>
      </c>
      <c r="I36">
        <v>1</v>
      </c>
      <c r="J36">
        <f t="shared" si="5"/>
        <v>-1.065361900953671</v>
      </c>
      <c r="K36">
        <f t="shared" si="6"/>
        <v>-0.51644515177521744</v>
      </c>
      <c r="L36">
        <v>1</v>
      </c>
      <c r="M36">
        <f t="shared" si="7"/>
        <v>0.47240173890513243</v>
      </c>
      <c r="N36">
        <f t="shared" si="13"/>
        <v>2.9808169879999995E-2</v>
      </c>
      <c r="O36">
        <f t="shared" si="11"/>
        <v>2.5845233999999998E-2</v>
      </c>
      <c r="P36">
        <f t="shared" si="12"/>
        <v>-1.1609991009914986E-2</v>
      </c>
      <c r="V36">
        <v>-2.80000000000001</v>
      </c>
      <c r="W36">
        <f t="shared" si="9"/>
        <v>-0.40716199999999958</v>
      </c>
    </row>
    <row r="37" spans="1:23" x14ac:dyDescent="0.3">
      <c r="A37">
        <v>1.7744431000000001</v>
      </c>
      <c r="B37">
        <v>0.70228000000000002</v>
      </c>
      <c r="C37">
        <f t="shared" si="1"/>
        <v>1.246155900268</v>
      </c>
      <c r="D37">
        <v>1.7299999999999999E-2</v>
      </c>
      <c r="E37" s="1">
        <v>1.4999999999999999E-2</v>
      </c>
      <c r="F37">
        <f t="shared" si="2"/>
        <v>354.88862</v>
      </c>
      <c r="G37">
        <f t="shared" si="3"/>
        <v>-0.70228000000000002</v>
      </c>
      <c r="H37">
        <f t="shared" si="4"/>
        <v>-249.23118005360001</v>
      </c>
      <c r="I37">
        <v>1</v>
      </c>
      <c r="J37">
        <f t="shared" si="5"/>
        <v>-1.0359512852143182</v>
      </c>
      <c r="K37">
        <f t="shared" si="6"/>
        <v>-0.51944515177521744</v>
      </c>
      <c r="L37">
        <v>1</v>
      </c>
      <c r="M37">
        <f t="shared" si="7"/>
        <v>0.47350787216308948</v>
      </c>
      <c r="N37">
        <f t="shared" si="13"/>
        <v>3.0697865630000001E-2</v>
      </c>
      <c r="O37">
        <f t="shared" si="11"/>
        <v>2.66166465E-2</v>
      </c>
      <c r="P37">
        <f t="shared" si="12"/>
        <v>-1.1377232517872045E-2</v>
      </c>
      <c r="V37">
        <v>-2.7000000000000099</v>
      </c>
      <c r="W37">
        <f t="shared" si="9"/>
        <v>-0.41092299999999959</v>
      </c>
    </row>
    <row r="38" spans="1:23" x14ac:dyDescent="0.3">
      <c r="A38">
        <v>1.8253614999999999</v>
      </c>
      <c r="B38">
        <v>0.69923999999999997</v>
      </c>
      <c r="C38">
        <f t="shared" si="1"/>
        <v>1.2763657752599999</v>
      </c>
      <c r="D38">
        <v>1.7299999999999999E-2</v>
      </c>
      <c r="E38" s="1">
        <v>1.4999999999999999E-2</v>
      </c>
      <c r="F38">
        <f t="shared" si="2"/>
        <v>365.07229999999998</v>
      </c>
      <c r="G38">
        <f t="shared" si="3"/>
        <v>-0.69923999999999997</v>
      </c>
      <c r="H38">
        <f t="shared" si="4"/>
        <v>-255.27315505199999</v>
      </c>
      <c r="I38">
        <v>1</v>
      </c>
      <c r="J38">
        <f t="shared" si="5"/>
        <v>-1.0076598628235518</v>
      </c>
      <c r="K38">
        <f t="shared" si="6"/>
        <v>-0.52248515177521748</v>
      </c>
      <c r="L38">
        <v>1</v>
      </c>
      <c r="M38">
        <f t="shared" si="7"/>
        <v>0.47457191255920622</v>
      </c>
      <c r="N38">
        <f t="shared" si="13"/>
        <v>3.1578753949999996E-2</v>
      </c>
      <c r="O38">
        <f t="shared" si="11"/>
        <v>2.7380422499999998E-2</v>
      </c>
      <c r="P38">
        <f t="shared" si="12"/>
        <v>-1.1045937233988733E-2</v>
      </c>
      <c r="V38">
        <v>-2.6000000000000099</v>
      </c>
      <c r="W38">
        <f t="shared" si="9"/>
        <v>-0.41468399999999961</v>
      </c>
    </row>
    <row r="39" spans="1:23" x14ac:dyDescent="0.3">
      <c r="A39">
        <v>1.8778075000000001</v>
      </c>
      <c r="B39">
        <v>0.69652999999999998</v>
      </c>
      <c r="C39">
        <f t="shared" si="1"/>
        <v>1.3079492579750001</v>
      </c>
      <c r="D39">
        <v>1.7299999999999999E-2</v>
      </c>
      <c r="E39" s="1">
        <v>1.4999999999999999E-2</v>
      </c>
      <c r="F39">
        <f t="shared" si="2"/>
        <v>375.56150000000002</v>
      </c>
      <c r="G39">
        <f t="shared" si="3"/>
        <v>-0.69652999999999998</v>
      </c>
      <c r="H39">
        <f t="shared" si="4"/>
        <v>-261.58985159500003</v>
      </c>
      <c r="I39">
        <v>1</v>
      </c>
      <c r="J39">
        <f t="shared" si="5"/>
        <v>-0.97933303956419282</v>
      </c>
      <c r="K39">
        <f t="shared" si="6"/>
        <v>-0.52519515177521747</v>
      </c>
      <c r="L39">
        <v>1</v>
      </c>
      <c r="M39">
        <f t="shared" si="7"/>
        <v>0.47563728438199071</v>
      </c>
      <c r="N39">
        <f t="shared" si="13"/>
        <v>3.2486069749999999E-2</v>
      </c>
      <c r="O39">
        <f t="shared" si="11"/>
        <v>2.8167112500000001E-2</v>
      </c>
      <c r="P39">
        <f t="shared" si="12"/>
        <v>-1.1095314856773238E-2</v>
      </c>
      <c r="V39">
        <v>-2.5000000000000102</v>
      </c>
      <c r="W39">
        <f t="shared" si="9"/>
        <v>-0.41844499999999962</v>
      </c>
    </row>
    <row r="40" spans="1:23" x14ac:dyDescent="0.3">
      <c r="A40">
        <v>1.9287257</v>
      </c>
      <c r="B40">
        <v>0.69379999999999997</v>
      </c>
      <c r="C40">
        <f t="shared" si="1"/>
        <v>1.33814989066</v>
      </c>
      <c r="D40">
        <v>1.7299999999999999E-2</v>
      </c>
      <c r="E40" s="1">
        <v>1.4999999999999999E-2</v>
      </c>
      <c r="F40">
        <f t="shared" si="2"/>
        <v>385.74513999999999</v>
      </c>
      <c r="G40">
        <f t="shared" si="3"/>
        <v>-0.69379999999999997</v>
      </c>
      <c r="H40">
        <f t="shared" si="4"/>
        <v>-267.62997813200002</v>
      </c>
      <c r="I40">
        <v>1</v>
      </c>
      <c r="J40">
        <f t="shared" si="5"/>
        <v>-0.95257838665167416</v>
      </c>
      <c r="K40">
        <f t="shared" si="6"/>
        <v>-0.52792515177521748</v>
      </c>
      <c r="L40">
        <v>1</v>
      </c>
      <c r="M40">
        <f t="shared" si="7"/>
        <v>0.47664352687803052</v>
      </c>
      <c r="N40">
        <f t="shared" si="13"/>
        <v>3.3366954609999999E-2</v>
      </c>
      <c r="O40">
        <f t="shared" si="11"/>
        <v>2.89308855E-2</v>
      </c>
      <c r="P40">
        <f t="shared" si="12"/>
        <v>-1.1016215212813037E-2</v>
      </c>
      <c r="V40">
        <v>-2.4000000000000101</v>
      </c>
      <c r="W40">
        <f t="shared" si="9"/>
        <v>-0.42220599999999964</v>
      </c>
    </row>
    <row r="41" spans="1:23" x14ac:dyDescent="0.3">
      <c r="A41">
        <v>1.9791349</v>
      </c>
      <c r="B41">
        <v>0.69067000000000001</v>
      </c>
      <c r="C41">
        <f t="shared" si="1"/>
        <v>1.3669291013830001</v>
      </c>
      <c r="D41">
        <v>1.7299999999999999E-2</v>
      </c>
      <c r="E41" s="1">
        <v>1.4999999999999999E-2</v>
      </c>
      <c r="F41">
        <f t="shared" si="2"/>
        <v>395.82697999999999</v>
      </c>
      <c r="G41">
        <f t="shared" si="3"/>
        <v>-0.69067000000000001</v>
      </c>
      <c r="H41">
        <f t="shared" si="4"/>
        <v>-273.38582027659999</v>
      </c>
      <c r="I41">
        <v>1</v>
      </c>
      <c r="J41">
        <f t="shared" si="5"/>
        <v>-0.92677808239657733</v>
      </c>
      <c r="K41">
        <f t="shared" si="6"/>
        <v>-0.53105515177521745</v>
      </c>
      <c r="L41">
        <v>1</v>
      </c>
      <c r="M41">
        <f t="shared" si="7"/>
        <v>0.47761387632106472</v>
      </c>
      <c r="N41">
        <f t="shared" si="13"/>
        <v>3.4239033769999996E-2</v>
      </c>
      <c r="O41">
        <f t="shared" si="11"/>
        <v>2.96870235E-2</v>
      </c>
      <c r="P41">
        <f t="shared" si="12"/>
        <v>-1.048478181584727E-2</v>
      </c>
      <c r="V41">
        <v>-2.30000000000001</v>
      </c>
      <c r="W41">
        <f t="shared" si="9"/>
        <v>-0.4259669999999996</v>
      </c>
    </row>
    <row r="42" spans="1:23" x14ac:dyDescent="0.3">
      <c r="A42">
        <v>2.0295440999999999</v>
      </c>
      <c r="B42">
        <v>0.68798000000000004</v>
      </c>
      <c r="C42">
        <f t="shared" si="1"/>
        <v>1.3962857499179999</v>
      </c>
      <c r="D42">
        <v>1.7299999999999999E-2</v>
      </c>
      <c r="E42" s="1">
        <v>1.4999999999999999E-2</v>
      </c>
      <c r="F42">
        <f t="shared" si="2"/>
        <v>405.90881999999999</v>
      </c>
      <c r="G42">
        <f t="shared" si="3"/>
        <v>-0.68798000000000004</v>
      </c>
      <c r="H42">
        <f t="shared" si="4"/>
        <v>-279.25714998359996</v>
      </c>
      <c r="I42">
        <v>1</v>
      </c>
      <c r="J42">
        <f t="shared" si="5"/>
        <v>-0.9016267258833448</v>
      </c>
      <c r="K42">
        <f t="shared" si="6"/>
        <v>-0.53374515177521742</v>
      </c>
      <c r="L42">
        <v>1</v>
      </c>
      <c r="M42">
        <f t="shared" si="7"/>
        <v>0.47855981883952736</v>
      </c>
      <c r="N42">
        <f t="shared" si="13"/>
        <v>3.5111112929999994E-2</v>
      </c>
      <c r="O42">
        <f t="shared" si="11"/>
        <v>3.0443161499999996E-2</v>
      </c>
      <c r="P42">
        <f t="shared" si="12"/>
        <v>-1.0368941494309933E-2</v>
      </c>
      <c r="V42">
        <v>-2.2000000000000099</v>
      </c>
      <c r="W42">
        <f t="shared" si="9"/>
        <v>-0.42972799999999961</v>
      </c>
    </row>
    <row r="43" spans="1:23" x14ac:dyDescent="0.3">
      <c r="A43">
        <v>2.0799534</v>
      </c>
      <c r="B43">
        <v>0.68508999999999998</v>
      </c>
      <c r="C43">
        <f t="shared" si="1"/>
        <v>1.4249552748059999</v>
      </c>
      <c r="D43">
        <v>1.7299999999999999E-2</v>
      </c>
      <c r="E43" s="1">
        <v>1.4999999999999999E-2</v>
      </c>
      <c r="F43">
        <f t="shared" si="2"/>
        <v>415.99068</v>
      </c>
      <c r="G43">
        <f t="shared" si="3"/>
        <v>-0.68508999999999998</v>
      </c>
      <c r="H43">
        <f t="shared" si="4"/>
        <v>-284.99105496120001</v>
      </c>
      <c r="I43">
        <v>1</v>
      </c>
      <c r="J43">
        <f t="shared" si="5"/>
        <v>-0.87709242281799749</v>
      </c>
      <c r="K43">
        <f t="shared" si="6"/>
        <v>-0.53663515177521748</v>
      </c>
      <c r="L43">
        <v>1</v>
      </c>
      <c r="M43">
        <f t="shared" si="7"/>
        <v>0.47948255397781508</v>
      </c>
      <c r="N43">
        <f t="shared" si="13"/>
        <v>3.5983193819999995E-2</v>
      </c>
      <c r="O43">
        <f t="shared" si="11"/>
        <v>3.1199300999999999E-2</v>
      </c>
      <c r="P43">
        <f t="shared" si="12"/>
        <v>-1.00298970225976E-2</v>
      </c>
      <c r="V43">
        <v>-2.1000000000000099</v>
      </c>
      <c r="W43">
        <f t="shared" si="9"/>
        <v>-0.43348899999999962</v>
      </c>
    </row>
    <row r="44" spans="1:23" x14ac:dyDescent="0.3">
      <c r="A44">
        <v>2.1339268000000002</v>
      </c>
      <c r="B44">
        <v>0.68220999999999998</v>
      </c>
      <c r="C44">
        <f t="shared" si="1"/>
        <v>1.4557862022280001</v>
      </c>
      <c r="D44">
        <v>1.7299999999999999E-2</v>
      </c>
      <c r="E44" s="1">
        <v>1.4999999999999999E-2</v>
      </c>
      <c r="F44">
        <f t="shared" si="2"/>
        <v>426.78536000000003</v>
      </c>
      <c r="G44">
        <f t="shared" si="3"/>
        <v>-0.68220999999999998</v>
      </c>
      <c r="H44">
        <f t="shared" si="4"/>
        <v>-291.15724044560005</v>
      </c>
      <c r="I44">
        <v>1</v>
      </c>
      <c r="J44">
        <f t="shared" si="5"/>
        <v>-0.85147406192355179</v>
      </c>
      <c r="K44">
        <f t="shared" si="6"/>
        <v>-0.53951515177521747</v>
      </c>
      <c r="L44">
        <v>1</v>
      </c>
      <c r="M44">
        <f t="shared" si="7"/>
        <v>0.48044606053105521</v>
      </c>
      <c r="N44">
        <f t="shared" si="13"/>
        <v>3.6916933640000003E-2</v>
      </c>
      <c r="O44">
        <f t="shared" si="11"/>
        <v>3.2008902000000006E-2</v>
      </c>
      <c r="P44">
        <f t="shared" si="12"/>
        <v>-9.8567443958377451E-3</v>
      </c>
      <c r="V44">
        <v>-2.0000000000000102</v>
      </c>
      <c r="W44">
        <f t="shared" si="9"/>
        <v>-0.43724999999999958</v>
      </c>
    </row>
    <row r="45" spans="1:23" x14ac:dyDescent="0.3">
      <c r="A45">
        <v>2.1853541999999999</v>
      </c>
      <c r="B45">
        <v>0.67918999999999996</v>
      </c>
      <c r="C45">
        <f t="shared" si="1"/>
        <v>1.4842707190979998</v>
      </c>
      <c r="D45">
        <v>1.7299999999999999E-2</v>
      </c>
      <c r="E45" s="1">
        <v>1.4999999999999999E-2</v>
      </c>
      <c r="F45">
        <f t="shared" si="2"/>
        <v>437.07083999999998</v>
      </c>
      <c r="G45">
        <f t="shared" si="3"/>
        <v>-0.67918999999999996</v>
      </c>
      <c r="H45">
        <f t="shared" si="4"/>
        <v>-296.85414381959998</v>
      </c>
      <c r="I45">
        <v>1</v>
      </c>
      <c r="J45">
        <f t="shared" si="5"/>
        <v>-0.82765999176102745</v>
      </c>
      <c r="K45">
        <f t="shared" si="6"/>
        <v>-0.54253515177521749</v>
      </c>
      <c r="L45">
        <v>1</v>
      </c>
      <c r="M45">
        <f t="shared" si="7"/>
        <v>0.48134170770986773</v>
      </c>
      <c r="N45">
        <f t="shared" si="13"/>
        <v>3.7806627659999995E-2</v>
      </c>
      <c r="O45">
        <f t="shared" si="11"/>
        <v>3.2780312999999998E-2</v>
      </c>
      <c r="P45">
        <f t="shared" si="12"/>
        <v>-9.3934965946502261E-3</v>
      </c>
      <c r="V45">
        <v>-1.9000000000000099</v>
      </c>
      <c r="W45">
        <f t="shared" si="9"/>
        <v>-0.4410109999999996</v>
      </c>
    </row>
    <row r="46" spans="1:23" x14ac:dyDescent="0.3">
      <c r="A46">
        <v>2.2362725000000001</v>
      </c>
      <c r="B46">
        <v>0.67684999999999995</v>
      </c>
      <c r="C46">
        <f t="shared" si="1"/>
        <v>1.513621041625</v>
      </c>
      <c r="D46">
        <v>1.7299999999999999E-2</v>
      </c>
      <c r="E46" s="1">
        <v>1.4999999999999999E-2</v>
      </c>
      <c r="F46">
        <f t="shared" si="2"/>
        <v>447.25450000000001</v>
      </c>
      <c r="G46">
        <f t="shared" si="3"/>
        <v>-0.67684999999999995</v>
      </c>
      <c r="H46">
        <f t="shared" si="4"/>
        <v>-302.72420832500001</v>
      </c>
      <c r="I46">
        <v>1</v>
      </c>
      <c r="J46">
        <f t="shared" si="5"/>
        <v>-0.80462749515706078</v>
      </c>
      <c r="K46">
        <f t="shared" si="6"/>
        <v>-0.5448751517752175</v>
      </c>
      <c r="L46">
        <v>1</v>
      </c>
      <c r="M46">
        <f t="shared" si="7"/>
        <v>0.48220795990714294</v>
      </c>
      <c r="N46">
        <f t="shared" si="13"/>
        <v>3.8687514249999999E-2</v>
      </c>
      <c r="O46">
        <f t="shared" si="11"/>
        <v>3.35440875E-2</v>
      </c>
      <c r="P46">
        <f t="shared" si="12"/>
        <v>-9.5644098819254314E-3</v>
      </c>
      <c r="V46">
        <v>-1.80000000000001</v>
      </c>
      <c r="W46">
        <f t="shared" si="9"/>
        <v>-0.44477199999999961</v>
      </c>
    </row>
    <row r="47" spans="1:23" x14ac:dyDescent="0.3">
      <c r="A47">
        <v>2.2897365999999999</v>
      </c>
      <c r="B47">
        <v>0.67400000000000004</v>
      </c>
      <c r="C47">
        <f t="shared" si="1"/>
        <v>1.5432824683999999</v>
      </c>
      <c r="D47">
        <v>1.7299999999999999E-2</v>
      </c>
      <c r="E47" s="1">
        <v>1.4999999999999999E-2</v>
      </c>
      <c r="F47">
        <f t="shared" si="2"/>
        <v>457.94731999999999</v>
      </c>
      <c r="G47">
        <f t="shared" si="3"/>
        <v>-0.67400000000000004</v>
      </c>
      <c r="H47">
        <f t="shared" si="4"/>
        <v>-308.65649367999998</v>
      </c>
      <c r="I47">
        <v>1</v>
      </c>
      <c r="J47">
        <f t="shared" si="5"/>
        <v>-0.78100112331753169</v>
      </c>
      <c r="K47">
        <f t="shared" si="6"/>
        <v>-0.54772515177521741</v>
      </c>
      <c r="L47">
        <v>1</v>
      </c>
      <c r="M47">
        <f t="shared" si="7"/>
        <v>0.48309654775202759</v>
      </c>
      <c r="N47">
        <f t="shared" si="13"/>
        <v>3.9612443179999998E-2</v>
      </c>
      <c r="O47">
        <f t="shared" si="11"/>
        <v>3.4346048999999997E-2</v>
      </c>
      <c r="P47">
        <f t="shared" si="12"/>
        <v>-9.3298881568101774E-3</v>
      </c>
      <c r="V47">
        <v>-1.7000000000000199</v>
      </c>
      <c r="W47">
        <f t="shared" si="9"/>
        <v>-0.44853299999999924</v>
      </c>
    </row>
    <row r="48" spans="1:23" x14ac:dyDescent="0.3">
      <c r="A48">
        <v>2.3401459999999998</v>
      </c>
      <c r="B48">
        <v>0.67130999999999996</v>
      </c>
      <c r="C48">
        <f t="shared" si="1"/>
        <v>1.5709634112599997</v>
      </c>
      <c r="D48">
        <v>1.7299999999999999E-2</v>
      </c>
      <c r="E48" s="1">
        <v>1.4999999999999999E-2</v>
      </c>
      <c r="F48">
        <f t="shared" si="2"/>
        <v>468.02919999999995</v>
      </c>
      <c r="G48">
        <f t="shared" si="3"/>
        <v>-0.67130999999999996</v>
      </c>
      <c r="H48">
        <f t="shared" si="4"/>
        <v>-314.19268225199994</v>
      </c>
      <c r="I48">
        <v>1</v>
      </c>
      <c r="J48">
        <f t="shared" si="5"/>
        <v>-0.75922459184846969</v>
      </c>
      <c r="K48">
        <f t="shared" si="6"/>
        <v>-0.55041515177521749</v>
      </c>
      <c r="L48">
        <v>1</v>
      </c>
      <c r="M48">
        <f t="shared" si="7"/>
        <v>0.48391556310057904</v>
      </c>
      <c r="N48">
        <f t="shared" si="13"/>
        <v>4.0484525799999997E-2</v>
      </c>
      <c r="O48">
        <f t="shared" si="11"/>
        <v>3.5102189999999998E-2</v>
      </c>
      <c r="P48">
        <f t="shared" si="12"/>
        <v>-9.087127125361541E-3</v>
      </c>
      <c r="V48">
        <v>-1.6000000000000201</v>
      </c>
      <c r="W48">
        <f t="shared" si="9"/>
        <v>-0.45229399999999925</v>
      </c>
    </row>
    <row r="49" spans="1:23" x14ac:dyDescent="0.3">
      <c r="A49">
        <v>2.3905552000000001</v>
      </c>
      <c r="B49">
        <v>0.66846000000000005</v>
      </c>
      <c r="C49">
        <f t="shared" si="1"/>
        <v>1.5979905289920002</v>
      </c>
      <c r="D49">
        <v>1.7299999999999999E-2</v>
      </c>
      <c r="E49" s="1">
        <v>1.4999999999999999E-2</v>
      </c>
      <c r="F49">
        <f t="shared" si="2"/>
        <v>478.11104</v>
      </c>
      <c r="G49">
        <f t="shared" si="3"/>
        <v>-0.66846000000000005</v>
      </c>
      <c r="H49">
        <f t="shared" si="4"/>
        <v>-319.59810579840007</v>
      </c>
      <c r="I49">
        <v>1</v>
      </c>
      <c r="J49">
        <f t="shared" si="5"/>
        <v>-0.73791227221320965</v>
      </c>
      <c r="K49">
        <f t="shared" si="6"/>
        <v>-0.5532651517752174</v>
      </c>
      <c r="L49">
        <v>1</v>
      </c>
      <c r="M49">
        <f t="shared" si="7"/>
        <v>0.4847171194420612</v>
      </c>
      <c r="N49">
        <f t="shared" si="13"/>
        <v>4.1356604960000001E-2</v>
      </c>
      <c r="O49">
        <f t="shared" si="11"/>
        <v>3.5858328000000002E-2</v>
      </c>
      <c r="P49">
        <f t="shared" si="12"/>
        <v>-8.6669006268437973E-3</v>
      </c>
      <c r="V49">
        <v>-1.50000000000002</v>
      </c>
      <c r="W49">
        <f t="shared" si="9"/>
        <v>-0.45605499999999921</v>
      </c>
    </row>
    <row r="50" spans="1:23" x14ac:dyDescent="0.3">
      <c r="A50">
        <v>2.4414734</v>
      </c>
      <c r="B50">
        <v>0.66578999999999999</v>
      </c>
      <c r="C50">
        <f t="shared" si="1"/>
        <v>1.6255085749860001</v>
      </c>
      <c r="D50">
        <v>1.7299999999999999E-2</v>
      </c>
      <c r="E50" s="1">
        <v>1.4999999999999999E-2</v>
      </c>
      <c r="F50">
        <f t="shared" si="2"/>
        <v>488.29468000000003</v>
      </c>
      <c r="G50">
        <f t="shared" si="3"/>
        <v>-0.66578999999999999</v>
      </c>
      <c r="H50">
        <f t="shared" si="4"/>
        <v>-325.10171499720002</v>
      </c>
      <c r="I50">
        <v>1</v>
      </c>
      <c r="J50">
        <f t="shared" si="5"/>
        <v>-0.71683620291550698</v>
      </c>
      <c r="K50">
        <f t="shared" si="6"/>
        <v>-0.55593515177521746</v>
      </c>
      <c r="L50">
        <v>1</v>
      </c>
      <c r="M50">
        <f t="shared" si="7"/>
        <v>0.48550979040834774</v>
      </c>
      <c r="N50">
        <f t="shared" si="13"/>
        <v>4.2237489820000002E-2</v>
      </c>
      <c r="O50">
        <f t="shared" si="11"/>
        <v>3.6622100999999997E-2</v>
      </c>
      <c r="P50">
        <f t="shared" si="12"/>
        <v>-8.4342294531302778E-3</v>
      </c>
      <c r="V50">
        <v>-1.4000000000000199</v>
      </c>
      <c r="W50">
        <f t="shared" si="9"/>
        <v>-0.45981599999999923</v>
      </c>
    </row>
    <row r="51" spans="1:23" x14ac:dyDescent="0.3">
      <c r="A51">
        <v>2.4918826000000003</v>
      </c>
      <c r="B51">
        <v>0.66318999999999995</v>
      </c>
      <c r="C51">
        <f t="shared" si="1"/>
        <v>1.652591621494</v>
      </c>
      <c r="D51">
        <v>1.7299999999999999E-2</v>
      </c>
      <c r="E51" s="1">
        <v>1.4999999999999999E-2</v>
      </c>
      <c r="F51">
        <f t="shared" si="2"/>
        <v>498.37652000000003</v>
      </c>
      <c r="G51">
        <f t="shared" si="3"/>
        <v>-0.66318999999999995</v>
      </c>
      <c r="H51">
        <f t="shared" si="4"/>
        <v>-330.5183242988</v>
      </c>
      <c r="I51">
        <v>1</v>
      </c>
      <c r="J51">
        <f t="shared" si="5"/>
        <v>-0.69639942337305416</v>
      </c>
      <c r="K51">
        <f t="shared" si="6"/>
        <v>-0.55853515177521751</v>
      </c>
      <c r="L51">
        <v>1</v>
      </c>
      <c r="M51">
        <f t="shared" si="7"/>
        <v>0.48627841768693941</v>
      </c>
      <c r="N51">
        <f t="shared" si="13"/>
        <v>4.3109568980000006E-2</v>
      </c>
      <c r="O51">
        <f t="shared" si="11"/>
        <v>3.7378239000000001E-2</v>
      </c>
      <c r="P51">
        <f t="shared" si="12"/>
        <v>-8.2310738917219101E-3</v>
      </c>
      <c r="V51">
        <v>-1.30000000000002</v>
      </c>
      <c r="W51">
        <f t="shared" si="9"/>
        <v>-0.46357699999999924</v>
      </c>
    </row>
    <row r="52" spans="1:23" x14ac:dyDescent="0.3">
      <c r="A52">
        <v>2.5428009999999999</v>
      </c>
      <c r="B52">
        <v>0.66044999999999998</v>
      </c>
      <c r="C52">
        <f t="shared" si="1"/>
        <v>1.6793929204499998</v>
      </c>
      <c r="D52">
        <v>1.7299999999999999E-2</v>
      </c>
      <c r="E52" s="1">
        <v>1.4999999999999999E-2</v>
      </c>
      <c r="F52">
        <f t="shared" si="2"/>
        <v>508.56019999999995</v>
      </c>
      <c r="G52">
        <f t="shared" si="3"/>
        <v>-0.66044999999999998</v>
      </c>
      <c r="H52">
        <f t="shared" si="4"/>
        <v>-335.87858408999995</v>
      </c>
      <c r="I52">
        <v>1</v>
      </c>
      <c r="J52">
        <f t="shared" si="5"/>
        <v>-0.67617168308679676</v>
      </c>
      <c r="K52">
        <f t="shared" si="6"/>
        <v>-0.56127515177521747</v>
      </c>
      <c r="L52">
        <v>1</v>
      </c>
      <c r="M52">
        <f t="shared" si="7"/>
        <v>0.48703918299910554</v>
      </c>
      <c r="N52">
        <f t="shared" si="13"/>
        <v>4.3990457299999994E-2</v>
      </c>
      <c r="O52">
        <f t="shared" si="11"/>
        <v>3.8142014999999994E-2</v>
      </c>
      <c r="P52">
        <f t="shared" si="12"/>
        <v>-7.8965035238880502E-3</v>
      </c>
      <c r="V52">
        <v>-1.2000000000000199</v>
      </c>
      <c r="W52">
        <f t="shared" si="9"/>
        <v>-0.46733799999999925</v>
      </c>
    </row>
    <row r="53" spans="1:23" x14ac:dyDescent="0.3">
      <c r="A53">
        <v>2.5932101999999997</v>
      </c>
      <c r="B53">
        <v>0.65786999999999995</v>
      </c>
      <c r="C53">
        <f t="shared" si="1"/>
        <v>1.7059951942739997</v>
      </c>
      <c r="D53">
        <v>1.7299999999999999E-2</v>
      </c>
      <c r="E53" s="1">
        <v>1.4999999999999999E-2</v>
      </c>
      <c r="F53">
        <f t="shared" si="2"/>
        <v>518.64203999999995</v>
      </c>
      <c r="G53">
        <f t="shared" si="3"/>
        <v>-0.65786999999999995</v>
      </c>
      <c r="H53">
        <f t="shared" si="4"/>
        <v>-341.19903885479994</v>
      </c>
      <c r="I53">
        <v>1</v>
      </c>
      <c r="J53">
        <f t="shared" si="5"/>
        <v>-0.65654134475894943</v>
      </c>
      <c r="K53">
        <f t="shared" si="6"/>
        <v>-0.5638551517752175</v>
      </c>
      <c r="L53">
        <v>1</v>
      </c>
      <c r="M53">
        <f t="shared" si="7"/>
        <v>0.48777748002361587</v>
      </c>
      <c r="N53">
        <f t="shared" si="13"/>
        <v>4.4862536459999991E-2</v>
      </c>
      <c r="O53">
        <f t="shared" si="11"/>
        <v>3.8898152999999991E-2</v>
      </c>
      <c r="P53">
        <f t="shared" si="12"/>
        <v>-7.6830177083983542E-3</v>
      </c>
      <c r="V53">
        <v>-1.1000000000000201</v>
      </c>
      <c r="W53">
        <f t="shared" si="9"/>
        <v>-0.47109899999999921</v>
      </c>
    </row>
    <row r="54" spans="1:23" x14ac:dyDescent="0.3">
      <c r="A54">
        <v>2.6461649999999999</v>
      </c>
      <c r="B54">
        <v>0.65525</v>
      </c>
      <c r="C54">
        <f t="shared" si="1"/>
        <v>1.73389961625</v>
      </c>
      <c r="D54">
        <v>1.7299999999999999E-2</v>
      </c>
      <c r="E54" s="1">
        <v>1.4999999999999999E-2</v>
      </c>
      <c r="F54">
        <f t="shared" si="2"/>
        <v>529.23299999999995</v>
      </c>
      <c r="G54">
        <f t="shared" si="3"/>
        <v>-0.65525</v>
      </c>
      <c r="H54">
        <f t="shared" si="4"/>
        <v>-346.77992325000002</v>
      </c>
      <c r="I54">
        <v>1</v>
      </c>
      <c r="J54">
        <f t="shared" si="5"/>
        <v>-0.636326490408889</v>
      </c>
      <c r="K54">
        <f t="shared" si="6"/>
        <v>-0.56647515177521746</v>
      </c>
      <c r="L54">
        <v>1</v>
      </c>
      <c r="M54">
        <f t="shared" si="7"/>
        <v>0.48853776069572169</v>
      </c>
      <c r="N54">
        <f t="shared" si="13"/>
        <v>4.5778654499999995E-2</v>
      </c>
      <c r="O54">
        <f t="shared" si="11"/>
        <v>3.9692474999999998E-2</v>
      </c>
      <c r="P54">
        <f t="shared" si="12"/>
        <v>-7.5337384205042268E-3</v>
      </c>
      <c r="V54">
        <v>-1.00000000000002</v>
      </c>
      <c r="W54">
        <f t="shared" si="9"/>
        <v>-0.47485999999999923</v>
      </c>
    </row>
    <row r="55" spans="1:23" x14ac:dyDescent="0.3">
      <c r="A55">
        <v>2.6970834999999997</v>
      </c>
      <c r="B55">
        <v>0.65286999999999995</v>
      </c>
      <c r="C55">
        <f t="shared" si="1"/>
        <v>1.7608449046449997</v>
      </c>
      <c r="D55">
        <v>1.7299999999999999E-2</v>
      </c>
      <c r="E55" s="1">
        <v>1.4999999999999999E-2</v>
      </c>
      <c r="F55">
        <f t="shared" si="2"/>
        <v>539.41669999999999</v>
      </c>
      <c r="G55">
        <f t="shared" si="3"/>
        <v>-0.65286999999999995</v>
      </c>
      <c r="H55">
        <f t="shared" si="4"/>
        <v>-352.16898092899993</v>
      </c>
      <c r="I55">
        <v>1</v>
      </c>
      <c r="J55">
        <f t="shared" si="5"/>
        <v>-0.61726690842948007</v>
      </c>
      <c r="K55">
        <f t="shared" si="6"/>
        <v>-0.5688551517752175</v>
      </c>
      <c r="L55">
        <v>1</v>
      </c>
      <c r="M55">
        <f t="shared" si="7"/>
        <v>0.48925459157396722</v>
      </c>
      <c r="N55">
        <f t="shared" si="13"/>
        <v>4.6659544549999994E-2</v>
      </c>
      <c r="O55">
        <f t="shared" si="11"/>
        <v>4.0456252499999998E-2</v>
      </c>
      <c r="P55">
        <f t="shared" si="12"/>
        <v>-7.5152368487497109E-3</v>
      </c>
      <c r="V55">
        <v>-0.90000000000002001</v>
      </c>
      <c r="W55">
        <f t="shared" si="9"/>
        <v>-0.47862099999999924</v>
      </c>
    </row>
    <row r="56" spans="1:23" x14ac:dyDescent="0.3">
      <c r="A56">
        <v>2.7474927000000005</v>
      </c>
      <c r="B56">
        <v>0.65002000000000004</v>
      </c>
      <c r="C56">
        <f t="shared" si="1"/>
        <v>1.7859252048540004</v>
      </c>
      <c r="D56">
        <v>1.7299999999999999E-2</v>
      </c>
      <c r="E56" s="1">
        <v>1.4999999999999999E-2</v>
      </c>
      <c r="F56">
        <f t="shared" si="2"/>
        <v>549.49854000000005</v>
      </c>
      <c r="G56">
        <f t="shared" si="3"/>
        <v>-0.65002000000000004</v>
      </c>
      <c r="H56">
        <f t="shared" si="4"/>
        <v>-357.18504097080006</v>
      </c>
      <c r="I56">
        <v>1</v>
      </c>
      <c r="J56">
        <f t="shared" si="5"/>
        <v>-0.59874916210286411</v>
      </c>
      <c r="K56">
        <f t="shared" si="6"/>
        <v>-0.57170515177521741</v>
      </c>
      <c r="L56">
        <v>1</v>
      </c>
      <c r="M56">
        <f t="shared" si="7"/>
        <v>0.48995104401331124</v>
      </c>
      <c r="N56">
        <f t="shared" si="13"/>
        <v>4.7531623710000005E-2</v>
      </c>
      <c r="O56">
        <f t="shared" si="11"/>
        <v>4.1212390500000008E-2</v>
      </c>
      <c r="P56">
        <f t="shared" si="12"/>
        <v>-6.9899064480938439E-3</v>
      </c>
      <c r="V56">
        <v>-0.80000000000002003</v>
      </c>
      <c r="W56">
        <f t="shared" si="9"/>
        <v>-0.4823819999999992</v>
      </c>
    </row>
    <row r="57" spans="1:23" x14ac:dyDescent="0.3">
      <c r="A57">
        <v>2.7999385000000001</v>
      </c>
      <c r="B57">
        <v>0.64724999999999999</v>
      </c>
      <c r="C57">
        <f t="shared" si="1"/>
        <v>1.8122601941250001</v>
      </c>
      <c r="D57">
        <v>1.7299999999999999E-2</v>
      </c>
      <c r="E57" s="1">
        <v>1.4999999999999999E-2</v>
      </c>
      <c r="F57">
        <f t="shared" si="2"/>
        <v>559.98770000000002</v>
      </c>
      <c r="G57">
        <f t="shared" si="3"/>
        <v>-0.64724999999999999</v>
      </c>
      <c r="H57">
        <f t="shared" si="4"/>
        <v>-362.45203882499999</v>
      </c>
      <c r="I57">
        <v>1</v>
      </c>
      <c r="J57">
        <f t="shared" si="5"/>
        <v>-0.57984045977987486</v>
      </c>
      <c r="K57">
        <f t="shared" si="6"/>
        <v>-0.57447515177521746</v>
      </c>
      <c r="L57">
        <v>1</v>
      </c>
      <c r="M57">
        <f t="shared" si="7"/>
        <v>0.49066220030767888</v>
      </c>
      <c r="N57">
        <f t="shared" si="13"/>
        <v>4.8438936049999999E-2</v>
      </c>
      <c r="O57">
        <f t="shared" si="11"/>
        <v>4.1999077500000002E-2</v>
      </c>
      <c r="P57">
        <f t="shared" si="12"/>
        <v>-6.6250620824614137E-3</v>
      </c>
      <c r="V57">
        <v>-0.70000000000002005</v>
      </c>
      <c r="W57">
        <f t="shared" si="9"/>
        <v>-0.48614299999999921</v>
      </c>
    </row>
    <row r="58" spans="1:23" x14ac:dyDescent="0.3">
      <c r="A58">
        <v>2.8508567</v>
      </c>
      <c r="B58">
        <v>0.64493999999999996</v>
      </c>
      <c r="C58">
        <f t="shared" si="1"/>
        <v>1.8386315200979999</v>
      </c>
      <c r="D58">
        <v>1.7299999999999999E-2</v>
      </c>
      <c r="E58" s="1">
        <v>1.4999999999999999E-2</v>
      </c>
      <c r="F58">
        <f t="shared" si="2"/>
        <v>570.17133999999999</v>
      </c>
      <c r="G58">
        <f t="shared" si="3"/>
        <v>-0.64493999999999996</v>
      </c>
      <c r="H58">
        <f t="shared" si="4"/>
        <v>-367.72630401959998</v>
      </c>
      <c r="I58">
        <v>1</v>
      </c>
      <c r="J58">
        <f t="shared" si="5"/>
        <v>-0.56181836683238662</v>
      </c>
      <c r="K58">
        <f t="shared" si="6"/>
        <v>-0.5767851517752175</v>
      </c>
      <c r="L58">
        <v>1</v>
      </c>
      <c r="M58">
        <f t="shared" si="7"/>
        <v>0.4913400112234339</v>
      </c>
      <c r="N58">
        <f t="shared" si="13"/>
        <v>4.9319820909999999E-2</v>
      </c>
      <c r="O58">
        <f t="shared" si="11"/>
        <v>4.2762850499999998E-2</v>
      </c>
      <c r="P58">
        <f t="shared" si="12"/>
        <v>-6.6375308582164033E-3</v>
      </c>
      <c r="V58">
        <v>-0.60000000000001996</v>
      </c>
      <c r="W58">
        <f t="shared" si="9"/>
        <v>-0.48990399999999923</v>
      </c>
    </row>
    <row r="59" spans="1:23" x14ac:dyDescent="0.3">
      <c r="A59">
        <v>2.9043209999999999</v>
      </c>
      <c r="B59">
        <v>0.64215</v>
      </c>
      <c r="C59">
        <f t="shared" si="1"/>
        <v>1.8650097301499999</v>
      </c>
      <c r="D59">
        <v>1.7299999999999999E-2</v>
      </c>
      <c r="E59" s="1">
        <v>1.4999999999999999E-2</v>
      </c>
      <c r="F59">
        <f t="shared" si="2"/>
        <v>580.86419999999998</v>
      </c>
      <c r="G59">
        <f t="shared" si="3"/>
        <v>-0.64215</v>
      </c>
      <c r="H59">
        <f t="shared" si="4"/>
        <v>-373.00194603</v>
      </c>
      <c r="I59">
        <v>1</v>
      </c>
      <c r="J59">
        <f t="shared" si="5"/>
        <v>-0.54323828439025323</v>
      </c>
      <c r="K59">
        <f t="shared" si="6"/>
        <v>-0.57957515177521746</v>
      </c>
      <c r="L59">
        <v>1</v>
      </c>
      <c r="M59">
        <f t="shared" si="7"/>
        <v>0.49203880812408257</v>
      </c>
      <c r="N59">
        <f t="shared" si="13"/>
        <v>5.02447533E-2</v>
      </c>
      <c r="O59">
        <f t="shared" si="11"/>
        <v>4.3564815E-2</v>
      </c>
      <c r="P59">
        <f t="shared" si="12"/>
        <v>-6.2732246488651153E-3</v>
      </c>
      <c r="V59">
        <v>-0.50000000000001998</v>
      </c>
      <c r="W59">
        <f t="shared" si="9"/>
        <v>-0.49366499999999924</v>
      </c>
    </row>
    <row r="60" spans="1:23" x14ac:dyDescent="0.3">
      <c r="A60">
        <v>2.9567667999999996</v>
      </c>
      <c r="B60">
        <v>0.63941999999999999</v>
      </c>
      <c r="C60">
        <f t="shared" si="1"/>
        <v>1.8906158272559996</v>
      </c>
      <c r="D60">
        <v>1.7299999999999999E-2</v>
      </c>
      <c r="E60" s="1">
        <v>1.4999999999999999E-2</v>
      </c>
      <c r="F60">
        <f t="shared" si="2"/>
        <v>591.35335999999995</v>
      </c>
      <c r="G60">
        <f t="shared" si="3"/>
        <v>-0.63941999999999999</v>
      </c>
      <c r="H60">
        <f t="shared" si="4"/>
        <v>-378.12316545119995</v>
      </c>
      <c r="I60">
        <v>1</v>
      </c>
      <c r="J60">
        <f t="shared" si="5"/>
        <v>-0.52534153838688935</v>
      </c>
      <c r="K60">
        <f t="shared" si="6"/>
        <v>-0.58230515177521747</v>
      </c>
      <c r="L60">
        <v>1</v>
      </c>
      <c r="M60">
        <f t="shared" si="7"/>
        <v>0.49271190474126908</v>
      </c>
      <c r="N60">
        <f t="shared" si="13"/>
        <v>5.1152065639999994E-2</v>
      </c>
      <c r="O60">
        <f t="shared" si="11"/>
        <v>4.4351501999999994E-2</v>
      </c>
      <c r="P60">
        <f t="shared" si="12"/>
        <v>-5.9103206060516014E-3</v>
      </c>
      <c r="V60">
        <v>-0.40000000000002001</v>
      </c>
      <c r="W60">
        <f t="shared" si="9"/>
        <v>-0.49742599999999926</v>
      </c>
    </row>
    <row r="61" spans="1:23" x14ac:dyDescent="0.3">
      <c r="A61">
        <v>3.0076850999999998</v>
      </c>
      <c r="B61">
        <v>0.63690000000000002</v>
      </c>
      <c r="C61">
        <f t="shared" si="1"/>
        <v>1.9155946401899999</v>
      </c>
      <c r="D61">
        <v>1.7299999999999999E-2</v>
      </c>
      <c r="E61" s="1">
        <v>1.4999999999999999E-2</v>
      </c>
      <c r="F61">
        <f t="shared" si="2"/>
        <v>601.53701999999998</v>
      </c>
      <c r="G61">
        <f t="shared" si="3"/>
        <v>-0.63690000000000002</v>
      </c>
      <c r="H61">
        <f t="shared" si="4"/>
        <v>-383.11892803799998</v>
      </c>
      <c r="I61">
        <v>1</v>
      </c>
      <c r="J61">
        <f t="shared" si="5"/>
        <v>-0.50826719932662578</v>
      </c>
      <c r="K61">
        <f t="shared" si="6"/>
        <v>-0.58482515177521743</v>
      </c>
      <c r="L61">
        <v>1</v>
      </c>
      <c r="M61">
        <f t="shared" si="7"/>
        <v>0.49335407063332559</v>
      </c>
      <c r="N61">
        <f t="shared" si="13"/>
        <v>5.2032952229999992E-2</v>
      </c>
      <c r="O61">
        <f t="shared" si="11"/>
        <v>4.5115276499999996E-2</v>
      </c>
      <c r="P61">
        <f t="shared" si="12"/>
        <v>-5.677147588108146E-3</v>
      </c>
      <c r="V61">
        <v>-0.30000000000001997</v>
      </c>
      <c r="W61">
        <f t="shared" si="9"/>
        <v>-0.50118699999999927</v>
      </c>
    </row>
    <row r="62" spans="1:23" x14ac:dyDescent="0.3">
      <c r="A62">
        <v>3.0611492</v>
      </c>
      <c r="B62">
        <v>0.63448000000000004</v>
      </c>
      <c r="C62">
        <f t="shared" si="1"/>
        <v>1.9422379444160001</v>
      </c>
      <c r="D62">
        <v>1.7299999999999999E-2</v>
      </c>
      <c r="E62" s="1">
        <v>1.4999999999999999E-2</v>
      </c>
      <c r="F62">
        <f t="shared" si="2"/>
        <v>612.22983999999997</v>
      </c>
      <c r="G62">
        <f t="shared" si="3"/>
        <v>-0.63448000000000004</v>
      </c>
      <c r="H62">
        <f t="shared" si="4"/>
        <v>-388.44758888320001</v>
      </c>
      <c r="I62">
        <v>1</v>
      </c>
      <c r="J62">
        <f t="shared" si="5"/>
        <v>-0.49064751141759183</v>
      </c>
      <c r="K62">
        <f t="shared" si="6"/>
        <v>-0.58724515177521741</v>
      </c>
      <c r="L62">
        <v>1</v>
      </c>
      <c r="M62">
        <f t="shared" si="7"/>
        <v>0.49401674709558435</v>
      </c>
      <c r="N62">
        <f t="shared" si="13"/>
        <v>5.2957881159999998E-2</v>
      </c>
      <c r="O62">
        <f t="shared" si="11"/>
        <v>4.5917237999999999E-2</v>
      </c>
      <c r="P62">
        <f t="shared" si="12"/>
        <v>-5.6467144803669378E-3</v>
      </c>
      <c r="V62">
        <v>-0.20000000000002</v>
      </c>
      <c r="W62">
        <f t="shared" si="9"/>
        <v>-0.50494799999999918</v>
      </c>
    </row>
    <row r="63" spans="1:23" x14ac:dyDescent="0.3">
      <c r="A63">
        <v>3.1115586000000004</v>
      </c>
      <c r="B63">
        <v>0.63177000000000005</v>
      </c>
      <c r="C63">
        <f t="shared" si="1"/>
        <v>1.9657893767220005</v>
      </c>
      <c r="D63">
        <v>1.7299999999999999E-2</v>
      </c>
      <c r="E63" s="1">
        <v>1.4999999999999999E-2</v>
      </c>
      <c r="F63">
        <f t="shared" si="2"/>
        <v>622.31172000000004</v>
      </c>
      <c r="G63">
        <f t="shared" si="3"/>
        <v>-0.63177000000000005</v>
      </c>
      <c r="H63">
        <f t="shared" si="4"/>
        <v>-393.15787534440011</v>
      </c>
      <c r="I63">
        <v>1</v>
      </c>
      <c r="J63">
        <f t="shared" si="5"/>
        <v>-0.47431415422419465</v>
      </c>
      <c r="K63">
        <f t="shared" si="6"/>
        <v>-0.5899551517752174</v>
      </c>
      <c r="L63">
        <v>1</v>
      </c>
      <c r="M63">
        <f t="shared" si="7"/>
        <v>0.49463104465962804</v>
      </c>
      <c r="N63">
        <f t="shared" si="13"/>
        <v>5.3829963780000004E-2</v>
      </c>
      <c r="O63">
        <f t="shared" si="11"/>
        <v>4.6673379000000001E-2</v>
      </c>
      <c r="P63">
        <f t="shared" si="12"/>
        <v>-5.1792356644106419E-3</v>
      </c>
      <c r="V63">
        <v>-0.10000000000002</v>
      </c>
      <c r="W63">
        <f t="shared" si="9"/>
        <v>-0.50870899999999919</v>
      </c>
    </row>
    <row r="64" spans="1:23" x14ac:dyDescent="0.3">
      <c r="A64">
        <v>3.1665502999999999</v>
      </c>
      <c r="B64">
        <v>0.62897999999999998</v>
      </c>
      <c r="C64">
        <f t="shared" si="1"/>
        <v>1.9916968076939998</v>
      </c>
      <c r="D64">
        <v>1.7299999999999999E-2</v>
      </c>
      <c r="E64" s="1">
        <v>1.4999999999999999E-2</v>
      </c>
      <c r="F64">
        <f t="shared" si="2"/>
        <v>633.31006000000002</v>
      </c>
      <c r="G64">
        <f t="shared" si="3"/>
        <v>-0.62897999999999998</v>
      </c>
      <c r="H64">
        <f t="shared" si="4"/>
        <v>-398.33936153879995</v>
      </c>
      <c r="I64">
        <v>1</v>
      </c>
      <c r="J64">
        <f t="shared" si="5"/>
        <v>-0.45679515053933706</v>
      </c>
      <c r="K64">
        <f t="shared" si="6"/>
        <v>-0.59274515177521747</v>
      </c>
      <c r="L64">
        <v>1</v>
      </c>
      <c r="M64">
        <f t="shared" si="7"/>
        <v>0.4952899343882155</v>
      </c>
      <c r="N64">
        <f t="shared" si="13"/>
        <v>5.4781320189999996E-2</v>
      </c>
      <c r="O64">
        <f t="shared" si="11"/>
        <v>4.7498254499999996E-2</v>
      </c>
      <c r="P64">
        <f t="shared" si="12"/>
        <v>-4.8243573029980238E-3</v>
      </c>
      <c r="V64">
        <v>-2.0428103653102899E-14</v>
      </c>
      <c r="W64">
        <f t="shared" si="9"/>
        <v>-0.5124699999999992</v>
      </c>
    </row>
    <row r="65" spans="1:23" x14ac:dyDescent="0.3">
      <c r="A65">
        <v>3.2184868</v>
      </c>
      <c r="B65">
        <v>0.62649999999999995</v>
      </c>
      <c r="C65">
        <f t="shared" si="1"/>
        <v>2.0163819801999998</v>
      </c>
      <c r="D65">
        <v>1.7299999999999999E-2</v>
      </c>
      <c r="E65" s="1">
        <v>1.4999999999999999E-2</v>
      </c>
      <c r="F65">
        <f t="shared" si="2"/>
        <v>643.69736</v>
      </c>
      <c r="G65">
        <f t="shared" si="3"/>
        <v>-0.62649999999999995</v>
      </c>
      <c r="H65">
        <f t="shared" si="4"/>
        <v>-403.27639603999995</v>
      </c>
      <c r="I65">
        <v>1</v>
      </c>
      <c r="J65">
        <f t="shared" si="5"/>
        <v>-0.44052660122139775</v>
      </c>
      <c r="K65">
        <f t="shared" si="6"/>
        <v>-0.59522515177521751</v>
      </c>
      <c r="L65">
        <v>1</v>
      </c>
      <c r="M65">
        <f t="shared" si="7"/>
        <v>0.49590179452806321</v>
      </c>
      <c r="N65">
        <f t="shared" si="13"/>
        <v>5.5679821639999995E-2</v>
      </c>
      <c r="O65">
        <f t="shared" si="11"/>
        <v>4.8277302000000001E-2</v>
      </c>
      <c r="P65">
        <f t="shared" si="12"/>
        <v>-4.6337663928456979E-3</v>
      </c>
      <c r="V65">
        <v>9.9999999999980105E-2</v>
      </c>
      <c r="W65">
        <f t="shared" si="9"/>
        <v>-0.51623099999999922</v>
      </c>
    </row>
    <row r="66" spans="1:23" x14ac:dyDescent="0.3">
      <c r="A66">
        <v>3.2724603999999999</v>
      </c>
      <c r="B66">
        <v>0.624</v>
      </c>
      <c r="C66">
        <f t="shared" si="1"/>
        <v>2.0420152896000001</v>
      </c>
      <c r="D66">
        <v>1.7299999999999999E-2</v>
      </c>
      <c r="E66" s="1">
        <v>1.4999999999999999E-2</v>
      </c>
      <c r="F66">
        <f t="shared" si="2"/>
        <v>654.49207999999999</v>
      </c>
      <c r="G66">
        <f t="shared" si="3"/>
        <v>-0.624</v>
      </c>
      <c r="H66">
        <f t="shared" si="4"/>
        <v>-408.40305792000004</v>
      </c>
      <c r="I66">
        <v>1</v>
      </c>
      <c r="J66">
        <f t="shared" si="5"/>
        <v>-0.42389579454573428</v>
      </c>
      <c r="K66">
        <f t="shared" si="6"/>
        <v>-0.59772515177521746</v>
      </c>
      <c r="L66">
        <v>1</v>
      </c>
      <c r="M66">
        <f t="shared" si="7"/>
        <v>0.49652727916713491</v>
      </c>
      <c r="N66">
        <f t="shared" si="13"/>
        <v>5.6613564919999998E-2</v>
      </c>
      <c r="O66">
        <f t="shared" si="11"/>
        <v>4.9086906E-2</v>
      </c>
      <c r="P66">
        <f t="shared" si="12"/>
        <v>-4.5025983119174467E-3</v>
      </c>
      <c r="V66">
        <v>0.19999999999998</v>
      </c>
      <c r="W66">
        <f t="shared" si="9"/>
        <v>-0.51999199999999923</v>
      </c>
    </row>
    <row r="67" spans="1:23" x14ac:dyDescent="0.3">
      <c r="A67">
        <v>3.3238877000000002</v>
      </c>
      <c r="B67">
        <v>0.62155000000000005</v>
      </c>
      <c r="C67">
        <f t="shared" si="1"/>
        <v>2.0659623999350001</v>
      </c>
      <c r="D67">
        <v>1.7299999999999999E-2</v>
      </c>
      <c r="E67" s="1">
        <v>1.4999999999999999E-2</v>
      </c>
      <c r="F67">
        <f t="shared" si="2"/>
        <v>664.77754000000004</v>
      </c>
      <c r="G67">
        <f t="shared" si="3"/>
        <v>-0.62155000000000005</v>
      </c>
      <c r="H67">
        <f t="shared" si="4"/>
        <v>-413.19247998700001</v>
      </c>
      <c r="I67">
        <v>1</v>
      </c>
      <c r="J67">
        <f t="shared" si="5"/>
        <v>-0.40830282060848222</v>
      </c>
      <c r="K67">
        <f t="shared" si="6"/>
        <v>-0.60017515177521741</v>
      </c>
      <c r="L67">
        <v>1</v>
      </c>
      <c r="M67">
        <f t="shared" si="7"/>
        <v>0.49711373091691496</v>
      </c>
      <c r="N67">
        <f t="shared" si="13"/>
        <v>5.7503257209999999E-2</v>
      </c>
      <c r="O67">
        <f t="shared" si="11"/>
        <v>4.98583155E-2</v>
      </c>
      <c r="P67">
        <f t="shared" si="12"/>
        <v>-4.3001518516975548E-3</v>
      </c>
      <c r="V67">
        <v>0.29999999999998</v>
      </c>
      <c r="W67">
        <f t="shared" si="9"/>
        <v>-0.52375299999999925</v>
      </c>
    </row>
    <row r="68" spans="1:23" x14ac:dyDescent="0.3">
      <c r="A68">
        <v>3.3742969</v>
      </c>
      <c r="B68">
        <v>0.61867000000000005</v>
      </c>
      <c r="C68">
        <f t="shared" si="1"/>
        <v>2.0875762631230002</v>
      </c>
      <c r="D68">
        <v>1.7299999999999999E-2</v>
      </c>
      <c r="E68" s="1">
        <v>1.4999999999999999E-2</v>
      </c>
      <c r="F68">
        <f t="shared" si="2"/>
        <v>674.85937999999999</v>
      </c>
      <c r="G68">
        <f t="shared" si="3"/>
        <v>-0.61867000000000005</v>
      </c>
      <c r="H68">
        <f t="shared" si="4"/>
        <v>-417.51525262460001</v>
      </c>
      <c r="I68">
        <v>1</v>
      </c>
      <c r="J68">
        <f t="shared" si="5"/>
        <v>-0.39325093573839309</v>
      </c>
      <c r="K68">
        <f t="shared" si="6"/>
        <v>-0.6030551517752174</v>
      </c>
      <c r="L68">
        <v>1</v>
      </c>
      <c r="M68">
        <f t="shared" si="7"/>
        <v>0.49767983230687901</v>
      </c>
      <c r="N68">
        <f t="shared" si="13"/>
        <v>5.8375336369999996E-2</v>
      </c>
      <c r="O68">
        <f t="shared" si="11"/>
        <v>5.0614453499999996E-2</v>
      </c>
      <c r="P68">
        <f t="shared" si="12"/>
        <v>-3.6144704016616014E-3</v>
      </c>
      <c r="V68">
        <v>0.39999999999997998</v>
      </c>
      <c r="W68">
        <f t="shared" si="9"/>
        <v>-0.52751399999999926</v>
      </c>
    </row>
    <row r="69" spans="1:23" x14ac:dyDescent="0.3">
      <c r="A69">
        <v>3.4252156</v>
      </c>
      <c r="B69">
        <v>0.61639999999999995</v>
      </c>
      <c r="C69">
        <f t="shared" ref="C69:C132" si="14">A69*B69</f>
        <v>2.1113028958399997</v>
      </c>
      <c r="D69">
        <v>1.7299999999999999E-2</v>
      </c>
      <c r="E69" s="1">
        <v>1.4999999999999999E-2</v>
      </c>
      <c r="F69">
        <f t="shared" ref="F69:F132" si="15">A69*200</f>
        <v>685.04312000000004</v>
      </c>
      <c r="G69">
        <f t="shared" ref="G69:G132" si="16">-B69</f>
        <v>-0.61639999999999995</v>
      </c>
      <c r="H69">
        <f t="shared" ref="H69:H132" si="17">-C69*200</f>
        <v>-422.26057916799994</v>
      </c>
      <c r="I69">
        <v>1</v>
      </c>
      <c r="J69">
        <f t="shared" ref="J69:J132" si="18">LN(F69/1000)</f>
        <v>-0.37827349379600145</v>
      </c>
      <c r="K69">
        <f t="shared" ref="K69:K132" si="19">((-G69)-$N$2)</f>
        <v>-0.60532515177521751</v>
      </c>
      <c r="L69">
        <v>1</v>
      </c>
      <c r="M69">
        <f t="shared" ref="M69:M132" si="20">-1*($S$4+($S$5*J69))</f>
        <v>0.49824313389833236</v>
      </c>
      <c r="N69">
        <f t="shared" si="13"/>
        <v>5.9256229879999997E-2</v>
      </c>
      <c r="O69">
        <f t="shared" si="11"/>
        <v>5.1378234000000002E-2</v>
      </c>
      <c r="P69">
        <f t="shared" si="12"/>
        <v>-3.5524460031148494E-3</v>
      </c>
      <c r="V69">
        <v>0.49999999999998002</v>
      </c>
      <c r="W69">
        <f t="shared" ref="W69:W132" si="21">V69*$S$5+$S$4</f>
        <v>-0.53127499999999928</v>
      </c>
    </row>
    <row r="70" spans="1:23" x14ac:dyDescent="0.3">
      <c r="A70">
        <v>3.4766428</v>
      </c>
      <c r="B70">
        <v>0.61399000000000004</v>
      </c>
      <c r="C70">
        <f t="shared" si="14"/>
        <v>2.1346239127720001</v>
      </c>
      <c r="D70">
        <v>1.7299999999999999E-2</v>
      </c>
      <c r="E70" s="1">
        <v>1.4999999999999999E-2</v>
      </c>
      <c r="F70">
        <f t="shared" si="15"/>
        <v>695.32856000000004</v>
      </c>
      <c r="G70">
        <f t="shared" si="16"/>
        <v>-0.61399000000000004</v>
      </c>
      <c r="H70">
        <f t="shared" si="17"/>
        <v>-426.92478255440005</v>
      </c>
      <c r="I70">
        <v>1</v>
      </c>
      <c r="J70">
        <f t="shared" si="18"/>
        <v>-0.36337079692613128</v>
      </c>
      <c r="K70">
        <f t="shared" si="19"/>
        <v>-0.60773515177521742</v>
      </c>
      <c r="L70">
        <v>1</v>
      </c>
      <c r="M70">
        <f t="shared" si="20"/>
        <v>0.49880362432760816</v>
      </c>
      <c r="N70">
        <f t="shared" si="13"/>
        <v>6.014592044E-2</v>
      </c>
      <c r="O70">
        <f t="shared" ref="O70:O133" si="22">E70*A70</f>
        <v>5.2149641999999996E-2</v>
      </c>
      <c r="P70">
        <f t="shared" ref="P70:P133" si="23">-K70-M70-N70-O70</f>
        <v>-3.3640349923907409E-3</v>
      </c>
      <c r="V70">
        <v>0.59999999999997999</v>
      </c>
      <c r="W70">
        <f t="shared" si="21"/>
        <v>-0.53503599999999918</v>
      </c>
    </row>
    <row r="71" spans="1:23" x14ac:dyDescent="0.3">
      <c r="A71">
        <v>3.5275612999999999</v>
      </c>
      <c r="B71">
        <v>0.61119999999999997</v>
      </c>
      <c r="C71">
        <f t="shared" si="14"/>
        <v>2.1560454665599997</v>
      </c>
      <c r="D71">
        <v>1.7299999999999999E-2</v>
      </c>
      <c r="E71" s="1">
        <v>1.4999999999999999E-2</v>
      </c>
      <c r="F71">
        <f t="shared" si="15"/>
        <v>705.51225999999997</v>
      </c>
      <c r="G71">
        <f t="shared" si="16"/>
        <v>-0.61119999999999997</v>
      </c>
      <c r="H71">
        <f t="shared" si="17"/>
        <v>-431.20909331199994</v>
      </c>
      <c r="I71">
        <v>1</v>
      </c>
      <c r="J71">
        <f t="shared" si="18"/>
        <v>-0.34883113009398042</v>
      </c>
      <c r="K71">
        <f t="shared" si="19"/>
        <v>-0.61052515177521749</v>
      </c>
      <c r="L71">
        <v>1</v>
      </c>
      <c r="M71">
        <f t="shared" si="20"/>
        <v>0.49935046119716536</v>
      </c>
      <c r="N71">
        <f t="shared" ref="N71:N134" si="24">D71*A71</f>
        <v>6.1026810489999993E-2</v>
      </c>
      <c r="O71">
        <f t="shared" si="22"/>
        <v>5.2913419499999996E-2</v>
      </c>
      <c r="P71">
        <f t="shared" si="23"/>
        <v>-2.7655394119478621E-3</v>
      </c>
      <c r="V71">
        <v>0.69999999999997997</v>
      </c>
      <c r="W71">
        <f t="shared" si="21"/>
        <v>-0.53879699999999919</v>
      </c>
    </row>
    <row r="72" spans="1:23" x14ac:dyDescent="0.3">
      <c r="A72">
        <v>3.5784796999999999</v>
      </c>
      <c r="B72">
        <v>0.60889000000000004</v>
      </c>
      <c r="C72">
        <f t="shared" si="14"/>
        <v>2.1789005045330003</v>
      </c>
      <c r="D72">
        <v>1.7299999999999999E-2</v>
      </c>
      <c r="E72" s="1">
        <v>1.4999999999999999E-2</v>
      </c>
      <c r="F72">
        <f t="shared" si="15"/>
        <v>715.69593999999995</v>
      </c>
      <c r="G72">
        <f t="shared" si="16"/>
        <v>-0.60889000000000004</v>
      </c>
      <c r="H72">
        <f t="shared" si="17"/>
        <v>-435.78010090660007</v>
      </c>
      <c r="I72">
        <v>1</v>
      </c>
      <c r="J72">
        <f t="shared" si="18"/>
        <v>-0.33449986702159507</v>
      </c>
      <c r="K72">
        <f t="shared" si="19"/>
        <v>-0.61283515177521741</v>
      </c>
      <c r="L72">
        <v>1</v>
      </c>
      <c r="M72">
        <f t="shared" si="20"/>
        <v>0.49988946000131779</v>
      </c>
      <c r="N72">
        <f t="shared" si="24"/>
        <v>6.1907698809999995E-2</v>
      </c>
      <c r="O72">
        <f t="shared" si="22"/>
        <v>5.3677195499999997E-2</v>
      </c>
      <c r="P72">
        <f t="shared" si="23"/>
        <v>-2.6392025361003657E-3</v>
      </c>
      <c r="V72">
        <v>0.79999999999997995</v>
      </c>
      <c r="W72">
        <f t="shared" si="21"/>
        <v>-0.54255799999999921</v>
      </c>
    </row>
    <row r="73" spans="1:23" x14ac:dyDescent="0.3">
      <c r="A73">
        <v>3.6293979000000003</v>
      </c>
      <c r="B73">
        <v>0.60646999999999995</v>
      </c>
      <c r="C73">
        <f t="shared" si="14"/>
        <v>2.2011209444130002</v>
      </c>
      <c r="D73">
        <v>1.7299999999999999E-2</v>
      </c>
      <c r="E73" s="1">
        <v>1.4999999999999999E-2</v>
      </c>
      <c r="F73">
        <f t="shared" si="15"/>
        <v>725.87958000000003</v>
      </c>
      <c r="G73">
        <f t="shared" si="16"/>
        <v>-0.60646999999999995</v>
      </c>
      <c r="H73">
        <f t="shared" si="17"/>
        <v>-440.22418888260006</v>
      </c>
      <c r="I73">
        <v>1</v>
      </c>
      <c r="J73">
        <f t="shared" si="18"/>
        <v>-0.32037114568351555</v>
      </c>
      <c r="K73">
        <f t="shared" si="19"/>
        <v>-0.6152551517752175</v>
      </c>
      <c r="L73">
        <v>1</v>
      </c>
      <c r="M73">
        <f t="shared" si="20"/>
        <v>0.50042084121084296</v>
      </c>
      <c r="N73">
        <f t="shared" si="24"/>
        <v>6.2788583670000009E-2</v>
      </c>
      <c r="O73">
        <f t="shared" si="22"/>
        <v>5.4440968499999999E-2</v>
      </c>
      <c r="P73">
        <f t="shared" si="23"/>
        <v>-2.3952416056254658E-3</v>
      </c>
      <c r="V73">
        <v>0.89999999999998004</v>
      </c>
      <c r="W73">
        <f t="shared" si="21"/>
        <v>-0.54631899999999922</v>
      </c>
    </row>
    <row r="74" spans="1:23" x14ac:dyDescent="0.3">
      <c r="A74">
        <v>3.6843896000000003</v>
      </c>
      <c r="B74">
        <v>0.60397000000000001</v>
      </c>
      <c r="C74">
        <f t="shared" si="14"/>
        <v>2.225260786712</v>
      </c>
      <c r="D74">
        <v>1.7299999999999999E-2</v>
      </c>
      <c r="E74" s="1">
        <v>1.4999999999999999E-2</v>
      </c>
      <c r="F74">
        <f t="shared" si="15"/>
        <v>736.87792000000002</v>
      </c>
      <c r="G74">
        <f t="shared" si="16"/>
        <v>-0.60397000000000001</v>
      </c>
      <c r="H74">
        <f t="shared" si="17"/>
        <v>-445.05215734239999</v>
      </c>
      <c r="I74">
        <v>1</v>
      </c>
      <c r="J74">
        <f t="shared" si="18"/>
        <v>-0.30533304501811565</v>
      </c>
      <c r="K74">
        <f t="shared" si="19"/>
        <v>-0.61775515177521745</v>
      </c>
      <c r="L74">
        <v>1</v>
      </c>
      <c r="M74">
        <f t="shared" si="20"/>
        <v>0.50098642417686867</v>
      </c>
      <c r="N74">
        <f t="shared" si="24"/>
        <v>6.3739940080000002E-2</v>
      </c>
      <c r="O74">
        <f t="shared" si="22"/>
        <v>5.5265844000000001E-2</v>
      </c>
      <c r="P74">
        <f t="shared" si="23"/>
        <v>-2.237056481651227E-3</v>
      </c>
      <c r="V74">
        <v>0.99999999999998002</v>
      </c>
      <c r="W74">
        <f t="shared" si="21"/>
        <v>-0.55007999999999924</v>
      </c>
    </row>
    <row r="75" spans="1:23" x14ac:dyDescent="0.3">
      <c r="A75">
        <v>3.737854</v>
      </c>
      <c r="B75">
        <v>0.60138999999999998</v>
      </c>
      <c r="C75">
        <f t="shared" si="14"/>
        <v>2.2479080170599999</v>
      </c>
      <c r="D75">
        <v>1.7299999999999999E-2</v>
      </c>
      <c r="E75" s="1">
        <v>1.4999999999999999E-2</v>
      </c>
      <c r="F75">
        <f t="shared" si="15"/>
        <v>747.57079999999996</v>
      </c>
      <c r="G75">
        <f t="shared" si="16"/>
        <v>-0.60138999999999998</v>
      </c>
      <c r="H75">
        <f t="shared" si="17"/>
        <v>-449.58160341199999</v>
      </c>
      <c r="I75">
        <v>1</v>
      </c>
      <c r="J75">
        <f t="shared" si="18"/>
        <v>-0.29092626248348252</v>
      </c>
      <c r="K75">
        <f t="shared" si="19"/>
        <v>-0.62033515177521747</v>
      </c>
      <c r="L75">
        <v>1</v>
      </c>
      <c r="M75">
        <f t="shared" si="20"/>
        <v>0.50152826326799615</v>
      </c>
      <c r="N75">
        <f t="shared" si="24"/>
        <v>6.46648742E-2</v>
      </c>
      <c r="O75">
        <f t="shared" si="22"/>
        <v>5.6067809999999996E-2</v>
      </c>
      <c r="P75">
        <f t="shared" si="23"/>
        <v>-1.9257956927786757E-3</v>
      </c>
      <c r="V75">
        <v>1.0999999999999699</v>
      </c>
      <c r="W75">
        <f t="shared" si="21"/>
        <v>-0.55384099999999881</v>
      </c>
    </row>
    <row r="76" spans="1:23" x14ac:dyDescent="0.3">
      <c r="A76">
        <v>3.7923363999999999</v>
      </c>
      <c r="B76">
        <v>0.59884999999999999</v>
      </c>
      <c r="C76">
        <f t="shared" si="14"/>
        <v>2.27104065314</v>
      </c>
      <c r="D76">
        <v>1.7299999999999999E-2</v>
      </c>
      <c r="E76" s="1">
        <v>1.4999999999999999E-2</v>
      </c>
      <c r="F76">
        <f t="shared" si="15"/>
        <v>758.46727999999996</v>
      </c>
      <c r="G76">
        <f t="shared" si="16"/>
        <v>-0.59884999999999999</v>
      </c>
      <c r="H76">
        <f t="shared" si="17"/>
        <v>-454.20813062799999</v>
      </c>
      <c r="I76">
        <v>1</v>
      </c>
      <c r="J76">
        <f t="shared" si="18"/>
        <v>-0.27645561889592885</v>
      </c>
      <c r="K76">
        <f t="shared" si="19"/>
        <v>-0.62287515177521746</v>
      </c>
      <c r="L76">
        <v>1</v>
      </c>
      <c r="M76">
        <f t="shared" si="20"/>
        <v>0.50207250417332405</v>
      </c>
      <c r="N76">
        <f t="shared" si="24"/>
        <v>6.560741971999999E-2</v>
      </c>
      <c r="O76">
        <f t="shared" si="22"/>
        <v>5.6885045999999995E-2</v>
      </c>
      <c r="P76">
        <f t="shared" si="23"/>
        <v>-1.6898181181065758E-3</v>
      </c>
      <c r="V76">
        <v>1.19999999999997</v>
      </c>
      <c r="W76">
        <f t="shared" si="21"/>
        <v>-0.55760199999999882</v>
      </c>
    </row>
    <row r="77" spans="1:23" x14ac:dyDescent="0.3">
      <c r="A77">
        <v>3.8427458000000003</v>
      </c>
      <c r="B77">
        <v>0.59628999999999999</v>
      </c>
      <c r="C77">
        <f t="shared" si="14"/>
        <v>2.2913908930820002</v>
      </c>
      <c r="D77">
        <v>1.7299999999999999E-2</v>
      </c>
      <c r="E77" s="1">
        <v>1.4999999999999999E-2</v>
      </c>
      <c r="F77">
        <f t="shared" si="15"/>
        <v>768.54916000000003</v>
      </c>
      <c r="G77">
        <f t="shared" si="16"/>
        <v>-0.59628999999999999</v>
      </c>
      <c r="H77">
        <f t="shared" si="17"/>
        <v>-458.27817861640006</v>
      </c>
      <c r="I77">
        <v>1</v>
      </c>
      <c r="J77">
        <f t="shared" si="18"/>
        <v>-0.26325074927906916</v>
      </c>
      <c r="K77">
        <f t="shared" si="19"/>
        <v>-0.62543515177521747</v>
      </c>
      <c r="L77">
        <v>1</v>
      </c>
      <c r="M77">
        <f t="shared" si="20"/>
        <v>0.50256913931961422</v>
      </c>
      <c r="N77">
        <f t="shared" si="24"/>
        <v>6.647950234000001E-2</v>
      </c>
      <c r="O77">
        <f t="shared" si="22"/>
        <v>5.7641187000000003E-2</v>
      </c>
      <c r="P77">
        <f t="shared" si="23"/>
        <v>-1.2546768843967673E-3</v>
      </c>
      <c r="V77">
        <v>1.2999999999999701</v>
      </c>
      <c r="W77">
        <f t="shared" si="21"/>
        <v>-0.56136299999999884</v>
      </c>
    </row>
    <row r="78" spans="1:23" x14ac:dyDescent="0.3">
      <c r="A78">
        <v>3.89621</v>
      </c>
      <c r="B78">
        <v>0.59394000000000002</v>
      </c>
      <c r="C78">
        <f t="shared" si="14"/>
        <v>2.3141149674000001</v>
      </c>
      <c r="D78">
        <v>1.7299999999999999E-2</v>
      </c>
      <c r="E78" s="1">
        <v>1.4999999999999999E-2</v>
      </c>
      <c r="F78">
        <f t="shared" si="15"/>
        <v>779.24199999999996</v>
      </c>
      <c r="G78">
        <f t="shared" si="16"/>
        <v>-0.59394000000000002</v>
      </c>
      <c r="H78">
        <f t="shared" si="17"/>
        <v>-462.82299348000004</v>
      </c>
      <c r="I78">
        <v>1</v>
      </c>
      <c r="J78">
        <f t="shared" si="18"/>
        <v>-0.24943362666907035</v>
      </c>
      <c r="K78">
        <f t="shared" si="19"/>
        <v>-0.62778515177521743</v>
      </c>
      <c r="L78">
        <v>1</v>
      </c>
      <c r="M78">
        <f t="shared" si="20"/>
        <v>0.50308880130097622</v>
      </c>
      <c r="N78">
        <f t="shared" si="24"/>
        <v>6.7404433E-2</v>
      </c>
      <c r="O78">
        <f t="shared" si="22"/>
        <v>5.8443149999999999E-2</v>
      </c>
      <c r="P78">
        <f t="shared" si="23"/>
        <v>-1.1512325257587858E-3</v>
      </c>
      <c r="V78">
        <v>1.3999999999999699</v>
      </c>
      <c r="W78">
        <f t="shared" si="21"/>
        <v>-0.56512399999999885</v>
      </c>
    </row>
    <row r="79" spans="1:23" x14ac:dyDescent="0.3">
      <c r="A79">
        <v>3.9476375000000004</v>
      </c>
      <c r="B79">
        <v>0.59150000000000003</v>
      </c>
      <c r="C79">
        <f t="shared" si="14"/>
        <v>2.3350275812500003</v>
      </c>
      <c r="D79">
        <v>1.7299999999999999E-2</v>
      </c>
      <c r="E79" s="1">
        <v>1.4999999999999999E-2</v>
      </c>
      <c r="F79">
        <f t="shared" si="15"/>
        <v>789.52750000000003</v>
      </c>
      <c r="G79">
        <f t="shared" si="16"/>
        <v>-0.59150000000000003</v>
      </c>
      <c r="H79">
        <f t="shared" si="17"/>
        <v>-467.00551625000008</v>
      </c>
      <c r="I79">
        <v>1</v>
      </c>
      <c r="J79">
        <f t="shared" si="18"/>
        <v>-0.23632061372080532</v>
      </c>
      <c r="K79">
        <f t="shared" si="19"/>
        <v>-0.63022515177521743</v>
      </c>
      <c r="L79">
        <v>1</v>
      </c>
      <c r="M79">
        <f t="shared" si="20"/>
        <v>0.50358198171796054</v>
      </c>
      <c r="N79">
        <f t="shared" si="24"/>
        <v>6.8294128750000002E-2</v>
      </c>
      <c r="O79">
        <f t="shared" si="22"/>
        <v>5.9214562500000005E-2</v>
      </c>
      <c r="P79">
        <f t="shared" si="23"/>
        <v>-8.6552119274311418E-4</v>
      </c>
      <c r="V79">
        <v>1.49999999999997</v>
      </c>
      <c r="W79">
        <f t="shared" si="21"/>
        <v>-0.56888499999999886</v>
      </c>
    </row>
    <row r="80" spans="1:23" x14ac:dyDescent="0.3">
      <c r="A80">
        <v>4.0005923000000001</v>
      </c>
      <c r="B80">
        <v>0.58908000000000005</v>
      </c>
      <c r="C80">
        <f t="shared" si="14"/>
        <v>2.3566689120840003</v>
      </c>
      <c r="D80">
        <v>1.7299999999999999E-2</v>
      </c>
      <c r="E80" s="1">
        <v>1.4999999999999999E-2</v>
      </c>
      <c r="F80">
        <f t="shared" si="15"/>
        <v>800.11846000000003</v>
      </c>
      <c r="G80">
        <f t="shared" si="16"/>
        <v>-0.58908000000000005</v>
      </c>
      <c r="H80">
        <f t="shared" si="17"/>
        <v>-471.33378241680009</v>
      </c>
      <c r="I80">
        <v>1</v>
      </c>
      <c r="J80">
        <f t="shared" si="18"/>
        <v>-0.22299548727623048</v>
      </c>
      <c r="K80">
        <f t="shared" si="19"/>
        <v>-0.63264515177521741</v>
      </c>
      <c r="L80">
        <v>1</v>
      </c>
      <c r="M80">
        <f t="shared" si="20"/>
        <v>0.50408313972354091</v>
      </c>
      <c r="N80">
        <f t="shared" si="24"/>
        <v>6.9210246789999999E-2</v>
      </c>
      <c r="O80">
        <f t="shared" si="22"/>
        <v>6.0008884499999998E-2</v>
      </c>
      <c r="P80">
        <f t="shared" si="23"/>
        <v>-6.571192383234975E-4</v>
      </c>
      <c r="V80">
        <v>1.5999999999999699</v>
      </c>
      <c r="W80">
        <f t="shared" si="21"/>
        <v>-0.57264599999999888</v>
      </c>
    </row>
    <row r="81" spans="1:23" x14ac:dyDescent="0.3">
      <c r="A81">
        <v>4.0540566</v>
      </c>
      <c r="B81">
        <v>0.58652000000000004</v>
      </c>
      <c r="C81">
        <f t="shared" si="14"/>
        <v>2.3777852770320003</v>
      </c>
      <c r="D81">
        <v>1.7299999999999999E-2</v>
      </c>
      <c r="E81" s="1">
        <v>1.4999999999999999E-2</v>
      </c>
      <c r="F81">
        <f t="shared" si="15"/>
        <v>810.81132000000002</v>
      </c>
      <c r="G81">
        <f t="shared" si="16"/>
        <v>-0.58652000000000004</v>
      </c>
      <c r="H81">
        <f t="shared" si="17"/>
        <v>-475.55705540640008</v>
      </c>
      <c r="I81">
        <v>1</v>
      </c>
      <c r="J81">
        <f t="shared" si="18"/>
        <v>-0.20971990298226625</v>
      </c>
      <c r="K81">
        <f t="shared" si="19"/>
        <v>-0.63520515177521741</v>
      </c>
      <c r="L81">
        <v>1</v>
      </c>
      <c r="M81">
        <f t="shared" si="20"/>
        <v>0.50458243444883699</v>
      </c>
      <c r="N81">
        <f t="shared" si="24"/>
        <v>7.0135179179999993E-2</v>
      </c>
      <c r="O81">
        <f t="shared" si="22"/>
        <v>6.0810849E-2</v>
      </c>
      <c r="P81">
        <f t="shared" si="23"/>
        <v>-3.2331085361957113E-4</v>
      </c>
      <c r="V81">
        <v>1.69999999999997</v>
      </c>
      <c r="W81">
        <f t="shared" si="21"/>
        <v>-0.57640699999999889</v>
      </c>
    </row>
    <row r="82" spans="1:23" x14ac:dyDescent="0.3">
      <c r="A82">
        <v>4.1059937</v>
      </c>
      <c r="B82">
        <v>0.58396000000000003</v>
      </c>
      <c r="C82">
        <f t="shared" si="14"/>
        <v>2.3977360810520003</v>
      </c>
      <c r="D82">
        <v>1.7299999999999999E-2</v>
      </c>
      <c r="E82" s="1">
        <v>1.4999999999999999E-2</v>
      </c>
      <c r="F82">
        <f t="shared" si="15"/>
        <v>821.19874000000004</v>
      </c>
      <c r="G82">
        <f t="shared" si="16"/>
        <v>-0.58396000000000003</v>
      </c>
      <c r="H82">
        <f t="shared" si="17"/>
        <v>-479.54721621040005</v>
      </c>
      <c r="I82">
        <v>1</v>
      </c>
      <c r="J82">
        <f t="shared" si="18"/>
        <v>-0.19699012817852585</v>
      </c>
      <c r="K82">
        <f t="shared" si="19"/>
        <v>-0.63776515177521742</v>
      </c>
      <c r="L82">
        <v>1</v>
      </c>
      <c r="M82">
        <f t="shared" si="20"/>
        <v>0.50506120127920562</v>
      </c>
      <c r="N82">
        <f t="shared" si="24"/>
        <v>7.1033691009999997E-2</v>
      </c>
      <c r="O82">
        <f t="shared" si="22"/>
        <v>6.15899055E-2</v>
      </c>
      <c r="P82">
        <f t="shared" si="23"/>
        <v>8.0353986011805212E-5</v>
      </c>
      <c r="V82">
        <v>1.7999999999999701</v>
      </c>
      <c r="W82">
        <f t="shared" si="21"/>
        <v>-0.58016799999999891</v>
      </c>
    </row>
    <row r="83" spans="1:23" x14ac:dyDescent="0.3">
      <c r="A83">
        <v>4.1584395000000001</v>
      </c>
      <c r="B83">
        <v>0.58150000000000002</v>
      </c>
      <c r="C83">
        <f t="shared" si="14"/>
        <v>2.41813256925</v>
      </c>
      <c r="D83">
        <v>1.7299999999999999E-2</v>
      </c>
      <c r="E83" s="1">
        <v>1.4999999999999999E-2</v>
      </c>
      <c r="F83">
        <f t="shared" si="15"/>
        <v>831.68790000000001</v>
      </c>
      <c r="G83">
        <f t="shared" si="16"/>
        <v>-0.58150000000000002</v>
      </c>
      <c r="H83">
        <f t="shared" si="17"/>
        <v>-483.62651384999998</v>
      </c>
      <c r="I83">
        <v>1</v>
      </c>
      <c r="J83">
        <f t="shared" si="18"/>
        <v>-0.18429802872841544</v>
      </c>
      <c r="K83">
        <f t="shared" si="19"/>
        <v>-0.64022515177521744</v>
      </c>
      <c r="L83">
        <v>1</v>
      </c>
      <c r="M83">
        <f t="shared" si="20"/>
        <v>0.50553855113952428</v>
      </c>
      <c r="N83">
        <f t="shared" si="24"/>
        <v>7.1941003350000005E-2</v>
      </c>
      <c r="O83">
        <f t="shared" si="22"/>
        <v>6.2376592500000001E-2</v>
      </c>
      <c r="P83">
        <f t="shared" si="23"/>
        <v>3.690047856931486E-4</v>
      </c>
      <c r="V83">
        <v>1.8999999999999699</v>
      </c>
      <c r="W83">
        <f t="shared" si="21"/>
        <v>-0.58392899999999881</v>
      </c>
    </row>
    <row r="84" spans="1:23" x14ac:dyDescent="0.3">
      <c r="A84">
        <v>4.2113944999999999</v>
      </c>
      <c r="B84">
        <v>0.57903000000000004</v>
      </c>
      <c r="C84">
        <f t="shared" si="14"/>
        <v>2.438523757335</v>
      </c>
      <c r="D84">
        <v>1.7299999999999999E-2</v>
      </c>
      <c r="E84" s="1">
        <v>1.4999999999999999E-2</v>
      </c>
      <c r="F84">
        <f t="shared" si="15"/>
        <v>842.27890000000002</v>
      </c>
      <c r="G84">
        <f t="shared" si="16"/>
        <v>-0.57903000000000004</v>
      </c>
      <c r="H84">
        <f t="shared" si="17"/>
        <v>-487.70475146699999</v>
      </c>
      <c r="I84">
        <v>1</v>
      </c>
      <c r="J84">
        <f t="shared" si="18"/>
        <v>-0.1716440844316687</v>
      </c>
      <c r="K84">
        <f t="shared" si="19"/>
        <v>-0.64269515177521741</v>
      </c>
      <c r="L84">
        <v>1</v>
      </c>
      <c r="M84">
        <f t="shared" si="20"/>
        <v>0.50601446598452493</v>
      </c>
      <c r="N84">
        <f t="shared" si="24"/>
        <v>7.2857124849999996E-2</v>
      </c>
      <c r="O84">
        <f t="shared" si="22"/>
        <v>6.3170917499999993E-2</v>
      </c>
      <c r="P84">
        <f t="shared" si="23"/>
        <v>6.5264344069249081E-4</v>
      </c>
      <c r="V84">
        <v>1.99999999999997</v>
      </c>
      <c r="W84">
        <f t="shared" si="21"/>
        <v>-0.58768999999999882</v>
      </c>
    </row>
    <row r="85" spans="1:23" x14ac:dyDescent="0.3">
      <c r="A85">
        <v>4.2628218000000002</v>
      </c>
      <c r="B85">
        <v>0.57655000000000001</v>
      </c>
      <c r="C85">
        <f t="shared" si="14"/>
        <v>2.4577299087900002</v>
      </c>
      <c r="D85">
        <v>1.7299999999999999E-2</v>
      </c>
      <c r="E85" s="1">
        <v>1.4999999999999999E-2</v>
      </c>
      <c r="F85">
        <f t="shared" si="15"/>
        <v>852.56436000000008</v>
      </c>
      <c r="G85">
        <f t="shared" si="16"/>
        <v>-0.57655000000000001</v>
      </c>
      <c r="H85">
        <f t="shared" si="17"/>
        <v>-491.54598175800004</v>
      </c>
      <c r="I85">
        <v>1</v>
      </c>
      <c r="J85">
        <f t="shared" si="18"/>
        <v>-0.1595065770729415</v>
      </c>
      <c r="K85">
        <f t="shared" si="19"/>
        <v>-0.64517515177521745</v>
      </c>
      <c r="L85">
        <v>1</v>
      </c>
      <c r="M85">
        <f t="shared" si="20"/>
        <v>0.50647095763628669</v>
      </c>
      <c r="N85">
        <f t="shared" si="24"/>
        <v>7.3746817140000004E-2</v>
      </c>
      <c r="O85">
        <f t="shared" si="22"/>
        <v>6.3942327000000007E-2</v>
      </c>
      <c r="P85">
        <f t="shared" si="23"/>
        <v>1.0150499989307477E-3</v>
      </c>
      <c r="V85">
        <v>2.0999999999999699</v>
      </c>
      <c r="W85">
        <f t="shared" si="21"/>
        <v>-0.59145099999999884</v>
      </c>
    </row>
    <row r="86" spans="1:23" x14ac:dyDescent="0.3">
      <c r="A86">
        <v>4.313231</v>
      </c>
      <c r="B86">
        <v>0.57440999999999998</v>
      </c>
      <c r="C86">
        <f t="shared" si="14"/>
        <v>2.4775630187099997</v>
      </c>
      <c r="D86">
        <v>1.7299999999999999E-2</v>
      </c>
      <c r="E86" s="1">
        <v>1.4999999999999999E-2</v>
      </c>
      <c r="F86">
        <f t="shared" si="15"/>
        <v>862.64620000000002</v>
      </c>
      <c r="G86">
        <f t="shared" si="16"/>
        <v>-0.57440999999999998</v>
      </c>
      <c r="H86">
        <f t="shared" si="17"/>
        <v>-495.51260374199995</v>
      </c>
      <c r="I86">
        <v>1</v>
      </c>
      <c r="J86">
        <f t="shared" si="18"/>
        <v>-0.14775063719497541</v>
      </c>
      <c r="K86">
        <f t="shared" si="19"/>
        <v>-0.64731515177521748</v>
      </c>
      <c r="L86">
        <v>1</v>
      </c>
      <c r="M86">
        <f t="shared" si="20"/>
        <v>0.50691309853509692</v>
      </c>
      <c r="N86">
        <f t="shared" si="24"/>
        <v>7.4618896300000001E-2</v>
      </c>
      <c r="O86">
        <f t="shared" si="22"/>
        <v>6.4698464999999997E-2</v>
      </c>
      <c r="P86">
        <f t="shared" si="23"/>
        <v>1.0846919401205635E-3</v>
      </c>
      <c r="V86">
        <v>2.19999999999997</v>
      </c>
      <c r="W86">
        <f t="shared" si="21"/>
        <v>-0.59521199999999885</v>
      </c>
    </row>
    <row r="87" spans="1:23" x14ac:dyDescent="0.3">
      <c r="A87">
        <v>4.3656772000000004</v>
      </c>
      <c r="B87">
        <v>0.57211999999999996</v>
      </c>
      <c r="C87">
        <f t="shared" si="14"/>
        <v>2.4976912396639999</v>
      </c>
      <c r="D87">
        <v>1.7299999999999999E-2</v>
      </c>
      <c r="E87" s="1">
        <v>1.4999999999999999E-2</v>
      </c>
      <c r="F87">
        <f t="shared" si="15"/>
        <v>873.13544000000002</v>
      </c>
      <c r="G87">
        <f t="shared" si="16"/>
        <v>-0.57211999999999996</v>
      </c>
      <c r="H87">
        <f t="shared" si="17"/>
        <v>-499.53824793279995</v>
      </c>
      <c r="I87">
        <v>1</v>
      </c>
      <c r="J87">
        <f t="shared" si="18"/>
        <v>-0.13566459199157258</v>
      </c>
      <c r="K87">
        <f t="shared" si="19"/>
        <v>-0.64960515177521749</v>
      </c>
      <c r="L87">
        <v>1</v>
      </c>
      <c r="M87">
        <f t="shared" si="20"/>
        <v>0.50736765469519696</v>
      </c>
      <c r="N87">
        <f t="shared" si="24"/>
        <v>7.5526215559999998E-2</v>
      </c>
      <c r="O87">
        <f t="shared" si="22"/>
        <v>6.5485158000000002E-2</v>
      </c>
      <c r="P87">
        <f t="shared" si="23"/>
        <v>1.2261235200205362E-3</v>
      </c>
      <c r="V87">
        <v>2.2999999999999701</v>
      </c>
      <c r="W87">
        <f t="shared" si="21"/>
        <v>-0.59897299999999887</v>
      </c>
    </row>
    <row r="88" spans="1:23" x14ac:dyDescent="0.3">
      <c r="A88">
        <v>4.4171044999999998</v>
      </c>
      <c r="B88">
        <v>0.56962000000000002</v>
      </c>
      <c r="C88">
        <f t="shared" si="14"/>
        <v>2.5160710652899998</v>
      </c>
      <c r="D88">
        <v>1.7299999999999999E-2</v>
      </c>
      <c r="E88" s="1">
        <v>1.4999999999999999E-2</v>
      </c>
      <c r="F88">
        <f t="shared" si="15"/>
        <v>883.42089999999996</v>
      </c>
      <c r="G88">
        <f t="shared" si="16"/>
        <v>-0.56962000000000002</v>
      </c>
      <c r="H88">
        <f t="shared" si="17"/>
        <v>-503.21421305799998</v>
      </c>
      <c r="I88">
        <v>1</v>
      </c>
      <c r="J88">
        <f t="shared" si="18"/>
        <v>-0.1239535215077667</v>
      </c>
      <c r="K88">
        <f t="shared" si="19"/>
        <v>-0.65210515177521744</v>
      </c>
      <c r="L88">
        <v>1</v>
      </c>
      <c r="M88">
        <f t="shared" si="20"/>
        <v>0.50780810805609289</v>
      </c>
      <c r="N88">
        <f t="shared" si="24"/>
        <v>7.6415907849999992E-2</v>
      </c>
      <c r="O88">
        <f t="shared" si="22"/>
        <v>6.6256567499999988E-2</v>
      </c>
      <c r="P88">
        <f t="shared" si="23"/>
        <v>1.624568369124571E-3</v>
      </c>
      <c r="V88">
        <v>2.3999999999999702</v>
      </c>
      <c r="W88">
        <f t="shared" si="21"/>
        <v>-0.60273399999999888</v>
      </c>
    </row>
    <row r="89" spans="1:23" x14ac:dyDescent="0.3">
      <c r="A89">
        <v>4.4690410000000007</v>
      </c>
      <c r="B89">
        <v>0.56716</v>
      </c>
      <c r="C89">
        <f t="shared" si="14"/>
        <v>2.5346612935600006</v>
      </c>
      <c r="D89">
        <v>1.7299999999999999E-2</v>
      </c>
      <c r="E89" s="1">
        <v>1.4999999999999999E-2</v>
      </c>
      <c r="F89">
        <f t="shared" si="15"/>
        <v>893.80820000000017</v>
      </c>
      <c r="G89">
        <f t="shared" si="16"/>
        <v>-0.56716</v>
      </c>
      <c r="H89">
        <f t="shared" si="17"/>
        <v>-506.93225871200013</v>
      </c>
      <c r="I89">
        <v>1</v>
      </c>
      <c r="J89">
        <f t="shared" si="18"/>
        <v>-0.11226406821294288</v>
      </c>
      <c r="K89">
        <f t="shared" si="19"/>
        <v>-0.65456515177521746</v>
      </c>
      <c r="L89">
        <v>1</v>
      </c>
      <c r="M89">
        <f t="shared" si="20"/>
        <v>0.50824774839451115</v>
      </c>
      <c r="N89">
        <f t="shared" si="24"/>
        <v>7.7314409300000012E-2</v>
      </c>
      <c r="O89">
        <f t="shared" si="22"/>
        <v>6.7035615000000007E-2</v>
      </c>
      <c r="P89">
        <f t="shared" si="23"/>
        <v>1.9673790807062941E-3</v>
      </c>
      <c r="V89">
        <v>2.4999999999999698</v>
      </c>
      <c r="W89">
        <f t="shared" si="21"/>
        <v>-0.6064949999999989</v>
      </c>
    </row>
    <row r="90" spans="1:23" x14ac:dyDescent="0.3">
      <c r="A90">
        <v>4.5214873000000004</v>
      </c>
      <c r="B90">
        <v>0.56486999999999998</v>
      </c>
      <c r="C90">
        <f t="shared" si="14"/>
        <v>2.5540525311510001</v>
      </c>
      <c r="D90">
        <v>1.7299999999999999E-2</v>
      </c>
      <c r="E90" s="1">
        <v>1.4999999999999999E-2</v>
      </c>
      <c r="F90">
        <f t="shared" si="15"/>
        <v>904.29746000000011</v>
      </c>
      <c r="G90">
        <f t="shared" si="16"/>
        <v>-0.56486999999999998</v>
      </c>
      <c r="H90">
        <f t="shared" si="17"/>
        <v>-510.81050623020002</v>
      </c>
      <c r="I90">
        <v>1</v>
      </c>
      <c r="J90">
        <f t="shared" si="18"/>
        <v>-0.10059692404203575</v>
      </c>
      <c r="K90">
        <f t="shared" si="19"/>
        <v>-0.65685515177521747</v>
      </c>
      <c r="L90">
        <v>1</v>
      </c>
      <c r="M90">
        <f t="shared" si="20"/>
        <v>0.50868654968677907</v>
      </c>
      <c r="N90">
        <f t="shared" si="24"/>
        <v>7.8221730289999999E-2</v>
      </c>
      <c r="O90">
        <f t="shared" si="22"/>
        <v>6.7822309499999997E-2</v>
      </c>
      <c r="P90">
        <f t="shared" si="23"/>
        <v>2.1245622984384094E-3</v>
      </c>
      <c r="V90">
        <v>2.5999999999999699</v>
      </c>
      <c r="W90">
        <f t="shared" si="21"/>
        <v>-0.6102559999999988</v>
      </c>
    </row>
    <row r="91" spans="1:23" x14ac:dyDescent="0.3">
      <c r="A91">
        <v>4.5718964999999994</v>
      </c>
      <c r="B91">
        <v>0.56247999999999998</v>
      </c>
      <c r="C91">
        <f t="shared" si="14"/>
        <v>2.5716003433199996</v>
      </c>
      <c r="D91">
        <v>1.7299999999999999E-2</v>
      </c>
      <c r="E91" s="1">
        <v>1.4999999999999999E-2</v>
      </c>
      <c r="F91">
        <f t="shared" si="15"/>
        <v>914.37929999999983</v>
      </c>
      <c r="G91">
        <f t="shared" si="16"/>
        <v>-0.56247999999999998</v>
      </c>
      <c r="H91">
        <f t="shared" si="17"/>
        <v>-514.3200686639999</v>
      </c>
      <c r="I91">
        <v>1</v>
      </c>
      <c r="J91">
        <f t="shared" si="18"/>
        <v>-8.9509804553050729E-2</v>
      </c>
      <c r="K91">
        <f t="shared" si="19"/>
        <v>-0.65924515177521747</v>
      </c>
      <c r="L91">
        <v>1</v>
      </c>
      <c r="M91">
        <f t="shared" si="20"/>
        <v>0.50910353625075977</v>
      </c>
      <c r="N91">
        <f t="shared" si="24"/>
        <v>7.9093809449999983E-2</v>
      </c>
      <c r="O91">
        <f t="shared" si="22"/>
        <v>6.8578447499999987E-2</v>
      </c>
      <c r="P91">
        <f t="shared" si="23"/>
        <v>2.4693585744577362E-3</v>
      </c>
      <c r="V91">
        <v>2.69999999999997</v>
      </c>
      <c r="W91">
        <f t="shared" si="21"/>
        <v>-0.61401699999999881</v>
      </c>
    </row>
    <row r="92" spans="1:23" x14ac:dyDescent="0.3">
      <c r="A92">
        <v>4.6233237000000003</v>
      </c>
      <c r="B92">
        <v>0.56005000000000005</v>
      </c>
      <c r="C92">
        <f t="shared" si="14"/>
        <v>2.5892924381850002</v>
      </c>
      <c r="D92">
        <v>1.7299999999999999E-2</v>
      </c>
      <c r="E92" s="1">
        <v>1.4999999999999999E-2</v>
      </c>
      <c r="F92">
        <f t="shared" si="15"/>
        <v>924.66474000000005</v>
      </c>
      <c r="G92">
        <f t="shared" si="16"/>
        <v>-0.56005000000000005</v>
      </c>
      <c r="H92">
        <f t="shared" si="17"/>
        <v>-517.85848763700005</v>
      </c>
      <c r="I92">
        <v>1</v>
      </c>
      <c r="J92">
        <f t="shared" si="18"/>
        <v>-7.8324050411382393E-2</v>
      </c>
      <c r="K92">
        <f t="shared" si="19"/>
        <v>-0.66167515177521741</v>
      </c>
      <c r="L92">
        <v>1</v>
      </c>
      <c r="M92">
        <f t="shared" si="20"/>
        <v>0.50952423246402789</v>
      </c>
      <c r="N92">
        <f t="shared" si="24"/>
        <v>7.998350001E-2</v>
      </c>
      <c r="O92">
        <f t="shared" si="22"/>
        <v>6.9349855500000002E-2</v>
      </c>
      <c r="P92">
        <f t="shared" si="23"/>
        <v>2.8175638011895127E-3</v>
      </c>
      <c r="V92">
        <v>2.7999999999999701</v>
      </c>
      <c r="W92">
        <f t="shared" si="21"/>
        <v>-0.61777799999999883</v>
      </c>
    </row>
    <row r="93" spans="1:23" x14ac:dyDescent="0.3">
      <c r="A93">
        <v>4.6737329000000001</v>
      </c>
      <c r="B93">
        <v>0.55794999999999995</v>
      </c>
      <c r="C93">
        <f t="shared" si="14"/>
        <v>2.6077092715549997</v>
      </c>
      <c r="D93">
        <v>1.7299999999999999E-2</v>
      </c>
      <c r="E93" s="1">
        <v>1.4999999999999999E-2</v>
      </c>
      <c r="F93">
        <f t="shared" si="15"/>
        <v>934.74657999999999</v>
      </c>
      <c r="G93">
        <f t="shared" si="16"/>
        <v>-0.55794999999999995</v>
      </c>
      <c r="H93">
        <f t="shared" si="17"/>
        <v>-521.54185431099995</v>
      </c>
      <c r="I93">
        <v>1</v>
      </c>
      <c r="J93">
        <f t="shared" si="18"/>
        <v>-6.7479823863888497E-2</v>
      </c>
      <c r="K93">
        <f t="shared" si="19"/>
        <v>-0.66377515177521751</v>
      </c>
      <c r="L93">
        <v>1</v>
      </c>
      <c r="M93">
        <f t="shared" si="20"/>
        <v>0.50993208382447919</v>
      </c>
      <c r="N93">
        <f t="shared" si="24"/>
        <v>8.0855579169999997E-2</v>
      </c>
      <c r="O93">
        <f t="shared" si="22"/>
        <v>7.0105993500000005E-2</v>
      </c>
      <c r="P93">
        <f t="shared" si="23"/>
        <v>2.8814952807383193E-3</v>
      </c>
      <c r="V93">
        <v>2.8999999999999702</v>
      </c>
      <c r="W93">
        <f t="shared" si="21"/>
        <v>-0.62153899999999884</v>
      </c>
    </row>
    <row r="94" spans="1:23" x14ac:dyDescent="0.3">
      <c r="A94">
        <v>4.7287251000000001</v>
      </c>
      <c r="B94">
        <v>0.55537999999999998</v>
      </c>
      <c r="C94">
        <f t="shared" si="14"/>
        <v>2.626239346038</v>
      </c>
      <c r="D94">
        <v>1.7299999999999999E-2</v>
      </c>
      <c r="E94" s="1">
        <v>1.4999999999999999E-2</v>
      </c>
      <c r="F94">
        <f t="shared" si="15"/>
        <v>945.74502000000007</v>
      </c>
      <c r="G94">
        <f t="shared" si="16"/>
        <v>-0.55537999999999998</v>
      </c>
      <c r="H94">
        <f t="shared" si="17"/>
        <v>-525.24786920760005</v>
      </c>
      <c r="I94">
        <v>1</v>
      </c>
      <c r="J94">
        <f t="shared" si="18"/>
        <v>-5.5782281145034897E-2</v>
      </c>
      <c r="K94">
        <f t="shared" si="19"/>
        <v>-0.66634515177521747</v>
      </c>
      <c r="L94">
        <v>1</v>
      </c>
      <c r="M94">
        <f t="shared" si="20"/>
        <v>0.51037202840613527</v>
      </c>
      <c r="N94">
        <f t="shared" si="24"/>
        <v>8.1806944229999998E-2</v>
      </c>
      <c r="O94">
        <f t="shared" si="22"/>
        <v>7.0930876500000004E-2</v>
      </c>
      <c r="P94">
        <f t="shared" si="23"/>
        <v>3.2353026390821993E-3</v>
      </c>
      <c r="V94">
        <v>2.9999999999999698</v>
      </c>
      <c r="W94">
        <f t="shared" si="21"/>
        <v>-0.62529999999999886</v>
      </c>
    </row>
    <row r="95" spans="1:23" x14ac:dyDescent="0.3">
      <c r="A95">
        <v>4.7791342999999999</v>
      </c>
      <c r="B95">
        <v>0.55305000000000004</v>
      </c>
      <c r="C95">
        <f t="shared" si="14"/>
        <v>2.6431002246150004</v>
      </c>
      <c r="D95">
        <v>1.7299999999999999E-2</v>
      </c>
      <c r="E95" s="1">
        <v>1.4999999999999999E-2</v>
      </c>
      <c r="F95">
        <f t="shared" si="15"/>
        <v>955.82686000000001</v>
      </c>
      <c r="G95">
        <f t="shared" si="16"/>
        <v>-0.55305000000000004</v>
      </c>
      <c r="H95">
        <f t="shared" si="17"/>
        <v>-528.62004492300002</v>
      </c>
      <c r="I95">
        <v>1</v>
      </c>
      <c r="J95">
        <f t="shared" si="18"/>
        <v>-4.5178491119523295E-2</v>
      </c>
      <c r="K95">
        <f t="shared" si="19"/>
        <v>-0.66867515177521741</v>
      </c>
      <c r="L95">
        <v>1</v>
      </c>
      <c r="M95">
        <f t="shared" si="20"/>
        <v>0.51077083694899472</v>
      </c>
      <c r="N95">
        <f t="shared" si="24"/>
        <v>8.2679023389999995E-2</v>
      </c>
      <c r="O95">
        <f t="shared" si="22"/>
        <v>7.1687014499999993E-2</v>
      </c>
      <c r="P95">
        <f t="shared" si="23"/>
        <v>3.5382769362227035E-3</v>
      </c>
      <c r="V95">
        <v>3.0999999999999699</v>
      </c>
      <c r="W95">
        <f t="shared" si="21"/>
        <v>-0.62906099999999887</v>
      </c>
    </row>
    <row r="96" spans="1:23" x14ac:dyDescent="0.3">
      <c r="A96">
        <v>4.8295430000000001</v>
      </c>
      <c r="B96">
        <v>0.55069999999999997</v>
      </c>
      <c r="C96">
        <f t="shared" si="14"/>
        <v>2.6596293301</v>
      </c>
      <c r="D96">
        <v>1.7299999999999999E-2</v>
      </c>
      <c r="E96" s="1">
        <v>1.4999999999999999E-2</v>
      </c>
      <c r="F96">
        <f t="shared" si="15"/>
        <v>965.90859999999998</v>
      </c>
      <c r="G96">
        <f t="shared" si="16"/>
        <v>-0.55069999999999997</v>
      </c>
      <c r="H96">
        <f t="shared" si="17"/>
        <v>-531.92586602000006</v>
      </c>
      <c r="I96">
        <v>1</v>
      </c>
      <c r="J96">
        <f t="shared" si="18"/>
        <v>-3.4686066223313279E-2</v>
      </c>
      <c r="K96">
        <f t="shared" si="19"/>
        <v>-0.67102515177521749</v>
      </c>
      <c r="L96">
        <v>1</v>
      </c>
      <c r="M96">
        <f t="shared" si="20"/>
        <v>0.51116545704934113</v>
      </c>
      <c r="N96">
        <f t="shared" si="24"/>
        <v>8.3551093899999998E-2</v>
      </c>
      <c r="O96">
        <f t="shared" si="22"/>
        <v>7.2443145E-2</v>
      </c>
      <c r="P96">
        <f t="shared" si="23"/>
        <v>3.8654558258763572E-3</v>
      </c>
      <c r="V96">
        <v>3.19999999999997</v>
      </c>
      <c r="W96">
        <f t="shared" si="21"/>
        <v>-0.63282199999999889</v>
      </c>
    </row>
    <row r="97" spans="1:23" x14ac:dyDescent="0.3">
      <c r="A97">
        <v>4.8799520999999997</v>
      </c>
      <c r="B97">
        <v>0.54842999999999997</v>
      </c>
      <c r="C97">
        <f t="shared" si="14"/>
        <v>2.6763121302029997</v>
      </c>
      <c r="D97">
        <v>1.7299999999999999E-2</v>
      </c>
      <c r="E97" s="1">
        <v>1.4999999999999999E-2</v>
      </c>
      <c r="F97">
        <f t="shared" si="15"/>
        <v>975.99041999999997</v>
      </c>
      <c r="G97">
        <f t="shared" si="16"/>
        <v>-0.54842999999999997</v>
      </c>
      <c r="H97">
        <f t="shared" si="17"/>
        <v>-535.26242604059996</v>
      </c>
      <c r="I97">
        <v>1</v>
      </c>
      <c r="J97">
        <f t="shared" si="18"/>
        <v>-2.430250819098809E-2</v>
      </c>
      <c r="K97">
        <f t="shared" si="19"/>
        <v>-0.67329515177521748</v>
      </c>
      <c r="L97">
        <v>1</v>
      </c>
      <c r="M97">
        <f t="shared" si="20"/>
        <v>0.51155598266693691</v>
      </c>
      <c r="N97">
        <f t="shared" si="24"/>
        <v>8.4423171329999991E-2</v>
      </c>
      <c r="O97">
        <f t="shared" si="22"/>
        <v>7.3199281499999991E-2</v>
      </c>
      <c r="P97">
        <f t="shared" si="23"/>
        <v>4.1167162782805855E-3</v>
      </c>
      <c r="V97">
        <v>3.2999999999999701</v>
      </c>
      <c r="W97">
        <f t="shared" si="21"/>
        <v>-0.63658299999999879</v>
      </c>
    </row>
    <row r="98" spans="1:23" x14ac:dyDescent="0.3">
      <c r="A98">
        <v>4.9313798999999996</v>
      </c>
      <c r="B98">
        <v>0.54605999999999999</v>
      </c>
      <c r="C98">
        <f t="shared" si="14"/>
        <v>2.6928293081939998</v>
      </c>
      <c r="D98">
        <v>1.7299999999999999E-2</v>
      </c>
      <c r="E98" s="1">
        <v>1.4999999999999999E-2</v>
      </c>
      <c r="F98">
        <f t="shared" si="15"/>
        <v>986.27597999999989</v>
      </c>
      <c r="G98">
        <f t="shared" si="16"/>
        <v>-0.54605999999999999</v>
      </c>
      <c r="H98">
        <f t="shared" si="17"/>
        <v>-538.56586163880002</v>
      </c>
      <c r="I98">
        <v>1</v>
      </c>
      <c r="J98">
        <f t="shared" si="18"/>
        <v>-1.3819064963679717E-2</v>
      </c>
      <c r="K98">
        <f t="shared" si="19"/>
        <v>-0.67566515177521747</v>
      </c>
      <c r="L98">
        <v>1</v>
      </c>
      <c r="M98">
        <f t="shared" si="20"/>
        <v>0.51195026496671603</v>
      </c>
      <c r="N98">
        <f t="shared" si="24"/>
        <v>8.5312872269999993E-2</v>
      </c>
      <c r="O98">
        <f t="shared" si="22"/>
        <v>7.3970698499999987E-2</v>
      </c>
      <c r="P98">
        <f t="shared" si="23"/>
        <v>4.4313160385014566E-3</v>
      </c>
      <c r="V98">
        <v>3.3999999999999702</v>
      </c>
      <c r="W98">
        <f t="shared" si="21"/>
        <v>-0.64034399999999891</v>
      </c>
    </row>
    <row r="99" spans="1:23" x14ac:dyDescent="0.3">
      <c r="A99">
        <v>4.9817890999999994</v>
      </c>
      <c r="B99">
        <v>0.54391999999999996</v>
      </c>
      <c r="C99">
        <f t="shared" si="14"/>
        <v>2.7096947272719993</v>
      </c>
      <c r="D99">
        <v>1.7299999999999999E-2</v>
      </c>
      <c r="E99" s="1">
        <v>1.4999999999999999E-2</v>
      </c>
      <c r="F99">
        <f t="shared" si="15"/>
        <v>996.35781999999983</v>
      </c>
      <c r="G99">
        <f t="shared" si="16"/>
        <v>-0.54391999999999996</v>
      </c>
      <c r="H99">
        <f t="shared" si="17"/>
        <v>-541.93894545439991</v>
      </c>
      <c r="I99">
        <v>1</v>
      </c>
      <c r="J99">
        <f t="shared" si="18"/>
        <v>-3.6488288867809085E-3</v>
      </c>
      <c r="K99">
        <f t="shared" si="19"/>
        <v>-0.6778051517752175</v>
      </c>
      <c r="L99">
        <v>1</v>
      </c>
      <c r="M99">
        <f t="shared" si="20"/>
        <v>0.51233276754556811</v>
      </c>
      <c r="N99">
        <f t="shared" si="24"/>
        <v>8.618495142999999E-2</v>
      </c>
      <c r="O99">
        <f t="shared" si="22"/>
        <v>7.4726836499999991E-2</v>
      </c>
      <c r="P99">
        <f t="shared" si="23"/>
        <v>4.5605962996494026E-3</v>
      </c>
      <c r="V99">
        <v>3.4999999999999698</v>
      </c>
      <c r="W99">
        <f t="shared" si="21"/>
        <v>-0.64410499999999882</v>
      </c>
    </row>
    <row r="100" spans="1:23" x14ac:dyDescent="0.3">
      <c r="A100">
        <v>5.0372895999999994</v>
      </c>
      <c r="B100">
        <v>0.54142000000000001</v>
      </c>
      <c r="C100">
        <f t="shared" si="14"/>
        <v>2.7272893352319998</v>
      </c>
      <c r="D100">
        <v>1.7299999999999999E-2</v>
      </c>
      <c r="E100" s="1">
        <v>1.4999999999999999E-2</v>
      </c>
      <c r="F100">
        <f t="shared" si="15"/>
        <v>1007.4579199999998</v>
      </c>
      <c r="G100">
        <f t="shared" si="16"/>
        <v>-0.54142000000000001</v>
      </c>
      <c r="H100">
        <f t="shared" si="17"/>
        <v>-545.4578670464</v>
      </c>
      <c r="I100">
        <v>1</v>
      </c>
      <c r="J100">
        <f t="shared" si="18"/>
        <v>7.4302472170661646E-3</v>
      </c>
      <c r="K100">
        <f t="shared" si="19"/>
        <v>-0.68030515177521744</v>
      </c>
      <c r="L100">
        <v>1</v>
      </c>
      <c r="M100">
        <f t="shared" si="20"/>
        <v>0.51274945159783381</v>
      </c>
      <c r="N100">
        <f t="shared" si="24"/>
        <v>8.7145110079999991E-2</v>
      </c>
      <c r="O100">
        <f t="shared" si="22"/>
        <v>7.5559343999999987E-2</v>
      </c>
      <c r="P100">
        <f t="shared" si="23"/>
        <v>4.8512460973836602E-3</v>
      </c>
      <c r="V100">
        <v>3.5999999999999699</v>
      </c>
      <c r="W100">
        <f t="shared" si="21"/>
        <v>-0.64786599999999883</v>
      </c>
    </row>
    <row r="101" spans="1:23" x14ac:dyDescent="0.3">
      <c r="A101">
        <v>5.0897358000000006</v>
      </c>
      <c r="B101">
        <v>0.53893999999999997</v>
      </c>
      <c r="C101">
        <f t="shared" si="14"/>
        <v>2.7430622120520001</v>
      </c>
      <c r="D101">
        <v>1.7299999999999999E-2</v>
      </c>
      <c r="E101" s="1">
        <v>1.4999999999999999E-2</v>
      </c>
      <c r="F101">
        <f t="shared" si="15"/>
        <v>1017.9471600000002</v>
      </c>
      <c r="G101">
        <f t="shared" si="16"/>
        <v>-0.53893999999999997</v>
      </c>
      <c r="H101">
        <f t="shared" si="17"/>
        <v>-548.61244241040004</v>
      </c>
      <c r="I101">
        <v>1</v>
      </c>
      <c r="J101">
        <f t="shared" si="18"/>
        <v>1.778801108373777E-2</v>
      </c>
      <c r="K101">
        <f t="shared" si="19"/>
        <v>-0.68278515177521748</v>
      </c>
      <c r="L101">
        <v>1</v>
      </c>
      <c r="M101">
        <f t="shared" si="20"/>
        <v>0.51313900709685933</v>
      </c>
      <c r="N101">
        <f t="shared" si="24"/>
        <v>8.8052429340000002E-2</v>
      </c>
      <c r="O101">
        <f t="shared" si="22"/>
        <v>7.6346037000000005E-2</v>
      </c>
      <c r="P101">
        <f t="shared" si="23"/>
        <v>5.2476783383581388E-3</v>
      </c>
      <c r="V101">
        <v>3.69999999999997</v>
      </c>
      <c r="W101">
        <f t="shared" si="21"/>
        <v>-0.65162699999999885</v>
      </c>
    </row>
    <row r="102" spans="1:23" x14ac:dyDescent="0.3">
      <c r="A102">
        <v>5.1411631</v>
      </c>
      <c r="B102">
        <v>0.53678000000000003</v>
      </c>
      <c r="C102">
        <f t="shared" si="14"/>
        <v>2.7596735288180003</v>
      </c>
      <c r="D102">
        <v>1.7299999999999999E-2</v>
      </c>
      <c r="E102" s="1">
        <v>1.4999999999999999E-2</v>
      </c>
      <c r="F102">
        <f t="shared" si="15"/>
        <v>1028.23262</v>
      </c>
      <c r="G102">
        <f t="shared" si="16"/>
        <v>-0.53678000000000003</v>
      </c>
      <c r="H102">
        <f t="shared" si="17"/>
        <v>-551.93470576360005</v>
      </c>
      <c r="I102">
        <v>1</v>
      </c>
      <c r="J102">
        <f t="shared" si="18"/>
        <v>2.7841425481292714E-2</v>
      </c>
      <c r="K102">
        <f t="shared" si="19"/>
        <v>-0.68494515177521742</v>
      </c>
      <c r="L102">
        <v>1</v>
      </c>
      <c r="M102">
        <f t="shared" si="20"/>
        <v>0.51351711601235139</v>
      </c>
      <c r="N102">
        <f t="shared" si="24"/>
        <v>8.8942121629999996E-2</v>
      </c>
      <c r="O102">
        <f t="shared" si="22"/>
        <v>7.7117446499999992E-2</v>
      </c>
      <c r="P102">
        <f t="shared" si="23"/>
        <v>5.3684676328660391E-3</v>
      </c>
      <c r="V102">
        <v>3.7999999999999701</v>
      </c>
      <c r="W102">
        <f t="shared" si="21"/>
        <v>-0.65538799999999886</v>
      </c>
    </row>
    <row r="103" spans="1:23" x14ac:dyDescent="0.3">
      <c r="A103">
        <v>5.1920815000000005</v>
      </c>
      <c r="B103">
        <v>0.53444999999999998</v>
      </c>
      <c r="C103">
        <f t="shared" si="14"/>
        <v>2.774907957675</v>
      </c>
      <c r="D103">
        <v>1.7299999999999999E-2</v>
      </c>
      <c r="E103" s="1">
        <v>1.4999999999999999E-2</v>
      </c>
      <c r="F103">
        <f t="shared" si="15"/>
        <v>1038.4163000000001</v>
      </c>
      <c r="G103">
        <f t="shared" si="16"/>
        <v>-0.53444999999999998</v>
      </c>
      <c r="H103">
        <f t="shared" si="17"/>
        <v>-554.98159153500001</v>
      </c>
      <c r="I103">
        <v>1</v>
      </c>
      <c r="J103">
        <f t="shared" si="18"/>
        <v>3.7696764070990811E-2</v>
      </c>
      <c r="K103">
        <f t="shared" si="19"/>
        <v>-0.68727515177521747</v>
      </c>
      <c r="L103">
        <v>1</v>
      </c>
      <c r="M103">
        <f t="shared" si="20"/>
        <v>0.51388777529670993</v>
      </c>
      <c r="N103">
        <f t="shared" si="24"/>
        <v>8.9823009950000005E-2</v>
      </c>
      <c r="O103">
        <f t="shared" si="22"/>
        <v>7.78812225E-2</v>
      </c>
      <c r="P103">
        <f t="shared" si="23"/>
        <v>5.6831440285075446E-3</v>
      </c>
      <c r="V103">
        <v>3.8999999999999599</v>
      </c>
      <c r="W103">
        <f t="shared" si="21"/>
        <v>-0.65914899999999843</v>
      </c>
    </row>
    <row r="104" spans="1:23" x14ac:dyDescent="0.3">
      <c r="A104">
        <v>5.2435092999999995</v>
      </c>
      <c r="B104">
        <v>0.53229000000000004</v>
      </c>
      <c r="C104">
        <f t="shared" si="14"/>
        <v>2.7910675652969998</v>
      </c>
      <c r="D104">
        <v>1.7299999999999999E-2</v>
      </c>
      <c r="E104" s="1">
        <v>1.4999999999999999E-2</v>
      </c>
      <c r="F104">
        <f t="shared" si="15"/>
        <v>1048.7018599999999</v>
      </c>
      <c r="G104">
        <f t="shared" si="16"/>
        <v>-0.53229000000000004</v>
      </c>
      <c r="H104">
        <f t="shared" si="17"/>
        <v>-558.21351305939993</v>
      </c>
      <c r="I104">
        <v>1</v>
      </c>
      <c r="J104">
        <f t="shared" si="18"/>
        <v>4.7553075481136964E-2</v>
      </c>
      <c r="K104">
        <f t="shared" si="19"/>
        <v>-0.68943515177521741</v>
      </c>
      <c r="L104">
        <v>1</v>
      </c>
      <c r="M104">
        <f t="shared" si="20"/>
        <v>0.51425847116884549</v>
      </c>
      <c r="N104">
        <f t="shared" si="24"/>
        <v>9.0712710889999992E-2</v>
      </c>
      <c r="O104">
        <f t="shared" si="22"/>
        <v>7.8652639499999996E-2</v>
      </c>
      <c r="P104">
        <f t="shared" si="23"/>
        <v>5.8113302163719377E-3</v>
      </c>
      <c r="V104">
        <v>3.99999999999996</v>
      </c>
      <c r="W104">
        <f t="shared" si="21"/>
        <v>-0.66290999999999844</v>
      </c>
    </row>
    <row r="105" spans="1:23" x14ac:dyDescent="0.3">
      <c r="A105">
        <v>5.2990098000000003</v>
      </c>
      <c r="B105">
        <v>0.52983000000000002</v>
      </c>
      <c r="C105">
        <f t="shared" si="14"/>
        <v>2.8075743623340004</v>
      </c>
      <c r="D105">
        <v>1.7299999999999999E-2</v>
      </c>
      <c r="E105" s="1">
        <v>1.4999999999999999E-2</v>
      </c>
      <c r="F105">
        <f t="shared" si="15"/>
        <v>1059.80196</v>
      </c>
      <c r="G105">
        <f t="shared" si="16"/>
        <v>-0.52983000000000002</v>
      </c>
      <c r="H105">
        <f t="shared" si="17"/>
        <v>-561.51487246680006</v>
      </c>
      <c r="I105">
        <v>1</v>
      </c>
      <c r="J105">
        <f t="shared" si="18"/>
        <v>5.8082060480362657E-2</v>
      </c>
      <c r="K105">
        <f t="shared" si="19"/>
        <v>-0.69189515177521743</v>
      </c>
      <c r="L105">
        <v>1</v>
      </c>
      <c r="M105">
        <f t="shared" si="20"/>
        <v>0.51465446629466638</v>
      </c>
      <c r="N105">
        <f t="shared" si="24"/>
        <v>9.1672869540000007E-2</v>
      </c>
      <c r="O105">
        <f t="shared" si="22"/>
        <v>7.9485147000000006E-2</v>
      </c>
      <c r="P105">
        <f t="shared" si="23"/>
        <v>6.0826689405510392E-3</v>
      </c>
      <c r="V105">
        <v>4.0999999999999996</v>
      </c>
      <c r="W105">
        <f t="shared" si="21"/>
        <v>-0.66667100000000001</v>
      </c>
    </row>
    <row r="106" spans="1:23" x14ac:dyDescent="0.3">
      <c r="A106">
        <v>5.3509473000000005</v>
      </c>
      <c r="B106">
        <v>0.52732999999999997</v>
      </c>
      <c r="C106">
        <f t="shared" si="14"/>
        <v>2.8217150397090003</v>
      </c>
      <c r="D106">
        <v>1.7299999999999999E-2</v>
      </c>
      <c r="E106" s="1">
        <v>1.4999999999999999E-2</v>
      </c>
      <c r="F106">
        <f t="shared" si="15"/>
        <v>1070.1894600000001</v>
      </c>
      <c r="G106">
        <f t="shared" si="16"/>
        <v>-0.52732999999999997</v>
      </c>
      <c r="H106">
        <f t="shared" si="17"/>
        <v>-564.34300794180001</v>
      </c>
      <c r="I106">
        <v>1</v>
      </c>
      <c r="J106">
        <f t="shared" si="18"/>
        <v>6.7835698220144333E-2</v>
      </c>
      <c r="K106">
        <f t="shared" si="19"/>
        <v>-0.69439515177521749</v>
      </c>
      <c r="L106">
        <v>1</v>
      </c>
      <c r="M106">
        <f t="shared" si="20"/>
        <v>0.51502130061005957</v>
      </c>
      <c r="N106">
        <f t="shared" si="24"/>
        <v>9.2571388290000001E-2</v>
      </c>
      <c r="O106">
        <f t="shared" si="22"/>
        <v>8.0264209500000003E-2</v>
      </c>
      <c r="P106">
        <f t="shared" si="23"/>
        <v>6.5382533751579125E-3</v>
      </c>
      <c r="V106">
        <v>4.2</v>
      </c>
      <c r="W106">
        <f t="shared" si="21"/>
        <v>-0.67043199999999992</v>
      </c>
    </row>
    <row r="107" spans="1:23" x14ac:dyDescent="0.3">
      <c r="A107">
        <v>5.402374</v>
      </c>
      <c r="B107">
        <v>0.52488999999999997</v>
      </c>
      <c r="C107">
        <f t="shared" si="14"/>
        <v>2.8356520888599999</v>
      </c>
      <c r="D107">
        <v>1.7299999999999999E-2</v>
      </c>
      <c r="E107" s="1">
        <v>1.4999999999999999E-2</v>
      </c>
      <c r="F107">
        <f t="shared" si="15"/>
        <v>1080.4748</v>
      </c>
      <c r="G107">
        <f t="shared" si="16"/>
        <v>-0.52488999999999997</v>
      </c>
      <c r="H107">
        <f t="shared" si="17"/>
        <v>-567.13041777199999</v>
      </c>
      <c r="I107">
        <v>1</v>
      </c>
      <c r="J107">
        <f t="shared" si="18"/>
        <v>7.7400574156965982E-2</v>
      </c>
      <c r="K107">
        <f t="shared" si="19"/>
        <v>-0.69683515177521749</v>
      </c>
      <c r="L107">
        <v>1</v>
      </c>
      <c r="M107">
        <f t="shared" si="20"/>
        <v>0.51538103559404347</v>
      </c>
      <c r="N107">
        <f t="shared" si="24"/>
        <v>9.3461070199999996E-2</v>
      </c>
      <c r="O107">
        <f t="shared" si="22"/>
        <v>8.1035609999999994E-2</v>
      </c>
      <c r="P107">
        <f t="shared" si="23"/>
        <v>6.9574359811740288E-3</v>
      </c>
      <c r="V107">
        <v>4.3</v>
      </c>
      <c r="W107">
        <f t="shared" si="21"/>
        <v>-0.67419299999999993</v>
      </c>
    </row>
    <row r="108" spans="1:23" x14ac:dyDescent="0.3">
      <c r="A108">
        <v>5.4548198000000001</v>
      </c>
      <c r="B108">
        <v>0.52271000000000001</v>
      </c>
      <c r="C108">
        <f t="shared" si="14"/>
        <v>2.851288857658</v>
      </c>
      <c r="D108">
        <v>1.7299999999999999E-2</v>
      </c>
      <c r="E108" s="1">
        <v>1.4999999999999999E-2</v>
      </c>
      <c r="F108">
        <f t="shared" si="15"/>
        <v>1090.96396</v>
      </c>
      <c r="G108">
        <f t="shared" si="16"/>
        <v>-0.52271000000000001</v>
      </c>
      <c r="H108">
        <f t="shared" si="17"/>
        <v>-570.25777153160004</v>
      </c>
      <c r="I108">
        <v>1</v>
      </c>
      <c r="J108">
        <f t="shared" si="18"/>
        <v>8.7061672391461564E-2</v>
      </c>
      <c r="K108">
        <f t="shared" si="19"/>
        <v>-0.69901515177521745</v>
      </c>
      <c r="L108">
        <v>1</v>
      </c>
      <c r="M108">
        <f t="shared" si="20"/>
        <v>0.51574438949864287</v>
      </c>
      <c r="N108">
        <f t="shared" si="24"/>
        <v>9.4368382540000004E-2</v>
      </c>
      <c r="O108">
        <f t="shared" si="22"/>
        <v>8.1822297000000002E-2</v>
      </c>
      <c r="P108">
        <f t="shared" si="23"/>
        <v>7.0800827365745667E-3</v>
      </c>
      <c r="V108">
        <v>4.4000000000000004</v>
      </c>
      <c r="W108">
        <f t="shared" si="21"/>
        <v>-0.67795399999999995</v>
      </c>
    </row>
    <row r="109" spans="1:23" x14ac:dyDescent="0.3">
      <c r="A109">
        <v>5.5062476</v>
      </c>
      <c r="B109">
        <v>0.52059</v>
      </c>
      <c r="C109">
        <f t="shared" si="14"/>
        <v>2.866497438084</v>
      </c>
      <c r="D109">
        <v>1.7299999999999999E-2</v>
      </c>
      <c r="E109" s="1">
        <v>1.4999999999999999E-2</v>
      </c>
      <c r="F109">
        <f t="shared" si="15"/>
        <v>1101.2495200000001</v>
      </c>
      <c r="G109">
        <f t="shared" si="16"/>
        <v>-0.52059</v>
      </c>
      <c r="H109">
        <f t="shared" si="17"/>
        <v>-573.29948761679998</v>
      </c>
      <c r="I109">
        <v>1</v>
      </c>
      <c r="J109">
        <f t="shared" si="18"/>
        <v>9.6445462399825863E-2</v>
      </c>
      <c r="K109">
        <f t="shared" si="19"/>
        <v>-0.70113515177521746</v>
      </c>
      <c r="L109">
        <v>1</v>
      </c>
      <c r="M109">
        <f t="shared" si="20"/>
        <v>0.51609731384085744</v>
      </c>
      <c r="N109">
        <f t="shared" si="24"/>
        <v>9.5258083479999991E-2</v>
      </c>
      <c r="O109">
        <f t="shared" si="22"/>
        <v>8.2593713999999999E-2</v>
      </c>
      <c r="P109">
        <f t="shared" si="23"/>
        <v>7.1860404543600265E-3</v>
      </c>
      <c r="V109">
        <v>4.5</v>
      </c>
      <c r="W109">
        <f t="shared" si="21"/>
        <v>-0.68171499999999996</v>
      </c>
    </row>
    <row r="110" spans="1:23" x14ac:dyDescent="0.3">
      <c r="A110">
        <v>5.5586937999999995</v>
      </c>
      <c r="B110">
        <v>0.51817999999999997</v>
      </c>
      <c r="C110">
        <f t="shared" si="14"/>
        <v>2.8804039532839996</v>
      </c>
      <c r="D110">
        <v>1.7299999999999999E-2</v>
      </c>
      <c r="E110" s="1">
        <v>1.4999999999999999E-2</v>
      </c>
      <c r="F110">
        <f t="shared" si="15"/>
        <v>1111.73876</v>
      </c>
      <c r="G110">
        <f t="shared" si="16"/>
        <v>-0.51817999999999997</v>
      </c>
      <c r="H110">
        <f t="shared" si="17"/>
        <v>-576.08079065679988</v>
      </c>
      <c r="I110">
        <v>1</v>
      </c>
      <c r="J110">
        <f t="shared" si="18"/>
        <v>0.10592524017091776</v>
      </c>
      <c r="K110">
        <f t="shared" si="19"/>
        <v>-0.70354515177521748</v>
      </c>
      <c r="L110">
        <v>1</v>
      </c>
      <c r="M110">
        <f t="shared" si="20"/>
        <v>0.51645384828282814</v>
      </c>
      <c r="N110">
        <f t="shared" si="24"/>
        <v>9.6165402739999989E-2</v>
      </c>
      <c r="O110">
        <f t="shared" si="22"/>
        <v>8.338040699999999E-2</v>
      </c>
      <c r="P110">
        <f t="shared" si="23"/>
        <v>7.5454937523893595E-3</v>
      </c>
      <c r="V110">
        <v>4.5999999999999996</v>
      </c>
      <c r="W110">
        <f t="shared" si="21"/>
        <v>-0.68547599999999997</v>
      </c>
    </row>
    <row r="111" spans="1:23" x14ac:dyDescent="0.3">
      <c r="A111">
        <v>5.6091025000000005</v>
      </c>
      <c r="B111">
        <v>0.51597000000000004</v>
      </c>
      <c r="C111">
        <f t="shared" si="14"/>
        <v>2.8941286169250007</v>
      </c>
      <c r="D111">
        <v>1.7299999999999999E-2</v>
      </c>
      <c r="E111" s="1">
        <v>1.4999999999999999E-2</v>
      </c>
      <c r="F111">
        <f t="shared" si="15"/>
        <v>1121.8205</v>
      </c>
      <c r="G111">
        <f t="shared" si="16"/>
        <v>-0.51597000000000004</v>
      </c>
      <c r="H111">
        <f t="shared" si="17"/>
        <v>-578.82572338500017</v>
      </c>
      <c r="I111">
        <v>1</v>
      </c>
      <c r="J111">
        <f t="shared" si="18"/>
        <v>0.11495281212730346</v>
      </c>
      <c r="K111">
        <f t="shared" si="19"/>
        <v>-0.70575515177521742</v>
      </c>
      <c r="L111">
        <v>1</v>
      </c>
      <c r="M111">
        <f t="shared" si="20"/>
        <v>0.51679337526410785</v>
      </c>
      <c r="N111">
        <f t="shared" si="24"/>
        <v>9.7037473250000006E-2</v>
      </c>
      <c r="O111">
        <f t="shared" si="22"/>
        <v>8.4136537500000011E-2</v>
      </c>
      <c r="P111">
        <f t="shared" si="23"/>
        <v>7.7877657611095524E-3</v>
      </c>
      <c r="V111">
        <v>4.7</v>
      </c>
      <c r="W111">
        <f t="shared" si="21"/>
        <v>-0.68923699999999999</v>
      </c>
    </row>
    <row r="112" spans="1:23" x14ac:dyDescent="0.3">
      <c r="A112">
        <v>5.6610396000000005</v>
      </c>
      <c r="B112">
        <v>0.51361999999999997</v>
      </c>
      <c r="C112">
        <f t="shared" si="14"/>
        <v>2.9076231593520001</v>
      </c>
      <c r="D112">
        <v>1.7299999999999999E-2</v>
      </c>
      <c r="E112" s="1">
        <v>1.4999999999999999E-2</v>
      </c>
      <c r="F112">
        <f t="shared" si="15"/>
        <v>1132.2079200000001</v>
      </c>
      <c r="G112">
        <f t="shared" si="16"/>
        <v>-0.51361999999999997</v>
      </c>
      <c r="H112">
        <f t="shared" si="17"/>
        <v>-581.52463187040007</v>
      </c>
      <c r="I112">
        <v>1</v>
      </c>
      <c r="J112">
        <f t="shared" si="18"/>
        <v>0.12416963782648074</v>
      </c>
      <c r="K112">
        <f t="shared" si="19"/>
        <v>-0.70810515177521749</v>
      </c>
      <c r="L112">
        <v>1</v>
      </c>
      <c r="M112">
        <f t="shared" si="20"/>
        <v>0.51714002007865389</v>
      </c>
      <c r="N112">
        <f t="shared" si="24"/>
        <v>9.793598508000001E-2</v>
      </c>
      <c r="O112">
        <f t="shared" si="22"/>
        <v>8.4915594000000011E-2</v>
      </c>
      <c r="P112">
        <f t="shared" si="23"/>
        <v>8.1135526165635741E-3</v>
      </c>
      <c r="V112">
        <v>4.8</v>
      </c>
      <c r="W112">
        <f t="shared" si="21"/>
        <v>-0.692998</v>
      </c>
    </row>
    <row r="113" spans="1:23" x14ac:dyDescent="0.3">
      <c r="A113">
        <v>5.7129760999999997</v>
      </c>
      <c r="B113">
        <v>0.51129000000000002</v>
      </c>
      <c r="C113">
        <f t="shared" si="14"/>
        <v>2.9209875501689999</v>
      </c>
      <c r="D113">
        <v>1.7299999999999999E-2</v>
      </c>
      <c r="E113" s="1">
        <v>1.4999999999999999E-2</v>
      </c>
      <c r="F113">
        <f t="shared" si="15"/>
        <v>1142.5952199999999</v>
      </c>
      <c r="G113">
        <f t="shared" si="16"/>
        <v>-0.51129000000000002</v>
      </c>
      <c r="H113">
        <f t="shared" si="17"/>
        <v>-584.19751003379997</v>
      </c>
      <c r="I113">
        <v>1</v>
      </c>
      <c r="J113">
        <f t="shared" si="18"/>
        <v>0.13330218385820022</v>
      </c>
      <c r="K113">
        <f t="shared" si="19"/>
        <v>-0.71043515177521743</v>
      </c>
      <c r="L113">
        <v>1</v>
      </c>
      <c r="M113">
        <f t="shared" si="20"/>
        <v>0.51748349513490688</v>
      </c>
      <c r="N113">
        <f t="shared" si="24"/>
        <v>9.8834486529999988E-2</v>
      </c>
      <c r="O113">
        <f t="shared" si="22"/>
        <v>8.5694641499999988E-2</v>
      </c>
      <c r="P113">
        <f t="shared" si="23"/>
        <v>8.4225286103105784E-3</v>
      </c>
      <c r="V113">
        <v>4.9000000000000004</v>
      </c>
      <c r="W113">
        <f t="shared" si="21"/>
        <v>-0.69675900000000002</v>
      </c>
    </row>
    <row r="114" spans="1:23" x14ac:dyDescent="0.3">
      <c r="A114">
        <v>5.7674585</v>
      </c>
      <c r="B114">
        <v>0.50893999999999995</v>
      </c>
      <c r="C114">
        <f t="shared" si="14"/>
        <v>2.9352903289899999</v>
      </c>
      <c r="D114">
        <v>1.7299999999999999E-2</v>
      </c>
      <c r="E114" s="1">
        <v>1.4999999999999999E-2</v>
      </c>
      <c r="F114">
        <f t="shared" si="15"/>
        <v>1153.4917</v>
      </c>
      <c r="G114">
        <f t="shared" si="16"/>
        <v>-0.50893999999999995</v>
      </c>
      <c r="H114">
        <f t="shared" si="17"/>
        <v>-587.05806579799992</v>
      </c>
      <c r="I114">
        <v>1</v>
      </c>
      <c r="J114">
        <f t="shared" si="18"/>
        <v>0.14279360311380271</v>
      </c>
      <c r="K114">
        <f t="shared" si="19"/>
        <v>-0.71278515177521751</v>
      </c>
      <c r="L114">
        <v>1</v>
      </c>
      <c r="M114">
        <f t="shared" si="20"/>
        <v>0.51784046741311007</v>
      </c>
      <c r="N114">
        <f t="shared" si="24"/>
        <v>9.9777032049999992E-2</v>
      </c>
      <c r="O114">
        <f t="shared" si="22"/>
        <v>8.6511877500000001E-2</v>
      </c>
      <c r="P114">
        <f t="shared" si="23"/>
        <v>8.6557748121074418E-3</v>
      </c>
      <c r="V114">
        <v>5</v>
      </c>
      <c r="W114">
        <f t="shared" si="21"/>
        <v>-0.70052000000000003</v>
      </c>
    </row>
    <row r="115" spans="1:23" x14ac:dyDescent="0.3">
      <c r="A115">
        <v>5.8183774000000001</v>
      </c>
      <c r="B115">
        <v>0.50653999999999999</v>
      </c>
      <c r="C115">
        <f t="shared" si="14"/>
        <v>2.9472408881960002</v>
      </c>
      <c r="D115">
        <v>1.7299999999999999E-2</v>
      </c>
      <c r="E115" s="1">
        <v>1.4999999999999999E-2</v>
      </c>
      <c r="F115">
        <f t="shared" si="15"/>
        <v>1163.6754800000001</v>
      </c>
      <c r="G115">
        <f t="shared" si="16"/>
        <v>-0.50653999999999999</v>
      </c>
      <c r="H115">
        <f t="shared" si="17"/>
        <v>-589.44817763920003</v>
      </c>
      <c r="I115">
        <v>1</v>
      </c>
      <c r="J115">
        <f t="shared" si="18"/>
        <v>0.15158351318720867</v>
      </c>
      <c r="K115">
        <f t="shared" si="19"/>
        <v>-0.71518515177521746</v>
      </c>
      <c r="L115">
        <v>1</v>
      </c>
      <c r="M115">
        <f t="shared" si="20"/>
        <v>0.5181710559309709</v>
      </c>
      <c r="N115">
        <f t="shared" si="24"/>
        <v>0.10065792901999999</v>
      </c>
      <c r="O115">
        <f t="shared" si="22"/>
        <v>8.7275661000000004E-2</v>
      </c>
      <c r="P115">
        <f t="shared" si="23"/>
        <v>9.0805058242465625E-3</v>
      </c>
      <c r="V115">
        <v>5.0999999999999996</v>
      </c>
      <c r="W115">
        <f t="shared" si="21"/>
        <v>-0.70428099999999993</v>
      </c>
    </row>
    <row r="116" spans="1:23" x14ac:dyDescent="0.3">
      <c r="A116">
        <v>5.8698041999999999</v>
      </c>
      <c r="B116">
        <v>0.50470000000000004</v>
      </c>
      <c r="C116">
        <f t="shared" si="14"/>
        <v>2.9624901797400001</v>
      </c>
      <c r="D116">
        <v>1.7299999999999999E-2</v>
      </c>
      <c r="E116" s="1">
        <v>1.4999999999999999E-2</v>
      </c>
      <c r="F116">
        <f t="shared" si="15"/>
        <v>1173.96084</v>
      </c>
      <c r="G116">
        <f t="shared" si="16"/>
        <v>-0.50470000000000004</v>
      </c>
      <c r="H116">
        <f t="shared" si="17"/>
        <v>-592.49803594800005</v>
      </c>
      <c r="I116">
        <v>1</v>
      </c>
      <c r="J116">
        <f t="shared" si="18"/>
        <v>0.16038336480187912</v>
      </c>
      <c r="K116">
        <f t="shared" si="19"/>
        <v>-0.71702515177521742</v>
      </c>
      <c r="L116">
        <v>1</v>
      </c>
      <c r="M116">
        <f t="shared" si="20"/>
        <v>0.5185020183501986</v>
      </c>
      <c r="N116">
        <f t="shared" si="24"/>
        <v>0.10154761265999999</v>
      </c>
      <c r="O116">
        <f t="shared" si="22"/>
        <v>8.8047062999999995E-2</v>
      </c>
      <c r="P116">
        <f t="shared" si="23"/>
        <v>8.9284577650188268E-3</v>
      </c>
      <c r="V116">
        <v>5.2</v>
      </c>
      <c r="W116">
        <f t="shared" si="21"/>
        <v>-0.70804199999999995</v>
      </c>
    </row>
    <row r="117" spans="1:23" x14ac:dyDescent="0.3">
      <c r="A117">
        <v>5.9202139000000003</v>
      </c>
      <c r="B117">
        <v>0.50207000000000002</v>
      </c>
      <c r="C117">
        <f t="shared" si="14"/>
        <v>2.9723617927730004</v>
      </c>
      <c r="D117">
        <v>1.7299999999999999E-2</v>
      </c>
      <c r="E117" s="1">
        <v>1.4999999999999999E-2</v>
      </c>
      <c r="F117">
        <f t="shared" si="15"/>
        <v>1184.04278</v>
      </c>
      <c r="G117">
        <f t="shared" si="16"/>
        <v>-0.50207000000000002</v>
      </c>
      <c r="H117">
        <f t="shared" si="17"/>
        <v>-594.47235855460008</v>
      </c>
      <c r="I117">
        <v>1</v>
      </c>
      <c r="J117">
        <f t="shared" si="18"/>
        <v>0.16893466756583447</v>
      </c>
      <c r="K117">
        <f t="shared" si="19"/>
        <v>-0.71965515177521744</v>
      </c>
      <c r="L117">
        <v>1</v>
      </c>
      <c r="M117">
        <f t="shared" si="20"/>
        <v>0.51882363284715105</v>
      </c>
      <c r="N117">
        <f t="shared" si="24"/>
        <v>0.10241970047</v>
      </c>
      <c r="O117">
        <f t="shared" si="22"/>
        <v>8.8803208499999994E-2</v>
      </c>
      <c r="P117">
        <f t="shared" si="23"/>
        <v>9.6086099580663942E-3</v>
      </c>
      <c r="V117">
        <v>5.3</v>
      </c>
      <c r="W117">
        <f t="shared" si="21"/>
        <v>-0.71180299999999996</v>
      </c>
    </row>
    <row r="118" spans="1:23" x14ac:dyDescent="0.3">
      <c r="A118">
        <v>5.9706226000000004</v>
      </c>
      <c r="B118">
        <v>0.49995000000000001</v>
      </c>
      <c r="C118">
        <f t="shared" si="14"/>
        <v>2.9850127688700003</v>
      </c>
      <c r="D118">
        <v>1.7299999999999999E-2</v>
      </c>
      <c r="E118" s="1">
        <v>1.4999999999999999E-2</v>
      </c>
      <c r="F118">
        <f t="shared" si="15"/>
        <v>1194.1245200000001</v>
      </c>
      <c r="G118">
        <f t="shared" si="16"/>
        <v>-0.49995000000000001</v>
      </c>
      <c r="H118">
        <f t="shared" si="17"/>
        <v>-597.00255377400003</v>
      </c>
      <c r="I118">
        <v>1</v>
      </c>
      <c r="J118">
        <f t="shared" si="18"/>
        <v>0.17741329763998653</v>
      </c>
      <c r="K118">
        <f t="shared" si="19"/>
        <v>-0.72177515177521745</v>
      </c>
      <c r="L118">
        <v>1</v>
      </c>
      <c r="M118">
        <f t="shared" si="20"/>
        <v>0.51914251412423984</v>
      </c>
      <c r="N118">
        <f t="shared" si="24"/>
        <v>0.10329177098</v>
      </c>
      <c r="O118">
        <f t="shared" si="22"/>
        <v>8.9559339000000002E-2</v>
      </c>
      <c r="P118">
        <f t="shared" si="23"/>
        <v>9.781527670977605E-3</v>
      </c>
      <c r="V118">
        <v>5.4</v>
      </c>
      <c r="W118">
        <f t="shared" si="21"/>
        <v>-0.71556399999999998</v>
      </c>
    </row>
    <row r="119" spans="1:23" x14ac:dyDescent="0.3">
      <c r="A119">
        <v>6.0225595999999992</v>
      </c>
      <c r="B119">
        <v>0.49758000000000002</v>
      </c>
      <c r="C119">
        <f t="shared" si="14"/>
        <v>2.9967052057679999</v>
      </c>
      <c r="D119">
        <v>1.7299999999999999E-2</v>
      </c>
      <c r="E119" s="1">
        <v>1.4999999999999999E-2</v>
      </c>
      <c r="F119">
        <f t="shared" si="15"/>
        <v>1204.5119199999999</v>
      </c>
      <c r="G119">
        <f t="shared" si="16"/>
        <v>-0.49758000000000002</v>
      </c>
      <c r="H119">
        <f t="shared" si="17"/>
        <v>-599.34104115360003</v>
      </c>
      <c r="I119">
        <v>1</v>
      </c>
      <c r="J119">
        <f t="shared" si="18"/>
        <v>0.18607443924632056</v>
      </c>
      <c r="K119">
        <f t="shared" si="19"/>
        <v>-0.72414515177521743</v>
      </c>
      <c r="L119">
        <v>1</v>
      </c>
      <c r="M119">
        <f t="shared" si="20"/>
        <v>0.51946825966005405</v>
      </c>
      <c r="N119">
        <f t="shared" si="24"/>
        <v>0.10419028107999999</v>
      </c>
      <c r="O119">
        <f t="shared" si="22"/>
        <v>9.0338393999999989E-2</v>
      </c>
      <c r="P119">
        <f t="shared" si="23"/>
        <v>1.0148217035163401E-2</v>
      </c>
      <c r="V119">
        <v>5.5</v>
      </c>
      <c r="W119">
        <f t="shared" si="21"/>
        <v>-0.71932499999999999</v>
      </c>
    </row>
    <row r="120" spans="1:23" x14ac:dyDescent="0.3">
      <c r="A120">
        <v>6.0760239</v>
      </c>
      <c r="B120">
        <v>0.49529000000000001</v>
      </c>
      <c r="C120">
        <f t="shared" si="14"/>
        <v>3.0093938774310001</v>
      </c>
      <c r="D120">
        <v>1.7299999999999999E-2</v>
      </c>
      <c r="E120" s="1">
        <v>1.4999999999999999E-2</v>
      </c>
      <c r="F120">
        <f t="shared" si="15"/>
        <v>1215.20478</v>
      </c>
      <c r="G120">
        <f t="shared" si="16"/>
        <v>-0.49529000000000001</v>
      </c>
      <c r="H120">
        <f t="shared" si="17"/>
        <v>-601.87877548619997</v>
      </c>
      <c r="I120">
        <v>1</v>
      </c>
      <c r="J120">
        <f t="shared" si="18"/>
        <v>0.19491260580057732</v>
      </c>
      <c r="K120">
        <f t="shared" si="19"/>
        <v>-0.72643515177521745</v>
      </c>
      <c r="L120">
        <v>1</v>
      </c>
      <c r="M120">
        <f t="shared" si="20"/>
        <v>0.51980066310415973</v>
      </c>
      <c r="N120">
        <f t="shared" si="24"/>
        <v>0.10511521347</v>
      </c>
      <c r="O120">
        <f t="shared" si="22"/>
        <v>9.1140358499999991E-2</v>
      </c>
      <c r="P120">
        <f t="shared" si="23"/>
        <v>1.0378916701057728E-2</v>
      </c>
      <c r="V120">
        <v>5.6</v>
      </c>
      <c r="W120">
        <f t="shared" si="21"/>
        <v>-0.7230859999999999</v>
      </c>
    </row>
    <row r="121" spans="1:23" x14ac:dyDescent="0.3">
      <c r="A121">
        <v>6.1264326000000002</v>
      </c>
      <c r="B121">
        <v>0.49296000000000001</v>
      </c>
      <c r="C121">
        <f t="shared" si="14"/>
        <v>3.0200862144960001</v>
      </c>
      <c r="D121">
        <v>1.7299999999999999E-2</v>
      </c>
      <c r="E121" s="1">
        <v>1.4999999999999999E-2</v>
      </c>
      <c r="F121">
        <f t="shared" si="15"/>
        <v>1225.2865200000001</v>
      </c>
      <c r="G121">
        <f t="shared" si="16"/>
        <v>-0.49296000000000001</v>
      </c>
      <c r="H121">
        <f t="shared" si="17"/>
        <v>-604.01724289920003</v>
      </c>
      <c r="I121">
        <v>1</v>
      </c>
      <c r="J121">
        <f t="shared" si="18"/>
        <v>0.20317471052533279</v>
      </c>
      <c r="K121">
        <f t="shared" si="19"/>
        <v>-0.72876515177521739</v>
      </c>
      <c r="L121">
        <v>1</v>
      </c>
      <c r="M121">
        <f t="shared" si="20"/>
        <v>0.52011140086285779</v>
      </c>
      <c r="N121">
        <f t="shared" si="24"/>
        <v>0.10598728398</v>
      </c>
      <c r="O121">
        <f t="shared" si="22"/>
        <v>9.1896488999999998E-2</v>
      </c>
      <c r="P121">
        <f t="shared" si="23"/>
        <v>1.0769977932359606E-2</v>
      </c>
      <c r="V121">
        <v>5.7</v>
      </c>
      <c r="W121">
        <f t="shared" si="21"/>
        <v>-0.72684700000000002</v>
      </c>
    </row>
    <row r="122" spans="1:23" x14ac:dyDescent="0.3">
      <c r="A122">
        <v>6.1793876999999995</v>
      </c>
      <c r="B122">
        <v>0.49052000000000001</v>
      </c>
      <c r="C122">
        <f t="shared" si="14"/>
        <v>3.0311132546039996</v>
      </c>
      <c r="D122">
        <v>1.7299999999999999E-2</v>
      </c>
      <c r="E122" s="1">
        <v>1.4999999999999999E-2</v>
      </c>
      <c r="F122">
        <f t="shared" si="15"/>
        <v>1235.87754</v>
      </c>
      <c r="G122">
        <f t="shared" si="16"/>
        <v>-0.49052000000000001</v>
      </c>
      <c r="H122">
        <f t="shared" si="17"/>
        <v>-606.22265092079988</v>
      </c>
      <c r="I122">
        <v>1</v>
      </c>
      <c r="J122">
        <f t="shared" si="18"/>
        <v>0.2117812764570795</v>
      </c>
      <c r="K122">
        <f t="shared" si="19"/>
        <v>-0.73120515177521739</v>
      </c>
      <c r="L122">
        <v>1</v>
      </c>
      <c r="M122">
        <f t="shared" si="20"/>
        <v>0.52043509380755071</v>
      </c>
      <c r="N122">
        <f t="shared" si="24"/>
        <v>0.10690340720999998</v>
      </c>
      <c r="O122">
        <f t="shared" si="22"/>
        <v>9.2690815499999996E-2</v>
      </c>
      <c r="P122">
        <f t="shared" si="23"/>
        <v>1.1175835257666702E-2</v>
      </c>
      <c r="V122">
        <v>5.8</v>
      </c>
      <c r="W122">
        <f t="shared" si="21"/>
        <v>-0.73060799999999992</v>
      </c>
    </row>
    <row r="123" spans="1:23" x14ac:dyDescent="0.3">
      <c r="A123">
        <v>6.2318340000000001</v>
      </c>
      <c r="B123">
        <v>0.48857</v>
      </c>
      <c r="C123">
        <f t="shared" si="14"/>
        <v>3.04468713738</v>
      </c>
      <c r="D123">
        <v>1.7299999999999999E-2</v>
      </c>
      <c r="E123" s="1">
        <v>1.4999999999999999E-2</v>
      </c>
      <c r="F123">
        <f t="shared" si="15"/>
        <v>1246.3668</v>
      </c>
      <c r="G123">
        <f t="shared" si="16"/>
        <v>-0.48857</v>
      </c>
      <c r="H123">
        <f t="shared" si="17"/>
        <v>-608.93742747600004</v>
      </c>
      <c r="I123">
        <v>1</v>
      </c>
      <c r="J123">
        <f t="shared" si="18"/>
        <v>0.22023275906584774</v>
      </c>
      <c r="K123">
        <f t="shared" si="19"/>
        <v>-0.73315515177521751</v>
      </c>
      <c r="L123">
        <v>1</v>
      </c>
      <c r="M123">
        <f t="shared" si="20"/>
        <v>0.52075295406846656</v>
      </c>
      <c r="N123">
        <f t="shared" si="24"/>
        <v>0.1078107282</v>
      </c>
      <c r="O123">
        <f t="shared" si="22"/>
        <v>9.347751E-2</v>
      </c>
      <c r="P123">
        <f t="shared" si="23"/>
        <v>1.1113959506750953E-2</v>
      </c>
      <c r="V123">
        <v>5.9</v>
      </c>
      <c r="W123">
        <f t="shared" si="21"/>
        <v>-0.73436900000000005</v>
      </c>
    </row>
    <row r="124" spans="1:23" x14ac:dyDescent="0.3">
      <c r="A124">
        <v>6.2832611999999992</v>
      </c>
      <c r="B124">
        <v>0.48598999999999998</v>
      </c>
      <c r="C124">
        <f t="shared" si="14"/>
        <v>3.0536021105879994</v>
      </c>
      <c r="D124">
        <v>1.7299999999999999E-2</v>
      </c>
      <c r="E124" s="1">
        <v>1.4999999999999999E-2</v>
      </c>
      <c r="F124">
        <f t="shared" si="15"/>
        <v>1256.6522399999999</v>
      </c>
      <c r="G124">
        <f t="shared" si="16"/>
        <v>-0.48598999999999998</v>
      </c>
      <c r="H124">
        <f t="shared" si="17"/>
        <v>-610.72042211759992</v>
      </c>
      <c r="I124">
        <v>1</v>
      </c>
      <c r="J124">
        <f t="shared" si="18"/>
        <v>0.22845123261981196</v>
      </c>
      <c r="K124">
        <f t="shared" si="19"/>
        <v>-0.73573515177521753</v>
      </c>
      <c r="L124">
        <v>1</v>
      </c>
      <c r="M124">
        <f t="shared" si="20"/>
        <v>0.52106205085883106</v>
      </c>
      <c r="N124">
        <f t="shared" si="24"/>
        <v>0.10870041875999999</v>
      </c>
      <c r="O124">
        <f t="shared" si="22"/>
        <v>9.4248917999999987E-2</v>
      </c>
      <c r="P124">
        <f t="shared" si="23"/>
        <v>1.1723764156386499E-2</v>
      </c>
      <c r="V124">
        <v>6</v>
      </c>
      <c r="W124">
        <f t="shared" si="21"/>
        <v>-0.73812999999999995</v>
      </c>
    </row>
    <row r="125" spans="1:23" x14ac:dyDescent="0.3">
      <c r="A125">
        <v>6.3372339000000002</v>
      </c>
      <c r="B125">
        <v>0.48376000000000002</v>
      </c>
      <c r="C125">
        <f t="shared" si="14"/>
        <v>3.0657002714640003</v>
      </c>
      <c r="D125">
        <v>1.7299999999999999E-2</v>
      </c>
      <c r="E125" s="1">
        <v>1.4999999999999999E-2</v>
      </c>
      <c r="F125">
        <f t="shared" si="15"/>
        <v>1267.44678</v>
      </c>
      <c r="G125">
        <f t="shared" si="16"/>
        <v>-0.48376000000000002</v>
      </c>
      <c r="H125">
        <f t="shared" si="17"/>
        <v>-613.14005429280007</v>
      </c>
      <c r="I125">
        <v>1</v>
      </c>
      <c r="J125">
        <f t="shared" si="18"/>
        <v>0.23700446743599299</v>
      </c>
      <c r="K125">
        <f t="shared" si="19"/>
        <v>-0.73796515177521749</v>
      </c>
      <c r="L125">
        <v>1</v>
      </c>
      <c r="M125">
        <f t="shared" si="20"/>
        <v>0.52138373802026772</v>
      </c>
      <c r="N125">
        <f t="shared" si="24"/>
        <v>0.10963414647</v>
      </c>
      <c r="O125">
        <f t="shared" si="22"/>
        <v>9.50585085E-2</v>
      </c>
      <c r="P125">
        <f t="shared" si="23"/>
        <v>1.1888758784949771E-2</v>
      </c>
      <c r="V125">
        <v>6.1</v>
      </c>
      <c r="W125">
        <f t="shared" si="21"/>
        <v>-0.74189099999999997</v>
      </c>
    </row>
    <row r="126" spans="1:23" x14ac:dyDescent="0.3">
      <c r="A126">
        <v>6.3876436000000005</v>
      </c>
      <c r="B126">
        <v>0.48148999999999997</v>
      </c>
      <c r="C126">
        <f t="shared" si="14"/>
        <v>3.075586516964</v>
      </c>
      <c r="D126">
        <v>1.7299999999999999E-2</v>
      </c>
      <c r="E126" s="1">
        <v>1.4999999999999999E-2</v>
      </c>
      <c r="F126">
        <f t="shared" si="15"/>
        <v>1277.52872</v>
      </c>
      <c r="G126">
        <f t="shared" si="16"/>
        <v>-0.48148999999999997</v>
      </c>
      <c r="H126">
        <f t="shared" si="17"/>
        <v>-615.11730339279995</v>
      </c>
      <c r="I126">
        <v>1</v>
      </c>
      <c r="J126">
        <f t="shared" si="18"/>
        <v>0.24492752425202136</v>
      </c>
      <c r="K126">
        <f t="shared" si="19"/>
        <v>-0.74023515177521748</v>
      </c>
      <c r="L126">
        <v>1</v>
      </c>
      <c r="M126">
        <f t="shared" si="20"/>
        <v>0.52168172418711856</v>
      </c>
      <c r="N126">
        <f t="shared" si="24"/>
        <v>0.11050623428</v>
      </c>
      <c r="O126">
        <f t="shared" si="22"/>
        <v>9.5814653999999999E-2</v>
      </c>
      <c r="P126">
        <f t="shared" si="23"/>
        <v>1.2232539308098922E-2</v>
      </c>
      <c r="V126">
        <v>6.2</v>
      </c>
      <c r="W126">
        <f t="shared" si="21"/>
        <v>-0.74565199999999998</v>
      </c>
    </row>
    <row r="127" spans="1:23" x14ac:dyDescent="0.3">
      <c r="A127">
        <v>6.4385619999999992</v>
      </c>
      <c r="B127">
        <v>0.47932999999999998</v>
      </c>
      <c r="C127">
        <f t="shared" si="14"/>
        <v>3.0861959234599996</v>
      </c>
      <c r="D127">
        <v>1.7299999999999999E-2</v>
      </c>
      <c r="E127" s="1">
        <v>1.4999999999999999E-2</v>
      </c>
      <c r="F127">
        <f t="shared" si="15"/>
        <v>1287.7123999999999</v>
      </c>
      <c r="G127">
        <f t="shared" si="16"/>
        <v>-0.47932999999999998</v>
      </c>
      <c r="H127">
        <f t="shared" si="17"/>
        <v>-617.23918469199987</v>
      </c>
      <c r="I127">
        <v>1</v>
      </c>
      <c r="J127">
        <f t="shared" si="18"/>
        <v>0.25286731082334235</v>
      </c>
      <c r="K127">
        <f t="shared" si="19"/>
        <v>-0.74239515177521742</v>
      </c>
      <c r="L127">
        <v>1</v>
      </c>
      <c r="M127">
        <f t="shared" si="20"/>
        <v>0.52198033956006584</v>
      </c>
      <c r="N127">
        <f t="shared" si="24"/>
        <v>0.11138712259999999</v>
      </c>
      <c r="O127">
        <f t="shared" si="22"/>
        <v>9.6578429999999979E-2</v>
      </c>
      <c r="P127">
        <f t="shared" si="23"/>
        <v>1.2449259615151614E-2</v>
      </c>
      <c r="V127">
        <v>6.3</v>
      </c>
      <c r="W127">
        <f t="shared" si="21"/>
        <v>-0.749413</v>
      </c>
    </row>
    <row r="128" spans="1:23" x14ac:dyDescent="0.3">
      <c r="A128">
        <v>6.4889711999999999</v>
      </c>
      <c r="B128">
        <v>0.47688999999999998</v>
      </c>
      <c r="C128">
        <f t="shared" si="14"/>
        <v>3.0945254755680001</v>
      </c>
      <c r="D128">
        <v>1.7299999999999999E-2</v>
      </c>
      <c r="E128" s="1">
        <v>1.4999999999999999E-2</v>
      </c>
      <c r="F128">
        <f t="shared" si="15"/>
        <v>1297.7942399999999</v>
      </c>
      <c r="G128">
        <f t="shared" si="16"/>
        <v>-0.47688999999999998</v>
      </c>
      <c r="H128">
        <f t="shared" si="17"/>
        <v>-618.90509511360005</v>
      </c>
      <c r="I128">
        <v>1</v>
      </c>
      <c r="J128">
        <f t="shared" si="18"/>
        <v>0.26066608491491539</v>
      </c>
      <c r="K128">
        <f t="shared" si="19"/>
        <v>-0.74483515177521742</v>
      </c>
      <c r="L128">
        <v>1</v>
      </c>
      <c r="M128">
        <f t="shared" si="20"/>
        <v>0.5222736514536499</v>
      </c>
      <c r="N128">
        <f t="shared" si="24"/>
        <v>0.11225920176</v>
      </c>
      <c r="O128">
        <f t="shared" si="22"/>
        <v>9.7334567999999996E-2</v>
      </c>
      <c r="P128">
        <f t="shared" si="23"/>
        <v>1.2967730561567525E-2</v>
      </c>
      <c r="V128">
        <v>6.4</v>
      </c>
      <c r="W128">
        <f t="shared" si="21"/>
        <v>-0.75317400000000001</v>
      </c>
    </row>
    <row r="129" spans="1:23" x14ac:dyDescent="0.3">
      <c r="A129">
        <v>6.5424354999999998</v>
      </c>
      <c r="B129">
        <v>0.47483999999999998</v>
      </c>
      <c r="C129">
        <f t="shared" si="14"/>
        <v>3.1066100728199997</v>
      </c>
      <c r="D129">
        <v>1.7299999999999999E-2</v>
      </c>
      <c r="E129" s="1">
        <v>1.4999999999999999E-2</v>
      </c>
      <c r="F129">
        <f t="shared" si="15"/>
        <v>1308.4871000000001</v>
      </c>
      <c r="G129">
        <f t="shared" si="16"/>
        <v>-0.47483999999999998</v>
      </c>
      <c r="H129">
        <f t="shared" si="17"/>
        <v>-621.32201456399991</v>
      </c>
      <c r="I129">
        <v>1</v>
      </c>
      <c r="J129">
        <f t="shared" si="18"/>
        <v>0.26887158432273028</v>
      </c>
      <c r="K129">
        <f t="shared" si="19"/>
        <v>-0.74688515177521753</v>
      </c>
      <c r="L129">
        <v>1</v>
      </c>
      <c r="M129">
        <f t="shared" si="20"/>
        <v>0.52258226028637789</v>
      </c>
      <c r="N129">
        <f t="shared" si="24"/>
        <v>0.11318413414999999</v>
      </c>
      <c r="O129">
        <f t="shared" si="22"/>
        <v>9.8136532499999998E-2</v>
      </c>
      <c r="P129">
        <f t="shared" si="23"/>
        <v>1.2982224838839651E-2</v>
      </c>
      <c r="V129">
        <v>6.5</v>
      </c>
      <c r="W129">
        <f t="shared" si="21"/>
        <v>-0.75693499999999991</v>
      </c>
    </row>
    <row r="130" spans="1:23" x14ac:dyDescent="0.3">
      <c r="A130">
        <v>6.5948818000000005</v>
      </c>
      <c r="B130">
        <v>0.47238000000000002</v>
      </c>
      <c r="C130">
        <f t="shared" si="14"/>
        <v>3.1152902646840004</v>
      </c>
      <c r="D130">
        <v>1.7299999999999999E-2</v>
      </c>
      <c r="E130" s="1">
        <v>1.4999999999999999E-2</v>
      </c>
      <c r="F130">
        <f t="shared" si="15"/>
        <v>1318.9763600000001</v>
      </c>
      <c r="G130">
        <f t="shared" si="16"/>
        <v>-0.47238000000000002</v>
      </c>
      <c r="H130">
        <f t="shared" si="17"/>
        <v>-623.0580529368001</v>
      </c>
      <c r="I130">
        <v>1</v>
      </c>
      <c r="J130">
        <f t="shared" si="18"/>
        <v>0.27685595090587634</v>
      </c>
      <c r="K130">
        <f t="shared" si="19"/>
        <v>-0.74934515177521743</v>
      </c>
      <c r="L130">
        <v>1</v>
      </c>
      <c r="M130">
        <f t="shared" si="20"/>
        <v>0.52288255231356995</v>
      </c>
      <c r="N130">
        <f t="shared" si="24"/>
        <v>0.11409145514000001</v>
      </c>
      <c r="O130">
        <f t="shared" si="22"/>
        <v>9.8923227000000002E-2</v>
      </c>
      <c r="P130">
        <f t="shared" si="23"/>
        <v>1.3447917321647476E-2</v>
      </c>
      <c r="V130">
        <v>6.6</v>
      </c>
      <c r="W130">
        <f t="shared" si="21"/>
        <v>-0.76069599999999993</v>
      </c>
    </row>
    <row r="131" spans="1:23" x14ac:dyDescent="0.3">
      <c r="A131">
        <v>6.6478364000000001</v>
      </c>
      <c r="B131">
        <v>0.47000999999999998</v>
      </c>
      <c r="C131">
        <f t="shared" si="14"/>
        <v>3.124549586364</v>
      </c>
      <c r="D131">
        <v>1.7299999999999999E-2</v>
      </c>
      <c r="E131" s="1">
        <v>1.4999999999999999E-2</v>
      </c>
      <c r="F131">
        <f t="shared" si="15"/>
        <v>1329.56728</v>
      </c>
      <c r="G131">
        <f t="shared" si="16"/>
        <v>-0.47000999999999998</v>
      </c>
      <c r="H131">
        <f t="shared" si="17"/>
        <v>-624.90991727280004</v>
      </c>
      <c r="I131">
        <v>1</v>
      </c>
      <c r="J131">
        <f t="shared" si="18"/>
        <v>0.2848535359113088</v>
      </c>
      <c r="K131">
        <f t="shared" si="19"/>
        <v>-0.75171515177521742</v>
      </c>
      <c r="L131">
        <v>1</v>
      </c>
      <c r="M131">
        <f t="shared" si="20"/>
        <v>0.52318334148562429</v>
      </c>
      <c r="N131">
        <f t="shared" si="24"/>
        <v>0.11500756971999999</v>
      </c>
      <c r="O131">
        <f t="shared" si="22"/>
        <v>9.9717546000000004E-2</v>
      </c>
      <c r="P131">
        <f t="shared" si="23"/>
        <v>1.3806694569593131E-2</v>
      </c>
      <c r="V131">
        <v>6.7</v>
      </c>
      <c r="W131">
        <f t="shared" si="21"/>
        <v>-0.76445699999999994</v>
      </c>
    </row>
    <row r="132" spans="1:23" x14ac:dyDescent="0.3">
      <c r="A132">
        <v>6.6997734000000007</v>
      </c>
      <c r="B132">
        <v>0.46777999999999997</v>
      </c>
      <c r="C132">
        <f t="shared" si="14"/>
        <v>3.1340200010520003</v>
      </c>
      <c r="D132">
        <v>1.7299999999999999E-2</v>
      </c>
      <c r="E132" s="1">
        <v>1.4999999999999999E-2</v>
      </c>
      <c r="F132">
        <f t="shared" si="15"/>
        <v>1339.9546800000001</v>
      </c>
      <c r="G132">
        <f t="shared" si="16"/>
        <v>-0.46777999999999997</v>
      </c>
      <c r="H132">
        <f t="shared" si="17"/>
        <v>-626.80400021040009</v>
      </c>
      <c r="I132">
        <v>1</v>
      </c>
      <c r="J132">
        <f t="shared" si="18"/>
        <v>0.2926357924953582</v>
      </c>
      <c r="K132">
        <f t="shared" si="19"/>
        <v>-0.75394515177521748</v>
      </c>
      <c r="L132">
        <v>1</v>
      </c>
      <c r="M132">
        <f t="shared" si="20"/>
        <v>0.52347603215575045</v>
      </c>
      <c r="N132">
        <f t="shared" si="24"/>
        <v>0.11590607982000001</v>
      </c>
      <c r="O132">
        <f t="shared" si="22"/>
        <v>0.100496601</v>
      </c>
      <c r="P132">
        <f t="shared" si="23"/>
        <v>1.4066438799467021E-2</v>
      </c>
      <c r="V132">
        <v>6.8</v>
      </c>
      <c r="W132">
        <f t="shared" si="21"/>
        <v>-0.76821799999999996</v>
      </c>
    </row>
    <row r="133" spans="1:23" x14ac:dyDescent="0.3">
      <c r="A133">
        <v>6.7527279999999994</v>
      </c>
      <c r="B133">
        <v>0.46523999999999999</v>
      </c>
      <c r="C133">
        <f t="shared" ref="C133:C196" si="25">A133*B133</f>
        <v>3.1416391747199994</v>
      </c>
      <c r="D133">
        <v>1.7299999999999999E-2</v>
      </c>
      <c r="E133" s="1">
        <v>1.4999999999999999E-2</v>
      </c>
      <c r="F133">
        <f t="shared" ref="F133:F144" si="26">A133*200</f>
        <v>1350.5455999999999</v>
      </c>
      <c r="G133">
        <f t="shared" ref="G133:G144" si="27">-B133</f>
        <v>-0.46523999999999999</v>
      </c>
      <c r="H133">
        <f t="shared" ref="H133:H196" si="28">-C133*200</f>
        <v>-628.32783494399985</v>
      </c>
      <c r="I133">
        <v>1</v>
      </c>
      <c r="J133">
        <f t="shared" ref="J133:J196" si="29">LN(F133/1000)</f>
        <v>0.30050865895262069</v>
      </c>
      <c r="K133">
        <f t="shared" ref="K133:K187" si="30">((-G133)-$N$2)</f>
        <v>-0.75648515177521747</v>
      </c>
      <c r="L133">
        <v>1</v>
      </c>
      <c r="M133">
        <f t="shared" ref="M133:M196" si="31">-1*($S$4+($S$5*J133))</f>
        <v>0.52377213066320805</v>
      </c>
      <c r="N133">
        <f t="shared" si="24"/>
        <v>0.11682219439999998</v>
      </c>
      <c r="O133">
        <f t="shared" si="22"/>
        <v>0.10129091999999999</v>
      </c>
      <c r="P133">
        <f t="shared" si="23"/>
        <v>1.4599906712009447E-2</v>
      </c>
      <c r="V133">
        <v>6.9</v>
      </c>
      <c r="W133">
        <f t="shared" ref="W133:W139" si="32">V133*$S$5+$S$4</f>
        <v>-0.77197899999999997</v>
      </c>
    </row>
    <row r="134" spans="1:23" x14ac:dyDescent="0.3">
      <c r="A134">
        <v>6.8107749000000002</v>
      </c>
      <c r="B134">
        <v>0.46294999999999997</v>
      </c>
      <c r="C134">
        <f t="shared" si="25"/>
        <v>3.1530482399549999</v>
      </c>
      <c r="D134">
        <v>1.7299999999999999E-2</v>
      </c>
      <c r="E134" s="1">
        <v>1.4999999999999999E-2</v>
      </c>
      <c r="F134">
        <f t="shared" si="26"/>
        <v>1362.15498</v>
      </c>
      <c r="G134">
        <f t="shared" si="27"/>
        <v>-0.46294999999999997</v>
      </c>
      <c r="H134">
        <f t="shared" si="28"/>
        <v>-630.60964799099997</v>
      </c>
      <c r="I134">
        <v>1</v>
      </c>
      <c r="J134">
        <f t="shared" si="29"/>
        <v>0.30906798980015066</v>
      </c>
      <c r="K134">
        <f t="shared" si="30"/>
        <v>-0.75877515177521748</v>
      </c>
      <c r="L134">
        <v>1</v>
      </c>
      <c r="M134">
        <f t="shared" si="31"/>
        <v>0.52409404709638363</v>
      </c>
      <c r="N134">
        <f t="shared" si="24"/>
        <v>0.11782640577</v>
      </c>
      <c r="O134">
        <f t="shared" ref="O134:O144" si="33">E134*A134</f>
        <v>0.10216162349999999</v>
      </c>
      <c r="P134">
        <f t="shared" ref="P134:P144" si="34">-K134-M134-N134-O134</f>
        <v>1.4693075408833856E-2</v>
      </c>
      <c r="V134">
        <v>7</v>
      </c>
      <c r="W134">
        <f t="shared" si="32"/>
        <v>-0.77573999999999999</v>
      </c>
    </row>
    <row r="135" spans="1:23" x14ac:dyDescent="0.3">
      <c r="A135">
        <v>6.8616934000000001</v>
      </c>
      <c r="B135">
        <v>0.46067999999999998</v>
      </c>
      <c r="C135">
        <f t="shared" si="25"/>
        <v>3.161044915512</v>
      </c>
      <c r="D135">
        <v>1.7299999999999999E-2</v>
      </c>
      <c r="E135" s="1">
        <v>1.4999999999999999E-2</v>
      </c>
      <c r="F135">
        <f t="shared" si="26"/>
        <v>1372.3386800000001</v>
      </c>
      <c r="G135">
        <f t="shared" si="27"/>
        <v>-0.46067999999999998</v>
      </c>
      <c r="H135">
        <f t="shared" si="28"/>
        <v>-632.2089831024</v>
      </c>
      <c r="I135">
        <v>1</v>
      </c>
      <c r="J135">
        <f t="shared" si="29"/>
        <v>0.31651635015287494</v>
      </c>
      <c r="K135">
        <f t="shared" si="30"/>
        <v>-0.76104515177521748</v>
      </c>
      <c r="L135">
        <v>1</v>
      </c>
      <c r="M135">
        <f t="shared" si="31"/>
        <v>0.52437417992924962</v>
      </c>
      <c r="N135">
        <f t="shared" ref="N135:N144" si="35">D135*A135</f>
        <v>0.11870729582</v>
      </c>
      <c r="O135">
        <f t="shared" si="33"/>
        <v>0.102925401</v>
      </c>
      <c r="P135">
        <f t="shared" si="34"/>
        <v>1.5038275025967857E-2</v>
      </c>
      <c r="V135">
        <v>7.1</v>
      </c>
      <c r="W135">
        <f t="shared" si="32"/>
        <v>-0.779501</v>
      </c>
    </row>
    <row r="136" spans="1:23" x14ac:dyDescent="0.3">
      <c r="A136">
        <v>6.9126117999999996</v>
      </c>
      <c r="B136">
        <v>0.45833000000000002</v>
      </c>
      <c r="C136">
        <f t="shared" si="25"/>
        <v>3.1682573662940001</v>
      </c>
      <c r="D136">
        <v>1.7299999999999999E-2</v>
      </c>
      <c r="E136" s="1">
        <v>1.4999999999999999E-2</v>
      </c>
      <c r="F136">
        <f t="shared" si="26"/>
        <v>1382.5223599999999</v>
      </c>
      <c r="G136">
        <f t="shared" si="27"/>
        <v>-0.45833000000000002</v>
      </c>
      <c r="H136">
        <f t="shared" si="28"/>
        <v>-633.65147325880002</v>
      </c>
      <c r="I136">
        <v>1</v>
      </c>
      <c r="J136">
        <f t="shared" si="29"/>
        <v>0.3239096278821148</v>
      </c>
      <c r="K136">
        <f t="shared" si="30"/>
        <v>-0.76339515177521744</v>
      </c>
      <c r="L136">
        <v>1</v>
      </c>
      <c r="M136">
        <f t="shared" si="31"/>
        <v>0.52465224110464637</v>
      </c>
      <c r="N136">
        <f t="shared" si="35"/>
        <v>0.11958818413999998</v>
      </c>
      <c r="O136">
        <f t="shared" si="33"/>
        <v>0.10368917699999999</v>
      </c>
      <c r="P136">
        <f t="shared" si="34"/>
        <v>1.5465549530571096E-2</v>
      </c>
      <c r="V136">
        <v>7.2</v>
      </c>
      <c r="W136">
        <f t="shared" si="32"/>
        <v>-0.7832619999999999</v>
      </c>
    </row>
    <row r="137" spans="1:23" x14ac:dyDescent="0.3">
      <c r="A137">
        <v>6.9635297999999999</v>
      </c>
      <c r="B137">
        <v>0.45617000000000002</v>
      </c>
      <c r="C137">
        <f t="shared" si="25"/>
        <v>3.176553388866</v>
      </c>
      <c r="D137">
        <v>1.7299999999999999E-2</v>
      </c>
      <c r="E137" s="1">
        <v>1.4999999999999999E-2</v>
      </c>
      <c r="F137">
        <f t="shared" si="26"/>
        <v>1392.70596</v>
      </c>
      <c r="G137">
        <f t="shared" si="27"/>
        <v>-0.45617000000000002</v>
      </c>
      <c r="H137">
        <f t="shared" si="28"/>
        <v>-635.31067777320004</v>
      </c>
      <c r="I137">
        <v>1</v>
      </c>
      <c r="J137">
        <f t="shared" si="29"/>
        <v>0.33124858852492189</v>
      </c>
      <c r="K137">
        <f t="shared" si="30"/>
        <v>-0.76555515177521749</v>
      </c>
      <c r="L137">
        <v>1</v>
      </c>
      <c r="M137">
        <f t="shared" si="31"/>
        <v>0.52492825941442234</v>
      </c>
      <c r="N137">
        <f t="shared" si="35"/>
        <v>0.12046906553999999</v>
      </c>
      <c r="O137">
        <f t="shared" si="33"/>
        <v>0.10445294699999999</v>
      </c>
      <c r="P137">
        <f t="shared" si="34"/>
        <v>1.5704879820795173E-2</v>
      </c>
      <c r="V137">
        <v>7.3</v>
      </c>
      <c r="W137">
        <f t="shared" si="32"/>
        <v>-0.78702300000000003</v>
      </c>
    </row>
    <row r="138" spans="1:23" x14ac:dyDescent="0.3">
      <c r="A138">
        <v>7.0154663000000008</v>
      </c>
      <c r="B138">
        <v>0.45408999999999999</v>
      </c>
      <c r="C138">
        <f t="shared" si="25"/>
        <v>3.1856530921670005</v>
      </c>
      <c r="D138">
        <v>1.7299999999999999E-2</v>
      </c>
      <c r="E138" s="1">
        <v>1.4999999999999999E-2</v>
      </c>
      <c r="F138">
        <f t="shared" si="26"/>
        <v>1403.0932600000001</v>
      </c>
      <c r="G138">
        <f t="shared" si="27"/>
        <v>-0.45408999999999999</v>
      </c>
      <c r="H138">
        <f t="shared" si="28"/>
        <v>-637.13061843340006</v>
      </c>
      <c r="I138">
        <v>1</v>
      </c>
      <c r="J138">
        <f t="shared" si="29"/>
        <v>0.33867927075721288</v>
      </c>
      <c r="K138">
        <f t="shared" si="30"/>
        <v>-0.76763515177521746</v>
      </c>
      <c r="L138">
        <v>1</v>
      </c>
      <c r="M138">
        <f t="shared" si="31"/>
        <v>0.52520772737317878</v>
      </c>
      <c r="N138">
        <f t="shared" si="35"/>
        <v>0.12136756699000001</v>
      </c>
      <c r="O138">
        <f t="shared" si="33"/>
        <v>0.10523199450000001</v>
      </c>
      <c r="P138">
        <f t="shared" si="34"/>
        <v>1.5827862912038665E-2</v>
      </c>
      <c r="V138">
        <v>7.4</v>
      </c>
      <c r="W138">
        <f t="shared" si="32"/>
        <v>-0.79078399999999993</v>
      </c>
    </row>
    <row r="139" spans="1:23" x14ac:dyDescent="0.3">
      <c r="A139">
        <v>7.0674028</v>
      </c>
      <c r="B139">
        <v>0.45134000000000002</v>
      </c>
      <c r="C139">
        <f t="shared" si="25"/>
        <v>3.1898015797520003</v>
      </c>
      <c r="D139">
        <v>1.7299999999999999E-2</v>
      </c>
      <c r="E139" s="1">
        <v>1.4999999999999999E-2</v>
      </c>
      <c r="F139">
        <f t="shared" si="26"/>
        <v>1413.48056</v>
      </c>
      <c r="G139">
        <f t="shared" si="27"/>
        <v>-0.45134000000000002</v>
      </c>
      <c r="H139">
        <f t="shared" si="28"/>
        <v>-637.96031595040006</v>
      </c>
      <c r="I139">
        <v>1</v>
      </c>
      <c r="J139">
        <f t="shared" si="29"/>
        <v>0.34605514496177942</v>
      </c>
      <c r="K139">
        <f t="shared" si="30"/>
        <v>-0.77038515177521738</v>
      </c>
      <c r="L139">
        <v>1</v>
      </c>
      <c r="M139">
        <f t="shared" si="31"/>
        <v>0.52548513400201247</v>
      </c>
      <c r="N139">
        <f t="shared" si="35"/>
        <v>0.12226606844</v>
      </c>
      <c r="O139">
        <f t="shared" si="33"/>
        <v>0.106011042</v>
      </c>
      <c r="P139">
        <f t="shared" si="34"/>
        <v>1.6622907333204914E-2</v>
      </c>
      <c r="V139">
        <v>7.5</v>
      </c>
      <c r="W139">
        <f t="shared" si="32"/>
        <v>-0.79454499999999995</v>
      </c>
    </row>
    <row r="140" spans="1:23" x14ac:dyDescent="0.3">
      <c r="A140">
        <v>7.1223945000000004</v>
      </c>
      <c r="B140">
        <v>0.44945000000000002</v>
      </c>
      <c r="C140">
        <f t="shared" si="25"/>
        <v>3.2011602080250001</v>
      </c>
      <c r="D140">
        <v>1.7299999999999999E-2</v>
      </c>
      <c r="E140" s="1">
        <v>1.4999999999999999E-2</v>
      </c>
      <c r="F140">
        <f t="shared" si="26"/>
        <v>1424.4789000000001</v>
      </c>
      <c r="G140">
        <f t="shared" si="27"/>
        <v>-0.44945000000000002</v>
      </c>
      <c r="H140">
        <f t="shared" si="28"/>
        <v>-640.23204160500006</v>
      </c>
      <c r="I140">
        <v>1</v>
      </c>
      <c r="J140">
        <f t="shared" si="29"/>
        <v>0.35380606263131176</v>
      </c>
      <c r="K140">
        <f t="shared" si="30"/>
        <v>-0.77227515177521744</v>
      </c>
      <c r="L140">
        <v>1</v>
      </c>
      <c r="M140">
        <f t="shared" si="31"/>
        <v>0.52577664601556362</v>
      </c>
      <c r="N140">
        <f t="shared" si="35"/>
        <v>0.12321742485000001</v>
      </c>
      <c r="O140">
        <f t="shared" si="33"/>
        <v>0.1068359175</v>
      </c>
      <c r="P140">
        <f t="shared" si="34"/>
        <v>1.644516340965381E-2</v>
      </c>
    </row>
    <row r="141" spans="1:23" x14ac:dyDescent="0.3">
      <c r="A141">
        <v>7.1738227999999999</v>
      </c>
      <c r="B141">
        <v>0.44689000000000001</v>
      </c>
      <c r="C141">
        <f t="shared" si="25"/>
        <v>3.2059096710919999</v>
      </c>
      <c r="D141">
        <v>1.7299999999999999E-2</v>
      </c>
      <c r="E141" s="1">
        <v>1.4999999999999999E-2</v>
      </c>
      <c r="F141">
        <f t="shared" si="26"/>
        <v>1434.7645600000001</v>
      </c>
      <c r="G141">
        <f t="shared" si="27"/>
        <v>-0.44689000000000001</v>
      </c>
      <c r="H141">
        <f t="shared" si="28"/>
        <v>-641.18193421839999</v>
      </c>
      <c r="I141">
        <v>1</v>
      </c>
      <c r="J141">
        <f t="shared" si="29"/>
        <v>0.36100076606426995</v>
      </c>
      <c r="K141">
        <f t="shared" si="30"/>
        <v>-0.77483515177521745</v>
      </c>
      <c r="L141">
        <v>1</v>
      </c>
      <c r="M141">
        <f t="shared" si="31"/>
        <v>0.52604723881167714</v>
      </c>
      <c r="N141">
        <f t="shared" si="35"/>
        <v>0.12410713443999999</v>
      </c>
      <c r="O141">
        <f t="shared" si="33"/>
        <v>0.10760734199999999</v>
      </c>
      <c r="P141">
        <f t="shared" si="34"/>
        <v>1.707343652354032E-2</v>
      </c>
    </row>
    <row r="142" spans="1:23" x14ac:dyDescent="0.3">
      <c r="A142">
        <v>7.2252504999999996</v>
      </c>
      <c r="B142">
        <v>0.44480999999999998</v>
      </c>
      <c r="C142">
        <f t="shared" si="25"/>
        <v>3.2138636749049998</v>
      </c>
      <c r="D142">
        <v>1.7299999999999999E-2</v>
      </c>
      <c r="E142" s="1">
        <v>1.4999999999999999E-2</v>
      </c>
      <c r="F142">
        <f t="shared" si="26"/>
        <v>1445.0500999999999</v>
      </c>
      <c r="G142">
        <f t="shared" si="27"/>
        <v>-0.44480999999999998</v>
      </c>
      <c r="H142">
        <f t="shared" si="28"/>
        <v>-642.77273498099999</v>
      </c>
      <c r="I142">
        <v>1</v>
      </c>
      <c r="J142">
        <f t="shared" si="29"/>
        <v>0.36814399224363736</v>
      </c>
      <c r="K142">
        <f t="shared" si="30"/>
        <v>-0.77691515177521753</v>
      </c>
      <c r="L142">
        <v>1</v>
      </c>
      <c r="M142">
        <f t="shared" si="31"/>
        <v>0.52631589554828317</v>
      </c>
      <c r="N142">
        <f t="shared" si="35"/>
        <v>0.12499683364999999</v>
      </c>
      <c r="O142">
        <f t="shared" si="33"/>
        <v>0.10837875749999999</v>
      </c>
      <c r="P142">
        <f t="shared" si="34"/>
        <v>1.7223665076934389E-2</v>
      </c>
    </row>
    <row r="143" spans="1:23" x14ac:dyDescent="0.3">
      <c r="A143">
        <v>7.2817695000000002</v>
      </c>
      <c r="B143">
        <v>0.44219000000000003</v>
      </c>
      <c r="C143">
        <f t="shared" si="25"/>
        <v>3.2199256552050004</v>
      </c>
      <c r="D143">
        <v>1.7299999999999999E-2</v>
      </c>
      <c r="E143" s="1">
        <v>1.4999999999999999E-2</v>
      </c>
      <c r="F143">
        <f t="shared" si="26"/>
        <v>1456.3539000000001</v>
      </c>
      <c r="G143">
        <f t="shared" si="27"/>
        <v>-0.44219000000000003</v>
      </c>
      <c r="H143">
        <f t="shared" si="28"/>
        <v>-643.98513104100005</v>
      </c>
      <c r="I143">
        <v>1</v>
      </c>
      <c r="J143">
        <f t="shared" si="29"/>
        <v>0.37593598342623691</v>
      </c>
      <c r="K143">
        <f t="shared" si="30"/>
        <v>-0.77953515177521737</v>
      </c>
      <c r="L143">
        <v>1</v>
      </c>
      <c r="M143">
        <f t="shared" si="31"/>
        <v>0.52660895233666072</v>
      </c>
      <c r="N143">
        <f t="shared" si="35"/>
        <v>0.12597461234999999</v>
      </c>
      <c r="O143">
        <f t="shared" si="33"/>
        <v>0.1092265425</v>
      </c>
      <c r="P143">
        <f t="shared" si="34"/>
        <v>1.7725044588556671E-2</v>
      </c>
    </row>
    <row r="144" spans="1:23" x14ac:dyDescent="0.3">
      <c r="A144">
        <v>7.3342157999999991</v>
      </c>
      <c r="B144">
        <v>0.43985000000000002</v>
      </c>
      <c r="C144">
        <f t="shared" si="25"/>
        <v>3.2259548196299996</v>
      </c>
      <c r="D144">
        <v>1.7299999999999999E-2</v>
      </c>
      <c r="E144" s="1">
        <v>1.4999999999999999E-2</v>
      </c>
      <c r="F144">
        <f t="shared" si="26"/>
        <v>1466.8431599999999</v>
      </c>
      <c r="G144">
        <f t="shared" si="27"/>
        <v>-0.43985000000000002</v>
      </c>
      <c r="H144">
        <f t="shared" si="28"/>
        <v>-645.19096392599988</v>
      </c>
      <c r="I144">
        <v>1</v>
      </c>
      <c r="J144">
        <f t="shared" si="29"/>
        <v>0.38311258137990262</v>
      </c>
      <c r="K144">
        <f t="shared" si="30"/>
        <v>-0.78187515177521738</v>
      </c>
      <c r="L144">
        <v>1</v>
      </c>
      <c r="M144">
        <f t="shared" si="31"/>
        <v>0.52687886418569807</v>
      </c>
      <c r="N144">
        <f t="shared" si="35"/>
        <v>0.12688193333999997</v>
      </c>
      <c r="O144">
        <f t="shared" si="33"/>
        <v>0.11001323699999999</v>
      </c>
      <c r="P144">
        <f t="shared" si="34"/>
        <v>1.810111724951935E-2</v>
      </c>
    </row>
    <row r="145" spans="1:16" x14ac:dyDescent="0.3">
      <c r="A145">
        <v>7.3846245000000001</v>
      </c>
      <c r="B145">
        <v>0.43752000000000002</v>
      </c>
      <c r="C145">
        <f t="shared" si="25"/>
        <v>3.2309209112400001</v>
      </c>
      <c r="D145">
        <v>1.7299999999999999E-2</v>
      </c>
      <c r="E145" s="1">
        <v>1.4999999999999999E-2</v>
      </c>
      <c r="F145">
        <f t="shared" ref="F145:F187" si="36">A145*200</f>
        <v>1476.9249</v>
      </c>
      <c r="G145">
        <f t="shared" ref="G145:G187" si="37">-B145</f>
        <v>-0.43752000000000002</v>
      </c>
      <c r="H145">
        <f t="shared" si="28"/>
        <v>-646.18418224800007</v>
      </c>
      <c r="I145">
        <v>1</v>
      </c>
      <c r="J145">
        <f t="shared" si="29"/>
        <v>0.38996215594643729</v>
      </c>
      <c r="K145">
        <f t="shared" si="30"/>
        <v>-0.78420515177521743</v>
      </c>
      <c r="L145">
        <v>1</v>
      </c>
      <c r="M145">
        <f t="shared" si="31"/>
        <v>0.52713647668514552</v>
      </c>
      <c r="N145">
        <f t="shared" ref="N145:N187" si="38">D145*A145</f>
        <v>0.12775400384999999</v>
      </c>
      <c r="O145">
        <f t="shared" ref="O145:O187" si="39">E145*A145</f>
        <v>0.11076936749999999</v>
      </c>
      <c r="P145">
        <f t="shared" ref="P145:P187" si="40">-K145-M145-N145-O145</f>
        <v>1.8545303740071933E-2</v>
      </c>
    </row>
    <row r="146" spans="1:16" x14ac:dyDescent="0.3">
      <c r="A146">
        <v>7.4360522000000007</v>
      </c>
      <c r="B146">
        <v>0.43552999999999997</v>
      </c>
      <c r="C146">
        <f t="shared" si="25"/>
        <v>3.238623814666</v>
      </c>
      <c r="D146">
        <v>1.7299999999999999E-2</v>
      </c>
      <c r="E146" s="1">
        <v>1.4999999999999999E-2</v>
      </c>
      <c r="F146">
        <f t="shared" si="36"/>
        <v>1487.2104400000001</v>
      </c>
      <c r="G146">
        <f t="shared" si="37"/>
        <v>-0.43552999999999997</v>
      </c>
      <c r="H146">
        <f t="shared" si="28"/>
        <v>-647.72476293320005</v>
      </c>
      <c r="I146">
        <v>1</v>
      </c>
      <c r="J146">
        <f t="shared" si="29"/>
        <v>0.39690217730363164</v>
      </c>
      <c r="K146">
        <f t="shared" si="30"/>
        <v>-0.78619515177521748</v>
      </c>
      <c r="L146">
        <v>1</v>
      </c>
      <c r="M146">
        <f t="shared" si="31"/>
        <v>0.52739749088838961</v>
      </c>
      <c r="N146">
        <f t="shared" si="38"/>
        <v>0.12864370306</v>
      </c>
      <c r="O146">
        <f t="shared" si="39"/>
        <v>0.111540783</v>
      </c>
      <c r="P146">
        <f t="shared" si="40"/>
        <v>1.8613174826827866E-2</v>
      </c>
    </row>
    <row r="147" spans="1:16" x14ac:dyDescent="0.3">
      <c r="A147">
        <v>7.4874789999999996</v>
      </c>
      <c r="B147">
        <v>0.43297000000000002</v>
      </c>
      <c r="C147">
        <f t="shared" si="25"/>
        <v>3.2418537826299998</v>
      </c>
      <c r="D147">
        <v>1.7299999999999999E-2</v>
      </c>
      <c r="E147" s="1">
        <v>1.4999999999999999E-2</v>
      </c>
      <c r="F147">
        <f t="shared" si="36"/>
        <v>1497.4957999999999</v>
      </c>
      <c r="G147">
        <f t="shared" si="37"/>
        <v>-0.43297000000000002</v>
      </c>
      <c r="H147">
        <f t="shared" si="28"/>
        <v>-648.37075652599992</v>
      </c>
      <c r="I147">
        <v>1</v>
      </c>
      <c r="J147">
        <f t="shared" si="29"/>
        <v>0.40379424632907673</v>
      </c>
      <c r="K147">
        <f t="shared" si="30"/>
        <v>-0.78875515177521738</v>
      </c>
      <c r="L147">
        <v>1</v>
      </c>
      <c r="M147">
        <f t="shared" si="31"/>
        <v>0.52765670160443656</v>
      </c>
      <c r="N147">
        <f t="shared" si="38"/>
        <v>0.12953338669999998</v>
      </c>
      <c r="O147">
        <f t="shared" si="39"/>
        <v>0.11231218499999999</v>
      </c>
      <c r="P147">
        <f t="shared" si="40"/>
        <v>1.9252878470780846E-2</v>
      </c>
    </row>
    <row r="148" spans="1:16" x14ac:dyDescent="0.3">
      <c r="A148">
        <v>7.5389071999999997</v>
      </c>
      <c r="B148">
        <v>0.43064000000000002</v>
      </c>
      <c r="C148">
        <f t="shared" si="25"/>
        <v>3.2465549966079998</v>
      </c>
      <c r="D148">
        <v>1.7299999999999999E-2</v>
      </c>
      <c r="E148" s="1">
        <v>1.4999999999999999E-2</v>
      </c>
      <c r="F148">
        <f t="shared" si="36"/>
        <v>1507.78144</v>
      </c>
      <c r="G148">
        <f t="shared" si="37"/>
        <v>-0.43064000000000002</v>
      </c>
      <c r="H148">
        <f t="shared" si="28"/>
        <v>-649.31099932159998</v>
      </c>
      <c r="I148">
        <v>1</v>
      </c>
      <c r="J148">
        <f t="shared" si="29"/>
        <v>0.41063932539485998</v>
      </c>
      <c r="K148">
        <f t="shared" si="30"/>
        <v>-0.79108515177521743</v>
      </c>
      <c r="L148">
        <v>1</v>
      </c>
      <c r="M148">
        <f t="shared" si="31"/>
        <v>0.52791414502810063</v>
      </c>
      <c r="N148">
        <f t="shared" si="38"/>
        <v>0.13042309455999998</v>
      </c>
      <c r="O148">
        <f t="shared" si="39"/>
        <v>0.11308360799999999</v>
      </c>
      <c r="P148">
        <f t="shared" si="40"/>
        <v>1.9664304187116829E-2</v>
      </c>
    </row>
    <row r="149" spans="1:16" x14ac:dyDescent="0.3">
      <c r="A149">
        <v>7.5913525000000002</v>
      </c>
      <c r="B149">
        <v>0.42821999999999999</v>
      </c>
      <c r="C149">
        <f t="shared" si="25"/>
        <v>3.25076896755</v>
      </c>
      <c r="D149">
        <v>1.7299999999999999E-2</v>
      </c>
      <c r="E149" s="1">
        <v>1.4999999999999999E-2</v>
      </c>
      <c r="F149">
        <f t="shared" si="36"/>
        <v>1518.2705000000001</v>
      </c>
      <c r="G149">
        <f t="shared" si="37"/>
        <v>-0.42821999999999999</v>
      </c>
      <c r="H149">
        <f t="shared" si="28"/>
        <v>-650.15379351000001</v>
      </c>
      <c r="I149">
        <v>1</v>
      </c>
      <c r="J149">
        <f t="shared" si="29"/>
        <v>0.41757185809200864</v>
      </c>
      <c r="K149">
        <f t="shared" si="30"/>
        <v>-0.79350515177521741</v>
      </c>
      <c r="L149">
        <v>1</v>
      </c>
      <c r="M149">
        <f t="shared" si="31"/>
        <v>0.52817487758284043</v>
      </c>
      <c r="N149">
        <f t="shared" si="38"/>
        <v>0.13133039825000001</v>
      </c>
      <c r="O149">
        <f t="shared" si="39"/>
        <v>0.1138702875</v>
      </c>
      <c r="P149">
        <f t="shared" si="40"/>
        <v>2.0129588442376972E-2</v>
      </c>
    </row>
    <row r="150" spans="1:16" x14ac:dyDescent="0.3">
      <c r="A150">
        <v>7.6453267000000009</v>
      </c>
      <c r="B150">
        <v>0.42579</v>
      </c>
      <c r="C150">
        <f t="shared" si="25"/>
        <v>3.2553036555930004</v>
      </c>
      <c r="D150">
        <v>1.7299999999999999E-2</v>
      </c>
      <c r="E150" s="1">
        <v>1.4999999999999999E-2</v>
      </c>
      <c r="F150">
        <f t="shared" si="36"/>
        <v>1529.0653400000001</v>
      </c>
      <c r="G150">
        <f t="shared" si="37"/>
        <v>-0.42579</v>
      </c>
      <c r="H150">
        <f t="shared" si="28"/>
        <v>-651.06073111860007</v>
      </c>
      <c r="I150">
        <v>1</v>
      </c>
      <c r="J150">
        <f t="shared" si="29"/>
        <v>0.42465665984681156</v>
      </c>
      <c r="K150">
        <f t="shared" si="30"/>
        <v>-0.79593515177521745</v>
      </c>
      <c r="L150">
        <v>1</v>
      </c>
      <c r="M150">
        <f t="shared" si="31"/>
        <v>0.52844133697683859</v>
      </c>
      <c r="N150">
        <f t="shared" si="38"/>
        <v>0.13226415191000002</v>
      </c>
      <c r="O150">
        <f t="shared" si="39"/>
        <v>0.11467990050000001</v>
      </c>
      <c r="P150">
        <f t="shared" si="40"/>
        <v>2.0549762388378828E-2</v>
      </c>
    </row>
    <row r="151" spans="1:16" x14ac:dyDescent="0.3">
      <c r="A151">
        <v>7.6977725000000001</v>
      </c>
      <c r="B151">
        <v>0.42370999999999998</v>
      </c>
      <c r="C151">
        <f t="shared" si="25"/>
        <v>3.261623185975</v>
      </c>
      <c r="D151">
        <v>1.7299999999999999E-2</v>
      </c>
      <c r="E151" s="1">
        <v>1.4999999999999999E-2</v>
      </c>
      <c r="F151">
        <f t="shared" si="36"/>
        <v>1539.5545</v>
      </c>
      <c r="G151">
        <f t="shared" si="37"/>
        <v>-0.42370999999999998</v>
      </c>
      <c r="H151">
        <f t="shared" si="28"/>
        <v>-652.32463719500004</v>
      </c>
      <c r="I151">
        <v>1</v>
      </c>
      <c r="J151">
        <f t="shared" si="29"/>
        <v>0.43149308886006832</v>
      </c>
      <c r="K151">
        <f t="shared" si="30"/>
        <v>-0.79801515177521742</v>
      </c>
      <c r="L151">
        <v>1</v>
      </c>
      <c r="M151">
        <f t="shared" si="31"/>
        <v>0.52869845507202717</v>
      </c>
      <c r="N151">
        <f t="shared" si="38"/>
        <v>0.13317146425000001</v>
      </c>
      <c r="O151">
        <f t="shared" si="39"/>
        <v>0.1154665875</v>
      </c>
      <c r="P151">
        <f t="shared" si="40"/>
        <v>2.0678644953190245E-2</v>
      </c>
    </row>
    <row r="152" spans="1:16" x14ac:dyDescent="0.3">
      <c r="A152">
        <v>7.7492002000000006</v>
      </c>
      <c r="B152">
        <v>0.42142000000000002</v>
      </c>
      <c r="C152">
        <f t="shared" si="25"/>
        <v>3.2656679482840003</v>
      </c>
      <c r="D152">
        <v>1.7299999999999999E-2</v>
      </c>
      <c r="E152" s="1">
        <v>1.4999999999999999E-2</v>
      </c>
      <c r="F152">
        <f t="shared" si="36"/>
        <v>1549.84004</v>
      </c>
      <c r="G152">
        <f t="shared" si="37"/>
        <v>-0.42142000000000002</v>
      </c>
      <c r="H152">
        <f t="shared" si="28"/>
        <v>-653.13358965680004</v>
      </c>
      <c r="I152">
        <v>1</v>
      </c>
      <c r="J152">
        <f t="shared" si="29"/>
        <v>0.4381517256056689</v>
      </c>
      <c r="K152">
        <f t="shared" si="30"/>
        <v>-0.80030515177521744</v>
      </c>
      <c r="L152">
        <v>1</v>
      </c>
      <c r="M152">
        <f t="shared" si="31"/>
        <v>0.52894888640002924</v>
      </c>
      <c r="N152">
        <f t="shared" si="38"/>
        <v>0.13406116345999999</v>
      </c>
      <c r="O152">
        <f t="shared" si="39"/>
        <v>0.11623800300000001</v>
      </c>
      <c r="P152">
        <f t="shared" si="40"/>
        <v>2.1057098915188199E-2</v>
      </c>
    </row>
    <row r="153" spans="1:16" x14ac:dyDescent="0.3">
      <c r="A153">
        <v>7.8006269999999995</v>
      </c>
      <c r="B153">
        <v>0.41927999999999999</v>
      </c>
      <c r="C153">
        <f t="shared" si="25"/>
        <v>3.2706468885599995</v>
      </c>
      <c r="D153">
        <v>1.7299999999999999E-2</v>
      </c>
      <c r="E153" s="1">
        <v>1.4999999999999999E-2</v>
      </c>
      <c r="F153">
        <f t="shared" si="36"/>
        <v>1560.1253999999999</v>
      </c>
      <c r="G153">
        <f t="shared" si="37"/>
        <v>-0.41927999999999999</v>
      </c>
      <c r="H153">
        <f t="shared" si="28"/>
        <v>-654.12937771199995</v>
      </c>
      <c r="I153">
        <v>1</v>
      </c>
      <c r="J153">
        <f t="shared" si="29"/>
        <v>0.44476620264616024</v>
      </c>
      <c r="K153">
        <f t="shared" si="30"/>
        <v>-0.80244515177521747</v>
      </c>
      <c r="L153">
        <v>1</v>
      </c>
      <c r="M153">
        <f t="shared" si="31"/>
        <v>0.52919765688152209</v>
      </c>
      <c r="N153">
        <f t="shared" si="38"/>
        <v>0.13495084709999999</v>
      </c>
      <c r="O153">
        <f t="shared" si="39"/>
        <v>0.11700940499999998</v>
      </c>
      <c r="P153">
        <f t="shared" si="40"/>
        <v>2.1287242793695399E-2</v>
      </c>
    </row>
    <row r="154" spans="1:16" x14ac:dyDescent="0.3">
      <c r="A154">
        <v>7.8525634999999996</v>
      </c>
      <c r="B154">
        <v>0.41643999999999998</v>
      </c>
      <c r="C154">
        <f t="shared" si="25"/>
        <v>3.2701215439399998</v>
      </c>
      <c r="D154">
        <v>1.7299999999999999E-2</v>
      </c>
      <c r="E154" s="1">
        <v>1.4999999999999999E-2</v>
      </c>
      <c r="F154">
        <f t="shared" si="36"/>
        <v>1570.5127</v>
      </c>
      <c r="G154">
        <f t="shared" si="37"/>
        <v>-0.41643999999999998</v>
      </c>
      <c r="H154">
        <f t="shared" si="28"/>
        <v>-654.02430878799998</v>
      </c>
      <c r="I154">
        <v>1</v>
      </c>
      <c r="J154">
        <f t="shared" si="29"/>
        <v>0.45140212656049317</v>
      </c>
      <c r="K154">
        <f t="shared" si="30"/>
        <v>-0.80528515177521753</v>
      </c>
      <c r="L154">
        <v>1</v>
      </c>
      <c r="M154">
        <f t="shared" si="31"/>
        <v>0.52944723397994009</v>
      </c>
      <c r="N154">
        <f t="shared" si="38"/>
        <v>0.13584934855</v>
      </c>
      <c r="O154">
        <f t="shared" si="39"/>
        <v>0.11778845249999999</v>
      </c>
      <c r="P154">
        <f t="shared" si="40"/>
        <v>2.2200116745277457E-2</v>
      </c>
    </row>
    <row r="155" spans="1:16" x14ac:dyDescent="0.3">
      <c r="A155">
        <v>7.9039917000000006</v>
      </c>
      <c r="B155">
        <v>0.41433999999999999</v>
      </c>
      <c r="C155">
        <f t="shared" si="25"/>
        <v>3.2749399209780004</v>
      </c>
      <c r="D155">
        <v>1.7299999999999999E-2</v>
      </c>
      <c r="E155" s="1">
        <v>1.4999999999999999E-2</v>
      </c>
      <c r="F155">
        <f t="shared" si="36"/>
        <v>1580.7983400000001</v>
      </c>
      <c r="G155">
        <f t="shared" si="37"/>
        <v>-0.41433999999999999</v>
      </c>
      <c r="H155">
        <f t="shared" si="28"/>
        <v>-654.98798419560012</v>
      </c>
      <c r="I155">
        <v>1</v>
      </c>
      <c r="J155">
        <f t="shared" si="29"/>
        <v>0.45792999790970046</v>
      </c>
      <c r="K155">
        <f t="shared" si="30"/>
        <v>-0.80738515177521752</v>
      </c>
      <c r="L155">
        <v>1</v>
      </c>
      <c r="M155">
        <f t="shared" si="31"/>
        <v>0.52969274722138382</v>
      </c>
      <c r="N155">
        <f t="shared" si="38"/>
        <v>0.13673905641</v>
      </c>
      <c r="O155">
        <f t="shared" si="39"/>
        <v>0.11855987550000001</v>
      </c>
      <c r="P155">
        <f t="shared" si="40"/>
        <v>2.2393472643833692E-2</v>
      </c>
    </row>
    <row r="156" spans="1:16" x14ac:dyDescent="0.3">
      <c r="A156">
        <v>7.9564369999999993</v>
      </c>
      <c r="B156">
        <v>0.41209000000000001</v>
      </c>
      <c r="C156">
        <f t="shared" si="25"/>
        <v>3.2787681233299999</v>
      </c>
      <c r="D156">
        <v>1.7299999999999999E-2</v>
      </c>
      <c r="E156" s="1">
        <v>1.4999999999999999E-2</v>
      </c>
      <c r="F156">
        <f t="shared" si="36"/>
        <v>1591.2873999999999</v>
      </c>
      <c r="G156">
        <f t="shared" si="37"/>
        <v>-0.41209000000000001</v>
      </c>
      <c r="H156">
        <f t="shared" si="28"/>
        <v>-655.75362466599995</v>
      </c>
      <c r="I156">
        <v>1</v>
      </c>
      <c r="J156">
        <f t="shared" si="29"/>
        <v>0.46454337414823221</v>
      </c>
      <c r="K156">
        <f t="shared" si="30"/>
        <v>-0.80963515177521739</v>
      </c>
      <c r="L156">
        <v>1</v>
      </c>
      <c r="M156">
        <f t="shared" si="31"/>
        <v>0.52994147630171495</v>
      </c>
      <c r="N156">
        <f t="shared" si="38"/>
        <v>0.13764636009999998</v>
      </c>
      <c r="O156">
        <f t="shared" si="39"/>
        <v>0.11934655499999998</v>
      </c>
      <c r="P156">
        <f t="shared" si="40"/>
        <v>2.2700760373502479E-2</v>
      </c>
    </row>
    <row r="157" spans="1:16" x14ac:dyDescent="0.3">
      <c r="A157">
        <v>8.0073554999999992</v>
      </c>
      <c r="B157">
        <v>0.40966000000000002</v>
      </c>
      <c r="C157">
        <f t="shared" si="25"/>
        <v>3.2802932541300001</v>
      </c>
      <c r="D157">
        <v>1.7299999999999999E-2</v>
      </c>
      <c r="E157" s="1">
        <v>1.4999999999999999E-2</v>
      </c>
      <c r="F157">
        <f t="shared" si="36"/>
        <v>1601.4710999999998</v>
      </c>
      <c r="G157">
        <f t="shared" si="37"/>
        <v>-0.40966000000000002</v>
      </c>
      <c r="H157">
        <f t="shared" si="28"/>
        <v>-656.05865082599996</v>
      </c>
      <c r="I157">
        <v>1</v>
      </c>
      <c r="J157">
        <f t="shared" si="29"/>
        <v>0.4709226443219855</v>
      </c>
      <c r="K157">
        <f t="shared" si="30"/>
        <v>-0.81206515177521743</v>
      </c>
      <c r="L157">
        <v>1</v>
      </c>
      <c r="M157">
        <f t="shared" si="31"/>
        <v>0.53018140065294983</v>
      </c>
      <c r="N157">
        <f t="shared" si="38"/>
        <v>0.13852725014999998</v>
      </c>
      <c r="O157">
        <f t="shared" si="39"/>
        <v>0.12011033249999999</v>
      </c>
      <c r="P157">
        <f t="shared" si="40"/>
        <v>2.3246168472267639E-2</v>
      </c>
    </row>
    <row r="158" spans="1:16" x14ac:dyDescent="0.3">
      <c r="A158">
        <v>8.0598018000000007</v>
      </c>
      <c r="B158">
        <v>0.40745999999999999</v>
      </c>
      <c r="C158">
        <f t="shared" si="25"/>
        <v>3.2840468414280002</v>
      </c>
      <c r="D158">
        <v>1.7299999999999999E-2</v>
      </c>
      <c r="E158" s="1">
        <v>1.4999999999999999E-2</v>
      </c>
      <c r="F158">
        <f t="shared" si="36"/>
        <v>1611.96036</v>
      </c>
      <c r="G158">
        <f t="shared" si="37"/>
        <v>-0.40745999999999999</v>
      </c>
      <c r="H158">
        <f t="shared" si="28"/>
        <v>-656.80936828560004</v>
      </c>
      <c r="I158">
        <v>1</v>
      </c>
      <c r="J158">
        <f t="shared" si="29"/>
        <v>0.47745105321136394</v>
      </c>
      <c r="K158">
        <f t="shared" si="30"/>
        <v>-0.81426515177521752</v>
      </c>
      <c r="L158">
        <v>1</v>
      </c>
      <c r="M158">
        <f t="shared" si="31"/>
        <v>0.53042693411127939</v>
      </c>
      <c r="N158">
        <f t="shared" si="38"/>
        <v>0.13943457114000002</v>
      </c>
      <c r="O158">
        <f t="shared" si="39"/>
        <v>0.120897027</v>
      </c>
      <c r="P158">
        <f t="shared" si="40"/>
        <v>2.3506619523938108E-2</v>
      </c>
    </row>
    <row r="159" spans="1:16" x14ac:dyDescent="0.3">
      <c r="A159">
        <v>8.1112289999999998</v>
      </c>
      <c r="B159">
        <v>0.40518999999999999</v>
      </c>
      <c r="C159">
        <f t="shared" si="25"/>
        <v>3.2865888785099999</v>
      </c>
      <c r="D159">
        <v>1.7299999999999999E-2</v>
      </c>
      <c r="E159" s="1">
        <v>1.4999999999999999E-2</v>
      </c>
      <c r="F159">
        <f t="shared" si="36"/>
        <v>1622.2457999999999</v>
      </c>
      <c r="G159">
        <f t="shared" si="37"/>
        <v>-0.40518999999999999</v>
      </c>
      <c r="H159">
        <f t="shared" si="28"/>
        <v>-657.31777570199995</v>
      </c>
      <c r="I159">
        <v>1</v>
      </c>
      <c r="J159">
        <f t="shared" si="29"/>
        <v>0.48381148551902553</v>
      </c>
      <c r="K159">
        <f t="shared" si="30"/>
        <v>-0.81653515177521752</v>
      </c>
      <c r="L159">
        <v>1</v>
      </c>
      <c r="M159">
        <f t="shared" si="31"/>
        <v>0.53066614997037054</v>
      </c>
      <c r="N159">
        <f t="shared" si="38"/>
        <v>0.14032426169999998</v>
      </c>
      <c r="O159">
        <f t="shared" si="39"/>
        <v>0.12166843499999999</v>
      </c>
      <c r="P159">
        <f t="shared" si="40"/>
        <v>2.3876305104847007E-2</v>
      </c>
    </row>
    <row r="160" spans="1:16" x14ac:dyDescent="0.3">
      <c r="A160">
        <v>8.1631654999999999</v>
      </c>
      <c r="B160">
        <v>0.40286</v>
      </c>
      <c r="C160">
        <f t="shared" si="25"/>
        <v>3.2886128533300001</v>
      </c>
      <c r="D160">
        <v>1.7299999999999999E-2</v>
      </c>
      <c r="E160" s="1">
        <v>1.4999999999999999E-2</v>
      </c>
      <c r="F160">
        <f t="shared" si="36"/>
        <v>1632.6331</v>
      </c>
      <c r="G160">
        <f t="shared" si="37"/>
        <v>-0.40286</v>
      </c>
      <c r="H160">
        <f t="shared" si="28"/>
        <v>-657.72257066600002</v>
      </c>
      <c r="I160">
        <v>1</v>
      </c>
      <c r="J160">
        <f t="shared" si="29"/>
        <v>0.49019411023851384</v>
      </c>
      <c r="K160">
        <f t="shared" si="30"/>
        <v>-0.81886515177521746</v>
      </c>
      <c r="L160">
        <v>1</v>
      </c>
      <c r="M160">
        <f t="shared" si="31"/>
        <v>0.53090620048607051</v>
      </c>
      <c r="N160">
        <f t="shared" si="38"/>
        <v>0.14122276314999999</v>
      </c>
      <c r="O160">
        <f t="shared" si="39"/>
        <v>0.1224474825</v>
      </c>
      <c r="P160">
        <f t="shared" si="40"/>
        <v>2.4288705639146965E-2</v>
      </c>
    </row>
    <row r="161" spans="1:16" x14ac:dyDescent="0.3">
      <c r="A161">
        <v>8.2135752000000011</v>
      </c>
      <c r="B161">
        <v>0.40055000000000002</v>
      </c>
      <c r="C161">
        <f t="shared" si="25"/>
        <v>3.2899475463600005</v>
      </c>
      <c r="D161">
        <v>1.7299999999999999E-2</v>
      </c>
      <c r="E161" s="1">
        <v>1.4999999999999999E-2</v>
      </c>
      <c r="F161">
        <f t="shared" si="36"/>
        <v>1642.7150400000003</v>
      </c>
      <c r="G161">
        <f t="shared" si="37"/>
        <v>-0.40055000000000002</v>
      </c>
      <c r="H161">
        <f t="shared" si="28"/>
        <v>-657.98950927200008</v>
      </c>
      <c r="I161">
        <v>1</v>
      </c>
      <c r="J161">
        <f t="shared" si="29"/>
        <v>0.49635038518147184</v>
      </c>
      <c r="K161">
        <f t="shared" si="30"/>
        <v>-0.82117515177521749</v>
      </c>
      <c r="L161">
        <v>1</v>
      </c>
      <c r="M161">
        <f t="shared" si="31"/>
        <v>0.53113773798667518</v>
      </c>
      <c r="N161">
        <f t="shared" si="38"/>
        <v>0.14209485096000002</v>
      </c>
      <c r="O161">
        <f t="shared" si="39"/>
        <v>0.12320362800000001</v>
      </c>
      <c r="P161">
        <f t="shared" si="40"/>
        <v>2.4738934828542281E-2</v>
      </c>
    </row>
    <row r="162" spans="1:16" x14ac:dyDescent="0.3">
      <c r="A162">
        <v>8.2639844</v>
      </c>
      <c r="B162">
        <v>0.39802999999999999</v>
      </c>
      <c r="C162">
        <f t="shared" si="25"/>
        <v>3.2893137107319999</v>
      </c>
      <c r="D162">
        <v>1.7299999999999999E-2</v>
      </c>
      <c r="E162" s="1">
        <v>1.4999999999999999E-2</v>
      </c>
      <c r="F162">
        <f t="shared" si="36"/>
        <v>1652.7968800000001</v>
      </c>
      <c r="G162">
        <f t="shared" si="37"/>
        <v>-0.39802999999999999</v>
      </c>
      <c r="H162">
        <f t="shared" si="28"/>
        <v>-657.86274214640002</v>
      </c>
      <c r="I162">
        <v>1</v>
      </c>
      <c r="J162">
        <f t="shared" si="29"/>
        <v>0.50246893167574391</v>
      </c>
      <c r="K162">
        <f t="shared" si="30"/>
        <v>-0.82369515177521746</v>
      </c>
      <c r="L162">
        <v>1</v>
      </c>
      <c r="M162">
        <f t="shared" si="31"/>
        <v>0.5313678565203247</v>
      </c>
      <c r="N162">
        <f t="shared" si="38"/>
        <v>0.14296693012</v>
      </c>
      <c r="O162">
        <f t="shared" si="39"/>
        <v>0.123959766</v>
      </c>
      <c r="P162">
        <f t="shared" si="40"/>
        <v>2.540059913489276E-2</v>
      </c>
    </row>
    <row r="163" spans="1:16" x14ac:dyDescent="0.3">
      <c r="A163">
        <v>8.3149023</v>
      </c>
      <c r="B163">
        <v>0.39585999999999999</v>
      </c>
      <c r="C163">
        <f t="shared" si="25"/>
        <v>3.2915372244780001</v>
      </c>
      <c r="D163">
        <v>1.7299999999999999E-2</v>
      </c>
      <c r="E163" s="1">
        <v>1.4999999999999999E-2</v>
      </c>
      <c r="F163">
        <f t="shared" si="36"/>
        <v>1662.98046</v>
      </c>
      <c r="G163">
        <f t="shared" si="37"/>
        <v>-0.39585999999999999</v>
      </c>
      <c r="H163">
        <f t="shared" si="28"/>
        <v>-658.30744489560004</v>
      </c>
      <c r="I163">
        <v>1</v>
      </c>
      <c r="J163">
        <f t="shared" si="29"/>
        <v>0.50861145029209132</v>
      </c>
      <c r="K163">
        <f t="shared" si="30"/>
        <v>-0.82586515177521747</v>
      </c>
      <c r="L163">
        <v>1</v>
      </c>
      <c r="M163">
        <f t="shared" si="31"/>
        <v>0.53159887664548555</v>
      </c>
      <c r="N163">
        <f t="shared" si="38"/>
        <v>0.14384780979</v>
      </c>
      <c r="O163">
        <f t="shared" si="39"/>
        <v>0.1247235345</v>
      </c>
      <c r="P163">
        <f t="shared" si="40"/>
        <v>2.5694930839731914E-2</v>
      </c>
    </row>
    <row r="164" spans="1:16" x14ac:dyDescent="0.3">
      <c r="A164">
        <v>8.3673485999999997</v>
      </c>
      <c r="B164">
        <v>0.39363999999999999</v>
      </c>
      <c r="C164">
        <f t="shared" si="25"/>
        <v>3.2937231029039999</v>
      </c>
      <c r="D164">
        <v>1.7299999999999999E-2</v>
      </c>
      <c r="E164" s="1">
        <v>1.4999999999999999E-2</v>
      </c>
      <c r="F164">
        <f t="shared" si="36"/>
        <v>1673.4697200000001</v>
      </c>
      <c r="G164">
        <f t="shared" si="37"/>
        <v>-0.39363999999999999</v>
      </c>
      <c r="H164">
        <f t="shared" si="28"/>
        <v>-658.74462058079996</v>
      </c>
      <c r="I164">
        <v>1</v>
      </c>
      <c r="J164">
        <f t="shared" si="29"/>
        <v>0.51489914769019229</v>
      </c>
      <c r="K164">
        <f t="shared" si="30"/>
        <v>-0.82808515177521747</v>
      </c>
      <c r="L164">
        <v>1</v>
      </c>
      <c r="M164">
        <f t="shared" si="31"/>
        <v>0.53183535694462813</v>
      </c>
      <c r="N164">
        <f t="shared" si="38"/>
        <v>0.14475513077999999</v>
      </c>
      <c r="O164">
        <f t="shared" si="39"/>
        <v>0.125510229</v>
      </c>
      <c r="P164">
        <f t="shared" si="40"/>
        <v>2.5984435050589338E-2</v>
      </c>
    </row>
    <row r="165" spans="1:16" x14ac:dyDescent="0.3">
      <c r="A165">
        <v>8.4177578000000004</v>
      </c>
      <c r="B165">
        <v>0.39113999999999999</v>
      </c>
      <c r="C165">
        <f t="shared" si="25"/>
        <v>3.2925217858920002</v>
      </c>
      <c r="D165">
        <v>1.7299999999999999E-2</v>
      </c>
      <c r="E165" s="1">
        <v>1.4999999999999999E-2</v>
      </c>
      <c r="F165">
        <f t="shared" si="36"/>
        <v>1683.5515600000001</v>
      </c>
      <c r="G165">
        <f t="shared" si="37"/>
        <v>-0.39113999999999999</v>
      </c>
      <c r="H165">
        <f t="shared" si="28"/>
        <v>-658.50435717840003</v>
      </c>
      <c r="I165">
        <v>1</v>
      </c>
      <c r="J165">
        <f t="shared" si="29"/>
        <v>0.52090558582063196</v>
      </c>
      <c r="K165">
        <f t="shared" si="30"/>
        <v>-0.83058515177521741</v>
      </c>
      <c r="L165">
        <v>1</v>
      </c>
      <c r="M165">
        <f t="shared" si="31"/>
        <v>0.53206125908271396</v>
      </c>
      <c r="N165">
        <f t="shared" si="38"/>
        <v>0.14562720994</v>
      </c>
      <c r="O165">
        <f t="shared" si="39"/>
        <v>0.12626636699999999</v>
      </c>
      <c r="P165">
        <f t="shared" si="40"/>
        <v>2.6630315752503464E-2</v>
      </c>
    </row>
    <row r="166" spans="1:16" x14ac:dyDescent="0.3">
      <c r="A166">
        <v>8.4712227000000002</v>
      </c>
      <c r="B166">
        <v>0.38894000000000001</v>
      </c>
      <c r="C166">
        <f t="shared" si="25"/>
        <v>3.294797356938</v>
      </c>
      <c r="D166">
        <v>1.7299999999999999E-2</v>
      </c>
      <c r="E166" s="1">
        <v>1.4999999999999999E-2</v>
      </c>
      <c r="F166">
        <f t="shared" si="36"/>
        <v>1694.2445400000001</v>
      </c>
      <c r="G166">
        <f t="shared" si="37"/>
        <v>-0.38894000000000001</v>
      </c>
      <c r="H166">
        <f t="shared" si="28"/>
        <v>-658.95947138760005</v>
      </c>
      <c r="I166">
        <v>1</v>
      </c>
      <c r="J166">
        <f t="shared" si="29"/>
        <v>0.52723694236399665</v>
      </c>
      <c r="K166">
        <f t="shared" si="30"/>
        <v>-0.83278515177521739</v>
      </c>
      <c r="L166">
        <v>1</v>
      </c>
      <c r="M166">
        <f t="shared" si="31"/>
        <v>0.53229938140230992</v>
      </c>
      <c r="N166">
        <f t="shared" si="38"/>
        <v>0.14655215270999999</v>
      </c>
      <c r="O166">
        <f t="shared" si="39"/>
        <v>0.12706834049999999</v>
      </c>
      <c r="P166">
        <f t="shared" si="40"/>
        <v>2.6865277162907486E-2</v>
      </c>
    </row>
    <row r="167" spans="1:16" x14ac:dyDescent="0.3">
      <c r="A167">
        <v>8.5221406000000002</v>
      </c>
      <c r="B167">
        <v>0.38651999999999997</v>
      </c>
      <c r="C167">
        <f t="shared" si="25"/>
        <v>3.2939777847119998</v>
      </c>
      <c r="D167">
        <v>1.7299999999999999E-2</v>
      </c>
      <c r="E167" s="1">
        <v>1.4999999999999999E-2</v>
      </c>
      <c r="F167">
        <f t="shared" si="36"/>
        <v>1704.42812</v>
      </c>
      <c r="G167">
        <f t="shared" si="37"/>
        <v>-0.38651999999999997</v>
      </c>
      <c r="H167">
        <f t="shared" si="28"/>
        <v>-658.79555694239991</v>
      </c>
      <c r="I167">
        <v>1</v>
      </c>
      <c r="J167">
        <f t="shared" si="29"/>
        <v>0.53322964098205805</v>
      </c>
      <c r="K167">
        <f t="shared" si="30"/>
        <v>-0.83520515177521748</v>
      </c>
      <c r="L167">
        <v>1</v>
      </c>
      <c r="M167">
        <f t="shared" si="31"/>
        <v>0.53252476679733518</v>
      </c>
      <c r="N167">
        <f t="shared" si="38"/>
        <v>0.14743303238</v>
      </c>
      <c r="O167">
        <f t="shared" si="39"/>
        <v>0.127832109</v>
      </c>
      <c r="P167">
        <f t="shared" si="40"/>
        <v>2.7415243597882305E-2</v>
      </c>
    </row>
    <row r="168" spans="1:16" x14ac:dyDescent="0.3">
      <c r="A168">
        <v>8.5761143000000004</v>
      </c>
      <c r="B168">
        <v>0.38429000000000002</v>
      </c>
      <c r="C168">
        <f t="shared" si="25"/>
        <v>3.2957149643470003</v>
      </c>
      <c r="D168">
        <v>1.7299999999999999E-2</v>
      </c>
      <c r="E168" s="1">
        <v>1.4999999999999999E-2</v>
      </c>
      <c r="F168">
        <f t="shared" si="36"/>
        <v>1715.2228600000001</v>
      </c>
      <c r="G168">
        <f t="shared" si="37"/>
        <v>-0.38429000000000002</v>
      </c>
      <c r="H168">
        <f t="shared" si="28"/>
        <v>-659.14299286940002</v>
      </c>
      <c r="I168">
        <v>1</v>
      </c>
      <c r="J168">
        <f t="shared" si="29"/>
        <v>0.53954301969732132</v>
      </c>
      <c r="K168">
        <f t="shared" si="30"/>
        <v>-0.83743515177521743</v>
      </c>
      <c r="L168">
        <v>1</v>
      </c>
      <c r="M168">
        <f t="shared" si="31"/>
        <v>0.53276221297081627</v>
      </c>
      <c r="N168">
        <f t="shared" si="38"/>
        <v>0.14836677739000001</v>
      </c>
      <c r="O168">
        <f t="shared" si="39"/>
        <v>0.1286417145</v>
      </c>
      <c r="P168">
        <f t="shared" si="40"/>
        <v>2.7664446914401147E-2</v>
      </c>
    </row>
    <row r="169" spans="1:16" x14ac:dyDescent="0.3">
      <c r="A169">
        <v>8.6270322000000004</v>
      </c>
      <c r="B169">
        <v>0.38168999999999997</v>
      </c>
      <c r="C169">
        <f t="shared" si="25"/>
        <v>3.2928519204179998</v>
      </c>
      <c r="D169">
        <v>1.7299999999999999E-2</v>
      </c>
      <c r="E169" s="1">
        <v>1.4999999999999999E-2</v>
      </c>
      <c r="F169">
        <f t="shared" si="36"/>
        <v>1725.40644</v>
      </c>
      <c r="G169">
        <f t="shared" si="37"/>
        <v>-0.38168999999999997</v>
      </c>
      <c r="H169">
        <f t="shared" si="28"/>
        <v>-658.57038408359995</v>
      </c>
      <c r="I169">
        <v>1</v>
      </c>
      <c r="J169">
        <f t="shared" si="29"/>
        <v>0.54546264012120926</v>
      </c>
      <c r="K169">
        <f t="shared" si="30"/>
        <v>-0.84003515177521748</v>
      </c>
      <c r="L169">
        <v>1</v>
      </c>
      <c r="M169">
        <f t="shared" si="31"/>
        <v>0.53298484989495865</v>
      </c>
      <c r="N169">
        <f t="shared" si="38"/>
        <v>0.14924765706000001</v>
      </c>
      <c r="O169">
        <f t="shared" si="39"/>
        <v>0.12940548299999999</v>
      </c>
      <c r="P169">
        <f t="shared" si="40"/>
        <v>2.8397161820258837E-2</v>
      </c>
    </row>
    <row r="170" spans="1:16" x14ac:dyDescent="0.3">
      <c r="A170">
        <v>8.6794785000000001</v>
      </c>
      <c r="B170">
        <v>0.37955</v>
      </c>
      <c r="C170">
        <f t="shared" si="25"/>
        <v>3.2942960646750001</v>
      </c>
      <c r="D170">
        <v>1.7299999999999999E-2</v>
      </c>
      <c r="E170" s="1">
        <v>1.4999999999999999E-2</v>
      </c>
      <c r="F170">
        <f t="shared" si="36"/>
        <v>1735.8957</v>
      </c>
      <c r="G170">
        <f t="shared" si="37"/>
        <v>-0.37955</v>
      </c>
      <c r="H170">
        <f t="shared" si="28"/>
        <v>-658.85921293500007</v>
      </c>
      <c r="I170">
        <v>1</v>
      </c>
      <c r="J170">
        <f t="shared" si="29"/>
        <v>0.55152353378808283</v>
      </c>
      <c r="K170">
        <f t="shared" si="30"/>
        <v>-0.8421751517752174</v>
      </c>
      <c r="L170">
        <v>1</v>
      </c>
      <c r="M170">
        <f t="shared" si="31"/>
        <v>0.53321280010576977</v>
      </c>
      <c r="N170">
        <f t="shared" si="38"/>
        <v>0.15015497805</v>
      </c>
      <c r="O170">
        <f t="shared" si="39"/>
        <v>0.13019217750000001</v>
      </c>
      <c r="P170">
        <f t="shared" si="40"/>
        <v>2.8615196119447628E-2</v>
      </c>
    </row>
    <row r="171" spans="1:16" x14ac:dyDescent="0.3">
      <c r="A171">
        <v>8.7319237999999988</v>
      </c>
      <c r="B171">
        <v>0.37701000000000001</v>
      </c>
      <c r="C171">
        <f t="shared" si="25"/>
        <v>3.2920225918379997</v>
      </c>
      <c r="D171">
        <v>1.7299999999999999E-2</v>
      </c>
      <c r="E171" s="1">
        <v>1.4999999999999999E-2</v>
      </c>
      <c r="F171">
        <f t="shared" si="36"/>
        <v>1746.3847599999997</v>
      </c>
      <c r="G171">
        <f t="shared" si="37"/>
        <v>-0.37701000000000001</v>
      </c>
      <c r="H171">
        <f t="shared" si="28"/>
        <v>-658.40451836759996</v>
      </c>
      <c r="I171">
        <v>1</v>
      </c>
      <c r="J171">
        <f t="shared" si="29"/>
        <v>0.55754779969238732</v>
      </c>
      <c r="K171">
        <f t="shared" si="30"/>
        <v>-0.84471515177521739</v>
      </c>
      <c r="L171">
        <v>1</v>
      </c>
      <c r="M171">
        <f t="shared" si="31"/>
        <v>0.53343937274643072</v>
      </c>
      <c r="N171">
        <f t="shared" si="38"/>
        <v>0.15106228173999997</v>
      </c>
      <c r="O171">
        <f t="shared" si="39"/>
        <v>0.13097885699999998</v>
      </c>
      <c r="P171">
        <f t="shared" si="40"/>
        <v>2.9234640288786723E-2</v>
      </c>
    </row>
    <row r="172" spans="1:16" x14ac:dyDescent="0.3">
      <c r="A172">
        <v>8.7869159999999997</v>
      </c>
      <c r="B172">
        <v>0.37451000000000001</v>
      </c>
      <c r="C172">
        <f t="shared" si="25"/>
        <v>3.2907879111599998</v>
      </c>
      <c r="D172">
        <v>1.7299999999999999E-2</v>
      </c>
      <c r="E172" s="1">
        <v>1.4999999999999999E-2</v>
      </c>
      <c r="F172">
        <f t="shared" si="36"/>
        <v>1757.3832</v>
      </c>
      <c r="G172">
        <f t="shared" si="37"/>
        <v>-0.37451000000000001</v>
      </c>
      <c r="H172">
        <f t="shared" si="28"/>
        <v>-658.15758223199998</v>
      </c>
      <c r="I172">
        <v>1</v>
      </c>
      <c r="J172">
        <f t="shared" si="29"/>
        <v>0.56382588445726545</v>
      </c>
      <c r="K172">
        <f t="shared" si="30"/>
        <v>-0.84721515177521745</v>
      </c>
      <c r="L172">
        <v>1</v>
      </c>
      <c r="M172">
        <f t="shared" si="31"/>
        <v>0.53367549151443772</v>
      </c>
      <c r="N172">
        <f t="shared" si="38"/>
        <v>0.15201364679999999</v>
      </c>
      <c r="O172">
        <f t="shared" si="39"/>
        <v>0.13180374</v>
      </c>
      <c r="P172">
        <f t="shared" si="40"/>
        <v>2.9722273460779741E-2</v>
      </c>
    </row>
    <row r="173" spans="1:16" x14ac:dyDescent="0.3">
      <c r="A173">
        <v>8.8378350000000001</v>
      </c>
      <c r="B173">
        <v>0.37228</v>
      </c>
      <c r="C173">
        <f t="shared" si="25"/>
        <v>3.2901492137999999</v>
      </c>
      <c r="D173">
        <v>1.7299999999999999E-2</v>
      </c>
      <c r="E173" s="1">
        <v>1.4999999999999999E-2</v>
      </c>
      <c r="F173">
        <f t="shared" si="36"/>
        <v>1767.567</v>
      </c>
      <c r="G173">
        <f t="shared" si="37"/>
        <v>-0.37228</v>
      </c>
      <c r="H173">
        <f t="shared" si="28"/>
        <v>-658.02984275999995</v>
      </c>
      <c r="I173">
        <v>1</v>
      </c>
      <c r="J173">
        <f t="shared" si="29"/>
        <v>0.56960402471795968</v>
      </c>
      <c r="K173">
        <f t="shared" si="30"/>
        <v>-0.84944515177521751</v>
      </c>
      <c r="L173">
        <v>1</v>
      </c>
      <c r="M173">
        <f t="shared" si="31"/>
        <v>0.5338928073696424</v>
      </c>
      <c r="N173">
        <f t="shared" si="38"/>
        <v>0.15289454550000001</v>
      </c>
      <c r="O173">
        <f t="shared" si="39"/>
        <v>0.13256752499999999</v>
      </c>
      <c r="P173">
        <f t="shared" si="40"/>
        <v>3.0090273905575116E-2</v>
      </c>
    </row>
    <row r="174" spans="1:16" x14ac:dyDescent="0.3">
      <c r="A174">
        <v>8.8902802999999988</v>
      </c>
      <c r="B174">
        <v>0.36995</v>
      </c>
      <c r="C174">
        <f t="shared" si="25"/>
        <v>3.2889591969849996</v>
      </c>
      <c r="D174">
        <v>1.7299999999999999E-2</v>
      </c>
      <c r="E174" s="1">
        <v>1.4999999999999999E-2</v>
      </c>
      <c r="F174">
        <f t="shared" si="36"/>
        <v>1778.0560599999997</v>
      </c>
      <c r="G174">
        <f t="shared" si="37"/>
        <v>-0.36995</v>
      </c>
      <c r="H174">
        <f t="shared" si="28"/>
        <v>-657.79183939699988</v>
      </c>
      <c r="I174">
        <v>1</v>
      </c>
      <c r="J174">
        <f t="shared" si="29"/>
        <v>0.57552066640343258</v>
      </c>
      <c r="K174">
        <f t="shared" si="30"/>
        <v>-0.85177515177521745</v>
      </c>
      <c r="L174">
        <v>1</v>
      </c>
      <c r="M174">
        <f t="shared" si="31"/>
        <v>0.53411533226343311</v>
      </c>
      <c r="N174">
        <f t="shared" si="38"/>
        <v>0.15380184918999998</v>
      </c>
      <c r="O174">
        <f t="shared" si="39"/>
        <v>0.13335420449999999</v>
      </c>
      <c r="P174">
        <f t="shared" si="40"/>
        <v>3.0503765821784379E-2</v>
      </c>
    </row>
    <row r="175" spans="1:16" x14ac:dyDescent="0.3">
      <c r="A175">
        <v>8.9406885000000003</v>
      </c>
      <c r="B175">
        <v>0.36747000000000002</v>
      </c>
      <c r="C175">
        <f t="shared" si="25"/>
        <v>3.2854348030950002</v>
      </c>
      <c r="D175">
        <v>1.7299999999999999E-2</v>
      </c>
      <c r="E175" s="1">
        <v>1.4999999999999999E-2</v>
      </c>
      <c r="F175">
        <f t="shared" si="36"/>
        <v>1788.1377</v>
      </c>
      <c r="G175">
        <f t="shared" si="37"/>
        <v>-0.36747000000000002</v>
      </c>
      <c r="H175">
        <f t="shared" si="28"/>
        <v>-657.08696061900002</v>
      </c>
      <c r="I175">
        <v>1</v>
      </c>
      <c r="J175">
        <f t="shared" si="29"/>
        <v>0.58117468720875987</v>
      </c>
      <c r="K175">
        <f t="shared" si="30"/>
        <v>-0.85425515177521749</v>
      </c>
      <c r="L175">
        <v>1</v>
      </c>
      <c r="M175">
        <f t="shared" si="31"/>
        <v>0.53432797998592141</v>
      </c>
      <c r="N175">
        <f t="shared" si="38"/>
        <v>0.15467391105</v>
      </c>
      <c r="O175">
        <f t="shared" si="39"/>
        <v>0.13411032749999999</v>
      </c>
      <c r="P175">
        <f t="shared" si="40"/>
        <v>3.1142933239296094E-2</v>
      </c>
    </row>
    <row r="176" spans="1:16" x14ac:dyDescent="0.3">
      <c r="A176">
        <v>8.9946631000000004</v>
      </c>
      <c r="B176">
        <v>0.36519000000000001</v>
      </c>
      <c r="C176">
        <f t="shared" si="25"/>
        <v>3.2847610174890001</v>
      </c>
      <c r="D176">
        <v>1.7299999999999999E-2</v>
      </c>
      <c r="E176" s="1">
        <v>1.4999999999999999E-2</v>
      </c>
      <c r="F176">
        <f t="shared" si="36"/>
        <v>1798.93262</v>
      </c>
      <c r="G176">
        <f t="shared" si="37"/>
        <v>-0.36519000000000001</v>
      </c>
      <c r="H176">
        <f t="shared" si="28"/>
        <v>-656.95220349780004</v>
      </c>
      <c r="I176">
        <v>1</v>
      </c>
      <c r="J176">
        <f t="shared" si="29"/>
        <v>0.58719350012578264</v>
      </c>
      <c r="K176">
        <f t="shared" si="30"/>
        <v>-0.85653515177521744</v>
      </c>
      <c r="L176">
        <v>1</v>
      </c>
      <c r="M176">
        <f t="shared" si="31"/>
        <v>0.53455434753973063</v>
      </c>
      <c r="N176">
        <f t="shared" si="38"/>
        <v>0.15560767163</v>
      </c>
      <c r="O176">
        <f t="shared" si="39"/>
        <v>0.1349199465</v>
      </c>
      <c r="P176">
        <f t="shared" si="40"/>
        <v>3.1453186105486808E-2</v>
      </c>
    </row>
    <row r="177" spans="1:16" x14ac:dyDescent="0.3">
      <c r="A177">
        <v>9.0506729000000004</v>
      </c>
      <c r="B177">
        <v>0.36246</v>
      </c>
      <c r="C177">
        <f t="shared" si="25"/>
        <v>3.2805068993340001</v>
      </c>
      <c r="D177">
        <v>1.7299999999999999E-2</v>
      </c>
      <c r="E177" s="1">
        <v>1.4999999999999999E-2</v>
      </c>
      <c r="F177">
        <f t="shared" si="36"/>
        <v>1810.1345800000001</v>
      </c>
      <c r="G177">
        <f t="shared" si="37"/>
        <v>-0.36246</v>
      </c>
      <c r="H177">
        <f t="shared" si="28"/>
        <v>-656.10137986680002</v>
      </c>
      <c r="I177">
        <v>1</v>
      </c>
      <c r="J177">
        <f t="shared" si="29"/>
        <v>0.59340119610480346</v>
      </c>
      <c r="K177">
        <f t="shared" si="30"/>
        <v>-0.85926515177521745</v>
      </c>
      <c r="L177">
        <v>1</v>
      </c>
      <c r="M177">
        <f t="shared" si="31"/>
        <v>0.53478781898550165</v>
      </c>
      <c r="N177">
        <f t="shared" si="38"/>
        <v>0.15657664117</v>
      </c>
      <c r="O177">
        <f t="shared" si="39"/>
        <v>0.13576009350000001</v>
      </c>
      <c r="P177">
        <f t="shared" si="40"/>
        <v>3.2140598119715785E-2</v>
      </c>
    </row>
    <row r="178" spans="1:16" x14ac:dyDescent="0.3">
      <c r="A178">
        <v>9.1010819999999999</v>
      </c>
      <c r="B178">
        <v>0.36</v>
      </c>
      <c r="C178">
        <f t="shared" si="25"/>
        <v>3.2763895199999999</v>
      </c>
      <c r="D178">
        <v>1.7299999999999999E-2</v>
      </c>
      <c r="E178" s="1">
        <v>1.4999999999999999E-2</v>
      </c>
      <c r="F178">
        <f t="shared" si="36"/>
        <v>1820.2164</v>
      </c>
      <c r="G178">
        <f t="shared" si="37"/>
        <v>-0.36</v>
      </c>
      <c r="H178">
        <f t="shared" si="28"/>
        <v>-655.27790400000004</v>
      </c>
      <c r="I178">
        <v>1</v>
      </c>
      <c r="J178">
        <f t="shared" si="29"/>
        <v>0.59895539511942975</v>
      </c>
      <c r="K178">
        <f t="shared" si="30"/>
        <v>-0.86172515177521747</v>
      </c>
      <c r="L178">
        <v>1</v>
      </c>
      <c r="M178">
        <f t="shared" si="31"/>
        <v>0.53499671241044178</v>
      </c>
      <c r="N178">
        <f t="shared" si="38"/>
        <v>0.15744871859999998</v>
      </c>
      <c r="O178">
        <f t="shared" si="39"/>
        <v>0.13651622999999999</v>
      </c>
      <c r="P178">
        <f t="shared" si="40"/>
        <v>3.2763490764775721E-2</v>
      </c>
    </row>
    <row r="179" spans="1:16" x14ac:dyDescent="0.3">
      <c r="A179">
        <v>9.1530186000000011</v>
      </c>
      <c r="B179">
        <v>0.35780000000000001</v>
      </c>
      <c r="C179">
        <f t="shared" si="25"/>
        <v>3.2749500550800006</v>
      </c>
      <c r="D179">
        <v>1.7299999999999999E-2</v>
      </c>
      <c r="E179" s="1">
        <v>1.4999999999999999E-2</v>
      </c>
      <c r="F179">
        <f t="shared" si="36"/>
        <v>1830.6037200000003</v>
      </c>
      <c r="G179">
        <f t="shared" si="37"/>
        <v>-0.35780000000000001</v>
      </c>
      <c r="H179">
        <f t="shared" si="28"/>
        <v>-654.99001101600015</v>
      </c>
      <c r="I179">
        <v>1</v>
      </c>
      <c r="J179">
        <f t="shared" si="29"/>
        <v>0.6046458140870935</v>
      </c>
      <c r="K179">
        <f t="shared" si="30"/>
        <v>-0.86392515177521745</v>
      </c>
      <c r="L179">
        <v>1</v>
      </c>
      <c r="M179">
        <f t="shared" si="31"/>
        <v>0.53521072906781553</v>
      </c>
      <c r="N179">
        <f t="shared" si="38"/>
        <v>0.15834722178000002</v>
      </c>
      <c r="O179">
        <f t="shared" si="39"/>
        <v>0.13729527900000002</v>
      </c>
      <c r="P179">
        <f t="shared" si="40"/>
        <v>3.3071921927401882E-2</v>
      </c>
    </row>
    <row r="180" spans="1:16" x14ac:dyDescent="0.3">
      <c r="A180">
        <v>9.2075010000000006</v>
      </c>
      <c r="B180">
        <v>0.35542000000000001</v>
      </c>
      <c r="C180">
        <f t="shared" si="25"/>
        <v>3.2725300054200002</v>
      </c>
      <c r="D180">
        <v>1.7299999999999999E-2</v>
      </c>
      <c r="E180" s="1">
        <v>1.4999999999999999E-2</v>
      </c>
      <c r="F180">
        <f t="shared" si="36"/>
        <v>1841.5002000000002</v>
      </c>
      <c r="G180">
        <f t="shared" si="37"/>
        <v>-0.35542000000000001</v>
      </c>
      <c r="H180">
        <f t="shared" si="28"/>
        <v>-654.50600108399999</v>
      </c>
      <c r="I180">
        <v>1</v>
      </c>
      <c r="J180">
        <f t="shared" si="29"/>
        <v>0.61058056551009099</v>
      </c>
      <c r="K180">
        <f t="shared" si="30"/>
        <v>-0.86630515177521739</v>
      </c>
      <c r="L180">
        <v>1</v>
      </c>
      <c r="M180">
        <f t="shared" si="31"/>
        <v>0.53543393506883452</v>
      </c>
      <c r="N180">
        <f t="shared" si="38"/>
        <v>0.1592897673</v>
      </c>
      <c r="O180">
        <f t="shared" si="39"/>
        <v>0.13811251499999999</v>
      </c>
      <c r="P180">
        <f t="shared" si="40"/>
        <v>3.3468934406382878E-2</v>
      </c>
    </row>
    <row r="181" spans="1:16" x14ac:dyDescent="0.3">
      <c r="A181">
        <v>9.2624931999999998</v>
      </c>
      <c r="B181">
        <v>0.35272999999999999</v>
      </c>
      <c r="C181">
        <f t="shared" si="25"/>
        <v>3.2671592264359997</v>
      </c>
      <c r="D181">
        <v>1.7299999999999999E-2</v>
      </c>
      <c r="E181" s="1">
        <v>1.4999999999999999E-2</v>
      </c>
      <c r="F181">
        <f t="shared" si="36"/>
        <v>1852.49864</v>
      </c>
      <c r="G181">
        <f t="shared" si="37"/>
        <v>-0.35272999999999999</v>
      </c>
      <c r="H181">
        <f t="shared" si="28"/>
        <v>-653.43184528719996</v>
      </c>
      <c r="I181">
        <v>1</v>
      </c>
      <c r="J181">
        <f t="shared" si="29"/>
        <v>0.61653534404478549</v>
      </c>
      <c r="K181">
        <f t="shared" si="30"/>
        <v>-0.86899515177521747</v>
      </c>
      <c r="L181">
        <v>1</v>
      </c>
      <c r="M181">
        <f t="shared" si="31"/>
        <v>0.53565789428952437</v>
      </c>
      <c r="N181">
        <f t="shared" si="38"/>
        <v>0.16024113235999998</v>
      </c>
      <c r="O181">
        <f t="shared" si="39"/>
        <v>0.13893739799999999</v>
      </c>
      <c r="P181">
        <f t="shared" si="40"/>
        <v>3.4158727125693122E-2</v>
      </c>
    </row>
    <row r="182" spans="1:16" x14ac:dyDescent="0.3">
      <c r="A182">
        <v>9.3185029000000004</v>
      </c>
      <c r="B182">
        <v>0.35042000000000001</v>
      </c>
      <c r="C182">
        <f t="shared" si="25"/>
        <v>3.2653897862180004</v>
      </c>
      <c r="D182">
        <v>1.7299999999999999E-2</v>
      </c>
      <c r="E182" s="1">
        <v>1.4999999999999999E-2</v>
      </c>
      <c r="F182">
        <f t="shared" si="36"/>
        <v>1863.7005800000002</v>
      </c>
      <c r="G182">
        <f t="shared" si="37"/>
        <v>-0.35042000000000001</v>
      </c>
      <c r="H182">
        <f t="shared" si="28"/>
        <v>-653.07795724360005</v>
      </c>
      <c r="I182">
        <v>1</v>
      </c>
      <c r="J182">
        <f t="shared" si="29"/>
        <v>0.62256407031331951</v>
      </c>
      <c r="K182">
        <f t="shared" si="30"/>
        <v>-0.8713051517752175</v>
      </c>
      <c r="L182">
        <v>1</v>
      </c>
      <c r="M182">
        <f t="shared" si="31"/>
        <v>0.53588463468448388</v>
      </c>
      <c r="N182">
        <f t="shared" si="38"/>
        <v>0.16121010017000001</v>
      </c>
      <c r="O182">
        <f t="shared" si="39"/>
        <v>0.13977754349999999</v>
      </c>
      <c r="P182">
        <f t="shared" si="40"/>
        <v>3.4432873420733617E-2</v>
      </c>
    </row>
    <row r="183" spans="1:16" x14ac:dyDescent="0.3">
      <c r="A183">
        <v>9.3704403999999997</v>
      </c>
      <c r="B183">
        <v>0.34788999999999998</v>
      </c>
      <c r="C183">
        <f t="shared" si="25"/>
        <v>3.2598825107559999</v>
      </c>
      <c r="D183">
        <v>1.7299999999999999E-2</v>
      </c>
      <c r="E183" s="1">
        <v>1.4999999999999999E-2</v>
      </c>
      <c r="F183">
        <f t="shared" si="36"/>
        <v>1874.08808</v>
      </c>
      <c r="G183">
        <f t="shared" si="37"/>
        <v>-0.34788999999999998</v>
      </c>
      <c r="H183">
        <f t="shared" si="28"/>
        <v>-651.97650215119995</v>
      </c>
      <c r="I183">
        <v>1</v>
      </c>
      <c r="J183">
        <f t="shared" si="29"/>
        <v>0.62812218377895068</v>
      </c>
      <c r="K183">
        <f t="shared" si="30"/>
        <v>-0.87383515177521742</v>
      </c>
      <c r="L183">
        <v>1</v>
      </c>
      <c r="M183">
        <f t="shared" si="31"/>
        <v>0.53609367533192631</v>
      </c>
      <c r="N183">
        <f t="shared" si="38"/>
        <v>0.16210861891999997</v>
      </c>
      <c r="O183">
        <f t="shared" si="39"/>
        <v>0.140556606</v>
      </c>
      <c r="P183">
        <f t="shared" si="40"/>
        <v>3.5076251523291135E-2</v>
      </c>
    </row>
    <row r="184" spans="1:16" x14ac:dyDescent="0.3">
      <c r="A184">
        <v>9.4213584000000008</v>
      </c>
      <c r="B184">
        <v>0.34533999999999998</v>
      </c>
      <c r="C184">
        <f t="shared" si="25"/>
        <v>3.2535719098560003</v>
      </c>
      <c r="D184">
        <v>1.7299999999999999E-2</v>
      </c>
      <c r="E184" s="1">
        <v>1.4999999999999999E-2</v>
      </c>
      <c r="F184">
        <f t="shared" si="36"/>
        <v>1884.2716800000001</v>
      </c>
      <c r="G184">
        <f t="shared" si="37"/>
        <v>-0.34533999999999998</v>
      </c>
      <c r="H184">
        <f t="shared" si="28"/>
        <v>-650.71438197120005</v>
      </c>
      <c r="I184">
        <v>1</v>
      </c>
      <c r="J184">
        <f t="shared" si="29"/>
        <v>0.63354136957945584</v>
      </c>
      <c r="K184">
        <f t="shared" si="30"/>
        <v>-0.87638515177521747</v>
      </c>
      <c r="L184">
        <v>1</v>
      </c>
      <c r="M184">
        <f t="shared" si="31"/>
        <v>0.53629749090988332</v>
      </c>
      <c r="N184">
        <f t="shared" si="38"/>
        <v>0.16298950032000001</v>
      </c>
      <c r="O184">
        <f t="shared" si="39"/>
        <v>0.141320376</v>
      </c>
      <c r="P184">
        <f t="shared" si="40"/>
        <v>3.5777784545334146E-2</v>
      </c>
    </row>
    <row r="185" spans="1:16" x14ac:dyDescent="0.3">
      <c r="A185">
        <v>9.4727861000000004</v>
      </c>
      <c r="B185">
        <v>0.34331</v>
      </c>
      <c r="C185">
        <f t="shared" si="25"/>
        <v>3.2521021959910001</v>
      </c>
      <c r="D185">
        <v>1.7299999999999999E-2</v>
      </c>
      <c r="E185" s="1">
        <v>1.4999999999999999E-2</v>
      </c>
      <c r="F185">
        <f t="shared" si="36"/>
        <v>1894.5572200000001</v>
      </c>
      <c r="G185">
        <f t="shared" si="37"/>
        <v>-0.34331</v>
      </c>
      <c r="H185">
        <f t="shared" si="28"/>
        <v>-650.42043919820003</v>
      </c>
      <c r="I185">
        <v>1</v>
      </c>
      <c r="J185">
        <f t="shared" si="29"/>
        <v>0.63898515424025737</v>
      </c>
      <c r="K185">
        <f t="shared" si="30"/>
        <v>-0.87841515177521745</v>
      </c>
      <c r="L185">
        <v>1</v>
      </c>
      <c r="M185">
        <f t="shared" si="31"/>
        <v>0.5365022316509761</v>
      </c>
      <c r="N185">
        <f t="shared" si="38"/>
        <v>0.16387919952999999</v>
      </c>
      <c r="O185">
        <f t="shared" si="39"/>
        <v>0.14209179150000001</v>
      </c>
      <c r="P185">
        <f t="shared" si="40"/>
        <v>3.5941929094241348E-2</v>
      </c>
    </row>
    <row r="186" spans="1:16" x14ac:dyDescent="0.3">
      <c r="A186">
        <v>9.5237040999999998</v>
      </c>
      <c r="B186">
        <v>0.34064</v>
      </c>
      <c r="C186">
        <f t="shared" si="25"/>
        <v>3.244154564624</v>
      </c>
      <c r="D186">
        <v>1.7299999999999999E-2</v>
      </c>
      <c r="E186" s="1">
        <v>1.4999999999999999E-2</v>
      </c>
      <c r="F186">
        <f t="shared" si="36"/>
        <v>1904.74082</v>
      </c>
      <c r="G186">
        <f t="shared" si="37"/>
        <v>-0.34064</v>
      </c>
      <c r="H186">
        <f t="shared" si="28"/>
        <v>-648.83091292480003</v>
      </c>
      <c r="I186">
        <v>1</v>
      </c>
      <c r="J186">
        <f t="shared" si="29"/>
        <v>0.64434594682924595</v>
      </c>
      <c r="K186">
        <f t="shared" si="30"/>
        <v>-0.8810851517752174</v>
      </c>
      <c r="L186">
        <v>1</v>
      </c>
      <c r="M186">
        <f t="shared" si="31"/>
        <v>0.53670385106024787</v>
      </c>
      <c r="N186">
        <f t="shared" si="38"/>
        <v>0.16476008093</v>
      </c>
      <c r="O186">
        <f t="shared" si="39"/>
        <v>0.14285556149999998</v>
      </c>
      <c r="P186">
        <f t="shared" si="40"/>
        <v>3.6765658284969555E-2</v>
      </c>
    </row>
    <row r="187" spans="1:16" x14ac:dyDescent="0.3">
      <c r="A187">
        <v>9.5776768000000008</v>
      </c>
      <c r="B187">
        <v>0.33816000000000002</v>
      </c>
      <c r="C187">
        <f t="shared" si="25"/>
        <v>3.2387871866880005</v>
      </c>
      <c r="D187">
        <v>1.7299999999999999E-2</v>
      </c>
      <c r="E187" s="1">
        <v>1.4999999999999999E-2</v>
      </c>
      <c r="F187">
        <f t="shared" si="36"/>
        <v>1915.5353600000001</v>
      </c>
      <c r="G187">
        <f t="shared" si="37"/>
        <v>-0.33816000000000002</v>
      </c>
      <c r="H187">
        <f t="shared" si="28"/>
        <v>-647.75743733760009</v>
      </c>
      <c r="I187">
        <v>1</v>
      </c>
      <c r="J187">
        <f t="shared" si="29"/>
        <v>0.64999714492031679</v>
      </c>
      <c r="K187">
        <f t="shared" si="30"/>
        <v>-0.88356515177521744</v>
      </c>
      <c r="L187">
        <v>1</v>
      </c>
      <c r="M187">
        <f t="shared" si="31"/>
        <v>0.5369163926204531</v>
      </c>
      <c r="N187">
        <f t="shared" si="38"/>
        <v>0.16569380864</v>
      </c>
      <c r="O187">
        <f t="shared" si="39"/>
        <v>0.14366515200000002</v>
      </c>
      <c r="P187">
        <f t="shared" si="40"/>
        <v>3.7289798514764327E-2</v>
      </c>
    </row>
    <row r="188" spans="1:16" x14ac:dyDescent="0.3">
      <c r="A188">
        <v>9.6296143000000001</v>
      </c>
      <c r="B188">
        <v>0.33584999999999998</v>
      </c>
      <c r="C188">
        <f t="shared" si="25"/>
        <v>3.2341059626549997</v>
      </c>
      <c r="D188">
        <v>1.7299999999999999E-2</v>
      </c>
      <c r="E188" s="1">
        <v>1.4999999999999999E-2</v>
      </c>
      <c r="F188">
        <f t="shared" ref="F188:F211" si="41">A188*200</f>
        <v>1925.9228600000001</v>
      </c>
      <c r="G188">
        <f t="shared" ref="G188:G211" si="42">-B188</f>
        <v>-0.33584999999999998</v>
      </c>
      <c r="H188">
        <f t="shared" si="28"/>
        <v>-646.82119253099995</v>
      </c>
      <c r="I188">
        <v>1</v>
      </c>
      <c r="J188">
        <f t="shared" si="29"/>
        <v>0.6554052606527544</v>
      </c>
      <c r="K188">
        <f t="shared" ref="K188:K211" si="43">((-G188)-$N$2)</f>
        <v>-0.88587515177521747</v>
      </c>
      <c r="L188">
        <v>1</v>
      </c>
      <c r="M188">
        <f t="shared" si="31"/>
        <v>0.53711979185315006</v>
      </c>
      <c r="N188">
        <f t="shared" ref="N188:N211" si="44">D188*A188</f>
        <v>0.16659232738999999</v>
      </c>
      <c r="O188">
        <f t="shared" ref="O188:O211" si="45">E188*A188</f>
        <v>0.1444442145</v>
      </c>
      <c r="P188">
        <f t="shared" ref="P188:P211" si="46">-K188-M188-N188-O188</f>
        <v>3.7718818032067419E-2</v>
      </c>
    </row>
    <row r="189" spans="1:16" x14ac:dyDescent="0.3">
      <c r="A189">
        <v>9.6861328000000011</v>
      </c>
      <c r="B189">
        <v>0.33324999999999999</v>
      </c>
      <c r="C189">
        <f t="shared" si="25"/>
        <v>3.2279037556000003</v>
      </c>
      <c r="D189">
        <v>1.7299999999999999E-2</v>
      </c>
      <c r="E189" s="1">
        <v>1.4999999999999999E-2</v>
      </c>
      <c r="F189">
        <f t="shared" si="41"/>
        <v>1937.2265600000003</v>
      </c>
      <c r="G189">
        <f t="shared" si="42"/>
        <v>-0.33324999999999999</v>
      </c>
      <c r="H189">
        <f t="shared" si="28"/>
        <v>-645.58075112000006</v>
      </c>
      <c r="I189">
        <v>1</v>
      </c>
      <c r="J189">
        <f t="shared" si="29"/>
        <v>0.66125734196296337</v>
      </c>
      <c r="K189">
        <f t="shared" si="43"/>
        <v>-0.88847515177521741</v>
      </c>
      <c r="L189">
        <v>1</v>
      </c>
      <c r="M189">
        <f t="shared" si="31"/>
        <v>0.53733988863122706</v>
      </c>
      <c r="N189">
        <f t="shared" si="44"/>
        <v>0.16757009744000001</v>
      </c>
      <c r="O189">
        <f t="shared" si="45"/>
        <v>0.14529199200000001</v>
      </c>
      <c r="P189">
        <f t="shared" si="46"/>
        <v>3.8273173703990332E-2</v>
      </c>
    </row>
    <row r="190" spans="1:16" x14ac:dyDescent="0.3">
      <c r="A190">
        <v>9.7365430000000011</v>
      </c>
      <c r="B190">
        <v>0.33065</v>
      </c>
      <c r="C190">
        <f t="shared" si="25"/>
        <v>3.2193879429500005</v>
      </c>
      <c r="D190">
        <v>1.7299999999999999E-2</v>
      </c>
      <c r="E190" s="1">
        <v>1.4999999999999999E-2</v>
      </c>
      <c r="F190">
        <f t="shared" si="41"/>
        <v>1947.3086000000003</v>
      </c>
      <c r="G190">
        <f t="shared" si="42"/>
        <v>-0.33065</v>
      </c>
      <c r="H190">
        <f t="shared" si="28"/>
        <v>-643.87758859000007</v>
      </c>
      <c r="I190">
        <v>1</v>
      </c>
      <c r="J190">
        <f t="shared" si="29"/>
        <v>0.66644821408702959</v>
      </c>
      <c r="K190">
        <f t="shared" si="43"/>
        <v>-0.89107515177521746</v>
      </c>
      <c r="L190">
        <v>1</v>
      </c>
      <c r="M190">
        <f t="shared" si="31"/>
        <v>0.53753511733181314</v>
      </c>
      <c r="N190">
        <f t="shared" si="44"/>
        <v>0.16844219390000001</v>
      </c>
      <c r="O190">
        <f t="shared" si="45"/>
        <v>0.14604814500000002</v>
      </c>
      <c r="P190">
        <f t="shared" si="46"/>
        <v>3.9049695543404289E-2</v>
      </c>
    </row>
    <row r="191" spans="1:16" x14ac:dyDescent="0.3">
      <c r="A191">
        <v>9.7900068000000005</v>
      </c>
      <c r="B191">
        <v>0.32858999999999999</v>
      </c>
      <c r="C191">
        <f t="shared" si="25"/>
        <v>3.2168983344119999</v>
      </c>
      <c r="D191">
        <v>1.7299999999999999E-2</v>
      </c>
      <c r="E191" s="1">
        <v>1.4999999999999999E-2</v>
      </c>
      <c r="F191">
        <f t="shared" si="41"/>
        <v>1958.0013600000002</v>
      </c>
      <c r="G191">
        <f t="shared" si="42"/>
        <v>-0.32858999999999999</v>
      </c>
      <c r="H191">
        <f t="shared" si="28"/>
        <v>-643.37966688239999</v>
      </c>
      <c r="I191">
        <v>1</v>
      </c>
      <c r="J191">
        <f t="shared" si="29"/>
        <v>0.67192423869439</v>
      </c>
      <c r="K191">
        <f t="shared" si="43"/>
        <v>-0.89313515177521752</v>
      </c>
      <c r="L191">
        <v>1</v>
      </c>
      <c r="M191">
        <f t="shared" si="31"/>
        <v>0.53774107061729604</v>
      </c>
      <c r="N191">
        <f t="shared" si="44"/>
        <v>0.16936711764000001</v>
      </c>
      <c r="O191">
        <f t="shared" si="45"/>
        <v>0.14685010200000001</v>
      </c>
      <c r="P191">
        <f t="shared" si="46"/>
        <v>3.9176861517921463E-2</v>
      </c>
    </row>
    <row r="192" spans="1:16" x14ac:dyDescent="0.3">
      <c r="A192">
        <v>9.8429628999999998</v>
      </c>
      <c r="B192">
        <v>0.32591999999999999</v>
      </c>
      <c r="C192">
        <f t="shared" si="25"/>
        <v>3.208018468368</v>
      </c>
      <c r="D192">
        <v>1.7299999999999999E-2</v>
      </c>
      <c r="E192" s="1">
        <v>1.4999999999999999E-2</v>
      </c>
      <c r="F192">
        <f t="shared" si="41"/>
        <v>1968.59258</v>
      </c>
      <c r="G192">
        <f t="shared" si="42"/>
        <v>-0.32591999999999999</v>
      </c>
      <c r="H192">
        <f t="shared" si="28"/>
        <v>-641.60369367359999</v>
      </c>
      <c r="I192">
        <v>1</v>
      </c>
      <c r="J192">
        <f t="shared" si="29"/>
        <v>0.67731886102980632</v>
      </c>
      <c r="K192">
        <f t="shared" si="43"/>
        <v>-0.89580515177521747</v>
      </c>
      <c r="L192">
        <v>1</v>
      </c>
      <c r="M192">
        <f t="shared" si="31"/>
        <v>0.53794396236333097</v>
      </c>
      <c r="N192">
        <f t="shared" si="44"/>
        <v>0.17028325816999998</v>
      </c>
      <c r="O192">
        <f t="shared" si="45"/>
        <v>0.1476444435</v>
      </c>
      <c r="P192">
        <f t="shared" si="46"/>
        <v>3.9933487741886514E-2</v>
      </c>
    </row>
    <row r="193" spans="1:16" x14ac:dyDescent="0.3">
      <c r="A193">
        <v>9.8964268000000004</v>
      </c>
      <c r="B193">
        <v>0.32328000000000001</v>
      </c>
      <c r="C193">
        <f t="shared" si="25"/>
        <v>3.1993168559040002</v>
      </c>
      <c r="D193">
        <v>1.7299999999999999E-2</v>
      </c>
      <c r="E193" s="1">
        <v>1.4999999999999999E-2</v>
      </c>
      <c r="F193">
        <f t="shared" si="41"/>
        <v>1979.2853600000001</v>
      </c>
      <c r="G193">
        <f t="shared" si="42"/>
        <v>-0.32328000000000001</v>
      </c>
      <c r="H193">
        <f t="shared" si="28"/>
        <v>-639.86337118080007</v>
      </c>
      <c r="I193">
        <v>1</v>
      </c>
      <c r="J193">
        <f t="shared" si="29"/>
        <v>0.68273585026286032</v>
      </c>
      <c r="K193">
        <f t="shared" si="43"/>
        <v>-0.89844515177521744</v>
      </c>
      <c r="L193">
        <v>1</v>
      </c>
      <c r="M193">
        <f t="shared" si="31"/>
        <v>0.53814769532838613</v>
      </c>
      <c r="N193">
        <f t="shared" si="44"/>
        <v>0.17120818364000001</v>
      </c>
      <c r="O193">
        <f t="shared" si="45"/>
        <v>0.14844640200000001</v>
      </c>
      <c r="P193">
        <f t="shared" si="46"/>
        <v>4.0642870806831294E-2</v>
      </c>
    </row>
    <row r="194" spans="1:16" x14ac:dyDescent="0.3">
      <c r="A194">
        <v>9.9468359</v>
      </c>
      <c r="B194">
        <v>0.32071</v>
      </c>
      <c r="C194">
        <f t="shared" si="25"/>
        <v>3.1900497414890001</v>
      </c>
      <c r="D194">
        <v>1.7299999999999999E-2</v>
      </c>
      <c r="E194" s="1">
        <v>1.4999999999999999E-2</v>
      </c>
      <c r="F194">
        <f t="shared" si="41"/>
        <v>1989.36718</v>
      </c>
      <c r="G194">
        <f t="shared" si="42"/>
        <v>-0.32071</v>
      </c>
      <c r="H194">
        <f t="shared" si="28"/>
        <v>-638.00994829780007</v>
      </c>
      <c r="I194">
        <v>1</v>
      </c>
      <c r="J194">
        <f t="shared" si="29"/>
        <v>0.6878165881636793</v>
      </c>
      <c r="K194">
        <f t="shared" si="43"/>
        <v>-0.9010151517752174</v>
      </c>
      <c r="L194">
        <v>1</v>
      </c>
      <c r="M194">
        <f t="shared" si="31"/>
        <v>0.53833878188083595</v>
      </c>
      <c r="N194">
        <f t="shared" si="44"/>
        <v>0.17208026106999999</v>
      </c>
      <c r="O194">
        <f t="shared" si="45"/>
        <v>0.14920253849999998</v>
      </c>
      <c r="P194">
        <f t="shared" si="46"/>
        <v>4.1393570324381485E-2</v>
      </c>
    </row>
    <row r="195" spans="1:16" x14ac:dyDescent="0.3">
      <c r="A195">
        <v>9.9992812999999998</v>
      </c>
      <c r="B195">
        <v>0.31834000000000001</v>
      </c>
      <c r="C195">
        <f t="shared" si="25"/>
        <v>3.1831712090419999</v>
      </c>
      <c r="D195">
        <v>1.7299999999999999E-2</v>
      </c>
      <c r="E195" s="1">
        <v>1.4999999999999999E-2</v>
      </c>
      <c r="F195">
        <f t="shared" si="41"/>
        <v>1999.85626</v>
      </c>
      <c r="G195">
        <f t="shared" si="42"/>
        <v>-0.31834000000000001</v>
      </c>
      <c r="H195">
        <f t="shared" si="28"/>
        <v>-636.63424180840002</v>
      </c>
      <c r="I195">
        <v>1</v>
      </c>
      <c r="J195">
        <f t="shared" si="29"/>
        <v>0.69307530797717309</v>
      </c>
      <c r="K195">
        <f t="shared" si="43"/>
        <v>-0.90338515177521739</v>
      </c>
      <c r="L195">
        <v>1</v>
      </c>
      <c r="M195">
        <f t="shared" si="31"/>
        <v>0.5385365623330215</v>
      </c>
      <c r="N195">
        <f t="shared" si="44"/>
        <v>0.17298756648999999</v>
      </c>
      <c r="O195">
        <f t="shared" si="45"/>
        <v>0.14998921949999999</v>
      </c>
      <c r="P195">
        <f t="shared" si="46"/>
        <v>4.1871803452195905E-2</v>
      </c>
    </row>
    <row r="196" spans="1:16" x14ac:dyDescent="0.3">
      <c r="A196">
        <v>10.050198999999999</v>
      </c>
      <c r="B196">
        <v>0.31630000000000003</v>
      </c>
      <c r="C196">
        <f t="shared" si="25"/>
        <v>3.1788779436999999</v>
      </c>
      <c r="D196">
        <v>1.7299999999999999E-2</v>
      </c>
      <c r="E196" s="1">
        <v>1.4999999999999999E-2</v>
      </c>
      <c r="F196">
        <f t="shared" si="41"/>
        <v>2010.0397999999998</v>
      </c>
      <c r="G196">
        <f t="shared" si="42"/>
        <v>-0.31630000000000003</v>
      </c>
      <c r="H196">
        <f t="shared" si="28"/>
        <v>-635.77558873999999</v>
      </c>
      <c r="I196">
        <v>1</v>
      </c>
      <c r="J196">
        <f t="shared" si="29"/>
        <v>0.69815452286997215</v>
      </c>
      <c r="K196">
        <f t="shared" si="43"/>
        <v>-0.90542515177521743</v>
      </c>
      <c r="L196">
        <v>1</v>
      </c>
      <c r="M196">
        <f t="shared" si="31"/>
        <v>0.53872759160513961</v>
      </c>
      <c r="N196">
        <f t="shared" si="44"/>
        <v>0.17386844269999999</v>
      </c>
      <c r="O196">
        <f t="shared" si="45"/>
        <v>0.15075298499999998</v>
      </c>
      <c r="P196">
        <f t="shared" si="46"/>
        <v>4.2076132470077854E-2</v>
      </c>
    </row>
    <row r="197" spans="1:16" x14ac:dyDescent="0.3">
      <c r="A197">
        <v>10.100607999999999</v>
      </c>
      <c r="B197">
        <v>0.31383</v>
      </c>
      <c r="C197">
        <f t="shared" ref="C197:C211" si="47">A197*B197</f>
        <v>3.1698738086399998</v>
      </c>
      <c r="D197">
        <v>1.7299999999999999E-2</v>
      </c>
      <c r="E197" s="1">
        <v>1.4999999999999999E-2</v>
      </c>
      <c r="F197">
        <f t="shared" si="41"/>
        <v>2020.1215999999999</v>
      </c>
      <c r="G197">
        <f t="shared" si="42"/>
        <v>-0.31383</v>
      </c>
      <c r="H197">
        <f t="shared" ref="H197:H211" si="48">-C197*200</f>
        <v>-633.97476172799998</v>
      </c>
      <c r="I197">
        <v>1</v>
      </c>
      <c r="J197">
        <f t="shared" ref="J197:J260" si="49">LN(F197/1000)</f>
        <v>0.70315770762108731</v>
      </c>
      <c r="K197">
        <f t="shared" si="43"/>
        <v>-0.9078951517752174</v>
      </c>
      <c r="L197">
        <v>1</v>
      </c>
      <c r="M197">
        <f t="shared" ref="M197:M260" si="50">-1*($S$4+($S$5*J197))</f>
        <v>0.53891576138362907</v>
      </c>
      <c r="N197">
        <f t="shared" si="44"/>
        <v>0.17474051839999999</v>
      </c>
      <c r="O197">
        <f t="shared" si="45"/>
        <v>0.15150912</v>
      </c>
      <c r="P197">
        <f t="shared" si="46"/>
        <v>4.2729751991588349E-2</v>
      </c>
    </row>
    <row r="198" spans="1:16" x14ac:dyDescent="0.3">
      <c r="A198">
        <v>10.152545999999999</v>
      </c>
      <c r="B198">
        <v>0.31152000000000002</v>
      </c>
      <c r="C198">
        <f t="shared" si="47"/>
        <v>3.16272112992</v>
      </c>
      <c r="D198">
        <v>1.7299999999999999E-2</v>
      </c>
      <c r="E198" s="1">
        <v>1.4999999999999999E-2</v>
      </c>
      <c r="F198">
        <f t="shared" si="41"/>
        <v>2030.5091999999997</v>
      </c>
      <c r="G198">
        <f t="shared" si="42"/>
        <v>-0.31152000000000002</v>
      </c>
      <c r="H198">
        <f t="shared" si="48"/>
        <v>-632.54422598400004</v>
      </c>
      <c r="I198">
        <v>1</v>
      </c>
      <c r="J198">
        <f t="shared" si="49"/>
        <v>0.708286599037669</v>
      </c>
      <c r="K198">
        <f t="shared" si="43"/>
        <v>-0.91020515177521744</v>
      </c>
      <c r="L198">
        <v>1</v>
      </c>
      <c r="M198">
        <f t="shared" si="50"/>
        <v>0.53910865898980675</v>
      </c>
      <c r="N198">
        <f t="shared" si="44"/>
        <v>0.17563904579999998</v>
      </c>
      <c r="O198">
        <f t="shared" si="45"/>
        <v>0.15228818999999999</v>
      </c>
      <c r="P198">
        <f t="shared" si="46"/>
        <v>4.3169256985410714E-2</v>
      </c>
    </row>
    <row r="199" spans="1:16" x14ac:dyDescent="0.3">
      <c r="A199">
        <v>10.203463000000001</v>
      </c>
      <c r="B199">
        <v>0.30886999999999998</v>
      </c>
      <c r="C199">
        <f t="shared" si="47"/>
        <v>3.1515436168100002</v>
      </c>
      <c r="D199">
        <v>1.7299999999999999E-2</v>
      </c>
      <c r="E199" s="1">
        <v>1.4999999999999999E-2</v>
      </c>
      <c r="F199">
        <f t="shared" si="41"/>
        <v>2040.6926000000003</v>
      </c>
      <c r="G199">
        <f t="shared" si="42"/>
        <v>-0.30886999999999998</v>
      </c>
      <c r="H199">
        <f t="shared" si="48"/>
        <v>-630.30872336200002</v>
      </c>
      <c r="I199">
        <v>1</v>
      </c>
      <c r="J199">
        <f t="shared" si="49"/>
        <v>0.71328926003963466</v>
      </c>
      <c r="K199">
        <f t="shared" si="43"/>
        <v>-0.91285515177521748</v>
      </c>
      <c r="L199">
        <v>1</v>
      </c>
      <c r="M199">
        <f t="shared" si="50"/>
        <v>0.53929680907009059</v>
      </c>
      <c r="N199">
        <f t="shared" si="44"/>
        <v>0.17651990990000002</v>
      </c>
      <c r="O199">
        <f t="shared" si="45"/>
        <v>0.15305194500000002</v>
      </c>
      <c r="P199">
        <f t="shared" si="46"/>
        <v>4.3986487805126845E-2</v>
      </c>
    </row>
    <row r="200" spans="1:16" x14ac:dyDescent="0.3">
      <c r="A200">
        <v>10.257436999999999</v>
      </c>
      <c r="B200">
        <v>0.30653999999999998</v>
      </c>
      <c r="C200">
        <f t="shared" si="47"/>
        <v>3.1443147379799998</v>
      </c>
      <c r="D200">
        <v>1.7299999999999999E-2</v>
      </c>
      <c r="E200" s="1">
        <v>1.4999999999999999E-2</v>
      </c>
      <c r="F200">
        <f t="shared" si="41"/>
        <v>2051.4874</v>
      </c>
      <c r="G200">
        <f t="shared" si="42"/>
        <v>-0.30653999999999998</v>
      </c>
      <c r="H200">
        <f t="shared" si="48"/>
        <v>-628.86294759599991</v>
      </c>
      <c r="I200">
        <v>1</v>
      </c>
      <c r="J200">
        <f t="shared" si="49"/>
        <v>0.71856509103381383</v>
      </c>
      <c r="K200">
        <f t="shared" si="43"/>
        <v>-0.91518515177521742</v>
      </c>
      <c r="L200">
        <v>1</v>
      </c>
      <c r="M200">
        <f t="shared" si="50"/>
        <v>0.53949523307378167</v>
      </c>
      <c r="N200">
        <f t="shared" si="44"/>
        <v>0.17745366009999999</v>
      </c>
      <c r="O200">
        <f t="shared" si="45"/>
        <v>0.15386155499999998</v>
      </c>
      <c r="P200">
        <f t="shared" si="46"/>
        <v>4.4374703601435778E-2</v>
      </c>
    </row>
    <row r="201" spans="1:16" x14ac:dyDescent="0.3">
      <c r="A201">
        <v>10.310899999999998</v>
      </c>
      <c r="B201">
        <v>0.30393999999999999</v>
      </c>
      <c r="C201">
        <f t="shared" si="47"/>
        <v>3.1338949459999994</v>
      </c>
      <c r="D201">
        <v>1.7299999999999999E-2</v>
      </c>
      <c r="E201" s="1">
        <v>1.4999999999999999E-2</v>
      </c>
      <c r="F201">
        <f t="shared" si="41"/>
        <v>2062.1799999999998</v>
      </c>
      <c r="G201">
        <f t="shared" si="42"/>
        <v>-0.30393999999999999</v>
      </c>
      <c r="H201">
        <f t="shared" si="48"/>
        <v>-626.77898919999984</v>
      </c>
      <c r="I201">
        <v>1</v>
      </c>
      <c r="J201">
        <f t="shared" si="49"/>
        <v>0.72376367567430588</v>
      </c>
      <c r="K201">
        <f t="shared" si="43"/>
        <v>-0.91778515177521747</v>
      </c>
      <c r="L201">
        <v>1</v>
      </c>
      <c r="M201">
        <f t="shared" si="50"/>
        <v>0.53969075184211057</v>
      </c>
      <c r="N201">
        <f t="shared" si="44"/>
        <v>0.17837856999999996</v>
      </c>
      <c r="O201">
        <f t="shared" si="45"/>
        <v>0.15466349999999998</v>
      </c>
      <c r="P201">
        <f t="shared" si="46"/>
        <v>4.5052329933106955E-2</v>
      </c>
    </row>
    <row r="202" spans="1:16" x14ac:dyDescent="0.3">
      <c r="A202">
        <v>10.365894000000001</v>
      </c>
      <c r="B202">
        <v>0.30125000000000002</v>
      </c>
      <c r="C202">
        <f t="shared" si="47"/>
        <v>3.1227255675000003</v>
      </c>
      <c r="D202">
        <v>1.7299999999999999E-2</v>
      </c>
      <c r="E202" s="1">
        <v>1.4999999999999999E-2</v>
      </c>
      <c r="F202">
        <f t="shared" si="41"/>
        <v>2073.1788000000001</v>
      </c>
      <c r="G202">
        <f t="shared" si="42"/>
        <v>-0.30125000000000002</v>
      </c>
      <c r="H202">
        <f t="shared" si="48"/>
        <v>-624.54511350000007</v>
      </c>
      <c r="I202">
        <v>1</v>
      </c>
      <c r="J202">
        <f t="shared" si="49"/>
        <v>0.72908308154314161</v>
      </c>
      <c r="K202">
        <f t="shared" si="43"/>
        <v>-0.92047515177521744</v>
      </c>
      <c r="L202">
        <v>1</v>
      </c>
      <c r="M202">
        <f t="shared" si="50"/>
        <v>0.53989081469683753</v>
      </c>
      <c r="N202">
        <f t="shared" si="44"/>
        <v>0.1793299662</v>
      </c>
      <c r="O202">
        <f t="shared" si="45"/>
        <v>0.15548840999999999</v>
      </c>
      <c r="P202">
        <f t="shared" si="46"/>
        <v>4.5765960878379919E-2</v>
      </c>
    </row>
    <row r="203" spans="1:16" x14ac:dyDescent="0.3">
      <c r="A203">
        <v>10.418339000000001</v>
      </c>
      <c r="B203">
        <v>0.29892000000000002</v>
      </c>
      <c r="C203">
        <f t="shared" si="47"/>
        <v>3.1142498938800007</v>
      </c>
      <c r="D203">
        <v>1.7299999999999999E-2</v>
      </c>
      <c r="E203" s="1">
        <v>1.4999999999999999E-2</v>
      </c>
      <c r="F203">
        <f t="shared" si="41"/>
        <v>2083.6678000000002</v>
      </c>
      <c r="G203">
        <f t="shared" si="42"/>
        <v>-0.29892000000000002</v>
      </c>
      <c r="H203">
        <f t="shared" si="48"/>
        <v>-622.84997877600017</v>
      </c>
      <c r="I203">
        <v>1</v>
      </c>
      <c r="J203">
        <f t="shared" si="49"/>
        <v>0.73412970619439166</v>
      </c>
      <c r="K203">
        <f t="shared" si="43"/>
        <v>-0.92280515177521738</v>
      </c>
      <c r="L203">
        <v>1</v>
      </c>
      <c r="M203">
        <f t="shared" si="50"/>
        <v>0.540080618249971</v>
      </c>
      <c r="N203">
        <f t="shared" si="44"/>
        <v>0.18023726470000001</v>
      </c>
      <c r="O203">
        <f t="shared" si="45"/>
        <v>0.15627508500000001</v>
      </c>
      <c r="P203">
        <f t="shared" si="46"/>
        <v>4.6212183825246361E-2</v>
      </c>
    </row>
    <row r="204" spans="1:16" x14ac:dyDescent="0.3">
      <c r="A204">
        <v>10.469257000000001</v>
      </c>
      <c r="B204">
        <v>0.29631000000000002</v>
      </c>
      <c r="C204">
        <f t="shared" si="47"/>
        <v>3.1021455416700006</v>
      </c>
      <c r="D204">
        <v>1.7299999999999999E-2</v>
      </c>
      <c r="E204" s="1">
        <v>1.4999999999999999E-2</v>
      </c>
      <c r="F204">
        <f t="shared" si="41"/>
        <v>2093.8514</v>
      </c>
      <c r="G204">
        <f t="shared" si="42"/>
        <v>-0.29631000000000002</v>
      </c>
      <c r="H204">
        <f t="shared" si="48"/>
        <v>-620.42910833400015</v>
      </c>
      <c r="I204">
        <v>1</v>
      </c>
      <c r="J204">
        <f t="shared" si="49"/>
        <v>0.7390051452692985</v>
      </c>
      <c r="K204">
        <f t="shared" si="43"/>
        <v>-0.92541515177521738</v>
      </c>
      <c r="L204">
        <v>1</v>
      </c>
      <c r="M204">
        <f t="shared" si="50"/>
        <v>0.54026398351357829</v>
      </c>
      <c r="N204">
        <f t="shared" si="44"/>
        <v>0.18111814610000002</v>
      </c>
      <c r="O204">
        <f t="shared" si="45"/>
        <v>0.157038855</v>
      </c>
      <c r="P204">
        <f t="shared" si="46"/>
        <v>4.6994167161639067E-2</v>
      </c>
    </row>
    <row r="205" spans="1:16" x14ac:dyDescent="0.3">
      <c r="A205">
        <v>10.520175</v>
      </c>
      <c r="B205">
        <v>0.29396</v>
      </c>
      <c r="C205">
        <f t="shared" si="47"/>
        <v>3.0925106430000002</v>
      </c>
      <c r="D205">
        <v>1.7299999999999999E-2</v>
      </c>
      <c r="E205" s="1">
        <v>1.4999999999999999E-2</v>
      </c>
      <c r="F205">
        <f t="shared" si="41"/>
        <v>2104.0349999999999</v>
      </c>
      <c r="G205">
        <f t="shared" si="42"/>
        <v>-0.29396</v>
      </c>
      <c r="H205">
        <f t="shared" si="48"/>
        <v>-618.50212859999999</v>
      </c>
      <c r="I205">
        <v>1</v>
      </c>
      <c r="J205">
        <f t="shared" si="49"/>
        <v>0.74385692971809214</v>
      </c>
      <c r="K205">
        <f t="shared" si="43"/>
        <v>-0.92776515177521746</v>
      </c>
      <c r="L205">
        <v>1</v>
      </c>
      <c r="M205">
        <f t="shared" si="50"/>
        <v>0.54044645912669742</v>
      </c>
      <c r="N205">
        <f t="shared" si="44"/>
        <v>0.18199902749999999</v>
      </c>
      <c r="O205">
        <f t="shared" si="45"/>
        <v>0.157802625</v>
      </c>
      <c r="P205">
        <f t="shared" si="46"/>
        <v>4.751704014852004E-2</v>
      </c>
    </row>
    <row r="206" spans="1:16" x14ac:dyDescent="0.3">
      <c r="A206">
        <v>10.570585000000001</v>
      </c>
      <c r="B206">
        <v>0.29174</v>
      </c>
      <c r="C206">
        <f t="shared" si="47"/>
        <v>3.0838624679000004</v>
      </c>
      <c r="D206">
        <v>1.7299999999999999E-2</v>
      </c>
      <c r="E206" s="1">
        <v>1.4999999999999999E-2</v>
      </c>
      <c r="F206">
        <f t="shared" si="41"/>
        <v>2114.1170000000002</v>
      </c>
      <c r="G206">
        <f t="shared" si="42"/>
        <v>-0.29174</v>
      </c>
      <c r="H206">
        <f t="shared" si="48"/>
        <v>-616.77249358000006</v>
      </c>
      <c r="I206">
        <v>1</v>
      </c>
      <c r="J206">
        <f t="shared" si="49"/>
        <v>0.74863723123348513</v>
      </c>
      <c r="K206">
        <f t="shared" si="43"/>
        <v>-0.92998515177521746</v>
      </c>
      <c r="L206">
        <v>1</v>
      </c>
      <c r="M206">
        <f t="shared" si="50"/>
        <v>0.54062624626669131</v>
      </c>
      <c r="N206">
        <f t="shared" si="44"/>
        <v>0.18287112050000001</v>
      </c>
      <c r="O206">
        <f t="shared" si="45"/>
        <v>0.15855877500000001</v>
      </c>
      <c r="P206">
        <f t="shared" si="46"/>
        <v>4.7929010008526118E-2</v>
      </c>
    </row>
    <row r="207" spans="1:16" x14ac:dyDescent="0.3">
      <c r="A207">
        <v>10.622520999999999</v>
      </c>
      <c r="B207">
        <v>0.28916999999999998</v>
      </c>
      <c r="C207">
        <f t="shared" si="47"/>
        <v>3.0717143975699996</v>
      </c>
      <c r="D207">
        <v>1.7299999999999999E-2</v>
      </c>
      <c r="E207" s="1">
        <v>1.4999999999999999E-2</v>
      </c>
      <c r="F207">
        <f t="shared" si="41"/>
        <v>2124.5041999999999</v>
      </c>
      <c r="G207">
        <f t="shared" si="42"/>
        <v>-0.28916999999999998</v>
      </c>
      <c r="H207">
        <f t="shared" si="48"/>
        <v>-614.34287951399995</v>
      </c>
      <c r="I207">
        <v>1</v>
      </c>
      <c r="J207">
        <f t="shared" si="49"/>
        <v>0.75353845750652471</v>
      </c>
      <c r="K207">
        <f t="shared" si="43"/>
        <v>-0.93255515177521753</v>
      </c>
      <c r="L207">
        <v>1</v>
      </c>
      <c r="M207">
        <f t="shared" si="50"/>
        <v>0.54081058138682037</v>
      </c>
      <c r="N207">
        <f t="shared" si="44"/>
        <v>0.18376961329999997</v>
      </c>
      <c r="O207">
        <f t="shared" si="45"/>
        <v>0.15933781499999997</v>
      </c>
      <c r="P207">
        <f t="shared" si="46"/>
        <v>4.8637142088397228E-2</v>
      </c>
    </row>
    <row r="208" spans="1:16" x14ac:dyDescent="0.3">
      <c r="A208">
        <v>10.674966999999999</v>
      </c>
      <c r="B208">
        <v>0.28671999999999997</v>
      </c>
      <c r="C208">
        <f t="shared" si="47"/>
        <v>3.0607265382399995</v>
      </c>
      <c r="D208">
        <v>1.7299999999999999E-2</v>
      </c>
      <c r="E208" s="1">
        <v>1.4999999999999999E-2</v>
      </c>
      <c r="F208">
        <f t="shared" si="41"/>
        <v>2134.9933999999998</v>
      </c>
      <c r="G208">
        <f t="shared" si="42"/>
        <v>-0.28671999999999997</v>
      </c>
      <c r="H208">
        <f t="shared" si="48"/>
        <v>-612.14530764799986</v>
      </c>
      <c r="I208">
        <v>1</v>
      </c>
      <c r="J208">
        <f t="shared" si="49"/>
        <v>0.75846355534091503</v>
      </c>
      <c r="K208">
        <f t="shared" si="43"/>
        <v>-0.93500515177521748</v>
      </c>
      <c r="L208">
        <v>1</v>
      </c>
      <c r="M208">
        <f t="shared" si="50"/>
        <v>0.54099581431637178</v>
      </c>
      <c r="N208">
        <f t="shared" si="44"/>
        <v>0.18467692909999997</v>
      </c>
      <c r="O208">
        <f t="shared" si="45"/>
        <v>0.16012450499999997</v>
      </c>
      <c r="P208">
        <f t="shared" si="46"/>
        <v>4.9207903358845756E-2</v>
      </c>
    </row>
    <row r="209" spans="1:16" x14ac:dyDescent="0.3">
      <c r="A209">
        <v>10.726394000000001</v>
      </c>
      <c r="B209">
        <v>0.28414</v>
      </c>
      <c r="C209">
        <f t="shared" si="47"/>
        <v>3.0477975911600002</v>
      </c>
      <c r="D209">
        <v>1.7299999999999999E-2</v>
      </c>
      <c r="E209" s="1">
        <v>1.4999999999999999E-2</v>
      </c>
      <c r="F209">
        <f t="shared" si="41"/>
        <v>2145.2788</v>
      </c>
      <c r="G209">
        <f t="shared" si="42"/>
        <v>-0.28414</v>
      </c>
      <c r="H209">
        <f t="shared" si="48"/>
        <v>-609.55951823200007</v>
      </c>
      <c r="I209">
        <v>1</v>
      </c>
      <c r="J209">
        <f t="shared" si="49"/>
        <v>0.763269520623719</v>
      </c>
      <c r="K209">
        <f t="shared" si="43"/>
        <v>-0.9375851517752174</v>
      </c>
      <c r="L209">
        <v>1</v>
      </c>
      <c r="M209">
        <f t="shared" si="50"/>
        <v>0.54117656667065805</v>
      </c>
      <c r="N209">
        <f t="shared" si="44"/>
        <v>0.18556661620000001</v>
      </c>
      <c r="O209">
        <f t="shared" si="45"/>
        <v>0.16089591</v>
      </c>
      <c r="P209">
        <f t="shared" si="46"/>
        <v>4.9946058904559332E-2</v>
      </c>
    </row>
    <row r="210" spans="1:16" x14ac:dyDescent="0.3">
      <c r="A210">
        <v>10.779858999999998</v>
      </c>
      <c r="B210">
        <v>0.28164</v>
      </c>
      <c r="C210">
        <f t="shared" si="47"/>
        <v>3.0360394887599997</v>
      </c>
      <c r="D210">
        <v>1.7299999999999999E-2</v>
      </c>
      <c r="E210" s="1">
        <v>1.4999999999999999E-2</v>
      </c>
      <c r="F210">
        <f t="shared" si="41"/>
        <v>2155.9717999999998</v>
      </c>
      <c r="G210">
        <f t="shared" si="42"/>
        <v>-0.28164</v>
      </c>
      <c r="H210">
        <f t="shared" si="48"/>
        <v>-607.20789775199989</v>
      </c>
      <c r="I210">
        <v>1</v>
      </c>
      <c r="J210">
        <f t="shared" si="49"/>
        <v>0.76824157318384401</v>
      </c>
      <c r="K210">
        <f t="shared" si="43"/>
        <v>-0.94008515177521745</v>
      </c>
      <c r="L210">
        <v>1</v>
      </c>
      <c r="M210">
        <f t="shared" si="50"/>
        <v>0.54136356556744436</v>
      </c>
      <c r="N210">
        <f t="shared" si="44"/>
        <v>0.18649156069999998</v>
      </c>
      <c r="O210">
        <f t="shared" si="45"/>
        <v>0.16169788499999996</v>
      </c>
      <c r="P210">
        <f t="shared" si="46"/>
        <v>5.053214050777316E-2</v>
      </c>
    </row>
    <row r="211" spans="1:16" x14ac:dyDescent="0.3">
      <c r="A211">
        <v>10.831795</v>
      </c>
      <c r="B211">
        <v>0.27905000000000002</v>
      </c>
      <c r="C211">
        <f t="shared" si="47"/>
        <v>3.0226123947500003</v>
      </c>
      <c r="D211">
        <v>1.7299999999999999E-2</v>
      </c>
      <c r="E211" s="1">
        <v>1.4999999999999999E-2</v>
      </c>
      <c r="F211">
        <f t="shared" si="41"/>
        <v>2166.3589999999999</v>
      </c>
      <c r="G211">
        <f t="shared" si="42"/>
        <v>-0.27905000000000002</v>
      </c>
      <c r="H211">
        <f t="shared" si="48"/>
        <v>-604.52247895000005</v>
      </c>
      <c r="I211">
        <v>1</v>
      </c>
      <c r="J211">
        <f t="shared" si="49"/>
        <v>0.77304787815052722</v>
      </c>
      <c r="K211">
        <f t="shared" si="43"/>
        <v>-0.94267515177521743</v>
      </c>
      <c r="L211">
        <v>1</v>
      </c>
      <c r="M211">
        <f t="shared" si="50"/>
        <v>0.54154433069724128</v>
      </c>
      <c r="N211">
        <f t="shared" si="44"/>
        <v>0.18739005349999999</v>
      </c>
      <c r="O211">
        <f t="shared" si="45"/>
        <v>0.16247692499999999</v>
      </c>
      <c r="P211">
        <f t="shared" si="46"/>
        <v>5.1263842577976171E-2</v>
      </c>
    </row>
    <row r="212" spans="1:16" x14ac:dyDescent="0.3">
      <c r="A212">
        <v>10.884240999999999</v>
      </c>
      <c r="B212">
        <v>0.27653</v>
      </c>
      <c r="C212">
        <f t="shared" ref="C212:C275" si="51">A212*B212</f>
        <v>3.00981916373</v>
      </c>
      <c r="D212">
        <v>1.7299999999999999E-2</v>
      </c>
      <c r="E212" s="1">
        <v>1.4999999999999999E-2</v>
      </c>
      <c r="F212">
        <f t="shared" ref="F212:F275" si="52">A212*200</f>
        <v>2176.8481999999999</v>
      </c>
      <c r="G212">
        <f t="shared" ref="G212:G275" si="53">-B212</f>
        <v>-0.27653</v>
      </c>
      <c r="H212">
        <f t="shared" ref="H212:H275" si="54">-C212*200</f>
        <v>-601.96383274599998</v>
      </c>
      <c r="I212">
        <v>1</v>
      </c>
      <c r="J212">
        <f t="shared" si="49"/>
        <v>0.77787805083639006</v>
      </c>
      <c r="K212">
        <f t="shared" ref="K212:K275" si="55">((-G212)-$N$2)</f>
        <v>-0.94519515177521751</v>
      </c>
      <c r="L212">
        <v>1</v>
      </c>
      <c r="M212">
        <f t="shared" si="50"/>
        <v>0.5417259934919566</v>
      </c>
      <c r="N212">
        <f t="shared" ref="N212:N275" si="56">D212*A212</f>
        <v>0.18829736929999999</v>
      </c>
      <c r="O212">
        <f t="shared" ref="O212:O275" si="57">E212*A212</f>
        <v>0.16326361499999997</v>
      </c>
      <c r="P212">
        <f t="shared" ref="P212:P275" si="58">-K212-M212-N212-O212</f>
        <v>5.1908173983260947E-2</v>
      </c>
    </row>
    <row r="213" spans="1:16" x14ac:dyDescent="0.3">
      <c r="A213">
        <v>10.937705000000001</v>
      </c>
      <c r="B213">
        <v>0.2742</v>
      </c>
      <c r="C213">
        <f t="shared" si="51"/>
        <v>2.9991187110000004</v>
      </c>
      <c r="D213">
        <v>1.7299999999999999E-2</v>
      </c>
      <c r="E213" s="1">
        <v>1.4999999999999999E-2</v>
      </c>
      <c r="F213">
        <f t="shared" si="52"/>
        <v>2187.5410000000002</v>
      </c>
      <c r="G213">
        <f t="shared" si="53"/>
        <v>-0.2742</v>
      </c>
      <c r="H213">
        <f t="shared" si="54"/>
        <v>-599.82374220000008</v>
      </c>
      <c r="I213">
        <v>1</v>
      </c>
      <c r="J213">
        <f t="shared" si="49"/>
        <v>0.78277808193113008</v>
      </c>
      <c r="K213">
        <f t="shared" si="55"/>
        <v>-0.94752515177521746</v>
      </c>
      <c r="L213">
        <v>1</v>
      </c>
      <c r="M213">
        <f t="shared" si="50"/>
        <v>0.54191028366142979</v>
      </c>
      <c r="N213">
        <f t="shared" si="56"/>
        <v>0.18922229650000003</v>
      </c>
      <c r="O213">
        <f t="shared" si="57"/>
        <v>0.16406557500000002</v>
      </c>
      <c r="P213">
        <f t="shared" si="58"/>
        <v>5.2326996613787619E-2</v>
      </c>
    </row>
    <row r="214" spans="1:16" x14ac:dyDescent="0.3">
      <c r="A214">
        <v>10.988115000000001</v>
      </c>
      <c r="B214">
        <v>0.27160000000000001</v>
      </c>
      <c r="C214">
        <f t="shared" si="51"/>
        <v>2.9843720340000002</v>
      </c>
      <c r="D214">
        <v>1.7299999999999999E-2</v>
      </c>
      <c r="E214" s="1">
        <v>1.4999999999999999E-2</v>
      </c>
      <c r="F214">
        <f t="shared" si="52"/>
        <v>2197.623</v>
      </c>
      <c r="G214">
        <f t="shared" si="53"/>
        <v>-0.27160000000000001</v>
      </c>
      <c r="H214">
        <f t="shared" si="54"/>
        <v>-596.87440680000009</v>
      </c>
      <c r="I214">
        <v>1</v>
      </c>
      <c r="J214">
        <f t="shared" si="49"/>
        <v>0.78737632170702787</v>
      </c>
      <c r="K214">
        <f t="shared" si="55"/>
        <v>-0.95012515177521739</v>
      </c>
      <c r="L214">
        <v>1</v>
      </c>
      <c r="M214">
        <f t="shared" si="50"/>
        <v>0.5420832234594013</v>
      </c>
      <c r="N214">
        <f t="shared" si="56"/>
        <v>0.19009438950000002</v>
      </c>
      <c r="O214">
        <f t="shared" si="57"/>
        <v>0.164821725</v>
      </c>
      <c r="P214">
        <f t="shared" si="58"/>
        <v>5.3125813815816075E-2</v>
      </c>
    </row>
    <row r="215" spans="1:16" x14ac:dyDescent="0.3">
      <c r="A215">
        <v>11.039541999999999</v>
      </c>
      <c r="B215">
        <v>0.26912000000000003</v>
      </c>
      <c r="C215">
        <f t="shared" si="51"/>
        <v>2.97096154304</v>
      </c>
      <c r="D215">
        <v>1.7299999999999999E-2</v>
      </c>
      <c r="E215" s="1">
        <v>1.4999999999999999E-2</v>
      </c>
      <c r="F215">
        <f t="shared" si="52"/>
        <v>2207.9083999999998</v>
      </c>
      <c r="G215">
        <f t="shared" si="53"/>
        <v>-0.26912000000000003</v>
      </c>
      <c r="H215">
        <f t="shared" si="54"/>
        <v>-594.19230860799996</v>
      </c>
      <c r="I215">
        <v>1</v>
      </c>
      <c r="J215">
        <f t="shared" si="49"/>
        <v>0.79204564204705508</v>
      </c>
      <c r="K215">
        <f t="shared" si="55"/>
        <v>-0.95260515177521743</v>
      </c>
      <c r="L215">
        <v>1</v>
      </c>
      <c r="M215">
        <f t="shared" si="50"/>
        <v>0.54225883659738972</v>
      </c>
      <c r="N215">
        <f t="shared" si="56"/>
        <v>0.19098407659999997</v>
      </c>
      <c r="O215">
        <f t="shared" si="57"/>
        <v>0.16559312999999998</v>
      </c>
      <c r="P215">
        <f t="shared" si="58"/>
        <v>5.3769108577827768E-2</v>
      </c>
    </row>
    <row r="216" spans="1:16" x14ac:dyDescent="0.3">
      <c r="A216">
        <v>11.090971</v>
      </c>
      <c r="B216">
        <v>0.26685999999999999</v>
      </c>
      <c r="C216">
        <f t="shared" si="51"/>
        <v>2.95973652106</v>
      </c>
      <c r="D216">
        <v>1.7299999999999999E-2</v>
      </c>
      <c r="E216" s="1">
        <v>1.4999999999999999E-2</v>
      </c>
      <c r="F216">
        <f t="shared" si="52"/>
        <v>2218.1941999999999</v>
      </c>
      <c r="G216">
        <f t="shared" si="53"/>
        <v>-0.26685999999999999</v>
      </c>
      <c r="H216">
        <f t="shared" si="54"/>
        <v>-591.94730421199995</v>
      </c>
      <c r="I216">
        <v>1</v>
      </c>
      <c r="J216">
        <f t="shared" si="49"/>
        <v>0.79669344145241971</v>
      </c>
      <c r="K216">
        <f t="shared" si="55"/>
        <v>-0.95486515177521747</v>
      </c>
      <c r="L216">
        <v>1</v>
      </c>
      <c r="M216">
        <f t="shared" si="50"/>
        <v>0.54243364033302544</v>
      </c>
      <c r="N216">
        <f t="shared" si="56"/>
        <v>0.19187379829999998</v>
      </c>
      <c r="O216">
        <f t="shared" si="57"/>
        <v>0.16636456499999999</v>
      </c>
      <c r="P216">
        <f t="shared" si="58"/>
        <v>5.419314814219206E-2</v>
      </c>
    </row>
    <row r="217" spans="1:16" x14ac:dyDescent="0.3">
      <c r="A217">
        <v>11.141889000000001</v>
      </c>
      <c r="B217">
        <v>0.26444000000000001</v>
      </c>
      <c r="C217">
        <f t="shared" si="51"/>
        <v>2.9463611271600003</v>
      </c>
      <c r="D217">
        <v>1.7299999999999999E-2</v>
      </c>
      <c r="E217" s="1">
        <v>1.4999999999999999E-2</v>
      </c>
      <c r="F217">
        <f t="shared" si="52"/>
        <v>2228.3778000000002</v>
      </c>
      <c r="G217">
        <f t="shared" si="53"/>
        <v>-0.26444000000000001</v>
      </c>
      <c r="H217">
        <f t="shared" si="54"/>
        <v>-589.27222543200003</v>
      </c>
      <c r="I217">
        <v>1</v>
      </c>
      <c r="J217">
        <f t="shared" si="49"/>
        <v>0.80127387681010664</v>
      </c>
      <c r="K217">
        <f t="shared" si="55"/>
        <v>-0.95728515177521745</v>
      </c>
      <c r="L217">
        <v>1</v>
      </c>
      <c r="M217">
        <f t="shared" si="50"/>
        <v>0.54260591050682805</v>
      </c>
      <c r="N217">
        <f t="shared" si="56"/>
        <v>0.19275467970000001</v>
      </c>
      <c r="O217">
        <f t="shared" si="57"/>
        <v>0.16712833500000002</v>
      </c>
      <c r="P217">
        <f t="shared" si="58"/>
        <v>5.4796226568389367E-2</v>
      </c>
    </row>
    <row r="218" spans="1:16" x14ac:dyDescent="0.3">
      <c r="A218">
        <v>11.194335000000001</v>
      </c>
      <c r="B218">
        <v>0.26196000000000003</v>
      </c>
      <c r="C218">
        <f t="shared" si="51"/>
        <v>2.9324679966000002</v>
      </c>
      <c r="D218">
        <v>1.7299999999999999E-2</v>
      </c>
      <c r="E218" s="1">
        <v>1.4999999999999999E-2</v>
      </c>
      <c r="F218">
        <f t="shared" si="52"/>
        <v>2238.8670000000002</v>
      </c>
      <c r="G218">
        <f t="shared" si="53"/>
        <v>-0.26196000000000003</v>
      </c>
      <c r="H218">
        <f t="shared" si="54"/>
        <v>-586.49359932000004</v>
      </c>
      <c r="I218">
        <v>1</v>
      </c>
      <c r="J218">
        <f t="shared" si="49"/>
        <v>0.80596993433374287</v>
      </c>
      <c r="K218">
        <f t="shared" si="55"/>
        <v>-0.95976515177521748</v>
      </c>
      <c r="L218">
        <v>1</v>
      </c>
      <c r="M218">
        <f t="shared" si="50"/>
        <v>0.54278252923029202</v>
      </c>
      <c r="N218">
        <f t="shared" si="56"/>
        <v>0.19366199550000002</v>
      </c>
      <c r="O218">
        <f t="shared" si="57"/>
        <v>0.167915025</v>
      </c>
      <c r="P218">
        <f t="shared" si="58"/>
        <v>5.540560204492545E-2</v>
      </c>
    </row>
    <row r="219" spans="1:16" x14ac:dyDescent="0.3">
      <c r="A219">
        <v>11.247288000000001</v>
      </c>
      <c r="B219">
        <v>0.25903999999999999</v>
      </c>
      <c r="C219">
        <f t="shared" si="51"/>
        <v>2.91349748352</v>
      </c>
      <c r="D219">
        <v>1.7299999999999999E-2</v>
      </c>
      <c r="E219" s="1">
        <v>1.4999999999999999E-2</v>
      </c>
      <c r="F219">
        <f t="shared" si="52"/>
        <v>2249.4576000000002</v>
      </c>
      <c r="G219">
        <f t="shared" si="53"/>
        <v>-0.25903999999999999</v>
      </c>
      <c r="H219">
        <f t="shared" si="54"/>
        <v>-582.69949670400001</v>
      </c>
      <c r="I219">
        <v>1</v>
      </c>
      <c r="J219">
        <f t="shared" si="49"/>
        <v>0.81068912048842279</v>
      </c>
      <c r="K219">
        <f t="shared" si="55"/>
        <v>-0.96268515177521752</v>
      </c>
      <c r="L219">
        <v>1</v>
      </c>
      <c r="M219">
        <f t="shared" si="50"/>
        <v>0.54296001782156955</v>
      </c>
      <c r="N219">
        <f t="shared" si="56"/>
        <v>0.19457808240000002</v>
      </c>
      <c r="O219">
        <f t="shared" si="57"/>
        <v>0.16870932</v>
      </c>
      <c r="P219">
        <f t="shared" si="58"/>
        <v>5.6437731553647952E-2</v>
      </c>
    </row>
    <row r="220" spans="1:16" x14ac:dyDescent="0.3">
      <c r="A220">
        <v>11.297698</v>
      </c>
      <c r="B220">
        <v>0.25675999999999999</v>
      </c>
      <c r="C220">
        <f t="shared" si="51"/>
        <v>2.9007969384800001</v>
      </c>
      <c r="D220">
        <v>1.7299999999999999E-2</v>
      </c>
      <c r="E220" s="1">
        <v>1.4999999999999999E-2</v>
      </c>
      <c r="F220">
        <f t="shared" si="52"/>
        <v>2259.5396000000001</v>
      </c>
      <c r="G220">
        <f t="shared" si="53"/>
        <v>-0.25675999999999999</v>
      </c>
      <c r="H220">
        <f t="shared" si="54"/>
        <v>-580.15938769600007</v>
      </c>
      <c r="I220">
        <v>1</v>
      </c>
      <c r="J220">
        <f t="shared" si="49"/>
        <v>0.81516107571694651</v>
      </c>
      <c r="K220">
        <f t="shared" si="55"/>
        <v>-0.96496515177521747</v>
      </c>
      <c r="L220">
        <v>1</v>
      </c>
      <c r="M220">
        <f t="shared" si="50"/>
        <v>0.54312820805771433</v>
      </c>
      <c r="N220">
        <f t="shared" si="56"/>
        <v>0.19545017540000001</v>
      </c>
      <c r="O220">
        <f t="shared" si="57"/>
        <v>0.16946547000000001</v>
      </c>
      <c r="P220">
        <f t="shared" si="58"/>
        <v>5.6921298317503116E-2</v>
      </c>
    </row>
    <row r="221" spans="1:16" x14ac:dyDescent="0.3">
      <c r="A221">
        <v>11.350144999999999</v>
      </c>
      <c r="B221">
        <v>0.25425999999999999</v>
      </c>
      <c r="C221">
        <f t="shared" si="51"/>
        <v>2.8858878676999997</v>
      </c>
      <c r="D221">
        <v>1.7299999999999999E-2</v>
      </c>
      <c r="E221" s="1">
        <v>1.4999999999999999E-2</v>
      </c>
      <c r="F221">
        <f t="shared" si="52"/>
        <v>2270.029</v>
      </c>
      <c r="G221">
        <f t="shared" si="53"/>
        <v>-0.25425999999999999</v>
      </c>
      <c r="H221">
        <f t="shared" si="54"/>
        <v>-577.17757353999991</v>
      </c>
      <c r="I221">
        <v>1</v>
      </c>
      <c r="J221">
        <f t="shared" si="49"/>
        <v>0.81979260674210397</v>
      </c>
      <c r="K221">
        <f t="shared" si="55"/>
        <v>-0.96746515177521752</v>
      </c>
      <c r="L221">
        <v>1</v>
      </c>
      <c r="M221">
        <f t="shared" si="50"/>
        <v>0.54330239993957052</v>
      </c>
      <c r="N221">
        <f t="shared" si="56"/>
        <v>0.19635750849999997</v>
      </c>
      <c r="O221">
        <f t="shared" si="57"/>
        <v>0.17025217499999998</v>
      </c>
      <c r="P221">
        <f t="shared" si="58"/>
        <v>5.7553068335647051E-2</v>
      </c>
    </row>
    <row r="222" spans="1:16" x14ac:dyDescent="0.3">
      <c r="A222">
        <v>11.400554</v>
      </c>
      <c r="B222">
        <v>0.25180000000000002</v>
      </c>
      <c r="C222">
        <f t="shared" si="51"/>
        <v>2.8706594972000001</v>
      </c>
      <c r="D222">
        <v>1.7299999999999999E-2</v>
      </c>
      <c r="E222" s="1">
        <v>1.4999999999999999E-2</v>
      </c>
      <c r="F222">
        <f t="shared" si="52"/>
        <v>2280.1107999999999</v>
      </c>
      <c r="G222">
        <f t="shared" si="53"/>
        <v>-0.25180000000000002</v>
      </c>
      <c r="H222">
        <f t="shared" si="54"/>
        <v>-574.13189943999998</v>
      </c>
      <c r="I222">
        <v>1</v>
      </c>
      <c r="J222">
        <f t="shared" si="49"/>
        <v>0.82422403827680624</v>
      </c>
      <c r="K222">
        <f t="shared" si="55"/>
        <v>-0.96992515177521743</v>
      </c>
      <c r="L222">
        <v>1</v>
      </c>
      <c r="M222">
        <f t="shared" si="50"/>
        <v>0.54346906607959067</v>
      </c>
      <c r="N222">
        <f t="shared" si="56"/>
        <v>0.19722958419999997</v>
      </c>
      <c r="O222">
        <f t="shared" si="57"/>
        <v>0.17100831</v>
      </c>
      <c r="P222">
        <f t="shared" si="58"/>
        <v>5.8218191495626792E-2</v>
      </c>
    </row>
    <row r="223" spans="1:16" x14ac:dyDescent="0.3">
      <c r="A223">
        <v>11.395970999999999</v>
      </c>
      <c r="B223">
        <v>0.25147999999999998</v>
      </c>
      <c r="C223">
        <f t="shared" si="51"/>
        <v>2.8658587870799996</v>
      </c>
      <c r="D223">
        <v>1.7299999999999999E-2</v>
      </c>
      <c r="E223" s="1">
        <v>1.4999999999999999E-2</v>
      </c>
      <c r="F223">
        <f t="shared" si="52"/>
        <v>2279.1941999999999</v>
      </c>
      <c r="G223">
        <f t="shared" si="53"/>
        <v>-0.25147999999999998</v>
      </c>
      <c r="H223">
        <f t="shared" si="54"/>
        <v>-573.17175741599988</v>
      </c>
      <c r="I223">
        <v>1</v>
      </c>
      <c r="J223">
        <f t="shared" si="49"/>
        <v>0.82382195944577885</v>
      </c>
      <c r="K223">
        <f t="shared" si="55"/>
        <v>-0.97024515177521753</v>
      </c>
      <c r="L223">
        <v>1</v>
      </c>
      <c r="M223">
        <f t="shared" si="50"/>
        <v>0.54345394389475576</v>
      </c>
      <c r="N223">
        <f t="shared" si="56"/>
        <v>0.19715029829999997</v>
      </c>
      <c r="O223">
        <f t="shared" si="57"/>
        <v>0.17093956499999999</v>
      </c>
      <c r="P223">
        <f t="shared" si="58"/>
        <v>5.8701344580461806E-2</v>
      </c>
    </row>
    <row r="224" spans="1:16" x14ac:dyDescent="0.3">
      <c r="C224">
        <f t="shared" si="51"/>
        <v>0</v>
      </c>
      <c r="D224">
        <v>1.7299999999999999E-2</v>
      </c>
      <c r="E224" s="1">
        <v>1.4999999999999999E-2</v>
      </c>
      <c r="F224">
        <f t="shared" si="52"/>
        <v>0</v>
      </c>
      <c r="G224">
        <f t="shared" si="53"/>
        <v>0</v>
      </c>
      <c r="H224">
        <f t="shared" si="54"/>
        <v>0</v>
      </c>
      <c r="I224">
        <v>1</v>
      </c>
      <c r="J224" t="e">
        <f t="shared" si="49"/>
        <v>#NUM!</v>
      </c>
      <c r="K224">
        <f t="shared" si="55"/>
        <v>-1.2217251517752175</v>
      </c>
      <c r="L224">
        <v>1</v>
      </c>
      <c r="M224" t="e">
        <f t="shared" si="50"/>
        <v>#NUM!</v>
      </c>
      <c r="N224">
        <f t="shared" si="56"/>
        <v>0</v>
      </c>
      <c r="O224">
        <f t="shared" si="57"/>
        <v>0</v>
      </c>
      <c r="P224" t="e">
        <f t="shared" si="58"/>
        <v>#NUM!</v>
      </c>
    </row>
    <row r="225" spans="3:18" x14ac:dyDescent="0.3">
      <c r="C225">
        <f t="shared" si="51"/>
        <v>0</v>
      </c>
      <c r="D225">
        <v>1.7299999999999999E-2</v>
      </c>
      <c r="E225" s="1">
        <v>1.4999999999999999E-2</v>
      </c>
      <c r="F225">
        <f t="shared" si="52"/>
        <v>0</v>
      </c>
      <c r="G225">
        <f t="shared" si="53"/>
        <v>0</v>
      </c>
      <c r="H225">
        <f t="shared" si="54"/>
        <v>0</v>
      </c>
      <c r="I225">
        <v>1</v>
      </c>
      <c r="J225" t="e">
        <f t="shared" si="49"/>
        <v>#NUM!</v>
      </c>
      <c r="K225">
        <f t="shared" si="55"/>
        <v>-1.2217251517752175</v>
      </c>
      <c r="L225">
        <v>1</v>
      </c>
      <c r="M225" t="e">
        <f t="shared" si="50"/>
        <v>#NUM!</v>
      </c>
      <c r="N225">
        <f>D225*A225</f>
        <v>0</v>
      </c>
      <c r="O225">
        <f t="shared" si="57"/>
        <v>0</v>
      </c>
      <c r="P225" t="e">
        <f t="shared" si="58"/>
        <v>#NUM!</v>
      </c>
      <c r="R225" t="e">
        <f>O225+N225+M225</f>
        <v>#NUM!</v>
      </c>
    </row>
    <row r="226" spans="3:18" x14ac:dyDescent="0.3">
      <c r="C226">
        <f t="shared" si="51"/>
        <v>0</v>
      </c>
      <c r="D226">
        <v>1.7299999999999999E-2</v>
      </c>
      <c r="E226" s="1">
        <v>1.4999999999999999E-2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3:18" x14ac:dyDescent="0.3">
      <c r="C227">
        <f t="shared" si="51"/>
        <v>0</v>
      </c>
      <c r="D227">
        <v>1.7299999999999999E-2</v>
      </c>
      <c r="E227" s="1">
        <v>1.4999999999999999E-2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3:18" x14ac:dyDescent="0.3">
      <c r="C228">
        <f t="shared" si="51"/>
        <v>0</v>
      </c>
      <c r="D228">
        <v>1.7299999999999999E-2</v>
      </c>
      <c r="E228" s="1">
        <v>1.4999999999999999E-2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3:18" x14ac:dyDescent="0.3">
      <c r="C229">
        <f t="shared" si="51"/>
        <v>0</v>
      </c>
      <c r="D229">
        <v>1.7299999999999999E-2</v>
      </c>
      <c r="E229" s="1">
        <v>1.4999999999999999E-2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3:18" x14ac:dyDescent="0.3">
      <c r="C230">
        <f t="shared" si="51"/>
        <v>0</v>
      </c>
      <c r="D230">
        <v>1.7299999999999999E-2</v>
      </c>
      <c r="E230" s="1">
        <v>1.4999999999999999E-2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3:18" x14ac:dyDescent="0.3">
      <c r="C231">
        <f t="shared" si="51"/>
        <v>0</v>
      </c>
      <c r="D231">
        <v>1.7299999999999999E-2</v>
      </c>
      <c r="E231" s="1">
        <v>1.4999999999999999E-2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3:18" x14ac:dyDescent="0.3">
      <c r="C232">
        <f t="shared" si="51"/>
        <v>0</v>
      </c>
      <c r="D232">
        <v>1.7299999999999999E-2</v>
      </c>
      <c r="E232" s="1">
        <v>1.4999999999999999E-2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3:18" x14ac:dyDescent="0.3">
      <c r="C233">
        <f t="shared" si="51"/>
        <v>0</v>
      </c>
      <c r="D233">
        <v>1.7299999999999999E-2</v>
      </c>
      <c r="E233" s="1">
        <v>1.4999999999999999E-2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3:18" x14ac:dyDescent="0.3">
      <c r="C234">
        <f t="shared" si="51"/>
        <v>0</v>
      </c>
      <c r="D234">
        <v>1.7299999999999999E-2</v>
      </c>
      <c r="E234" s="1">
        <v>1.4999999999999999E-2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3:18" x14ac:dyDescent="0.3">
      <c r="C235">
        <f t="shared" si="51"/>
        <v>0</v>
      </c>
      <c r="D235">
        <v>1.7299999999999999E-2</v>
      </c>
      <c r="E235" s="1">
        <v>1.4999999999999999E-2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3:18" x14ac:dyDescent="0.3">
      <c r="C236">
        <f t="shared" si="51"/>
        <v>0</v>
      </c>
      <c r="D236">
        <v>1.7299999999999999E-2</v>
      </c>
      <c r="E236" s="1">
        <v>1.4999999999999999E-2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3:18" x14ac:dyDescent="0.3">
      <c r="C237">
        <f t="shared" si="51"/>
        <v>0</v>
      </c>
      <c r="D237">
        <v>1.7299999999999999E-2</v>
      </c>
      <c r="E237" s="1">
        <v>1.4999999999999999E-2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3:18" x14ac:dyDescent="0.3">
      <c r="C238">
        <f t="shared" si="51"/>
        <v>0</v>
      </c>
      <c r="D238">
        <v>1.7299999999999999E-2</v>
      </c>
      <c r="E238" s="1">
        <v>1.4999999999999999E-2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3:18" x14ac:dyDescent="0.3">
      <c r="C239">
        <f t="shared" si="51"/>
        <v>0</v>
      </c>
      <c r="D239">
        <v>1.7299999999999999E-2</v>
      </c>
      <c r="E239" s="1">
        <v>1.4999999999999999E-2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3:18" x14ac:dyDescent="0.3">
      <c r="C240">
        <f t="shared" si="51"/>
        <v>0</v>
      </c>
      <c r="D240">
        <v>1.7299999999999999E-2</v>
      </c>
      <c r="E240" s="1">
        <v>1.4999999999999999E-2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 x14ac:dyDescent="0.3">
      <c r="C241">
        <f t="shared" si="51"/>
        <v>0</v>
      </c>
      <c r="D241">
        <v>1.7299999999999999E-2</v>
      </c>
      <c r="E241" s="1">
        <v>1.4999999999999999E-2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 x14ac:dyDescent="0.3">
      <c r="C242">
        <f t="shared" si="51"/>
        <v>0</v>
      </c>
      <c r="D242">
        <v>1.7299999999999999E-2</v>
      </c>
      <c r="E242" s="1">
        <v>1.4999999999999999E-2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 x14ac:dyDescent="0.3">
      <c r="C243">
        <f t="shared" si="51"/>
        <v>0</v>
      </c>
      <c r="D243">
        <v>1.7299999999999999E-2</v>
      </c>
      <c r="E243" s="1">
        <v>1.4999999999999999E-2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 x14ac:dyDescent="0.3">
      <c r="C244">
        <f t="shared" si="51"/>
        <v>0</v>
      </c>
      <c r="D244">
        <v>1.7299999999999999E-2</v>
      </c>
      <c r="E244" s="1">
        <v>1.4999999999999999E-2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 x14ac:dyDescent="0.3">
      <c r="C245">
        <f t="shared" si="51"/>
        <v>0</v>
      </c>
      <c r="D245">
        <v>1.7299999999999999E-2</v>
      </c>
      <c r="E245" s="1">
        <v>1.4999999999999999E-2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 x14ac:dyDescent="0.3">
      <c r="C246">
        <f t="shared" si="51"/>
        <v>0</v>
      </c>
      <c r="D246">
        <v>1.7299999999999999E-2</v>
      </c>
      <c r="E246" s="1">
        <v>1.4999999999999999E-2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 x14ac:dyDescent="0.3">
      <c r="C247">
        <f t="shared" si="51"/>
        <v>0</v>
      </c>
      <c r="D247">
        <v>1.7299999999999999E-2</v>
      </c>
      <c r="E247" s="1">
        <v>1.4999999999999999E-2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 x14ac:dyDescent="0.3">
      <c r="C248">
        <f t="shared" si="51"/>
        <v>0</v>
      </c>
      <c r="D248">
        <v>1.7299999999999999E-2</v>
      </c>
      <c r="E248" s="1">
        <v>1.4999999999999999E-2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 x14ac:dyDescent="0.3">
      <c r="C249">
        <f t="shared" si="51"/>
        <v>0</v>
      </c>
      <c r="D249">
        <v>1.7299999999999999E-2</v>
      </c>
      <c r="E249" s="1">
        <v>1.4999999999999999E-2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 x14ac:dyDescent="0.3">
      <c r="C250">
        <f t="shared" si="51"/>
        <v>0</v>
      </c>
      <c r="D250">
        <v>1.7299999999999999E-2</v>
      </c>
      <c r="E250" s="1">
        <v>1.4999999999999999E-2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 x14ac:dyDescent="0.3">
      <c r="C251">
        <f t="shared" si="51"/>
        <v>0</v>
      </c>
      <c r="D251">
        <v>1.7299999999999999E-2</v>
      </c>
      <c r="E251" s="1">
        <v>1.4999999999999999E-2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 x14ac:dyDescent="0.3">
      <c r="C252">
        <f t="shared" si="51"/>
        <v>0</v>
      </c>
      <c r="D252">
        <v>1.7299999999999999E-2</v>
      </c>
      <c r="E252" s="1">
        <v>1.4999999999999999E-2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 x14ac:dyDescent="0.3">
      <c r="C253">
        <f t="shared" si="51"/>
        <v>0</v>
      </c>
      <c r="D253">
        <v>1.7299999999999999E-2</v>
      </c>
      <c r="E253" s="1">
        <v>1.4999999999999999E-2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 x14ac:dyDescent="0.3">
      <c r="C254">
        <f t="shared" si="51"/>
        <v>0</v>
      </c>
      <c r="D254">
        <v>1.7299999999999999E-2</v>
      </c>
      <c r="E254" s="1">
        <v>1.4999999999999999E-2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 x14ac:dyDescent="0.3">
      <c r="C255">
        <f t="shared" si="51"/>
        <v>0</v>
      </c>
      <c r="D255">
        <v>1.7299999999999999E-2</v>
      </c>
      <c r="E255" s="1">
        <v>1.4999999999999999E-2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 x14ac:dyDescent="0.3">
      <c r="C256">
        <f t="shared" si="51"/>
        <v>0</v>
      </c>
      <c r="D256">
        <v>1.7299999999999999E-2</v>
      </c>
      <c r="E256" s="1">
        <v>1.4999999999999999E-2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 x14ac:dyDescent="0.3">
      <c r="C257">
        <f t="shared" si="51"/>
        <v>0</v>
      </c>
      <c r="D257">
        <v>1.7299999999999999E-2</v>
      </c>
      <c r="E257" s="1">
        <v>1.4999999999999999E-2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 x14ac:dyDescent="0.3">
      <c r="C258">
        <f t="shared" si="51"/>
        <v>0</v>
      </c>
      <c r="D258">
        <v>1.7299999999999999E-2</v>
      </c>
      <c r="E258" s="1">
        <v>1.4999999999999999E-2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 x14ac:dyDescent="0.3">
      <c r="C259">
        <f t="shared" si="51"/>
        <v>0</v>
      </c>
      <c r="D259">
        <v>1.7299999999999999E-2</v>
      </c>
      <c r="E259" s="1">
        <v>1.4999999999999999E-2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 x14ac:dyDescent="0.3">
      <c r="C260">
        <f t="shared" si="51"/>
        <v>0</v>
      </c>
      <c r="D260">
        <v>1.7299999999999999E-2</v>
      </c>
      <c r="E260" s="1">
        <v>1.4999999999999999E-2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 x14ac:dyDescent="0.3">
      <c r="C261">
        <f t="shared" si="51"/>
        <v>0</v>
      </c>
      <c r="D261">
        <v>1.7299999999999999E-2</v>
      </c>
      <c r="E261" s="1">
        <v>1.4999999999999999E-2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 x14ac:dyDescent="0.3">
      <c r="C262">
        <f t="shared" si="51"/>
        <v>0</v>
      </c>
      <c r="D262">
        <v>1.7299999999999999E-2</v>
      </c>
      <c r="E262" s="1">
        <v>1.4999999999999999E-2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 x14ac:dyDescent="0.3">
      <c r="C263">
        <f t="shared" si="51"/>
        <v>0</v>
      </c>
      <c r="D263">
        <v>1.7299999999999999E-2</v>
      </c>
      <c r="E263" s="1">
        <v>1.4999999999999999E-2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 x14ac:dyDescent="0.3">
      <c r="C264">
        <f t="shared" si="51"/>
        <v>0</v>
      </c>
      <c r="D264">
        <v>1.7299999999999999E-2</v>
      </c>
      <c r="E264" s="1">
        <v>1.4999999999999999E-2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 x14ac:dyDescent="0.3">
      <c r="C265">
        <f t="shared" si="51"/>
        <v>0</v>
      </c>
      <c r="D265">
        <v>1.7299999999999999E-2</v>
      </c>
      <c r="E265" s="1">
        <v>1.4999999999999999E-2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 x14ac:dyDescent="0.3">
      <c r="C266">
        <f t="shared" si="51"/>
        <v>0</v>
      </c>
      <c r="D266">
        <v>1.7299999999999999E-2</v>
      </c>
      <c r="E266" s="1">
        <v>1.4999999999999999E-2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 x14ac:dyDescent="0.3">
      <c r="C267">
        <f t="shared" si="51"/>
        <v>0</v>
      </c>
      <c r="D267">
        <v>1.7299999999999999E-2</v>
      </c>
      <c r="E267" s="1">
        <v>1.4999999999999999E-2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 x14ac:dyDescent="0.3">
      <c r="C268">
        <f t="shared" si="51"/>
        <v>0</v>
      </c>
      <c r="D268">
        <v>1.7299999999999999E-2</v>
      </c>
      <c r="E268" s="1">
        <v>1.4999999999999999E-2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 x14ac:dyDescent="0.3">
      <c r="C269">
        <f t="shared" si="51"/>
        <v>0</v>
      </c>
      <c r="D269">
        <v>1.7299999999999999E-2</v>
      </c>
      <c r="E269" s="1">
        <v>1.4999999999999999E-2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 x14ac:dyDescent="0.3">
      <c r="C270">
        <f t="shared" si="51"/>
        <v>0</v>
      </c>
      <c r="D270">
        <v>1.7299999999999999E-2</v>
      </c>
      <c r="E270" s="1">
        <v>1.4999999999999999E-2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 x14ac:dyDescent="0.3">
      <c r="C271">
        <f t="shared" si="51"/>
        <v>0</v>
      </c>
      <c r="D271">
        <v>1.7299999999999999E-2</v>
      </c>
      <c r="E271" s="1">
        <v>1.4999999999999999E-2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 x14ac:dyDescent="0.3">
      <c r="C272">
        <f t="shared" si="51"/>
        <v>0</v>
      </c>
      <c r="D272">
        <v>1.7299999999999999E-2</v>
      </c>
      <c r="E272" s="1">
        <v>1.4999999999999999E-2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 x14ac:dyDescent="0.3">
      <c r="C273">
        <f t="shared" si="51"/>
        <v>0</v>
      </c>
      <c r="D273">
        <v>1.7299999999999999E-2</v>
      </c>
      <c r="E273" s="1">
        <v>1.4999999999999999E-2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 x14ac:dyDescent="0.3">
      <c r="C274">
        <f t="shared" si="51"/>
        <v>0</v>
      </c>
      <c r="D274">
        <v>1.7299999999999999E-2</v>
      </c>
      <c r="E274" s="1">
        <v>1.4999999999999999E-2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 x14ac:dyDescent="0.3">
      <c r="C275">
        <f t="shared" si="51"/>
        <v>0</v>
      </c>
      <c r="D275">
        <v>1.7299999999999999E-2</v>
      </c>
      <c r="E275" s="1">
        <v>1.4999999999999999E-2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 x14ac:dyDescent="0.3">
      <c r="C276">
        <f t="shared" ref="C276:C303" si="61">A276*B276</f>
        <v>0</v>
      </c>
      <c r="D276">
        <v>1.7299999999999999E-2</v>
      </c>
      <c r="E276" s="1">
        <v>1.4999999999999999E-2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 x14ac:dyDescent="0.3">
      <c r="C277">
        <f t="shared" si="61"/>
        <v>0</v>
      </c>
      <c r="D277">
        <v>1.7299999999999999E-2</v>
      </c>
      <c r="E277" s="1">
        <v>1.4999999999999999E-2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 x14ac:dyDescent="0.3">
      <c r="C278">
        <f t="shared" si="61"/>
        <v>0</v>
      </c>
      <c r="D278">
        <v>1.7299999999999999E-2</v>
      </c>
      <c r="E278" s="1">
        <v>1.4999999999999999E-2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 x14ac:dyDescent="0.3">
      <c r="C279">
        <f t="shared" si="61"/>
        <v>0</v>
      </c>
      <c r="D279">
        <v>1.7299999999999999E-2</v>
      </c>
      <c r="E279" s="1">
        <v>1.4999999999999999E-2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 x14ac:dyDescent="0.3">
      <c r="C280">
        <f t="shared" si="61"/>
        <v>0</v>
      </c>
      <c r="D280">
        <v>1.7299999999999999E-2</v>
      </c>
      <c r="E280" s="1">
        <v>1.4999999999999999E-2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 x14ac:dyDescent="0.3">
      <c r="C281">
        <f t="shared" si="61"/>
        <v>0</v>
      </c>
      <c r="D281">
        <v>1.7299999999999999E-2</v>
      </c>
      <c r="E281" s="1">
        <v>1.4999999999999999E-2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 x14ac:dyDescent="0.3">
      <c r="C282">
        <f t="shared" si="61"/>
        <v>0</v>
      </c>
      <c r="D282">
        <v>1.7299999999999999E-2</v>
      </c>
      <c r="E282" s="1">
        <v>1.4999999999999999E-2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 x14ac:dyDescent="0.3">
      <c r="C283">
        <f t="shared" si="61"/>
        <v>0</v>
      </c>
      <c r="D283">
        <v>1.7299999999999999E-2</v>
      </c>
      <c r="E283" s="1">
        <v>1.4999999999999999E-2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 x14ac:dyDescent="0.3">
      <c r="C284">
        <f t="shared" si="61"/>
        <v>0</v>
      </c>
      <c r="D284">
        <v>1.7299999999999999E-2</v>
      </c>
      <c r="E284" s="1">
        <v>1.4999999999999999E-2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 x14ac:dyDescent="0.3">
      <c r="C285">
        <f t="shared" si="61"/>
        <v>0</v>
      </c>
      <c r="D285">
        <v>1.7299999999999999E-2</v>
      </c>
      <c r="E285" s="1">
        <v>1.4999999999999999E-2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 x14ac:dyDescent="0.3">
      <c r="C286">
        <f t="shared" si="61"/>
        <v>0</v>
      </c>
      <c r="D286">
        <v>1.7299999999999999E-2</v>
      </c>
      <c r="E286" s="1">
        <v>1.4999999999999999E-2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 x14ac:dyDescent="0.3">
      <c r="C287">
        <f t="shared" si="61"/>
        <v>0</v>
      </c>
      <c r="D287">
        <v>1.7299999999999999E-2</v>
      </c>
      <c r="E287" s="1">
        <v>1.4999999999999999E-2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 x14ac:dyDescent="0.3">
      <c r="C288">
        <f t="shared" si="61"/>
        <v>0</v>
      </c>
      <c r="D288">
        <v>1.7299999999999999E-2</v>
      </c>
      <c r="E288" s="1">
        <v>1.4999999999999999E-2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 x14ac:dyDescent="0.3">
      <c r="C289">
        <f t="shared" si="61"/>
        <v>0</v>
      </c>
      <c r="D289">
        <v>1.7299999999999999E-2</v>
      </c>
      <c r="E289" s="1">
        <v>1.4999999999999999E-2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 x14ac:dyDescent="0.3">
      <c r="C290">
        <f t="shared" si="61"/>
        <v>0</v>
      </c>
      <c r="D290">
        <v>1.7299999999999999E-2</v>
      </c>
      <c r="E290" s="1">
        <v>1.4999999999999999E-2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 x14ac:dyDescent="0.3">
      <c r="C291">
        <f t="shared" si="61"/>
        <v>0</v>
      </c>
      <c r="D291">
        <v>1.7299999999999999E-2</v>
      </c>
      <c r="E291" s="1">
        <v>1.4999999999999999E-2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 x14ac:dyDescent="0.3">
      <c r="C292">
        <f t="shared" si="61"/>
        <v>0</v>
      </c>
      <c r="D292">
        <v>1.7299999999999999E-2</v>
      </c>
      <c r="E292" s="1">
        <v>1.4999999999999999E-2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 x14ac:dyDescent="0.3">
      <c r="C293">
        <f t="shared" si="61"/>
        <v>0</v>
      </c>
      <c r="D293">
        <v>1.7299999999999999E-2</v>
      </c>
      <c r="E293" s="1">
        <v>1.4999999999999999E-2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 x14ac:dyDescent="0.3">
      <c r="C294">
        <f t="shared" si="61"/>
        <v>0</v>
      </c>
      <c r="D294">
        <v>1.7299999999999999E-2</v>
      </c>
      <c r="E294" s="1">
        <v>1.4999999999999999E-2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 x14ac:dyDescent="0.3">
      <c r="C295">
        <f t="shared" si="61"/>
        <v>0</v>
      </c>
      <c r="D295">
        <v>1.7299999999999999E-2</v>
      </c>
      <c r="E295" s="1">
        <v>1.4999999999999999E-2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 x14ac:dyDescent="0.3">
      <c r="C296">
        <f t="shared" si="61"/>
        <v>0</v>
      </c>
      <c r="D296">
        <v>1.7299999999999999E-2</v>
      </c>
      <c r="E296" s="1">
        <v>1.4999999999999999E-2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 x14ac:dyDescent="0.3">
      <c r="C297">
        <f t="shared" si="61"/>
        <v>0</v>
      </c>
      <c r="D297">
        <v>1.7299999999999999E-2</v>
      </c>
      <c r="E297" s="1">
        <v>1.4999999999999999E-2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 x14ac:dyDescent="0.3">
      <c r="C298">
        <f t="shared" si="61"/>
        <v>0</v>
      </c>
      <c r="D298">
        <v>1.7299999999999999E-2</v>
      </c>
      <c r="E298" s="1">
        <v>1.4999999999999999E-2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 x14ac:dyDescent="0.3">
      <c r="C299">
        <f t="shared" si="61"/>
        <v>0</v>
      </c>
      <c r="D299">
        <v>1.7299999999999999E-2</v>
      </c>
      <c r="E299" s="1">
        <v>1.4999999999999999E-2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 x14ac:dyDescent="0.3">
      <c r="C300">
        <f t="shared" si="61"/>
        <v>0</v>
      </c>
      <c r="D300">
        <v>1.7299999999999999E-2</v>
      </c>
      <c r="E300" s="1">
        <v>1.4999999999999999E-2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 x14ac:dyDescent="0.3">
      <c r="C301">
        <f t="shared" si="61"/>
        <v>0</v>
      </c>
      <c r="D301">
        <v>1.7299999999999999E-2</v>
      </c>
      <c r="E301" s="1">
        <v>1.4999999999999999E-2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 x14ac:dyDescent="0.3">
      <c r="C302">
        <f t="shared" si="61"/>
        <v>0</v>
      </c>
      <c r="D302">
        <v>1.7299999999999999E-2</v>
      </c>
      <c r="E302" s="1">
        <v>1.4999999999999999E-2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 x14ac:dyDescent="0.3">
      <c r="C303">
        <f t="shared" si="61"/>
        <v>0</v>
      </c>
      <c r="D303">
        <v>1.7299999999999999E-2</v>
      </c>
      <c r="E303" s="1">
        <v>1.4999999999999999E-2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 x14ac:dyDescent="0.3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 x14ac:dyDescent="0.3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 x14ac:dyDescent="0.3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 x14ac:dyDescent="0.3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 x14ac:dyDescent="0.3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 x14ac:dyDescent="0.3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 x14ac:dyDescent="0.3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 x14ac:dyDescent="0.3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 x14ac:dyDescent="0.3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 x14ac:dyDescent="0.3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 x14ac:dyDescent="0.3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 x14ac:dyDescent="0.3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 x14ac:dyDescent="0.3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 x14ac:dyDescent="0.3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 x14ac:dyDescent="0.3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 x14ac:dyDescent="0.3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 x14ac:dyDescent="0.3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 x14ac:dyDescent="0.3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 x14ac:dyDescent="0.3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 x14ac:dyDescent="0.3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 x14ac:dyDescent="0.3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 x14ac:dyDescent="0.3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 x14ac:dyDescent="0.3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 x14ac:dyDescent="0.3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 x14ac:dyDescent="0.3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 x14ac:dyDescent="0.3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 x14ac:dyDescent="0.3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 x14ac:dyDescent="0.3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 x14ac:dyDescent="0.3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 x14ac:dyDescent="0.3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 x14ac:dyDescent="0.3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 x14ac:dyDescent="0.3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 x14ac:dyDescent="0.3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 x14ac:dyDescent="0.3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 x14ac:dyDescent="0.3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 x14ac:dyDescent="0.3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 x14ac:dyDescent="0.3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 x14ac:dyDescent="0.3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 x14ac:dyDescent="0.3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 x14ac:dyDescent="0.3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 x14ac:dyDescent="0.3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 x14ac:dyDescent="0.3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 x14ac:dyDescent="0.3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 x14ac:dyDescent="0.3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 x14ac:dyDescent="0.3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 x14ac:dyDescent="0.3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 x14ac:dyDescent="0.3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 x14ac:dyDescent="0.3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 x14ac:dyDescent="0.3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 x14ac:dyDescent="0.3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 x14ac:dyDescent="0.3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 x14ac:dyDescent="0.3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 x14ac:dyDescent="0.3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 x14ac:dyDescent="0.3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 x14ac:dyDescent="0.3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 x14ac:dyDescent="0.3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 x14ac:dyDescent="0.3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 x14ac:dyDescent="0.3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 x14ac:dyDescent="0.3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 x14ac:dyDescent="0.3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 x14ac:dyDescent="0.3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 x14ac:dyDescent="0.3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 x14ac:dyDescent="0.3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 x14ac:dyDescent="0.3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 x14ac:dyDescent="0.3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 x14ac:dyDescent="0.3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 x14ac:dyDescent="0.3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 x14ac:dyDescent="0.3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 x14ac:dyDescent="0.3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 x14ac:dyDescent="0.3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 x14ac:dyDescent="0.3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 x14ac:dyDescent="0.3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 x14ac:dyDescent="0.3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 x14ac:dyDescent="0.3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 x14ac:dyDescent="0.3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 x14ac:dyDescent="0.3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 x14ac:dyDescent="0.3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 x14ac:dyDescent="0.3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 x14ac:dyDescent="0.3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 x14ac:dyDescent="0.3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 x14ac:dyDescent="0.3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 x14ac:dyDescent="0.3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 x14ac:dyDescent="0.3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 x14ac:dyDescent="0.3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 x14ac:dyDescent="0.3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 x14ac:dyDescent="0.3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 x14ac:dyDescent="0.3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 x14ac:dyDescent="0.3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 x14ac:dyDescent="0.3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 x14ac:dyDescent="0.3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 x14ac:dyDescent="0.3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 x14ac:dyDescent="0.3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 x14ac:dyDescent="0.3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 x14ac:dyDescent="0.3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 x14ac:dyDescent="0.3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2026-03-24T10:36:04Z</dcterms:modified>
</cp:coreProperties>
</file>