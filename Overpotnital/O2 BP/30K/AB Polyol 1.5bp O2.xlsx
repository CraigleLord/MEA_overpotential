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IST MASc 2021\Laboratory Work\Protocol\overpotential calculation\For paper SI\Overpotnital\O2 BP\30K\"/>
    </mc:Choice>
  </mc:AlternateContent>
  <xr:revisionPtr revIDLastSave="0" documentId="13_ncr:1_{09B05D8B-9736-45B6-B3CD-891EB45D2450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3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<sst xmlns="http://schemas.openxmlformats.org/spreadsheetml/2006/main" count="40" uniqueCount="36">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</sst>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168" zoomScale="85" zoomScaleNormal="85" workbookViewId="0">
      <selection activeCell="B4" sqref="B4:B211"/>
    </sheetView>
  </sheetViews>
  <sheetFormatPr defaultRowHeight="15"/>
  <cols>
    <col min="10" max="10" width="12.28515625" customWidth="1"/>
    <col min="11" max="11" width="13.5703125" bestFit="1" customWidth="1"/>
    <col min="28" max="28" width="14" bestFit="1" customWidth="1"/>
  </cols>
  <sheetData>
    <row r="1" spans="1:29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-0.52978999999999998</v>
      </c>
      <c r="AC3" t="s">
        <v>30</v>
      </c>
    </row>
    <row r="4" spans="1:29">
      <c r="A4">
        <v>4.4283000000000003E-2</v>
      </c>
      <c r="B4">
        <v>0.92956000000000005</v>
      </c>
      <c r="C4">
        <f>A4*B4</f>
        <v>4.1163705480000007E-2</v>
      </c>
      <c r="D4">
        <v>1.6E-2</v>
      </c>
      <c r="E4">
        <v>3.3E-3</v>
      </c>
      <c r="F4">
        <f>A4*200</f>
        <v>8.8566000000000003</v>
      </c>
      <c r="G4">
        <f>-B4</f>
        <v>-0.92956000000000005</v>
      </c>
      <c r="H4">
        <f t="shared" ref="H4" si="0">-C4*200</f>
        <v>-8.2327410960000016</v>
      </c>
      <c r="I4">
        <v>1</v>
      </c>
      <c r="J4">
        <f>LN(F4/1000)</f>
        <v>-4.7265923351932679</v>
      </c>
      <c r="K4">
        <f>((-G4)-$N$2)</f>
        <v>-0.2921651517752174</v>
      </c>
      <c r="L4">
        <v>1</v>
      </c>
      <c r="M4">
        <f>-1*($S$4+($S$5*J4))</f>
        <v>0.33070559021016521</v>
      </c>
      <c r="N4">
        <f>D4*A4</f>
        <v>7.0852800000000004E-4</v>
      </c>
      <c r="O4">
        <f>E4*A4</f>
        <v>1.4613390000000001E-4</v>
      </c>
      <c r="P4">
        <f>-K4-M4-N4-O4</f>
        <v>-3.9395100334947808E-2</v>
      </c>
      <c r="R4" s="2" t="s">
        <v>16</v>
      </c>
      <c r="S4">
        <v>-0.55900000000000005</v>
      </c>
      <c r="V4">
        <v>-6</v>
      </c>
      <c r="W4">
        <f>V4*$S$5+$S$4</f>
        <v>-0.26920000000000005</v>
      </c>
      <c r="Y4">
        <v>0</v>
      </c>
      <c r="Z4">
        <f>$AB$4*Y4+$AB$3</f>
        <v>-0.52978999999999998</v>
      </c>
      <c r="AB4">
        <v>15.088789999999999</v>
      </c>
      <c r="AC4" t="s">
        <v>31</v>
      </c>
    </row>
    <row r="5" spans="1:29">
      <c r="A5">
        <v>0.1013063</v>
      </c>
      <c r="B5">
        <v>0.87971999999999995</v>
      </c>
      <c r="C5">
        <f t="shared" ref="C5:C68" si="1">A5*B5</f>
        <v>8.9121178235999993E-2</v>
      </c>
      <c r="D5">
        <v>1.6E-2</v>
      </c>
      <c r="E5">
        <v>3.3E-3</v>
      </c>
      <c r="F5">
        <f t="shared" ref="F5:F68" si="2">A5*200</f>
        <v>20.26126</v>
      </c>
      <c r="G5">
        <f t="shared" ref="G5:G68" si="3">-B5</f>
        <v>-0.87971999999999995</v>
      </c>
      <c r="H5">
        <f t="shared" ref="H5:H68" si="4">-C5*200</f>
        <v>-17.824235647199998</v>
      </c>
      <c r="I5">
        <v>1</v>
      </c>
      <c r="J5">
        <f t="shared" ref="J5:J68" si="5">LN(F5/1000)</f>
        <v>-3.8990445905850462</v>
      </c>
      <c r="K5">
        <f t="shared" ref="K5:K68" si="6">((-G5)-$N$2)</f>
        <v>-0.34200515177521751</v>
      </c>
      <c r="L5">
        <v>1</v>
      </c>
      <c r="M5">
        <f t="shared" ref="M5:M68" si="7">-1*($S$4+($S$5*J5))</f>
        <v>0.37067614627474232</v>
      </c>
      <c r="N5">
        <f t="shared" ref="N5:N6" si="8">D5*A5</f>
        <v>1.6209008E-3</v>
      </c>
      <c r="O5">
        <f>E5*A5</f>
        <v>3.3431079000000003E-4</v>
      </c>
      <c r="P5">
        <f>-K5-M5-N5-O5</f>
        <v>-3.0626206089524814E-2</v>
      </c>
      <c r="R5" s="2" t="s">
        <v>17</v>
      </c>
      <c r="S5">
        <v>-4.8300000000000003E-2</v>
      </c>
      <c r="V5">
        <v>-5.9</v>
      </c>
      <c r="W5">
        <f t="shared" ref="W5:W68" si="9">V5*$S$5+$S$4</f>
        <v>-0.27403</v>
      </c>
      <c r="Y5">
        <v>0.01</v>
      </c>
      <c r="Z5">
        <f t="shared" ref="Z5:Z31" si="10">$AB$4*Y5+$AB$3</f>
        <v>-0.37890210000000002</v>
      </c>
    </row>
    <row r="6" spans="1:29">
      <c r="A6">
        <v>0.16236160000000002</v>
      </c>
      <c r="B6">
        <v>0.83218000000000003</v>
      </c>
      <c r="C6">
        <f t="shared" si="1"/>
        <v>0.13511407628800001</v>
      </c>
      <c r="D6">
        <v>1.6E-2</v>
      </c>
      <c r="E6">
        <v>3.3E-3</v>
      </c>
      <c r="F6">
        <f t="shared" si="2"/>
        <v>32.472320000000003</v>
      </c>
      <c r="G6">
        <f t="shared" si="3"/>
        <v>-0.83218000000000003</v>
      </c>
      <c r="H6">
        <f t="shared" si="4"/>
        <v>-27.022815257600001</v>
      </c>
      <c r="I6">
        <v>1</v>
      </c>
      <c r="J6">
        <f t="shared" si="5"/>
        <v>-3.427367244850096</v>
      </c>
      <c r="K6">
        <f t="shared" si="6"/>
        <v>-0.38954515177521742</v>
      </c>
      <c r="L6">
        <v>1</v>
      </c>
      <c r="M6">
        <f t="shared" si="7"/>
        <v>0.3934581620737404</v>
      </c>
      <c r="N6">
        <f t="shared" si="8"/>
        <v>2.5977856000000002E-3</v>
      </c>
      <c r="O6">
        <f t="shared" ref="O6:O69" si="11">E6*A6</f>
        <v>5.3579328000000009E-4</v>
      </c>
      <c r="P6">
        <f t="shared" ref="P6:P69" si="12">-K6-M6-N6-O6</f>
        <v>-7.0465891785229792E-3</v>
      </c>
      <c r="V6">
        <v>-5.8</v>
      </c>
      <c r="W6">
        <f t="shared" si="9"/>
        <v>-0.27886000000000005</v>
      </c>
      <c r="Y6">
        <v>0.02</v>
      </c>
      <c r="Z6">
        <f t="shared" si="10"/>
        <v>-0.2280142</v>
      </c>
      <c r="AB6" t="s">
        <v>32</v>
      </c>
    </row>
    <row r="7" spans="1:29">
      <c r="A7">
        <v>0.22111285</v>
      </c>
      <c r="B7">
        <v>0.81347000000000003</v>
      </c>
      <c r="C7">
        <f t="shared" si="1"/>
        <v>0.1798686700895</v>
      </c>
      <c r="D7">
        <v>1.6E-2</v>
      </c>
      <c r="E7">
        <v>3.3E-3</v>
      </c>
      <c r="F7">
        <f t="shared" si="2"/>
        <v>44.222569999999997</v>
      </c>
      <c r="G7">
        <f t="shared" si="3"/>
        <v>-0.81347000000000003</v>
      </c>
      <c r="H7">
        <f t="shared" si="4"/>
        <v>-35.9737340179</v>
      </c>
      <c r="I7">
        <v>1</v>
      </c>
      <c r="J7">
        <f t="shared" si="5"/>
        <v>-3.1185199867432343</v>
      </c>
      <c r="K7">
        <f t="shared" si="6"/>
        <v>-0.40825515177521743</v>
      </c>
      <c r="L7">
        <v>1</v>
      </c>
      <c r="M7">
        <f t="shared" si="7"/>
        <v>0.40837548464030182</v>
      </c>
      <c r="N7">
        <f t="shared" ref="N7:N70" si="13">D7*A7</f>
        <v>3.5378056E-3</v>
      </c>
      <c r="O7">
        <f t="shared" si="11"/>
        <v>7.2967240500000001E-4</v>
      </c>
      <c r="P7">
        <f t="shared" si="12"/>
        <v>-4.3878108700843941E-3</v>
      </c>
      <c r="V7">
        <v>-5.7</v>
      </c>
      <c r="W7">
        <f t="shared" si="9"/>
        <v>-0.28369000000000005</v>
      </c>
      <c r="Y7">
        <v>0.03</v>
      </c>
      <c r="Z7">
        <f t="shared" si="10"/>
        <v>-7.7126300000000036E-2</v>
      </c>
      <c r="AB7" t="s">
        <v>33</v>
      </c>
      <c r="AC7">
        <f>-AB3/AB4</f>
        <v>3.5111496680648349E-2</v>
      </c>
    </row>
    <row r="8" spans="1:29">
      <c r="A8">
        <v>0.27986415000000003</v>
      </c>
      <c r="B8">
        <v>0.80127000000000004</v>
      </c>
      <c r="C8">
        <f t="shared" si="1"/>
        <v>0.22424674747050002</v>
      </c>
      <c r="D8">
        <v>1.6E-2</v>
      </c>
      <c r="E8">
        <v>3.3E-3</v>
      </c>
      <c r="F8">
        <f t="shared" si="2"/>
        <v>55.972830000000009</v>
      </c>
      <c r="G8">
        <f t="shared" si="3"/>
        <v>-0.80127000000000004</v>
      </c>
      <c r="H8">
        <f t="shared" si="4"/>
        <v>-44.849349494100004</v>
      </c>
      <c r="I8">
        <v>1</v>
      </c>
      <c r="J8">
        <f t="shared" si="5"/>
        <v>-2.8828888845556233</v>
      </c>
      <c r="K8">
        <f t="shared" si="6"/>
        <v>-0.42045515177521742</v>
      </c>
      <c r="L8">
        <v>1</v>
      </c>
      <c r="M8">
        <f t="shared" si="7"/>
        <v>0.41975646687596346</v>
      </c>
      <c r="N8">
        <f t="shared" si="13"/>
        <v>4.4778264000000009E-3</v>
      </c>
      <c r="O8">
        <f t="shared" si="11"/>
        <v>9.2355169500000014E-4</v>
      </c>
      <c r="P8">
        <f t="shared" si="12"/>
        <v>-4.702693195746047E-3</v>
      </c>
      <c r="V8">
        <v>-5.6</v>
      </c>
      <c r="W8">
        <f t="shared" si="9"/>
        <v>-0.28852000000000005</v>
      </c>
      <c r="Y8">
        <v>0.04</v>
      </c>
      <c r="Z8">
        <f t="shared" si="10"/>
        <v>7.3761599999999983E-2</v>
      </c>
    </row>
    <row r="9" spans="1:29">
      <c r="A9">
        <v>0.33688750000000001</v>
      </c>
      <c r="B9">
        <v>0.79224000000000006</v>
      </c>
      <c r="C9">
        <f t="shared" si="1"/>
        <v>0.26689575300000001</v>
      </c>
      <c r="D9">
        <v>1.6E-2</v>
      </c>
      <c r="E9">
        <v>3.3E-3</v>
      </c>
      <c r="F9">
        <f t="shared" si="2"/>
        <v>67.377499999999998</v>
      </c>
      <c r="G9">
        <f t="shared" si="3"/>
        <v>-0.79224000000000006</v>
      </c>
      <c r="H9">
        <f t="shared" si="4"/>
        <v>-53.379150600000003</v>
      </c>
      <c r="I9">
        <v>1</v>
      </c>
      <c r="J9">
        <f t="shared" si="5"/>
        <v>-2.6974441446899857</v>
      </c>
      <c r="K9">
        <f t="shared" si="6"/>
        <v>-0.4294851517752174</v>
      </c>
      <c r="L9">
        <v>1</v>
      </c>
      <c r="M9">
        <f t="shared" si="7"/>
        <v>0.42871344781147375</v>
      </c>
      <c r="N9">
        <f t="shared" si="13"/>
        <v>5.3902000000000004E-3</v>
      </c>
      <c r="O9">
        <f t="shared" si="11"/>
        <v>1.11172875E-3</v>
      </c>
      <c r="P9">
        <f t="shared" si="12"/>
        <v>-5.7302247862563473E-3</v>
      </c>
      <c r="V9">
        <v>-5.5</v>
      </c>
      <c r="W9">
        <f t="shared" si="9"/>
        <v>-0.29335000000000006</v>
      </c>
      <c r="Y9">
        <v>0.05</v>
      </c>
      <c r="Z9">
        <f t="shared" si="10"/>
        <v>0.22464950000000006</v>
      </c>
      <c r="AB9" t="s">
        <v>35</v>
      </c>
      <c r="AC9">
        <v>3.3939999999999998E-2</v>
      </c>
    </row>
    <row r="10" spans="1:29">
      <c r="A10">
        <v>0.39967075000000002</v>
      </c>
      <c r="B10">
        <v>0.78498000000000001</v>
      </c>
      <c r="C10">
        <f t="shared" si="1"/>
        <v>0.31373354533500003</v>
      </c>
      <c r="D10">
        <v>1.6E-2</v>
      </c>
      <c r="E10">
        <v>3.3E-3</v>
      </c>
      <c r="F10">
        <f t="shared" si="2"/>
        <v>79.934150000000002</v>
      </c>
      <c r="G10">
        <f t="shared" si="3"/>
        <v>-0.78498000000000001</v>
      </c>
      <c r="H10">
        <f t="shared" si="4"/>
        <v>-62.746709067000005</v>
      </c>
      <c r="I10">
        <v>1</v>
      </c>
      <c r="J10">
        <f t="shared" si="5"/>
        <v>-2.5265521082616518</v>
      </c>
      <c r="K10">
        <f t="shared" si="6"/>
        <v>-0.43674515177521744</v>
      </c>
      <c r="L10">
        <v>1</v>
      </c>
      <c r="M10">
        <f t="shared" si="7"/>
        <v>0.43696753317096226</v>
      </c>
      <c r="N10">
        <f t="shared" si="13"/>
        <v>6.3947320000000002E-3</v>
      </c>
      <c r="O10">
        <f t="shared" si="11"/>
        <v>1.318913475E-3</v>
      </c>
      <c r="P10">
        <f t="shared" si="12"/>
        <v>-7.9360268707448188E-3</v>
      </c>
      <c r="V10">
        <v>-5.4</v>
      </c>
      <c r="W10">
        <f t="shared" si="9"/>
        <v>-0.29818</v>
      </c>
      <c r="Y10">
        <v>0.06</v>
      </c>
      <c r="Z10">
        <f t="shared" si="10"/>
        <v>0.37553739999999991</v>
      </c>
    </row>
    <row r="11" spans="1:29">
      <c r="A11">
        <v>0.45726999999999995</v>
      </c>
      <c r="B11">
        <v>0.77783000000000002</v>
      </c>
      <c r="C11">
        <f t="shared" si="1"/>
        <v>0.3556783241</v>
      </c>
      <c r="D11">
        <v>1.6E-2</v>
      </c>
      <c r="E11">
        <v>3.3E-3</v>
      </c>
      <c r="F11">
        <f t="shared" si="2"/>
        <v>91.453999999999994</v>
      </c>
      <c r="G11">
        <f t="shared" si="3"/>
        <v>-0.77783000000000002</v>
      </c>
      <c r="H11">
        <f t="shared" si="4"/>
        <v>-71.135664820000002</v>
      </c>
      <c r="I11">
        <v>1</v>
      </c>
      <c r="J11">
        <f t="shared" si="5"/>
        <v>-2.3919191653533209</v>
      </c>
      <c r="K11">
        <f t="shared" si="6"/>
        <v>-0.44389515177521743</v>
      </c>
      <c r="L11">
        <v>1</v>
      </c>
      <c r="M11">
        <f t="shared" si="7"/>
        <v>0.44347030431343465</v>
      </c>
      <c r="N11">
        <f t="shared" si="13"/>
        <v>7.3163199999999994E-3</v>
      </c>
      <c r="O11">
        <f t="shared" si="11"/>
        <v>1.5089909999999999E-3</v>
      </c>
      <c r="P11">
        <f t="shared" si="12"/>
        <v>-8.4004635382172142E-3</v>
      </c>
      <c r="V11">
        <v>-5.3</v>
      </c>
      <c r="W11">
        <f t="shared" si="9"/>
        <v>-0.30301000000000006</v>
      </c>
      <c r="Y11">
        <v>7.0000000000000007E-2</v>
      </c>
      <c r="Z11">
        <f t="shared" si="10"/>
        <v>0.5264253000000001</v>
      </c>
      <c r="AB11" t="s">
        <v>34</v>
      </c>
      <c r="AC11">
        <f>AC7-AC9</f>
        <v>1.1714966806483512E-3</v>
      </c>
    </row>
    <row r="12" spans="1:29">
      <c r="A12">
        <v>0.51429334999999998</v>
      </c>
      <c r="B12">
        <v>0.77193999999999996</v>
      </c>
      <c r="C12">
        <f t="shared" si="1"/>
        <v>0.39700360859899997</v>
      </c>
      <c r="D12">
        <v>1.6E-2</v>
      </c>
      <c r="E12">
        <v>3.3E-3</v>
      </c>
      <c r="F12">
        <f t="shared" si="2"/>
        <v>102.85866999999999</v>
      </c>
      <c r="G12">
        <f t="shared" si="3"/>
        <v>-0.77193999999999996</v>
      </c>
      <c r="H12">
        <f t="shared" si="4"/>
        <v>-79.400721719799989</v>
      </c>
      <c r="I12">
        <v>1</v>
      </c>
      <c r="J12">
        <f t="shared" si="5"/>
        <v>-2.2743993689153461</v>
      </c>
      <c r="K12">
        <f t="shared" si="6"/>
        <v>-0.4497851517752175</v>
      </c>
      <c r="L12">
        <v>1</v>
      </c>
      <c r="M12">
        <f t="shared" si="7"/>
        <v>0.44914651048138882</v>
      </c>
      <c r="N12">
        <f t="shared" si="13"/>
        <v>8.2286935999999998E-3</v>
      </c>
      <c r="O12">
        <f t="shared" si="11"/>
        <v>1.697168055E-3</v>
      </c>
      <c r="P12">
        <f t="shared" si="12"/>
        <v>-9.2872203611713208E-3</v>
      </c>
      <c r="V12">
        <v>-5.2</v>
      </c>
      <c r="W12">
        <f t="shared" si="9"/>
        <v>-0.30784</v>
      </c>
      <c r="Y12">
        <v>0.08</v>
      </c>
      <c r="Z12">
        <f t="shared" si="10"/>
        <v>0.67731319999999995</v>
      </c>
      <c r="AC12">
        <f>AC11*3</f>
        <v>3.5144900419450537E-3</v>
      </c>
    </row>
    <row r="13" spans="1:29">
      <c r="A13">
        <v>0.57419664999999998</v>
      </c>
      <c r="B13">
        <v>0.76624000000000003</v>
      </c>
      <c r="C13">
        <f t="shared" si="1"/>
        <v>0.43997244109599998</v>
      </c>
      <c r="D13">
        <v>1.6E-2</v>
      </c>
      <c r="E13">
        <v>3.3E-3</v>
      </c>
      <c r="F13">
        <f t="shared" si="2"/>
        <v>114.83932999999999</v>
      </c>
      <c r="G13">
        <f t="shared" si="3"/>
        <v>-0.76624000000000003</v>
      </c>
      <c r="H13">
        <f t="shared" si="4"/>
        <v>-87.994488219199994</v>
      </c>
      <c r="I13">
        <v>1</v>
      </c>
      <c r="J13">
        <f t="shared" si="5"/>
        <v>-2.1642212579504032</v>
      </c>
      <c r="K13">
        <f t="shared" si="6"/>
        <v>-0.45548515177521742</v>
      </c>
      <c r="L13">
        <v>1</v>
      </c>
      <c r="M13">
        <f t="shared" si="7"/>
        <v>0.45446811324099556</v>
      </c>
      <c r="N13">
        <f t="shared" si="13"/>
        <v>9.1871464000000003E-3</v>
      </c>
      <c r="O13">
        <f t="shared" si="11"/>
        <v>1.8948489449999999E-3</v>
      </c>
      <c r="P13">
        <f t="shared" si="12"/>
        <v>-1.0064956810778141E-2</v>
      </c>
      <c r="V13">
        <v>-5.0999999999999996</v>
      </c>
      <c r="W13">
        <f t="shared" si="9"/>
        <v>-0.31267000000000006</v>
      </c>
      <c r="Y13">
        <v>0.09</v>
      </c>
      <c r="Z13">
        <f t="shared" si="10"/>
        <v>0.82820110000000002</v>
      </c>
    </row>
    <row r="14" spans="1:29">
      <c r="A14">
        <v>0.63640394999999994</v>
      </c>
      <c r="B14">
        <v>0.76136000000000004</v>
      </c>
      <c r="C14">
        <f t="shared" si="1"/>
        <v>0.48453251137199999</v>
      </c>
      <c r="D14">
        <v>1.6E-2</v>
      </c>
      <c r="E14">
        <v>3.3E-3</v>
      </c>
      <c r="F14">
        <f t="shared" si="2"/>
        <v>127.28078999999998</v>
      </c>
      <c r="G14">
        <f t="shared" si="3"/>
        <v>-0.76136000000000004</v>
      </c>
      <c r="H14">
        <f t="shared" si="4"/>
        <v>-96.906502274399998</v>
      </c>
      <c r="I14">
        <v>1</v>
      </c>
      <c r="J14">
        <f t="shared" si="5"/>
        <v>-2.0613596881836842</v>
      </c>
      <c r="K14">
        <f t="shared" si="6"/>
        <v>-0.46036515177521742</v>
      </c>
      <c r="L14">
        <v>1</v>
      </c>
      <c r="M14">
        <f t="shared" si="7"/>
        <v>0.45943632706072812</v>
      </c>
      <c r="N14">
        <f t="shared" si="13"/>
        <v>1.0182463199999998E-2</v>
      </c>
      <c r="O14">
        <f t="shared" si="11"/>
        <v>2.100133035E-3</v>
      </c>
      <c r="P14">
        <f t="shared" si="12"/>
        <v>-1.1353771520510703E-2</v>
      </c>
      <c r="V14">
        <v>-5</v>
      </c>
      <c r="W14">
        <f t="shared" si="9"/>
        <v>-0.3175</v>
      </c>
      <c r="Y14">
        <v>0.1</v>
      </c>
      <c r="Z14">
        <f t="shared" si="10"/>
        <v>0.9790890000000001</v>
      </c>
    </row>
    <row r="15" spans="1:29">
      <c r="A15">
        <v>0.69515525</v>
      </c>
      <c r="B15">
        <v>0.75616000000000005</v>
      </c>
      <c r="C15">
        <f t="shared" si="1"/>
        <v>0.52564859384000007</v>
      </c>
      <c r="D15">
        <v>1.6E-2</v>
      </c>
      <c r="E15">
        <v>3.3E-3</v>
      </c>
      <c r="F15">
        <f t="shared" si="2"/>
        <v>139.03104999999999</v>
      </c>
      <c r="G15">
        <f t="shared" si="3"/>
        <v>-0.75616000000000005</v>
      </c>
      <c r="H15">
        <f t="shared" si="4"/>
        <v>-105.12971876800002</v>
      </c>
      <c r="I15">
        <v>1</v>
      </c>
      <c r="J15">
        <f t="shared" si="5"/>
        <v>-1.9730579895023679</v>
      </c>
      <c r="K15">
        <f t="shared" si="6"/>
        <v>-0.4655651517752174</v>
      </c>
      <c r="L15">
        <v>1</v>
      </c>
      <c r="M15">
        <f t="shared" si="7"/>
        <v>0.46370129910703567</v>
      </c>
      <c r="N15">
        <f t="shared" si="13"/>
        <v>1.1122484E-2</v>
      </c>
      <c r="O15">
        <f t="shared" si="11"/>
        <v>2.2940123249999998E-3</v>
      </c>
      <c r="P15">
        <f t="shared" si="12"/>
        <v>-1.1552643656818268E-2</v>
      </c>
      <c r="V15">
        <v>-4.9000000000000004</v>
      </c>
      <c r="W15">
        <f t="shared" si="9"/>
        <v>-0.32233000000000001</v>
      </c>
      <c r="Y15">
        <v>0.11</v>
      </c>
      <c r="Z15">
        <f t="shared" si="10"/>
        <v>1.1299769</v>
      </c>
    </row>
    <row r="16" spans="1:29">
      <c r="A16">
        <v>0.75217849999999997</v>
      </c>
      <c r="B16">
        <v>0.75187999999999999</v>
      </c>
      <c r="C16">
        <f t="shared" si="1"/>
        <v>0.56554797057999995</v>
      </c>
      <c r="D16">
        <v>1.6E-2</v>
      </c>
      <c r="E16">
        <v>3.3E-3</v>
      </c>
      <c r="F16">
        <f t="shared" si="2"/>
        <v>150.4357</v>
      </c>
      <c r="G16">
        <f t="shared" si="3"/>
        <v>-0.75187999999999999</v>
      </c>
      <c r="H16">
        <f t="shared" si="4"/>
        <v>-113.10959411599998</v>
      </c>
      <c r="I16">
        <v>1</v>
      </c>
      <c r="J16">
        <f t="shared" si="5"/>
        <v>-1.8942195286122152</v>
      </c>
      <c r="K16">
        <f t="shared" si="6"/>
        <v>-0.46984515177521746</v>
      </c>
      <c r="L16">
        <v>1</v>
      </c>
      <c r="M16">
        <f t="shared" si="7"/>
        <v>0.46750919676803004</v>
      </c>
      <c r="N16">
        <f t="shared" si="13"/>
        <v>1.2034856E-2</v>
      </c>
      <c r="O16">
        <f t="shared" si="11"/>
        <v>2.4821890499999999E-3</v>
      </c>
      <c r="P16">
        <f t="shared" si="12"/>
        <v>-1.2181090042812582E-2</v>
      </c>
      <c r="V16">
        <v>-4.8</v>
      </c>
      <c r="W16">
        <f t="shared" si="9"/>
        <v>-0.32716000000000006</v>
      </c>
      <c r="Y16">
        <v>0.12</v>
      </c>
      <c r="Z16">
        <f t="shared" si="10"/>
        <v>1.2808647999999998</v>
      </c>
    </row>
    <row r="17" spans="1:26">
      <c r="A17">
        <v>0.80920179999999997</v>
      </c>
      <c r="B17">
        <v>0.74743000000000004</v>
      </c>
      <c r="C17">
        <f t="shared" si="1"/>
        <v>0.60482170137400004</v>
      </c>
      <c r="D17">
        <v>1.6E-2</v>
      </c>
      <c r="E17">
        <v>3.3E-3</v>
      </c>
      <c r="F17">
        <f t="shared" si="2"/>
        <v>161.84036</v>
      </c>
      <c r="G17">
        <f t="shared" si="3"/>
        <v>-0.74743000000000004</v>
      </c>
      <c r="H17">
        <f t="shared" si="4"/>
        <v>-120.96434027480001</v>
      </c>
      <c r="I17">
        <v>1</v>
      </c>
      <c r="J17">
        <f t="shared" si="5"/>
        <v>-1.8211448617059416</v>
      </c>
      <c r="K17">
        <f t="shared" si="6"/>
        <v>-0.47429515177521742</v>
      </c>
      <c r="L17">
        <v>1</v>
      </c>
      <c r="M17">
        <f t="shared" si="7"/>
        <v>0.47103870317960306</v>
      </c>
      <c r="N17">
        <f t="shared" si="13"/>
        <v>1.29472288E-2</v>
      </c>
      <c r="O17">
        <f t="shared" si="11"/>
        <v>2.6703659399999998E-3</v>
      </c>
      <c r="P17">
        <f t="shared" si="12"/>
        <v>-1.2361146144385642E-2</v>
      </c>
      <c r="V17">
        <v>-4.7</v>
      </c>
      <c r="W17">
        <f t="shared" si="9"/>
        <v>-0.33199000000000001</v>
      </c>
      <c r="Y17">
        <v>0.13</v>
      </c>
      <c r="Z17">
        <f t="shared" si="10"/>
        <v>1.4317527000000001</v>
      </c>
    </row>
    <row r="18" spans="1:26">
      <c r="A18">
        <v>0.86622515000000011</v>
      </c>
      <c r="B18">
        <v>0.74363999999999997</v>
      </c>
      <c r="C18">
        <f t="shared" si="1"/>
        <v>0.6441596705460001</v>
      </c>
      <c r="D18">
        <v>1.6E-2</v>
      </c>
      <c r="E18">
        <v>3.3E-3</v>
      </c>
      <c r="F18">
        <f t="shared" si="2"/>
        <v>173.24503000000001</v>
      </c>
      <c r="G18">
        <f t="shared" si="3"/>
        <v>-0.74363999999999997</v>
      </c>
      <c r="H18">
        <f t="shared" si="4"/>
        <v>-128.83193410920001</v>
      </c>
      <c r="I18">
        <v>1</v>
      </c>
      <c r="J18">
        <f t="shared" si="5"/>
        <v>-1.7530483281922873</v>
      </c>
      <c r="K18">
        <f t="shared" si="6"/>
        <v>-0.47808515177521749</v>
      </c>
      <c r="L18">
        <v>1</v>
      </c>
      <c r="M18">
        <f t="shared" si="7"/>
        <v>0.47432776574831259</v>
      </c>
      <c r="N18">
        <f t="shared" si="13"/>
        <v>1.3859602400000002E-2</v>
      </c>
      <c r="O18">
        <f t="shared" si="11"/>
        <v>2.8585429950000003E-3</v>
      </c>
      <c r="P18">
        <f t="shared" si="12"/>
        <v>-1.2960759368095105E-2</v>
      </c>
      <c r="V18">
        <v>-4.5999999999999996</v>
      </c>
      <c r="W18">
        <f t="shared" si="9"/>
        <v>-0.33682000000000006</v>
      </c>
      <c r="Y18">
        <v>0.14000000000000001</v>
      </c>
      <c r="Z18">
        <f t="shared" si="10"/>
        <v>1.5826406000000002</v>
      </c>
    </row>
    <row r="19" spans="1:26">
      <c r="A19">
        <v>0.92382439999999999</v>
      </c>
      <c r="B19">
        <v>0.73943000000000003</v>
      </c>
      <c r="C19">
        <f t="shared" si="1"/>
        <v>0.68310347609200006</v>
      </c>
      <c r="D19">
        <v>1.6E-2</v>
      </c>
      <c r="E19">
        <v>3.3E-3</v>
      </c>
      <c r="F19">
        <f t="shared" si="2"/>
        <v>184.76488000000001</v>
      </c>
      <c r="G19">
        <f t="shared" si="3"/>
        <v>-0.73943000000000003</v>
      </c>
      <c r="H19">
        <f t="shared" si="4"/>
        <v>-136.62069521840002</v>
      </c>
      <c r="I19">
        <v>1</v>
      </c>
      <c r="J19">
        <f t="shared" si="5"/>
        <v>-1.6886711811251109</v>
      </c>
      <c r="K19">
        <f t="shared" si="6"/>
        <v>-0.48229515177521742</v>
      </c>
      <c r="L19">
        <v>1</v>
      </c>
      <c r="M19">
        <f t="shared" si="7"/>
        <v>0.47743718195165719</v>
      </c>
      <c r="N19">
        <f t="shared" si="13"/>
        <v>1.47811904E-2</v>
      </c>
      <c r="O19">
        <f t="shared" si="11"/>
        <v>3.0486205199999998E-3</v>
      </c>
      <c r="P19">
        <f t="shared" si="12"/>
        <v>-1.2971841096439762E-2</v>
      </c>
      <c r="V19">
        <v>-4.5000000000000098</v>
      </c>
      <c r="W19">
        <f t="shared" si="9"/>
        <v>-0.34164999999999957</v>
      </c>
      <c r="Y19">
        <v>0.15</v>
      </c>
      <c r="Z19">
        <f t="shared" si="10"/>
        <v>1.7335285</v>
      </c>
    </row>
    <row r="20" spans="1:26">
      <c r="A20">
        <v>0.98084774999999991</v>
      </c>
      <c r="B20">
        <v>0.73584000000000005</v>
      </c>
      <c r="C20">
        <f t="shared" si="1"/>
        <v>0.72174700835999994</v>
      </c>
      <c r="D20">
        <v>1.6E-2</v>
      </c>
      <c r="E20">
        <v>3.3E-3</v>
      </c>
      <c r="F20">
        <f t="shared" si="2"/>
        <v>196.16954999999999</v>
      </c>
      <c r="G20">
        <f t="shared" si="3"/>
        <v>-0.73584000000000005</v>
      </c>
      <c r="H20">
        <f t="shared" si="4"/>
        <v>-144.349401672</v>
      </c>
      <c r="I20">
        <v>1</v>
      </c>
      <c r="J20">
        <f t="shared" si="5"/>
        <v>-1.628775942672209</v>
      </c>
      <c r="K20">
        <f t="shared" si="6"/>
        <v>-0.48588515177521741</v>
      </c>
      <c r="L20">
        <v>1</v>
      </c>
      <c r="M20">
        <f t="shared" si="7"/>
        <v>0.48033012196893232</v>
      </c>
      <c r="N20">
        <f t="shared" si="13"/>
        <v>1.5693564E-2</v>
      </c>
      <c r="O20">
        <f t="shared" si="11"/>
        <v>3.2367975749999995E-3</v>
      </c>
      <c r="P20">
        <f t="shared" si="12"/>
        <v>-1.3375331768714915E-2</v>
      </c>
      <c r="V20">
        <v>-4.4000000000000101</v>
      </c>
      <c r="W20">
        <f t="shared" si="9"/>
        <v>-0.34647999999999957</v>
      </c>
      <c r="Y20">
        <v>0.16</v>
      </c>
      <c r="Z20">
        <f t="shared" si="10"/>
        <v>1.8844163999999999</v>
      </c>
    </row>
    <row r="21" spans="1:26">
      <c r="A21">
        <v>1.0390230499999999</v>
      </c>
      <c r="B21">
        <v>0.73185</v>
      </c>
      <c r="C21">
        <f t="shared" si="1"/>
        <v>0.76040901914249992</v>
      </c>
      <c r="D21">
        <v>1.6E-2</v>
      </c>
      <c r="E21">
        <v>3.3E-3</v>
      </c>
      <c r="F21">
        <f t="shared" si="2"/>
        <v>207.80461</v>
      </c>
      <c r="G21">
        <f t="shared" si="3"/>
        <v>-0.73185</v>
      </c>
      <c r="H21">
        <f t="shared" si="4"/>
        <v>-152.08180382849997</v>
      </c>
      <c r="I21">
        <v>1</v>
      </c>
      <c r="J21">
        <f t="shared" si="5"/>
        <v>-1.5711570157700188</v>
      </c>
      <c r="K21">
        <f t="shared" si="6"/>
        <v>-0.48987515177521745</v>
      </c>
      <c r="L21">
        <v>1</v>
      </c>
      <c r="M21">
        <f t="shared" si="7"/>
        <v>0.48311311613830815</v>
      </c>
      <c r="N21">
        <f t="shared" si="13"/>
        <v>1.6624368800000001E-2</v>
      </c>
      <c r="O21">
        <f t="shared" si="11"/>
        <v>3.4287760649999999E-3</v>
      </c>
      <c r="P21">
        <f t="shared" si="12"/>
        <v>-1.3291109228090698E-2</v>
      </c>
      <c r="V21">
        <v>-4.3000000000000096</v>
      </c>
      <c r="W21">
        <f t="shared" si="9"/>
        <v>-0.35130999999999957</v>
      </c>
      <c r="Y21">
        <v>0.17</v>
      </c>
      <c r="Z21">
        <f t="shared" si="10"/>
        <v>2.0353043</v>
      </c>
    </row>
    <row r="22" spans="1:26">
      <c r="A22">
        <v>1.0960464000000001</v>
      </c>
      <c r="B22">
        <v>0.72877999999999998</v>
      </c>
      <c r="C22">
        <f t="shared" si="1"/>
        <v>0.79877669539200002</v>
      </c>
      <c r="D22">
        <v>1.6E-2</v>
      </c>
      <c r="E22">
        <v>3.3E-3</v>
      </c>
      <c r="F22">
        <f t="shared" si="2"/>
        <v>219.20928000000001</v>
      </c>
      <c r="G22">
        <f t="shared" si="3"/>
        <v>-0.72877999999999998</v>
      </c>
      <c r="H22">
        <f t="shared" si="4"/>
        <v>-159.7553390784</v>
      </c>
      <c r="I22">
        <v>1</v>
      </c>
      <c r="J22">
        <f t="shared" si="5"/>
        <v>-1.5177283890379865</v>
      </c>
      <c r="K22">
        <f t="shared" si="6"/>
        <v>-0.49294515177521747</v>
      </c>
      <c r="L22">
        <v>1</v>
      </c>
      <c r="M22">
        <f t="shared" si="7"/>
        <v>0.48569371880946532</v>
      </c>
      <c r="N22">
        <f t="shared" si="13"/>
        <v>1.7536742400000003E-2</v>
      </c>
      <c r="O22">
        <f t="shared" si="11"/>
        <v>3.6169531200000004E-3</v>
      </c>
      <c r="P22">
        <f t="shared" si="12"/>
        <v>-1.3902262554247856E-2</v>
      </c>
      <c r="V22">
        <v>-4.2000000000000099</v>
      </c>
      <c r="W22">
        <f t="shared" si="9"/>
        <v>-0.35613999999999957</v>
      </c>
      <c r="Y22">
        <v>0.18</v>
      </c>
      <c r="Z22">
        <f t="shared" si="10"/>
        <v>2.1861921999999998</v>
      </c>
    </row>
    <row r="23" spans="1:26">
      <c r="A23">
        <v>1.1536457</v>
      </c>
      <c r="B23">
        <v>0.72499999999999998</v>
      </c>
      <c r="C23">
        <f t="shared" si="1"/>
        <v>0.83639313250000002</v>
      </c>
      <c r="D23">
        <v>1.6E-2</v>
      </c>
      <c r="E23">
        <v>3.3E-3</v>
      </c>
      <c r="F23">
        <f t="shared" si="2"/>
        <v>230.72914</v>
      </c>
      <c r="G23">
        <f t="shared" si="3"/>
        <v>-0.72499999999999998</v>
      </c>
      <c r="H23">
        <f t="shared" si="4"/>
        <v>-167.2786265</v>
      </c>
      <c r="I23">
        <v>1</v>
      </c>
      <c r="J23">
        <f t="shared" si="5"/>
        <v>-1.466510810552319</v>
      </c>
      <c r="K23">
        <f t="shared" si="6"/>
        <v>-0.49672515177521748</v>
      </c>
      <c r="L23">
        <v>1</v>
      </c>
      <c r="M23">
        <f t="shared" si="7"/>
        <v>0.48816752785032302</v>
      </c>
      <c r="N23">
        <f t="shared" si="13"/>
        <v>1.8458331200000001E-2</v>
      </c>
      <c r="O23">
        <f t="shared" si="11"/>
        <v>3.8070308100000001E-3</v>
      </c>
      <c r="P23">
        <f t="shared" si="12"/>
        <v>-1.3707738085105548E-2</v>
      </c>
      <c r="V23">
        <v>-4.1000000000000103</v>
      </c>
      <c r="W23">
        <f t="shared" si="9"/>
        <v>-0.36096999999999957</v>
      </c>
      <c r="Y23">
        <v>0.19</v>
      </c>
      <c r="Z23">
        <f t="shared" si="10"/>
        <v>2.3370800999999997</v>
      </c>
    </row>
    <row r="24" spans="1:26">
      <c r="A24">
        <v>1.2152770500000001</v>
      </c>
      <c r="B24">
        <v>0.72191000000000005</v>
      </c>
      <c r="C24">
        <f t="shared" si="1"/>
        <v>0.87732065516550017</v>
      </c>
      <c r="D24">
        <v>1.6E-2</v>
      </c>
      <c r="E24">
        <v>3.3E-3</v>
      </c>
      <c r="F24">
        <f t="shared" si="2"/>
        <v>243.05541000000002</v>
      </c>
      <c r="G24">
        <f t="shared" si="3"/>
        <v>-0.72191000000000005</v>
      </c>
      <c r="H24">
        <f t="shared" si="4"/>
        <v>-175.46413103310005</v>
      </c>
      <c r="I24">
        <v>1</v>
      </c>
      <c r="J24">
        <f t="shared" si="5"/>
        <v>-1.4144658369439089</v>
      </c>
      <c r="K24">
        <f t="shared" si="6"/>
        <v>-0.4998151517752174</v>
      </c>
      <c r="L24">
        <v>1</v>
      </c>
      <c r="M24">
        <f t="shared" si="7"/>
        <v>0.49068130007560923</v>
      </c>
      <c r="N24">
        <f t="shared" si="13"/>
        <v>1.9444432800000001E-2</v>
      </c>
      <c r="O24">
        <f t="shared" si="11"/>
        <v>4.0104142650000006E-3</v>
      </c>
      <c r="P24">
        <f t="shared" si="12"/>
        <v>-1.4320995365391827E-2</v>
      </c>
      <c r="V24">
        <v>-4.0000000000000098</v>
      </c>
      <c r="W24">
        <f t="shared" si="9"/>
        <v>-0.36579999999999957</v>
      </c>
      <c r="Y24">
        <v>0.2</v>
      </c>
      <c r="Z24">
        <f t="shared" si="10"/>
        <v>2.4879680000000004</v>
      </c>
    </row>
    <row r="25" spans="1:26">
      <c r="A25">
        <v>1.2723001999999999</v>
      </c>
      <c r="B25">
        <v>0.71830000000000005</v>
      </c>
      <c r="C25">
        <f t="shared" si="1"/>
        <v>0.91389323365999997</v>
      </c>
      <c r="D25">
        <v>1.6E-2</v>
      </c>
      <c r="E25">
        <v>3.3E-3</v>
      </c>
      <c r="F25">
        <f t="shared" si="2"/>
        <v>254.46003999999996</v>
      </c>
      <c r="G25">
        <f t="shared" si="3"/>
        <v>-0.71830000000000005</v>
      </c>
      <c r="H25">
        <f t="shared" si="4"/>
        <v>-182.778646732</v>
      </c>
      <c r="I25">
        <v>1</v>
      </c>
      <c r="J25">
        <f t="shared" si="5"/>
        <v>-1.3686114690719653</v>
      </c>
      <c r="K25">
        <f t="shared" si="6"/>
        <v>-0.50342515177521741</v>
      </c>
      <c r="L25">
        <v>1</v>
      </c>
      <c r="M25">
        <f t="shared" si="7"/>
        <v>0.49289606604382413</v>
      </c>
      <c r="N25">
        <f t="shared" si="13"/>
        <v>2.0356803199999999E-2</v>
      </c>
      <c r="O25">
        <f t="shared" si="11"/>
        <v>4.1985906599999994E-3</v>
      </c>
      <c r="P25">
        <f t="shared" si="12"/>
        <v>-1.4026308128606725E-2</v>
      </c>
      <c r="V25">
        <v>-3.9000000000000101</v>
      </c>
      <c r="W25">
        <f t="shared" si="9"/>
        <v>-0.37062999999999957</v>
      </c>
      <c r="Y25">
        <v>0.21</v>
      </c>
      <c r="Z25">
        <f t="shared" si="10"/>
        <v>2.6388558999999994</v>
      </c>
    </row>
    <row r="26" spans="1:26">
      <c r="A26">
        <v>1.33277965</v>
      </c>
      <c r="B26">
        <v>0.71484999999999999</v>
      </c>
      <c r="C26">
        <f t="shared" si="1"/>
        <v>0.95273753280249995</v>
      </c>
      <c r="D26">
        <v>1.6E-2</v>
      </c>
      <c r="E26">
        <v>3.3E-3</v>
      </c>
      <c r="F26">
        <f t="shared" si="2"/>
        <v>266.55592999999999</v>
      </c>
      <c r="G26">
        <f t="shared" si="3"/>
        <v>-0.71484999999999999</v>
      </c>
      <c r="H26">
        <f t="shared" si="4"/>
        <v>-190.54750656049998</v>
      </c>
      <c r="I26">
        <v>1</v>
      </c>
      <c r="J26">
        <f t="shared" si="5"/>
        <v>-1.3221711887276686</v>
      </c>
      <c r="K26">
        <f t="shared" si="6"/>
        <v>-0.50687515177521747</v>
      </c>
      <c r="L26">
        <v>1</v>
      </c>
      <c r="M26">
        <f t="shared" si="7"/>
        <v>0.49513913158445366</v>
      </c>
      <c r="N26">
        <f t="shared" si="13"/>
        <v>2.1324474400000001E-2</v>
      </c>
      <c r="O26">
        <f t="shared" si="11"/>
        <v>4.3981728450000002E-3</v>
      </c>
      <c r="P26">
        <f t="shared" si="12"/>
        <v>-1.3986627054236193E-2</v>
      </c>
      <c r="V26">
        <v>-3.80000000000001</v>
      </c>
      <c r="W26">
        <f t="shared" si="9"/>
        <v>-0.37545999999999957</v>
      </c>
      <c r="Y26">
        <v>0.22</v>
      </c>
      <c r="Z26">
        <f t="shared" si="10"/>
        <v>2.7897438000000001</v>
      </c>
    </row>
    <row r="27" spans="1:26">
      <c r="A27">
        <v>1.3921068500000002</v>
      </c>
      <c r="B27">
        <v>0.71155000000000002</v>
      </c>
      <c r="C27">
        <f t="shared" si="1"/>
        <v>0.99055362911750022</v>
      </c>
      <c r="D27">
        <v>1.6E-2</v>
      </c>
      <c r="E27">
        <v>3.3E-3</v>
      </c>
      <c r="F27">
        <f t="shared" si="2"/>
        <v>278.42137000000002</v>
      </c>
      <c r="G27">
        <f t="shared" si="3"/>
        <v>-0.71155000000000002</v>
      </c>
      <c r="H27">
        <f t="shared" si="4"/>
        <v>-198.11072582350005</v>
      </c>
      <c r="I27">
        <v>1</v>
      </c>
      <c r="J27">
        <f t="shared" si="5"/>
        <v>-1.2786195934103037</v>
      </c>
      <c r="K27">
        <f t="shared" si="6"/>
        <v>-0.51017515177521744</v>
      </c>
      <c r="L27">
        <v>1</v>
      </c>
      <c r="M27">
        <f t="shared" si="7"/>
        <v>0.4972426736382824</v>
      </c>
      <c r="N27">
        <f t="shared" si="13"/>
        <v>2.2273709600000004E-2</v>
      </c>
      <c r="O27">
        <f t="shared" si="11"/>
        <v>4.5939526050000007E-3</v>
      </c>
      <c r="P27">
        <f t="shared" si="12"/>
        <v>-1.393518406806496E-2</v>
      </c>
      <c r="V27">
        <v>-3.7000000000000099</v>
      </c>
      <c r="W27">
        <f t="shared" si="9"/>
        <v>-0.38028999999999957</v>
      </c>
      <c r="Y27">
        <v>0.23</v>
      </c>
      <c r="Z27">
        <f t="shared" si="10"/>
        <v>2.9406317</v>
      </c>
    </row>
    <row r="28" spans="1:26">
      <c r="A28">
        <v>1.4514341500000001</v>
      </c>
      <c r="B28">
        <v>0.70799999999999996</v>
      </c>
      <c r="C28">
        <f t="shared" si="1"/>
        <v>1.0276153781999999</v>
      </c>
      <c r="D28">
        <v>1.6E-2</v>
      </c>
      <c r="E28">
        <v>3.3E-3</v>
      </c>
      <c r="F28">
        <f t="shared" si="2"/>
        <v>290.28683000000001</v>
      </c>
      <c r="G28">
        <f t="shared" si="3"/>
        <v>-0.70799999999999996</v>
      </c>
      <c r="H28">
        <f t="shared" si="4"/>
        <v>-205.52307563999997</v>
      </c>
      <c r="I28">
        <v>1</v>
      </c>
      <c r="J28">
        <f t="shared" si="5"/>
        <v>-1.2368857758425271</v>
      </c>
      <c r="K28">
        <f t="shared" si="6"/>
        <v>-0.51372515177521749</v>
      </c>
      <c r="L28">
        <v>1</v>
      </c>
      <c r="M28">
        <f t="shared" si="7"/>
        <v>0.49925841702680601</v>
      </c>
      <c r="N28">
        <f t="shared" si="13"/>
        <v>2.3222946400000003E-2</v>
      </c>
      <c r="O28">
        <f t="shared" si="11"/>
        <v>4.7897326949999999E-3</v>
      </c>
      <c r="P28">
        <f t="shared" si="12"/>
        <v>-1.3545944346588523E-2</v>
      </c>
      <c r="V28">
        <v>-3.6000000000000099</v>
      </c>
      <c r="W28">
        <f t="shared" si="9"/>
        <v>-0.38511999999999957</v>
      </c>
      <c r="Y28">
        <v>0.24</v>
      </c>
      <c r="Z28">
        <f t="shared" si="10"/>
        <v>3.0915195999999998</v>
      </c>
    </row>
    <row r="29" spans="1:26">
      <c r="A29">
        <v>1.5101854499999998</v>
      </c>
      <c r="B29">
        <v>0.70499000000000001</v>
      </c>
      <c r="C29">
        <f t="shared" si="1"/>
        <v>1.0646656403954999</v>
      </c>
      <c r="D29">
        <v>1.6E-2</v>
      </c>
      <c r="E29">
        <v>3.3E-3</v>
      </c>
      <c r="F29">
        <f t="shared" si="2"/>
        <v>302.03708999999998</v>
      </c>
      <c r="G29">
        <f t="shared" si="3"/>
        <v>-0.70499000000000001</v>
      </c>
      <c r="H29">
        <f t="shared" si="4"/>
        <v>-212.93312807909999</v>
      </c>
      <c r="I29">
        <v>1</v>
      </c>
      <c r="J29">
        <f t="shared" si="5"/>
        <v>-1.1972054545788229</v>
      </c>
      <c r="K29">
        <f t="shared" si="6"/>
        <v>-0.51673515177521745</v>
      </c>
      <c r="L29">
        <v>1</v>
      </c>
      <c r="M29">
        <f t="shared" si="7"/>
        <v>0.50117497654384291</v>
      </c>
      <c r="N29">
        <f t="shared" si="13"/>
        <v>2.4162967199999996E-2</v>
      </c>
      <c r="O29">
        <f t="shared" si="11"/>
        <v>4.9836119849999997E-3</v>
      </c>
      <c r="P29">
        <f t="shared" si="12"/>
        <v>-1.3586403953625457E-2</v>
      </c>
      <c r="V29">
        <v>-3.5000000000000102</v>
      </c>
      <c r="W29">
        <f t="shared" si="9"/>
        <v>-0.38994999999999957</v>
      </c>
      <c r="Y29">
        <v>0.25</v>
      </c>
      <c r="Z29">
        <f t="shared" si="10"/>
        <v>3.2424074999999997</v>
      </c>
    </row>
    <row r="30" spans="1:26">
      <c r="A30">
        <v>1.5672089500000002</v>
      </c>
      <c r="B30">
        <v>0.70191999999999999</v>
      </c>
      <c r="C30">
        <f t="shared" si="1"/>
        <v>1.1000553061840002</v>
      </c>
      <c r="D30">
        <v>1.6E-2</v>
      </c>
      <c r="E30">
        <v>3.3E-3</v>
      </c>
      <c r="F30">
        <f t="shared" si="2"/>
        <v>313.44179000000003</v>
      </c>
      <c r="G30">
        <f t="shared" si="3"/>
        <v>-0.70191999999999999</v>
      </c>
      <c r="H30">
        <f t="shared" si="4"/>
        <v>-220.01106123680003</v>
      </c>
      <c r="I30">
        <v>1</v>
      </c>
      <c r="J30">
        <f t="shared" si="5"/>
        <v>-1.1601416139803651</v>
      </c>
      <c r="K30">
        <f t="shared" si="6"/>
        <v>-0.51980515177521747</v>
      </c>
      <c r="L30">
        <v>1</v>
      </c>
      <c r="M30">
        <f t="shared" si="7"/>
        <v>0.50296516004474845</v>
      </c>
      <c r="N30">
        <f t="shared" si="13"/>
        <v>2.5075343200000003E-2</v>
      </c>
      <c r="O30">
        <f t="shared" si="11"/>
        <v>5.1717895350000005E-3</v>
      </c>
      <c r="P30">
        <f t="shared" si="12"/>
        <v>-1.3407141004530986E-2</v>
      </c>
      <c r="V30">
        <v>-3.4000000000000101</v>
      </c>
      <c r="W30">
        <f t="shared" si="9"/>
        <v>-0.39477999999999958</v>
      </c>
      <c r="Y30">
        <v>0.26</v>
      </c>
      <c r="Z30">
        <f t="shared" si="10"/>
        <v>3.3932954000000004</v>
      </c>
    </row>
    <row r="31" spans="1:26">
      <c r="A31">
        <v>1.6242321000000002</v>
      </c>
      <c r="B31">
        <v>0.69872000000000001</v>
      </c>
      <c r="C31">
        <f t="shared" si="1"/>
        <v>1.1348834529120002</v>
      </c>
      <c r="D31">
        <v>1.6E-2</v>
      </c>
      <c r="E31">
        <v>3.3E-3</v>
      </c>
      <c r="F31">
        <f t="shared" si="2"/>
        <v>324.84642000000002</v>
      </c>
      <c r="G31">
        <f t="shared" si="3"/>
        <v>-0.69872000000000001</v>
      </c>
      <c r="H31">
        <f t="shared" si="4"/>
        <v>-226.97669058240004</v>
      </c>
      <c r="I31">
        <v>1</v>
      </c>
      <c r="J31">
        <f t="shared" si="5"/>
        <v>-1.1244027621873094</v>
      </c>
      <c r="K31">
        <f t="shared" si="6"/>
        <v>-0.52300515177521745</v>
      </c>
      <c r="L31">
        <v>1</v>
      </c>
      <c r="M31">
        <f t="shared" si="7"/>
        <v>0.50469134658635295</v>
      </c>
      <c r="N31">
        <f t="shared" si="13"/>
        <v>2.5987713600000004E-2</v>
      </c>
      <c r="O31">
        <f t="shared" si="11"/>
        <v>5.3599659300000001E-3</v>
      </c>
      <c r="P31">
        <f t="shared" si="12"/>
        <v>-1.3033874341135508E-2</v>
      </c>
      <c r="V31">
        <v>-3.30000000000001</v>
      </c>
      <c r="W31">
        <f t="shared" si="9"/>
        <v>-0.39960999999999958</v>
      </c>
      <c r="Y31">
        <v>0.27</v>
      </c>
      <c r="Z31">
        <f t="shared" si="10"/>
        <v>3.5441833000000003</v>
      </c>
    </row>
    <row r="32" spans="1:26">
      <c r="A32">
        <v>1.6812554499999999</v>
      </c>
      <c r="B32">
        <v>0.69571000000000005</v>
      </c>
      <c r="C32">
        <f t="shared" si="1"/>
        <v>1.1696662291194999</v>
      </c>
      <c r="D32">
        <v>1.6E-2</v>
      </c>
      <c r="E32">
        <v>3.3E-3</v>
      </c>
      <c r="F32">
        <f t="shared" si="2"/>
        <v>336.25108999999998</v>
      </c>
      <c r="G32">
        <f t="shared" si="3"/>
        <v>-0.69571000000000005</v>
      </c>
      <c r="H32">
        <f t="shared" si="4"/>
        <v>-233.93324582389999</v>
      </c>
      <c r="I32">
        <v>1</v>
      </c>
      <c r="J32">
        <f t="shared" si="5"/>
        <v>-1.0898971064356546</v>
      </c>
      <c r="K32">
        <f t="shared" si="6"/>
        <v>-0.5260151517752174</v>
      </c>
      <c r="L32">
        <v>1</v>
      </c>
      <c r="M32">
        <f t="shared" si="7"/>
        <v>0.50635796975915792</v>
      </c>
      <c r="N32">
        <f t="shared" si="13"/>
        <v>2.6900087199999999E-2</v>
      </c>
      <c r="O32">
        <f t="shared" si="11"/>
        <v>5.5481429849999998E-3</v>
      </c>
      <c r="P32">
        <f t="shared" si="12"/>
        <v>-1.2791048168940517E-2</v>
      </c>
      <c r="V32">
        <v>-3.2000000000000099</v>
      </c>
      <c r="W32">
        <f t="shared" si="9"/>
        <v>-0.40443999999999958</v>
      </c>
    </row>
    <row r="33" spans="1:23">
      <c r="A33">
        <v>1.7405826500000001</v>
      </c>
      <c r="B33">
        <v>0.69289999999999996</v>
      </c>
      <c r="C33">
        <f t="shared" si="1"/>
        <v>1.2060497181850001</v>
      </c>
      <c r="D33">
        <v>1.6E-2</v>
      </c>
      <c r="E33">
        <v>3.3E-3</v>
      </c>
      <c r="F33">
        <f t="shared" si="2"/>
        <v>348.11653000000001</v>
      </c>
      <c r="G33">
        <f t="shared" si="3"/>
        <v>-0.69289999999999996</v>
      </c>
      <c r="H33">
        <f t="shared" si="4"/>
        <v>-241.20994363700001</v>
      </c>
      <c r="I33">
        <v>1</v>
      </c>
      <c r="J33">
        <f t="shared" si="5"/>
        <v>-1.0552179989376891</v>
      </c>
      <c r="K33">
        <f t="shared" si="6"/>
        <v>-0.52882515177521749</v>
      </c>
      <c r="L33">
        <v>1</v>
      </c>
      <c r="M33">
        <f t="shared" si="7"/>
        <v>0.5080329706513097</v>
      </c>
      <c r="N33">
        <f t="shared" si="13"/>
        <v>2.7849322400000001E-2</v>
      </c>
      <c r="O33">
        <f t="shared" si="11"/>
        <v>5.7439227450000003E-3</v>
      </c>
      <c r="P33">
        <f t="shared" si="12"/>
        <v>-1.2801064021092209E-2</v>
      </c>
      <c r="V33">
        <v>-3.1000000000000099</v>
      </c>
      <c r="W33">
        <f t="shared" si="9"/>
        <v>-0.40926999999999958</v>
      </c>
    </row>
    <row r="34" spans="1:23">
      <c r="A34">
        <v>1.8039417</v>
      </c>
      <c r="B34">
        <v>0.68979999999999997</v>
      </c>
      <c r="C34">
        <f t="shared" si="1"/>
        <v>1.2443589846599998</v>
      </c>
      <c r="D34">
        <v>1.6E-2</v>
      </c>
      <c r="E34">
        <v>3.3E-3</v>
      </c>
      <c r="F34">
        <f t="shared" si="2"/>
        <v>360.78834000000001</v>
      </c>
      <c r="G34">
        <f t="shared" si="3"/>
        <v>-0.68979999999999997</v>
      </c>
      <c r="H34">
        <f t="shared" si="4"/>
        <v>-248.87179693199997</v>
      </c>
      <c r="I34">
        <v>1</v>
      </c>
      <c r="J34">
        <f t="shared" si="5"/>
        <v>-1.019463808389047</v>
      </c>
      <c r="K34">
        <f t="shared" si="6"/>
        <v>-0.53192515177521749</v>
      </c>
      <c r="L34">
        <v>1</v>
      </c>
      <c r="M34">
        <f t="shared" si="7"/>
        <v>0.50975989805480904</v>
      </c>
      <c r="N34">
        <f t="shared" si="13"/>
        <v>2.8863067200000002E-2</v>
      </c>
      <c r="O34">
        <f t="shared" si="11"/>
        <v>5.9530076099999999E-3</v>
      </c>
      <c r="P34">
        <f t="shared" si="12"/>
        <v>-1.2650821089591551E-2</v>
      </c>
      <c r="V34">
        <v>-3.0000000000000102</v>
      </c>
      <c r="W34">
        <f t="shared" si="9"/>
        <v>-0.41409999999999958</v>
      </c>
    </row>
    <row r="35" spans="1:23">
      <c r="A35">
        <v>1.8626931500000001</v>
      </c>
      <c r="B35">
        <v>0.68671000000000004</v>
      </c>
      <c r="C35">
        <f t="shared" si="1"/>
        <v>1.2791300130365002</v>
      </c>
      <c r="D35">
        <v>1.6E-2</v>
      </c>
      <c r="E35">
        <v>3.3E-3</v>
      </c>
      <c r="F35">
        <f t="shared" si="2"/>
        <v>372.53863000000001</v>
      </c>
      <c r="G35">
        <f t="shared" si="3"/>
        <v>-0.68671000000000004</v>
      </c>
      <c r="H35">
        <f t="shared" si="4"/>
        <v>-255.82600260730004</v>
      </c>
      <c r="I35">
        <v>1</v>
      </c>
      <c r="J35">
        <f t="shared" si="5"/>
        <v>-0.98741454184149657</v>
      </c>
      <c r="K35">
        <f t="shared" si="6"/>
        <v>-0.53501515177521741</v>
      </c>
      <c r="L35">
        <v>1</v>
      </c>
      <c r="M35">
        <f t="shared" si="7"/>
        <v>0.51130787762905572</v>
      </c>
      <c r="N35">
        <f t="shared" si="13"/>
        <v>2.9803090400000003E-2</v>
      </c>
      <c r="O35">
        <f t="shared" si="11"/>
        <v>6.1468873950000008E-3</v>
      </c>
      <c r="P35">
        <f t="shared" si="12"/>
        <v>-1.224270364883831E-2</v>
      </c>
      <c r="V35">
        <v>-2.9000000000000101</v>
      </c>
      <c r="W35">
        <f t="shared" si="9"/>
        <v>-0.41892999999999958</v>
      </c>
    </row>
    <row r="36" spans="1:23">
      <c r="A36">
        <v>1.9202925</v>
      </c>
      <c r="B36">
        <v>0.68371000000000004</v>
      </c>
      <c r="C36">
        <f t="shared" si="1"/>
        <v>1.3129231851750001</v>
      </c>
      <c r="D36">
        <v>1.6E-2</v>
      </c>
      <c r="E36">
        <v>3.3E-3</v>
      </c>
      <c r="F36">
        <f t="shared" si="2"/>
        <v>384.05849999999998</v>
      </c>
      <c r="G36">
        <f t="shared" si="3"/>
        <v>-0.68371000000000004</v>
      </c>
      <c r="H36">
        <f t="shared" si="4"/>
        <v>-262.58463703500001</v>
      </c>
      <c r="I36">
        <v>1</v>
      </c>
      <c r="J36">
        <f t="shared" si="5"/>
        <v>-0.95696039424754098</v>
      </c>
      <c r="K36">
        <f t="shared" si="6"/>
        <v>-0.53801515177521742</v>
      </c>
      <c r="L36">
        <v>1</v>
      </c>
      <c r="M36">
        <f t="shared" si="7"/>
        <v>0.51277881295784378</v>
      </c>
      <c r="N36">
        <f t="shared" si="13"/>
        <v>3.0724680000000001E-2</v>
      </c>
      <c r="O36">
        <f t="shared" si="11"/>
        <v>6.3369652499999998E-3</v>
      </c>
      <c r="P36">
        <f t="shared" si="12"/>
        <v>-1.1825306432626363E-2</v>
      </c>
      <c r="V36">
        <v>-2.80000000000001</v>
      </c>
      <c r="W36">
        <f t="shared" si="9"/>
        <v>-0.42375999999999958</v>
      </c>
    </row>
    <row r="37" spans="1:23">
      <c r="A37">
        <v>1.9790438000000001</v>
      </c>
      <c r="B37">
        <v>0.68101</v>
      </c>
      <c r="C37">
        <f t="shared" si="1"/>
        <v>1.3477486182380001</v>
      </c>
      <c r="D37">
        <v>1.6E-2</v>
      </c>
      <c r="E37">
        <v>3.3E-3</v>
      </c>
      <c r="F37">
        <f t="shared" si="2"/>
        <v>395.80876000000001</v>
      </c>
      <c r="G37">
        <f t="shared" si="3"/>
        <v>-0.68101</v>
      </c>
      <c r="H37">
        <f t="shared" si="4"/>
        <v>-269.54972364759999</v>
      </c>
      <c r="I37">
        <v>1</v>
      </c>
      <c r="J37">
        <f t="shared" si="5"/>
        <v>-0.92682411366849349</v>
      </c>
      <c r="K37">
        <f t="shared" si="6"/>
        <v>-0.54071515177521745</v>
      </c>
      <c r="L37">
        <v>1</v>
      </c>
      <c r="M37">
        <f t="shared" si="7"/>
        <v>0.51423439530981185</v>
      </c>
      <c r="N37">
        <f t="shared" si="13"/>
        <v>3.1664700800000001E-2</v>
      </c>
      <c r="O37">
        <f t="shared" si="11"/>
        <v>6.5308445400000005E-3</v>
      </c>
      <c r="P37">
        <f t="shared" si="12"/>
        <v>-1.1714788874594404E-2</v>
      </c>
      <c r="V37">
        <v>-2.7000000000000099</v>
      </c>
      <c r="W37">
        <f t="shared" si="9"/>
        <v>-0.42858999999999958</v>
      </c>
    </row>
    <row r="38" spans="1:23">
      <c r="A38">
        <v>2.0360669499999999</v>
      </c>
      <c r="B38">
        <v>0.67820999999999998</v>
      </c>
      <c r="C38">
        <f t="shared" si="1"/>
        <v>1.3808809661594998</v>
      </c>
      <c r="D38">
        <v>1.6E-2</v>
      </c>
      <c r="E38">
        <v>3.3E-3</v>
      </c>
      <c r="F38">
        <f t="shared" si="2"/>
        <v>407.21339</v>
      </c>
      <c r="G38">
        <f t="shared" si="3"/>
        <v>-0.67820999999999998</v>
      </c>
      <c r="H38">
        <f t="shared" si="4"/>
        <v>-276.17619323189996</v>
      </c>
      <c r="I38">
        <v>1</v>
      </c>
      <c r="J38">
        <f t="shared" si="5"/>
        <v>-0.89841793118233571</v>
      </c>
      <c r="K38">
        <f t="shared" si="6"/>
        <v>-0.54351515177521748</v>
      </c>
      <c r="L38">
        <v>1</v>
      </c>
      <c r="M38">
        <f t="shared" si="7"/>
        <v>0.51560641392389328</v>
      </c>
      <c r="N38">
        <f t="shared" si="13"/>
        <v>3.2577071200000002E-2</v>
      </c>
      <c r="O38">
        <f t="shared" si="11"/>
        <v>6.7190209349999993E-3</v>
      </c>
      <c r="P38">
        <f t="shared" si="12"/>
        <v>-1.1387354283675807E-2</v>
      </c>
      <c r="V38">
        <v>-2.6000000000000099</v>
      </c>
      <c r="W38">
        <f t="shared" si="9"/>
        <v>-0.43341999999999958</v>
      </c>
    </row>
    <row r="39" spans="1:23">
      <c r="A39">
        <v>2.0971221999999998</v>
      </c>
      <c r="B39">
        <v>0.67552000000000001</v>
      </c>
      <c r="C39">
        <f t="shared" si="1"/>
        <v>1.416647988544</v>
      </c>
      <c r="D39">
        <v>1.6E-2</v>
      </c>
      <c r="E39">
        <v>3.3E-3</v>
      </c>
      <c r="F39">
        <f t="shared" si="2"/>
        <v>419.42443999999995</v>
      </c>
      <c r="G39">
        <f t="shared" si="3"/>
        <v>-0.67552000000000001</v>
      </c>
      <c r="H39">
        <f t="shared" si="4"/>
        <v>-283.32959770880001</v>
      </c>
      <c r="I39">
        <v>1</v>
      </c>
      <c r="J39">
        <f t="shared" si="5"/>
        <v>-0.86887188848779695</v>
      </c>
      <c r="K39">
        <f t="shared" si="6"/>
        <v>-0.54620515177521745</v>
      </c>
      <c r="L39">
        <v>1</v>
      </c>
      <c r="M39">
        <f t="shared" si="7"/>
        <v>0.51703348778603941</v>
      </c>
      <c r="N39">
        <f t="shared" si="13"/>
        <v>3.3553955199999999E-2</v>
      </c>
      <c r="O39">
        <f t="shared" si="11"/>
        <v>6.9205032599999996E-3</v>
      </c>
      <c r="P39">
        <f t="shared" si="12"/>
        <v>-1.1302794470821966E-2</v>
      </c>
      <c r="V39">
        <v>-2.5000000000000102</v>
      </c>
      <c r="W39">
        <f t="shared" si="9"/>
        <v>-0.43824999999999958</v>
      </c>
    </row>
    <row r="40" spans="1:23">
      <c r="A40">
        <v>2.1541456000000001</v>
      </c>
      <c r="B40">
        <v>0.67227999999999999</v>
      </c>
      <c r="C40">
        <f t="shared" si="1"/>
        <v>1.4481890039680001</v>
      </c>
      <c r="D40">
        <v>1.6E-2</v>
      </c>
      <c r="E40">
        <v>3.3E-3</v>
      </c>
      <c r="F40">
        <f t="shared" si="2"/>
        <v>430.82912000000005</v>
      </c>
      <c r="G40">
        <f t="shared" si="3"/>
        <v>-0.67227999999999999</v>
      </c>
      <c r="H40">
        <f t="shared" si="4"/>
        <v>-289.63780079360004</v>
      </c>
      <c r="I40">
        <v>1</v>
      </c>
      <c r="J40">
        <f t="shared" si="5"/>
        <v>-0.8420437408125806</v>
      </c>
      <c r="K40">
        <f t="shared" si="6"/>
        <v>-0.54944515177521747</v>
      </c>
      <c r="L40">
        <v>1</v>
      </c>
      <c r="M40">
        <f t="shared" si="7"/>
        <v>0.51832928731875239</v>
      </c>
      <c r="N40">
        <f t="shared" si="13"/>
        <v>3.4466329600000005E-2</v>
      </c>
      <c r="O40">
        <f t="shared" si="11"/>
        <v>7.1086804800000007E-3</v>
      </c>
      <c r="P40">
        <f t="shared" si="12"/>
        <v>-1.0459145623534925E-2</v>
      </c>
      <c r="V40">
        <v>-2.4000000000000101</v>
      </c>
      <c r="W40">
        <f t="shared" si="9"/>
        <v>-0.44307999999999959</v>
      </c>
    </row>
    <row r="41" spans="1:23">
      <c r="A41">
        <v>2.2123210000000002</v>
      </c>
      <c r="B41">
        <v>0.66974</v>
      </c>
      <c r="C41">
        <f t="shared" si="1"/>
        <v>1.4816798665400002</v>
      </c>
      <c r="D41">
        <v>1.6E-2</v>
      </c>
      <c r="E41">
        <v>3.3E-3</v>
      </c>
      <c r="F41">
        <f t="shared" si="2"/>
        <v>442.46420000000006</v>
      </c>
      <c r="G41">
        <f t="shared" si="3"/>
        <v>-0.66974</v>
      </c>
      <c r="H41">
        <f t="shared" si="4"/>
        <v>-296.33597330800001</v>
      </c>
      <c r="I41">
        <v>1</v>
      </c>
      <c r="J41">
        <f t="shared" si="5"/>
        <v>-0.81539572176185637</v>
      </c>
      <c r="K41">
        <f t="shared" si="6"/>
        <v>-0.55198515177521745</v>
      </c>
      <c r="L41">
        <v>1</v>
      </c>
      <c r="M41">
        <f t="shared" si="7"/>
        <v>0.51961638663890242</v>
      </c>
      <c r="N41">
        <f t="shared" si="13"/>
        <v>3.5397136000000003E-2</v>
      </c>
      <c r="O41">
        <f t="shared" si="11"/>
        <v>7.3006593000000007E-3</v>
      </c>
      <c r="P41">
        <f t="shared" si="12"/>
        <v>-1.0329030163684968E-2</v>
      </c>
      <c r="V41">
        <v>-2.30000000000001</v>
      </c>
      <c r="W41">
        <f t="shared" si="9"/>
        <v>-0.44790999999999959</v>
      </c>
    </row>
    <row r="42" spans="1:23">
      <c r="A42">
        <v>2.2710722999999997</v>
      </c>
      <c r="B42">
        <v>0.66695000000000004</v>
      </c>
      <c r="C42">
        <f t="shared" si="1"/>
        <v>1.514691670485</v>
      </c>
      <c r="D42">
        <v>1.6E-2</v>
      </c>
      <c r="E42">
        <v>3.3E-3</v>
      </c>
      <c r="F42">
        <f t="shared" si="2"/>
        <v>454.21445999999992</v>
      </c>
      <c r="G42">
        <f t="shared" si="3"/>
        <v>-0.66695000000000004</v>
      </c>
      <c r="H42">
        <f t="shared" si="4"/>
        <v>-302.93833409699999</v>
      </c>
      <c r="I42">
        <v>1</v>
      </c>
      <c r="J42">
        <f t="shared" si="5"/>
        <v>-0.78918581362193141</v>
      </c>
      <c r="K42">
        <f t="shared" si="6"/>
        <v>-0.55477515177521741</v>
      </c>
      <c r="L42">
        <v>1</v>
      </c>
      <c r="M42">
        <f t="shared" si="7"/>
        <v>0.52088232520206079</v>
      </c>
      <c r="N42">
        <f t="shared" si="13"/>
        <v>3.6337156799999999E-2</v>
      </c>
      <c r="O42">
        <f t="shared" si="11"/>
        <v>7.4945385899999988E-3</v>
      </c>
      <c r="P42">
        <f t="shared" si="12"/>
        <v>-9.9388688168433777E-3</v>
      </c>
      <c r="V42">
        <v>-2.2000000000000099</v>
      </c>
      <c r="W42">
        <f t="shared" si="9"/>
        <v>-0.45273999999999959</v>
      </c>
    </row>
    <row r="43" spans="1:23">
      <c r="A43">
        <v>2.3303995</v>
      </c>
      <c r="B43">
        <v>0.66422000000000003</v>
      </c>
      <c r="C43">
        <f t="shared" si="1"/>
        <v>1.5478979558900001</v>
      </c>
      <c r="D43">
        <v>1.6E-2</v>
      </c>
      <c r="E43">
        <v>3.3E-3</v>
      </c>
      <c r="F43">
        <f t="shared" si="2"/>
        <v>466.07990000000001</v>
      </c>
      <c r="G43">
        <f t="shared" si="3"/>
        <v>-0.66422000000000003</v>
      </c>
      <c r="H43">
        <f t="shared" si="4"/>
        <v>-309.57959117800004</v>
      </c>
      <c r="I43">
        <v>1</v>
      </c>
      <c r="J43">
        <f t="shared" si="5"/>
        <v>-0.76339820032647676</v>
      </c>
      <c r="K43">
        <f t="shared" si="6"/>
        <v>-0.55750515177521742</v>
      </c>
      <c r="L43">
        <v>1</v>
      </c>
      <c r="M43">
        <f t="shared" si="7"/>
        <v>0.52212786692423119</v>
      </c>
      <c r="N43">
        <f t="shared" si="13"/>
        <v>3.7286392000000002E-2</v>
      </c>
      <c r="O43">
        <f t="shared" si="11"/>
        <v>7.6903183500000001E-3</v>
      </c>
      <c r="P43">
        <f t="shared" si="12"/>
        <v>-9.599425499013766E-3</v>
      </c>
      <c r="V43">
        <v>-2.1000000000000099</v>
      </c>
      <c r="W43">
        <f t="shared" si="9"/>
        <v>-0.45756999999999959</v>
      </c>
    </row>
    <row r="44" spans="1:23">
      <c r="A44">
        <v>2.3874230999999999</v>
      </c>
      <c r="B44">
        <v>0.66178000000000003</v>
      </c>
      <c r="C44">
        <f t="shared" si="1"/>
        <v>1.579948859118</v>
      </c>
      <c r="D44">
        <v>1.6E-2</v>
      </c>
      <c r="E44">
        <v>3.3E-3</v>
      </c>
      <c r="F44">
        <f t="shared" si="2"/>
        <v>477.48462000000001</v>
      </c>
      <c r="G44">
        <f t="shared" si="3"/>
        <v>-0.66178000000000003</v>
      </c>
      <c r="H44">
        <f t="shared" si="4"/>
        <v>-315.98977182359999</v>
      </c>
      <c r="I44">
        <v>1</v>
      </c>
      <c r="J44">
        <f t="shared" si="5"/>
        <v>-0.73922332900417043</v>
      </c>
      <c r="K44">
        <f t="shared" si="6"/>
        <v>-0.55994515177521742</v>
      </c>
      <c r="L44">
        <v>1</v>
      </c>
      <c r="M44">
        <f t="shared" si="7"/>
        <v>0.52329551320909862</v>
      </c>
      <c r="N44">
        <f t="shared" si="13"/>
        <v>3.8198769600000002E-2</v>
      </c>
      <c r="O44">
        <f t="shared" si="11"/>
        <v>7.8784962300000004E-3</v>
      </c>
      <c r="P44">
        <f t="shared" si="12"/>
        <v>-9.4276272638811991E-3</v>
      </c>
      <c r="V44">
        <v>-2.0000000000000102</v>
      </c>
      <c r="W44">
        <f t="shared" si="9"/>
        <v>-0.46239999999999953</v>
      </c>
    </row>
    <row r="45" spans="1:23">
      <c r="A45">
        <v>2.44444645</v>
      </c>
      <c r="B45">
        <v>0.65927999999999998</v>
      </c>
      <c r="C45">
        <f t="shared" si="1"/>
        <v>1.611574655556</v>
      </c>
      <c r="D45">
        <v>1.6E-2</v>
      </c>
      <c r="E45">
        <v>3.3E-3</v>
      </c>
      <c r="F45">
        <f t="shared" si="2"/>
        <v>488.88929000000002</v>
      </c>
      <c r="G45">
        <f t="shared" si="3"/>
        <v>-0.65927999999999998</v>
      </c>
      <c r="H45">
        <f t="shared" si="4"/>
        <v>-322.3149311112</v>
      </c>
      <c r="I45">
        <v>1</v>
      </c>
      <c r="J45">
        <f t="shared" si="5"/>
        <v>-0.71561921595779499</v>
      </c>
      <c r="K45">
        <f t="shared" si="6"/>
        <v>-0.56244515177521748</v>
      </c>
      <c r="L45">
        <v>1</v>
      </c>
      <c r="M45">
        <f t="shared" si="7"/>
        <v>0.5244355918692386</v>
      </c>
      <c r="N45">
        <f t="shared" si="13"/>
        <v>3.9111143200000004E-2</v>
      </c>
      <c r="O45">
        <f t="shared" si="11"/>
        <v>8.0666732850000009E-3</v>
      </c>
      <c r="P45">
        <f t="shared" si="12"/>
        <v>-9.168256579021131E-3</v>
      </c>
      <c r="V45">
        <v>-1.9000000000000099</v>
      </c>
      <c r="W45">
        <f t="shared" si="9"/>
        <v>-0.46722999999999959</v>
      </c>
    </row>
    <row r="46" spans="1:23">
      <c r="A46">
        <v>2.5037736499999999</v>
      </c>
      <c r="B46">
        <v>0.65646000000000004</v>
      </c>
      <c r="C46">
        <f t="shared" si="1"/>
        <v>1.6436272502789999</v>
      </c>
      <c r="D46">
        <v>1.6E-2</v>
      </c>
      <c r="E46">
        <v>3.3E-3</v>
      </c>
      <c r="F46">
        <f t="shared" si="2"/>
        <v>500.75473</v>
      </c>
      <c r="G46">
        <f t="shared" si="3"/>
        <v>-0.65646000000000004</v>
      </c>
      <c r="H46">
        <f t="shared" si="4"/>
        <v>-328.72545005579997</v>
      </c>
      <c r="I46">
        <v>1</v>
      </c>
      <c r="J46">
        <f t="shared" si="5"/>
        <v>-0.69163885864956776</v>
      </c>
      <c r="K46">
        <f t="shared" si="6"/>
        <v>-0.56526515177521741</v>
      </c>
      <c r="L46">
        <v>1</v>
      </c>
      <c r="M46">
        <f t="shared" si="7"/>
        <v>0.5255938431272259</v>
      </c>
      <c r="N46">
        <f t="shared" si="13"/>
        <v>4.0060378399999999E-2</v>
      </c>
      <c r="O46">
        <f t="shared" si="11"/>
        <v>8.2624530449999997E-3</v>
      </c>
      <c r="P46">
        <f t="shared" si="12"/>
        <v>-8.6515227970084888E-3</v>
      </c>
      <c r="V46">
        <v>-1.80000000000001</v>
      </c>
      <c r="W46">
        <f t="shared" si="9"/>
        <v>-0.47205999999999959</v>
      </c>
    </row>
    <row r="47" spans="1:23">
      <c r="A47">
        <v>2.5613727999999996</v>
      </c>
      <c r="B47">
        <v>0.65398000000000001</v>
      </c>
      <c r="C47">
        <f t="shared" si="1"/>
        <v>1.6750865837439997</v>
      </c>
      <c r="D47">
        <v>1.6E-2</v>
      </c>
      <c r="E47">
        <v>3.3E-3</v>
      </c>
      <c r="F47">
        <f t="shared" si="2"/>
        <v>512.27455999999995</v>
      </c>
      <c r="G47">
        <f t="shared" si="3"/>
        <v>-0.65398000000000001</v>
      </c>
      <c r="H47">
        <f t="shared" si="4"/>
        <v>-335.01731674879994</v>
      </c>
      <c r="I47">
        <v>1</v>
      </c>
      <c r="J47">
        <f t="shared" si="5"/>
        <v>-0.66889454767327927</v>
      </c>
      <c r="K47">
        <f t="shared" si="6"/>
        <v>-0.56774515177521745</v>
      </c>
      <c r="L47">
        <v>1</v>
      </c>
      <c r="M47">
        <f t="shared" si="7"/>
        <v>0.52669239334738061</v>
      </c>
      <c r="N47">
        <f t="shared" si="13"/>
        <v>4.0981964799999993E-2</v>
      </c>
      <c r="O47">
        <f t="shared" si="11"/>
        <v>8.4525302399999988E-3</v>
      </c>
      <c r="P47">
        <f t="shared" si="12"/>
        <v>-8.3817366121631473E-3</v>
      </c>
      <c r="V47">
        <v>-1.7000000000000199</v>
      </c>
      <c r="W47">
        <f t="shared" si="9"/>
        <v>-0.47688999999999909</v>
      </c>
    </row>
    <row r="48" spans="1:23">
      <c r="A48">
        <v>2.6189722</v>
      </c>
      <c r="B48">
        <v>0.65146000000000004</v>
      </c>
      <c r="C48">
        <f t="shared" si="1"/>
        <v>1.7061556294120002</v>
      </c>
      <c r="D48">
        <v>1.6E-2</v>
      </c>
      <c r="E48">
        <v>3.3E-3</v>
      </c>
      <c r="F48">
        <f t="shared" si="2"/>
        <v>523.79444000000001</v>
      </c>
      <c r="G48">
        <f t="shared" si="3"/>
        <v>-0.65146000000000004</v>
      </c>
      <c r="H48">
        <f t="shared" si="4"/>
        <v>-341.23112588240002</v>
      </c>
      <c r="I48">
        <v>1</v>
      </c>
      <c r="J48">
        <f t="shared" si="5"/>
        <v>-0.64665596170331208</v>
      </c>
      <c r="K48">
        <f t="shared" si="6"/>
        <v>-0.57026515177521742</v>
      </c>
      <c r="L48">
        <v>1</v>
      </c>
      <c r="M48">
        <f t="shared" si="7"/>
        <v>0.5277665170497301</v>
      </c>
      <c r="N48">
        <f t="shared" si="13"/>
        <v>4.1903555199999998E-2</v>
      </c>
      <c r="O48">
        <f t="shared" si="11"/>
        <v>8.6426082600000002E-3</v>
      </c>
      <c r="P48">
        <f t="shared" si="12"/>
        <v>-8.0475287345126816E-3</v>
      </c>
      <c r="V48">
        <v>-1.6000000000000201</v>
      </c>
      <c r="W48">
        <f t="shared" si="9"/>
        <v>-0.48171999999999909</v>
      </c>
    </row>
    <row r="49" spans="1:23">
      <c r="A49">
        <v>2.6759955999999998</v>
      </c>
      <c r="B49">
        <v>0.64881</v>
      </c>
      <c r="C49">
        <f t="shared" si="1"/>
        <v>1.7362127052359999</v>
      </c>
      <c r="D49">
        <v>1.6E-2</v>
      </c>
      <c r="E49">
        <v>3.3E-3</v>
      </c>
      <c r="F49">
        <f t="shared" si="2"/>
        <v>535.19911999999999</v>
      </c>
      <c r="G49">
        <f t="shared" si="3"/>
        <v>-0.64881</v>
      </c>
      <c r="H49">
        <f t="shared" si="4"/>
        <v>-347.24254104720001</v>
      </c>
      <c r="I49">
        <v>1</v>
      </c>
      <c r="J49">
        <f t="shared" si="5"/>
        <v>-0.62511641441461208</v>
      </c>
      <c r="K49">
        <f t="shared" si="6"/>
        <v>-0.57291515177521746</v>
      </c>
      <c r="L49">
        <v>1</v>
      </c>
      <c r="M49">
        <f t="shared" si="7"/>
        <v>0.52880687718377428</v>
      </c>
      <c r="N49">
        <f t="shared" si="13"/>
        <v>4.2815929599999997E-2</v>
      </c>
      <c r="O49">
        <f t="shared" si="11"/>
        <v>8.8307854799999988E-3</v>
      </c>
      <c r="P49">
        <f t="shared" si="12"/>
        <v>-7.5384404885568204E-3</v>
      </c>
      <c r="V49">
        <v>-1.50000000000002</v>
      </c>
      <c r="W49">
        <f t="shared" si="9"/>
        <v>-0.48654999999999909</v>
      </c>
    </row>
    <row r="50" spans="1:23">
      <c r="A50">
        <v>2.7330189499999999</v>
      </c>
      <c r="B50">
        <v>0.64631000000000005</v>
      </c>
      <c r="C50">
        <f t="shared" si="1"/>
        <v>1.7663774775745</v>
      </c>
      <c r="D50">
        <v>1.6E-2</v>
      </c>
      <c r="E50">
        <v>3.3E-3</v>
      </c>
      <c r="F50">
        <f t="shared" si="2"/>
        <v>546.60379</v>
      </c>
      <c r="G50">
        <f t="shared" si="3"/>
        <v>-0.64631000000000005</v>
      </c>
      <c r="H50">
        <f t="shared" si="4"/>
        <v>-353.2754955149</v>
      </c>
      <c r="I50">
        <v>1</v>
      </c>
      <c r="J50">
        <f t="shared" si="5"/>
        <v>-0.60403107173979653</v>
      </c>
      <c r="K50">
        <f t="shared" si="6"/>
        <v>-0.5754151517752174</v>
      </c>
      <c r="L50">
        <v>1</v>
      </c>
      <c r="M50">
        <f t="shared" si="7"/>
        <v>0.52982529923496791</v>
      </c>
      <c r="N50">
        <f t="shared" si="13"/>
        <v>4.3728303199999999E-2</v>
      </c>
      <c r="O50">
        <f t="shared" si="11"/>
        <v>9.0189625349999993E-3</v>
      </c>
      <c r="P50">
        <f t="shared" si="12"/>
        <v>-7.1574131947505001E-3</v>
      </c>
      <c r="V50">
        <v>-1.4000000000000199</v>
      </c>
      <c r="W50">
        <f t="shared" si="9"/>
        <v>-0.4913799999999991</v>
      </c>
    </row>
    <row r="51" spans="1:23">
      <c r="A51">
        <v>2.7923461500000002</v>
      </c>
      <c r="B51">
        <v>0.64388000000000001</v>
      </c>
      <c r="C51">
        <f t="shared" si="1"/>
        <v>1.7979358390620002</v>
      </c>
      <c r="D51">
        <v>1.6E-2</v>
      </c>
      <c r="E51">
        <v>3.3E-3</v>
      </c>
      <c r="F51">
        <f t="shared" si="2"/>
        <v>558.46923000000004</v>
      </c>
      <c r="G51">
        <f t="shared" si="3"/>
        <v>-0.64388000000000001</v>
      </c>
      <c r="H51">
        <f t="shared" si="4"/>
        <v>-359.58716781240003</v>
      </c>
      <c r="I51">
        <v>1</v>
      </c>
      <c r="J51">
        <f t="shared" si="5"/>
        <v>-0.58255575599240239</v>
      </c>
      <c r="K51">
        <f t="shared" si="6"/>
        <v>-0.57784515177521745</v>
      </c>
      <c r="L51">
        <v>1</v>
      </c>
      <c r="M51">
        <f t="shared" si="7"/>
        <v>0.53086255698556706</v>
      </c>
      <c r="N51">
        <f t="shared" si="13"/>
        <v>4.4677538400000001E-2</v>
      </c>
      <c r="O51">
        <f t="shared" si="11"/>
        <v>9.2147422949999998E-3</v>
      </c>
      <c r="P51">
        <f t="shared" si="12"/>
        <v>-6.9096859053496117E-3</v>
      </c>
      <c r="V51">
        <v>-1.30000000000002</v>
      </c>
      <c r="W51">
        <f t="shared" si="9"/>
        <v>-0.4962099999999991</v>
      </c>
    </row>
    <row r="52" spans="1:23">
      <c r="A52">
        <v>2.8493691999999999</v>
      </c>
      <c r="B52">
        <v>0.64114000000000004</v>
      </c>
      <c r="C52">
        <f t="shared" si="1"/>
        <v>1.8268445688880002</v>
      </c>
      <c r="D52">
        <v>1.6E-2</v>
      </c>
      <c r="E52">
        <v>3.3E-3</v>
      </c>
      <c r="F52">
        <f t="shared" si="2"/>
        <v>569.87383999999997</v>
      </c>
      <c r="G52">
        <f t="shared" si="3"/>
        <v>-0.64114000000000004</v>
      </c>
      <c r="H52">
        <f t="shared" si="4"/>
        <v>-365.36891377760003</v>
      </c>
      <c r="I52">
        <v>1</v>
      </c>
      <c r="J52">
        <f t="shared" si="5"/>
        <v>-0.5623402759847117</v>
      </c>
      <c r="K52">
        <f t="shared" si="6"/>
        <v>-0.58058515177521741</v>
      </c>
      <c r="L52">
        <v>1</v>
      </c>
      <c r="M52">
        <f t="shared" si="7"/>
        <v>0.53183896466993852</v>
      </c>
      <c r="N52">
        <f t="shared" si="13"/>
        <v>4.5589907200000002E-2</v>
      </c>
      <c r="O52">
        <f t="shared" si="11"/>
        <v>9.40291836E-3</v>
      </c>
      <c r="P52">
        <f t="shared" si="12"/>
        <v>-6.2466384547211085E-3</v>
      </c>
      <c r="V52">
        <v>-1.2000000000000199</v>
      </c>
      <c r="W52">
        <f t="shared" si="9"/>
        <v>-0.50103999999999904</v>
      </c>
    </row>
    <row r="53" spans="1:23">
      <c r="A53">
        <v>2.9110009000000003</v>
      </c>
      <c r="B53">
        <v>0.63870000000000005</v>
      </c>
      <c r="C53">
        <f t="shared" si="1"/>
        <v>1.8592562748300003</v>
      </c>
      <c r="D53">
        <v>1.6E-2</v>
      </c>
      <c r="E53">
        <v>3.3E-3</v>
      </c>
      <c r="F53">
        <f t="shared" si="2"/>
        <v>582.20018000000005</v>
      </c>
      <c r="G53">
        <f t="shared" si="3"/>
        <v>-0.63870000000000005</v>
      </c>
      <c r="H53">
        <f t="shared" si="4"/>
        <v>-371.85125496600006</v>
      </c>
      <c r="I53">
        <v>1</v>
      </c>
      <c r="J53">
        <f t="shared" si="5"/>
        <v>-0.54094093849855607</v>
      </c>
      <c r="K53">
        <f t="shared" si="6"/>
        <v>-0.58302515177521741</v>
      </c>
      <c r="L53">
        <v>1</v>
      </c>
      <c r="M53">
        <f t="shared" si="7"/>
        <v>0.53287255267051981</v>
      </c>
      <c r="N53">
        <f t="shared" si="13"/>
        <v>4.6576014400000004E-2</v>
      </c>
      <c r="O53">
        <f t="shared" si="11"/>
        <v>9.6063029700000011E-3</v>
      </c>
      <c r="P53">
        <f t="shared" si="12"/>
        <v>-6.0297182653024015E-3</v>
      </c>
      <c r="V53">
        <v>-1.1000000000000201</v>
      </c>
      <c r="W53">
        <f t="shared" si="9"/>
        <v>-0.50586999999999904</v>
      </c>
    </row>
    <row r="54" spans="1:23">
      <c r="A54">
        <v>2.9709039000000002</v>
      </c>
      <c r="B54">
        <v>0.63619999999999999</v>
      </c>
      <c r="C54">
        <f t="shared" si="1"/>
        <v>1.8900890611800001</v>
      </c>
      <c r="D54">
        <v>1.6E-2</v>
      </c>
      <c r="E54">
        <v>3.3E-3</v>
      </c>
      <c r="F54">
        <f t="shared" si="2"/>
        <v>594.18078000000003</v>
      </c>
      <c r="G54">
        <f t="shared" si="3"/>
        <v>-0.63619999999999999</v>
      </c>
      <c r="H54">
        <f t="shared" si="4"/>
        <v>-378.017812236</v>
      </c>
      <c r="I54">
        <v>1</v>
      </c>
      <c r="J54">
        <f t="shared" si="5"/>
        <v>-0.52057166248821718</v>
      </c>
      <c r="K54">
        <f t="shared" si="6"/>
        <v>-0.58552515177521747</v>
      </c>
      <c r="L54">
        <v>1</v>
      </c>
      <c r="M54">
        <f t="shared" si="7"/>
        <v>0.53385638870181917</v>
      </c>
      <c r="N54">
        <f t="shared" si="13"/>
        <v>4.7534462400000005E-2</v>
      </c>
      <c r="O54">
        <f t="shared" si="11"/>
        <v>9.8039828700000001E-3</v>
      </c>
      <c r="P54">
        <f t="shared" si="12"/>
        <v>-5.6696821966017111E-3</v>
      </c>
      <c r="V54">
        <v>-1.00000000000002</v>
      </c>
      <c r="W54">
        <f t="shared" si="9"/>
        <v>-0.51069999999999904</v>
      </c>
    </row>
    <row r="55" spans="1:23">
      <c r="A55">
        <v>3.0279272500000003</v>
      </c>
      <c r="B55">
        <v>0.63334000000000001</v>
      </c>
      <c r="C55">
        <f t="shared" si="1"/>
        <v>1.9177074445150002</v>
      </c>
      <c r="D55">
        <v>1.6E-2</v>
      </c>
      <c r="E55">
        <v>3.3E-3</v>
      </c>
      <c r="F55">
        <f t="shared" si="2"/>
        <v>605.58545000000004</v>
      </c>
      <c r="G55">
        <f t="shared" si="3"/>
        <v>-0.63334000000000001</v>
      </c>
      <c r="H55">
        <f t="shared" si="4"/>
        <v>-383.54148890300002</v>
      </c>
      <c r="I55">
        <v>1</v>
      </c>
      <c r="J55">
        <f t="shared" si="5"/>
        <v>-0.50155960290709833</v>
      </c>
      <c r="K55">
        <f t="shared" si="6"/>
        <v>-0.58838515177521744</v>
      </c>
      <c r="L55">
        <v>1</v>
      </c>
      <c r="M55">
        <f t="shared" si="7"/>
        <v>0.53477467117958721</v>
      </c>
      <c r="N55">
        <f t="shared" si="13"/>
        <v>4.8446836000000007E-2</v>
      </c>
      <c r="O55">
        <f t="shared" si="11"/>
        <v>9.9921599250000007E-3</v>
      </c>
      <c r="P55">
        <f t="shared" si="12"/>
        <v>-4.82851532936978E-3</v>
      </c>
      <c r="V55">
        <v>-0.90000000000002001</v>
      </c>
      <c r="W55">
        <f t="shared" si="9"/>
        <v>-0.51552999999999904</v>
      </c>
    </row>
    <row r="56" spans="1:23">
      <c r="A56">
        <v>3.0855266499999998</v>
      </c>
      <c r="B56">
        <v>0.63105999999999995</v>
      </c>
      <c r="C56">
        <f t="shared" si="1"/>
        <v>1.9471524477489996</v>
      </c>
      <c r="D56">
        <v>1.6E-2</v>
      </c>
      <c r="E56">
        <v>3.3E-3</v>
      </c>
      <c r="F56">
        <f t="shared" si="2"/>
        <v>617.10532999999998</v>
      </c>
      <c r="G56">
        <f t="shared" si="3"/>
        <v>-0.63105999999999995</v>
      </c>
      <c r="H56">
        <f t="shared" si="4"/>
        <v>-389.43048954979992</v>
      </c>
      <c r="I56">
        <v>1</v>
      </c>
      <c r="J56">
        <f t="shared" si="5"/>
        <v>-0.4827155565185382</v>
      </c>
      <c r="K56">
        <f t="shared" si="6"/>
        <v>-0.5906651517752175</v>
      </c>
      <c r="L56">
        <v>1</v>
      </c>
      <c r="M56">
        <f t="shared" si="7"/>
        <v>0.5356848386201547</v>
      </c>
      <c r="N56">
        <f t="shared" si="13"/>
        <v>4.9368426399999998E-2</v>
      </c>
      <c r="O56">
        <f t="shared" si="11"/>
        <v>1.0182237944999999E-2</v>
      </c>
      <c r="P56">
        <f t="shared" si="12"/>
        <v>-4.5703511899371982E-3</v>
      </c>
      <c r="V56">
        <v>-0.80000000000002003</v>
      </c>
      <c r="W56">
        <f t="shared" si="9"/>
        <v>-0.52035999999999905</v>
      </c>
    </row>
    <row r="57" spans="1:23">
      <c r="A57">
        <v>3.1425497999999998</v>
      </c>
      <c r="B57">
        <v>0.62856000000000001</v>
      </c>
      <c r="C57">
        <f t="shared" si="1"/>
        <v>1.9752811022879999</v>
      </c>
      <c r="D57">
        <v>1.6E-2</v>
      </c>
      <c r="E57">
        <v>3.3E-3</v>
      </c>
      <c r="F57">
        <f t="shared" si="2"/>
        <v>628.50995999999998</v>
      </c>
      <c r="G57">
        <f t="shared" si="3"/>
        <v>-0.62856000000000001</v>
      </c>
      <c r="H57">
        <f t="shared" si="4"/>
        <v>-395.05622045759998</v>
      </c>
      <c r="I57">
        <v>1</v>
      </c>
      <c r="J57">
        <f t="shared" si="5"/>
        <v>-0.46440340382203155</v>
      </c>
      <c r="K57">
        <f t="shared" si="6"/>
        <v>-0.59316515177521745</v>
      </c>
      <c r="L57">
        <v>1</v>
      </c>
      <c r="M57">
        <f t="shared" si="7"/>
        <v>0.53656931559539589</v>
      </c>
      <c r="N57">
        <f t="shared" si="13"/>
        <v>5.0280796799999999E-2</v>
      </c>
      <c r="O57">
        <f t="shared" si="11"/>
        <v>1.037041434E-2</v>
      </c>
      <c r="P57">
        <f t="shared" si="12"/>
        <v>-4.0553749601784424E-3</v>
      </c>
      <c r="V57">
        <v>-0.70000000000002005</v>
      </c>
      <c r="W57">
        <f t="shared" si="9"/>
        <v>-0.52518999999999905</v>
      </c>
    </row>
    <row r="58" spans="1:23">
      <c r="A58">
        <v>3.2024533500000003</v>
      </c>
      <c r="B58">
        <v>0.62621000000000004</v>
      </c>
      <c r="C58">
        <f t="shared" si="1"/>
        <v>2.0054083123035005</v>
      </c>
      <c r="D58">
        <v>1.6E-2</v>
      </c>
      <c r="E58">
        <v>3.3E-3</v>
      </c>
      <c r="F58">
        <f t="shared" si="2"/>
        <v>640.49067000000002</v>
      </c>
      <c r="G58">
        <f t="shared" si="3"/>
        <v>-0.62621000000000004</v>
      </c>
      <c r="H58">
        <f t="shared" si="4"/>
        <v>-401.0816624607001</v>
      </c>
      <c r="I58">
        <v>1</v>
      </c>
      <c r="J58">
        <f t="shared" si="5"/>
        <v>-0.4455207244961748</v>
      </c>
      <c r="K58">
        <f t="shared" si="6"/>
        <v>-0.59551515177521741</v>
      </c>
      <c r="L58">
        <v>1</v>
      </c>
      <c r="M58">
        <f t="shared" si="7"/>
        <v>0.53748134900683486</v>
      </c>
      <c r="N58">
        <f t="shared" si="13"/>
        <v>5.1239253600000007E-2</v>
      </c>
      <c r="O58">
        <f t="shared" si="11"/>
        <v>1.0568096055E-2</v>
      </c>
      <c r="P58">
        <f t="shared" si="12"/>
        <v>-3.7735468866174592E-3</v>
      </c>
      <c r="V58">
        <v>-0.60000000000001996</v>
      </c>
      <c r="W58">
        <f t="shared" si="9"/>
        <v>-0.53001999999999905</v>
      </c>
    </row>
    <row r="59" spans="1:23">
      <c r="A59">
        <v>3.2606283</v>
      </c>
      <c r="B59">
        <v>0.62351000000000001</v>
      </c>
      <c r="C59">
        <f t="shared" si="1"/>
        <v>2.0330343513330003</v>
      </c>
      <c r="D59">
        <v>1.6E-2</v>
      </c>
      <c r="E59">
        <v>3.3E-3</v>
      </c>
      <c r="F59">
        <f t="shared" si="2"/>
        <v>652.12566000000004</v>
      </c>
      <c r="G59">
        <f t="shared" si="3"/>
        <v>-0.62351000000000001</v>
      </c>
      <c r="H59">
        <f t="shared" si="4"/>
        <v>-406.60687026660003</v>
      </c>
      <c r="I59">
        <v>1</v>
      </c>
      <c r="J59">
        <f t="shared" si="5"/>
        <v>-0.42751800556418662</v>
      </c>
      <c r="K59">
        <f t="shared" si="6"/>
        <v>-0.59821515177521745</v>
      </c>
      <c r="L59">
        <v>1</v>
      </c>
      <c r="M59">
        <f t="shared" si="7"/>
        <v>0.53835088033124978</v>
      </c>
      <c r="N59">
        <f t="shared" si="13"/>
        <v>5.2170052799999998E-2</v>
      </c>
      <c r="O59">
        <f t="shared" si="11"/>
        <v>1.076007339E-2</v>
      </c>
      <c r="P59">
        <f t="shared" si="12"/>
        <v>-3.0658547460323329E-3</v>
      </c>
      <c r="V59">
        <v>-0.50000000000001998</v>
      </c>
      <c r="W59">
        <f t="shared" si="9"/>
        <v>-0.53484999999999905</v>
      </c>
    </row>
    <row r="60" spans="1:23">
      <c r="A60">
        <v>3.3188039500000004</v>
      </c>
      <c r="B60">
        <v>0.62114000000000003</v>
      </c>
      <c r="C60">
        <f t="shared" si="1"/>
        <v>2.0614418855030001</v>
      </c>
      <c r="D60">
        <v>1.6E-2</v>
      </c>
      <c r="E60">
        <v>3.3E-3</v>
      </c>
      <c r="F60">
        <f t="shared" si="2"/>
        <v>663.76079000000004</v>
      </c>
      <c r="G60">
        <f t="shared" si="3"/>
        <v>-0.62114000000000003</v>
      </c>
      <c r="H60">
        <f t="shared" si="4"/>
        <v>-412.28837710060003</v>
      </c>
      <c r="I60">
        <v>1</v>
      </c>
      <c r="J60">
        <f t="shared" si="5"/>
        <v>-0.40983345043759045</v>
      </c>
      <c r="K60">
        <f t="shared" si="6"/>
        <v>-0.60058515177521743</v>
      </c>
      <c r="L60">
        <v>1</v>
      </c>
      <c r="M60">
        <f t="shared" si="7"/>
        <v>0.5392050443438644</v>
      </c>
      <c r="N60">
        <f t="shared" si="13"/>
        <v>5.3100863200000008E-2</v>
      </c>
      <c r="O60">
        <f t="shared" si="11"/>
        <v>1.0952053035000001E-2</v>
      </c>
      <c r="P60">
        <f t="shared" si="12"/>
        <v>-2.6728088036469828E-3</v>
      </c>
      <c r="V60">
        <v>-0.40000000000002001</v>
      </c>
      <c r="W60">
        <f t="shared" si="9"/>
        <v>-0.53967999999999905</v>
      </c>
    </row>
    <row r="61" spans="1:23">
      <c r="A61">
        <v>3.3769792000000001</v>
      </c>
      <c r="B61">
        <v>0.61870999999999998</v>
      </c>
      <c r="C61">
        <f t="shared" si="1"/>
        <v>2.089370800832</v>
      </c>
      <c r="D61">
        <v>1.6E-2</v>
      </c>
      <c r="E61">
        <v>3.3E-3</v>
      </c>
      <c r="F61">
        <f t="shared" si="2"/>
        <v>675.39584000000002</v>
      </c>
      <c r="G61">
        <f t="shared" si="3"/>
        <v>-0.61870999999999998</v>
      </c>
      <c r="H61">
        <f t="shared" si="4"/>
        <v>-417.87416016639997</v>
      </c>
      <c r="I61">
        <v>1</v>
      </c>
      <c r="J61">
        <f t="shared" si="5"/>
        <v>-0.39245633036263811</v>
      </c>
      <c r="K61">
        <f t="shared" si="6"/>
        <v>-0.60301515177521747</v>
      </c>
      <c r="L61">
        <v>1</v>
      </c>
      <c r="M61">
        <f t="shared" si="7"/>
        <v>0.5400443592434846</v>
      </c>
      <c r="N61">
        <f t="shared" si="13"/>
        <v>5.4031667200000001E-2</v>
      </c>
      <c r="O61">
        <f t="shared" si="11"/>
        <v>1.1144031360000001E-2</v>
      </c>
      <c r="P61">
        <f t="shared" si="12"/>
        <v>-2.2049060282671243E-3</v>
      </c>
      <c r="V61">
        <v>-0.30000000000001997</v>
      </c>
      <c r="W61">
        <f t="shared" si="9"/>
        <v>-0.54450999999999905</v>
      </c>
    </row>
    <row r="62" spans="1:23">
      <c r="A62">
        <v>3.4340025000000001</v>
      </c>
      <c r="B62">
        <v>0.61634</v>
      </c>
      <c r="C62">
        <f t="shared" si="1"/>
        <v>2.1165131008500002</v>
      </c>
      <c r="D62">
        <v>1.6E-2</v>
      </c>
      <c r="E62">
        <v>3.3E-3</v>
      </c>
      <c r="F62">
        <f t="shared" si="2"/>
        <v>686.80050000000006</v>
      </c>
      <c r="G62">
        <f t="shared" si="3"/>
        <v>-0.61634</v>
      </c>
      <c r="H62">
        <f t="shared" si="4"/>
        <v>-423.30262017000007</v>
      </c>
      <c r="I62">
        <v>1</v>
      </c>
      <c r="J62">
        <f t="shared" si="5"/>
        <v>-0.37571142194510365</v>
      </c>
      <c r="K62">
        <f t="shared" si="6"/>
        <v>-0.60538515177521746</v>
      </c>
      <c r="L62">
        <v>1</v>
      </c>
      <c r="M62">
        <f t="shared" si="7"/>
        <v>0.54085313832005155</v>
      </c>
      <c r="N62">
        <f t="shared" si="13"/>
        <v>5.494404E-2</v>
      </c>
      <c r="O62">
        <f t="shared" si="11"/>
        <v>1.133220825E-2</v>
      </c>
      <c r="P62">
        <f t="shared" si="12"/>
        <v>-1.7442347948340951E-3</v>
      </c>
      <c r="V62">
        <v>-0.20000000000002</v>
      </c>
      <c r="W62">
        <f t="shared" si="9"/>
        <v>-0.54933999999999905</v>
      </c>
    </row>
    <row r="63" spans="1:23">
      <c r="A63">
        <v>3.4939055999999997</v>
      </c>
      <c r="B63">
        <v>0.61395</v>
      </c>
      <c r="C63">
        <f t="shared" si="1"/>
        <v>2.1450833431199996</v>
      </c>
      <c r="D63">
        <v>1.6E-2</v>
      </c>
      <c r="E63">
        <v>3.3E-3</v>
      </c>
      <c r="F63">
        <f t="shared" si="2"/>
        <v>698.78111999999999</v>
      </c>
      <c r="G63">
        <f t="shared" si="3"/>
        <v>-0.61395</v>
      </c>
      <c r="H63">
        <f t="shared" si="4"/>
        <v>-429.01666862399992</v>
      </c>
      <c r="I63">
        <v>1</v>
      </c>
      <c r="J63">
        <f t="shared" si="5"/>
        <v>-0.35841771883192658</v>
      </c>
      <c r="K63">
        <f t="shared" si="6"/>
        <v>-0.60777515177521746</v>
      </c>
      <c r="L63">
        <v>1</v>
      </c>
      <c r="M63">
        <f t="shared" si="7"/>
        <v>0.54168842418041796</v>
      </c>
      <c r="N63">
        <f t="shared" si="13"/>
        <v>5.5902489599999994E-2</v>
      </c>
      <c r="O63">
        <f t="shared" si="11"/>
        <v>1.1529888479999998E-2</v>
      </c>
      <c r="P63">
        <f t="shared" si="12"/>
        <v>-1.3456504852004929E-3</v>
      </c>
      <c r="V63">
        <v>-0.10000000000002</v>
      </c>
      <c r="W63">
        <f t="shared" si="9"/>
        <v>-0.55416999999999905</v>
      </c>
    </row>
    <row r="64" spans="1:23">
      <c r="A64">
        <v>3.55150495</v>
      </c>
      <c r="B64">
        <v>0.61146999999999996</v>
      </c>
      <c r="C64">
        <f t="shared" si="1"/>
        <v>2.1716387317765</v>
      </c>
      <c r="D64">
        <v>1.6E-2</v>
      </c>
      <c r="E64">
        <v>3.3E-3</v>
      </c>
      <c r="F64">
        <f t="shared" si="2"/>
        <v>710.30098999999996</v>
      </c>
      <c r="G64">
        <f t="shared" si="3"/>
        <v>-0.61146999999999996</v>
      </c>
      <c r="H64">
        <f t="shared" si="4"/>
        <v>-434.32774635530001</v>
      </c>
      <c r="I64">
        <v>1</v>
      </c>
      <c r="J64">
        <f t="shared" si="5"/>
        <v>-0.34206646920206701</v>
      </c>
      <c r="K64">
        <f t="shared" si="6"/>
        <v>-0.6102551517752175</v>
      </c>
      <c r="L64">
        <v>1</v>
      </c>
      <c r="M64">
        <f t="shared" si="7"/>
        <v>0.54247818953754023</v>
      </c>
      <c r="N64">
        <f t="shared" si="13"/>
        <v>5.6824079200000002E-2</v>
      </c>
      <c r="O64">
        <f t="shared" si="11"/>
        <v>1.1719966335E-2</v>
      </c>
      <c r="P64">
        <f t="shared" si="12"/>
        <v>-7.6708329732273935E-4</v>
      </c>
      <c r="V64">
        <v>-2.0428103653102899E-14</v>
      </c>
      <c r="W64">
        <f t="shared" si="9"/>
        <v>-0.55899999999999905</v>
      </c>
    </row>
    <row r="65" spans="1:23">
      <c r="A65">
        <v>3.6108321499999998</v>
      </c>
      <c r="B65">
        <v>0.60897999999999997</v>
      </c>
      <c r="C65">
        <f t="shared" si="1"/>
        <v>2.1989245627069995</v>
      </c>
      <c r="D65">
        <v>1.6E-2</v>
      </c>
      <c r="E65">
        <v>3.3E-3</v>
      </c>
      <c r="F65">
        <f t="shared" si="2"/>
        <v>722.16642999999999</v>
      </c>
      <c r="G65">
        <f t="shared" si="3"/>
        <v>-0.60897999999999997</v>
      </c>
      <c r="H65">
        <f t="shared" si="4"/>
        <v>-439.78491254139993</v>
      </c>
      <c r="I65">
        <v>1</v>
      </c>
      <c r="J65">
        <f t="shared" si="5"/>
        <v>-0.32549965418785304</v>
      </c>
      <c r="K65">
        <f t="shared" si="6"/>
        <v>-0.61274515177521749</v>
      </c>
      <c r="L65">
        <v>1</v>
      </c>
      <c r="M65">
        <f t="shared" si="7"/>
        <v>0.54327836670272678</v>
      </c>
      <c r="N65">
        <f t="shared" si="13"/>
        <v>5.7773314399999998E-2</v>
      </c>
      <c r="O65">
        <f t="shared" si="11"/>
        <v>1.1915746094999999E-2</v>
      </c>
      <c r="P65">
        <f t="shared" si="12"/>
        <v>-2.2227542250928545E-4</v>
      </c>
      <c r="V65">
        <v>9.9999999999980105E-2</v>
      </c>
      <c r="W65">
        <f t="shared" si="9"/>
        <v>-0.56382999999999905</v>
      </c>
    </row>
    <row r="66" spans="1:23">
      <c r="A66">
        <v>3.6678555500000001</v>
      </c>
      <c r="B66">
        <v>0.60667000000000004</v>
      </c>
      <c r="C66">
        <f t="shared" si="1"/>
        <v>2.2251779265185001</v>
      </c>
      <c r="D66">
        <v>1.6E-2</v>
      </c>
      <c r="E66">
        <v>3.3E-3</v>
      </c>
      <c r="F66">
        <f t="shared" si="2"/>
        <v>733.57110999999998</v>
      </c>
      <c r="G66">
        <f t="shared" si="3"/>
        <v>-0.60667000000000004</v>
      </c>
      <c r="H66">
        <f t="shared" si="4"/>
        <v>-445.03558530370003</v>
      </c>
      <c r="I66">
        <v>1</v>
      </c>
      <c r="J66">
        <f t="shared" si="5"/>
        <v>-0.30983073994947224</v>
      </c>
      <c r="K66">
        <f t="shared" si="6"/>
        <v>-0.61505515177521741</v>
      </c>
      <c r="L66">
        <v>1</v>
      </c>
      <c r="M66">
        <f t="shared" si="7"/>
        <v>0.54403517526044054</v>
      </c>
      <c r="N66">
        <f t="shared" si="13"/>
        <v>5.8685688800000003E-2</v>
      </c>
      <c r="O66">
        <f t="shared" si="11"/>
        <v>1.2103923315000001E-2</v>
      </c>
      <c r="P66">
        <f t="shared" si="12"/>
        <v>2.3036439977686812E-4</v>
      </c>
      <c r="V66">
        <v>0.19999999999998</v>
      </c>
      <c r="W66">
        <f t="shared" si="9"/>
        <v>-0.56865999999999906</v>
      </c>
    </row>
    <row r="67" spans="1:23">
      <c r="A67">
        <v>3.7300626999999995</v>
      </c>
      <c r="B67">
        <v>0.60424</v>
      </c>
      <c r="C67">
        <f t="shared" si="1"/>
        <v>2.2538530858479997</v>
      </c>
      <c r="D67">
        <v>1.6E-2</v>
      </c>
      <c r="E67">
        <v>3.3E-3</v>
      </c>
      <c r="F67">
        <f t="shared" si="2"/>
        <v>746.01253999999994</v>
      </c>
      <c r="G67">
        <f t="shared" si="3"/>
        <v>-0.60424</v>
      </c>
      <c r="H67">
        <f t="shared" si="4"/>
        <v>-450.77061716959992</v>
      </c>
      <c r="I67">
        <v>1</v>
      </c>
      <c r="J67">
        <f t="shared" si="5"/>
        <v>-0.29301286926818237</v>
      </c>
      <c r="K67">
        <f t="shared" si="6"/>
        <v>-0.61748515177521746</v>
      </c>
      <c r="L67">
        <v>1</v>
      </c>
      <c r="M67">
        <f t="shared" si="7"/>
        <v>0.54484747841434689</v>
      </c>
      <c r="N67">
        <f t="shared" si="13"/>
        <v>5.9681003199999992E-2</v>
      </c>
      <c r="O67">
        <f t="shared" si="11"/>
        <v>1.2309206909999999E-2</v>
      </c>
      <c r="P67">
        <f t="shared" si="12"/>
        <v>6.4746325087057868E-4</v>
      </c>
      <c r="V67">
        <v>0.29999999999998</v>
      </c>
      <c r="W67">
        <f t="shared" si="9"/>
        <v>-0.57348999999999906</v>
      </c>
    </row>
    <row r="68" spans="1:23">
      <c r="A68">
        <v>3.7870860499999996</v>
      </c>
      <c r="B68">
        <v>0.60165000000000002</v>
      </c>
      <c r="C68">
        <f t="shared" si="1"/>
        <v>2.2785003219825</v>
      </c>
      <c r="D68">
        <v>1.6E-2</v>
      </c>
      <c r="E68">
        <v>3.3E-3</v>
      </c>
      <c r="F68">
        <f t="shared" si="2"/>
        <v>757.41720999999995</v>
      </c>
      <c r="G68">
        <f t="shared" si="3"/>
        <v>-0.60165000000000002</v>
      </c>
      <c r="H68">
        <f t="shared" si="4"/>
        <v>-455.70006439650001</v>
      </c>
      <c r="I68">
        <v>1</v>
      </c>
      <c r="J68">
        <f t="shared" si="5"/>
        <v>-0.2778410413009807</v>
      </c>
      <c r="K68">
        <f t="shared" si="6"/>
        <v>-0.62007515177521744</v>
      </c>
      <c r="L68">
        <v>1</v>
      </c>
      <c r="M68">
        <f t="shared" si="7"/>
        <v>0.54558027770516271</v>
      </c>
      <c r="N68">
        <f t="shared" si="13"/>
        <v>6.0593376799999994E-2</v>
      </c>
      <c r="O68">
        <f t="shared" si="11"/>
        <v>1.2497383964999999E-2</v>
      </c>
      <c r="P68">
        <f t="shared" si="12"/>
        <v>1.4041133050547352E-3</v>
      </c>
      <c r="V68">
        <v>0.39999999999997998</v>
      </c>
      <c r="W68">
        <f t="shared" si="9"/>
        <v>-0.57831999999999906</v>
      </c>
    </row>
    <row r="69" spans="1:23">
      <c r="A69">
        <v>3.8452613499999999</v>
      </c>
      <c r="B69">
        <v>0.59926000000000001</v>
      </c>
      <c r="C69">
        <f t="shared" ref="C69:C132" si="14">A69*B69</f>
        <v>2.3043113166009999</v>
      </c>
      <c r="D69">
        <v>1.6E-2</v>
      </c>
      <c r="E69">
        <v>3.3E-3</v>
      </c>
      <c r="F69">
        <f t="shared" ref="F69:F132" si="15">A69*200</f>
        <v>769.05227000000002</v>
      </c>
      <c r="G69">
        <f t="shared" ref="G69:G132" si="16">-B69</f>
        <v>-0.59926000000000001</v>
      </c>
      <c r="H69">
        <f t="shared" ref="H69:H132" si="17">-C69*200</f>
        <v>-460.86226332019999</v>
      </c>
      <c r="I69">
        <v>1</v>
      </c>
      <c r="J69">
        <f t="shared" ref="J69:J132" si="18">LN(F69/1000)</f>
        <v>-0.26259634039502605</v>
      </c>
      <c r="K69">
        <f t="shared" ref="K69:K132" si="19">((-G69)-$N$2)</f>
        <v>-0.62246515177521744</v>
      </c>
      <c r="L69">
        <v>1</v>
      </c>
      <c r="M69">
        <f t="shared" ref="M69:M132" si="20">-1*($S$4+($S$5*J69))</f>
        <v>0.5463165967589203</v>
      </c>
      <c r="N69">
        <f t="shared" si="13"/>
        <v>6.1524181599999998E-2</v>
      </c>
      <c r="O69">
        <f t="shared" si="11"/>
        <v>1.2689362455E-2</v>
      </c>
      <c r="P69">
        <f t="shared" si="12"/>
        <v>1.9350109612971383E-3</v>
      </c>
      <c r="V69">
        <v>0.49999999999998002</v>
      </c>
      <c r="W69">
        <f t="shared" ref="W69:W132" si="21">V69*$S$5+$S$4</f>
        <v>-0.58314999999999906</v>
      </c>
    </row>
    <row r="70" spans="1:23">
      <c r="A70">
        <v>3.9080443000000002</v>
      </c>
      <c r="B70">
        <v>0.59699999999999998</v>
      </c>
      <c r="C70">
        <f t="shared" si="14"/>
        <v>2.3331024470999999</v>
      </c>
      <c r="D70">
        <v>1.6E-2</v>
      </c>
      <c r="E70">
        <v>3.3E-3</v>
      </c>
      <c r="F70">
        <f t="shared" si="15"/>
        <v>781.60886000000005</v>
      </c>
      <c r="G70">
        <f t="shared" si="16"/>
        <v>-0.59699999999999998</v>
      </c>
      <c r="H70">
        <f t="shared" si="17"/>
        <v>-466.62048942000001</v>
      </c>
      <c r="I70">
        <v>1</v>
      </c>
      <c r="J70">
        <f t="shared" si="18"/>
        <v>-0.24640084259621606</v>
      </c>
      <c r="K70">
        <f t="shared" si="19"/>
        <v>-0.62472515177521748</v>
      </c>
      <c r="L70">
        <v>1</v>
      </c>
      <c r="M70">
        <f t="shared" si="20"/>
        <v>0.54709883930260284</v>
      </c>
      <c r="N70">
        <f t="shared" si="13"/>
        <v>6.2528708799999999E-2</v>
      </c>
      <c r="O70">
        <f t="shared" ref="O70:O133" si="22">E70*A70</f>
        <v>1.289654619E-2</v>
      </c>
      <c r="P70">
        <f t="shared" ref="P70:P133" si="23">-K70-M70-N70-O70</f>
        <v>2.2010574826146455E-3</v>
      </c>
      <c r="V70">
        <v>0.59999999999997999</v>
      </c>
      <c r="W70">
        <f t="shared" si="21"/>
        <v>-0.58797999999999906</v>
      </c>
    </row>
    <row r="71" spans="1:23">
      <c r="A71">
        <v>3.9650676499999999</v>
      </c>
      <c r="B71">
        <v>0.59433000000000002</v>
      </c>
      <c r="C71">
        <f t="shared" si="14"/>
        <v>2.3565586564245002</v>
      </c>
      <c r="D71">
        <v>1.6E-2</v>
      </c>
      <c r="E71">
        <v>3.3E-3</v>
      </c>
      <c r="F71">
        <f t="shared" si="15"/>
        <v>793.01352999999995</v>
      </c>
      <c r="G71">
        <f t="shared" si="16"/>
        <v>-0.59433000000000002</v>
      </c>
      <c r="H71">
        <f t="shared" si="17"/>
        <v>-471.31173128490002</v>
      </c>
      <c r="I71">
        <v>1</v>
      </c>
      <c r="J71">
        <f t="shared" si="18"/>
        <v>-0.23191499570217144</v>
      </c>
      <c r="K71">
        <f t="shared" si="19"/>
        <v>-0.62739515177521743</v>
      </c>
      <c r="L71">
        <v>1</v>
      </c>
      <c r="M71">
        <f t="shared" si="20"/>
        <v>0.54779850570758515</v>
      </c>
      <c r="N71">
        <f t="shared" ref="N71:N134" si="24">D71*A71</f>
        <v>6.3441082400000001E-2</v>
      </c>
      <c r="O71">
        <f t="shared" si="22"/>
        <v>1.3084723244999999E-2</v>
      </c>
      <c r="P71">
        <f t="shared" si="23"/>
        <v>3.0708404226322816E-3</v>
      </c>
      <c r="V71">
        <v>0.69999999999997997</v>
      </c>
      <c r="W71">
        <f t="shared" si="21"/>
        <v>-0.59280999999999906</v>
      </c>
    </row>
    <row r="72" spans="1:23">
      <c r="A72">
        <v>4.0226670499999999</v>
      </c>
      <c r="B72">
        <v>0.59202999999999995</v>
      </c>
      <c r="C72">
        <f t="shared" si="14"/>
        <v>2.3815395736114997</v>
      </c>
      <c r="D72">
        <v>1.6E-2</v>
      </c>
      <c r="E72">
        <v>3.3E-3</v>
      </c>
      <c r="F72">
        <f t="shared" si="15"/>
        <v>804.53341</v>
      </c>
      <c r="G72">
        <f t="shared" si="16"/>
        <v>-0.59202999999999995</v>
      </c>
      <c r="H72">
        <f t="shared" si="17"/>
        <v>-476.30791472229993</v>
      </c>
      <c r="I72">
        <v>1</v>
      </c>
      <c r="J72">
        <f t="shared" si="18"/>
        <v>-0.21749278451206219</v>
      </c>
      <c r="K72">
        <f t="shared" si="19"/>
        <v>-0.62969515177521751</v>
      </c>
      <c r="L72">
        <v>1</v>
      </c>
      <c r="M72">
        <f t="shared" si="20"/>
        <v>0.54849509850806744</v>
      </c>
      <c r="N72">
        <f t="shared" si="24"/>
        <v>6.4362672800000006E-2</v>
      </c>
      <c r="O72">
        <f t="shared" si="22"/>
        <v>1.3274801265E-2</v>
      </c>
      <c r="P72">
        <f t="shared" si="23"/>
        <v>3.5625792021500673E-3</v>
      </c>
      <c r="V72">
        <v>0.79999999999997995</v>
      </c>
      <c r="W72">
        <f t="shared" si="21"/>
        <v>-0.59763999999999906</v>
      </c>
    </row>
    <row r="73" spans="1:23">
      <c r="A73">
        <v>4.0808423500000002</v>
      </c>
      <c r="B73">
        <v>0.5897</v>
      </c>
      <c r="C73">
        <f t="shared" si="14"/>
        <v>2.4064727337950003</v>
      </c>
      <c r="D73">
        <v>1.6E-2</v>
      </c>
      <c r="E73">
        <v>3.3E-3</v>
      </c>
      <c r="F73">
        <f t="shared" si="15"/>
        <v>816.16847000000007</v>
      </c>
      <c r="G73">
        <f t="shared" si="16"/>
        <v>-0.5897</v>
      </c>
      <c r="H73">
        <f t="shared" si="17"/>
        <v>-481.29454675900007</v>
      </c>
      <c r="I73">
        <v>1</v>
      </c>
      <c r="J73">
        <f t="shared" si="18"/>
        <v>-0.20313448699428538</v>
      </c>
      <c r="K73">
        <f t="shared" si="19"/>
        <v>-0.63202515177521745</v>
      </c>
      <c r="L73">
        <v>1</v>
      </c>
      <c r="M73">
        <f t="shared" si="20"/>
        <v>0.54918860427817606</v>
      </c>
      <c r="N73">
        <f t="shared" si="24"/>
        <v>6.5293477600000011E-2</v>
      </c>
      <c r="O73">
        <f t="shared" si="22"/>
        <v>1.3466779755E-2</v>
      </c>
      <c r="P73">
        <f t="shared" si="23"/>
        <v>4.0762901420413802E-3</v>
      </c>
      <c r="V73">
        <v>0.89999999999998004</v>
      </c>
      <c r="W73">
        <f t="shared" si="21"/>
        <v>-0.60246999999999906</v>
      </c>
    </row>
    <row r="74" spans="1:23">
      <c r="A74">
        <v>4.1378656999999999</v>
      </c>
      <c r="B74">
        <v>0.5877</v>
      </c>
      <c r="C74">
        <f t="shared" si="14"/>
        <v>2.4318236718899997</v>
      </c>
      <c r="D74">
        <v>1.6E-2</v>
      </c>
      <c r="E74">
        <v>3.3E-3</v>
      </c>
      <c r="F74">
        <f t="shared" si="15"/>
        <v>827.57313999999997</v>
      </c>
      <c r="G74">
        <f t="shared" si="16"/>
        <v>-0.5877</v>
      </c>
      <c r="H74">
        <f t="shared" si="17"/>
        <v>-486.36473437799992</v>
      </c>
      <c r="I74">
        <v>1</v>
      </c>
      <c r="J74">
        <f t="shared" si="18"/>
        <v>-0.18925778892984538</v>
      </c>
      <c r="K74">
        <f t="shared" si="19"/>
        <v>-0.63402515177521745</v>
      </c>
      <c r="L74">
        <v>1</v>
      </c>
      <c r="M74">
        <f t="shared" si="20"/>
        <v>0.54985884879468849</v>
      </c>
      <c r="N74">
        <f t="shared" si="24"/>
        <v>6.6205851199999999E-2</v>
      </c>
      <c r="O74">
        <f t="shared" si="22"/>
        <v>1.3654956809999999E-2</v>
      </c>
      <c r="P74">
        <f t="shared" si="23"/>
        <v>4.3054949705289645E-3</v>
      </c>
      <c r="V74">
        <v>0.99999999999998002</v>
      </c>
      <c r="W74">
        <f t="shared" si="21"/>
        <v>-0.60729999999999906</v>
      </c>
    </row>
    <row r="75" spans="1:23">
      <c r="A75">
        <v>4.1977690499999998</v>
      </c>
      <c r="B75">
        <v>0.58518000000000003</v>
      </c>
      <c r="C75">
        <f t="shared" si="14"/>
        <v>2.4564504926790001</v>
      </c>
      <c r="D75">
        <v>1.6E-2</v>
      </c>
      <c r="E75">
        <v>3.3E-3</v>
      </c>
      <c r="F75">
        <f t="shared" si="15"/>
        <v>839.55381</v>
      </c>
      <c r="G75">
        <f t="shared" si="16"/>
        <v>-0.58518000000000003</v>
      </c>
      <c r="H75">
        <f t="shared" si="17"/>
        <v>-491.29009853579998</v>
      </c>
      <c r="I75">
        <v>1</v>
      </c>
      <c r="J75">
        <f t="shared" si="18"/>
        <v>-0.17488470684152113</v>
      </c>
      <c r="K75">
        <f t="shared" si="19"/>
        <v>-0.63654515177521742</v>
      </c>
      <c r="L75">
        <v>1</v>
      </c>
      <c r="M75">
        <f t="shared" si="20"/>
        <v>0.55055306865955456</v>
      </c>
      <c r="N75">
        <f t="shared" si="24"/>
        <v>6.7164304800000005E-2</v>
      </c>
      <c r="O75">
        <f t="shared" si="22"/>
        <v>1.3852637865E-2</v>
      </c>
      <c r="P75">
        <f t="shared" si="23"/>
        <v>4.9751404506628606E-3</v>
      </c>
      <c r="V75">
        <v>1.0999999999999699</v>
      </c>
      <c r="W75">
        <f t="shared" si="21"/>
        <v>-0.61212999999999862</v>
      </c>
    </row>
    <row r="76" spans="1:23">
      <c r="A76">
        <v>4.2605522999999996</v>
      </c>
      <c r="B76">
        <v>0.58260000000000001</v>
      </c>
      <c r="C76">
        <f t="shared" si="14"/>
        <v>2.48219776998</v>
      </c>
      <c r="D76">
        <v>1.6E-2</v>
      </c>
      <c r="E76">
        <v>3.3E-3</v>
      </c>
      <c r="F76">
        <f t="shared" si="15"/>
        <v>852.11045999999988</v>
      </c>
      <c r="G76">
        <f t="shared" si="16"/>
        <v>-0.58260000000000001</v>
      </c>
      <c r="H76">
        <f t="shared" si="17"/>
        <v>-496.43955399599997</v>
      </c>
      <c r="I76">
        <v>1</v>
      </c>
      <c r="J76">
        <f t="shared" si="18"/>
        <v>-0.16003911266905851</v>
      </c>
      <c r="K76">
        <f t="shared" si="19"/>
        <v>-0.63912515177521745</v>
      </c>
      <c r="L76">
        <v>1</v>
      </c>
      <c r="M76">
        <f t="shared" si="20"/>
        <v>0.55127011085808453</v>
      </c>
      <c r="N76">
        <f t="shared" si="24"/>
        <v>6.8168836799999993E-2</v>
      </c>
      <c r="O76">
        <f t="shared" si="22"/>
        <v>1.4059822589999998E-2</v>
      </c>
      <c r="P76">
        <f t="shared" si="23"/>
        <v>5.6263815271329291E-3</v>
      </c>
      <c r="V76">
        <v>1.19999999999997</v>
      </c>
      <c r="W76">
        <f t="shared" si="21"/>
        <v>-0.61695999999999862</v>
      </c>
    </row>
    <row r="77" spans="1:23">
      <c r="A77">
        <v>4.3216075499999995</v>
      </c>
      <c r="B77">
        <v>0.58008999999999999</v>
      </c>
      <c r="C77">
        <f t="shared" si="14"/>
        <v>2.5069213236794998</v>
      </c>
      <c r="D77">
        <v>1.6E-2</v>
      </c>
      <c r="E77">
        <v>3.3E-3</v>
      </c>
      <c r="F77">
        <f t="shared" si="15"/>
        <v>864.32150999999988</v>
      </c>
      <c r="G77">
        <f t="shared" si="16"/>
        <v>-0.58008999999999999</v>
      </c>
      <c r="H77">
        <f t="shared" si="17"/>
        <v>-501.38426473589999</v>
      </c>
      <c r="I77">
        <v>1</v>
      </c>
      <c r="J77">
        <f t="shared" si="18"/>
        <v>-0.14581046134127845</v>
      </c>
      <c r="K77">
        <f t="shared" si="19"/>
        <v>-0.64163515177521746</v>
      </c>
      <c r="L77">
        <v>1</v>
      </c>
      <c r="M77">
        <f t="shared" si="20"/>
        <v>0.5519573547172163</v>
      </c>
      <c r="N77">
        <f t="shared" si="24"/>
        <v>6.9145720799999991E-2</v>
      </c>
      <c r="O77">
        <f t="shared" si="22"/>
        <v>1.4261304914999998E-2</v>
      </c>
      <c r="P77">
        <f t="shared" si="23"/>
        <v>6.270771343001174E-3</v>
      </c>
      <c r="V77">
        <v>1.2999999999999701</v>
      </c>
      <c r="W77">
        <f t="shared" si="21"/>
        <v>-0.62178999999999862</v>
      </c>
    </row>
    <row r="78" spans="1:23">
      <c r="A78">
        <v>4.3809351999999997</v>
      </c>
      <c r="B78">
        <v>0.57777000000000001</v>
      </c>
      <c r="C78">
        <f t="shared" si="14"/>
        <v>2.5311729305039998</v>
      </c>
      <c r="D78">
        <v>1.6E-2</v>
      </c>
      <c r="E78">
        <v>3.3E-3</v>
      </c>
      <c r="F78">
        <f t="shared" si="15"/>
        <v>876.18703999999991</v>
      </c>
      <c r="G78">
        <f t="shared" si="16"/>
        <v>-0.57777000000000001</v>
      </c>
      <c r="H78">
        <f t="shared" si="17"/>
        <v>-506.23458610079996</v>
      </c>
      <c r="I78">
        <v>1</v>
      </c>
      <c r="J78">
        <f t="shared" si="18"/>
        <v>-0.13217569485530364</v>
      </c>
      <c r="K78">
        <f t="shared" si="19"/>
        <v>-0.64395515177521745</v>
      </c>
      <c r="L78">
        <v>1</v>
      </c>
      <c r="M78">
        <f t="shared" si="20"/>
        <v>0.55261591393848886</v>
      </c>
      <c r="N78">
        <f t="shared" si="24"/>
        <v>7.0094963199999999E-2</v>
      </c>
      <c r="O78">
        <f t="shared" si="22"/>
        <v>1.4457086159999999E-2</v>
      </c>
      <c r="P78">
        <f t="shared" si="23"/>
        <v>6.7871884767285954E-3</v>
      </c>
      <c r="V78">
        <v>1.3999999999999699</v>
      </c>
      <c r="W78">
        <f t="shared" si="21"/>
        <v>-0.62661999999999862</v>
      </c>
    </row>
    <row r="79" spans="1:23">
      <c r="A79">
        <v>4.4379585500000003</v>
      </c>
      <c r="B79">
        <v>0.57521</v>
      </c>
      <c r="C79">
        <f t="shared" si="14"/>
        <v>2.5527581375455002</v>
      </c>
      <c r="D79">
        <v>1.6E-2</v>
      </c>
      <c r="E79">
        <v>3.3E-3</v>
      </c>
      <c r="F79">
        <f t="shared" si="15"/>
        <v>887.59171000000003</v>
      </c>
      <c r="G79">
        <f t="shared" si="16"/>
        <v>-0.57521</v>
      </c>
      <c r="H79">
        <f t="shared" si="17"/>
        <v>-510.55162750910006</v>
      </c>
      <c r="I79">
        <v>1</v>
      </c>
      <c r="J79">
        <f t="shared" si="18"/>
        <v>-0.1192434277600137</v>
      </c>
      <c r="K79">
        <f t="shared" si="19"/>
        <v>-0.64651515177521746</v>
      </c>
      <c r="L79">
        <v>1</v>
      </c>
      <c r="M79">
        <f t="shared" si="20"/>
        <v>0.55324054243919141</v>
      </c>
      <c r="N79">
        <f t="shared" si="24"/>
        <v>7.1007336800000001E-2</v>
      </c>
      <c r="O79">
        <f t="shared" si="22"/>
        <v>1.4645263215000001E-2</v>
      </c>
      <c r="P79">
        <f t="shared" si="23"/>
        <v>7.6220093210260468E-3</v>
      </c>
      <c r="V79">
        <v>1.49999999999997</v>
      </c>
      <c r="W79">
        <f t="shared" si="21"/>
        <v>-0.63144999999999862</v>
      </c>
    </row>
    <row r="80" spans="1:23">
      <c r="A80">
        <v>4.4955575000000003</v>
      </c>
      <c r="B80">
        <v>0.57294999999999996</v>
      </c>
      <c r="C80">
        <f t="shared" si="14"/>
        <v>2.5757296696249998</v>
      </c>
      <c r="D80">
        <v>1.6E-2</v>
      </c>
      <c r="E80">
        <v>3.3E-3</v>
      </c>
      <c r="F80">
        <f t="shared" si="15"/>
        <v>899.11150000000009</v>
      </c>
      <c r="G80">
        <f t="shared" si="16"/>
        <v>-0.57294999999999996</v>
      </c>
      <c r="H80">
        <f t="shared" si="17"/>
        <v>-515.14593392500001</v>
      </c>
      <c r="I80">
        <v>1</v>
      </c>
      <c r="J80">
        <f t="shared" si="18"/>
        <v>-0.10634822550486227</v>
      </c>
      <c r="K80">
        <f t="shared" si="19"/>
        <v>-0.6487751517752175</v>
      </c>
      <c r="L80">
        <v>1</v>
      </c>
      <c r="M80">
        <f t="shared" si="20"/>
        <v>0.55386338070811525</v>
      </c>
      <c r="N80">
        <f t="shared" si="24"/>
        <v>7.1928920000000007E-2</v>
      </c>
      <c r="O80">
        <f t="shared" si="22"/>
        <v>1.4835339750000001E-2</v>
      </c>
      <c r="P80">
        <f t="shared" si="23"/>
        <v>8.1475113171022382E-3</v>
      </c>
      <c r="V80">
        <v>1.5999999999999699</v>
      </c>
      <c r="W80">
        <f t="shared" si="21"/>
        <v>-0.63627999999999862</v>
      </c>
    </row>
    <row r="81" spans="1:23">
      <c r="A81">
        <v>4.5537328000000006</v>
      </c>
      <c r="B81">
        <v>0.57065999999999995</v>
      </c>
      <c r="C81">
        <f t="shared" si="14"/>
        <v>2.5986331596480001</v>
      </c>
      <c r="D81">
        <v>1.6E-2</v>
      </c>
      <c r="E81">
        <v>3.3E-3</v>
      </c>
      <c r="F81">
        <f t="shared" si="15"/>
        <v>910.74656000000016</v>
      </c>
      <c r="G81">
        <f t="shared" si="16"/>
        <v>-0.57065999999999995</v>
      </c>
      <c r="H81">
        <f t="shared" si="17"/>
        <v>-519.72663192959999</v>
      </c>
      <c r="I81">
        <v>1</v>
      </c>
      <c r="J81">
        <f t="shared" si="18"/>
        <v>-9.3490620207377056E-2</v>
      </c>
      <c r="K81">
        <f t="shared" si="19"/>
        <v>-0.65106515177521751</v>
      </c>
      <c r="L81">
        <v>1</v>
      </c>
      <c r="M81">
        <f t="shared" si="20"/>
        <v>0.55448440304398372</v>
      </c>
      <c r="N81">
        <f t="shared" si="24"/>
        <v>7.2859724800000011E-2</v>
      </c>
      <c r="O81">
        <f t="shared" si="22"/>
        <v>1.5027318240000002E-2</v>
      </c>
      <c r="P81">
        <f t="shared" si="23"/>
        <v>8.6937056912337763E-3</v>
      </c>
      <c r="V81">
        <v>1.69999999999997</v>
      </c>
      <c r="W81">
        <f t="shared" si="21"/>
        <v>-0.64110999999999863</v>
      </c>
    </row>
    <row r="82" spans="1:23">
      <c r="A82">
        <v>4.6176681999999998</v>
      </c>
      <c r="B82">
        <v>0.56823000000000001</v>
      </c>
      <c r="C82">
        <f t="shared" si="14"/>
        <v>2.623897601286</v>
      </c>
      <c r="D82">
        <v>1.6E-2</v>
      </c>
      <c r="E82">
        <v>3.3E-3</v>
      </c>
      <c r="F82">
        <f t="shared" si="15"/>
        <v>923.53363999999999</v>
      </c>
      <c r="G82">
        <f t="shared" si="16"/>
        <v>-0.56823000000000001</v>
      </c>
      <c r="H82">
        <f t="shared" si="17"/>
        <v>-524.77952025720003</v>
      </c>
      <c r="I82">
        <v>1</v>
      </c>
      <c r="J82">
        <f t="shared" si="18"/>
        <v>-7.9548053368485194E-2</v>
      </c>
      <c r="K82">
        <f t="shared" si="19"/>
        <v>-0.65349515177521744</v>
      </c>
      <c r="L82">
        <v>1</v>
      </c>
      <c r="M82">
        <f t="shared" si="20"/>
        <v>0.55515782902230226</v>
      </c>
      <c r="N82">
        <f t="shared" si="24"/>
        <v>7.3882691200000003E-2</v>
      </c>
      <c r="O82">
        <f t="shared" si="22"/>
        <v>1.5238305059999999E-2</v>
      </c>
      <c r="P82">
        <f t="shared" si="23"/>
        <v>9.2163264929151778E-3</v>
      </c>
      <c r="V82">
        <v>1.7999999999999701</v>
      </c>
      <c r="W82">
        <f t="shared" si="21"/>
        <v>-0.64593999999999863</v>
      </c>
    </row>
    <row r="83" spans="1:23">
      <c r="A83">
        <v>4.6746916000000001</v>
      </c>
      <c r="B83">
        <v>0.56591000000000002</v>
      </c>
      <c r="C83">
        <f t="shared" si="14"/>
        <v>2.645454723356</v>
      </c>
      <c r="D83">
        <v>1.6E-2</v>
      </c>
      <c r="E83">
        <v>3.3E-3</v>
      </c>
      <c r="F83">
        <f t="shared" si="15"/>
        <v>934.93831999999998</v>
      </c>
      <c r="G83">
        <f t="shared" si="16"/>
        <v>-0.56591000000000002</v>
      </c>
      <c r="H83">
        <f t="shared" si="17"/>
        <v>-529.09094467119996</v>
      </c>
      <c r="I83">
        <v>1</v>
      </c>
      <c r="J83">
        <f t="shared" si="18"/>
        <v>-6.7274719783867135E-2</v>
      </c>
      <c r="K83">
        <f t="shared" si="19"/>
        <v>-0.65581515177521743</v>
      </c>
      <c r="L83">
        <v>1</v>
      </c>
      <c r="M83">
        <f t="shared" si="20"/>
        <v>0.55575063103443922</v>
      </c>
      <c r="N83">
        <f t="shared" si="24"/>
        <v>7.4795065600000002E-2</v>
      </c>
      <c r="O83">
        <f t="shared" si="22"/>
        <v>1.5426482280000001E-2</v>
      </c>
      <c r="P83">
        <f t="shared" si="23"/>
        <v>9.8429728607782041E-3</v>
      </c>
      <c r="V83">
        <v>1.8999999999999699</v>
      </c>
      <c r="W83">
        <f t="shared" si="21"/>
        <v>-0.65076999999999863</v>
      </c>
    </row>
    <row r="84" spans="1:23">
      <c r="A84">
        <v>4.7328671</v>
      </c>
      <c r="B84">
        <v>0.56381999999999999</v>
      </c>
      <c r="C84">
        <f t="shared" si="14"/>
        <v>2.6684851283220001</v>
      </c>
      <c r="D84">
        <v>1.6E-2</v>
      </c>
      <c r="E84">
        <v>3.3E-3</v>
      </c>
      <c r="F84">
        <f t="shared" si="15"/>
        <v>946.57341999999994</v>
      </c>
      <c r="G84">
        <f t="shared" si="16"/>
        <v>-0.56381999999999999</v>
      </c>
      <c r="H84">
        <f t="shared" si="17"/>
        <v>-533.69702566440003</v>
      </c>
      <c r="I84">
        <v>1</v>
      </c>
      <c r="J84">
        <f t="shared" si="18"/>
        <v>-5.490674134643872E-2</v>
      </c>
      <c r="K84">
        <f t="shared" si="19"/>
        <v>-0.65790515177521747</v>
      </c>
      <c r="L84">
        <v>1</v>
      </c>
      <c r="M84">
        <f t="shared" si="20"/>
        <v>0.55634800439296705</v>
      </c>
      <c r="N84">
        <f t="shared" si="24"/>
        <v>7.5725873600000007E-2</v>
      </c>
      <c r="O84">
        <f t="shared" si="22"/>
        <v>1.5618461429999999E-2</v>
      </c>
      <c r="P84">
        <f t="shared" si="23"/>
        <v>1.0212812352250406E-2</v>
      </c>
      <c r="V84">
        <v>1.99999999999997</v>
      </c>
      <c r="W84">
        <f t="shared" si="21"/>
        <v>-0.65559999999999863</v>
      </c>
    </row>
    <row r="85" spans="1:23">
      <c r="A85">
        <v>4.7898904499999997</v>
      </c>
      <c r="B85">
        <v>0.56128</v>
      </c>
      <c r="C85">
        <f t="shared" si="14"/>
        <v>2.6884697117759999</v>
      </c>
      <c r="D85">
        <v>1.6E-2</v>
      </c>
      <c r="E85">
        <v>3.3E-3</v>
      </c>
      <c r="F85">
        <f t="shared" si="15"/>
        <v>957.97808999999995</v>
      </c>
      <c r="G85">
        <f t="shared" si="16"/>
        <v>-0.56128</v>
      </c>
      <c r="H85">
        <f t="shared" si="17"/>
        <v>-537.69394235519997</v>
      </c>
      <c r="I85">
        <v>1</v>
      </c>
      <c r="J85">
        <f t="shared" si="18"/>
        <v>-4.2930371836486153E-2</v>
      </c>
      <c r="K85">
        <f t="shared" si="19"/>
        <v>-0.66044515177521745</v>
      </c>
      <c r="L85">
        <v>1</v>
      </c>
      <c r="M85">
        <f t="shared" si="20"/>
        <v>0.5569264630402978</v>
      </c>
      <c r="N85">
        <f t="shared" si="24"/>
        <v>7.6638247199999995E-2</v>
      </c>
      <c r="O85">
        <f t="shared" si="22"/>
        <v>1.5806638485E-2</v>
      </c>
      <c r="P85">
        <f t="shared" si="23"/>
        <v>1.1073803049919655E-2</v>
      </c>
      <c r="V85">
        <v>2.0999999999999699</v>
      </c>
      <c r="W85">
        <f t="shared" si="21"/>
        <v>-0.66042999999999863</v>
      </c>
    </row>
    <row r="86" spans="1:23">
      <c r="A86">
        <v>4.84691385</v>
      </c>
      <c r="B86">
        <v>0.55898999999999999</v>
      </c>
      <c r="C86">
        <f t="shared" si="14"/>
        <v>2.7093763730115001</v>
      </c>
      <c r="D86">
        <v>1.6E-2</v>
      </c>
      <c r="E86">
        <v>3.3E-3</v>
      </c>
      <c r="F86">
        <f t="shared" si="15"/>
        <v>969.38276999999994</v>
      </c>
      <c r="G86">
        <f t="shared" si="16"/>
        <v>-0.55898999999999999</v>
      </c>
      <c r="H86">
        <f t="shared" si="17"/>
        <v>-541.87527460230001</v>
      </c>
      <c r="I86">
        <v>1</v>
      </c>
      <c r="J86">
        <f t="shared" si="18"/>
        <v>-3.1095729609569762E-2</v>
      </c>
      <c r="K86">
        <f t="shared" si="19"/>
        <v>-0.66273515177521747</v>
      </c>
      <c r="L86">
        <v>1</v>
      </c>
      <c r="M86">
        <f t="shared" si="20"/>
        <v>0.55749807625985781</v>
      </c>
      <c r="N86">
        <f t="shared" si="24"/>
        <v>7.7550621599999994E-2</v>
      </c>
      <c r="O86">
        <f t="shared" si="22"/>
        <v>1.5994815704999998E-2</v>
      </c>
      <c r="P86">
        <f t="shared" si="23"/>
        <v>1.1691638210359664E-2</v>
      </c>
      <c r="V86">
        <v>2.19999999999997</v>
      </c>
      <c r="W86">
        <f t="shared" si="21"/>
        <v>-0.66525999999999863</v>
      </c>
    </row>
    <row r="87" spans="1:23">
      <c r="A87">
        <v>4.9039371999999997</v>
      </c>
      <c r="B87">
        <v>0.55671000000000004</v>
      </c>
      <c r="C87">
        <f t="shared" si="14"/>
        <v>2.730070878612</v>
      </c>
      <c r="D87">
        <v>1.6E-2</v>
      </c>
      <c r="E87">
        <v>3.3E-3</v>
      </c>
      <c r="F87">
        <f t="shared" si="15"/>
        <v>980.78743999999995</v>
      </c>
      <c r="G87">
        <f t="shared" si="16"/>
        <v>-0.55671000000000004</v>
      </c>
      <c r="H87">
        <f t="shared" si="17"/>
        <v>-546.01417572239995</v>
      </c>
      <c r="I87">
        <v>1</v>
      </c>
      <c r="J87">
        <f t="shared" si="18"/>
        <v>-1.9399519754942966E-2</v>
      </c>
      <c r="K87">
        <f t="shared" si="19"/>
        <v>-0.66501515177521742</v>
      </c>
      <c r="L87">
        <v>1</v>
      </c>
      <c r="M87">
        <f t="shared" si="20"/>
        <v>0.55806300319583635</v>
      </c>
      <c r="N87">
        <f t="shared" si="24"/>
        <v>7.8462995199999996E-2</v>
      </c>
      <c r="O87">
        <f t="shared" si="22"/>
        <v>1.6182992759999997E-2</v>
      </c>
      <c r="P87">
        <f t="shared" si="23"/>
        <v>1.2306160619381074E-2</v>
      </c>
      <c r="V87">
        <v>2.2999999999999701</v>
      </c>
      <c r="W87">
        <f t="shared" si="21"/>
        <v>-0.67008999999999863</v>
      </c>
    </row>
    <row r="88" spans="1:23">
      <c r="A88">
        <v>4.9621121499999994</v>
      </c>
      <c r="B88">
        <v>0.55432000000000003</v>
      </c>
      <c r="C88">
        <f t="shared" si="14"/>
        <v>2.7505980069880001</v>
      </c>
      <c r="D88">
        <v>1.6E-2</v>
      </c>
      <c r="E88">
        <v>3.3E-3</v>
      </c>
      <c r="F88">
        <f t="shared" si="15"/>
        <v>992.42242999999985</v>
      </c>
      <c r="G88">
        <f t="shared" si="16"/>
        <v>-0.55432000000000003</v>
      </c>
      <c r="H88">
        <f t="shared" si="17"/>
        <v>-550.11960139760004</v>
      </c>
      <c r="I88">
        <v>1</v>
      </c>
      <c r="J88">
        <f t="shared" si="18"/>
        <v>-7.6064256464290544E-3</v>
      </c>
      <c r="K88">
        <f t="shared" si="19"/>
        <v>-0.66740515177521742</v>
      </c>
      <c r="L88">
        <v>1</v>
      </c>
      <c r="M88">
        <f t="shared" si="20"/>
        <v>0.55863260964127748</v>
      </c>
      <c r="N88">
        <f t="shared" si="24"/>
        <v>7.9393794399999995E-2</v>
      </c>
      <c r="O88">
        <f t="shared" si="22"/>
        <v>1.6374970094999997E-2</v>
      </c>
      <c r="P88">
        <f t="shared" si="23"/>
        <v>1.3003777638939951E-2</v>
      </c>
      <c r="V88">
        <v>2.3999999999999702</v>
      </c>
      <c r="W88">
        <f t="shared" si="21"/>
        <v>-0.67491999999999863</v>
      </c>
    </row>
    <row r="89" spans="1:23">
      <c r="A89">
        <v>5.0208632499999997</v>
      </c>
      <c r="B89">
        <v>0.55210000000000004</v>
      </c>
      <c r="C89">
        <f t="shared" si="14"/>
        <v>2.772018600325</v>
      </c>
      <c r="D89">
        <v>1.6E-2</v>
      </c>
      <c r="E89">
        <v>3.3E-3</v>
      </c>
      <c r="F89">
        <f t="shared" si="15"/>
        <v>1004.17265</v>
      </c>
      <c r="G89">
        <f t="shared" si="16"/>
        <v>-0.55210000000000004</v>
      </c>
      <c r="H89">
        <f t="shared" si="17"/>
        <v>-554.40372006500002</v>
      </c>
      <c r="I89">
        <v>1</v>
      </c>
      <c r="J89">
        <f t="shared" si="18"/>
        <v>4.1639686371358203E-3</v>
      </c>
      <c r="K89">
        <f t="shared" si="19"/>
        <v>-0.66962515177521742</v>
      </c>
      <c r="L89">
        <v>1</v>
      </c>
      <c r="M89">
        <f t="shared" si="20"/>
        <v>0.55920111968517372</v>
      </c>
      <c r="N89">
        <f t="shared" si="24"/>
        <v>8.0333811999999991E-2</v>
      </c>
      <c r="O89">
        <f t="shared" si="22"/>
        <v>1.6568848724999998E-2</v>
      </c>
      <c r="P89">
        <f t="shared" si="23"/>
        <v>1.3521371365043711E-2</v>
      </c>
      <c r="V89">
        <v>2.4999999999999698</v>
      </c>
      <c r="W89">
        <f t="shared" si="21"/>
        <v>-0.67974999999999863</v>
      </c>
    </row>
    <row r="90" spans="1:23">
      <c r="A90">
        <v>5.0790388499999999</v>
      </c>
      <c r="B90">
        <v>0.54981999999999998</v>
      </c>
      <c r="C90">
        <f t="shared" si="14"/>
        <v>2.7925571405069998</v>
      </c>
      <c r="D90">
        <v>1.6E-2</v>
      </c>
      <c r="E90">
        <v>3.3E-3</v>
      </c>
      <c r="F90">
        <f t="shared" si="15"/>
        <v>1015.80777</v>
      </c>
      <c r="G90">
        <f t="shared" si="16"/>
        <v>-0.54981999999999998</v>
      </c>
      <c r="H90">
        <f t="shared" si="17"/>
        <v>-558.51142810139993</v>
      </c>
      <c r="I90">
        <v>1</v>
      </c>
      <c r="J90">
        <f t="shared" si="18"/>
        <v>1.568412849928533E-2</v>
      </c>
      <c r="K90">
        <f t="shared" si="19"/>
        <v>-0.67190515177521748</v>
      </c>
      <c r="L90">
        <v>1</v>
      </c>
      <c r="M90">
        <f t="shared" si="20"/>
        <v>0.55975754340651551</v>
      </c>
      <c r="N90">
        <f t="shared" si="24"/>
        <v>8.1264621600000003E-2</v>
      </c>
      <c r="O90">
        <f t="shared" si="22"/>
        <v>1.6760828204999998E-2</v>
      </c>
      <c r="P90">
        <f t="shared" si="23"/>
        <v>1.4122158563701966E-2</v>
      </c>
      <c r="V90">
        <v>2.5999999999999699</v>
      </c>
      <c r="W90">
        <f t="shared" si="21"/>
        <v>-0.68457999999999863</v>
      </c>
    </row>
    <row r="91" spans="1:23">
      <c r="A91">
        <v>5.1400937500000001</v>
      </c>
      <c r="B91">
        <v>0.54762999999999995</v>
      </c>
      <c r="C91">
        <f t="shared" si="14"/>
        <v>2.8148695403124999</v>
      </c>
      <c r="D91">
        <v>1.6E-2</v>
      </c>
      <c r="E91">
        <v>3.3E-3</v>
      </c>
      <c r="F91">
        <f t="shared" si="15"/>
        <v>1028.01875</v>
      </c>
      <c r="G91">
        <f t="shared" si="16"/>
        <v>-0.54762999999999995</v>
      </c>
      <c r="H91">
        <f t="shared" si="17"/>
        <v>-562.97390806249996</v>
      </c>
      <c r="I91">
        <v>1</v>
      </c>
      <c r="J91">
        <f t="shared" si="18"/>
        <v>2.7633406166250239E-2</v>
      </c>
      <c r="K91">
        <f t="shared" si="19"/>
        <v>-0.6740951517752175</v>
      </c>
      <c r="L91">
        <v>1</v>
      </c>
      <c r="M91">
        <f t="shared" si="20"/>
        <v>0.56033469351782994</v>
      </c>
      <c r="N91">
        <f t="shared" si="24"/>
        <v>8.2241500000000009E-2</v>
      </c>
      <c r="O91">
        <f t="shared" si="22"/>
        <v>1.6962309375000002E-2</v>
      </c>
      <c r="P91">
        <f t="shared" si="23"/>
        <v>1.4556648882387554E-2</v>
      </c>
      <c r="V91">
        <v>2.69999999999997</v>
      </c>
      <c r="W91">
        <f t="shared" si="21"/>
        <v>-0.68940999999999864</v>
      </c>
    </row>
    <row r="92" spans="1:23">
      <c r="A92">
        <v>5.2005732</v>
      </c>
      <c r="B92">
        <v>0.54532999999999998</v>
      </c>
      <c r="C92">
        <f t="shared" si="14"/>
        <v>2.8360285831559997</v>
      </c>
      <c r="D92">
        <v>1.6E-2</v>
      </c>
      <c r="E92">
        <v>3.3E-3</v>
      </c>
      <c r="F92">
        <f t="shared" si="15"/>
        <v>1040.11464</v>
      </c>
      <c r="G92">
        <f t="shared" si="16"/>
        <v>-0.54532999999999998</v>
      </c>
      <c r="H92">
        <f t="shared" si="17"/>
        <v>-567.20571663119995</v>
      </c>
      <c r="I92">
        <v>1</v>
      </c>
      <c r="J92">
        <f t="shared" si="18"/>
        <v>3.9330937847547334E-2</v>
      </c>
      <c r="K92">
        <f t="shared" si="19"/>
        <v>-0.67639515177521747</v>
      </c>
      <c r="L92">
        <v>1</v>
      </c>
      <c r="M92">
        <f t="shared" si="20"/>
        <v>0.5608996842980366</v>
      </c>
      <c r="N92">
        <f t="shared" si="24"/>
        <v>8.3209171200000001E-2</v>
      </c>
      <c r="O92">
        <f t="shared" si="22"/>
        <v>1.716189156E-2</v>
      </c>
      <c r="P92">
        <f t="shared" si="23"/>
        <v>1.5124404717180868E-2</v>
      </c>
      <c r="V92">
        <v>2.7999999999999701</v>
      </c>
      <c r="W92">
        <f t="shared" si="21"/>
        <v>-0.69423999999999864</v>
      </c>
    </row>
    <row r="93" spans="1:23">
      <c r="A93">
        <v>5.2593242999999994</v>
      </c>
      <c r="B93">
        <v>0.54274</v>
      </c>
      <c r="C93">
        <f t="shared" si="14"/>
        <v>2.8544456705819998</v>
      </c>
      <c r="D93">
        <v>1.6E-2</v>
      </c>
      <c r="E93">
        <v>3.3E-3</v>
      </c>
      <c r="F93">
        <f t="shared" si="15"/>
        <v>1051.8648599999999</v>
      </c>
      <c r="G93">
        <f t="shared" si="16"/>
        <v>-0.54274</v>
      </c>
      <c r="H93">
        <f t="shared" si="17"/>
        <v>-570.88913411639999</v>
      </c>
      <c r="I93">
        <v>1</v>
      </c>
      <c r="J93">
        <f t="shared" si="18"/>
        <v>5.0564645987770253E-2</v>
      </c>
      <c r="K93">
        <f t="shared" si="19"/>
        <v>-0.67898515177521745</v>
      </c>
      <c r="L93">
        <v>1</v>
      </c>
      <c r="M93">
        <f t="shared" si="20"/>
        <v>0.56144227240120936</v>
      </c>
      <c r="N93">
        <f t="shared" si="24"/>
        <v>8.4149188799999997E-2</v>
      </c>
      <c r="O93">
        <f t="shared" si="22"/>
        <v>1.7355770189999998E-2</v>
      </c>
      <c r="P93">
        <f t="shared" si="23"/>
        <v>1.6037920384008097E-2</v>
      </c>
      <c r="V93">
        <v>2.8999999999999702</v>
      </c>
      <c r="W93">
        <f t="shared" si="21"/>
        <v>-0.69906999999999864</v>
      </c>
    </row>
    <row r="94" spans="1:23">
      <c r="A94">
        <v>5.3192282000000004</v>
      </c>
      <c r="B94">
        <v>0.54001999999999994</v>
      </c>
      <c r="C94">
        <f t="shared" si="14"/>
        <v>2.8724896125639998</v>
      </c>
      <c r="D94">
        <v>1.6E-2</v>
      </c>
      <c r="E94">
        <v>3.3E-3</v>
      </c>
      <c r="F94">
        <f t="shared" si="15"/>
        <v>1063.84564</v>
      </c>
      <c r="G94">
        <f t="shared" si="16"/>
        <v>-0.54001999999999994</v>
      </c>
      <c r="H94">
        <f t="shared" si="17"/>
        <v>-574.49792251279996</v>
      </c>
      <c r="I94">
        <v>1</v>
      </c>
      <c r="J94">
        <f t="shared" si="18"/>
        <v>6.1890305207059765E-2</v>
      </c>
      <c r="K94">
        <f t="shared" si="19"/>
        <v>-0.68170515177521751</v>
      </c>
      <c r="L94">
        <v>1</v>
      </c>
      <c r="M94">
        <f t="shared" si="20"/>
        <v>0.56198930174150108</v>
      </c>
      <c r="N94">
        <f t="shared" si="24"/>
        <v>8.5107651200000009E-2</v>
      </c>
      <c r="O94">
        <f t="shared" si="22"/>
        <v>1.7553453060000002E-2</v>
      </c>
      <c r="P94">
        <f t="shared" si="23"/>
        <v>1.705474577371642E-2</v>
      </c>
      <c r="V94">
        <v>2.9999999999999698</v>
      </c>
      <c r="W94">
        <f t="shared" si="21"/>
        <v>-0.70389999999999864</v>
      </c>
    </row>
    <row r="95" spans="1:23">
      <c r="A95">
        <v>5.3768269999999996</v>
      </c>
      <c r="B95">
        <v>0.53776000000000002</v>
      </c>
      <c r="C95">
        <f t="shared" si="14"/>
        <v>2.89144248752</v>
      </c>
      <c r="D95">
        <v>1.6E-2</v>
      </c>
      <c r="E95">
        <v>3.3E-3</v>
      </c>
      <c r="F95">
        <f t="shared" si="15"/>
        <v>1075.3653999999999</v>
      </c>
      <c r="G95">
        <f t="shared" si="16"/>
        <v>-0.53776000000000002</v>
      </c>
      <c r="H95">
        <f t="shared" si="17"/>
        <v>-578.28849750400002</v>
      </c>
      <c r="I95">
        <v>1</v>
      </c>
      <c r="J95">
        <f t="shared" si="18"/>
        <v>7.266051080108106E-2</v>
      </c>
      <c r="K95">
        <f t="shared" si="19"/>
        <v>-0.68396515177521744</v>
      </c>
      <c r="L95">
        <v>1</v>
      </c>
      <c r="M95">
        <f t="shared" si="20"/>
        <v>0.56250950267169231</v>
      </c>
      <c r="N95">
        <f t="shared" si="24"/>
        <v>8.6029231999999997E-2</v>
      </c>
      <c r="O95">
        <f t="shared" si="22"/>
        <v>1.7743529099999999E-2</v>
      </c>
      <c r="P95">
        <f t="shared" si="23"/>
        <v>1.7682888003525136E-2</v>
      </c>
      <c r="V95">
        <v>3.0999999999999699</v>
      </c>
      <c r="W95">
        <f t="shared" si="21"/>
        <v>-0.70872999999999864</v>
      </c>
    </row>
    <row r="96" spans="1:23">
      <c r="A96">
        <v>5.4350026500000004</v>
      </c>
      <c r="B96">
        <v>0.53554999999999997</v>
      </c>
      <c r="C96">
        <f t="shared" si="14"/>
        <v>2.9107156692075002</v>
      </c>
      <c r="D96">
        <v>1.6E-2</v>
      </c>
      <c r="E96">
        <v>3.3E-3</v>
      </c>
      <c r="F96">
        <f t="shared" si="15"/>
        <v>1087.00053</v>
      </c>
      <c r="G96">
        <f t="shared" si="16"/>
        <v>-0.53554999999999997</v>
      </c>
      <c r="H96">
        <f t="shared" si="17"/>
        <v>-582.1431338415</v>
      </c>
      <c r="I96">
        <v>1</v>
      </c>
      <c r="J96">
        <f t="shared" si="18"/>
        <v>8.3422095719450376E-2</v>
      </c>
      <c r="K96">
        <f t="shared" si="19"/>
        <v>-0.68617515177521748</v>
      </c>
      <c r="L96">
        <v>1</v>
      </c>
      <c r="M96">
        <f t="shared" si="20"/>
        <v>0.56302928722324952</v>
      </c>
      <c r="N96">
        <f t="shared" si="24"/>
        <v>8.6960042400000007E-2</v>
      </c>
      <c r="O96">
        <f t="shared" si="22"/>
        <v>1.7935508745000002E-2</v>
      </c>
      <c r="P96">
        <f t="shared" si="23"/>
        <v>1.8250313406967957E-2</v>
      </c>
      <c r="V96">
        <v>3.19999999999997</v>
      </c>
      <c r="W96">
        <f t="shared" si="21"/>
        <v>-0.71355999999999864</v>
      </c>
    </row>
    <row r="97" spans="1:23">
      <c r="A97">
        <v>5.4920258999999998</v>
      </c>
      <c r="B97">
        <v>0.53354999999999997</v>
      </c>
      <c r="C97">
        <f t="shared" si="14"/>
        <v>2.9302704189449997</v>
      </c>
      <c r="D97">
        <v>1.6E-2</v>
      </c>
      <c r="E97">
        <v>3.3E-3</v>
      </c>
      <c r="F97">
        <f t="shared" si="15"/>
        <v>1098.40518</v>
      </c>
      <c r="G97">
        <f t="shared" si="16"/>
        <v>-0.53354999999999997</v>
      </c>
      <c r="H97">
        <f t="shared" si="17"/>
        <v>-586.05408378899995</v>
      </c>
      <c r="I97">
        <v>1</v>
      </c>
      <c r="J97">
        <f t="shared" si="18"/>
        <v>9.3859291410977486E-2</v>
      </c>
      <c r="K97">
        <f t="shared" si="19"/>
        <v>-0.68817515177521749</v>
      </c>
      <c r="L97">
        <v>1</v>
      </c>
      <c r="M97">
        <f t="shared" si="20"/>
        <v>0.56353340377515027</v>
      </c>
      <c r="N97">
        <f t="shared" si="24"/>
        <v>8.7872414400000001E-2</v>
      </c>
      <c r="O97">
        <f t="shared" si="22"/>
        <v>1.8123685469999998E-2</v>
      </c>
      <c r="P97">
        <f t="shared" si="23"/>
        <v>1.8645648130067222E-2</v>
      </c>
      <c r="V97">
        <v>3.2999999999999701</v>
      </c>
      <c r="W97">
        <f t="shared" si="21"/>
        <v>-0.71838999999999864</v>
      </c>
    </row>
    <row r="98" spans="1:23">
      <c r="A98">
        <v>5.5507771000000004</v>
      </c>
      <c r="B98">
        <v>0.53110999999999997</v>
      </c>
      <c r="C98">
        <f t="shared" si="14"/>
        <v>2.948073225581</v>
      </c>
      <c r="D98">
        <v>1.6E-2</v>
      </c>
      <c r="E98">
        <v>3.3E-3</v>
      </c>
      <c r="F98">
        <f t="shared" si="15"/>
        <v>1110.15542</v>
      </c>
      <c r="G98">
        <f t="shared" si="16"/>
        <v>-0.53110999999999997</v>
      </c>
      <c r="H98">
        <f t="shared" si="17"/>
        <v>-589.61464511619999</v>
      </c>
      <c r="I98">
        <v>1</v>
      </c>
      <c r="J98">
        <f t="shared" si="18"/>
        <v>0.10450002354065313</v>
      </c>
      <c r="K98">
        <f t="shared" si="19"/>
        <v>-0.69061515177521748</v>
      </c>
      <c r="L98">
        <v>1</v>
      </c>
      <c r="M98">
        <f t="shared" si="20"/>
        <v>0.56404735113701365</v>
      </c>
      <c r="N98">
        <f t="shared" si="24"/>
        <v>8.8812433600000004E-2</v>
      </c>
      <c r="O98">
        <f t="shared" si="22"/>
        <v>1.8317564430000002E-2</v>
      </c>
      <c r="P98">
        <f t="shared" si="23"/>
        <v>1.9437802608203825E-2</v>
      </c>
      <c r="V98">
        <v>3.3999999999999702</v>
      </c>
      <c r="W98">
        <f t="shared" si="21"/>
        <v>-0.72321999999999864</v>
      </c>
    </row>
    <row r="99" spans="1:23">
      <c r="A99">
        <v>5.60952815</v>
      </c>
      <c r="B99">
        <v>0.52883000000000002</v>
      </c>
      <c r="C99">
        <f t="shared" si="14"/>
        <v>2.9664867715645</v>
      </c>
      <c r="D99">
        <v>1.6E-2</v>
      </c>
      <c r="E99">
        <v>3.3E-3</v>
      </c>
      <c r="F99">
        <f t="shared" si="15"/>
        <v>1121.90563</v>
      </c>
      <c r="G99">
        <f t="shared" si="16"/>
        <v>-0.52883000000000002</v>
      </c>
      <c r="H99">
        <f t="shared" si="17"/>
        <v>-593.29735431289998</v>
      </c>
      <c r="I99">
        <v>1</v>
      </c>
      <c r="J99">
        <f t="shared" si="18"/>
        <v>0.11502869482876366</v>
      </c>
      <c r="K99">
        <f t="shared" si="19"/>
        <v>-0.69289515177521743</v>
      </c>
      <c r="L99">
        <v>1</v>
      </c>
      <c r="M99">
        <f t="shared" si="20"/>
        <v>0.56455588596022932</v>
      </c>
      <c r="N99">
        <f t="shared" si="24"/>
        <v>8.9752450400000003E-2</v>
      </c>
      <c r="O99">
        <f t="shared" si="22"/>
        <v>1.8511442895000001E-2</v>
      </c>
      <c r="P99">
        <f t="shared" si="23"/>
        <v>2.0075372519988109E-2</v>
      </c>
      <c r="V99">
        <v>3.4999999999999698</v>
      </c>
      <c r="W99">
        <f t="shared" si="21"/>
        <v>-0.72804999999999864</v>
      </c>
    </row>
    <row r="100" spans="1:23">
      <c r="A100">
        <v>5.6677042500000008</v>
      </c>
      <c r="B100">
        <v>0.52647999999999995</v>
      </c>
      <c r="C100">
        <f t="shared" si="14"/>
        <v>2.9839329335400002</v>
      </c>
      <c r="D100">
        <v>1.6E-2</v>
      </c>
      <c r="E100">
        <v>3.3E-3</v>
      </c>
      <c r="F100">
        <f t="shared" si="15"/>
        <v>1133.5408500000001</v>
      </c>
      <c r="G100">
        <f t="shared" si="16"/>
        <v>-0.52647999999999995</v>
      </c>
      <c r="H100">
        <f t="shared" si="17"/>
        <v>-596.78658670800007</v>
      </c>
      <c r="I100">
        <v>1</v>
      </c>
      <c r="J100">
        <f t="shared" si="18"/>
        <v>0.12534622913388507</v>
      </c>
      <c r="K100">
        <f t="shared" si="19"/>
        <v>-0.69524515177521751</v>
      </c>
      <c r="L100">
        <v>1</v>
      </c>
      <c r="M100">
        <f t="shared" si="20"/>
        <v>0.56505422286716667</v>
      </c>
      <c r="N100">
        <f t="shared" si="24"/>
        <v>9.0683268000000011E-2</v>
      </c>
      <c r="O100">
        <f t="shared" si="22"/>
        <v>1.8703424025000002E-2</v>
      </c>
      <c r="P100">
        <f t="shared" si="23"/>
        <v>2.0804236883050827E-2</v>
      </c>
      <c r="V100">
        <v>3.5999999999999699</v>
      </c>
      <c r="W100">
        <f t="shared" si="21"/>
        <v>-0.73287999999999864</v>
      </c>
    </row>
    <row r="101" spans="1:23">
      <c r="A101">
        <v>5.7287592500000004</v>
      </c>
      <c r="B101">
        <v>0.52415999999999996</v>
      </c>
      <c r="C101">
        <f t="shared" si="14"/>
        <v>3.0027864484800002</v>
      </c>
      <c r="D101">
        <v>1.6E-2</v>
      </c>
      <c r="E101">
        <v>3.3E-3</v>
      </c>
      <c r="F101">
        <f t="shared" si="15"/>
        <v>1145.7518500000001</v>
      </c>
      <c r="G101">
        <f t="shared" si="16"/>
        <v>-0.52415999999999996</v>
      </c>
      <c r="H101">
        <f t="shared" si="17"/>
        <v>-600.557289696</v>
      </c>
      <c r="I101">
        <v>1</v>
      </c>
      <c r="J101">
        <f t="shared" si="18"/>
        <v>0.13606105906867749</v>
      </c>
      <c r="K101">
        <f t="shared" si="19"/>
        <v>-0.6975651517752175</v>
      </c>
      <c r="L101">
        <v>1</v>
      </c>
      <c r="M101">
        <f t="shared" si="20"/>
        <v>0.56557174915301722</v>
      </c>
      <c r="N101">
        <f t="shared" si="24"/>
        <v>9.1660148000000011E-2</v>
      </c>
      <c r="O101">
        <f t="shared" si="22"/>
        <v>1.8904905525000001E-2</v>
      </c>
      <c r="P101">
        <f t="shared" si="23"/>
        <v>2.1428349097200261E-2</v>
      </c>
      <c r="V101">
        <v>3.69999999999997</v>
      </c>
      <c r="W101">
        <f t="shared" si="21"/>
        <v>-0.73770999999999864</v>
      </c>
    </row>
    <row r="102" spans="1:23">
      <c r="A102">
        <v>5.7903902500000006</v>
      </c>
      <c r="B102">
        <v>0.52161999999999997</v>
      </c>
      <c r="C102">
        <f t="shared" si="14"/>
        <v>3.020383362205</v>
      </c>
      <c r="D102">
        <v>1.6E-2</v>
      </c>
      <c r="E102">
        <v>3.3E-3</v>
      </c>
      <c r="F102">
        <f t="shared" si="15"/>
        <v>1158.0780500000001</v>
      </c>
      <c r="G102">
        <f t="shared" si="16"/>
        <v>-0.52161999999999997</v>
      </c>
      <c r="H102">
        <f t="shared" si="17"/>
        <v>-604.07667244100003</v>
      </c>
      <c r="I102">
        <v>1</v>
      </c>
      <c r="J102">
        <f t="shared" si="18"/>
        <v>0.14676177757032535</v>
      </c>
      <c r="K102">
        <f t="shared" si="19"/>
        <v>-0.70010515177521748</v>
      </c>
      <c r="L102">
        <v>1</v>
      </c>
      <c r="M102">
        <f t="shared" si="20"/>
        <v>0.56608859385664678</v>
      </c>
      <c r="N102">
        <f t="shared" si="24"/>
        <v>9.2646244000000016E-2</v>
      </c>
      <c r="O102">
        <f t="shared" si="22"/>
        <v>1.9108287825E-2</v>
      </c>
      <c r="P102">
        <f t="shared" si="23"/>
        <v>2.2262026093570683E-2</v>
      </c>
      <c r="V102">
        <v>3.7999999999999701</v>
      </c>
      <c r="W102">
        <f t="shared" si="21"/>
        <v>-0.74253999999999865</v>
      </c>
    </row>
    <row r="103" spans="1:23">
      <c r="A103">
        <v>5.8514457000000002</v>
      </c>
      <c r="B103">
        <v>0.51902999999999999</v>
      </c>
      <c r="C103">
        <f t="shared" si="14"/>
        <v>3.0370758616710001</v>
      </c>
      <c r="D103">
        <v>1.6E-2</v>
      </c>
      <c r="E103">
        <v>3.3E-3</v>
      </c>
      <c r="F103">
        <f t="shared" si="15"/>
        <v>1170.2891400000001</v>
      </c>
      <c r="G103">
        <f t="shared" si="16"/>
        <v>-0.51902999999999999</v>
      </c>
      <c r="H103">
        <f t="shared" si="17"/>
        <v>-607.41517233420007</v>
      </c>
      <c r="I103">
        <v>1</v>
      </c>
      <c r="J103">
        <f t="shared" si="18"/>
        <v>0.15725084648364818</v>
      </c>
      <c r="K103">
        <f t="shared" si="19"/>
        <v>-0.70269515177521746</v>
      </c>
      <c r="L103">
        <v>1</v>
      </c>
      <c r="M103">
        <f t="shared" si="20"/>
        <v>0.56659521588516026</v>
      </c>
      <c r="N103">
        <f t="shared" si="24"/>
        <v>9.3623131200000001E-2</v>
      </c>
      <c r="O103">
        <f t="shared" si="22"/>
        <v>1.9309770810000002E-2</v>
      </c>
      <c r="P103">
        <f t="shared" si="23"/>
        <v>2.3167033880057197E-2</v>
      </c>
      <c r="V103">
        <v>3.8999999999999599</v>
      </c>
      <c r="W103">
        <f t="shared" si="21"/>
        <v>-0.74736999999999809</v>
      </c>
    </row>
    <row r="104" spans="1:23">
      <c r="A104">
        <v>5.9084685500000003</v>
      </c>
      <c r="B104">
        <v>0.51680999999999999</v>
      </c>
      <c r="C104">
        <f t="shared" si="14"/>
        <v>3.0535556313255001</v>
      </c>
      <c r="D104">
        <v>1.6E-2</v>
      </c>
      <c r="E104">
        <v>3.3E-3</v>
      </c>
      <c r="F104">
        <f t="shared" si="15"/>
        <v>1181.69371</v>
      </c>
      <c r="G104">
        <f t="shared" si="16"/>
        <v>-0.51680999999999999</v>
      </c>
      <c r="H104">
        <f t="shared" si="17"/>
        <v>-610.71112626510001</v>
      </c>
      <c r="I104">
        <v>1</v>
      </c>
      <c r="J104">
        <f t="shared" si="18"/>
        <v>0.16694875680869017</v>
      </c>
      <c r="K104">
        <f t="shared" si="19"/>
        <v>-0.70491515177521746</v>
      </c>
      <c r="L104">
        <v>1</v>
      </c>
      <c r="M104">
        <f t="shared" si="20"/>
        <v>0.56706362495385976</v>
      </c>
      <c r="N104">
        <f t="shared" si="24"/>
        <v>9.4535496800000007E-2</v>
      </c>
      <c r="O104">
        <f t="shared" si="22"/>
        <v>1.9497946214999999E-2</v>
      </c>
      <c r="P104">
        <f t="shared" si="23"/>
        <v>2.38180838063577E-2</v>
      </c>
      <c r="V104">
        <v>3.99999999999996</v>
      </c>
      <c r="W104">
        <f t="shared" si="21"/>
        <v>-0.75219999999999809</v>
      </c>
    </row>
    <row r="105" spans="1:23">
      <c r="A105">
        <v>5.9677962999999998</v>
      </c>
      <c r="B105">
        <v>0.51458000000000004</v>
      </c>
      <c r="C105">
        <f t="shared" si="14"/>
        <v>3.0709086200540003</v>
      </c>
      <c r="D105">
        <v>1.6E-2</v>
      </c>
      <c r="E105">
        <v>3.3E-3</v>
      </c>
      <c r="F105">
        <f t="shared" si="15"/>
        <v>1193.55926</v>
      </c>
      <c r="G105">
        <f t="shared" si="16"/>
        <v>-0.51458000000000004</v>
      </c>
      <c r="H105">
        <f t="shared" si="17"/>
        <v>-614.18172401080005</v>
      </c>
      <c r="I105">
        <v>1</v>
      </c>
      <c r="J105">
        <f t="shared" si="18"/>
        <v>0.17693981784731461</v>
      </c>
      <c r="K105">
        <f t="shared" si="19"/>
        <v>-0.70714515177521742</v>
      </c>
      <c r="L105">
        <v>1</v>
      </c>
      <c r="M105">
        <f t="shared" si="20"/>
        <v>0.56754619320202537</v>
      </c>
      <c r="N105">
        <f t="shared" si="24"/>
        <v>9.5484740799999995E-2</v>
      </c>
      <c r="O105">
        <f t="shared" si="22"/>
        <v>1.9693727790000001E-2</v>
      </c>
      <c r="P105">
        <f t="shared" si="23"/>
        <v>2.4420489983192049E-2</v>
      </c>
      <c r="V105">
        <v>4.0999999999999996</v>
      </c>
      <c r="W105">
        <f t="shared" si="21"/>
        <v>-0.75703000000000009</v>
      </c>
    </row>
    <row r="106" spans="1:23">
      <c r="A106">
        <v>6.0253957000000007</v>
      </c>
      <c r="B106">
        <v>0.51227</v>
      </c>
      <c r="C106">
        <f t="shared" si="14"/>
        <v>3.0866294552390006</v>
      </c>
      <c r="D106">
        <v>1.6E-2</v>
      </c>
      <c r="E106">
        <v>3.3E-3</v>
      </c>
      <c r="F106">
        <f t="shared" si="15"/>
        <v>1205.0791400000001</v>
      </c>
      <c r="G106">
        <f t="shared" si="16"/>
        <v>-0.51227</v>
      </c>
      <c r="H106">
        <f t="shared" si="17"/>
        <v>-617.32589104780016</v>
      </c>
      <c r="I106">
        <v>1</v>
      </c>
      <c r="J106">
        <f t="shared" si="18"/>
        <v>0.18654524113456913</v>
      </c>
      <c r="K106">
        <f t="shared" si="19"/>
        <v>-0.70945515177521745</v>
      </c>
      <c r="L106">
        <v>1</v>
      </c>
      <c r="M106">
        <f t="shared" si="20"/>
        <v>0.56801013514679977</v>
      </c>
      <c r="N106">
        <f t="shared" si="24"/>
        <v>9.6406331200000014E-2</v>
      </c>
      <c r="O106">
        <f t="shared" si="22"/>
        <v>1.9883805810000002E-2</v>
      </c>
      <c r="P106">
        <f t="shared" si="23"/>
        <v>2.5154879618417669E-2</v>
      </c>
      <c r="V106">
        <v>4.2</v>
      </c>
      <c r="W106">
        <f t="shared" si="21"/>
        <v>-0.76186000000000009</v>
      </c>
    </row>
    <row r="107" spans="1:23">
      <c r="A107">
        <v>6.0852984499999998</v>
      </c>
      <c r="B107">
        <v>0.50995000000000001</v>
      </c>
      <c r="C107">
        <f t="shared" si="14"/>
        <v>3.1031979445775</v>
      </c>
      <c r="D107">
        <v>1.6E-2</v>
      </c>
      <c r="E107">
        <v>3.3E-3</v>
      </c>
      <c r="F107">
        <f t="shared" si="15"/>
        <v>1217.05969</v>
      </c>
      <c r="G107">
        <f t="shared" si="16"/>
        <v>-0.50995000000000001</v>
      </c>
      <c r="H107">
        <f t="shared" si="17"/>
        <v>-620.63958891549998</v>
      </c>
      <c r="I107">
        <v>1</v>
      </c>
      <c r="J107">
        <f t="shared" si="18"/>
        <v>0.19643785963911664</v>
      </c>
      <c r="K107">
        <f t="shared" si="19"/>
        <v>-0.71177515177521744</v>
      </c>
      <c r="L107">
        <v>1</v>
      </c>
      <c r="M107">
        <f t="shared" si="20"/>
        <v>0.56848794862056939</v>
      </c>
      <c r="N107">
        <f t="shared" si="24"/>
        <v>9.7364775200000003E-2</v>
      </c>
      <c r="O107">
        <f t="shared" si="22"/>
        <v>2.0081484885000001E-2</v>
      </c>
      <c r="P107">
        <f t="shared" si="23"/>
        <v>2.5840943069648042E-2</v>
      </c>
      <c r="V107">
        <v>4.3</v>
      </c>
      <c r="W107">
        <f t="shared" si="21"/>
        <v>-0.76669000000000009</v>
      </c>
    </row>
    <row r="108" spans="1:23">
      <c r="A108">
        <v>6.14347405</v>
      </c>
      <c r="B108">
        <v>0.50766999999999995</v>
      </c>
      <c r="C108">
        <f t="shared" si="14"/>
        <v>3.1188574709634995</v>
      </c>
      <c r="D108">
        <v>1.6E-2</v>
      </c>
      <c r="E108">
        <v>3.3E-3</v>
      </c>
      <c r="F108">
        <f t="shared" si="15"/>
        <v>1228.69481</v>
      </c>
      <c r="G108">
        <f t="shared" si="16"/>
        <v>-0.50766999999999995</v>
      </c>
      <c r="H108">
        <f t="shared" si="17"/>
        <v>-623.77149419269995</v>
      </c>
      <c r="I108">
        <v>1</v>
      </c>
      <c r="J108">
        <f t="shared" si="18"/>
        <v>0.20595247590590685</v>
      </c>
      <c r="K108">
        <f t="shared" si="19"/>
        <v>-0.7140551517752175</v>
      </c>
      <c r="L108">
        <v>1</v>
      </c>
      <c r="M108">
        <f t="shared" si="20"/>
        <v>0.56894750458625531</v>
      </c>
      <c r="N108">
        <f t="shared" si="24"/>
        <v>9.8295584800000002E-2</v>
      </c>
      <c r="O108">
        <f t="shared" si="22"/>
        <v>2.0273464365E-2</v>
      </c>
      <c r="P108">
        <f t="shared" si="23"/>
        <v>2.6538598023962183E-2</v>
      </c>
      <c r="V108">
        <v>4.4000000000000004</v>
      </c>
      <c r="W108">
        <f t="shared" si="21"/>
        <v>-0.77152000000000009</v>
      </c>
    </row>
    <row r="109" spans="1:23">
      <c r="A109">
        <v>6.2039534000000005</v>
      </c>
      <c r="B109">
        <v>0.50543000000000005</v>
      </c>
      <c r="C109">
        <f t="shared" si="14"/>
        <v>3.1356641669620005</v>
      </c>
      <c r="D109">
        <v>1.6E-2</v>
      </c>
      <c r="E109">
        <v>3.3E-3</v>
      </c>
      <c r="F109">
        <f t="shared" si="15"/>
        <v>1240.7906800000001</v>
      </c>
      <c r="G109">
        <f t="shared" si="16"/>
        <v>-0.50543000000000005</v>
      </c>
      <c r="H109">
        <f t="shared" si="17"/>
        <v>-627.13283339240013</v>
      </c>
      <c r="I109">
        <v>1</v>
      </c>
      <c r="J109">
        <f t="shared" si="18"/>
        <v>0.2157488215689391</v>
      </c>
      <c r="K109">
        <f t="shared" si="19"/>
        <v>-0.71629515177521741</v>
      </c>
      <c r="L109">
        <v>1</v>
      </c>
      <c r="M109">
        <f t="shared" si="20"/>
        <v>0.56942066808177982</v>
      </c>
      <c r="N109">
        <f t="shared" si="24"/>
        <v>9.9263254400000014E-2</v>
      </c>
      <c r="O109">
        <f t="shared" si="22"/>
        <v>2.0473046220000003E-2</v>
      </c>
      <c r="P109">
        <f t="shared" si="23"/>
        <v>2.7138183073437568E-2</v>
      </c>
      <c r="V109">
        <v>4.5</v>
      </c>
      <c r="W109">
        <f t="shared" si="21"/>
        <v>-0.7763500000000001</v>
      </c>
    </row>
    <row r="110" spans="1:23">
      <c r="A110">
        <v>6.2627045999999993</v>
      </c>
      <c r="B110">
        <v>0.50290999999999997</v>
      </c>
      <c r="C110">
        <f t="shared" si="14"/>
        <v>3.1495767703859996</v>
      </c>
      <c r="D110">
        <v>1.6E-2</v>
      </c>
      <c r="E110">
        <v>3.3E-3</v>
      </c>
      <c r="F110">
        <f t="shared" si="15"/>
        <v>1252.5409199999999</v>
      </c>
      <c r="G110">
        <f t="shared" si="16"/>
        <v>-0.50290999999999997</v>
      </c>
      <c r="H110">
        <f t="shared" si="17"/>
        <v>-629.91535407719994</v>
      </c>
      <c r="I110">
        <v>1</v>
      </c>
      <c r="J110">
        <f t="shared" si="18"/>
        <v>0.22517422410189106</v>
      </c>
      <c r="K110">
        <f t="shared" si="19"/>
        <v>-0.71881515177521749</v>
      </c>
      <c r="L110">
        <v>1</v>
      </c>
      <c r="M110">
        <f t="shared" si="20"/>
        <v>0.56987591502412138</v>
      </c>
      <c r="N110">
        <f t="shared" si="24"/>
        <v>0.10020327359999999</v>
      </c>
      <c r="O110">
        <f t="shared" si="22"/>
        <v>2.0666925179999997E-2</v>
      </c>
      <c r="P110">
        <f t="shared" si="23"/>
        <v>2.8069037971096118E-2</v>
      </c>
      <c r="V110">
        <v>4.5999999999999996</v>
      </c>
      <c r="W110">
        <f t="shared" si="21"/>
        <v>-0.78117999999999999</v>
      </c>
    </row>
    <row r="111" spans="1:23">
      <c r="A111">
        <v>6.3203040000000001</v>
      </c>
      <c r="B111">
        <v>0.50056</v>
      </c>
      <c r="C111">
        <f t="shared" si="14"/>
        <v>3.16369137024</v>
      </c>
      <c r="D111">
        <v>1.6E-2</v>
      </c>
      <c r="E111">
        <v>3.3E-3</v>
      </c>
      <c r="F111">
        <f t="shared" si="15"/>
        <v>1264.0608</v>
      </c>
      <c r="G111">
        <f t="shared" si="16"/>
        <v>-0.50056</v>
      </c>
      <c r="H111">
        <f t="shared" si="17"/>
        <v>-632.73827404799999</v>
      </c>
      <c r="I111">
        <v>1</v>
      </c>
      <c r="J111">
        <f t="shared" si="18"/>
        <v>0.23432939583365966</v>
      </c>
      <c r="K111">
        <f t="shared" si="19"/>
        <v>-0.72116515177521745</v>
      </c>
      <c r="L111">
        <v>1</v>
      </c>
      <c r="M111">
        <f t="shared" si="20"/>
        <v>0.57031810981876585</v>
      </c>
      <c r="N111">
        <f t="shared" si="24"/>
        <v>0.10112486400000001</v>
      </c>
      <c r="O111">
        <f t="shared" si="22"/>
        <v>2.0857003200000002E-2</v>
      </c>
      <c r="P111">
        <f t="shared" si="23"/>
        <v>2.8865174756451589E-2</v>
      </c>
      <c r="V111">
        <v>4.7</v>
      </c>
      <c r="W111">
        <f t="shared" si="21"/>
        <v>-0.7860100000000001</v>
      </c>
    </row>
    <row r="112" spans="1:23">
      <c r="A112">
        <v>6.3796312000000004</v>
      </c>
      <c r="B112">
        <v>0.49825000000000003</v>
      </c>
      <c r="C112">
        <f t="shared" si="14"/>
        <v>3.1786512454000002</v>
      </c>
      <c r="D112">
        <v>1.6E-2</v>
      </c>
      <c r="E112">
        <v>3.3E-3</v>
      </c>
      <c r="F112">
        <f t="shared" si="15"/>
        <v>1275.92624</v>
      </c>
      <c r="G112">
        <f t="shared" si="16"/>
        <v>-0.49825000000000003</v>
      </c>
      <c r="H112">
        <f t="shared" si="17"/>
        <v>-635.73024908000002</v>
      </c>
      <c r="I112">
        <v>1</v>
      </c>
      <c r="J112">
        <f t="shared" si="18"/>
        <v>0.24367237760915436</v>
      </c>
      <c r="K112">
        <f t="shared" si="19"/>
        <v>-0.72347515177521737</v>
      </c>
      <c r="L112">
        <v>1</v>
      </c>
      <c r="M112">
        <f t="shared" si="20"/>
        <v>0.57076937583852216</v>
      </c>
      <c r="N112">
        <f t="shared" si="24"/>
        <v>0.1020740992</v>
      </c>
      <c r="O112">
        <f t="shared" si="22"/>
        <v>2.1052782960000002E-2</v>
      </c>
      <c r="P112">
        <f t="shared" si="23"/>
        <v>2.9578893776695203E-2</v>
      </c>
      <c r="V112">
        <v>4.8</v>
      </c>
      <c r="W112">
        <f t="shared" si="21"/>
        <v>-0.79083999999999999</v>
      </c>
    </row>
    <row r="113" spans="1:23">
      <c r="A113">
        <v>6.44068665</v>
      </c>
      <c r="B113">
        <v>0.49580000000000002</v>
      </c>
      <c r="C113">
        <f t="shared" si="14"/>
        <v>3.1932924410700001</v>
      </c>
      <c r="D113">
        <v>1.6E-2</v>
      </c>
      <c r="E113">
        <v>3.3E-3</v>
      </c>
      <c r="F113">
        <f t="shared" si="15"/>
        <v>1288.13733</v>
      </c>
      <c r="G113">
        <f t="shared" si="16"/>
        <v>-0.49580000000000002</v>
      </c>
      <c r="H113">
        <f t="shared" si="17"/>
        <v>-638.65848821400004</v>
      </c>
      <c r="I113">
        <v>1</v>
      </c>
      <c r="J113">
        <f t="shared" si="18"/>
        <v>0.25319724466917642</v>
      </c>
      <c r="K113">
        <f t="shared" si="19"/>
        <v>-0.72592515177521744</v>
      </c>
      <c r="L113">
        <v>1</v>
      </c>
      <c r="M113">
        <f t="shared" si="20"/>
        <v>0.57122942691752132</v>
      </c>
      <c r="N113">
        <f t="shared" si="24"/>
        <v>0.1030509864</v>
      </c>
      <c r="O113">
        <f t="shared" si="22"/>
        <v>2.1254265945E-2</v>
      </c>
      <c r="P113">
        <f t="shared" si="23"/>
        <v>3.0390472512696113E-2</v>
      </c>
      <c r="V113">
        <v>4.9000000000000004</v>
      </c>
      <c r="W113">
        <f t="shared" si="21"/>
        <v>-0.7956700000000001</v>
      </c>
    </row>
    <row r="114" spans="1:23">
      <c r="A114">
        <v>6.5005899500000002</v>
      </c>
      <c r="B114">
        <v>0.49336000000000002</v>
      </c>
      <c r="C114">
        <f t="shared" si="14"/>
        <v>3.207131057732</v>
      </c>
      <c r="D114">
        <v>1.6E-2</v>
      </c>
      <c r="E114">
        <v>3.3E-3</v>
      </c>
      <c r="F114">
        <f t="shared" si="15"/>
        <v>1300.11799</v>
      </c>
      <c r="G114">
        <f t="shared" si="16"/>
        <v>-0.49336000000000002</v>
      </c>
      <c r="H114">
        <f t="shared" si="17"/>
        <v>-641.42621154640005</v>
      </c>
      <c r="I114">
        <v>1</v>
      </c>
      <c r="J114">
        <f t="shared" si="18"/>
        <v>0.2624550218873733</v>
      </c>
      <c r="K114">
        <f t="shared" si="19"/>
        <v>-0.72836515177521743</v>
      </c>
      <c r="L114">
        <v>1</v>
      </c>
      <c r="M114">
        <f t="shared" si="20"/>
        <v>0.57167657755716017</v>
      </c>
      <c r="N114">
        <f t="shared" si="24"/>
        <v>0.10400943920000001</v>
      </c>
      <c r="O114">
        <f t="shared" si="22"/>
        <v>2.1451946834999999E-2</v>
      </c>
      <c r="P114">
        <f t="shared" si="23"/>
        <v>3.1227188183057253E-2</v>
      </c>
      <c r="V114">
        <v>5</v>
      </c>
      <c r="W114">
        <f t="shared" si="21"/>
        <v>-0.8005000000000001</v>
      </c>
    </row>
    <row r="115" spans="1:23">
      <c r="A115">
        <v>6.5616449499999998</v>
      </c>
      <c r="B115">
        <v>0.49117</v>
      </c>
      <c r="C115">
        <f t="shared" si="14"/>
        <v>3.2228831500915001</v>
      </c>
      <c r="D115">
        <v>1.6E-2</v>
      </c>
      <c r="E115">
        <v>3.3E-3</v>
      </c>
      <c r="F115">
        <f t="shared" si="15"/>
        <v>1312.32899</v>
      </c>
      <c r="G115">
        <f t="shared" si="16"/>
        <v>-0.49117</v>
      </c>
      <c r="H115">
        <f t="shared" si="17"/>
        <v>-644.57663001829997</v>
      </c>
      <c r="I115">
        <v>1</v>
      </c>
      <c r="J115">
        <f t="shared" si="18"/>
        <v>0.27180341366139465</v>
      </c>
      <c r="K115">
        <f t="shared" si="19"/>
        <v>-0.73055515177521746</v>
      </c>
      <c r="L115">
        <v>1</v>
      </c>
      <c r="M115">
        <f t="shared" si="20"/>
        <v>0.57212810487984544</v>
      </c>
      <c r="N115">
        <f t="shared" si="24"/>
        <v>0.1049863192</v>
      </c>
      <c r="O115">
        <f t="shared" si="22"/>
        <v>2.1653428334999999E-2</v>
      </c>
      <c r="P115">
        <f t="shared" si="23"/>
        <v>3.1787299360372015E-2</v>
      </c>
      <c r="V115">
        <v>5.0999999999999996</v>
      </c>
      <c r="W115">
        <f t="shared" si="21"/>
        <v>-0.8053300000000001</v>
      </c>
    </row>
    <row r="116" spans="1:23">
      <c r="A116">
        <v>6.6203960500000001</v>
      </c>
      <c r="B116">
        <v>0.48885000000000001</v>
      </c>
      <c r="C116">
        <f t="shared" si="14"/>
        <v>3.2363806090425</v>
      </c>
      <c r="D116">
        <v>1.6E-2</v>
      </c>
      <c r="E116">
        <v>3.3E-3</v>
      </c>
      <c r="F116">
        <f t="shared" si="15"/>
        <v>1324.0792100000001</v>
      </c>
      <c r="G116">
        <f t="shared" si="16"/>
        <v>-0.48885000000000001</v>
      </c>
      <c r="H116">
        <f t="shared" si="17"/>
        <v>-647.27612180849997</v>
      </c>
      <c r="I116">
        <v>1</v>
      </c>
      <c r="J116">
        <f t="shared" si="18"/>
        <v>0.2807172820092837</v>
      </c>
      <c r="K116">
        <f t="shared" si="19"/>
        <v>-0.73287515177521745</v>
      </c>
      <c r="L116">
        <v>1</v>
      </c>
      <c r="M116">
        <f t="shared" si="20"/>
        <v>0.57255864472104845</v>
      </c>
      <c r="N116">
        <f t="shared" si="24"/>
        <v>0.10592633680000001</v>
      </c>
      <c r="O116">
        <f t="shared" si="22"/>
        <v>2.1847306965E-2</v>
      </c>
      <c r="P116">
        <f t="shared" si="23"/>
        <v>3.2542863289168993E-2</v>
      </c>
      <c r="V116">
        <v>5.2</v>
      </c>
      <c r="W116">
        <f t="shared" si="21"/>
        <v>-0.8101600000000001</v>
      </c>
    </row>
    <row r="117" spans="1:23">
      <c r="A117">
        <v>6.6791476999999997</v>
      </c>
      <c r="B117">
        <v>0.48619000000000001</v>
      </c>
      <c r="C117">
        <f t="shared" si="14"/>
        <v>3.2473348202630001</v>
      </c>
      <c r="D117">
        <v>1.6E-2</v>
      </c>
      <c r="E117">
        <v>3.3E-3</v>
      </c>
      <c r="F117">
        <f t="shared" si="15"/>
        <v>1335.82954</v>
      </c>
      <c r="G117">
        <f t="shared" si="16"/>
        <v>-0.48619000000000001</v>
      </c>
      <c r="H117">
        <f t="shared" si="17"/>
        <v>-649.46696405260002</v>
      </c>
      <c r="I117">
        <v>1</v>
      </c>
      <c r="J117">
        <f t="shared" si="18"/>
        <v>0.28955247715382115</v>
      </c>
      <c r="K117">
        <f t="shared" si="19"/>
        <v>-0.73553515177521744</v>
      </c>
      <c r="L117">
        <v>1</v>
      </c>
      <c r="M117">
        <f t="shared" si="20"/>
        <v>0.57298538464652959</v>
      </c>
      <c r="N117">
        <f t="shared" si="24"/>
        <v>0.10686636319999999</v>
      </c>
      <c r="O117">
        <f t="shared" si="22"/>
        <v>2.204118741E-2</v>
      </c>
      <c r="P117">
        <f t="shared" si="23"/>
        <v>3.3642216518687859E-2</v>
      </c>
      <c r="V117">
        <v>5.3</v>
      </c>
      <c r="W117">
        <f t="shared" si="21"/>
        <v>-0.8149900000000001</v>
      </c>
    </row>
    <row r="118" spans="1:23">
      <c r="A118">
        <v>6.7361704999999992</v>
      </c>
      <c r="B118">
        <v>0.48405999999999999</v>
      </c>
      <c r="C118">
        <f t="shared" si="14"/>
        <v>3.2607106922299995</v>
      </c>
      <c r="D118">
        <v>1.6E-2</v>
      </c>
      <c r="E118">
        <v>3.3E-3</v>
      </c>
      <c r="F118">
        <f t="shared" si="15"/>
        <v>1347.2340999999999</v>
      </c>
      <c r="G118">
        <f t="shared" si="16"/>
        <v>-0.48405999999999999</v>
      </c>
      <c r="H118">
        <f t="shared" si="17"/>
        <v>-652.14213844599988</v>
      </c>
      <c r="I118">
        <v>1</v>
      </c>
      <c r="J118">
        <f t="shared" si="18"/>
        <v>0.29805367594330773</v>
      </c>
      <c r="K118">
        <f t="shared" si="19"/>
        <v>-0.73766515177521752</v>
      </c>
      <c r="L118">
        <v>1</v>
      </c>
      <c r="M118">
        <f t="shared" si="20"/>
        <v>0.57339599254806184</v>
      </c>
      <c r="N118">
        <f t="shared" si="24"/>
        <v>0.10777872799999999</v>
      </c>
      <c r="O118">
        <f t="shared" si="22"/>
        <v>2.2229362649999997E-2</v>
      </c>
      <c r="P118">
        <f t="shared" si="23"/>
        <v>3.426106857715569E-2</v>
      </c>
      <c r="V118">
        <v>5.4</v>
      </c>
      <c r="W118">
        <f t="shared" si="21"/>
        <v>-0.8198200000000001</v>
      </c>
    </row>
    <row r="119" spans="1:23">
      <c r="A119">
        <v>6.7937699</v>
      </c>
      <c r="B119">
        <v>0.48176000000000002</v>
      </c>
      <c r="C119">
        <f t="shared" si="14"/>
        <v>3.2729665870240003</v>
      </c>
      <c r="D119">
        <v>1.6E-2</v>
      </c>
      <c r="E119">
        <v>3.3E-3</v>
      </c>
      <c r="F119">
        <f t="shared" si="15"/>
        <v>1358.75398</v>
      </c>
      <c r="G119">
        <f t="shared" si="16"/>
        <v>-0.48176000000000002</v>
      </c>
      <c r="H119">
        <f t="shared" si="17"/>
        <v>-654.59331740480002</v>
      </c>
      <c r="I119">
        <v>1</v>
      </c>
      <c r="J119">
        <f t="shared" si="18"/>
        <v>0.30656808861182561</v>
      </c>
      <c r="K119">
        <f t="shared" si="19"/>
        <v>-0.73996515177521749</v>
      </c>
      <c r="L119">
        <v>1</v>
      </c>
      <c r="M119">
        <f t="shared" si="20"/>
        <v>0.5738072386799512</v>
      </c>
      <c r="N119">
        <f t="shared" si="24"/>
        <v>0.10870031840000001</v>
      </c>
      <c r="O119">
        <f t="shared" si="22"/>
        <v>2.2419440669999999E-2</v>
      </c>
      <c r="P119">
        <f t="shared" si="23"/>
        <v>3.5038154025266277E-2</v>
      </c>
      <c r="V119">
        <v>5.5</v>
      </c>
      <c r="W119">
        <f t="shared" si="21"/>
        <v>-0.82465000000000011</v>
      </c>
    </row>
    <row r="120" spans="1:23">
      <c r="A120">
        <v>6.8530976499999996</v>
      </c>
      <c r="B120">
        <v>0.47965000000000002</v>
      </c>
      <c r="C120">
        <f t="shared" si="14"/>
        <v>3.2870882878224998</v>
      </c>
      <c r="D120">
        <v>1.6E-2</v>
      </c>
      <c r="E120">
        <v>3.3E-3</v>
      </c>
      <c r="F120">
        <f t="shared" si="15"/>
        <v>1370.6195299999999</v>
      </c>
      <c r="G120">
        <f t="shared" si="16"/>
        <v>-0.47965000000000002</v>
      </c>
      <c r="H120">
        <f t="shared" si="17"/>
        <v>-657.41765756450002</v>
      </c>
      <c r="I120">
        <v>1</v>
      </c>
      <c r="J120">
        <f t="shared" si="18"/>
        <v>0.31526284930197901</v>
      </c>
      <c r="K120">
        <f t="shared" si="19"/>
        <v>-0.74207515177521743</v>
      </c>
      <c r="L120">
        <v>1</v>
      </c>
      <c r="M120">
        <f t="shared" si="20"/>
        <v>0.57422719562128566</v>
      </c>
      <c r="N120">
        <f t="shared" si="24"/>
        <v>0.1096495624</v>
      </c>
      <c r="O120">
        <f t="shared" si="22"/>
        <v>2.2615222245E-2</v>
      </c>
      <c r="P120">
        <f t="shared" si="23"/>
        <v>3.5583171508931782E-2</v>
      </c>
      <c r="V120">
        <v>5.6</v>
      </c>
      <c r="W120">
        <f t="shared" si="21"/>
        <v>-0.82948</v>
      </c>
    </row>
    <row r="121" spans="1:23">
      <c r="A121">
        <v>6.9118488500000002</v>
      </c>
      <c r="B121">
        <v>0.47692000000000001</v>
      </c>
      <c r="C121">
        <f t="shared" si="14"/>
        <v>3.296398953542</v>
      </c>
      <c r="D121">
        <v>1.6E-2</v>
      </c>
      <c r="E121">
        <v>3.3E-3</v>
      </c>
      <c r="F121">
        <f t="shared" si="15"/>
        <v>1382.36977</v>
      </c>
      <c r="G121">
        <f t="shared" si="16"/>
        <v>-0.47692000000000001</v>
      </c>
      <c r="H121">
        <f t="shared" si="17"/>
        <v>-659.27979070840001</v>
      </c>
      <c r="I121">
        <v>1</v>
      </c>
      <c r="J121">
        <f t="shared" si="18"/>
        <v>0.3237992510623473</v>
      </c>
      <c r="K121">
        <f t="shared" si="19"/>
        <v>-0.74480515177521744</v>
      </c>
      <c r="L121">
        <v>1</v>
      </c>
      <c r="M121">
        <f t="shared" si="20"/>
        <v>0.57463950382631146</v>
      </c>
      <c r="N121">
        <f t="shared" si="24"/>
        <v>0.1105895816</v>
      </c>
      <c r="O121">
        <f t="shared" si="22"/>
        <v>2.2809101205000001E-2</v>
      </c>
      <c r="P121">
        <f t="shared" si="23"/>
        <v>3.6766965143905983E-2</v>
      </c>
      <c r="V121">
        <v>5.7</v>
      </c>
      <c r="W121">
        <f t="shared" si="21"/>
        <v>-0.83431000000000011</v>
      </c>
    </row>
    <row r="122" spans="1:23">
      <c r="A122">
        <v>6.9729037500000004</v>
      </c>
      <c r="B122">
        <v>0.47465000000000002</v>
      </c>
      <c r="C122">
        <f t="shared" si="14"/>
        <v>3.3096887649375004</v>
      </c>
      <c r="D122">
        <v>1.6E-2</v>
      </c>
      <c r="E122">
        <v>3.3E-3</v>
      </c>
      <c r="F122">
        <f t="shared" si="15"/>
        <v>1394.5807500000001</v>
      </c>
      <c r="G122">
        <f t="shared" si="16"/>
        <v>-0.47465000000000002</v>
      </c>
      <c r="H122">
        <f t="shared" si="17"/>
        <v>-661.93775298750006</v>
      </c>
      <c r="I122">
        <v>1</v>
      </c>
      <c r="J122">
        <f t="shared" si="18"/>
        <v>0.33259383246843499</v>
      </c>
      <c r="K122">
        <f t="shared" si="19"/>
        <v>-0.74707515177521744</v>
      </c>
      <c r="L122">
        <v>1</v>
      </c>
      <c r="M122">
        <f t="shared" si="20"/>
        <v>0.57506428210822547</v>
      </c>
      <c r="N122">
        <f t="shared" si="24"/>
        <v>0.11156646000000001</v>
      </c>
      <c r="O122">
        <f t="shared" si="22"/>
        <v>2.3010582375000001E-2</v>
      </c>
      <c r="P122">
        <f t="shared" si="23"/>
        <v>3.7433827291991961E-2</v>
      </c>
      <c r="V122">
        <v>5.8</v>
      </c>
      <c r="W122">
        <f t="shared" si="21"/>
        <v>-0.83914</v>
      </c>
    </row>
    <row r="123" spans="1:23">
      <c r="A123">
        <v>7.0305032500000006</v>
      </c>
      <c r="B123">
        <v>0.47252</v>
      </c>
      <c r="C123">
        <f t="shared" si="14"/>
        <v>3.3220533956900002</v>
      </c>
      <c r="D123">
        <v>1.6E-2</v>
      </c>
      <c r="E123">
        <v>3.3E-3</v>
      </c>
      <c r="F123">
        <f t="shared" si="15"/>
        <v>1406.1006500000001</v>
      </c>
      <c r="G123">
        <f t="shared" si="16"/>
        <v>-0.47252</v>
      </c>
      <c r="H123">
        <f t="shared" si="17"/>
        <v>-664.41067913800009</v>
      </c>
      <c r="I123">
        <v>1</v>
      </c>
      <c r="J123">
        <f t="shared" si="18"/>
        <v>0.34082037688605754</v>
      </c>
      <c r="K123">
        <f t="shared" si="19"/>
        <v>-0.7492051517752174</v>
      </c>
      <c r="L123">
        <v>1</v>
      </c>
      <c r="M123">
        <f t="shared" si="20"/>
        <v>0.57546162420359659</v>
      </c>
      <c r="N123">
        <f t="shared" si="24"/>
        <v>0.11248805200000002</v>
      </c>
      <c r="O123">
        <f t="shared" si="22"/>
        <v>2.3200660725000002E-2</v>
      </c>
      <c r="P123">
        <f t="shared" si="23"/>
        <v>3.8054814846620794E-2</v>
      </c>
      <c r="V123">
        <v>5.9</v>
      </c>
      <c r="W123">
        <f t="shared" si="21"/>
        <v>-0.84397000000000011</v>
      </c>
    </row>
    <row r="124" spans="1:23">
      <c r="A124">
        <v>7.0881020499999998</v>
      </c>
      <c r="B124">
        <v>0.46989999999999998</v>
      </c>
      <c r="C124">
        <f t="shared" si="14"/>
        <v>3.3306991532949999</v>
      </c>
      <c r="D124">
        <v>1.6E-2</v>
      </c>
      <c r="E124">
        <v>3.3E-3</v>
      </c>
      <c r="F124">
        <f t="shared" si="15"/>
        <v>1417.62041</v>
      </c>
      <c r="G124">
        <f t="shared" si="16"/>
        <v>-0.46989999999999998</v>
      </c>
      <c r="H124">
        <f t="shared" si="17"/>
        <v>-666.13983065899993</v>
      </c>
      <c r="I124">
        <v>1</v>
      </c>
      <c r="J124">
        <f t="shared" si="18"/>
        <v>0.34897969833839887</v>
      </c>
      <c r="K124">
        <f t="shared" si="19"/>
        <v>-0.75182515177521747</v>
      </c>
      <c r="L124">
        <v>1</v>
      </c>
      <c r="M124">
        <f t="shared" si="20"/>
        <v>0.57585571942974467</v>
      </c>
      <c r="N124">
        <f t="shared" si="24"/>
        <v>0.11340963279999999</v>
      </c>
      <c r="O124">
        <f t="shared" si="22"/>
        <v>2.3390736765E-2</v>
      </c>
      <c r="P124">
        <f t="shared" si="23"/>
        <v>3.9169062780472802E-2</v>
      </c>
      <c r="V124">
        <v>6</v>
      </c>
      <c r="W124">
        <f t="shared" si="21"/>
        <v>-0.8488</v>
      </c>
    </row>
    <row r="125" spans="1:23">
      <c r="A125">
        <v>7.1474298000000003</v>
      </c>
      <c r="B125">
        <v>0.46753</v>
      </c>
      <c r="C125">
        <f t="shared" si="14"/>
        <v>3.341637854394</v>
      </c>
      <c r="D125">
        <v>1.6E-2</v>
      </c>
      <c r="E125">
        <v>3.3E-3</v>
      </c>
      <c r="F125">
        <f t="shared" si="15"/>
        <v>1429.48596</v>
      </c>
      <c r="G125">
        <f t="shared" si="16"/>
        <v>-0.46753</v>
      </c>
      <c r="H125">
        <f t="shared" si="17"/>
        <v>-668.32757087879997</v>
      </c>
      <c r="I125">
        <v>1</v>
      </c>
      <c r="J125">
        <f t="shared" si="18"/>
        <v>0.35731491111604746</v>
      </c>
      <c r="K125">
        <f t="shared" si="19"/>
        <v>-0.75419515177521745</v>
      </c>
      <c r="L125">
        <v>1</v>
      </c>
      <c r="M125">
        <f t="shared" si="20"/>
        <v>0.5762583102069051</v>
      </c>
      <c r="N125">
        <f t="shared" si="24"/>
        <v>0.11435887680000001</v>
      </c>
      <c r="O125">
        <f t="shared" si="22"/>
        <v>2.3586518340000001E-2</v>
      </c>
      <c r="P125">
        <f t="shared" si="23"/>
        <v>3.9991446428312344E-2</v>
      </c>
      <c r="V125">
        <v>6.1</v>
      </c>
      <c r="W125">
        <f t="shared" si="21"/>
        <v>-0.85363000000000011</v>
      </c>
    </row>
    <row r="126" spans="1:23">
      <c r="A126">
        <v>7.2084848499999996</v>
      </c>
      <c r="B126">
        <v>0.46517999999999998</v>
      </c>
      <c r="C126">
        <f t="shared" si="14"/>
        <v>3.3532429825229997</v>
      </c>
      <c r="D126">
        <v>1.6E-2</v>
      </c>
      <c r="E126">
        <v>3.3E-3</v>
      </c>
      <c r="F126">
        <f t="shared" si="15"/>
        <v>1441.69697</v>
      </c>
      <c r="G126">
        <f t="shared" si="16"/>
        <v>-0.46517999999999998</v>
      </c>
      <c r="H126">
        <f t="shared" si="17"/>
        <v>-670.64859650459994</v>
      </c>
      <c r="I126">
        <v>1</v>
      </c>
      <c r="J126">
        <f t="shared" si="18"/>
        <v>0.36582087114800232</v>
      </c>
      <c r="K126">
        <f t="shared" si="19"/>
        <v>-0.75654515177521753</v>
      </c>
      <c r="L126">
        <v>1</v>
      </c>
      <c r="M126">
        <f t="shared" si="20"/>
        <v>0.57666914807644853</v>
      </c>
      <c r="N126">
        <f t="shared" si="24"/>
        <v>0.11533575759999999</v>
      </c>
      <c r="O126">
        <f t="shared" si="22"/>
        <v>2.3788000004999997E-2</v>
      </c>
      <c r="P126">
        <f t="shared" si="23"/>
        <v>4.0752246093769005E-2</v>
      </c>
      <c r="V126">
        <v>6.2</v>
      </c>
      <c r="W126">
        <f t="shared" si="21"/>
        <v>-0.85846</v>
      </c>
    </row>
    <row r="127" spans="1:23">
      <c r="A127">
        <v>7.2672358999999993</v>
      </c>
      <c r="B127">
        <v>0.46278999999999998</v>
      </c>
      <c r="C127">
        <f t="shared" si="14"/>
        <v>3.3632041021609997</v>
      </c>
      <c r="D127">
        <v>1.6E-2</v>
      </c>
      <c r="E127">
        <v>3.3E-3</v>
      </c>
      <c r="F127">
        <f t="shared" si="15"/>
        <v>1453.4471799999999</v>
      </c>
      <c r="G127">
        <f t="shared" si="16"/>
        <v>-0.46278999999999998</v>
      </c>
      <c r="H127">
        <f t="shared" si="17"/>
        <v>-672.64082043219992</v>
      </c>
      <c r="I127">
        <v>1</v>
      </c>
      <c r="J127">
        <f t="shared" si="18"/>
        <v>0.37393810048720344</v>
      </c>
      <c r="K127">
        <f t="shared" si="19"/>
        <v>-0.75893515177521742</v>
      </c>
      <c r="L127">
        <v>1</v>
      </c>
      <c r="M127">
        <f t="shared" si="20"/>
        <v>0.57706121025353196</v>
      </c>
      <c r="N127">
        <f t="shared" si="24"/>
        <v>0.11627577439999999</v>
      </c>
      <c r="O127">
        <f t="shared" si="22"/>
        <v>2.3981878469999999E-2</v>
      </c>
      <c r="P127">
        <f t="shared" si="23"/>
        <v>4.1616288651685471E-2</v>
      </c>
      <c r="V127">
        <v>6.3</v>
      </c>
      <c r="W127">
        <f t="shared" si="21"/>
        <v>-0.86329000000000011</v>
      </c>
    </row>
    <row r="128" spans="1:23">
      <c r="A128">
        <v>7.3288680499999996</v>
      </c>
      <c r="B128">
        <v>0.46044000000000002</v>
      </c>
      <c r="C128">
        <f t="shared" si="14"/>
        <v>3.3745040049420001</v>
      </c>
      <c r="D128">
        <v>1.6E-2</v>
      </c>
      <c r="E128">
        <v>3.3E-3</v>
      </c>
      <c r="F128">
        <f t="shared" si="15"/>
        <v>1465.77361</v>
      </c>
      <c r="G128">
        <f t="shared" si="16"/>
        <v>-0.46044000000000002</v>
      </c>
      <c r="H128">
        <f t="shared" si="17"/>
        <v>-674.90080098839996</v>
      </c>
      <c r="I128">
        <v>1</v>
      </c>
      <c r="J128">
        <f t="shared" si="18"/>
        <v>0.38238316452710269</v>
      </c>
      <c r="K128">
        <f t="shared" si="19"/>
        <v>-0.76128515177521749</v>
      </c>
      <c r="L128">
        <v>1</v>
      </c>
      <c r="M128">
        <f t="shared" si="20"/>
        <v>0.57746910684665909</v>
      </c>
      <c r="N128">
        <f t="shared" si="24"/>
        <v>0.11726188879999999</v>
      </c>
      <c r="O128">
        <f t="shared" si="22"/>
        <v>2.4185264565E-2</v>
      </c>
      <c r="P128">
        <f t="shared" si="23"/>
        <v>4.2368891563558414E-2</v>
      </c>
      <c r="V128">
        <v>6.4</v>
      </c>
      <c r="W128">
        <f t="shared" si="21"/>
        <v>-0.86812000000000011</v>
      </c>
    </row>
    <row r="129" spans="1:23">
      <c r="A129">
        <v>7.3858908499999991</v>
      </c>
      <c r="B129">
        <v>0.45807999999999999</v>
      </c>
      <c r="C129">
        <f t="shared" si="14"/>
        <v>3.3833288805679995</v>
      </c>
      <c r="D129">
        <v>1.6E-2</v>
      </c>
      <c r="E129">
        <v>3.3E-3</v>
      </c>
      <c r="F129">
        <f t="shared" si="15"/>
        <v>1477.1781699999999</v>
      </c>
      <c r="G129">
        <f t="shared" si="16"/>
        <v>-0.45807999999999999</v>
      </c>
      <c r="H129">
        <f t="shared" si="17"/>
        <v>-676.66577611359992</v>
      </c>
      <c r="I129">
        <v>1</v>
      </c>
      <c r="J129">
        <f t="shared" si="18"/>
        <v>0.39013362592877648</v>
      </c>
      <c r="K129">
        <f t="shared" si="19"/>
        <v>-0.76364515177521741</v>
      </c>
      <c r="L129">
        <v>1</v>
      </c>
      <c r="M129">
        <f t="shared" si="20"/>
        <v>0.57784345413235993</v>
      </c>
      <c r="N129">
        <f t="shared" si="24"/>
        <v>0.11817425359999999</v>
      </c>
      <c r="O129">
        <f t="shared" si="22"/>
        <v>2.4373439804999997E-2</v>
      </c>
      <c r="P129">
        <f t="shared" si="23"/>
        <v>4.3254004237857496E-2</v>
      </c>
      <c r="V129">
        <v>6.5</v>
      </c>
      <c r="W129">
        <f t="shared" si="21"/>
        <v>-0.87295000000000011</v>
      </c>
    </row>
    <row r="130" spans="1:23">
      <c r="A130">
        <v>7.4434896999999998</v>
      </c>
      <c r="B130">
        <v>0.45569999999999999</v>
      </c>
      <c r="C130">
        <f t="shared" si="14"/>
        <v>3.39199825629</v>
      </c>
      <c r="D130">
        <v>1.6E-2</v>
      </c>
      <c r="E130">
        <v>3.3E-3</v>
      </c>
      <c r="F130">
        <f t="shared" si="15"/>
        <v>1488.69794</v>
      </c>
      <c r="G130">
        <f t="shared" si="16"/>
        <v>-0.45569999999999999</v>
      </c>
      <c r="H130">
        <f t="shared" si="17"/>
        <v>-678.39965125799995</v>
      </c>
      <c r="I130">
        <v>1</v>
      </c>
      <c r="J130">
        <f t="shared" si="18"/>
        <v>0.39790187214227618</v>
      </c>
      <c r="K130">
        <f t="shared" si="19"/>
        <v>-0.76602515177521746</v>
      </c>
      <c r="L130">
        <v>1</v>
      </c>
      <c r="M130">
        <f t="shared" si="20"/>
        <v>0.57821866042447201</v>
      </c>
      <c r="N130">
        <f t="shared" si="24"/>
        <v>0.1190958352</v>
      </c>
      <c r="O130">
        <f t="shared" si="22"/>
        <v>2.4563516009999998E-2</v>
      </c>
      <c r="P130">
        <f t="shared" si="23"/>
        <v>4.4147140140745458E-2</v>
      </c>
      <c r="V130">
        <v>6.6</v>
      </c>
      <c r="W130">
        <f t="shared" si="21"/>
        <v>-0.87778</v>
      </c>
    </row>
    <row r="131" spans="1:23">
      <c r="A131">
        <v>7.5005130499999995</v>
      </c>
      <c r="B131">
        <v>0.45345000000000002</v>
      </c>
      <c r="C131">
        <f t="shared" si="14"/>
        <v>3.4011076425224998</v>
      </c>
      <c r="D131">
        <v>1.6E-2</v>
      </c>
      <c r="E131">
        <v>3.3E-3</v>
      </c>
      <c r="F131">
        <f t="shared" si="15"/>
        <v>1500.1026099999999</v>
      </c>
      <c r="G131">
        <f t="shared" si="16"/>
        <v>-0.45345000000000002</v>
      </c>
      <c r="H131">
        <f t="shared" si="17"/>
        <v>-680.22152850449993</v>
      </c>
      <c r="I131">
        <v>1</v>
      </c>
      <c r="J131">
        <f t="shared" si="18"/>
        <v>0.40553351243520164</v>
      </c>
      <c r="K131">
        <f t="shared" si="19"/>
        <v>-0.76827515177521744</v>
      </c>
      <c r="L131">
        <v>1</v>
      </c>
      <c r="M131">
        <f t="shared" si="20"/>
        <v>0.57858726865062027</v>
      </c>
      <c r="N131">
        <f t="shared" si="24"/>
        <v>0.12000820879999999</v>
      </c>
      <c r="O131">
        <f t="shared" si="22"/>
        <v>2.4751693064999997E-2</v>
      </c>
      <c r="P131">
        <f t="shared" si="23"/>
        <v>4.4927981259597183E-2</v>
      </c>
      <c r="V131">
        <v>6.7</v>
      </c>
      <c r="W131">
        <f t="shared" si="21"/>
        <v>-0.88261000000000012</v>
      </c>
    </row>
    <row r="132" spans="1:23">
      <c r="A132">
        <v>7.5575364499999997</v>
      </c>
      <c r="B132">
        <v>0.45085999999999998</v>
      </c>
      <c r="C132">
        <f t="shared" si="14"/>
        <v>3.407390883847</v>
      </c>
      <c r="D132">
        <v>1.6E-2</v>
      </c>
      <c r="E132">
        <v>3.3E-3</v>
      </c>
      <c r="F132">
        <f t="shared" si="15"/>
        <v>1511.50729</v>
      </c>
      <c r="G132">
        <f t="shared" si="16"/>
        <v>-0.45085999999999998</v>
      </c>
      <c r="H132">
        <f t="shared" si="17"/>
        <v>-681.47817676939997</v>
      </c>
      <c r="I132">
        <v>1</v>
      </c>
      <c r="J132">
        <f t="shared" si="18"/>
        <v>0.4131073582492315</v>
      </c>
      <c r="K132">
        <f t="shared" si="19"/>
        <v>-0.77086515177521742</v>
      </c>
      <c r="L132">
        <v>1</v>
      </c>
      <c r="M132">
        <f t="shared" si="20"/>
        <v>0.57895308540343793</v>
      </c>
      <c r="N132">
        <f t="shared" si="24"/>
        <v>0.1209205832</v>
      </c>
      <c r="O132">
        <f t="shared" si="22"/>
        <v>2.4939870284999999E-2</v>
      </c>
      <c r="P132">
        <f t="shared" si="23"/>
        <v>4.6051612886779489E-2</v>
      </c>
      <c r="V132">
        <v>6.8</v>
      </c>
      <c r="W132">
        <f t="shared" si="21"/>
        <v>-0.88744000000000001</v>
      </c>
    </row>
    <row r="133" spans="1:23">
      <c r="A133">
        <v>7.6145597999999994</v>
      </c>
      <c r="B133">
        <v>0.44873000000000002</v>
      </c>
      <c r="C133">
        <f t="shared" ref="C133:C196" si="25">A133*B133</f>
        <v>3.416881419054</v>
      </c>
      <c r="D133">
        <v>1.6E-2</v>
      </c>
      <c r="E133">
        <v>3.3E-3</v>
      </c>
      <c r="F133">
        <f t="shared" ref="F133:F196" si="26">A133*200</f>
        <v>1522.9119599999999</v>
      </c>
      <c r="G133">
        <f t="shared" ref="G133:G144" si="27">-B133</f>
        <v>-0.44873000000000002</v>
      </c>
      <c r="H133">
        <f t="shared" ref="H133:H196" si="28">-C133*200</f>
        <v>-683.37628381080003</v>
      </c>
      <c r="I133">
        <v>1</v>
      </c>
      <c r="J133">
        <f t="shared" ref="J133:J196" si="29">LN(F133/1000)</f>
        <v>0.42062426528219049</v>
      </c>
      <c r="K133">
        <f t="shared" ref="K133:K187" si="30">((-G133)-$N$2)</f>
        <v>-0.77299515177521738</v>
      </c>
      <c r="L133">
        <v>1</v>
      </c>
      <c r="M133">
        <f t="shared" ref="M133:M196" si="31">-1*($S$4+($S$5*J133))</f>
        <v>0.5793161520131298</v>
      </c>
      <c r="N133">
        <f t="shared" si="24"/>
        <v>0.12183295679999999</v>
      </c>
      <c r="O133">
        <f t="shared" si="22"/>
        <v>2.5128047339999997E-2</v>
      </c>
      <c r="P133">
        <f t="shared" si="23"/>
        <v>4.6717995622087588E-2</v>
      </c>
      <c r="V133">
        <v>6.9</v>
      </c>
      <c r="W133">
        <f t="shared" ref="W133:W139" si="32">V133*$S$5+$S$4</f>
        <v>-0.89227000000000012</v>
      </c>
    </row>
    <row r="134" spans="1:23">
      <c r="A134">
        <v>7.6738876000000005</v>
      </c>
      <c r="B134">
        <v>0.44640000000000002</v>
      </c>
      <c r="C134">
        <f t="shared" si="25"/>
        <v>3.4256234246400004</v>
      </c>
      <c r="D134">
        <v>1.6E-2</v>
      </c>
      <c r="E134">
        <v>3.3E-3</v>
      </c>
      <c r="F134">
        <f t="shared" si="26"/>
        <v>1534.7775200000001</v>
      </c>
      <c r="G134">
        <f t="shared" si="27"/>
        <v>-0.44640000000000002</v>
      </c>
      <c r="H134">
        <f t="shared" si="28"/>
        <v>-685.12468492800008</v>
      </c>
      <c r="I134">
        <v>1</v>
      </c>
      <c r="J134">
        <f t="shared" si="29"/>
        <v>0.42838543242386828</v>
      </c>
      <c r="K134">
        <f t="shared" si="30"/>
        <v>-0.77532515177521744</v>
      </c>
      <c r="L134">
        <v>1</v>
      </c>
      <c r="M134">
        <f t="shared" si="31"/>
        <v>0.5796910163860729</v>
      </c>
      <c r="N134">
        <f t="shared" si="24"/>
        <v>0.12278220160000002</v>
      </c>
      <c r="O134">
        <f t="shared" ref="O134:O144" si="33">E134*A134</f>
        <v>2.5323829080000002E-2</v>
      </c>
      <c r="P134">
        <f t="shared" ref="P134:P144" si="34">-K134-M134-N134-O134</f>
        <v>4.7528104709144522E-2</v>
      </c>
      <c r="V134">
        <v>7</v>
      </c>
      <c r="W134">
        <f t="shared" si="32"/>
        <v>-0.89710000000000001</v>
      </c>
    </row>
    <row r="135" spans="1:23">
      <c r="A135">
        <v>7.7309104</v>
      </c>
      <c r="B135">
        <v>0.44403999999999999</v>
      </c>
      <c r="C135">
        <f t="shared" si="25"/>
        <v>3.4328334540159999</v>
      </c>
      <c r="D135">
        <v>1.6E-2</v>
      </c>
      <c r="E135">
        <v>3.3E-3</v>
      </c>
      <c r="F135">
        <f t="shared" si="26"/>
        <v>1546.18208</v>
      </c>
      <c r="G135">
        <f t="shared" si="27"/>
        <v>-0.44403999999999999</v>
      </c>
      <c r="H135">
        <f t="shared" si="28"/>
        <v>-686.5666908032</v>
      </c>
      <c r="I135">
        <v>1</v>
      </c>
      <c r="J135">
        <f t="shared" si="29"/>
        <v>0.43578871813328635</v>
      </c>
      <c r="K135">
        <f t="shared" si="30"/>
        <v>-0.77768515177521746</v>
      </c>
      <c r="L135">
        <v>1</v>
      </c>
      <c r="M135">
        <f t="shared" si="31"/>
        <v>0.58004859508583784</v>
      </c>
      <c r="N135">
        <f t="shared" ref="N135:N144" si="35">D135*A135</f>
        <v>0.1236945664</v>
      </c>
      <c r="O135">
        <f t="shared" si="33"/>
        <v>2.551200432E-2</v>
      </c>
      <c r="P135">
        <f t="shared" si="34"/>
        <v>4.8429985969379627E-2</v>
      </c>
      <c r="V135">
        <v>7.1</v>
      </c>
      <c r="W135">
        <f t="shared" si="32"/>
        <v>-0.90193000000000012</v>
      </c>
    </row>
    <row r="136" spans="1:23">
      <c r="A136">
        <v>7.7885098000000008</v>
      </c>
      <c r="B136">
        <v>0.44152000000000002</v>
      </c>
      <c r="C136">
        <f t="shared" si="25"/>
        <v>3.4387828468960007</v>
      </c>
      <c r="D136">
        <v>1.6E-2</v>
      </c>
      <c r="E136">
        <v>3.3E-3</v>
      </c>
      <c r="F136">
        <f t="shared" si="26"/>
        <v>1557.7019600000001</v>
      </c>
      <c r="G136">
        <f t="shared" si="27"/>
        <v>-0.44152000000000002</v>
      </c>
      <c r="H136">
        <f t="shared" si="28"/>
        <v>-687.75656937920019</v>
      </c>
      <c r="I136">
        <v>1</v>
      </c>
      <c r="J136">
        <f t="shared" si="29"/>
        <v>0.44321163261502289</v>
      </c>
      <c r="K136">
        <f t="shared" si="30"/>
        <v>-0.78020515177521743</v>
      </c>
      <c r="L136">
        <v>1</v>
      </c>
      <c r="M136">
        <f t="shared" si="31"/>
        <v>0.58040712185530563</v>
      </c>
      <c r="N136">
        <f t="shared" si="35"/>
        <v>0.12461615680000002</v>
      </c>
      <c r="O136">
        <f t="shared" si="33"/>
        <v>2.5702082340000001E-2</v>
      </c>
      <c r="P136">
        <f t="shared" si="34"/>
        <v>4.9479790779911784E-2</v>
      </c>
      <c r="V136">
        <v>7.2</v>
      </c>
      <c r="W136">
        <f t="shared" si="32"/>
        <v>-0.90676000000000001</v>
      </c>
    </row>
    <row r="137" spans="1:23">
      <c r="A137">
        <v>7.8461086999999994</v>
      </c>
      <c r="B137">
        <v>0.43935999999999997</v>
      </c>
      <c r="C137">
        <f t="shared" si="25"/>
        <v>3.4472663184319994</v>
      </c>
      <c r="D137">
        <v>1.6E-2</v>
      </c>
      <c r="E137">
        <v>3.3E-3</v>
      </c>
      <c r="F137">
        <f t="shared" si="26"/>
        <v>1569.22174</v>
      </c>
      <c r="G137">
        <f t="shared" si="27"/>
        <v>-0.43935999999999997</v>
      </c>
      <c r="H137">
        <f t="shared" si="28"/>
        <v>-689.45326368639985</v>
      </c>
      <c r="I137">
        <v>1</v>
      </c>
      <c r="J137">
        <f t="shared" si="29"/>
        <v>0.45057978945051141</v>
      </c>
      <c r="K137">
        <f t="shared" si="30"/>
        <v>-0.78236515177521748</v>
      </c>
      <c r="L137">
        <v>1</v>
      </c>
      <c r="M137">
        <f t="shared" si="31"/>
        <v>0.58076300383045976</v>
      </c>
      <c r="N137">
        <f t="shared" si="35"/>
        <v>0.1255377392</v>
      </c>
      <c r="O137">
        <f t="shared" si="33"/>
        <v>2.5892158709999998E-2</v>
      </c>
      <c r="P137">
        <f t="shared" si="34"/>
        <v>5.0172250034757726E-2</v>
      </c>
      <c r="V137">
        <v>7.3</v>
      </c>
      <c r="W137">
        <f t="shared" si="32"/>
        <v>-0.91159000000000012</v>
      </c>
    </row>
    <row r="138" spans="1:23">
      <c r="A138">
        <v>7.9071641999999995</v>
      </c>
      <c r="B138">
        <v>0.43686000000000003</v>
      </c>
      <c r="C138">
        <f t="shared" si="25"/>
        <v>3.4543237524119998</v>
      </c>
      <c r="D138">
        <v>1.6E-2</v>
      </c>
      <c r="E138">
        <v>3.3E-3</v>
      </c>
      <c r="F138">
        <f t="shared" si="26"/>
        <v>1581.4328399999999</v>
      </c>
      <c r="G138">
        <f t="shared" si="27"/>
        <v>-0.43686000000000003</v>
      </c>
      <c r="H138">
        <f t="shared" si="28"/>
        <v>-690.86475048239993</v>
      </c>
      <c r="I138">
        <v>1</v>
      </c>
      <c r="J138">
        <f t="shared" si="29"/>
        <v>0.45833129684858126</v>
      </c>
      <c r="K138">
        <f t="shared" si="30"/>
        <v>-0.78486515177521743</v>
      </c>
      <c r="L138">
        <v>1</v>
      </c>
      <c r="M138">
        <f t="shared" si="31"/>
        <v>0.58113740163778649</v>
      </c>
      <c r="N138">
        <f t="shared" si="35"/>
        <v>0.12651462720000001</v>
      </c>
      <c r="O138">
        <f t="shared" si="33"/>
        <v>2.6093641859999999E-2</v>
      </c>
      <c r="P138">
        <f t="shared" si="34"/>
        <v>5.1119481077430931E-2</v>
      </c>
      <c r="V138">
        <v>7.4</v>
      </c>
      <c r="W138">
        <f t="shared" si="32"/>
        <v>-0.91642000000000001</v>
      </c>
    </row>
    <row r="139" spans="1:23">
      <c r="A139">
        <v>7.9659158000000003</v>
      </c>
      <c r="B139">
        <v>0.43434</v>
      </c>
      <c r="C139">
        <f t="shared" si="25"/>
        <v>3.4599158685720002</v>
      </c>
      <c r="D139">
        <v>1.6E-2</v>
      </c>
      <c r="E139">
        <v>3.3E-3</v>
      </c>
      <c r="F139">
        <f t="shared" si="26"/>
        <v>1593.18316</v>
      </c>
      <c r="G139">
        <f t="shared" si="27"/>
        <v>-0.43434</v>
      </c>
      <c r="H139">
        <f t="shared" si="28"/>
        <v>-691.98317371439998</v>
      </c>
      <c r="I139">
        <v>1</v>
      </c>
      <c r="J139">
        <f t="shared" si="29"/>
        <v>0.46573400234732099</v>
      </c>
      <c r="K139">
        <f t="shared" si="30"/>
        <v>-0.78738515177521751</v>
      </c>
      <c r="L139">
        <v>1</v>
      </c>
      <c r="M139">
        <f t="shared" si="31"/>
        <v>0.58149495231337567</v>
      </c>
      <c r="N139">
        <f t="shared" si="35"/>
        <v>0.12745465280000001</v>
      </c>
      <c r="O139">
        <f t="shared" si="33"/>
        <v>2.6287522140000002E-2</v>
      </c>
      <c r="P139">
        <f t="shared" si="34"/>
        <v>5.2148024521841821E-2</v>
      </c>
      <c r="V139">
        <v>7.5</v>
      </c>
      <c r="W139">
        <f t="shared" si="32"/>
        <v>-0.92125000000000012</v>
      </c>
    </row>
    <row r="140" spans="1:23">
      <c r="A140">
        <v>8.0240908999999991</v>
      </c>
      <c r="B140">
        <v>0.43181999999999998</v>
      </c>
      <c r="C140">
        <f t="shared" si="25"/>
        <v>3.4649629324379996</v>
      </c>
      <c r="D140">
        <v>1.6E-2</v>
      </c>
      <c r="E140">
        <v>3.3E-3</v>
      </c>
      <c r="F140">
        <f t="shared" si="26"/>
        <v>1604.8181799999998</v>
      </c>
      <c r="G140">
        <f t="shared" si="27"/>
        <v>-0.43181999999999998</v>
      </c>
      <c r="H140">
        <f t="shared" si="28"/>
        <v>-692.99258648759997</v>
      </c>
      <c r="I140">
        <v>1</v>
      </c>
      <c r="J140">
        <f t="shared" si="29"/>
        <v>0.4730104666758233</v>
      </c>
      <c r="K140">
        <f t="shared" si="30"/>
        <v>-0.78990515177521747</v>
      </c>
      <c r="L140">
        <v>1</v>
      </c>
      <c r="M140">
        <f t="shared" si="31"/>
        <v>0.58184640554044231</v>
      </c>
      <c r="N140">
        <f t="shared" si="35"/>
        <v>0.12838545439999999</v>
      </c>
      <c r="O140">
        <f t="shared" si="33"/>
        <v>2.6479499969999997E-2</v>
      </c>
      <c r="P140">
        <f t="shared" si="34"/>
        <v>5.3193791864775172E-2</v>
      </c>
    </row>
    <row r="141" spans="1:23">
      <c r="A141">
        <v>8.0816902500000012</v>
      </c>
      <c r="B141">
        <v>0.42969000000000002</v>
      </c>
      <c r="C141">
        <f t="shared" si="25"/>
        <v>3.4726214835225004</v>
      </c>
      <c r="D141">
        <v>1.6E-2</v>
      </c>
      <c r="E141">
        <v>3.3E-3</v>
      </c>
      <c r="F141">
        <f t="shared" si="26"/>
        <v>1616.3380500000003</v>
      </c>
      <c r="G141">
        <f t="shared" si="27"/>
        <v>-0.42969000000000002</v>
      </c>
      <c r="H141">
        <f t="shared" si="28"/>
        <v>-694.5242967045001</v>
      </c>
      <c r="I141">
        <v>1</v>
      </c>
      <c r="J141">
        <f t="shared" si="29"/>
        <v>0.48016312757829688</v>
      </c>
      <c r="K141">
        <f t="shared" si="30"/>
        <v>-0.79203515177521744</v>
      </c>
      <c r="L141">
        <v>1</v>
      </c>
      <c r="M141">
        <f t="shared" si="31"/>
        <v>0.58219187906203174</v>
      </c>
      <c r="N141">
        <f t="shared" si="35"/>
        <v>0.12930704400000001</v>
      </c>
      <c r="O141">
        <f t="shared" si="33"/>
        <v>2.6669577825000002E-2</v>
      </c>
      <c r="P141">
        <f t="shared" si="34"/>
        <v>5.3866650888185694E-2</v>
      </c>
    </row>
    <row r="142" spans="1:23">
      <c r="A142">
        <v>8.1415936000000002</v>
      </c>
      <c r="B142">
        <v>0.42735000000000001</v>
      </c>
      <c r="C142">
        <f t="shared" si="25"/>
        <v>3.4793100249600002</v>
      </c>
      <c r="D142">
        <v>1.6E-2</v>
      </c>
      <c r="E142">
        <v>3.3E-3</v>
      </c>
      <c r="F142">
        <f t="shared" si="26"/>
        <v>1628.31872</v>
      </c>
      <c r="G142">
        <f t="shared" si="27"/>
        <v>-0.42735000000000001</v>
      </c>
      <c r="H142">
        <f t="shared" si="28"/>
        <v>-695.86200499200004</v>
      </c>
      <c r="I142">
        <v>1</v>
      </c>
      <c r="J142">
        <f t="shared" si="29"/>
        <v>0.48754802237490241</v>
      </c>
      <c r="K142">
        <f t="shared" si="30"/>
        <v>-0.79437515177521745</v>
      </c>
      <c r="L142">
        <v>1</v>
      </c>
      <c r="M142">
        <f t="shared" si="31"/>
        <v>0.58254856948070788</v>
      </c>
      <c r="N142">
        <f t="shared" si="35"/>
        <v>0.1302654976</v>
      </c>
      <c r="O142">
        <f t="shared" si="33"/>
        <v>2.6867258880000001E-2</v>
      </c>
      <c r="P142">
        <f t="shared" si="34"/>
        <v>5.4693825814509565E-2</v>
      </c>
    </row>
    <row r="143" spans="1:23">
      <c r="A143">
        <v>8.1991931000000005</v>
      </c>
      <c r="B143">
        <v>0.42465000000000003</v>
      </c>
      <c r="C143">
        <f t="shared" si="25"/>
        <v>3.4817873499150003</v>
      </c>
      <c r="D143">
        <v>1.6E-2</v>
      </c>
      <c r="E143">
        <v>3.3E-3</v>
      </c>
      <c r="F143">
        <f t="shared" si="26"/>
        <v>1639.83862</v>
      </c>
      <c r="G143">
        <f t="shared" si="27"/>
        <v>-0.42465000000000003</v>
      </c>
      <c r="H143">
        <f t="shared" si="28"/>
        <v>-696.3574699830001</v>
      </c>
      <c r="I143">
        <v>1</v>
      </c>
      <c r="J143">
        <f t="shared" si="29"/>
        <v>0.49459783455524498</v>
      </c>
      <c r="K143">
        <f t="shared" si="30"/>
        <v>-0.79707515177521748</v>
      </c>
      <c r="L143">
        <v>1</v>
      </c>
      <c r="M143">
        <f t="shared" si="31"/>
        <v>0.58288907540901835</v>
      </c>
      <c r="N143">
        <f t="shared" si="35"/>
        <v>0.1311870896</v>
      </c>
      <c r="O143">
        <f t="shared" si="33"/>
        <v>2.7057337230000002E-2</v>
      </c>
      <c r="P143">
        <f t="shared" si="34"/>
        <v>5.5941649536199123E-2</v>
      </c>
    </row>
    <row r="144" spans="1:23">
      <c r="A144">
        <v>8.2562164500000002</v>
      </c>
      <c r="B144">
        <v>0.42243999999999998</v>
      </c>
      <c r="C144">
        <f t="shared" si="25"/>
        <v>3.4877560771380001</v>
      </c>
      <c r="D144">
        <v>1.6E-2</v>
      </c>
      <c r="E144">
        <v>3.3E-3</v>
      </c>
      <c r="F144">
        <f t="shared" si="26"/>
        <v>1651.2432900000001</v>
      </c>
      <c r="G144">
        <f t="shared" si="27"/>
        <v>-0.42243999999999998</v>
      </c>
      <c r="H144">
        <f t="shared" si="28"/>
        <v>-697.55121542760003</v>
      </c>
      <c r="I144">
        <v>1</v>
      </c>
      <c r="J144">
        <f t="shared" si="29"/>
        <v>0.50152851325795089</v>
      </c>
      <c r="K144">
        <f t="shared" si="30"/>
        <v>-0.79928515177521753</v>
      </c>
      <c r="L144">
        <v>1</v>
      </c>
      <c r="M144">
        <f t="shared" si="31"/>
        <v>0.58322382719035903</v>
      </c>
      <c r="N144">
        <f t="shared" si="35"/>
        <v>0.13209946320000002</v>
      </c>
      <c r="O144">
        <f t="shared" si="33"/>
        <v>2.7245514285000001E-2</v>
      </c>
      <c r="P144">
        <f t="shared" si="34"/>
        <v>5.6716347099858476E-2</v>
      </c>
    </row>
    <row r="145" spans="1:16">
      <c r="A145">
        <v>8.3138158499999992</v>
      </c>
      <c r="B145">
        <v>0.42027999999999999</v>
      </c>
      <c r="C145">
        <f t="shared" si="25"/>
        <v>3.4941305254379995</v>
      </c>
      <c r="D145">
        <v>1.6E-2</v>
      </c>
      <c r="E145">
        <v>3.3E-3</v>
      </c>
      <c r="F145">
        <f t="shared" si="26"/>
        <v>1662.7631699999999</v>
      </c>
      <c r="G145">
        <f t="shared" ref="G145:G187" si="36">-B145</f>
        <v>-0.42027999999999999</v>
      </c>
      <c r="H145">
        <f t="shared" si="28"/>
        <v>-698.8261050875999</v>
      </c>
      <c r="I145">
        <v>1</v>
      </c>
      <c r="J145">
        <f t="shared" si="29"/>
        <v>0.50848077876446707</v>
      </c>
      <c r="K145">
        <f t="shared" si="30"/>
        <v>-0.80144515177521747</v>
      </c>
      <c r="L145">
        <v>1</v>
      </c>
      <c r="M145">
        <f t="shared" si="31"/>
        <v>0.58355962161432384</v>
      </c>
      <c r="N145">
        <f t="shared" ref="N145:N187" si="37">D145*A145</f>
        <v>0.13302105359999999</v>
      </c>
      <c r="O145">
        <f t="shared" ref="O145:O187" si="38">E145*A145</f>
        <v>2.7435592304999996E-2</v>
      </c>
      <c r="P145">
        <f t="shared" ref="P145:P187" si="39">-K145-M145-N145-O145</f>
        <v>5.7428884255893639E-2</v>
      </c>
    </row>
    <row r="146" spans="1:16">
      <c r="A146">
        <v>8.3731425000000002</v>
      </c>
      <c r="B146">
        <v>0.41760999999999998</v>
      </c>
      <c r="C146">
        <f t="shared" si="25"/>
        <v>3.4967080394250001</v>
      </c>
      <c r="D146">
        <v>1.6E-2</v>
      </c>
      <c r="E146">
        <v>3.3E-3</v>
      </c>
      <c r="F146">
        <f t="shared" si="26"/>
        <v>1674.6285</v>
      </c>
      <c r="G146">
        <f t="shared" si="36"/>
        <v>-0.41760999999999998</v>
      </c>
      <c r="H146">
        <f t="shared" si="28"/>
        <v>-699.34160788500003</v>
      </c>
      <c r="I146">
        <v>1</v>
      </c>
      <c r="J146">
        <f t="shared" si="29"/>
        <v>0.51559134963298259</v>
      </c>
      <c r="K146">
        <f t="shared" si="30"/>
        <v>-0.80411515177521742</v>
      </c>
      <c r="L146">
        <v>1</v>
      </c>
      <c r="M146">
        <f t="shared" si="31"/>
        <v>0.58390306218727317</v>
      </c>
      <c r="N146">
        <f t="shared" si="37"/>
        <v>0.13397028</v>
      </c>
      <c r="O146">
        <f t="shared" si="38"/>
        <v>2.7631370249999999E-2</v>
      </c>
      <c r="P146">
        <f t="shared" si="39"/>
        <v>5.8610439337944256E-2</v>
      </c>
    </row>
    <row r="147" spans="1:16">
      <c r="A147">
        <v>8.4318941499999998</v>
      </c>
      <c r="B147">
        <v>0.41527999999999998</v>
      </c>
      <c r="C147">
        <f t="shared" si="25"/>
        <v>3.5015970026119998</v>
      </c>
      <c r="D147">
        <v>1.6E-2</v>
      </c>
      <c r="E147">
        <v>3.3E-3</v>
      </c>
      <c r="F147">
        <f t="shared" si="26"/>
        <v>1686.3788299999999</v>
      </c>
      <c r="G147">
        <f t="shared" si="36"/>
        <v>-0.41527999999999998</v>
      </c>
      <c r="H147">
        <f t="shared" si="28"/>
        <v>-700.31940052239997</v>
      </c>
      <c r="I147">
        <v>1</v>
      </c>
      <c r="J147">
        <f t="shared" si="29"/>
        <v>0.5225835259179904</v>
      </c>
      <c r="K147">
        <f t="shared" si="30"/>
        <v>-0.80644515177521747</v>
      </c>
      <c r="L147">
        <v>1</v>
      </c>
      <c r="M147">
        <f t="shared" si="31"/>
        <v>0.58424078430183901</v>
      </c>
      <c r="N147">
        <f t="shared" si="37"/>
        <v>0.13491030639999999</v>
      </c>
      <c r="O147">
        <f t="shared" si="38"/>
        <v>2.7825250694999998E-2</v>
      </c>
      <c r="P147">
        <f t="shared" si="39"/>
        <v>5.9468810378378478E-2</v>
      </c>
    </row>
    <row r="148" spans="1:16">
      <c r="A148">
        <v>8.48949365</v>
      </c>
      <c r="B148">
        <v>0.41278999999999999</v>
      </c>
      <c r="C148">
        <f t="shared" si="25"/>
        <v>3.5043780837835001</v>
      </c>
      <c r="D148">
        <v>1.6E-2</v>
      </c>
      <c r="E148">
        <v>3.3E-3</v>
      </c>
      <c r="F148">
        <f t="shared" si="26"/>
        <v>1697.8987299999999</v>
      </c>
      <c r="G148">
        <f t="shared" si="36"/>
        <v>-0.41278999999999999</v>
      </c>
      <c r="H148">
        <f t="shared" si="28"/>
        <v>-700.87561675670008</v>
      </c>
      <c r="I148">
        <v>1</v>
      </c>
      <c r="J148">
        <f t="shared" si="29"/>
        <v>0.52939144535674698</v>
      </c>
      <c r="K148">
        <f t="shared" si="30"/>
        <v>-0.80893515177521746</v>
      </c>
      <c r="L148">
        <v>1</v>
      </c>
      <c r="M148">
        <f t="shared" si="31"/>
        <v>0.58456960681073089</v>
      </c>
      <c r="N148">
        <f t="shared" si="37"/>
        <v>0.13583189840000001</v>
      </c>
      <c r="O148">
        <f t="shared" si="38"/>
        <v>2.8015329044999999E-2</v>
      </c>
      <c r="P148">
        <f t="shared" si="39"/>
        <v>6.0518317519486567E-2</v>
      </c>
    </row>
    <row r="149" spans="1:16">
      <c r="A149">
        <v>8.5482446999999997</v>
      </c>
      <c r="B149">
        <v>0.41009000000000001</v>
      </c>
      <c r="C149">
        <f t="shared" si="25"/>
        <v>3.5055496690229999</v>
      </c>
      <c r="D149">
        <v>1.6E-2</v>
      </c>
      <c r="E149">
        <v>3.3E-3</v>
      </c>
      <c r="F149">
        <f t="shared" si="26"/>
        <v>1709.64894</v>
      </c>
      <c r="G149">
        <f t="shared" si="36"/>
        <v>-0.41009000000000001</v>
      </c>
      <c r="H149">
        <f t="shared" si="28"/>
        <v>-701.10993380460002</v>
      </c>
      <c r="I149">
        <v>1</v>
      </c>
      <c r="J149">
        <f t="shared" si="29"/>
        <v>0.53628805119238498</v>
      </c>
      <c r="K149">
        <f t="shared" si="30"/>
        <v>-0.81163515177521739</v>
      </c>
      <c r="L149">
        <v>1</v>
      </c>
      <c r="M149">
        <f t="shared" si="31"/>
        <v>0.58490271287259221</v>
      </c>
      <c r="N149">
        <f t="shared" si="37"/>
        <v>0.13677191520000001</v>
      </c>
      <c r="O149">
        <f t="shared" si="38"/>
        <v>2.8209207509999997E-2</v>
      </c>
      <c r="P149">
        <f t="shared" si="39"/>
        <v>6.1751316192625166E-2</v>
      </c>
    </row>
    <row r="150" spans="1:16">
      <c r="A150">
        <v>8.6064197500000006</v>
      </c>
      <c r="B150">
        <v>0.40792</v>
      </c>
      <c r="C150">
        <f t="shared" si="25"/>
        <v>3.5107307444200004</v>
      </c>
      <c r="D150">
        <v>1.6E-2</v>
      </c>
      <c r="E150">
        <v>3.3E-3</v>
      </c>
      <c r="F150">
        <f t="shared" si="26"/>
        <v>1721.28395</v>
      </c>
      <c r="G150">
        <f t="shared" si="36"/>
        <v>-0.40792</v>
      </c>
      <c r="H150">
        <f t="shared" si="28"/>
        <v>-702.14614888400013</v>
      </c>
      <c r="I150">
        <v>1</v>
      </c>
      <c r="J150">
        <f t="shared" si="29"/>
        <v>0.54307049490397452</v>
      </c>
      <c r="K150">
        <f t="shared" si="30"/>
        <v>-0.81380515177521739</v>
      </c>
      <c r="L150">
        <v>1</v>
      </c>
      <c r="M150">
        <f t="shared" si="31"/>
        <v>0.58523030490386208</v>
      </c>
      <c r="N150">
        <f t="shared" si="37"/>
        <v>0.137702716</v>
      </c>
      <c r="O150">
        <f t="shared" si="38"/>
        <v>2.8401185175000003E-2</v>
      </c>
      <c r="P150">
        <f t="shared" si="39"/>
        <v>6.2470945696355314E-2</v>
      </c>
    </row>
    <row r="151" spans="1:16">
      <c r="A151">
        <v>8.6692035000000001</v>
      </c>
      <c r="B151">
        <v>0.40531</v>
      </c>
      <c r="C151">
        <f t="shared" si="25"/>
        <v>3.5137148705849999</v>
      </c>
      <c r="D151">
        <v>1.6E-2</v>
      </c>
      <c r="E151">
        <v>3.3E-3</v>
      </c>
      <c r="F151">
        <f t="shared" si="26"/>
        <v>1733.8407</v>
      </c>
      <c r="G151">
        <f t="shared" si="36"/>
        <v>-0.40531</v>
      </c>
      <c r="H151">
        <f t="shared" si="28"/>
        <v>-702.74297411700002</v>
      </c>
      <c r="I151">
        <v>1</v>
      </c>
      <c r="J151">
        <f t="shared" si="29"/>
        <v>0.55033900562606919</v>
      </c>
      <c r="K151">
        <f t="shared" si="30"/>
        <v>-0.8164151517752174</v>
      </c>
      <c r="L151">
        <v>1</v>
      </c>
      <c r="M151">
        <f t="shared" si="31"/>
        <v>0.58558137397173915</v>
      </c>
      <c r="N151">
        <f t="shared" si="37"/>
        <v>0.138707256</v>
      </c>
      <c r="O151">
        <f t="shared" si="38"/>
        <v>2.8608371550000001E-2</v>
      </c>
      <c r="P151">
        <f t="shared" si="39"/>
        <v>6.3518150253478248E-2</v>
      </c>
    </row>
    <row r="152" spans="1:16">
      <c r="A152">
        <v>8.7279546999999997</v>
      </c>
      <c r="B152">
        <v>0.40272999999999998</v>
      </c>
      <c r="C152">
        <f t="shared" si="25"/>
        <v>3.5150091963309995</v>
      </c>
      <c r="D152">
        <v>1.6E-2</v>
      </c>
      <c r="E152">
        <v>3.3E-3</v>
      </c>
      <c r="F152">
        <f t="shared" si="26"/>
        <v>1745.59094</v>
      </c>
      <c r="G152">
        <f t="shared" si="36"/>
        <v>-0.40272999999999998</v>
      </c>
      <c r="H152">
        <f t="shared" si="28"/>
        <v>-703.00183926619991</v>
      </c>
      <c r="I152">
        <v>1</v>
      </c>
      <c r="J152">
        <f t="shared" si="29"/>
        <v>0.55709314589071623</v>
      </c>
      <c r="K152">
        <f t="shared" si="30"/>
        <v>-0.81899515177521742</v>
      </c>
      <c r="L152">
        <v>1</v>
      </c>
      <c r="M152">
        <f t="shared" si="31"/>
        <v>0.58590759894652167</v>
      </c>
      <c r="N152">
        <f t="shared" si="37"/>
        <v>0.1396472752</v>
      </c>
      <c r="O152">
        <f t="shared" si="38"/>
        <v>2.8802250509999999E-2</v>
      </c>
      <c r="P152">
        <f t="shared" si="39"/>
        <v>6.4638027118695748E-2</v>
      </c>
    </row>
    <row r="153" spans="1:16">
      <c r="A153">
        <v>8.7849774000000007</v>
      </c>
      <c r="B153">
        <v>0.40027000000000001</v>
      </c>
      <c r="C153">
        <f t="shared" si="25"/>
        <v>3.5163629038980004</v>
      </c>
      <c r="D153">
        <v>1.6E-2</v>
      </c>
      <c r="E153">
        <v>3.3E-3</v>
      </c>
      <c r="F153">
        <f t="shared" si="26"/>
        <v>1756.99548</v>
      </c>
      <c r="G153">
        <f t="shared" si="36"/>
        <v>-0.40027000000000001</v>
      </c>
      <c r="H153">
        <f t="shared" si="28"/>
        <v>-703.27258077960005</v>
      </c>
      <c r="I153">
        <v>1</v>
      </c>
      <c r="J153">
        <f t="shared" si="29"/>
        <v>0.5636052366347758</v>
      </c>
      <c r="K153">
        <f t="shared" si="30"/>
        <v>-0.82145515177521744</v>
      </c>
      <c r="L153">
        <v>1</v>
      </c>
      <c r="M153">
        <f t="shared" si="31"/>
        <v>0.58622213292945968</v>
      </c>
      <c r="N153">
        <f t="shared" si="37"/>
        <v>0.14055963840000002</v>
      </c>
      <c r="O153">
        <f t="shared" si="38"/>
        <v>2.8990425420000004E-2</v>
      </c>
      <c r="P153">
        <f t="shared" si="39"/>
        <v>6.568295502575773E-2</v>
      </c>
    </row>
    <row r="154" spans="1:16">
      <c r="A154">
        <v>8.8425779999999996</v>
      </c>
      <c r="B154">
        <v>0.3977</v>
      </c>
      <c r="C154">
        <f t="shared" si="25"/>
        <v>3.5166932705999998</v>
      </c>
      <c r="D154">
        <v>1.6E-2</v>
      </c>
      <c r="E154">
        <v>3.3E-3</v>
      </c>
      <c r="F154">
        <f t="shared" si="26"/>
        <v>1768.5155999999999</v>
      </c>
      <c r="G154">
        <f t="shared" si="36"/>
        <v>-0.3977</v>
      </c>
      <c r="H154">
        <f t="shared" si="28"/>
        <v>-703.33865412</v>
      </c>
      <c r="I154">
        <v>1</v>
      </c>
      <c r="J154">
        <f t="shared" si="29"/>
        <v>0.57014055065926839</v>
      </c>
      <c r="K154">
        <f t="shared" si="30"/>
        <v>-0.82402515177521751</v>
      </c>
      <c r="L154">
        <v>1</v>
      </c>
      <c r="M154">
        <f t="shared" si="31"/>
        <v>0.58653778859684269</v>
      </c>
      <c r="N154">
        <f t="shared" si="37"/>
        <v>0.141481248</v>
      </c>
      <c r="O154">
        <f t="shared" si="38"/>
        <v>2.91805074E-2</v>
      </c>
      <c r="P154">
        <f t="shared" si="39"/>
        <v>6.6825607778374818E-2</v>
      </c>
    </row>
    <row r="155" spans="1:16">
      <c r="A155">
        <v>8.9013290999999999</v>
      </c>
      <c r="B155">
        <v>0.39530999999999999</v>
      </c>
      <c r="C155">
        <f t="shared" si="25"/>
        <v>3.5187844065210001</v>
      </c>
      <c r="D155">
        <v>1.6E-2</v>
      </c>
      <c r="E155">
        <v>3.3E-3</v>
      </c>
      <c r="F155">
        <f t="shared" si="26"/>
        <v>1780.2658200000001</v>
      </c>
      <c r="G155">
        <f t="shared" si="36"/>
        <v>-0.39530999999999999</v>
      </c>
      <c r="H155">
        <f t="shared" si="28"/>
        <v>-703.75688130420008</v>
      </c>
      <c r="I155">
        <v>1</v>
      </c>
      <c r="J155">
        <f t="shared" si="29"/>
        <v>0.576762690232974</v>
      </c>
      <c r="K155">
        <f t="shared" si="30"/>
        <v>-0.8264151517752174</v>
      </c>
      <c r="L155">
        <v>1</v>
      </c>
      <c r="M155">
        <f t="shared" si="31"/>
        <v>0.58685763793825274</v>
      </c>
      <c r="N155">
        <f t="shared" si="37"/>
        <v>0.14242126560000001</v>
      </c>
      <c r="O155">
        <f t="shared" si="38"/>
        <v>2.9374386029999998E-2</v>
      </c>
      <c r="P155">
        <f t="shared" si="39"/>
        <v>6.7761862206964646E-2</v>
      </c>
    </row>
    <row r="156" spans="1:16">
      <c r="A156">
        <v>8.9618079500000007</v>
      </c>
      <c r="B156">
        <v>0.39321</v>
      </c>
      <c r="C156">
        <f t="shared" si="25"/>
        <v>3.5238725040195003</v>
      </c>
      <c r="D156">
        <v>1.6E-2</v>
      </c>
      <c r="E156">
        <v>3.3E-3</v>
      </c>
      <c r="F156">
        <f t="shared" si="26"/>
        <v>1792.3615900000002</v>
      </c>
      <c r="G156">
        <f t="shared" si="36"/>
        <v>-0.39321</v>
      </c>
      <c r="H156">
        <f t="shared" si="28"/>
        <v>-704.77450080390008</v>
      </c>
      <c r="I156">
        <v>1</v>
      </c>
      <c r="J156">
        <f t="shared" si="29"/>
        <v>0.58353407433179427</v>
      </c>
      <c r="K156">
        <f t="shared" si="30"/>
        <v>-0.8285151517752174</v>
      </c>
      <c r="L156">
        <v>1</v>
      </c>
      <c r="M156">
        <f t="shared" si="31"/>
        <v>0.5871846957902257</v>
      </c>
      <c r="N156">
        <f t="shared" si="37"/>
        <v>0.14338892720000002</v>
      </c>
      <c r="O156">
        <f t="shared" si="38"/>
        <v>2.9573966235000002E-2</v>
      </c>
      <c r="P156">
        <f t="shared" si="39"/>
        <v>6.8367562549991684E-2</v>
      </c>
    </row>
    <row r="157" spans="1:16">
      <c r="A157">
        <v>9.0234389999999998</v>
      </c>
      <c r="B157">
        <v>0.39032</v>
      </c>
      <c r="C157">
        <f t="shared" si="25"/>
        <v>3.5220287104799999</v>
      </c>
      <c r="D157">
        <v>1.6E-2</v>
      </c>
      <c r="E157">
        <v>3.3E-3</v>
      </c>
      <c r="F157">
        <f t="shared" si="26"/>
        <v>1804.6877999999999</v>
      </c>
      <c r="G157">
        <f t="shared" si="36"/>
        <v>-0.39032</v>
      </c>
      <c r="H157">
        <f t="shared" si="28"/>
        <v>-704.40574209599993</v>
      </c>
      <c r="I157">
        <v>1</v>
      </c>
      <c r="J157">
        <f t="shared" si="29"/>
        <v>0.59038761283592878</v>
      </c>
      <c r="K157">
        <f t="shared" si="30"/>
        <v>-0.83140515177521745</v>
      </c>
      <c r="L157">
        <v>1</v>
      </c>
      <c r="M157">
        <f t="shared" si="31"/>
        <v>0.58751572169997546</v>
      </c>
      <c r="N157">
        <f t="shared" si="37"/>
        <v>0.14437502399999999</v>
      </c>
      <c r="O157">
        <f t="shared" si="38"/>
        <v>2.9777348699999998E-2</v>
      </c>
      <c r="P157">
        <f t="shared" si="39"/>
        <v>6.9737057375242009E-2</v>
      </c>
    </row>
    <row r="158" spans="1:16">
      <c r="A158">
        <v>9.0850694499999989</v>
      </c>
      <c r="B158">
        <v>0.38785999999999998</v>
      </c>
      <c r="C158">
        <f t="shared" si="25"/>
        <v>3.5237350368769995</v>
      </c>
      <c r="D158">
        <v>1.6E-2</v>
      </c>
      <c r="E158">
        <v>3.3E-3</v>
      </c>
      <c r="F158">
        <f t="shared" si="26"/>
        <v>1817.0138899999997</v>
      </c>
      <c r="G158">
        <f t="shared" si="36"/>
        <v>-0.38785999999999998</v>
      </c>
      <c r="H158">
        <f t="shared" si="28"/>
        <v>-704.7470073753999</v>
      </c>
      <c r="I158">
        <v>1</v>
      </c>
      <c r="J158">
        <f t="shared" si="29"/>
        <v>0.59719443385371995</v>
      </c>
      <c r="K158">
        <f t="shared" si="30"/>
        <v>-0.83386515177521747</v>
      </c>
      <c r="L158">
        <v>1</v>
      </c>
      <c r="M158">
        <f t="shared" si="31"/>
        <v>0.58784449115513471</v>
      </c>
      <c r="N158">
        <f t="shared" si="37"/>
        <v>0.14536111119999998</v>
      </c>
      <c r="O158">
        <f t="shared" si="38"/>
        <v>2.9980729184999996E-2</v>
      </c>
      <c r="P158">
        <f t="shared" si="39"/>
        <v>7.067882023508279E-2</v>
      </c>
    </row>
    <row r="159" spans="1:16">
      <c r="A159">
        <v>9.1478533000000013</v>
      </c>
      <c r="B159">
        <v>0.38499</v>
      </c>
      <c r="C159">
        <f t="shared" si="25"/>
        <v>3.5218320419670004</v>
      </c>
      <c r="D159">
        <v>1.6E-2</v>
      </c>
      <c r="E159">
        <v>3.3E-3</v>
      </c>
      <c r="F159">
        <f t="shared" si="26"/>
        <v>1829.5706600000003</v>
      </c>
      <c r="G159">
        <f t="shared" si="36"/>
        <v>-0.38499</v>
      </c>
      <c r="H159">
        <f t="shared" si="28"/>
        <v>-704.36640839340009</v>
      </c>
      <c r="I159">
        <v>1</v>
      </c>
      <c r="J159">
        <f t="shared" si="29"/>
        <v>0.60408132730576614</v>
      </c>
      <c r="K159">
        <f t="shared" si="30"/>
        <v>-0.83673515177521751</v>
      </c>
      <c r="L159">
        <v>1</v>
      </c>
      <c r="M159">
        <f t="shared" si="31"/>
        <v>0.58817712810886857</v>
      </c>
      <c r="N159">
        <f t="shared" si="37"/>
        <v>0.14636565280000002</v>
      </c>
      <c r="O159">
        <f t="shared" si="38"/>
        <v>3.0187915890000003E-2</v>
      </c>
      <c r="P159">
        <f t="shared" si="39"/>
        <v>7.2004454976348914E-2</v>
      </c>
    </row>
    <row r="160" spans="1:16">
      <c r="A160">
        <v>9.2077571499999991</v>
      </c>
      <c r="B160">
        <v>0.38229999999999997</v>
      </c>
      <c r="C160">
        <f t="shared" si="25"/>
        <v>3.5201255584449993</v>
      </c>
      <c r="D160">
        <v>1.6E-2</v>
      </c>
      <c r="E160">
        <v>3.3E-3</v>
      </c>
      <c r="F160">
        <f t="shared" si="26"/>
        <v>1841.5514299999998</v>
      </c>
      <c r="G160">
        <f t="shared" si="36"/>
        <v>-0.38229999999999997</v>
      </c>
      <c r="H160">
        <f t="shared" si="28"/>
        <v>-704.02511168899991</v>
      </c>
      <c r="I160">
        <v>1</v>
      </c>
      <c r="J160">
        <f t="shared" si="29"/>
        <v>0.61060838483229951</v>
      </c>
      <c r="K160">
        <f t="shared" si="30"/>
        <v>-0.83942515177521748</v>
      </c>
      <c r="L160">
        <v>1</v>
      </c>
      <c r="M160">
        <f t="shared" si="31"/>
        <v>0.58849238498740009</v>
      </c>
      <c r="N160">
        <f t="shared" si="37"/>
        <v>0.14732411439999998</v>
      </c>
      <c r="O160">
        <f t="shared" si="38"/>
        <v>3.0385598594999997E-2</v>
      </c>
      <c r="P160">
        <f t="shared" si="39"/>
        <v>7.3223053792817419E-2</v>
      </c>
    </row>
    <row r="161" spans="1:16">
      <c r="A161">
        <v>9.2682365000000004</v>
      </c>
      <c r="B161">
        <v>0.37989000000000001</v>
      </c>
      <c r="C161">
        <f t="shared" si="25"/>
        <v>3.5209103639850001</v>
      </c>
      <c r="D161">
        <v>1.6E-2</v>
      </c>
      <c r="E161">
        <v>3.3E-3</v>
      </c>
      <c r="F161">
        <f t="shared" si="26"/>
        <v>1853.6473000000001</v>
      </c>
      <c r="G161">
        <f t="shared" si="36"/>
        <v>-0.37989000000000001</v>
      </c>
      <c r="H161">
        <f t="shared" si="28"/>
        <v>-704.18207279700005</v>
      </c>
      <c r="I161">
        <v>1</v>
      </c>
      <c r="J161">
        <f t="shared" si="29"/>
        <v>0.61715521172154497</v>
      </c>
      <c r="K161">
        <f t="shared" si="30"/>
        <v>-0.84183515177521739</v>
      </c>
      <c r="L161">
        <v>1</v>
      </c>
      <c r="M161">
        <f t="shared" si="31"/>
        <v>0.58880859672615071</v>
      </c>
      <c r="N161">
        <f t="shared" si="37"/>
        <v>0.14829178400000001</v>
      </c>
      <c r="O161">
        <f t="shared" si="38"/>
        <v>3.0585180450000003E-2</v>
      </c>
      <c r="P161">
        <f t="shared" si="39"/>
        <v>7.4149590599066673E-2</v>
      </c>
    </row>
    <row r="162" spans="1:16">
      <c r="A162">
        <v>9.3269876000000007</v>
      </c>
      <c r="B162">
        <v>0.37720999999999999</v>
      </c>
      <c r="C162">
        <f t="shared" si="25"/>
        <v>3.5182329925960003</v>
      </c>
      <c r="D162">
        <v>1.6E-2</v>
      </c>
      <c r="E162">
        <v>3.3E-3</v>
      </c>
      <c r="F162">
        <f t="shared" si="26"/>
        <v>1865.3975200000002</v>
      </c>
      <c r="G162">
        <f t="shared" si="36"/>
        <v>-0.37720999999999999</v>
      </c>
      <c r="H162">
        <f t="shared" si="28"/>
        <v>-703.6465985192001</v>
      </c>
      <c r="I162">
        <v>1</v>
      </c>
      <c r="J162">
        <f t="shared" si="29"/>
        <v>0.6234741778361711</v>
      </c>
      <c r="K162">
        <f t="shared" si="30"/>
        <v>-0.84451515177521741</v>
      </c>
      <c r="L162">
        <v>1</v>
      </c>
      <c r="M162">
        <f t="shared" si="31"/>
        <v>0.58911380278948711</v>
      </c>
      <c r="N162">
        <f t="shared" si="37"/>
        <v>0.14923180160000002</v>
      </c>
      <c r="O162">
        <f t="shared" si="38"/>
        <v>3.0779059080000001E-2</v>
      </c>
      <c r="P162">
        <f t="shared" si="39"/>
        <v>7.539048830573028E-2</v>
      </c>
    </row>
    <row r="163" spans="1:16">
      <c r="A163">
        <v>9.3840097999999994</v>
      </c>
      <c r="B163">
        <v>0.37484000000000001</v>
      </c>
      <c r="C163">
        <f t="shared" si="25"/>
        <v>3.5175022334319999</v>
      </c>
      <c r="D163">
        <v>1.6E-2</v>
      </c>
      <c r="E163">
        <v>3.3E-3</v>
      </c>
      <c r="F163">
        <f t="shared" si="26"/>
        <v>1876.8019599999998</v>
      </c>
      <c r="G163">
        <f t="shared" si="36"/>
        <v>-0.37484000000000001</v>
      </c>
      <c r="H163">
        <f t="shared" si="28"/>
        <v>-703.50044668639998</v>
      </c>
      <c r="I163">
        <v>1</v>
      </c>
      <c r="J163">
        <f t="shared" si="29"/>
        <v>0.62956924324730434</v>
      </c>
      <c r="K163">
        <f t="shared" si="30"/>
        <v>-0.84688515177521739</v>
      </c>
      <c r="L163">
        <v>1</v>
      </c>
      <c r="M163">
        <f t="shared" si="31"/>
        <v>0.58940819444884485</v>
      </c>
      <c r="N163">
        <f t="shared" si="37"/>
        <v>0.15014415679999998</v>
      </c>
      <c r="O163">
        <f t="shared" si="38"/>
        <v>3.0967232339999998E-2</v>
      </c>
      <c r="P163">
        <f t="shared" si="39"/>
        <v>7.6365568186372565E-2</v>
      </c>
    </row>
    <row r="164" spans="1:16">
      <c r="A164">
        <v>9.441611</v>
      </c>
      <c r="B164">
        <v>0.37213000000000002</v>
      </c>
      <c r="C164">
        <f t="shared" si="25"/>
        <v>3.5135067014300003</v>
      </c>
      <c r="D164">
        <v>1.6E-2</v>
      </c>
      <c r="E164">
        <v>3.3E-3</v>
      </c>
      <c r="F164">
        <f t="shared" si="26"/>
        <v>1888.3222000000001</v>
      </c>
      <c r="G164">
        <f t="shared" si="36"/>
        <v>-0.37213000000000002</v>
      </c>
      <c r="H164">
        <f t="shared" si="28"/>
        <v>-702.70134028600012</v>
      </c>
      <c r="I164">
        <v>1</v>
      </c>
      <c r="J164">
        <f t="shared" si="29"/>
        <v>0.63568870994275839</v>
      </c>
      <c r="K164">
        <f t="shared" si="30"/>
        <v>-0.84959515177521738</v>
      </c>
      <c r="L164">
        <v>1</v>
      </c>
      <c r="M164">
        <f t="shared" si="31"/>
        <v>0.58970376469023533</v>
      </c>
      <c r="N164">
        <f t="shared" si="37"/>
        <v>0.15106577600000001</v>
      </c>
      <c r="O164">
        <f t="shared" si="38"/>
        <v>3.1157316300000001E-2</v>
      </c>
      <c r="P164">
        <f t="shared" si="39"/>
        <v>7.7668294784982037E-2</v>
      </c>
    </row>
    <row r="165" spans="1:16">
      <c r="A165">
        <v>9.5020898000000003</v>
      </c>
      <c r="B165">
        <v>0.36960999999999999</v>
      </c>
      <c r="C165">
        <f t="shared" si="25"/>
        <v>3.5120674109780001</v>
      </c>
      <c r="D165">
        <v>1.6E-2</v>
      </c>
      <c r="E165">
        <v>3.3E-3</v>
      </c>
      <c r="F165">
        <f t="shared" si="26"/>
        <v>1900.41796</v>
      </c>
      <c r="G165">
        <f t="shared" si="36"/>
        <v>-0.36960999999999999</v>
      </c>
      <c r="H165">
        <f t="shared" si="28"/>
        <v>-702.41348219560007</v>
      </c>
      <c r="I165">
        <v>1</v>
      </c>
      <c r="J165">
        <f t="shared" si="29"/>
        <v>0.64207384092794229</v>
      </c>
      <c r="K165">
        <f t="shared" si="30"/>
        <v>-0.85211515177521746</v>
      </c>
      <c r="L165">
        <v>1</v>
      </c>
      <c r="M165">
        <f t="shared" si="31"/>
        <v>0.59001216651681965</v>
      </c>
      <c r="N165">
        <f t="shared" si="37"/>
        <v>0.1520334368</v>
      </c>
      <c r="O165">
        <f t="shared" si="38"/>
        <v>3.1356896340000003E-2</v>
      </c>
      <c r="P165">
        <f t="shared" si="39"/>
        <v>7.8712652118397813E-2</v>
      </c>
    </row>
    <row r="166" spans="1:16">
      <c r="A166">
        <v>9.5619931000000005</v>
      </c>
      <c r="B166">
        <v>0.36710999999999999</v>
      </c>
      <c r="C166">
        <f t="shared" si="25"/>
        <v>3.5103032869410002</v>
      </c>
      <c r="D166">
        <v>1.6E-2</v>
      </c>
      <c r="E166">
        <v>3.3E-3</v>
      </c>
      <c r="F166">
        <f t="shared" si="26"/>
        <v>1912.3986200000002</v>
      </c>
      <c r="G166">
        <f t="shared" si="36"/>
        <v>-0.36710999999999999</v>
      </c>
      <c r="H166">
        <f t="shared" si="28"/>
        <v>-702.06065738820007</v>
      </c>
      <c r="I166">
        <v>1</v>
      </c>
      <c r="J166">
        <f t="shared" si="29"/>
        <v>0.64835827616319253</v>
      </c>
      <c r="K166">
        <f t="shared" si="30"/>
        <v>-0.85461515177521741</v>
      </c>
      <c r="L166">
        <v>1</v>
      </c>
      <c r="M166">
        <f t="shared" si="31"/>
        <v>0.59031570473868222</v>
      </c>
      <c r="N166">
        <f t="shared" si="37"/>
        <v>0.15299188960000001</v>
      </c>
      <c r="O166">
        <f t="shared" si="38"/>
        <v>3.1554577229999999E-2</v>
      </c>
      <c r="P166">
        <f t="shared" si="39"/>
        <v>7.9752980206535179E-2</v>
      </c>
    </row>
    <row r="167" spans="1:16">
      <c r="A167">
        <v>9.6190165000000007</v>
      </c>
      <c r="B167">
        <v>0.36432999999999999</v>
      </c>
      <c r="C167">
        <f t="shared" si="25"/>
        <v>3.5044962814450002</v>
      </c>
      <c r="D167">
        <v>1.6E-2</v>
      </c>
      <c r="E167">
        <v>3.3E-3</v>
      </c>
      <c r="F167">
        <f t="shared" si="26"/>
        <v>1923.8033</v>
      </c>
      <c r="G167">
        <f t="shared" si="36"/>
        <v>-0.36432999999999999</v>
      </c>
      <c r="H167">
        <f t="shared" si="28"/>
        <v>-700.89925628900005</v>
      </c>
      <c r="I167">
        <v>1</v>
      </c>
      <c r="J167">
        <f t="shared" si="29"/>
        <v>0.65430411208993344</v>
      </c>
      <c r="K167">
        <f t="shared" si="30"/>
        <v>-0.85739515177521741</v>
      </c>
      <c r="L167">
        <v>1</v>
      </c>
      <c r="M167">
        <f t="shared" si="31"/>
        <v>0.59060288861394383</v>
      </c>
      <c r="N167">
        <f t="shared" si="37"/>
        <v>0.15390426400000001</v>
      </c>
      <c r="O167">
        <f t="shared" si="38"/>
        <v>3.1742754450000001E-2</v>
      </c>
      <c r="P167">
        <f t="shared" si="39"/>
        <v>8.1145244711273573E-2</v>
      </c>
    </row>
    <row r="168" spans="1:16">
      <c r="A168">
        <v>9.6760409000000003</v>
      </c>
      <c r="B168">
        <v>0.36213000000000001</v>
      </c>
      <c r="C168">
        <f t="shared" si="25"/>
        <v>3.5039846911170001</v>
      </c>
      <c r="D168">
        <v>1.6E-2</v>
      </c>
      <c r="E168">
        <v>3.3E-3</v>
      </c>
      <c r="F168">
        <f t="shared" si="26"/>
        <v>1935.2081800000001</v>
      </c>
      <c r="G168">
        <f t="shared" si="36"/>
        <v>-0.36213000000000001</v>
      </c>
      <c r="H168">
        <f t="shared" si="28"/>
        <v>-700.79693822340005</v>
      </c>
      <c r="I168">
        <v>1</v>
      </c>
      <c r="J168">
        <f t="shared" si="29"/>
        <v>0.66021490725803345</v>
      </c>
      <c r="K168">
        <f t="shared" si="30"/>
        <v>-0.85959515177521739</v>
      </c>
      <c r="L168">
        <v>1</v>
      </c>
      <c r="M168">
        <f t="shared" si="31"/>
        <v>0.5908883800205631</v>
      </c>
      <c r="N168">
        <f t="shared" si="37"/>
        <v>0.1548166544</v>
      </c>
      <c r="O168">
        <f t="shared" si="38"/>
        <v>3.1930934969999998E-2</v>
      </c>
      <c r="P168">
        <f t="shared" si="39"/>
        <v>8.19591823846543E-2</v>
      </c>
    </row>
    <row r="169" spans="1:16">
      <c r="A169">
        <v>9.7353664999999996</v>
      </c>
      <c r="B169">
        <v>0.35960999999999999</v>
      </c>
      <c r="C169">
        <f t="shared" si="25"/>
        <v>3.5009351470649999</v>
      </c>
      <c r="D169">
        <v>1.6E-2</v>
      </c>
      <c r="E169">
        <v>3.3E-3</v>
      </c>
      <c r="F169">
        <f t="shared" si="26"/>
        <v>1947.0733</v>
      </c>
      <c r="G169">
        <f t="shared" si="36"/>
        <v>-0.35960999999999999</v>
      </c>
      <c r="H169">
        <f t="shared" si="28"/>
        <v>-700.187029413</v>
      </c>
      <c r="I169">
        <v>1</v>
      </c>
      <c r="J169">
        <f t="shared" si="29"/>
        <v>0.66632737334447856</v>
      </c>
      <c r="K169">
        <f t="shared" si="30"/>
        <v>-0.86211515177521747</v>
      </c>
      <c r="L169">
        <v>1</v>
      </c>
      <c r="M169">
        <f t="shared" si="31"/>
        <v>0.59118361213253834</v>
      </c>
      <c r="N169">
        <f t="shared" si="37"/>
        <v>0.155765864</v>
      </c>
      <c r="O169">
        <f t="shared" si="38"/>
        <v>3.2126709449999999E-2</v>
      </c>
      <c r="P169">
        <f t="shared" si="39"/>
        <v>8.3038966192679128E-2</v>
      </c>
    </row>
    <row r="170" spans="1:16">
      <c r="A170">
        <v>9.7923898999999999</v>
      </c>
      <c r="B170">
        <v>0.35691000000000001</v>
      </c>
      <c r="C170">
        <f t="shared" si="25"/>
        <v>3.4950018792090001</v>
      </c>
      <c r="D170">
        <v>1.6E-2</v>
      </c>
      <c r="E170">
        <v>3.3E-3</v>
      </c>
      <c r="F170">
        <f t="shared" si="26"/>
        <v>1958.4779799999999</v>
      </c>
      <c r="G170">
        <f t="shared" si="36"/>
        <v>-0.35691000000000001</v>
      </c>
      <c r="H170">
        <f t="shared" si="28"/>
        <v>-699.00037584180006</v>
      </c>
      <c r="I170">
        <v>1</v>
      </c>
      <c r="J170">
        <f t="shared" si="29"/>
        <v>0.67216763076209984</v>
      </c>
      <c r="K170">
        <f t="shared" si="30"/>
        <v>-0.86481515177521739</v>
      </c>
      <c r="L170">
        <v>1</v>
      </c>
      <c r="M170">
        <f t="shared" si="31"/>
        <v>0.5914656965658095</v>
      </c>
      <c r="N170">
        <f t="shared" si="37"/>
        <v>0.1566782384</v>
      </c>
      <c r="O170">
        <f t="shared" si="38"/>
        <v>3.2314886670000001E-2</v>
      </c>
      <c r="P170">
        <f t="shared" si="39"/>
        <v>8.4356330139407895E-2</v>
      </c>
    </row>
    <row r="171" spans="1:16">
      <c r="A171">
        <v>9.84998985</v>
      </c>
      <c r="B171">
        <v>0.35442000000000001</v>
      </c>
      <c r="C171">
        <f t="shared" si="25"/>
        <v>3.491033402637</v>
      </c>
      <c r="D171">
        <v>1.6E-2</v>
      </c>
      <c r="E171">
        <v>3.3E-3</v>
      </c>
      <c r="F171">
        <f t="shared" si="26"/>
        <v>1969.9979699999999</v>
      </c>
      <c r="G171">
        <f t="shared" si="36"/>
        <v>-0.35442000000000001</v>
      </c>
      <c r="H171">
        <f t="shared" si="28"/>
        <v>-698.20668052739995</v>
      </c>
      <c r="I171">
        <v>1</v>
      </c>
      <c r="J171">
        <f t="shared" si="29"/>
        <v>0.67803251229251338</v>
      </c>
      <c r="K171">
        <f t="shared" si="30"/>
        <v>-0.8673051517752175</v>
      </c>
      <c r="L171">
        <v>1</v>
      </c>
      <c r="M171">
        <f t="shared" si="31"/>
        <v>0.59174897034372842</v>
      </c>
      <c r="N171">
        <f t="shared" si="37"/>
        <v>0.15759983760000001</v>
      </c>
      <c r="O171">
        <f t="shared" si="38"/>
        <v>3.2504966505000003E-2</v>
      </c>
      <c r="P171">
        <f t="shared" si="39"/>
        <v>8.5451377326489053E-2</v>
      </c>
    </row>
    <row r="172" spans="1:16">
      <c r="A172">
        <v>9.9081653500000009</v>
      </c>
      <c r="B172">
        <v>0.35198000000000002</v>
      </c>
      <c r="C172">
        <f t="shared" si="25"/>
        <v>3.4874760398930005</v>
      </c>
      <c r="D172">
        <v>1.6E-2</v>
      </c>
      <c r="E172">
        <v>3.3E-3</v>
      </c>
      <c r="F172">
        <f t="shared" si="26"/>
        <v>1981.6330700000001</v>
      </c>
      <c r="G172">
        <f t="shared" si="36"/>
        <v>-0.35198000000000002</v>
      </c>
      <c r="H172">
        <f t="shared" si="28"/>
        <v>-697.49520797860009</v>
      </c>
      <c r="I172">
        <v>1</v>
      </c>
      <c r="J172">
        <f t="shared" si="29"/>
        <v>0.6839212875882783</v>
      </c>
      <c r="K172">
        <f t="shared" si="30"/>
        <v>-0.8697451517752175</v>
      </c>
      <c r="L172">
        <v>1</v>
      </c>
      <c r="M172">
        <f t="shared" si="31"/>
        <v>0.59203339819051393</v>
      </c>
      <c r="N172">
        <f t="shared" si="37"/>
        <v>0.15853064560000002</v>
      </c>
      <c r="O172">
        <f t="shared" si="38"/>
        <v>3.2696945655000004E-2</v>
      </c>
      <c r="P172">
        <f t="shared" si="39"/>
        <v>8.6484162329703546E-2</v>
      </c>
    </row>
    <row r="173" spans="1:16">
      <c r="A173">
        <v>9.9657643</v>
      </c>
      <c r="B173">
        <v>0.34932999999999997</v>
      </c>
      <c r="C173">
        <f t="shared" si="25"/>
        <v>3.4813404429189996</v>
      </c>
      <c r="D173">
        <v>1.6E-2</v>
      </c>
      <c r="E173">
        <v>3.3E-3</v>
      </c>
      <c r="F173">
        <f t="shared" si="26"/>
        <v>1993.1528599999999</v>
      </c>
      <c r="G173">
        <f t="shared" si="36"/>
        <v>-0.34932999999999997</v>
      </c>
      <c r="H173">
        <f t="shared" si="28"/>
        <v>-696.26808858379991</v>
      </c>
      <c r="I173">
        <v>1</v>
      </c>
      <c r="J173">
        <f t="shared" si="29"/>
        <v>0.68971773673403824</v>
      </c>
      <c r="K173">
        <f t="shared" si="30"/>
        <v>-0.87239515177521754</v>
      </c>
      <c r="L173">
        <v>1</v>
      </c>
      <c r="M173">
        <f t="shared" si="31"/>
        <v>0.59231336668425405</v>
      </c>
      <c r="N173">
        <f t="shared" si="37"/>
        <v>0.15945222880000001</v>
      </c>
      <c r="O173">
        <f t="shared" si="38"/>
        <v>3.2887022189999997E-2</v>
      </c>
      <c r="P173">
        <f t="shared" si="39"/>
        <v>8.7742534100963471E-2</v>
      </c>
    </row>
    <row r="174" spans="1:16">
      <c r="A174">
        <v>10.0273953</v>
      </c>
      <c r="B174">
        <v>0.34637000000000001</v>
      </c>
      <c r="C174">
        <f t="shared" si="25"/>
        <v>3.4731889100610003</v>
      </c>
      <c r="D174">
        <v>1.6E-2</v>
      </c>
      <c r="E174">
        <v>3.3E-3</v>
      </c>
      <c r="F174">
        <f t="shared" si="26"/>
        <v>2005.4790600000001</v>
      </c>
      <c r="G174">
        <f t="shared" si="36"/>
        <v>-0.34637000000000001</v>
      </c>
      <c r="H174">
        <f t="shared" si="28"/>
        <v>-694.63778201220009</v>
      </c>
      <c r="I174">
        <v>1</v>
      </c>
      <c r="J174">
        <f t="shared" si="29"/>
        <v>0.69588296488699786</v>
      </c>
      <c r="K174">
        <f t="shared" si="30"/>
        <v>-0.87535515177521739</v>
      </c>
      <c r="L174">
        <v>1</v>
      </c>
      <c r="M174">
        <f t="shared" si="31"/>
        <v>0.59261114720404207</v>
      </c>
      <c r="N174">
        <f t="shared" si="37"/>
        <v>0.1604383248</v>
      </c>
      <c r="O174">
        <f t="shared" si="38"/>
        <v>3.3090404490000003E-2</v>
      </c>
      <c r="P174">
        <f t="shared" si="39"/>
        <v>8.9215275281175316E-2</v>
      </c>
    </row>
    <row r="175" spans="1:16">
      <c r="A175">
        <v>10.084418700000001</v>
      </c>
      <c r="B175">
        <v>0.34381</v>
      </c>
      <c r="C175">
        <f t="shared" si="25"/>
        <v>3.4671239932470002</v>
      </c>
      <c r="D175">
        <v>1.6E-2</v>
      </c>
      <c r="E175">
        <v>3.3E-3</v>
      </c>
      <c r="F175">
        <f t="shared" si="26"/>
        <v>2016.8837400000002</v>
      </c>
      <c r="G175">
        <f t="shared" si="36"/>
        <v>-0.34381</v>
      </c>
      <c r="H175">
        <f t="shared" si="28"/>
        <v>-693.42479864940003</v>
      </c>
      <c r="I175">
        <v>1</v>
      </c>
      <c r="J175">
        <f t="shared" si="29"/>
        <v>0.70155361725132859</v>
      </c>
      <c r="K175">
        <f t="shared" si="30"/>
        <v>-0.87791515177521751</v>
      </c>
      <c r="L175">
        <v>1</v>
      </c>
      <c r="M175">
        <f t="shared" si="31"/>
        <v>0.59288503971323925</v>
      </c>
      <c r="N175">
        <f t="shared" si="37"/>
        <v>0.1613506992</v>
      </c>
      <c r="O175">
        <f t="shared" si="38"/>
        <v>3.3278581710000005E-2</v>
      </c>
      <c r="P175">
        <f t="shared" si="39"/>
        <v>9.040083115197825E-2</v>
      </c>
    </row>
    <row r="176" spans="1:16">
      <c r="A176">
        <v>10.14316975</v>
      </c>
      <c r="B176">
        <v>0.34164</v>
      </c>
      <c r="C176">
        <f t="shared" si="25"/>
        <v>3.4653125133900002</v>
      </c>
      <c r="D176">
        <v>1.6E-2</v>
      </c>
      <c r="E176">
        <v>3.3E-3</v>
      </c>
      <c r="F176">
        <f t="shared" si="26"/>
        <v>2028.6339500000001</v>
      </c>
      <c r="G176">
        <f t="shared" si="36"/>
        <v>-0.34164</v>
      </c>
      <c r="H176">
        <f t="shared" si="28"/>
        <v>-693.0625026780001</v>
      </c>
      <c r="I176">
        <v>1</v>
      </c>
      <c r="J176">
        <f t="shared" si="29"/>
        <v>0.70736263549949752</v>
      </c>
      <c r="K176">
        <f t="shared" si="30"/>
        <v>-0.88008515177521751</v>
      </c>
      <c r="L176">
        <v>1</v>
      </c>
      <c r="M176">
        <f t="shared" si="31"/>
        <v>0.59316561529462575</v>
      </c>
      <c r="N176">
        <f t="shared" si="37"/>
        <v>0.162290716</v>
      </c>
      <c r="O176">
        <f t="shared" si="38"/>
        <v>3.3472460175000003E-2</v>
      </c>
      <c r="P176">
        <f t="shared" si="39"/>
        <v>9.1156360305591766E-2</v>
      </c>
    </row>
    <row r="177" spans="1:16">
      <c r="A177">
        <v>10.2007698</v>
      </c>
      <c r="B177">
        <v>0.33875</v>
      </c>
      <c r="C177">
        <f t="shared" si="25"/>
        <v>3.45551076975</v>
      </c>
      <c r="D177">
        <v>1.6E-2</v>
      </c>
      <c r="E177">
        <v>3.3E-3</v>
      </c>
      <c r="F177">
        <f t="shared" si="26"/>
        <v>2040.1539599999999</v>
      </c>
      <c r="G177">
        <f t="shared" si="36"/>
        <v>-0.33875</v>
      </c>
      <c r="H177">
        <f t="shared" si="28"/>
        <v>-691.10215395</v>
      </c>
      <c r="I177">
        <v>1</v>
      </c>
      <c r="J177">
        <f t="shared" si="29"/>
        <v>0.71302527559659878</v>
      </c>
      <c r="K177">
        <f t="shared" si="30"/>
        <v>-0.88297515177521746</v>
      </c>
      <c r="L177">
        <v>1</v>
      </c>
      <c r="M177">
        <f t="shared" si="31"/>
        <v>0.59343912081131578</v>
      </c>
      <c r="N177">
        <f t="shared" si="37"/>
        <v>0.16321231680000001</v>
      </c>
      <c r="O177">
        <f t="shared" si="38"/>
        <v>3.3662540339999998E-2</v>
      </c>
      <c r="P177">
        <f t="shared" si="39"/>
        <v>9.2661173823901682E-2</v>
      </c>
    </row>
    <row r="178" spans="1:16">
      <c r="A178">
        <v>10.2589442</v>
      </c>
      <c r="B178">
        <v>0.33627000000000001</v>
      </c>
      <c r="C178">
        <f t="shared" si="25"/>
        <v>3.4497751661340001</v>
      </c>
      <c r="D178">
        <v>1.6E-2</v>
      </c>
      <c r="E178">
        <v>3.3E-3</v>
      </c>
      <c r="F178">
        <f t="shared" si="26"/>
        <v>2051.7888400000002</v>
      </c>
      <c r="G178">
        <f t="shared" si="36"/>
        <v>-0.33627000000000001</v>
      </c>
      <c r="H178">
        <f t="shared" si="28"/>
        <v>-689.95503322680008</v>
      </c>
      <c r="I178">
        <v>1</v>
      </c>
      <c r="J178">
        <f t="shared" si="29"/>
        <v>0.71871201753006264</v>
      </c>
      <c r="K178">
        <f t="shared" si="30"/>
        <v>-0.88545515177521739</v>
      </c>
      <c r="L178">
        <v>1</v>
      </c>
      <c r="M178">
        <f t="shared" si="31"/>
        <v>0.59371379044670203</v>
      </c>
      <c r="N178">
        <f t="shared" si="37"/>
        <v>0.1641431072</v>
      </c>
      <c r="O178">
        <f t="shared" si="38"/>
        <v>3.3854515860000003E-2</v>
      </c>
      <c r="P178">
        <f t="shared" si="39"/>
        <v>9.3743738268515356E-2</v>
      </c>
    </row>
    <row r="179" spans="1:16">
      <c r="A179">
        <v>10.315967599999999</v>
      </c>
      <c r="B179">
        <v>0.33341999999999999</v>
      </c>
      <c r="C179">
        <f t="shared" si="25"/>
        <v>3.4395499171919997</v>
      </c>
      <c r="D179">
        <v>1.6E-2</v>
      </c>
      <c r="E179">
        <v>3.3E-3</v>
      </c>
      <c r="F179">
        <f t="shared" si="26"/>
        <v>2063.1935199999998</v>
      </c>
      <c r="G179">
        <f t="shared" si="36"/>
        <v>-0.33341999999999999</v>
      </c>
      <c r="H179">
        <f t="shared" si="28"/>
        <v>-687.90998343839988</v>
      </c>
      <c r="I179">
        <v>1</v>
      </c>
      <c r="J179">
        <f t="shared" si="29"/>
        <v>0.72425503482783626</v>
      </c>
      <c r="K179">
        <f t="shared" si="30"/>
        <v>-0.88830515177521741</v>
      </c>
      <c r="L179">
        <v>1</v>
      </c>
      <c r="M179">
        <f t="shared" si="31"/>
        <v>0.59398151818218459</v>
      </c>
      <c r="N179">
        <f t="shared" si="37"/>
        <v>0.16505548159999997</v>
      </c>
      <c r="O179">
        <f t="shared" si="38"/>
        <v>3.4042693079999999E-2</v>
      </c>
      <c r="P179">
        <f t="shared" si="39"/>
        <v>9.5225458913032857E-2</v>
      </c>
    </row>
    <row r="180" spans="1:16">
      <c r="A180">
        <v>10.37299095</v>
      </c>
      <c r="B180">
        <v>0.33096999999999999</v>
      </c>
      <c r="C180">
        <f t="shared" si="25"/>
        <v>3.4331488147215001</v>
      </c>
      <c r="D180">
        <v>1.6E-2</v>
      </c>
      <c r="E180">
        <v>3.3E-3</v>
      </c>
      <c r="F180">
        <f t="shared" si="26"/>
        <v>2074.5981900000002</v>
      </c>
      <c r="G180">
        <f t="shared" si="36"/>
        <v>-0.33096999999999999</v>
      </c>
      <c r="H180">
        <f t="shared" si="28"/>
        <v>-686.62976294430007</v>
      </c>
      <c r="I180">
        <v>1</v>
      </c>
      <c r="J180">
        <f t="shared" si="29"/>
        <v>0.72976749155786891</v>
      </c>
      <c r="K180">
        <f t="shared" si="30"/>
        <v>-0.89075515177521747</v>
      </c>
      <c r="L180">
        <v>1</v>
      </c>
      <c r="M180">
        <f t="shared" si="31"/>
        <v>0.59424776984224514</v>
      </c>
      <c r="N180">
        <f t="shared" si="37"/>
        <v>0.16596785520000001</v>
      </c>
      <c r="O180">
        <f t="shared" si="38"/>
        <v>3.4230870135000001E-2</v>
      </c>
      <c r="P180">
        <f t="shared" si="39"/>
        <v>9.6308656597972303E-2</v>
      </c>
    </row>
    <row r="181" spans="1:16">
      <c r="A181">
        <v>10.430014349999999</v>
      </c>
      <c r="B181">
        <v>0.32849</v>
      </c>
      <c r="C181">
        <f t="shared" si="25"/>
        <v>3.4261554138314998</v>
      </c>
      <c r="D181">
        <v>1.6E-2</v>
      </c>
      <c r="E181">
        <v>3.3E-3</v>
      </c>
      <c r="F181">
        <f t="shared" si="26"/>
        <v>2086.0028699999998</v>
      </c>
      <c r="G181">
        <f t="shared" si="36"/>
        <v>-0.32849</v>
      </c>
      <c r="H181">
        <f t="shared" si="28"/>
        <v>-685.23108276630001</v>
      </c>
      <c r="I181">
        <v>1</v>
      </c>
      <c r="J181">
        <f t="shared" si="29"/>
        <v>0.73524973241656033</v>
      </c>
      <c r="K181">
        <f t="shared" si="30"/>
        <v>-0.89323515177521751</v>
      </c>
      <c r="L181">
        <v>1</v>
      </c>
      <c r="M181">
        <f t="shared" si="31"/>
        <v>0.5945125620757199</v>
      </c>
      <c r="N181">
        <f t="shared" si="37"/>
        <v>0.16688022959999999</v>
      </c>
      <c r="O181">
        <f t="shared" si="38"/>
        <v>3.4419047354999996E-2</v>
      </c>
      <c r="P181">
        <f t="shared" si="39"/>
        <v>9.7423312744497628E-2</v>
      </c>
    </row>
    <row r="182" spans="1:16">
      <c r="A182">
        <v>10.487037600000001</v>
      </c>
      <c r="B182">
        <v>0.32579999999999998</v>
      </c>
      <c r="C182">
        <f t="shared" si="25"/>
        <v>3.41667685008</v>
      </c>
      <c r="D182">
        <v>1.6E-2</v>
      </c>
      <c r="E182">
        <v>3.3E-3</v>
      </c>
      <c r="F182">
        <f t="shared" si="26"/>
        <v>2097.4075200000002</v>
      </c>
      <c r="G182">
        <f t="shared" si="36"/>
        <v>-0.32579999999999998</v>
      </c>
      <c r="H182">
        <f t="shared" si="28"/>
        <v>-683.33537001599996</v>
      </c>
      <c r="I182">
        <v>1</v>
      </c>
      <c r="J182">
        <f t="shared" si="29"/>
        <v>0.74070206780317738</v>
      </c>
      <c r="K182">
        <f t="shared" si="30"/>
        <v>-0.89592515177521748</v>
      </c>
      <c r="L182">
        <v>1</v>
      </c>
      <c r="M182">
        <f t="shared" si="31"/>
        <v>0.59477590987489348</v>
      </c>
      <c r="N182">
        <f t="shared" si="37"/>
        <v>0.16779260160000001</v>
      </c>
      <c r="O182">
        <f t="shared" si="38"/>
        <v>3.4607224080000006E-2</v>
      </c>
      <c r="P182">
        <f t="shared" si="39"/>
        <v>9.8749416220323988E-2</v>
      </c>
    </row>
    <row r="183" spans="1:16">
      <c r="A183">
        <v>10.547517600000001</v>
      </c>
      <c r="B183">
        <v>0.32301999999999997</v>
      </c>
      <c r="C183">
        <f t="shared" si="25"/>
        <v>3.4070591351520001</v>
      </c>
      <c r="D183">
        <v>1.6E-2</v>
      </c>
      <c r="E183">
        <v>3.3E-3</v>
      </c>
      <c r="F183">
        <f t="shared" si="26"/>
        <v>2109.5035200000002</v>
      </c>
      <c r="G183">
        <f t="shared" si="36"/>
        <v>-0.32301999999999997</v>
      </c>
      <c r="H183">
        <f t="shared" si="28"/>
        <v>-681.41182703039999</v>
      </c>
      <c r="I183">
        <v>1</v>
      </c>
      <c r="J183">
        <f t="shared" si="29"/>
        <v>0.74645262122272238</v>
      </c>
      <c r="K183">
        <f t="shared" si="30"/>
        <v>-0.89870515177521748</v>
      </c>
      <c r="L183">
        <v>1</v>
      </c>
      <c r="M183">
        <f t="shared" si="31"/>
        <v>0.59505366160505757</v>
      </c>
      <c r="N183">
        <f t="shared" si="37"/>
        <v>0.16876028160000001</v>
      </c>
      <c r="O183">
        <f t="shared" si="38"/>
        <v>3.4806808080000001E-2</v>
      </c>
      <c r="P183">
        <f t="shared" si="39"/>
        <v>0.1000844004901599</v>
      </c>
    </row>
    <row r="184" spans="1:16">
      <c r="A184">
        <v>10.606268700000001</v>
      </c>
      <c r="B184">
        <v>0.32029999999999997</v>
      </c>
      <c r="C184">
        <f t="shared" si="25"/>
        <v>3.3971878646100002</v>
      </c>
      <c r="D184">
        <v>1.6E-2</v>
      </c>
      <c r="E184">
        <v>3.3E-3</v>
      </c>
      <c r="F184">
        <f t="shared" si="26"/>
        <v>2121.2537400000001</v>
      </c>
      <c r="G184">
        <f t="shared" si="36"/>
        <v>-0.32029999999999997</v>
      </c>
      <c r="H184">
        <f t="shared" si="28"/>
        <v>-679.43757292200007</v>
      </c>
      <c r="I184">
        <v>1</v>
      </c>
      <c r="J184">
        <f t="shared" si="29"/>
        <v>0.75200730067611787</v>
      </c>
      <c r="K184">
        <f t="shared" si="30"/>
        <v>-0.90142515177521743</v>
      </c>
      <c r="L184">
        <v>1</v>
      </c>
      <c r="M184">
        <f t="shared" si="31"/>
        <v>0.59532195262265653</v>
      </c>
      <c r="N184">
        <f t="shared" si="37"/>
        <v>0.16970029920000002</v>
      </c>
      <c r="O184">
        <f t="shared" si="38"/>
        <v>3.5000686710000006E-2</v>
      </c>
      <c r="P184">
        <f t="shared" si="39"/>
        <v>0.10140221324256088</v>
      </c>
    </row>
    <row r="185" spans="1:16">
      <c r="A185">
        <v>10.6655953</v>
      </c>
      <c r="B185">
        <v>0.31748999999999999</v>
      </c>
      <c r="C185">
        <f t="shared" si="25"/>
        <v>3.3862198517969997</v>
      </c>
      <c r="D185">
        <v>1.6E-2</v>
      </c>
      <c r="E185">
        <v>3.3E-3</v>
      </c>
      <c r="F185">
        <f t="shared" si="26"/>
        <v>2133.11906</v>
      </c>
      <c r="G185">
        <f t="shared" si="36"/>
        <v>-0.31748999999999999</v>
      </c>
      <c r="H185">
        <f t="shared" si="28"/>
        <v>-677.2439703593999</v>
      </c>
      <c r="I185">
        <v>1</v>
      </c>
      <c r="J185">
        <f t="shared" si="29"/>
        <v>0.75758525602801907</v>
      </c>
      <c r="K185">
        <f t="shared" si="30"/>
        <v>-0.90423515177521741</v>
      </c>
      <c r="L185">
        <v>1</v>
      </c>
      <c r="M185">
        <f t="shared" si="31"/>
        <v>0.59559136786615341</v>
      </c>
      <c r="N185">
        <f t="shared" si="37"/>
        <v>0.17064952480000001</v>
      </c>
      <c r="O185">
        <f t="shared" si="38"/>
        <v>3.5196464489999996E-2</v>
      </c>
      <c r="P185">
        <f t="shared" si="39"/>
        <v>0.10279779461906399</v>
      </c>
    </row>
    <row r="186" spans="1:16">
      <c r="A186">
        <v>10.722619850000001</v>
      </c>
      <c r="B186">
        <v>0.31464999999999999</v>
      </c>
      <c r="C186">
        <f t="shared" si="25"/>
        <v>3.3738723358025</v>
      </c>
      <c r="D186">
        <v>1.6E-2</v>
      </c>
      <c r="E186">
        <v>3.3E-3</v>
      </c>
      <c r="F186">
        <f t="shared" si="26"/>
        <v>2144.5239700000002</v>
      </c>
      <c r="G186">
        <f t="shared" si="36"/>
        <v>-0.31464999999999999</v>
      </c>
      <c r="H186">
        <f t="shared" si="28"/>
        <v>-674.77446716049997</v>
      </c>
      <c r="I186">
        <v>1</v>
      </c>
      <c r="J186">
        <f t="shared" si="29"/>
        <v>0.76291760234296768</v>
      </c>
      <c r="K186">
        <f t="shared" si="30"/>
        <v>-0.90707515177521747</v>
      </c>
      <c r="L186">
        <v>1</v>
      </c>
      <c r="M186">
        <f t="shared" si="31"/>
        <v>0.59584892019316538</v>
      </c>
      <c r="N186">
        <f t="shared" si="37"/>
        <v>0.17156191760000003</v>
      </c>
      <c r="O186">
        <f t="shared" si="38"/>
        <v>3.5384645505000006E-2</v>
      </c>
      <c r="P186">
        <f t="shared" si="39"/>
        <v>0.10427966847705206</v>
      </c>
    </row>
    <row r="187" spans="1:16">
      <c r="A187">
        <v>10.78194645</v>
      </c>
      <c r="B187">
        <v>0.31206</v>
      </c>
      <c r="C187">
        <f t="shared" si="25"/>
        <v>3.3646142091869997</v>
      </c>
      <c r="D187">
        <v>1.6E-2</v>
      </c>
      <c r="E187">
        <v>3.3E-3</v>
      </c>
      <c r="F187">
        <f t="shared" si="26"/>
        <v>2156.3892900000001</v>
      </c>
      <c r="G187">
        <f t="shared" si="36"/>
        <v>-0.31206</v>
      </c>
      <c r="H187">
        <f t="shared" si="28"/>
        <v>-672.92284183739991</v>
      </c>
      <c r="I187">
        <v>1</v>
      </c>
      <c r="J187">
        <f t="shared" si="29"/>
        <v>0.76843519797202453</v>
      </c>
      <c r="K187">
        <f t="shared" si="30"/>
        <v>-0.90966515177521745</v>
      </c>
      <c r="L187">
        <v>1</v>
      </c>
      <c r="M187">
        <f t="shared" si="31"/>
        <v>0.59611542006204887</v>
      </c>
      <c r="N187">
        <f t="shared" si="37"/>
        <v>0.17251114319999999</v>
      </c>
      <c r="O187">
        <f t="shared" si="38"/>
        <v>3.5580423284999996E-2</v>
      </c>
      <c r="P187">
        <f t="shared" si="39"/>
        <v>0.10545816522816859</v>
      </c>
    </row>
    <row r="188" spans="1:16">
      <c r="A188">
        <v>10.839545399999999</v>
      </c>
      <c r="B188">
        <v>0.30958000000000002</v>
      </c>
      <c r="C188">
        <f t="shared" si="25"/>
        <v>3.3557064649319996</v>
      </c>
      <c r="D188">
        <v>1.6E-2</v>
      </c>
      <c r="E188">
        <v>3.3E-3</v>
      </c>
      <c r="F188">
        <f t="shared" si="26"/>
        <v>2167.9090799999999</v>
      </c>
      <c r="G188">
        <f t="shared" ref="G188:G211" si="40">-B188</f>
        <v>-0.30958000000000002</v>
      </c>
      <c r="H188">
        <f t="shared" si="28"/>
        <v>-671.14129298639989</v>
      </c>
      <c r="I188">
        <v>1</v>
      </c>
      <c r="J188">
        <f t="shared" si="29"/>
        <v>0.77376314542863511</v>
      </c>
      <c r="K188">
        <f t="shared" ref="K188:K211" si="41">((-G188)-$N$2)</f>
        <v>-0.91214515177521749</v>
      </c>
      <c r="L188">
        <v>1</v>
      </c>
      <c r="M188">
        <f t="shared" si="31"/>
        <v>0.59637275992420313</v>
      </c>
      <c r="N188">
        <f t="shared" ref="N188:N211" si="42">D188*A188</f>
        <v>0.17343272639999999</v>
      </c>
      <c r="O188">
        <f t="shared" ref="O188:O211" si="43">E188*A188</f>
        <v>3.5770499819999996E-2</v>
      </c>
      <c r="P188">
        <f t="shared" ref="P188:P211" si="44">-K188-M188-N188-O188</f>
        <v>0.10656916563101437</v>
      </c>
    </row>
    <row r="189" spans="1:16">
      <c r="A189">
        <v>10.900025299999999</v>
      </c>
      <c r="B189">
        <v>0.30691000000000002</v>
      </c>
      <c r="C189">
        <f t="shared" si="25"/>
        <v>3.3453267648230001</v>
      </c>
      <c r="D189">
        <v>1.6E-2</v>
      </c>
      <c r="E189">
        <v>3.3E-3</v>
      </c>
      <c r="F189">
        <f t="shared" si="26"/>
        <v>2180.00506</v>
      </c>
      <c r="G189">
        <f t="shared" si="40"/>
        <v>-0.30691000000000002</v>
      </c>
      <c r="H189">
        <f t="shared" si="28"/>
        <v>-669.06535296460004</v>
      </c>
      <c r="I189">
        <v>1</v>
      </c>
      <c r="J189">
        <f t="shared" si="29"/>
        <v>0.77932719789922134</v>
      </c>
      <c r="K189">
        <f t="shared" si="41"/>
        <v>-0.91481515177521744</v>
      </c>
      <c r="L189">
        <v>1</v>
      </c>
      <c r="M189">
        <f t="shared" si="31"/>
        <v>0.59664150365853241</v>
      </c>
      <c r="N189">
        <f t="shared" si="42"/>
        <v>0.17440040479999999</v>
      </c>
      <c r="O189">
        <f t="shared" si="43"/>
        <v>3.5970083489999999E-2</v>
      </c>
      <c r="P189">
        <f t="shared" si="44"/>
        <v>0.10780315982668504</v>
      </c>
    </row>
    <row r="190" spans="1:16">
      <c r="A190">
        <v>10.96338415</v>
      </c>
      <c r="B190">
        <v>0.30375999999999997</v>
      </c>
      <c r="C190">
        <f t="shared" si="25"/>
        <v>3.3302375694039994</v>
      </c>
      <c r="D190">
        <v>1.6E-2</v>
      </c>
      <c r="E190">
        <v>3.3E-3</v>
      </c>
      <c r="F190">
        <f t="shared" si="26"/>
        <v>2192.6768299999999</v>
      </c>
      <c r="G190">
        <f t="shared" si="40"/>
        <v>-0.30375999999999997</v>
      </c>
      <c r="H190">
        <f t="shared" si="28"/>
        <v>-666.0475138807999</v>
      </c>
      <c r="I190">
        <v>1</v>
      </c>
      <c r="J190">
        <f t="shared" si="29"/>
        <v>0.78512309423547444</v>
      </c>
      <c r="K190">
        <f t="shared" si="41"/>
        <v>-0.91796515177521743</v>
      </c>
      <c r="L190">
        <v>1</v>
      </c>
      <c r="M190">
        <f t="shared" si="31"/>
        <v>0.59692144545157344</v>
      </c>
      <c r="N190">
        <f t="shared" si="42"/>
        <v>0.1754141464</v>
      </c>
      <c r="O190">
        <f t="shared" si="43"/>
        <v>3.6179167695E-2</v>
      </c>
      <c r="P190">
        <f t="shared" si="44"/>
        <v>0.10945039222864399</v>
      </c>
    </row>
    <row r="191" spans="1:16">
      <c r="A191">
        <v>11.023288450000001</v>
      </c>
      <c r="B191">
        <v>0.30068</v>
      </c>
      <c r="C191">
        <f t="shared" si="25"/>
        <v>3.3144823711460001</v>
      </c>
      <c r="D191">
        <v>1.6E-2</v>
      </c>
      <c r="E191">
        <v>3.3E-3</v>
      </c>
      <c r="F191">
        <f t="shared" si="26"/>
        <v>2204.65769</v>
      </c>
      <c r="G191">
        <f t="shared" si="40"/>
        <v>-0.30068</v>
      </c>
      <c r="H191">
        <f t="shared" si="28"/>
        <v>-662.89647422920007</v>
      </c>
      <c r="I191">
        <v>1</v>
      </c>
      <c r="J191">
        <f t="shared" si="29"/>
        <v>0.79057225421703936</v>
      </c>
      <c r="K191">
        <f t="shared" si="41"/>
        <v>-0.9210451517752174</v>
      </c>
      <c r="L191">
        <v>1</v>
      </c>
      <c r="M191">
        <f t="shared" si="31"/>
        <v>0.59718463987868309</v>
      </c>
      <c r="N191">
        <f t="shared" si="42"/>
        <v>0.17637261520000003</v>
      </c>
      <c r="O191">
        <f t="shared" si="43"/>
        <v>3.6376851885000006E-2</v>
      </c>
      <c r="P191">
        <f t="shared" si="44"/>
        <v>0.11111104481153428</v>
      </c>
    </row>
    <row r="192" spans="1:16">
      <c r="A192">
        <v>11.0826151</v>
      </c>
      <c r="B192">
        <v>0.29818</v>
      </c>
      <c r="C192">
        <f t="shared" si="25"/>
        <v>3.3046141705180001</v>
      </c>
      <c r="D192">
        <v>1.6E-2</v>
      </c>
      <c r="E192">
        <v>3.3E-3</v>
      </c>
      <c r="F192">
        <f t="shared" si="26"/>
        <v>2216.5230200000001</v>
      </c>
      <c r="G192">
        <f t="shared" si="40"/>
        <v>-0.29818</v>
      </c>
      <c r="H192">
        <f t="shared" si="28"/>
        <v>-660.92283410360005</v>
      </c>
      <c r="I192">
        <v>1</v>
      </c>
      <c r="J192">
        <f t="shared" si="29"/>
        <v>0.79593976089232865</v>
      </c>
      <c r="K192">
        <f t="shared" si="41"/>
        <v>-0.92354515177521745</v>
      </c>
      <c r="L192">
        <v>1</v>
      </c>
      <c r="M192">
        <f t="shared" si="31"/>
        <v>0.59744389045109958</v>
      </c>
      <c r="N192">
        <f t="shared" si="42"/>
        <v>0.1773218416</v>
      </c>
      <c r="O192">
        <f t="shared" si="43"/>
        <v>3.6572629830000002E-2</v>
      </c>
      <c r="P192">
        <f t="shared" si="44"/>
        <v>0.11220678989411786</v>
      </c>
    </row>
    <row r="193" spans="1:16">
      <c r="A193">
        <v>11.1407896</v>
      </c>
      <c r="B193">
        <v>0.29538999999999999</v>
      </c>
      <c r="C193">
        <f t="shared" si="25"/>
        <v>3.2908778399439997</v>
      </c>
      <c r="D193">
        <v>1.6E-2</v>
      </c>
      <c r="E193">
        <v>3.3E-3</v>
      </c>
      <c r="F193">
        <f t="shared" si="26"/>
        <v>2228.1579200000001</v>
      </c>
      <c r="G193">
        <f t="shared" si="40"/>
        <v>-0.29538999999999999</v>
      </c>
      <c r="H193">
        <f t="shared" si="28"/>
        <v>-658.17556798879991</v>
      </c>
      <c r="I193">
        <v>1</v>
      </c>
      <c r="J193">
        <f t="shared" si="29"/>
        <v>0.80117519926593639</v>
      </c>
      <c r="K193">
        <f t="shared" si="41"/>
        <v>-0.92633515177521741</v>
      </c>
      <c r="L193">
        <v>1</v>
      </c>
      <c r="M193">
        <f t="shared" si="31"/>
        <v>0.59769676212454481</v>
      </c>
      <c r="N193">
        <f t="shared" si="42"/>
        <v>0.17825263359999999</v>
      </c>
      <c r="O193">
        <f t="shared" si="43"/>
        <v>3.676460568E-2</v>
      </c>
      <c r="P193">
        <f t="shared" si="44"/>
        <v>0.11362115037067261</v>
      </c>
    </row>
    <row r="194" spans="1:16">
      <c r="A194">
        <v>11.1978141</v>
      </c>
      <c r="B194">
        <v>0.29264000000000001</v>
      </c>
      <c r="C194">
        <f t="shared" si="25"/>
        <v>3.2769283182240003</v>
      </c>
      <c r="D194">
        <v>1.6E-2</v>
      </c>
      <c r="E194">
        <v>3.3E-3</v>
      </c>
      <c r="F194">
        <f t="shared" si="26"/>
        <v>2239.5628200000001</v>
      </c>
      <c r="G194">
        <f t="shared" si="40"/>
        <v>-0.29264000000000001</v>
      </c>
      <c r="H194">
        <f t="shared" si="28"/>
        <v>-655.38566364480005</v>
      </c>
      <c r="I194">
        <v>1</v>
      </c>
      <c r="J194">
        <f t="shared" si="29"/>
        <v>0.80628067717601826</v>
      </c>
      <c r="K194">
        <f t="shared" si="41"/>
        <v>-0.92908515177521744</v>
      </c>
      <c r="L194">
        <v>1</v>
      </c>
      <c r="M194">
        <f t="shared" si="31"/>
        <v>0.59794335670760179</v>
      </c>
      <c r="N194">
        <f t="shared" si="42"/>
        <v>0.1791650256</v>
      </c>
      <c r="O194">
        <f t="shared" si="43"/>
        <v>3.6952786530000004E-2</v>
      </c>
      <c r="P194">
        <f t="shared" si="44"/>
        <v>0.11502398293761565</v>
      </c>
    </row>
    <row r="195" spans="1:16">
      <c r="A195">
        <v>11.258292899999999</v>
      </c>
      <c r="B195">
        <v>0.28963</v>
      </c>
      <c r="C195">
        <f t="shared" si="25"/>
        <v>3.2607393726269995</v>
      </c>
      <c r="D195">
        <v>1.6E-2</v>
      </c>
      <c r="E195">
        <v>3.3E-3</v>
      </c>
      <c r="F195">
        <f t="shared" si="26"/>
        <v>2251.6585799999998</v>
      </c>
      <c r="G195">
        <f t="shared" si="40"/>
        <v>-0.28963</v>
      </c>
      <c r="H195">
        <f t="shared" si="28"/>
        <v>-652.14787452539986</v>
      </c>
      <c r="I195">
        <v>1</v>
      </c>
      <c r="J195">
        <f t="shared" si="29"/>
        <v>0.81166709132383574</v>
      </c>
      <c r="K195">
        <f t="shared" si="41"/>
        <v>-0.9320951517752174</v>
      </c>
      <c r="L195">
        <v>1</v>
      </c>
      <c r="M195">
        <f t="shared" si="31"/>
        <v>0.59820352051094128</v>
      </c>
      <c r="N195">
        <f t="shared" si="42"/>
        <v>0.18013268639999999</v>
      </c>
      <c r="O195">
        <f t="shared" si="43"/>
        <v>3.7152366569999998E-2</v>
      </c>
      <c r="P195">
        <f t="shared" si="44"/>
        <v>0.11660657829427613</v>
      </c>
    </row>
    <row r="196" spans="1:16">
      <c r="A196">
        <v>11.31704395</v>
      </c>
      <c r="B196">
        <v>0.28682999999999997</v>
      </c>
      <c r="C196">
        <f t="shared" si="25"/>
        <v>3.2460677161784997</v>
      </c>
      <c r="D196">
        <v>1.6E-2</v>
      </c>
      <c r="E196">
        <v>3.3E-3</v>
      </c>
      <c r="F196">
        <f t="shared" si="26"/>
        <v>2263.40879</v>
      </c>
      <c r="G196">
        <f t="shared" si="40"/>
        <v>-0.28682999999999997</v>
      </c>
      <c r="H196">
        <f t="shared" si="28"/>
        <v>-649.21354323569994</v>
      </c>
      <c r="I196">
        <v>1</v>
      </c>
      <c r="J196">
        <f t="shared" si="29"/>
        <v>0.81687199108020347</v>
      </c>
      <c r="K196">
        <f t="shared" si="41"/>
        <v>-0.93489515177521754</v>
      </c>
      <c r="L196">
        <v>1</v>
      </c>
      <c r="M196">
        <f t="shared" si="31"/>
        <v>0.59845491716917387</v>
      </c>
      <c r="N196">
        <f t="shared" si="42"/>
        <v>0.18107270320000002</v>
      </c>
      <c r="O196">
        <f t="shared" si="43"/>
        <v>3.7346245035000003E-2</v>
      </c>
      <c r="P196">
        <f t="shared" si="44"/>
        <v>0.11802128637104364</v>
      </c>
    </row>
    <row r="197" spans="1:16">
      <c r="A197">
        <v>11.3746429</v>
      </c>
      <c r="B197">
        <v>0.28414</v>
      </c>
      <c r="C197">
        <f t="shared" ref="C197:C211" si="45">A197*B197</f>
        <v>3.231991033606</v>
      </c>
      <c r="D197">
        <v>1.6E-2</v>
      </c>
      <c r="E197">
        <v>3.3E-3</v>
      </c>
      <c r="F197">
        <f t="shared" ref="F197:F260" si="46">A197*200</f>
        <v>2274.9285799999998</v>
      </c>
      <c r="G197">
        <f t="shared" si="40"/>
        <v>-0.28414</v>
      </c>
      <c r="H197">
        <f t="shared" ref="H197:H211" si="47">-C197*200</f>
        <v>-646.39820672120004</v>
      </c>
      <c r="I197">
        <v>1</v>
      </c>
      <c r="J197">
        <f t="shared" ref="J197:J260" si="48">LN(F197/1000)</f>
        <v>0.82194865850353682</v>
      </c>
      <c r="K197">
        <f t="shared" si="41"/>
        <v>-0.9375851517752174</v>
      </c>
      <c r="L197">
        <v>1</v>
      </c>
      <c r="M197">
        <f t="shared" ref="M197:M260" si="49">-1*($S$4+($S$5*J197))</f>
        <v>0.59870012020572083</v>
      </c>
      <c r="N197">
        <f t="shared" si="42"/>
        <v>0.18199428640000001</v>
      </c>
      <c r="O197">
        <f t="shared" si="43"/>
        <v>3.7536321569999996E-2</v>
      </c>
      <c r="P197">
        <f t="shared" si="44"/>
        <v>0.11935442359949655</v>
      </c>
    </row>
    <row r="198" spans="1:16">
      <c r="A198">
        <v>11.4397293</v>
      </c>
      <c r="B198">
        <v>0.28109000000000001</v>
      </c>
      <c r="C198">
        <f t="shared" si="45"/>
        <v>3.2155935089369998</v>
      </c>
      <c r="D198">
        <v>1.6E-2</v>
      </c>
      <c r="E198">
        <v>3.3E-3</v>
      </c>
      <c r="F198">
        <f t="shared" si="46"/>
        <v>2287.9458599999998</v>
      </c>
      <c r="G198">
        <f t="shared" si="40"/>
        <v>-0.28109000000000001</v>
      </c>
      <c r="H198">
        <f t="shared" si="47"/>
        <v>-643.11870178739991</v>
      </c>
      <c r="I198">
        <v>1</v>
      </c>
      <c r="J198">
        <f t="shared" si="48"/>
        <v>0.82765441065017531</v>
      </c>
      <c r="K198">
        <f t="shared" si="41"/>
        <v>-0.94063515177521739</v>
      </c>
      <c r="L198">
        <v>1</v>
      </c>
      <c r="M198">
        <f t="shared" si="49"/>
        <v>0.59897570803440348</v>
      </c>
      <c r="N198">
        <f t="shared" si="42"/>
        <v>0.1830356688</v>
      </c>
      <c r="O198">
        <f t="shared" si="43"/>
        <v>3.7751106690000001E-2</v>
      </c>
      <c r="P198">
        <f t="shared" si="44"/>
        <v>0.12087266825081391</v>
      </c>
    </row>
    <row r="199" spans="1:16">
      <c r="A199">
        <v>11.4973305</v>
      </c>
      <c r="B199">
        <v>0.27796999999999999</v>
      </c>
      <c r="C199">
        <f t="shared" si="45"/>
        <v>3.1959129590850002</v>
      </c>
      <c r="D199">
        <v>1.6E-2</v>
      </c>
      <c r="E199">
        <v>3.3E-3</v>
      </c>
      <c r="F199">
        <f t="shared" si="46"/>
        <v>2299.4661000000001</v>
      </c>
      <c r="G199">
        <f t="shared" si="40"/>
        <v>-0.27796999999999999</v>
      </c>
      <c r="H199">
        <f t="shared" si="47"/>
        <v>-639.182591817</v>
      </c>
      <c r="I199">
        <v>1</v>
      </c>
      <c r="J199">
        <f t="shared" si="48"/>
        <v>0.83267696555388193</v>
      </c>
      <c r="K199">
        <f t="shared" si="41"/>
        <v>-0.9437551517752174</v>
      </c>
      <c r="L199">
        <v>1</v>
      </c>
      <c r="M199">
        <f t="shared" si="49"/>
        <v>0.59921829743625254</v>
      </c>
      <c r="N199">
        <f t="shared" si="42"/>
        <v>0.183957288</v>
      </c>
      <c r="O199">
        <f t="shared" si="43"/>
        <v>3.7941190649999998E-2</v>
      </c>
      <c r="P199">
        <f t="shared" si="44"/>
        <v>0.12263837568896487</v>
      </c>
    </row>
    <row r="200" spans="1:16">
      <c r="A200">
        <v>11.55895995</v>
      </c>
      <c r="B200">
        <v>0.27542</v>
      </c>
      <c r="C200">
        <f t="shared" si="45"/>
        <v>3.1835687494289999</v>
      </c>
      <c r="D200">
        <v>1.6E-2</v>
      </c>
      <c r="E200">
        <v>3.3E-3</v>
      </c>
      <c r="F200">
        <f t="shared" si="46"/>
        <v>2311.7919900000002</v>
      </c>
      <c r="G200">
        <f t="shared" si="40"/>
        <v>-0.27542</v>
      </c>
      <c r="H200">
        <f t="shared" si="47"/>
        <v>-636.71374988579998</v>
      </c>
      <c r="I200">
        <v>1</v>
      </c>
      <c r="J200">
        <f t="shared" si="48"/>
        <v>0.83802297703942941</v>
      </c>
      <c r="K200">
        <f t="shared" si="41"/>
        <v>-0.94630515177521746</v>
      </c>
      <c r="L200">
        <v>1</v>
      </c>
      <c r="M200">
        <f t="shared" si="49"/>
        <v>0.59947650979100453</v>
      </c>
      <c r="N200">
        <f t="shared" si="42"/>
        <v>0.18494335920000002</v>
      </c>
      <c r="O200">
        <f t="shared" si="43"/>
        <v>3.8144567835000004E-2</v>
      </c>
      <c r="P200">
        <f t="shared" si="44"/>
        <v>0.1237407149492129</v>
      </c>
    </row>
    <row r="201" spans="1:16">
      <c r="A201">
        <v>11.617134650000001</v>
      </c>
      <c r="B201">
        <v>0.27250999999999997</v>
      </c>
      <c r="C201">
        <f t="shared" si="45"/>
        <v>3.1657853634714996</v>
      </c>
      <c r="D201">
        <v>1.6E-2</v>
      </c>
      <c r="E201">
        <v>3.3E-3</v>
      </c>
      <c r="F201">
        <f t="shared" si="46"/>
        <v>2323.4269300000001</v>
      </c>
      <c r="G201">
        <f t="shared" si="40"/>
        <v>-0.27250999999999997</v>
      </c>
      <c r="H201">
        <f t="shared" si="47"/>
        <v>-633.15707269429993</v>
      </c>
      <c r="I201">
        <v>1</v>
      </c>
      <c r="J201">
        <f t="shared" si="48"/>
        <v>0.84304322080220917</v>
      </c>
      <c r="K201">
        <f t="shared" si="41"/>
        <v>-0.94921515177521743</v>
      </c>
      <c r="L201">
        <v>1</v>
      </c>
      <c r="M201">
        <f t="shared" si="49"/>
        <v>0.59971898756474673</v>
      </c>
      <c r="N201">
        <f t="shared" si="42"/>
        <v>0.18587415440000002</v>
      </c>
      <c r="O201">
        <f t="shared" si="43"/>
        <v>3.8336544345000001E-2</v>
      </c>
      <c r="P201">
        <f t="shared" si="44"/>
        <v>0.12528546546547067</v>
      </c>
    </row>
    <row r="202" spans="1:16">
      <c r="A202">
        <v>11.679919050000001</v>
      </c>
      <c r="B202">
        <v>0.26929999999999998</v>
      </c>
      <c r="C202">
        <f t="shared" si="45"/>
        <v>3.1454022001649999</v>
      </c>
      <c r="D202">
        <v>1.6E-2</v>
      </c>
      <c r="E202">
        <v>3.3E-3</v>
      </c>
      <c r="F202">
        <f t="shared" si="46"/>
        <v>2335.9838100000002</v>
      </c>
      <c r="G202">
        <f t="shared" si="40"/>
        <v>-0.26929999999999998</v>
      </c>
      <c r="H202">
        <f t="shared" si="47"/>
        <v>-629.08044003299995</v>
      </c>
      <c r="I202">
        <v>1</v>
      </c>
      <c r="J202">
        <f t="shared" si="48"/>
        <v>0.84843313429127865</v>
      </c>
      <c r="K202">
        <f t="shared" si="41"/>
        <v>-0.95242515177521747</v>
      </c>
      <c r="L202">
        <v>1</v>
      </c>
      <c r="M202">
        <f t="shared" si="49"/>
        <v>0.59997932038626878</v>
      </c>
      <c r="N202">
        <f t="shared" si="42"/>
        <v>0.18687870480000002</v>
      </c>
      <c r="O202">
        <f t="shared" si="43"/>
        <v>3.8543732864999999E-2</v>
      </c>
      <c r="P202">
        <f t="shared" si="44"/>
        <v>0.12702339372394866</v>
      </c>
    </row>
    <row r="203" spans="1:16">
      <c r="A203">
        <v>11.736942200000001</v>
      </c>
      <c r="B203">
        <v>0.26638000000000001</v>
      </c>
      <c r="C203">
        <f t="shared" si="45"/>
        <v>3.1264866632360007</v>
      </c>
      <c r="D203">
        <v>1.6E-2</v>
      </c>
      <c r="E203">
        <v>3.3E-3</v>
      </c>
      <c r="F203">
        <f t="shared" si="46"/>
        <v>2347.3884400000002</v>
      </c>
      <c r="G203">
        <f t="shared" si="40"/>
        <v>-0.26638000000000001</v>
      </c>
      <c r="H203">
        <f t="shared" si="47"/>
        <v>-625.29733264720016</v>
      </c>
      <c r="I203">
        <v>1</v>
      </c>
      <c r="J203">
        <f t="shared" si="48"/>
        <v>0.85330340807433369</v>
      </c>
      <c r="K203">
        <f t="shared" si="41"/>
        <v>-0.95534515177521739</v>
      </c>
      <c r="L203">
        <v>1</v>
      </c>
      <c r="M203">
        <f t="shared" si="49"/>
        <v>0.6002145546099904</v>
      </c>
      <c r="N203">
        <f t="shared" si="42"/>
        <v>0.18779107520000002</v>
      </c>
      <c r="O203">
        <f t="shared" si="43"/>
        <v>3.8731909260000003E-2</v>
      </c>
      <c r="P203">
        <f t="shared" si="44"/>
        <v>0.12860761270522697</v>
      </c>
    </row>
    <row r="204" spans="1:16">
      <c r="A204">
        <v>11.795118050000001</v>
      </c>
      <c r="B204">
        <v>0.26357999999999998</v>
      </c>
      <c r="C204">
        <f t="shared" si="45"/>
        <v>3.1089572156190002</v>
      </c>
      <c r="D204">
        <v>1.6E-2</v>
      </c>
      <c r="E204">
        <v>3.3E-3</v>
      </c>
      <c r="F204">
        <f t="shared" si="46"/>
        <v>2359.0236100000002</v>
      </c>
      <c r="G204">
        <f t="shared" si="40"/>
        <v>-0.26357999999999998</v>
      </c>
      <c r="H204">
        <f t="shared" si="47"/>
        <v>-621.79144312380004</v>
      </c>
      <c r="I204">
        <v>1</v>
      </c>
      <c r="J204">
        <f t="shared" si="48"/>
        <v>0.8582478088536224</v>
      </c>
      <c r="K204">
        <f t="shared" si="41"/>
        <v>-0.95814515177521753</v>
      </c>
      <c r="L204">
        <v>1</v>
      </c>
      <c r="M204">
        <f t="shared" si="49"/>
        <v>0.60045336916763004</v>
      </c>
      <c r="N204">
        <f t="shared" si="42"/>
        <v>0.18872188880000001</v>
      </c>
      <c r="O204">
        <f t="shared" si="43"/>
        <v>3.8923889565000001E-2</v>
      </c>
      <c r="P204">
        <f t="shared" si="44"/>
        <v>0.13004600424258747</v>
      </c>
    </row>
    <row r="205" spans="1:16">
      <c r="A205">
        <v>11.85386855</v>
      </c>
      <c r="B205">
        <v>0.26046999999999998</v>
      </c>
      <c r="C205">
        <f t="shared" si="45"/>
        <v>3.0875771412184996</v>
      </c>
      <c r="D205">
        <v>1.6E-2</v>
      </c>
      <c r="E205">
        <v>3.3E-3</v>
      </c>
      <c r="F205">
        <f t="shared" si="46"/>
        <v>2370.7737099999999</v>
      </c>
      <c r="G205">
        <f t="shared" si="40"/>
        <v>-0.26046999999999998</v>
      </c>
      <c r="H205">
        <f t="shared" si="47"/>
        <v>-617.51542824369994</v>
      </c>
      <c r="I205">
        <v>1</v>
      </c>
      <c r="J205">
        <f t="shared" si="48"/>
        <v>0.86321636178620809</v>
      </c>
      <c r="K205">
        <f t="shared" si="41"/>
        <v>-0.96125515177521748</v>
      </c>
      <c r="L205">
        <v>1</v>
      </c>
      <c r="M205">
        <f t="shared" si="49"/>
        <v>0.60069335027427395</v>
      </c>
      <c r="N205">
        <f t="shared" si="42"/>
        <v>0.18966189680000001</v>
      </c>
      <c r="O205">
        <f t="shared" si="43"/>
        <v>3.9117766214999995E-2</v>
      </c>
      <c r="P205">
        <f t="shared" si="44"/>
        <v>0.13178213848594353</v>
      </c>
    </row>
    <row r="206" spans="1:16">
      <c r="A206">
        <v>11.912044450000002</v>
      </c>
      <c r="B206">
        <v>0.25764999999999999</v>
      </c>
      <c r="C206">
        <f t="shared" si="45"/>
        <v>3.0691382525425004</v>
      </c>
      <c r="D206">
        <v>1.6E-2</v>
      </c>
      <c r="E206">
        <v>3.3E-3</v>
      </c>
      <c r="F206">
        <f t="shared" si="46"/>
        <v>2382.4088900000002</v>
      </c>
      <c r="G206">
        <f t="shared" si="40"/>
        <v>-0.25764999999999999</v>
      </c>
      <c r="H206">
        <f t="shared" si="47"/>
        <v>-613.82765050850003</v>
      </c>
      <c r="I206">
        <v>1</v>
      </c>
      <c r="J206">
        <f t="shared" si="48"/>
        <v>0.86811211447187442</v>
      </c>
      <c r="K206">
        <f t="shared" si="41"/>
        <v>-0.96407515177521752</v>
      </c>
      <c r="L206">
        <v>1</v>
      </c>
      <c r="M206">
        <f t="shared" si="49"/>
        <v>0.60092981512899157</v>
      </c>
      <c r="N206">
        <f t="shared" si="42"/>
        <v>0.19059271120000004</v>
      </c>
      <c r="O206">
        <f t="shared" si="43"/>
        <v>3.9309746685000008E-2</v>
      </c>
      <c r="P206">
        <f t="shared" si="44"/>
        <v>0.1332428787612259</v>
      </c>
    </row>
    <row r="207" spans="1:16">
      <c r="A207">
        <v>11.96906985</v>
      </c>
      <c r="B207">
        <v>0.25452000000000002</v>
      </c>
      <c r="C207">
        <f t="shared" si="45"/>
        <v>3.0463676582220005</v>
      </c>
      <c r="D207">
        <v>1.6E-2</v>
      </c>
      <c r="E207">
        <v>3.3E-3</v>
      </c>
      <c r="F207">
        <f t="shared" si="46"/>
        <v>2393.8139700000002</v>
      </c>
      <c r="G207">
        <f t="shared" si="40"/>
        <v>-0.25452000000000002</v>
      </c>
      <c r="H207">
        <f t="shared" si="47"/>
        <v>-609.27353164440012</v>
      </c>
      <c r="I207">
        <v>1</v>
      </c>
      <c r="J207">
        <f t="shared" si="48"/>
        <v>0.87288789734953687</v>
      </c>
      <c r="K207">
        <f t="shared" si="41"/>
        <v>-0.96720515177521738</v>
      </c>
      <c r="L207">
        <v>1</v>
      </c>
      <c r="M207">
        <f t="shared" si="49"/>
        <v>0.60116048544198264</v>
      </c>
      <c r="N207">
        <f t="shared" si="42"/>
        <v>0.1915051176</v>
      </c>
      <c r="O207">
        <f t="shared" si="43"/>
        <v>3.9497930505000001E-2</v>
      </c>
      <c r="P207">
        <f t="shared" si="44"/>
        <v>0.13504161822823474</v>
      </c>
    </row>
    <row r="208" spans="1:16">
      <c r="A208">
        <v>12.02609185</v>
      </c>
      <c r="B208">
        <v>0.2515</v>
      </c>
      <c r="C208">
        <f t="shared" si="45"/>
        <v>3.0245621002750003</v>
      </c>
      <c r="D208">
        <v>1.6E-2</v>
      </c>
      <c r="E208">
        <v>3.3E-3</v>
      </c>
      <c r="F208">
        <f t="shared" si="46"/>
        <v>2405.21837</v>
      </c>
      <c r="G208">
        <f t="shared" si="40"/>
        <v>-0.2515</v>
      </c>
      <c r="H208">
        <f t="shared" si="47"/>
        <v>-604.9124200550001</v>
      </c>
      <c r="I208">
        <v>1</v>
      </c>
      <c r="J208">
        <f t="shared" si="48"/>
        <v>0.87764069777260334</v>
      </c>
      <c r="K208">
        <f t="shared" si="41"/>
        <v>-0.9702251517752174</v>
      </c>
      <c r="L208">
        <v>1</v>
      </c>
      <c r="M208">
        <f t="shared" si="49"/>
        <v>0.60139004570241683</v>
      </c>
      <c r="N208">
        <f t="shared" si="42"/>
        <v>0.1924174696</v>
      </c>
      <c r="O208">
        <f t="shared" si="43"/>
        <v>3.9686103105000002E-2</v>
      </c>
      <c r="P208">
        <f t="shared" si="44"/>
        <v>0.13673153336780056</v>
      </c>
    </row>
    <row r="209" spans="1:16">
      <c r="A209">
        <v>12.08426545</v>
      </c>
      <c r="B209">
        <v>0.24862999999999999</v>
      </c>
      <c r="C209">
        <f t="shared" si="45"/>
        <v>3.0045109188334997</v>
      </c>
      <c r="D209">
        <v>1.6E-2</v>
      </c>
      <c r="E209">
        <v>3.3E-3</v>
      </c>
      <c r="F209">
        <f t="shared" si="46"/>
        <v>2416.8530900000001</v>
      </c>
      <c r="G209">
        <f t="shared" si="40"/>
        <v>-0.24862999999999999</v>
      </c>
      <c r="H209">
        <f t="shared" si="47"/>
        <v>-600.90218376669998</v>
      </c>
      <c r="I209">
        <v>1</v>
      </c>
      <c r="J209">
        <f t="shared" si="48"/>
        <v>0.88246631791293895</v>
      </c>
      <c r="K209">
        <f t="shared" si="41"/>
        <v>-0.97309515177521744</v>
      </c>
      <c r="L209">
        <v>1</v>
      </c>
      <c r="M209">
        <f t="shared" si="49"/>
        <v>0.60162312315519495</v>
      </c>
      <c r="N209">
        <f t="shared" si="42"/>
        <v>0.19334824720000002</v>
      </c>
      <c r="O209">
        <f t="shared" si="43"/>
        <v>3.9878075984999997E-2</v>
      </c>
      <c r="P209">
        <f t="shared" si="44"/>
        <v>0.13824570543502246</v>
      </c>
    </row>
    <row r="210" spans="1:16">
      <c r="A210">
        <v>12.14704985</v>
      </c>
      <c r="B210">
        <v>0.2457</v>
      </c>
      <c r="C210">
        <f t="shared" si="45"/>
        <v>2.9845301481450002</v>
      </c>
      <c r="D210">
        <v>1.6E-2</v>
      </c>
      <c r="E210">
        <v>3.3E-3</v>
      </c>
      <c r="F210">
        <f t="shared" si="46"/>
        <v>2429.4099700000002</v>
      </c>
      <c r="G210">
        <f t="shared" si="40"/>
        <v>-0.2457</v>
      </c>
      <c r="H210">
        <f t="shared" si="47"/>
        <v>-596.90602962900005</v>
      </c>
      <c r="I210">
        <v>1</v>
      </c>
      <c r="J210">
        <f t="shared" si="48"/>
        <v>0.88764841716957799</v>
      </c>
      <c r="K210">
        <f t="shared" si="41"/>
        <v>-0.97602515177521743</v>
      </c>
      <c r="L210">
        <v>1</v>
      </c>
      <c r="M210">
        <f t="shared" si="49"/>
        <v>0.60187341854929066</v>
      </c>
      <c r="N210">
        <f t="shared" si="42"/>
        <v>0.19435279760000002</v>
      </c>
      <c r="O210">
        <f t="shared" si="43"/>
        <v>4.0085264505000003E-2</v>
      </c>
      <c r="P210">
        <f t="shared" si="44"/>
        <v>0.13971367112092675</v>
      </c>
    </row>
    <row r="211" spans="1:16">
      <c r="A211">
        <v>12.172394600000001</v>
      </c>
      <c r="B211">
        <v>0.24378</v>
      </c>
      <c r="C211">
        <f t="shared" si="45"/>
        <v>2.9673863555880002</v>
      </c>
      <c r="D211">
        <v>1.6E-2</v>
      </c>
      <c r="E211">
        <v>3.3E-3</v>
      </c>
      <c r="F211">
        <f t="shared" si="46"/>
        <v>2434.47892</v>
      </c>
      <c r="G211">
        <f t="shared" si="40"/>
        <v>-0.24378</v>
      </c>
      <c r="H211">
        <f t="shared" si="47"/>
        <v>-593.47727111760003</v>
      </c>
      <c r="I211">
        <v>1</v>
      </c>
      <c r="J211">
        <f t="shared" si="48"/>
        <v>0.88973273774094108</v>
      </c>
      <c r="K211">
        <f t="shared" si="41"/>
        <v>-0.97794515177521746</v>
      </c>
      <c r="L211">
        <v>1</v>
      </c>
      <c r="M211">
        <f t="shared" si="49"/>
        <v>0.60197409123288748</v>
      </c>
      <c r="N211">
        <f t="shared" si="42"/>
        <v>0.19475831360000001</v>
      </c>
      <c r="O211">
        <f t="shared" si="43"/>
        <v>4.016890218E-2</v>
      </c>
      <c r="P211">
        <f t="shared" si="44"/>
        <v>0.14104384476232998</v>
      </c>
    </row>
    <row r="212" spans="1:16">
      <c r="C212">
        <f t="shared" ref="C212:C275" si="50">A212*B212</f>
        <v>0</v>
      </c>
      <c r="D212">
        <v>1.6E-2</v>
      </c>
      <c r="E212">
        <v>3.3E-3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1:16">
      <c r="C213">
        <f t="shared" si="50"/>
        <v>0</v>
      </c>
      <c r="D213">
        <v>1.6E-2</v>
      </c>
      <c r="E213">
        <v>3.3E-3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1:16">
      <c r="C214">
        <f t="shared" si="50"/>
        <v>0</v>
      </c>
      <c r="D214">
        <v>1.6E-2</v>
      </c>
      <c r="E214">
        <v>3.3E-3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1:16">
      <c r="C215">
        <f t="shared" si="50"/>
        <v>0</v>
      </c>
      <c r="D215">
        <v>1.6E-2</v>
      </c>
      <c r="E215">
        <v>3.3E-3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1:16">
      <c r="C216">
        <f t="shared" si="50"/>
        <v>0</v>
      </c>
      <c r="D216">
        <v>1.6E-2</v>
      </c>
      <c r="E216">
        <v>3.3E-3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1:16">
      <c r="C217">
        <f t="shared" si="50"/>
        <v>0</v>
      </c>
      <c r="D217">
        <v>1.6E-2</v>
      </c>
      <c r="E217">
        <v>3.3E-3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1:16">
      <c r="C218">
        <f t="shared" si="50"/>
        <v>0</v>
      </c>
      <c r="D218">
        <v>1.6E-2</v>
      </c>
      <c r="E218">
        <v>3.3E-3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1:16">
      <c r="C219">
        <f t="shared" si="50"/>
        <v>0</v>
      </c>
      <c r="D219">
        <v>1.6E-2</v>
      </c>
      <c r="E219">
        <v>3.3E-3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1:16">
      <c r="C220">
        <f t="shared" si="50"/>
        <v>0</v>
      </c>
      <c r="D220">
        <v>1.6E-2</v>
      </c>
      <c r="E220">
        <v>3.3E-3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1:16">
      <c r="C221">
        <f t="shared" si="50"/>
        <v>0</v>
      </c>
      <c r="D221">
        <v>1.6E-2</v>
      </c>
      <c r="E221">
        <v>3.3E-3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1:16">
      <c r="C222">
        <f t="shared" si="50"/>
        <v>0</v>
      </c>
      <c r="D222">
        <v>1.6E-2</v>
      </c>
      <c r="E222">
        <v>3.3E-3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1:16">
      <c r="C223">
        <f t="shared" si="50"/>
        <v>0</v>
      </c>
      <c r="D223">
        <v>1.6E-2</v>
      </c>
      <c r="E223">
        <v>3.3E-3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1:16">
      <c r="C224">
        <f t="shared" si="50"/>
        <v>0</v>
      </c>
      <c r="D224">
        <v>1.6E-2</v>
      </c>
      <c r="E224">
        <v>3.3E-3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>
      <c r="C225">
        <f t="shared" si="50"/>
        <v>0</v>
      </c>
      <c r="D225">
        <v>1.6E-2</v>
      </c>
      <c r="E225">
        <v>3.3E-3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>
      <c r="C226">
        <f t="shared" si="50"/>
        <v>0</v>
      </c>
      <c r="D226">
        <v>1.6E-2</v>
      </c>
      <c r="E226">
        <v>3.3E-3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>
      <c r="C227">
        <f t="shared" si="50"/>
        <v>0</v>
      </c>
      <c r="D227">
        <v>1.6E-2</v>
      </c>
      <c r="E227">
        <v>3.3E-3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>
      <c r="C228">
        <f t="shared" si="50"/>
        <v>0</v>
      </c>
      <c r="D228">
        <v>1.6E-2</v>
      </c>
      <c r="E228">
        <v>3.3E-3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>
      <c r="C229">
        <f t="shared" si="50"/>
        <v>0</v>
      </c>
      <c r="D229">
        <v>1.6E-2</v>
      </c>
      <c r="E229">
        <v>3.3E-3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>
      <c r="C230">
        <f t="shared" si="50"/>
        <v>0</v>
      </c>
      <c r="D230">
        <v>1.6E-2</v>
      </c>
      <c r="E230">
        <v>3.3E-3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>
      <c r="C231">
        <f t="shared" si="50"/>
        <v>0</v>
      </c>
      <c r="D231">
        <v>1.6E-2</v>
      </c>
      <c r="E231">
        <v>3.3E-3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>
      <c r="C232">
        <f t="shared" si="50"/>
        <v>0</v>
      </c>
      <c r="D232">
        <v>1.6E-2</v>
      </c>
      <c r="E232">
        <v>3.3E-3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>
      <c r="C233">
        <f t="shared" si="50"/>
        <v>0</v>
      </c>
      <c r="D233">
        <v>1.6E-2</v>
      </c>
      <c r="E233">
        <v>3.3E-3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>
      <c r="C234">
        <f t="shared" si="50"/>
        <v>0</v>
      </c>
      <c r="D234">
        <v>1.6E-2</v>
      </c>
      <c r="E234">
        <v>3.3E-3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>
      <c r="C235">
        <f t="shared" si="50"/>
        <v>0</v>
      </c>
      <c r="D235">
        <v>1.6E-2</v>
      </c>
      <c r="E235">
        <v>3.3E-3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>
      <c r="C236">
        <f t="shared" si="50"/>
        <v>0</v>
      </c>
      <c r="D236">
        <v>1.6E-2</v>
      </c>
      <c r="E236">
        <v>3.3E-3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>
      <c r="C237">
        <f t="shared" si="50"/>
        <v>0</v>
      </c>
      <c r="D237">
        <v>1.6E-2</v>
      </c>
      <c r="E237">
        <v>3.3E-3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>
      <c r="C238">
        <f t="shared" si="50"/>
        <v>0</v>
      </c>
      <c r="D238">
        <v>1.6E-2</v>
      </c>
      <c r="E238">
        <v>3.3E-3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>
      <c r="C239">
        <f t="shared" si="50"/>
        <v>0</v>
      </c>
      <c r="D239">
        <v>1.6E-2</v>
      </c>
      <c r="E239">
        <v>3.3E-3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>
      <c r="C240">
        <f t="shared" si="50"/>
        <v>0</v>
      </c>
      <c r="D240">
        <v>1.6E-2</v>
      </c>
      <c r="E240">
        <v>3.3E-3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>
      <c r="C241">
        <f t="shared" si="50"/>
        <v>0</v>
      </c>
      <c r="D241">
        <v>1.6E-2</v>
      </c>
      <c r="E241">
        <v>3.3E-3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>
      <c r="C242">
        <f t="shared" si="50"/>
        <v>0</v>
      </c>
      <c r="D242">
        <v>1.6E-2</v>
      </c>
      <c r="E242">
        <v>3.3E-3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>
      <c r="C243">
        <f t="shared" si="50"/>
        <v>0</v>
      </c>
      <c r="D243">
        <v>1.6E-2</v>
      </c>
      <c r="E243">
        <v>3.3E-3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>
      <c r="C244">
        <f t="shared" si="50"/>
        <v>0</v>
      </c>
      <c r="D244">
        <v>1.6E-2</v>
      </c>
      <c r="E244">
        <v>3.3E-3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>
      <c r="C245">
        <f t="shared" si="50"/>
        <v>0</v>
      </c>
      <c r="D245">
        <v>1.6E-2</v>
      </c>
      <c r="E245">
        <v>3.3E-3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>
      <c r="C246">
        <f t="shared" si="50"/>
        <v>0</v>
      </c>
      <c r="D246">
        <v>1.6E-2</v>
      </c>
      <c r="E246">
        <v>3.3E-3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>
      <c r="C247">
        <f t="shared" si="50"/>
        <v>0</v>
      </c>
      <c r="D247">
        <v>1.6E-2</v>
      </c>
      <c r="E247">
        <v>3.3E-3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>
      <c r="C248">
        <f t="shared" si="50"/>
        <v>0</v>
      </c>
      <c r="D248">
        <v>1.6E-2</v>
      </c>
      <c r="E248">
        <v>3.3E-3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>
      <c r="C249">
        <f t="shared" si="50"/>
        <v>0</v>
      </c>
      <c r="D249">
        <v>1.6E-2</v>
      </c>
      <c r="E249">
        <v>3.3E-3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>
      <c r="C250">
        <f t="shared" si="50"/>
        <v>0</v>
      </c>
      <c r="D250">
        <v>1.6E-2</v>
      </c>
      <c r="E250">
        <v>3.3E-3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>
      <c r="C251">
        <f t="shared" si="50"/>
        <v>0</v>
      </c>
      <c r="D251">
        <v>1.6E-2</v>
      </c>
      <c r="E251">
        <v>3.3E-3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>
      <c r="C252">
        <f t="shared" si="50"/>
        <v>0</v>
      </c>
      <c r="D252">
        <v>1.6E-2</v>
      </c>
      <c r="E252">
        <v>3.3E-3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>
      <c r="C253">
        <f t="shared" si="50"/>
        <v>0</v>
      </c>
      <c r="D253">
        <v>1.6E-2</v>
      </c>
      <c r="E253">
        <v>3.3E-3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>
      <c r="C254">
        <f t="shared" si="50"/>
        <v>0</v>
      </c>
      <c r="D254">
        <v>1.6E-2</v>
      </c>
      <c r="E254">
        <v>3.3E-3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>
      <c r="C255">
        <f t="shared" si="50"/>
        <v>0</v>
      </c>
      <c r="D255">
        <v>1.6E-2</v>
      </c>
      <c r="E255">
        <v>3.3E-3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>
      <c r="C256">
        <f t="shared" si="50"/>
        <v>0</v>
      </c>
      <c r="D256">
        <v>1.6E-2</v>
      </c>
      <c r="E256">
        <v>3.3E-3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>
      <c r="C257">
        <f t="shared" si="50"/>
        <v>0</v>
      </c>
      <c r="D257">
        <v>1.6E-2</v>
      </c>
      <c r="E257">
        <v>3.3E-3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>
      <c r="C258">
        <f t="shared" si="50"/>
        <v>0</v>
      </c>
      <c r="D258">
        <v>1.6E-2</v>
      </c>
      <c r="E258">
        <v>3.3E-3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>
      <c r="C259">
        <f t="shared" si="50"/>
        <v>0</v>
      </c>
      <c r="D259">
        <v>1.6E-2</v>
      </c>
      <c r="E259">
        <v>3.3E-3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>
      <c r="C260">
        <f t="shared" si="50"/>
        <v>0</v>
      </c>
      <c r="D260">
        <v>1.6E-2</v>
      </c>
      <c r="E260">
        <v>3.3E-3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>
      <c r="C261">
        <f t="shared" si="50"/>
        <v>0</v>
      </c>
      <c r="D261">
        <v>1.6E-2</v>
      </c>
      <c r="E261">
        <v>3.3E-3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>
      <c r="C262">
        <f t="shared" si="50"/>
        <v>0</v>
      </c>
      <c r="D262">
        <v>1.6E-2</v>
      </c>
      <c r="E262">
        <v>3.3E-3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>
      <c r="C263">
        <f t="shared" si="50"/>
        <v>0</v>
      </c>
      <c r="D263">
        <v>1.6E-2</v>
      </c>
      <c r="E263">
        <v>3.3E-3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>
      <c r="C264">
        <f t="shared" si="50"/>
        <v>0</v>
      </c>
      <c r="D264">
        <v>1.6E-2</v>
      </c>
      <c r="E264">
        <v>3.3E-3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>
      <c r="C265">
        <f t="shared" si="50"/>
        <v>0</v>
      </c>
      <c r="D265">
        <v>1.6E-2</v>
      </c>
      <c r="E265">
        <v>3.3E-3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>
      <c r="C266">
        <f t="shared" si="50"/>
        <v>0</v>
      </c>
      <c r="D266">
        <v>1.6E-2</v>
      </c>
      <c r="E266">
        <v>3.3E-3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>
      <c r="C267">
        <f t="shared" si="50"/>
        <v>0</v>
      </c>
      <c r="D267">
        <v>1.6E-2</v>
      </c>
      <c r="E267">
        <v>3.3E-3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>
      <c r="C268">
        <f t="shared" si="50"/>
        <v>0</v>
      </c>
      <c r="D268">
        <v>1.6E-2</v>
      </c>
      <c r="E268">
        <v>3.3E-3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>
      <c r="C269">
        <f t="shared" si="50"/>
        <v>0</v>
      </c>
      <c r="D269">
        <v>1.6E-2</v>
      </c>
      <c r="E269">
        <v>3.3E-3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>
      <c r="C270">
        <f t="shared" si="50"/>
        <v>0</v>
      </c>
      <c r="D270">
        <v>1.6E-2</v>
      </c>
      <c r="E270">
        <v>3.3E-3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>
      <c r="C271">
        <f t="shared" si="50"/>
        <v>0</v>
      </c>
      <c r="D271">
        <v>1.6E-2</v>
      </c>
      <c r="E271">
        <v>3.3E-3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>
      <c r="C272">
        <f t="shared" si="50"/>
        <v>0</v>
      </c>
      <c r="D272">
        <v>1.6E-2</v>
      </c>
      <c r="E272">
        <v>3.3E-3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>
      <c r="C273">
        <f t="shared" si="50"/>
        <v>0</v>
      </c>
      <c r="D273">
        <v>1.6E-2</v>
      </c>
      <c r="E273">
        <v>3.3E-3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>
      <c r="C274">
        <f t="shared" si="50"/>
        <v>0</v>
      </c>
      <c r="D274">
        <v>1.6E-2</v>
      </c>
      <c r="E274">
        <v>3.3E-3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>
      <c r="C275">
        <f t="shared" si="50"/>
        <v>0</v>
      </c>
      <c r="D275">
        <v>1.6E-2</v>
      </c>
      <c r="E275">
        <v>3.3E-3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>
      <c r="C276">
        <f t="shared" ref="C276:C303" si="60">A276*B276</f>
        <v>0</v>
      </c>
      <c r="D276">
        <v>1.6E-2</v>
      </c>
      <c r="E276">
        <v>3.3E-3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>
      <c r="C277">
        <f t="shared" si="60"/>
        <v>0</v>
      </c>
      <c r="D277">
        <v>1.6E-2</v>
      </c>
      <c r="E277">
        <v>3.3E-3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>
      <c r="C278">
        <f t="shared" si="60"/>
        <v>0</v>
      </c>
      <c r="D278">
        <v>1.6E-2</v>
      </c>
      <c r="E278">
        <v>3.3E-3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>
      <c r="C279">
        <f t="shared" si="60"/>
        <v>0</v>
      </c>
      <c r="D279">
        <v>1.6E-2</v>
      </c>
      <c r="E279">
        <v>3.3E-3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>
      <c r="C280">
        <f t="shared" si="60"/>
        <v>0</v>
      </c>
      <c r="D280">
        <v>1.6E-2</v>
      </c>
      <c r="E280">
        <v>3.3E-3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>
      <c r="C281">
        <f t="shared" si="60"/>
        <v>0</v>
      </c>
      <c r="D281">
        <v>1.6E-2</v>
      </c>
      <c r="E281">
        <v>3.3E-3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>
      <c r="C282">
        <f t="shared" si="60"/>
        <v>0</v>
      </c>
      <c r="D282">
        <v>1.6E-2</v>
      </c>
      <c r="E282">
        <v>3.3E-3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>
      <c r="C283">
        <f t="shared" si="60"/>
        <v>0</v>
      </c>
      <c r="D283">
        <v>1.6E-2</v>
      </c>
      <c r="E283">
        <v>3.3E-3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>
      <c r="C284">
        <f t="shared" si="60"/>
        <v>0</v>
      </c>
      <c r="D284">
        <v>1.6E-2</v>
      </c>
      <c r="E284">
        <v>3.3E-3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>
      <c r="C285">
        <f t="shared" si="60"/>
        <v>0</v>
      </c>
      <c r="D285">
        <v>1.6E-2</v>
      </c>
      <c r="E285">
        <v>3.3E-3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>
      <c r="C286">
        <f t="shared" si="60"/>
        <v>0</v>
      </c>
      <c r="D286">
        <v>1.6E-2</v>
      </c>
      <c r="E286">
        <v>3.3E-3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>
      <c r="C287">
        <f t="shared" si="60"/>
        <v>0</v>
      </c>
      <c r="D287">
        <v>1.6E-2</v>
      </c>
      <c r="E287">
        <v>3.3E-3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>
      <c r="C288">
        <f t="shared" si="60"/>
        <v>0</v>
      </c>
      <c r="D288">
        <v>1.6E-2</v>
      </c>
      <c r="E288">
        <v>3.3E-3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>
      <c r="C289">
        <f t="shared" si="60"/>
        <v>0</v>
      </c>
      <c r="D289">
        <v>1.6E-2</v>
      </c>
      <c r="E289">
        <v>3.3E-3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>
      <c r="C290">
        <f t="shared" si="60"/>
        <v>0</v>
      </c>
      <c r="D290">
        <v>1.6E-2</v>
      </c>
      <c r="E290">
        <v>3.3E-3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>
      <c r="C291">
        <f t="shared" si="60"/>
        <v>0</v>
      </c>
      <c r="D291">
        <v>1.6E-2</v>
      </c>
      <c r="E291">
        <v>3.3E-3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>
      <c r="C292">
        <f t="shared" si="60"/>
        <v>0</v>
      </c>
      <c r="D292">
        <v>1.6E-2</v>
      </c>
      <c r="E292">
        <v>3.3E-3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>
      <c r="C293">
        <f t="shared" si="60"/>
        <v>0</v>
      </c>
      <c r="D293">
        <v>1.6E-2</v>
      </c>
      <c r="E293">
        <v>3.3E-3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>
      <c r="C294">
        <f t="shared" si="60"/>
        <v>0</v>
      </c>
      <c r="D294">
        <v>1.6E-2</v>
      </c>
      <c r="E294">
        <v>3.3E-3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>
      <c r="C295">
        <f t="shared" si="60"/>
        <v>0</v>
      </c>
      <c r="D295">
        <v>1.6E-2</v>
      </c>
      <c r="E295">
        <v>3.3E-3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>
      <c r="C296">
        <f t="shared" si="60"/>
        <v>0</v>
      </c>
      <c r="D296">
        <v>1.6E-2</v>
      </c>
      <c r="E296">
        <v>3.3E-3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>
      <c r="C297">
        <f t="shared" si="60"/>
        <v>0</v>
      </c>
      <c r="D297">
        <v>1.6E-2</v>
      </c>
      <c r="E297">
        <v>3.3E-3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>
      <c r="C298">
        <f t="shared" si="60"/>
        <v>0</v>
      </c>
      <c r="D298">
        <v>1.6E-2</v>
      </c>
      <c r="E298">
        <v>3.3E-3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>
      <c r="C299">
        <f t="shared" si="60"/>
        <v>0</v>
      </c>
      <c r="D299">
        <v>1.6E-2</v>
      </c>
      <c r="E299">
        <v>3.3E-3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>
      <c r="C300">
        <f t="shared" si="60"/>
        <v>0</v>
      </c>
      <c r="D300">
        <v>1.6E-2</v>
      </c>
      <c r="E300">
        <v>3.3E-3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>
      <c r="C301">
        <f t="shared" si="60"/>
        <v>0</v>
      </c>
      <c r="D301">
        <v>1.6E-2</v>
      </c>
      <c r="E301">
        <v>3.3E-3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>
      <c r="C302">
        <f t="shared" si="60"/>
        <v>0</v>
      </c>
      <c r="D302">
        <v>1.6E-2</v>
      </c>
      <c r="E302">
        <v>3.3E-3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>
      <c r="C303">
        <f t="shared" si="60"/>
        <v>0</v>
      </c>
      <c r="D303">
        <v>1.6E-2</v>
      </c>
      <c r="E303">
        <v>3.3E-3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D7D9-6648-4951-9F68-CF9D4B729191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5"/>
  <sheetData>
    <row r="1" spans="1:15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>
      <c r="N224">
        <v>2314.1242000000002</v>
      </c>
      <c r="O224">
        <f t="shared" si="27"/>
        <v>11.570621000000001</v>
      </c>
    </row>
    <row r="225" spans="14:15">
      <c r="N225">
        <v>2325.4281999999998</v>
      </c>
      <c r="O225">
        <f t="shared" si="27"/>
        <v>11.627141</v>
      </c>
    </row>
    <row r="226" spans="14:15">
      <c r="N226">
        <v>2335.8152</v>
      </c>
      <c r="O226">
        <f t="shared" si="27"/>
        <v>11.679076</v>
      </c>
    </row>
    <row r="227" spans="14:15">
      <c r="N227">
        <v>2345.9987999999998</v>
      </c>
      <c r="O227">
        <f t="shared" si="27"/>
        <v>11.729994</v>
      </c>
    </row>
    <row r="228" spans="14:15">
      <c r="N228">
        <v>2356.7937999999999</v>
      </c>
      <c r="O228">
        <f t="shared" si="27"/>
        <v>11.783968999999999</v>
      </c>
    </row>
    <row r="229" spans="14:15">
      <c r="N229">
        <v>2366.8755999999998</v>
      </c>
      <c r="O229">
        <f t="shared" si="27"/>
        <v>11.834377999999999</v>
      </c>
    </row>
    <row r="230" spans="14:15">
      <c r="N230">
        <v>2377.0594000000001</v>
      </c>
      <c r="O230">
        <f t="shared" si="27"/>
        <v>11.885297000000001</v>
      </c>
    </row>
    <row r="231" spans="14:15">
      <c r="N231">
        <v>2387.1410000000001</v>
      </c>
      <c r="O231">
        <f t="shared" si="27"/>
        <v>11.935705</v>
      </c>
    </row>
    <row r="232" spans="14:15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DavidOHalla</cp:lastModifiedBy>
  <dcterms:created xsi:type="dcterms:W3CDTF">2025-09-17T02:43:03Z</dcterms:created>
  <dcterms:modified xsi:type="dcterms:W3CDTF">2026-03-24T15:04:48Z</dcterms:modified>
</cp:coreProperties>
</file>