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4ABFCD33-6350-4E9C-853D-DE394DB7677E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N4" i="1" l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<sst xmlns="http://schemas.openxmlformats.org/spreadsheetml/2006/main" count="36" uniqueCount="33">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</sst>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zoomScale="85" zoomScaleNormal="85" workbookViewId="0">
      <selection activeCell="I15" sqref="I15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24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22</v>
      </c>
      <c r="W3" t="s">
        <v>23</v>
      </c>
      <c r="Y3" t="s">
        <v>25</v>
      </c>
      <c r="Z3" t="s">
        <v>26</v>
      </c>
      <c r="AB3">
        <v>-0.53032999999999997</v>
      </c>
      <c r="AC3" t="s">
        <v>27</v>
      </c>
    </row>
    <row r="4" spans="1:29" x14ac:dyDescent="0.3">
      <c r="A4">
        <v>9.6210427582263947E-2</v>
      </c>
      <c r="B4" s="1">
        <v>0.89314037561416626</v>
      </c>
      <c r="C4">
        <f>A4*B4</f>
        <v>8.5929417428822763E-2</v>
      </c>
      <c r="D4">
        <v>1.7899999999999999E-2</v>
      </c>
      <c r="E4">
        <v>2.5469999999999998E-3</v>
      </c>
      <c r="F4">
        <f>A4*200</f>
        <v>19.242085516452789</v>
      </c>
      <c r="G4">
        <f>-B4</f>
        <v>-0.89314037561416626</v>
      </c>
      <c r="H4">
        <f t="shared" ref="H4" si="0">-C4*200</f>
        <v>-17.185883485764553</v>
      </c>
      <c r="I4">
        <v>1</v>
      </c>
      <c r="J4">
        <f>LN(F4/1000)</f>
        <v>-3.9506554447928428</v>
      </c>
      <c r="K4">
        <f>((-G4)-$N$2)</f>
        <v>-0.3285847761610512</v>
      </c>
      <c r="L4">
        <v>1</v>
      </c>
      <c r="M4">
        <f>-1*($S$4+($S$5*J4))</f>
        <v>0.32146503872513732</v>
      </c>
      <c r="N4">
        <f>D4*A4</f>
        <v>1.7221666537225245E-3</v>
      </c>
      <c r="O4">
        <f>E4*A4</f>
        <v>2.4504795905202624E-4</v>
      </c>
      <c r="P4">
        <f>-K4-M4-N4-O4</f>
        <v>5.1525228231393246E-3</v>
      </c>
      <c r="R4" s="2" t="s">
        <v>16</v>
      </c>
      <c r="S4">
        <v>-0.49</v>
      </c>
      <c r="V4">
        <v>-6</v>
      </c>
      <c r="W4">
        <f>V4*$S$5+$S$4</f>
        <v>-0.23404000000000003</v>
      </c>
      <c r="Y4">
        <v>0</v>
      </c>
      <c r="Z4">
        <f>$AB$4*Y4+$AB$3</f>
        <v>-0.53032999999999997</v>
      </c>
      <c r="AB4">
        <v>15.259600000000001</v>
      </c>
      <c r="AC4" t="s">
        <v>28</v>
      </c>
    </row>
    <row r="5" spans="1:29" x14ac:dyDescent="0.3">
      <c r="A5">
        <v>0.19783030450344086</v>
      </c>
      <c r="B5" s="1">
        <v>0.86927258968353271</v>
      </c>
      <c r="C5">
        <f t="shared" ref="C5:C68" si="1">A5*B5</f>
        <v>0.17196846111358788</v>
      </c>
      <c r="D5">
        <v>1.7899999999999999E-2</v>
      </c>
      <c r="E5">
        <v>2.5469999999999998E-3</v>
      </c>
      <c r="F5">
        <f t="shared" ref="F5:F68" si="2">A5*200</f>
        <v>39.566060900688171</v>
      </c>
      <c r="G5">
        <f t="shared" ref="G5:G68" si="3">-B5</f>
        <v>-0.86927258968353271</v>
      </c>
      <c r="H5">
        <f t="shared" ref="H5:H68" si="4">-C5*200</f>
        <v>-34.393692222717576</v>
      </c>
      <c r="I5">
        <v>1</v>
      </c>
      <c r="J5">
        <f t="shared" ref="J5:J68" si="5">LN(F5/1000)</f>
        <v>-3.2297835761597047</v>
      </c>
      <c r="K5">
        <f t="shared" ref="K5:K68" si="6">((-G5)-$N$2)</f>
        <v>-0.35245256209168474</v>
      </c>
      <c r="L5">
        <v>1</v>
      </c>
      <c r="M5">
        <f t="shared" ref="M5:M68" si="7">-1*($S$4+($S$5*J5))</f>
        <v>0.35221743264102701</v>
      </c>
      <c r="N5">
        <f t="shared" ref="N5:N6" si="8">D5*A5</f>
        <v>3.5411624506115911E-3</v>
      </c>
      <c r="O5">
        <f>E5*A5</f>
        <v>5.0387378557026385E-4</v>
      </c>
      <c r="P5">
        <f>-K5-M5-N5-O5</f>
        <v>-3.8099067855241211E-3</v>
      </c>
      <c r="R5" s="2" t="s">
        <v>17</v>
      </c>
      <c r="S5">
        <v>-4.2659999999999997E-2</v>
      </c>
      <c r="V5">
        <v>-5.9</v>
      </c>
      <c r="W5">
        <f t="shared" ref="W5:W68" si="9">V5*$S$5+$S$4</f>
        <v>-0.23830600000000002</v>
      </c>
      <c r="Y5">
        <v>0.01</v>
      </c>
      <c r="Z5">
        <f t="shared" ref="Z5:Z31" si="10">$AB$4*Y5+$AB$3</f>
        <v>-0.37773399999999996</v>
      </c>
    </row>
    <row r="6" spans="1:29" x14ac:dyDescent="0.3">
      <c r="A6">
        <v>0.29656735062599182</v>
      </c>
      <c r="B6" s="1">
        <v>0.85267406702041626</v>
      </c>
      <c r="C6">
        <f t="shared" si="1"/>
        <v>0.25287528900373424</v>
      </c>
      <c r="D6">
        <v>1.7899999999999999E-2</v>
      </c>
      <c r="E6">
        <v>2.5469999999999998E-3</v>
      </c>
      <c r="F6">
        <f t="shared" si="2"/>
        <v>59.313470125198364</v>
      </c>
      <c r="G6">
        <f t="shared" si="3"/>
        <v>-0.85267406702041626</v>
      </c>
      <c r="H6">
        <f t="shared" si="4"/>
        <v>-50.575057800746848</v>
      </c>
      <c r="I6">
        <v>1</v>
      </c>
      <c r="J6">
        <f t="shared" si="5"/>
        <v>-2.8249188465780231</v>
      </c>
      <c r="K6">
        <f t="shared" si="6"/>
        <v>-0.3690510847548012</v>
      </c>
      <c r="L6">
        <v>1</v>
      </c>
      <c r="M6">
        <f t="shared" si="7"/>
        <v>0.36948896200498155</v>
      </c>
      <c r="N6">
        <f t="shared" si="8"/>
        <v>5.3085555762052532E-3</v>
      </c>
      <c r="O6">
        <f t="shared" ref="O6:O69" si="11">E6*A6</f>
        <v>7.5535704204440107E-4</v>
      </c>
      <c r="P6">
        <f t="shared" ref="P6:P69" si="12">-K6-M6-N6-O6</f>
        <v>-6.5017898684300059E-3</v>
      </c>
      <c r="V6">
        <v>-5.8</v>
      </c>
      <c r="W6">
        <f t="shared" si="9"/>
        <v>-0.24257200000000001</v>
      </c>
      <c r="Y6">
        <v>0.02</v>
      </c>
      <c r="Z6">
        <f t="shared" si="10"/>
        <v>-0.22513799999999995</v>
      </c>
      <c r="AB6" t="s">
        <v>29</v>
      </c>
    </row>
    <row r="7" spans="1:29" x14ac:dyDescent="0.3">
      <c r="A7">
        <v>0.3974665105342865</v>
      </c>
      <c r="B7" s="1">
        <v>0.83943009376525879</v>
      </c>
      <c r="C7">
        <f t="shared" si="1"/>
        <v>0.33364535020634634</v>
      </c>
      <c r="D7">
        <v>1.7899999999999999E-2</v>
      </c>
      <c r="E7">
        <v>2.5469999999999998E-3</v>
      </c>
      <c r="F7">
        <f t="shared" si="2"/>
        <v>79.4933021068573</v>
      </c>
      <c r="G7">
        <f t="shared" si="3"/>
        <v>-0.83943009376525879</v>
      </c>
      <c r="H7">
        <f t="shared" si="4"/>
        <v>-66.729070041269267</v>
      </c>
      <c r="I7">
        <v>1</v>
      </c>
      <c r="J7">
        <f t="shared" si="5"/>
        <v>-2.5320825110993108</v>
      </c>
      <c r="K7">
        <f t="shared" si="6"/>
        <v>-0.38229505800995867</v>
      </c>
      <c r="L7">
        <v>1</v>
      </c>
      <c r="M7">
        <f t="shared" si="7"/>
        <v>0.38198136007650341</v>
      </c>
      <c r="N7">
        <f t="shared" ref="N7:N70" si="13">D7*A7</f>
        <v>7.1146505385637276E-3</v>
      </c>
      <c r="O7">
        <f t="shared" si="11"/>
        <v>1.0123472023308277E-3</v>
      </c>
      <c r="P7">
        <f t="shared" si="12"/>
        <v>-7.8132998074392952E-3</v>
      </c>
      <c r="V7">
        <v>-5.7</v>
      </c>
      <c r="W7">
        <f t="shared" si="9"/>
        <v>-0.246838</v>
      </c>
      <c r="Y7">
        <v>0.03</v>
      </c>
      <c r="Z7">
        <f t="shared" si="10"/>
        <v>-7.254199999999994E-2</v>
      </c>
      <c r="AB7" t="s">
        <v>30</v>
      </c>
      <c r="AC7">
        <f>-AB3/AB4</f>
        <v>3.4753859865265142E-2</v>
      </c>
    </row>
    <row r="8" spans="1:29" x14ac:dyDescent="0.3">
      <c r="A8">
        <v>0.49620357155799866</v>
      </c>
      <c r="B8" s="1">
        <v>0.82802861928939819</v>
      </c>
      <c r="C8">
        <f t="shared" si="1"/>
        <v>0.41087075824363772</v>
      </c>
      <c r="D8">
        <v>1.7899999999999999E-2</v>
      </c>
      <c r="E8">
        <v>2.5469999999999998E-3</v>
      </c>
      <c r="F8">
        <f t="shared" si="2"/>
        <v>99.240714311599731</v>
      </c>
      <c r="G8">
        <f t="shared" si="3"/>
        <v>-0.82802861928939819</v>
      </c>
      <c r="H8">
        <f t="shared" si="4"/>
        <v>-82.174151648727545</v>
      </c>
      <c r="I8">
        <v>1</v>
      </c>
      <c r="J8">
        <f t="shared" si="5"/>
        <v>-2.3102069223650159</v>
      </c>
      <c r="K8">
        <f t="shared" si="6"/>
        <v>-0.39369653248581926</v>
      </c>
      <c r="L8">
        <v>1</v>
      </c>
      <c r="M8">
        <f t="shared" si="7"/>
        <v>0.39144657269190841</v>
      </c>
      <c r="N8">
        <f t="shared" si="13"/>
        <v>8.8820439308881748E-3</v>
      </c>
      <c r="O8">
        <f t="shared" si="11"/>
        <v>1.2638304967582225E-3</v>
      </c>
      <c r="P8">
        <f t="shared" si="12"/>
        <v>-7.8959146337355471E-3</v>
      </c>
      <c r="V8">
        <v>-5.6</v>
      </c>
      <c r="W8">
        <f t="shared" si="9"/>
        <v>-0.25110399999999999</v>
      </c>
      <c r="Y8">
        <v>0.04</v>
      </c>
      <c r="Z8">
        <f t="shared" si="10"/>
        <v>8.005400000000007E-2</v>
      </c>
    </row>
    <row r="9" spans="1:29" x14ac:dyDescent="0.3">
      <c r="A9">
        <v>0.5963820219039917</v>
      </c>
      <c r="B9" s="1">
        <v>0.81783479452133179</v>
      </c>
      <c r="C9">
        <f t="shared" si="1"/>
        <v>0.48774196834006744</v>
      </c>
      <c r="D9">
        <v>1.7899999999999999E-2</v>
      </c>
      <c r="E9">
        <v>2.5469999999999998E-3</v>
      </c>
      <c r="F9">
        <f t="shared" si="2"/>
        <v>119.27640438079834</v>
      </c>
      <c r="G9">
        <f t="shared" si="3"/>
        <v>-0.81783479452133179</v>
      </c>
      <c r="H9">
        <f t="shared" si="4"/>
        <v>-97.548393668013489</v>
      </c>
      <c r="I9">
        <v>1</v>
      </c>
      <c r="J9">
        <f t="shared" si="5"/>
        <v>-2.1263117533395084</v>
      </c>
      <c r="K9">
        <f t="shared" si="6"/>
        <v>-0.40389035725388567</v>
      </c>
      <c r="L9">
        <v>1</v>
      </c>
      <c r="M9">
        <f t="shared" si="7"/>
        <v>0.39929154060253658</v>
      </c>
      <c r="N9">
        <f t="shared" si="13"/>
        <v>1.0675238192081452E-2</v>
      </c>
      <c r="O9">
        <f t="shared" si="11"/>
        <v>1.5189850097894668E-3</v>
      </c>
      <c r="P9">
        <f t="shared" si="12"/>
        <v>-7.5954065505218268E-3</v>
      </c>
      <c r="V9">
        <v>-5.5</v>
      </c>
      <c r="W9">
        <f t="shared" si="9"/>
        <v>-0.25536999999999999</v>
      </c>
      <c r="Y9">
        <v>0.05</v>
      </c>
      <c r="Z9">
        <f t="shared" si="10"/>
        <v>0.23265000000000013</v>
      </c>
      <c r="AB9" t="s">
        <v>32</v>
      </c>
      <c r="AC9">
        <v>3.3904999999999998E-2</v>
      </c>
    </row>
    <row r="10" spans="1:29" x14ac:dyDescent="0.3">
      <c r="A10">
        <v>0.69583976268768311</v>
      </c>
      <c r="B10" s="1">
        <v>0.80856746435165405</v>
      </c>
      <c r="C10">
        <f t="shared" si="1"/>
        <v>0.56263339251143663</v>
      </c>
      <c r="D10">
        <v>1.7899999999999999E-2</v>
      </c>
      <c r="E10">
        <v>2.5469999999999998E-3</v>
      </c>
      <c r="F10">
        <f t="shared" si="2"/>
        <v>139.16795253753662</v>
      </c>
      <c r="G10">
        <f t="shared" si="3"/>
        <v>-0.80856746435165405</v>
      </c>
      <c r="H10">
        <f t="shared" si="4"/>
        <v>-112.52667850228733</v>
      </c>
      <c r="I10">
        <v>1</v>
      </c>
      <c r="J10">
        <f t="shared" si="5"/>
        <v>-1.9720737836113409</v>
      </c>
      <c r="K10">
        <f t="shared" si="6"/>
        <v>-0.4131576874235634</v>
      </c>
      <c r="L10">
        <v>1</v>
      </c>
      <c r="M10">
        <f t="shared" si="7"/>
        <v>0.4058713323911402</v>
      </c>
      <c r="N10">
        <f t="shared" si="13"/>
        <v>1.2455531752109526E-2</v>
      </c>
      <c r="O10">
        <f t="shared" si="11"/>
        <v>1.7723038755655287E-3</v>
      </c>
      <c r="P10">
        <f t="shared" si="12"/>
        <v>-6.9414805952518581E-3</v>
      </c>
      <c r="V10">
        <v>-5.4</v>
      </c>
      <c r="W10">
        <f t="shared" si="9"/>
        <v>-0.25963599999999998</v>
      </c>
      <c r="Y10">
        <v>0.06</v>
      </c>
      <c r="Z10">
        <f t="shared" si="10"/>
        <v>0.38524600000000009</v>
      </c>
    </row>
    <row r="11" spans="1:29" x14ac:dyDescent="0.3">
      <c r="A11">
        <v>0.79529756307601929</v>
      </c>
      <c r="B11" s="1">
        <v>0.79992455244064331</v>
      </c>
      <c r="C11">
        <f t="shared" si="1"/>
        <v>0.63617804720071902</v>
      </c>
      <c r="D11">
        <v>1.7899999999999999E-2</v>
      </c>
      <c r="E11">
        <v>2.5469999999999998E-3</v>
      </c>
      <c r="F11">
        <f t="shared" si="2"/>
        <v>159.05951261520386</v>
      </c>
      <c r="G11">
        <f t="shared" si="3"/>
        <v>-0.79992455244064331</v>
      </c>
      <c r="H11">
        <f t="shared" si="4"/>
        <v>-127.2356094401438</v>
      </c>
      <c r="I11">
        <v>1</v>
      </c>
      <c r="J11">
        <f t="shared" si="5"/>
        <v>-1.8384768536147402</v>
      </c>
      <c r="K11">
        <f t="shared" si="6"/>
        <v>-0.42180059933457414</v>
      </c>
      <c r="L11">
        <v>1</v>
      </c>
      <c r="M11">
        <f t="shared" si="7"/>
        <v>0.41157057742479519</v>
      </c>
      <c r="N11">
        <f t="shared" si="13"/>
        <v>1.4235826379060745E-2</v>
      </c>
      <c r="O11">
        <f t="shared" si="11"/>
        <v>2.0256228931546209E-3</v>
      </c>
      <c r="P11">
        <f t="shared" si="12"/>
        <v>-6.0314273624364131E-3</v>
      </c>
      <c r="V11">
        <v>-5.3</v>
      </c>
      <c r="W11">
        <f t="shared" si="9"/>
        <v>-0.26390200000000003</v>
      </c>
      <c r="Y11">
        <v>7.0000000000000007E-2</v>
      </c>
      <c r="Z11">
        <f t="shared" si="10"/>
        <v>0.53784200000000015</v>
      </c>
      <c r="AB11" t="s">
        <v>31</v>
      </c>
      <c r="AC11">
        <f>AC7-AC9</f>
        <v>8.4885986526514468E-4</v>
      </c>
    </row>
    <row r="12" spans="1:29" x14ac:dyDescent="0.3">
      <c r="A12">
        <v>0.89619672298431396</v>
      </c>
      <c r="B12" s="1">
        <v>0.79184776544570923</v>
      </c>
      <c r="C12">
        <f t="shared" si="1"/>
        <v>0.70965137249489629</v>
      </c>
      <c r="D12">
        <v>1.7899999999999999E-2</v>
      </c>
      <c r="E12">
        <v>2.5469999999999998E-3</v>
      </c>
      <c r="F12">
        <f t="shared" si="2"/>
        <v>179.23934459686279</v>
      </c>
      <c r="G12">
        <f t="shared" si="3"/>
        <v>-0.79184776544570923</v>
      </c>
      <c r="H12">
        <f t="shared" si="4"/>
        <v>-141.93027449897926</v>
      </c>
      <c r="I12">
        <v>1</v>
      </c>
      <c r="J12">
        <f t="shared" si="5"/>
        <v>-1.71903324563826</v>
      </c>
      <c r="K12">
        <f t="shared" si="6"/>
        <v>-0.42987738632950823</v>
      </c>
      <c r="L12">
        <v>1</v>
      </c>
      <c r="M12">
        <f t="shared" si="7"/>
        <v>0.4166660417410718</v>
      </c>
      <c r="N12">
        <f t="shared" si="13"/>
        <v>1.604192134141922E-2</v>
      </c>
      <c r="O12">
        <f t="shared" si="11"/>
        <v>2.2826130534410473E-3</v>
      </c>
      <c r="P12">
        <f t="shared" si="12"/>
        <v>-5.1131898064238433E-3</v>
      </c>
      <c r="V12">
        <v>-5.2</v>
      </c>
      <c r="W12">
        <f t="shared" si="9"/>
        <v>-0.26816799999999996</v>
      </c>
      <c r="Y12">
        <v>0.08</v>
      </c>
      <c r="Z12">
        <f t="shared" si="10"/>
        <v>0.69043800000000011</v>
      </c>
      <c r="AC12">
        <f>AC11*3</f>
        <v>2.546579595795434E-3</v>
      </c>
    </row>
    <row r="13" spans="1:29" x14ac:dyDescent="0.3">
      <c r="A13">
        <v>0.9942130446434021</v>
      </c>
      <c r="B13" s="1">
        <v>0.78410196304321289</v>
      </c>
      <c r="C13">
        <f t="shared" si="1"/>
        <v>0.77956439998806104</v>
      </c>
      <c r="D13">
        <v>1.7899999999999999E-2</v>
      </c>
      <c r="E13">
        <v>2.5469999999999998E-3</v>
      </c>
      <c r="F13">
        <f t="shared" si="2"/>
        <v>198.84260892868042</v>
      </c>
      <c r="G13">
        <f t="shared" si="3"/>
        <v>-0.78410196304321289</v>
      </c>
      <c r="H13">
        <f t="shared" si="4"/>
        <v>-155.91287999761221</v>
      </c>
      <c r="I13">
        <v>1</v>
      </c>
      <c r="J13">
        <f t="shared" si="5"/>
        <v>-1.6152416770980258</v>
      </c>
      <c r="K13">
        <f t="shared" si="6"/>
        <v>-0.43762318873200456</v>
      </c>
      <c r="L13">
        <v>1</v>
      </c>
      <c r="M13">
        <f t="shared" si="7"/>
        <v>0.4210937900549982</v>
      </c>
      <c r="N13">
        <f t="shared" si="13"/>
        <v>1.7796413499116898E-2</v>
      </c>
      <c r="O13">
        <f t="shared" si="11"/>
        <v>2.5322606247067448E-3</v>
      </c>
      <c r="P13">
        <f t="shared" si="12"/>
        <v>-3.7992754468172741E-3</v>
      </c>
      <c r="V13">
        <v>-5.0999999999999996</v>
      </c>
      <c r="W13">
        <f t="shared" si="9"/>
        <v>-0.27243400000000007</v>
      </c>
      <c r="Y13">
        <v>0.09</v>
      </c>
      <c r="Z13">
        <f t="shared" si="10"/>
        <v>0.84303400000000006</v>
      </c>
    </row>
    <row r="14" spans="1:29" x14ac:dyDescent="0.3">
      <c r="A14">
        <v>1.0958329439163208</v>
      </c>
      <c r="B14" s="1">
        <v>0.77669405937194824</v>
      </c>
      <c r="C14">
        <f t="shared" si="1"/>
        <v>0.8511269376038797</v>
      </c>
      <c r="D14">
        <v>1.7899999999999999E-2</v>
      </c>
      <c r="E14">
        <v>2.5469999999999998E-3</v>
      </c>
      <c r="F14">
        <f t="shared" si="2"/>
        <v>219.16658878326416</v>
      </c>
      <c r="G14">
        <f t="shared" si="3"/>
        <v>-0.77669405937194824</v>
      </c>
      <c r="H14">
        <f t="shared" si="4"/>
        <v>-170.22538752077594</v>
      </c>
      <c r="I14">
        <v>1</v>
      </c>
      <c r="J14">
        <f t="shared" si="5"/>
        <v>-1.5179231589599225</v>
      </c>
      <c r="K14">
        <f t="shared" si="6"/>
        <v>-0.44503109240326921</v>
      </c>
      <c r="L14">
        <v>1</v>
      </c>
      <c r="M14">
        <f t="shared" si="7"/>
        <v>0.42524539803876971</v>
      </c>
      <c r="N14">
        <f t="shared" si="13"/>
        <v>1.9615409696102142E-2</v>
      </c>
      <c r="O14">
        <f t="shared" si="11"/>
        <v>2.7910865081548688E-3</v>
      </c>
      <c r="P14">
        <f t="shared" si="12"/>
        <v>-2.6208018397575038E-3</v>
      </c>
      <c r="V14">
        <v>-5</v>
      </c>
      <c r="W14">
        <f t="shared" si="9"/>
        <v>-0.2767</v>
      </c>
      <c r="Y14">
        <v>0.1</v>
      </c>
      <c r="Z14">
        <f t="shared" si="10"/>
        <v>0.99563000000000024</v>
      </c>
    </row>
    <row r="15" spans="1:29" x14ac:dyDescent="0.3">
      <c r="A15">
        <v>1.1952906847000122</v>
      </c>
      <c r="B15" s="1">
        <v>0.76955676078796387</v>
      </c>
      <c r="C15">
        <f t="shared" si="1"/>
        <v>0.91984402751776884</v>
      </c>
      <c r="D15">
        <v>1.7899999999999999E-2</v>
      </c>
      <c r="E15">
        <v>2.5469999999999998E-3</v>
      </c>
      <c r="F15">
        <f t="shared" si="2"/>
        <v>239.05813694000244</v>
      </c>
      <c r="G15">
        <f t="shared" si="3"/>
        <v>-0.76955676078796387</v>
      </c>
      <c r="H15">
        <f t="shared" si="4"/>
        <v>-183.96880550355377</v>
      </c>
      <c r="I15">
        <v>1</v>
      </c>
      <c r="J15">
        <f t="shared" si="5"/>
        <v>-1.4310485058363147</v>
      </c>
      <c r="K15">
        <f t="shared" si="6"/>
        <v>-0.45216839098725359</v>
      </c>
      <c r="L15">
        <v>1</v>
      </c>
      <c r="M15">
        <f t="shared" si="7"/>
        <v>0.4289514707410228</v>
      </c>
      <c r="N15">
        <f t="shared" si="13"/>
        <v>2.1395703256130216E-2</v>
      </c>
      <c r="O15">
        <f t="shared" si="11"/>
        <v>3.044405373930931E-3</v>
      </c>
      <c r="P15">
        <f t="shared" si="12"/>
        <v>-1.2231883838303595E-3</v>
      </c>
      <c r="V15">
        <v>-4.9000000000000004</v>
      </c>
      <c r="W15">
        <f t="shared" si="9"/>
        <v>-0.28096599999999999</v>
      </c>
      <c r="Y15">
        <v>0.11</v>
      </c>
      <c r="Z15">
        <f t="shared" si="10"/>
        <v>1.1482260000000002</v>
      </c>
    </row>
    <row r="16" spans="1:29" x14ac:dyDescent="0.3">
      <c r="A16">
        <v>1.2947484254837036</v>
      </c>
      <c r="B16" s="1">
        <v>0.76262438297271729</v>
      </c>
      <c r="C16">
        <f t="shared" si="1"/>
        <v>0.98740671908940669</v>
      </c>
      <c r="D16">
        <v>1.7899999999999999E-2</v>
      </c>
      <c r="E16">
        <v>2.5469999999999998E-3</v>
      </c>
      <c r="F16">
        <f t="shared" si="2"/>
        <v>258.94968509674072</v>
      </c>
      <c r="G16">
        <f t="shared" si="3"/>
        <v>-0.76262438297271729</v>
      </c>
      <c r="H16">
        <f t="shared" si="4"/>
        <v>-197.48134381788134</v>
      </c>
      <c r="I16">
        <v>1</v>
      </c>
      <c r="J16">
        <f t="shared" si="5"/>
        <v>-1.3511215021904399</v>
      </c>
      <c r="K16">
        <f t="shared" si="6"/>
        <v>-0.45910076880250017</v>
      </c>
      <c r="L16">
        <v>1</v>
      </c>
      <c r="M16">
        <f t="shared" si="7"/>
        <v>0.43236115671655584</v>
      </c>
      <c r="N16">
        <f t="shared" si="13"/>
        <v>2.3175996816158295E-2</v>
      </c>
      <c r="O16">
        <f t="shared" si="11"/>
        <v>3.2977242397069927E-3</v>
      </c>
      <c r="P16">
        <f t="shared" si="12"/>
        <v>2.6589103007904373E-4</v>
      </c>
      <c r="V16">
        <v>-4.8</v>
      </c>
      <c r="W16">
        <f t="shared" si="9"/>
        <v>-0.28523200000000004</v>
      </c>
      <c r="Y16">
        <v>0.12</v>
      </c>
      <c r="Z16">
        <f t="shared" si="10"/>
        <v>1.3008220000000001</v>
      </c>
    </row>
    <row r="17" spans="1:26" x14ac:dyDescent="0.3">
      <c r="A17">
        <v>1.3963682651519775</v>
      </c>
      <c r="B17" s="1">
        <v>0.755901038646698</v>
      </c>
      <c r="C17">
        <f t="shared" si="1"/>
        <v>1.0555162219616676</v>
      </c>
      <c r="D17">
        <v>1.7899999999999999E-2</v>
      </c>
      <c r="E17">
        <v>2.5469999999999998E-3</v>
      </c>
      <c r="F17">
        <f t="shared" si="2"/>
        <v>279.27365303039551</v>
      </c>
      <c r="G17">
        <f t="shared" si="3"/>
        <v>-0.755901038646698</v>
      </c>
      <c r="H17">
        <f t="shared" si="4"/>
        <v>-211.10324439233352</v>
      </c>
      <c r="I17">
        <v>1</v>
      </c>
      <c r="J17">
        <f t="shared" si="5"/>
        <v>-1.275563142630955</v>
      </c>
      <c r="K17">
        <f t="shared" si="6"/>
        <v>-0.46582411312851946</v>
      </c>
      <c r="L17">
        <v>1</v>
      </c>
      <c r="M17">
        <f t="shared" si="7"/>
        <v>0.43558447633536346</v>
      </c>
      <c r="N17">
        <f t="shared" si="13"/>
        <v>2.4994991946220398E-2</v>
      </c>
      <c r="O17">
        <f t="shared" si="11"/>
        <v>3.5565499713420866E-3</v>
      </c>
      <c r="P17">
        <f t="shared" si="12"/>
        <v>1.6880948755935146E-3</v>
      </c>
      <c r="V17">
        <v>-4.7</v>
      </c>
      <c r="W17">
        <f t="shared" si="9"/>
        <v>-0.28949800000000003</v>
      </c>
      <c r="Y17">
        <v>0.13</v>
      </c>
      <c r="Z17">
        <f t="shared" si="10"/>
        <v>1.4534180000000001</v>
      </c>
    </row>
    <row r="18" spans="1:26" x14ac:dyDescent="0.3">
      <c r="A18">
        <v>1.492943286895752</v>
      </c>
      <c r="B18" s="1">
        <v>0.74946045875549316</v>
      </c>
      <c r="C18">
        <f t="shared" si="1"/>
        <v>1.1189019606928241</v>
      </c>
      <c r="D18">
        <v>1.7899999999999999E-2</v>
      </c>
      <c r="E18">
        <v>2.5469999999999998E-3</v>
      </c>
      <c r="F18">
        <f t="shared" si="2"/>
        <v>298.58865737915039</v>
      </c>
      <c r="G18">
        <f t="shared" si="3"/>
        <v>-0.74946045875549316</v>
      </c>
      <c r="H18">
        <f t="shared" si="4"/>
        <v>-223.78039213856482</v>
      </c>
      <c r="I18">
        <v>1</v>
      </c>
      <c r="J18">
        <f t="shared" si="5"/>
        <v>-1.2086883806027184</v>
      </c>
      <c r="K18">
        <f t="shared" si="6"/>
        <v>-0.47226469301972429</v>
      </c>
      <c r="L18">
        <v>1</v>
      </c>
      <c r="M18">
        <f t="shared" si="7"/>
        <v>0.43843735368348802</v>
      </c>
      <c r="N18">
        <f t="shared" si="13"/>
        <v>2.6723684835433959E-2</v>
      </c>
      <c r="O18">
        <f t="shared" si="11"/>
        <v>3.8025265517234799E-3</v>
      </c>
      <c r="P18">
        <f t="shared" si="12"/>
        <v>3.3011279490788338E-3</v>
      </c>
      <c r="V18">
        <v>-4.5999999999999996</v>
      </c>
      <c r="W18">
        <f t="shared" si="9"/>
        <v>-0.29376400000000003</v>
      </c>
      <c r="Y18">
        <v>0.14000000000000001</v>
      </c>
      <c r="Z18">
        <f t="shared" si="10"/>
        <v>1.6060140000000003</v>
      </c>
    </row>
    <row r="19" spans="1:26" x14ac:dyDescent="0.3">
      <c r="A19">
        <v>1.5931216478347778</v>
      </c>
      <c r="B19" s="1">
        <v>0.74305784702301025</v>
      </c>
      <c r="C19">
        <f t="shared" si="1"/>
        <v>1.1837815416858604</v>
      </c>
      <c r="D19">
        <v>1.7899999999999999E-2</v>
      </c>
      <c r="E19">
        <v>2.5469999999999998E-3</v>
      </c>
      <c r="F19">
        <f t="shared" si="2"/>
        <v>318.62432956695557</v>
      </c>
      <c r="G19">
        <f t="shared" si="3"/>
        <v>-0.74305784702301025</v>
      </c>
      <c r="H19">
        <f t="shared" si="4"/>
        <v>-236.75630833717207</v>
      </c>
      <c r="I19">
        <v>1</v>
      </c>
      <c r="J19">
        <f t="shared" si="5"/>
        <v>-1.1437425204325811</v>
      </c>
      <c r="K19">
        <f t="shared" si="6"/>
        <v>-0.4786673047522072</v>
      </c>
      <c r="L19">
        <v>1</v>
      </c>
      <c r="M19">
        <f t="shared" si="7"/>
        <v>0.44120794407834607</v>
      </c>
      <c r="N19">
        <f t="shared" si="13"/>
        <v>2.8516877496242522E-2</v>
      </c>
      <c r="O19">
        <f t="shared" si="11"/>
        <v>4.0576808370351792E-3</v>
      </c>
      <c r="P19">
        <f t="shared" si="12"/>
        <v>4.8848023405834292E-3</v>
      </c>
      <c r="V19">
        <v>-4.5000000000000098</v>
      </c>
      <c r="W19">
        <f t="shared" si="9"/>
        <v>-0.29802999999999957</v>
      </c>
      <c r="Y19">
        <v>0.15</v>
      </c>
      <c r="Z19">
        <f t="shared" si="10"/>
        <v>1.7586100000000002</v>
      </c>
    </row>
    <row r="20" spans="1:26" x14ac:dyDescent="0.3">
      <c r="A20">
        <v>1.6947416067123413</v>
      </c>
      <c r="B20" s="1">
        <v>0.73686081171035767</v>
      </c>
      <c r="C20">
        <f t="shared" si="1"/>
        <v>1.2487886759613716</v>
      </c>
      <c r="D20">
        <v>1.7899999999999999E-2</v>
      </c>
      <c r="E20">
        <v>2.5469999999999998E-3</v>
      </c>
      <c r="F20">
        <f t="shared" si="2"/>
        <v>338.94832134246826</v>
      </c>
      <c r="G20">
        <f t="shared" si="3"/>
        <v>-0.73686081171035767</v>
      </c>
      <c r="H20">
        <f t="shared" si="4"/>
        <v>-249.75773519227431</v>
      </c>
      <c r="I20">
        <v>1</v>
      </c>
      <c r="J20">
        <f t="shared" si="5"/>
        <v>-1.0819076276400157</v>
      </c>
      <c r="K20">
        <f t="shared" si="6"/>
        <v>-0.48486434006485979</v>
      </c>
      <c r="L20">
        <v>1</v>
      </c>
      <c r="M20">
        <f t="shared" si="7"/>
        <v>0.44384582060487693</v>
      </c>
      <c r="N20">
        <f t="shared" si="13"/>
        <v>3.033587476015091E-2</v>
      </c>
      <c r="O20">
        <f t="shared" si="11"/>
        <v>4.3165068722963327E-3</v>
      </c>
      <c r="P20">
        <f t="shared" si="12"/>
        <v>6.3661378275356182E-3</v>
      </c>
      <c r="V20">
        <v>-4.4000000000000101</v>
      </c>
      <c r="W20">
        <f t="shared" si="9"/>
        <v>-0.30229599999999957</v>
      </c>
      <c r="Y20">
        <v>0.16</v>
      </c>
      <c r="Z20">
        <f t="shared" si="10"/>
        <v>1.9112060000000002</v>
      </c>
    </row>
    <row r="21" spans="1:26" x14ac:dyDescent="0.3">
      <c r="A21">
        <v>1.7920372486114502</v>
      </c>
      <c r="B21" s="1">
        <v>0.73080247640609741</v>
      </c>
      <c r="C21">
        <f t="shared" si="1"/>
        <v>1.3096252590972171</v>
      </c>
      <c r="D21">
        <v>1.7899999999999999E-2</v>
      </c>
      <c r="E21">
        <v>2.5469999999999998E-3</v>
      </c>
      <c r="F21">
        <f t="shared" si="2"/>
        <v>358.40744972229004</v>
      </c>
      <c r="G21">
        <f t="shared" si="3"/>
        <v>-0.73080247640609741</v>
      </c>
      <c r="H21">
        <f t="shared" si="4"/>
        <v>-261.92505181944341</v>
      </c>
      <c r="I21">
        <v>1</v>
      </c>
      <c r="J21">
        <f t="shared" si="5"/>
        <v>-1.0260848120418919</v>
      </c>
      <c r="K21">
        <f t="shared" si="6"/>
        <v>-0.49092267536912004</v>
      </c>
      <c r="L21">
        <v>1</v>
      </c>
      <c r="M21">
        <f t="shared" si="7"/>
        <v>0.44622722191829289</v>
      </c>
      <c r="N21">
        <f t="shared" si="13"/>
        <v>3.2077466750144959E-2</v>
      </c>
      <c r="O21">
        <f t="shared" si="11"/>
        <v>4.5643188722133635E-3</v>
      </c>
      <c r="P21">
        <f t="shared" si="12"/>
        <v>8.053667828468827E-3</v>
      </c>
      <c r="V21">
        <v>-4.3000000000000096</v>
      </c>
      <c r="W21">
        <f t="shared" si="9"/>
        <v>-0.30656199999999956</v>
      </c>
      <c r="Y21">
        <v>0.17</v>
      </c>
      <c r="Z21">
        <f t="shared" si="10"/>
        <v>2.0638019999999999</v>
      </c>
    </row>
    <row r="22" spans="1:26" x14ac:dyDescent="0.3">
      <c r="A22">
        <v>1.8958191871643066</v>
      </c>
      <c r="B22" s="1">
        <v>0.7248726487159729</v>
      </c>
      <c r="C22">
        <f t="shared" si="1"/>
        <v>1.3742274756863537</v>
      </c>
      <c r="D22">
        <v>1.7899999999999999E-2</v>
      </c>
      <c r="E22">
        <v>2.5469999999999998E-3</v>
      </c>
      <c r="F22">
        <f t="shared" si="2"/>
        <v>379.16383743286133</v>
      </c>
      <c r="G22">
        <f t="shared" si="3"/>
        <v>-0.7248726487159729</v>
      </c>
      <c r="H22">
        <f t="shared" si="4"/>
        <v>-274.84549513727075</v>
      </c>
      <c r="I22">
        <v>1</v>
      </c>
      <c r="J22">
        <f t="shared" si="5"/>
        <v>-0.96978687856851065</v>
      </c>
      <c r="K22">
        <f t="shared" si="6"/>
        <v>-0.49685250305924455</v>
      </c>
      <c r="L22">
        <v>1</v>
      </c>
      <c r="M22">
        <f t="shared" si="7"/>
        <v>0.44862889176026732</v>
      </c>
      <c r="N22">
        <f t="shared" si="13"/>
        <v>3.3935163450241085E-2</v>
      </c>
      <c r="O22">
        <f t="shared" si="11"/>
        <v>4.8286514697074888E-3</v>
      </c>
      <c r="P22">
        <f t="shared" si="12"/>
        <v>9.4597963790286586E-3</v>
      </c>
      <c r="V22">
        <v>-4.2000000000000099</v>
      </c>
      <c r="W22">
        <f t="shared" si="9"/>
        <v>-0.31082799999999955</v>
      </c>
      <c r="Y22">
        <v>0.18</v>
      </c>
      <c r="Z22">
        <f t="shared" si="10"/>
        <v>2.2163979999999999</v>
      </c>
    </row>
    <row r="23" spans="1:26" x14ac:dyDescent="0.3">
      <c r="A23">
        <v>1.994556188583374</v>
      </c>
      <c r="B23" s="1">
        <v>0.71907633543014526</v>
      </c>
      <c r="C23">
        <f t="shared" si="1"/>
        <v>1.4342381548960503</v>
      </c>
      <c r="D23">
        <v>1.7899999999999999E-2</v>
      </c>
      <c r="E23">
        <v>2.5469999999999998E-3</v>
      </c>
      <c r="F23">
        <f t="shared" si="2"/>
        <v>398.9112377166748</v>
      </c>
      <c r="G23">
        <f t="shared" si="3"/>
        <v>-0.71907633543014526</v>
      </c>
      <c r="H23">
        <f t="shared" si="4"/>
        <v>-286.84763097921007</v>
      </c>
      <c r="I23">
        <v>1</v>
      </c>
      <c r="J23">
        <f t="shared" si="5"/>
        <v>-0.91901634870355464</v>
      </c>
      <c r="K23">
        <f t="shared" si="6"/>
        <v>-0.50264881634507219</v>
      </c>
      <c r="L23">
        <v>1</v>
      </c>
      <c r="M23">
        <f t="shared" si="7"/>
        <v>0.45079476256430634</v>
      </c>
      <c r="N23">
        <f t="shared" si="13"/>
        <v>3.5702555775642394E-2</v>
      </c>
      <c r="O23">
        <f t="shared" si="11"/>
        <v>5.080134612321853E-3</v>
      </c>
      <c r="P23">
        <f t="shared" si="12"/>
        <v>1.1071363392801604E-2</v>
      </c>
      <c r="V23">
        <v>-4.1000000000000103</v>
      </c>
      <c r="W23">
        <f t="shared" si="9"/>
        <v>-0.31509399999999954</v>
      </c>
      <c r="Y23">
        <v>0.19</v>
      </c>
      <c r="Z23">
        <f t="shared" si="10"/>
        <v>2.3689939999999998</v>
      </c>
    </row>
    <row r="24" spans="1:26" x14ac:dyDescent="0.3">
      <c r="A24">
        <v>2.0932931900024414</v>
      </c>
      <c r="B24" s="1">
        <v>0.7134670615196228</v>
      </c>
      <c r="C24">
        <f t="shared" si="1"/>
        <v>1.4934957411700793</v>
      </c>
      <c r="D24">
        <v>1.7899999999999999E-2</v>
      </c>
      <c r="E24">
        <v>2.5469999999999998E-3</v>
      </c>
      <c r="F24">
        <f t="shared" si="2"/>
        <v>418.65863800048828</v>
      </c>
      <c r="G24">
        <f t="shared" si="3"/>
        <v>-0.7134670615196228</v>
      </c>
      <c r="H24">
        <f t="shared" si="4"/>
        <v>-298.69914823401587</v>
      </c>
      <c r="I24">
        <v>1</v>
      </c>
      <c r="J24">
        <f t="shared" si="5"/>
        <v>-0.87069939755640502</v>
      </c>
      <c r="K24">
        <f t="shared" si="6"/>
        <v>-0.50825809025559465</v>
      </c>
      <c r="L24">
        <v>1</v>
      </c>
      <c r="M24">
        <f t="shared" si="7"/>
        <v>0.45285596370024378</v>
      </c>
      <c r="N24">
        <f t="shared" si="13"/>
        <v>3.7469948101043697E-2</v>
      </c>
      <c r="O24">
        <f t="shared" si="11"/>
        <v>5.331617754936218E-3</v>
      </c>
      <c r="P24">
        <f t="shared" si="12"/>
        <v>1.2600560699370957E-2</v>
      </c>
      <c r="V24">
        <v>-4.0000000000000098</v>
      </c>
      <c r="W24">
        <f t="shared" si="9"/>
        <v>-0.31935999999999959</v>
      </c>
      <c r="Y24">
        <v>0.2</v>
      </c>
      <c r="Z24">
        <f t="shared" si="10"/>
        <v>2.5215900000000007</v>
      </c>
    </row>
    <row r="25" spans="1:26" x14ac:dyDescent="0.3">
      <c r="A25">
        <v>2.1927509307861328</v>
      </c>
      <c r="B25" s="1">
        <v>0.70800471305847168</v>
      </c>
      <c r="C25">
        <f t="shared" si="1"/>
        <v>1.5524779935599327</v>
      </c>
      <c r="D25">
        <v>1.7899999999999999E-2</v>
      </c>
      <c r="E25">
        <v>2.5469999999999998E-3</v>
      </c>
      <c r="F25">
        <f t="shared" si="2"/>
        <v>438.55018615722656</v>
      </c>
      <c r="G25">
        <f t="shared" si="3"/>
        <v>-0.70800471305847168</v>
      </c>
      <c r="H25">
        <f t="shared" si="4"/>
        <v>-310.49559871198653</v>
      </c>
      <c r="I25">
        <v>1</v>
      </c>
      <c r="J25">
        <f t="shared" si="5"/>
        <v>-0.82428102410136472</v>
      </c>
      <c r="K25">
        <f t="shared" si="6"/>
        <v>-0.51372043871674578</v>
      </c>
      <c r="L25">
        <v>1</v>
      </c>
      <c r="M25">
        <f t="shared" si="7"/>
        <v>0.45483617151183575</v>
      </c>
      <c r="N25">
        <f t="shared" si="13"/>
        <v>3.9250241661071779E-2</v>
      </c>
      <c r="O25">
        <f t="shared" si="11"/>
        <v>5.5849366207122797E-3</v>
      </c>
      <c r="P25">
        <f t="shared" si="12"/>
        <v>1.4049088923125966E-2</v>
      </c>
      <c r="V25">
        <v>-3.9000000000000101</v>
      </c>
      <c r="W25">
        <f t="shared" si="9"/>
        <v>-0.32362599999999958</v>
      </c>
      <c r="Y25">
        <v>0.21</v>
      </c>
      <c r="Z25">
        <f t="shared" si="10"/>
        <v>2.6741859999999997</v>
      </c>
    </row>
    <row r="26" spans="1:26" x14ac:dyDescent="0.3">
      <c r="A26">
        <v>2.2929294109344482</v>
      </c>
      <c r="B26" s="1">
        <v>0.70265161991119385</v>
      </c>
      <c r="C26">
        <f t="shared" si="1"/>
        <v>1.6111305649351095</v>
      </c>
      <c r="D26">
        <v>1.7899999999999999E-2</v>
      </c>
      <c r="E26">
        <v>2.5469999999999998E-3</v>
      </c>
      <c r="F26">
        <f t="shared" si="2"/>
        <v>458.58588218688965</v>
      </c>
      <c r="G26">
        <f t="shared" si="3"/>
        <v>-0.70265161991119385</v>
      </c>
      <c r="H26">
        <f t="shared" si="4"/>
        <v>-322.22611298702191</v>
      </c>
      <c r="I26">
        <v>1</v>
      </c>
      <c r="J26">
        <f t="shared" si="5"/>
        <v>-0.7796076936224855</v>
      </c>
      <c r="K26">
        <f t="shared" si="6"/>
        <v>-0.51907353186402361</v>
      </c>
      <c r="L26">
        <v>1</v>
      </c>
      <c r="M26">
        <f t="shared" si="7"/>
        <v>0.45674193579006478</v>
      </c>
      <c r="N26">
        <f t="shared" si="13"/>
        <v>4.1043436455726619E-2</v>
      </c>
      <c r="O26">
        <f t="shared" si="11"/>
        <v>5.840091209650039E-3</v>
      </c>
      <c r="P26">
        <f t="shared" si="12"/>
        <v>1.544806840858217E-2</v>
      </c>
      <c r="V26">
        <v>-3.80000000000001</v>
      </c>
      <c r="W26">
        <f t="shared" si="9"/>
        <v>-0.32789199999999957</v>
      </c>
      <c r="Y26">
        <v>0.22</v>
      </c>
      <c r="Z26">
        <f t="shared" si="10"/>
        <v>2.8267820000000006</v>
      </c>
    </row>
    <row r="27" spans="1:26" x14ac:dyDescent="0.3">
      <c r="A27">
        <v>2.3916666507720947</v>
      </c>
      <c r="B27" s="1">
        <v>0.69743043184280396</v>
      </c>
      <c r="C27">
        <f t="shared" si="1"/>
        <v>1.6680211050720146</v>
      </c>
      <c r="D27">
        <v>1.7899999999999999E-2</v>
      </c>
      <c r="E27">
        <v>2.5469999999999998E-3</v>
      </c>
      <c r="F27">
        <f t="shared" si="2"/>
        <v>478.33333015441895</v>
      </c>
      <c r="G27">
        <f t="shared" si="3"/>
        <v>-0.69743043184280396</v>
      </c>
      <c r="H27">
        <f t="shared" si="4"/>
        <v>-333.60422101440292</v>
      </c>
      <c r="I27">
        <v>1</v>
      </c>
      <c r="J27">
        <f t="shared" si="5"/>
        <v>-0.73744744610233937</v>
      </c>
      <c r="K27">
        <f t="shared" si="6"/>
        <v>-0.5242947199324135</v>
      </c>
      <c r="L27">
        <v>1</v>
      </c>
      <c r="M27">
        <f t="shared" si="7"/>
        <v>0.45854049194927421</v>
      </c>
      <c r="N27">
        <f t="shared" si="13"/>
        <v>4.2810833048820496E-2</v>
      </c>
      <c r="O27">
        <f t="shared" si="11"/>
        <v>6.091574959516525E-3</v>
      </c>
      <c r="P27">
        <f t="shared" si="12"/>
        <v>1.6851819974802271E-2</v>
      </c>
      <c r="V27">
        <v>-3.7000000000000099</v>
      </c>
      <c r="W27">
        <f t="shared" si="9"/>
        <v>-0.33215799999999962</v>
      </c>
      <c r="Y27">
        <v>0.23</v>
      </c>
      <c r="Z27">
        <f t="shared" si="10"/>
        <v>2.9793780000000005</v>
      </c>
    </row>
    <row r="28" spans="1:26" x14ac:dyDescent="0.3">
      <c r="A28">
        <v>2.4918451309204102</v>
      </c>
      <c r="B28" s="1">
        <v>0.69230252504348755</v>
      </c>
      <c r="C28">
        <f t="shared" si="1"/>
        <v>1.7251106761535198</v>
      </c>
      <c r="D28">
        <v>1.7899999999999999E-2</v>
      </c>
      <c r="E28">
        <v>2.5469999999999998E-3</v>
      </c>
      <c r="F28">
        <f t="shared" si="2"/>
        <v>498.36902618408203</v>
      </c>
      <c r="G28">
        <f t="shared" si="3"/>
        <v>-0.69230252504348755</v>
      </c>
      <c r="H28">
        <f t="shared" si="4"/>
        <v>-345.02213523070395</v>
      </c>
      <c r="I28">
        <v>1</v>
      </c>
      <c r="J28">
        <f t="shared" si="5"/>
        <v>-0.6964144599407055</v>
      </c>
      <c r="K28">
        <f t="shared" si="6"/>
        <v>-0.52942262673172991</v>
      </c>
      <c r="L28">
        <v>1</v>
      </c>
      <c r="M28">
        <f t="shared" si="7"/>
        <v>0.46029095913892948</v>
      </c>
      <c r="N28">
        <f t="shared" si="13"/>
        <v>4.4604027843475343E-2</v>
      </c>
      <c r="O28">
        <f t="shared" si="11"/>
        <v>6.3467295484542843E-3</v>
      </c>
      <c r="P28">
        <f t="shared" si="12"/>
        <v>1.8180910200870801E-2</v>
      </c>
      <c r="V28">
        <v>-3.6000000000000099</v>
      </c>
      <c r="W28">
        <f t="shared" si="9"/>
        <v>-0.33642399999999961</v>
      </c>
      <c r="Y28">
        <v>0.24</v>
      </c>
      <c r="Z28">
        <f t="shared" si="10"/>
        <v>3.1319740000000005</v>
      </c>
    </row>
    <row r="29" spans="1:26" x14ac:dyDescent="0.3">
      <c r="A29">
        <v>2.5920233726501465</v>
      </c>
      <c r="B29" s="1">
        <v>0.68725764751434326</v>
      </c>
      <c r="C29">
        <f t="shared" si="1"/>
        <v>1.7813878853897336</v>
      </c>
      <c r="D29">
        <v>1.7899999999999999E-2</v>
      </c>
      <c r="E29">
        <v>2.5469999999999998E-3</v>
      </c>
      <c r="F29">
        <f t="shared" si="2"/>
        <v>518.4046745300293</v>
      </c>
      <c r="G29">
        <f t="shared" si="3"/>
        <v>-0.68725764751434326</v>
      </c>
      <c r="H29">
        <f t="shared" si="4"/>
        <v>-356.27757707794672</v>
      </c>
      <c r="I29">
        <v>1</v>
      </c>
      <c r="J29">
        <f t="shared" si="5"/>
        <v>-0.65699911675859035</v>
      </c>
      <c r="K29">
        <f t="shared" si="6"/>
        <v>-0.53446750426087419</v>
      </c>
      <c r="L29">
        <v>1</v>
      </c>
      <c r="M29">
        <f t="shared" si="7"/>
        <v>0.46197241767907854</v>
      </c>
      <c r="N29">
        <f t="shared" si="13"/>
        <v>4.6397218370437622E-2</v>
      </c>
      <c r="O29">
        <f t="shared" si="11"/>
        <v>6.6018835301399226E-3</v>
      </c>
      <c r="P29">
        <f t="shared" si="12"/>
        <v>1.9495984681218111E-2</v>
      </c>
      <c r="V29">
        <v>-3.5000000000000102</v>
      </c>
      <c r="W29">
        <f t="shared" si="9"/>
        <v>-0.3406899999999996</v>
      </c>
      <c r="Y29">
        <v>0.25</v>
      </c>
      <c r="Z29">
        <f t="shared" si="10"/>
        <v>3.2845700000000004</v>
      </c>
    </row>
    <row r="30" spans="1:26" x14ac:dyDescent="0.3">
      <c r="A30">
        <v>2.690760612487793</v>
      </c>
      <c r="B30" s="1">
        <v>0.68235796689987183</v>
      </c>
      <c r="C30">
        <f t="shared" si="1"/>
        <v>1.8360619409514243</v>
      </c>
      <c r="D30">
        <v>1.7899999999999999E-2</v>
      </c>
      <c r="E30">
        <v>2.5469999999999998E-3</v>
      </c>
      <c r="F30">
        <f t="shared" si="2"/>
        <v>538.15212249755859</v>
      </c>
      <c r="G30">
        <f t="shared" si="3"/>
        <v>-0.68235796689987183</v>
      </c>
      <c r="H30">
        <f t="shared" si="4"/>
        <v>-367.21238819028486</v>
      </c>
      <c r="I30">
        <v>1</v>
      </c>
      <c r="J30">
        <f t="shared" si="5"/>
        <v>-0.61961400321650506</v>
      </c>
      <c r="K30">
        <f t="shared" si="6"/>
        <v>-0.53936718487534563</v>
      </c>
      <c r="L30">
        <v>1</v>
      </c>
      <c r="M30">
        <f t="shared" si="7"/>
        <v>0.46356726662278391</v>
      </c>
      <c r="N30">
        <f t="shared" si="13"/>
        <v>4.8164614963531492E-2</v>
      </c>
      <c r="O30">
        <f t="shared" si="11"/>
        <v>6.8533672800064078E-3</v>
      </c>
      <c r="P30">
        <f t="shared" si="12"/>
        <v>2.0781936009023817E-2</v>
      </c>
      <c r="V30">
        <v>-3.4000000000000101</v>
      </c>
      <c r="W30">
        <f t="shared" si="9"/>
        <v>-0.3449559999999996</v>
      </c>
      <c r="Y30">
        <v>0.26</v>
      </c>
      <c r="Z30">
        <f t="shared" si="10"/>
        <v>3.4371660000000004</v>
      </c>
    </row>
    <row r="31" spans="1:26" x14ac:dyDescent="0.3">
      <c r="A31">
        <v>2.7909390926361084</v>
      </c>
      <c r="B31" s="1">
        <v>0.67761725187301636</v>
      </c>
      <c r="C31">
        <f t="shared" si="1"/>
        <v>1.8911884780970496</v>
      </c>
      <c r="D31">
        <v>1.7899999999999999E-2</v>
      </c>
      <c r="E31">
        <v>2.5469999999999998E-3</v>
      </c>
      <c r="F31">
        <f t="shared" si="2"/>
        <v>558.18781852722168</v>
      </c>
      <c r="G31">
        <f t="shared" si="3"/>
        <v>-0.67761725187301636</v>
      </c>
      <c r="H31">
        <f t="shared" si="4"/>
        <v>-378.23769561940992</v>
      </c>
      <c r="I31">
        <v>1</v>
      </c>
      <c r="J31">
        <f t="shared" si="5"/>
        <v>-0.58305978089262944</v>
      </c>
      <c r="K31">
        <f t="shared" si="6"/>
        <v>-0.5441078999022011</v>
      </c>
      <c r="L31">
        <v>1</v>
      </c>
      <c r="M31">
        <f t="shared" si="7"/>
        <v>0.46512666974712041</v>
      </c>
      <c r="N31">
        <f t="shared" si="13"/>
        <v>4.9957809758186339E-2</v>
      </c>
      <c r="O31">
        <f t="shared" si="11"/>
        <v>7.1085218689441671E-3</v>
      </c>
      <c r="P31">
        <f t="shared" si="12"/>
        <v>2.1914898527950179E-2</v>
      </c>
      <c r="V31">
        <v>-3.30000000000001</v>
      </c>
      <c r="W31">
        <f t="shared" si="9"/>
        <v>-0.34922199999999959</v>
      </c>
      <c r="Y31">
        <v>0.27</v>
      </c>
      <c r="Z31">
        <f t="shared" si="10"/>
        <v>3.5897620000000003</v>
      </c>
    </row>
    <row r="32" spans="1:26" x14ac:dyDescent="0.3">
      <c r="A32">
        <v>2.8896760940551758</v>
      </c>
      <c r="B32" s="1">
        <v>0.67289745807647705</v>
      </c>
      <c r="C32">
        <f t="shared" si="1"/>
        <v>1.9444556983540906</v>
      </c>
      <c r="D32">
        <v>1.7899999999999999E-2</v>
      </c>
      <c r="E32">
        <v>2.5469999999999998E-3</v>
      </c>
      <c r="F32">
        <f t="shared" si="2"/>
        <v>577.93521881103516</v>
      </c>
      <c r="G32">
        <f t="shared" si="3"/>
        <v>-0.67289745807647705</v>
      </c>
      <c r="H32">
        <f t="shared" si="4"/>
        <v>-388.89113967081812</v>
      </c>
      <c r="I32">
        <v>1</v>
      </c>
      <c r="J32">
        <f t="shared" si="5"/>
        <v>-0.54829349477258837</v>
      </c>
      <c r="K32">
        <f t="shared" si="6"/>
        <v>-0.5488276936987404</v>
      </c>
      <c r="L32">
        <v>1</v>
      </c>
      <c r="M32">
        <f t="shared" si="7"/>
        <v>0.46660979951300136</v>
      </c>
      <c r="N32">
        <f t="shared" si="13"/>
        <v>5.1725202083587642E-2</v>
      </c>
      <c r="O32">
        <f t="shared" si="11"/>
        <v>7.3600050115585321E-3</v>
      </c>
      <c r="P32">
        <f t="shared" si="12"/>
        <v>2.3132687090592876E-2</v>
      </c>
      <c r="V32">
        <v>-3.2000000000000099</v>
      </c>
      <c r="W32">
        <f t="shared" si="9"/>
        <v>-0.35348799999999958</v>
      </c>
    </row>
    <row r="33" spans="1:23" x14ac:dyDescent="0.3">
      <c r="A33">
        <v>2.9898545742034912</v>
      </c>
      <c r="B33" s="1">
        <v>0.66828519105911255</v>
      </c>
      <c r="C33">
        <f t="shared" si="1"/>
        <v>1.9980755353605417</v>
      </c>
      <c r="D33">
        <v>1.7899999999999999E-2</v>
      </c>
      <c r="E33">
        <v>2.5469999999999998E-3</v>
      </c>
      <c r="F33">
        <f t="shared" si="2"/>
        <v>597.97091484069824</v>
      </c>
      <c r="G33">
        <f t="shared" si="3"/>
        <v>-0.66828519105911255</v>
      </c>
      <c r="H33">
        <f t="shared" si="4"/>
        <v>-399.61510707210834</v>
      </c>
      <c r="I33">
        <v>1</v>
      </c>
      <c r="J33">
        <f t="shared" si="5"/>
        <v>-0.51421316360447833</v>
      </c>
      <c r="K33">
        <f t="shared" si="6"/>
        <v>-0.55343996071610491</v>
      </c>
      <c r="L33">
        <v>1</v>
      </c>
      <c r="M33">
        <f t="shared" si="7"/>
        <v>0.46806366644063296</v>
      </c>
      <c r="N33">
        <f t="shared" si="13"/>
        <v>5.3518396878242488E-2</v>
      </c>
      <c r="O33">
        <f t="shared" si="11"/>
        <v>7.6151596004962914E-3</v>
      </c>
      <c r="P33">
        <f t="shared" si="12"/>
        <v>2.4242737796733162E-2</v>
      </c>
      <c r="V33">
        <v>-3.1000000000000099</v>
      </c>
      <c r="W33">
        <f t="shared" si="9"/>
        <v>-0.35775399999999957</v>
      </c>
    </row>
    <row r="34" spans="1:23" x14ac:dyDescent="0.3">
      <c r="A34">
        <v>3.0900330543518066</v>
      </c>
      <c r="B34" s="1">
        <v>0.66368287801742554</v>
      </c>
      <c r="C34">
        <f t="shared" si="1"/>
        <v>2.0508020306811829</v>
      </c>
      <c r="D34">
        <v>1.7899999999999999E-2</v>
      </c>
      <c r="E34">
        <v>2.5469999999999998E-3</v>
      </c>
      <c r="F34">
        <f t="shared" si="2"/>
        <v>618.00661087036133</v>
      </c>
      <c r="G34">
        <f t="shared" si="3"/>
        <v>-0.66368287801742554</v>
      </c>
      <c r="H34">
        <f t="shared" si="4"/>
        <v>-410.16040613623659</v>
      </c>
      <c r="I34">
        <v>1</v>
      </c>
      <c r="J34">
        <f t="shared" si="5"/>
        <v>-0.48125612438042897</v>
      </c>
      <c r="K34">
        <f t="shared" si="6"/>
        <v>-0.55804227375779192</v>
      </c>
      <c r="L34">
        <v>1</v>
      </c>
      <c r="M34">
        <f t="shared" si="7"/>
        <v>0.46946961373393087</v>
      </c>
      <c r="N34">
        <f t="shared" si="13"/>
        <v>5.5311591672897335E-2</v>
      </c>
      <c r="O34">
        <f t="shared" si="11"/>
        <v>7.8703141894340516E-3</v>
      </c>
      <c r="P34">
        <f t="shared" si="12"/>
        <v>2.5390754161529663E-2</v>
      </c>
      <c r="V34">
        <v>-3.0000000000000102</v>
      </c>
      <c r="W34">
        <f t="shared" si="9"/>
        <v>-0.36201999999999956</v>
      </c>
    </row>
    <row r="35" spans="1:23" x14ac:dyDescent="0.3">
      <c r="A35">
        <v>3.188770055770874</v>
      </c>
      <c r="B35" s="1">
        <v>0.65921103954315186</v>
      </c>
      <c r="C35">
        <f t="shared" si="1"/>
        <v>2.1020724233287922</v>
      </c>
      <c r="D35">
        <v>1.7899999999999999E-2</v>
      </c>
      <c r="E35">
        <v>2.5469999999999998E-3</v>
      </c>
      <c r="F35">
        <f t="shared" si="2"/>
        <v>637.7540111541748</v>
      </c>
      <c r="G35">
        <f t="shared" si="3"/>
        <v>-0.65921103954315186</v>
      </c>
      <c r="H35">
        <f t="shared" si="4"/>
        <v>-420.41448466575844</v>
      </c>
      <c r="I35">
        <v>1</v>
      </c>
      <c r="J35">
        <f t="shared" si="5"/>
        <v>-0.44980263243993285</v>
      </c>
      <c r="K35">
        <f t="shared" si="6"/>
        <v>-0.5625141122320656</v>
      </c>
      <c r="L35">
        <v>1</v>
      </c>
      <c r="M35">
        <f t="shared" si="7"/>
        <v>0.47081141970011248</v>
      </c>
      <c r="N35">
        <f t="shared" si="13"/>
        <v>5.7078983998298645E-2</v>
      </c>
      <c r="O35">
        <f t="shared" si="11"/>
        <v>8.1217973320484148E-3</v>
      </c>
      <c r="P35">
        <f t="shared" si="12"/>
        <v>2.6501911201606061E-2</v>
      </c>
      <c r="V35">
        <v>-2.9000000000000101</v>
      </c>
      <c r="W35">
        <f t="shared" si="9"/>
        <v>-0.36628599999999956</v>
      </c>
    </row>
    <row r="36" spans="1:23" x14ac:dyDescent="0.3">
      <c r="A36">
        <v>3.2896692752838135</v>
      </c>
      <c r="B36" s="1">
        <v>0.65474975109100342</v>
      </c>
      <c r="C36">
        <f t="shared" si="1"/>
        <v>2.1539101391637985</v>
      </c>
      <c r="D36">
        <v>1.7899999999999999E-2</v>
      </c>
      <c r="E36">
        <v>2.5469999999999998E-3</v>
      </c>
      <c r="F36">
        <f t="shared" si="2"/>
        <v>657.9338550567627</v>
      </c>
      <c r="G36">
        <f t="shared" si="3"/>
        <v>-0.65474975109100342</v>
      </c>
      <c r="H36">
        <f t="shared" si="4"/>
        <v>-430.7820278327597</v>
      </c>
      <c r="I36">
        <v>1</v>
      </c>
      <c r="J36">
        <f t="shared" si="5"/>
        <v>-0.41865087693956277</v>
      </c>
      <c r="K36">
        <f t="shared" si="6"/>
        <v>-0.56697540068421404</v>
      </c>
      <c r="L36">
        <v>1</v>
      </c>
      <c r="M36">
        <f t="shared" si="7"/>
        <v>0.47214035358975825</v>
      </c>
      <c r="N36">
        <f t="shared" si="13"/>
        <v>5.8885080027580257E-2</v>
      </c>
      <c r="O36">
        <f t="shared" si="11"/>
        <v>8.3787876441478726E-3</v>
      </c>
      <c r="P36">
        <f t="shared" si="12"/>
        <v>2.7571179422727653E-2</v>
      </c>
      <c r="V36">
        <v>-2.80000000000001</v>
      </c>
      <c r="W36">
        <f t="shared" si="9"/>
        <v>-0.37055199999999955</v>
      </c>
    </row>
    <row r="37" spans="1:23" x14ac:dyDescent="0.3">
      <c r="A37">
        <v>3.3891270160675049</v>
      </c>
      <c r="B37" s="1">
        <v>0.6503714919090271</v>
      </c>
      <c r="C37">
        <f t="shared" si="1"/>
        <v>2.2041915937090124</v>
      </c>
      <c r="D37">
        <v>1.7899999999999999E-2</v>
      </c>
      <c r="E37">
        <v>2.5469999999999998E-3</v>
      </c>
      <c r="F37">
        <f t="shared" si="2"/>
        <v>677.82540321350098</v>
      </c>
      <c r="G37">
        <f t="shared" si="3"/>
        <v>-0.6503714919090271</v>
      </c>
      <c r="H37">
        <f t="shared" si="4"/>
        <v>-440.83831874180248</v>
      </c>
      <c r="I37">
        <v>1</v>
      </c>
      <c r="J37">
        <f t="shared" si="5"/>
        <v>-0.38886554158925352</v>
      </c>
      <c r="K37">
        <f t="shared" si="6"/>
        <v>-0.57135365986619036</v>
      </c>
      <c r="L37">
        <v>1</v>
      </c>
      <c r="M37">
        <f t="shared" si="7"/>
        <v>0.47341099599580244</v>
      </c>
      <c r="N37">
        <f t="shared" si="13"/>
        <v>6.0665373587608332E-2</v>
      </c>
      <c r="O37">
        <f t="shared" si="11"/>
        <v>8.6321065099239334E-3</v>
      </c>
      <c r="P37">
        <f t="shared" si="12"/>
        <v>2.8645183772855649E-2</v>
      </c>
      <c r="V37">
        <v>-2.7000000000000099</v>
      </c>
      <c r="W37">
        <f t="shared" si="9"/>
        <v>-0.3748179999999996</v>
      </c>
    </row>
    <row r="38" spans="1:23" x14ac:dyDescent="0.3">
      <c r="A38">
        <v>3.4885847568511963</v>
      </c>
      <c r="B38" s="1">
        <v>0.64606916904449463</v>
      </c>
      <c r="C38">
        <f t="shared" si="1"/>
        <v>2.2538670550001427</v>
      </c>
      <c r="D38">
        <v>1.7899999999999999E-2</v>
      </c>
      <c r="E38">
        <v>2.5469999999999998E-3</v>
      </c>
      <c r="F38">
        <f t="shared" si="2"/>
        <v>697.71695137023926</v>
      </c>
      <c r="G38">
        <f t="shared" si="3"/>
        <v>-0.64606916904449463</v>
      </c>
      <c r="H38">
        <f t="shared" si="4"/>
        <v>-450.77341100002855</v>
      </c>
      <c r="I38">
        <v>1</v>
      </c>
      <c r="J38">
        <f t="shared" si="5"/>
        <v>-0.35994177225893736</v>
      </c>
      <c r="K38">
        <f t="shared" si="6"/>
        <v>-0.57565598273072283</v>
      </c>
      <c r="L38">
        <v>1</v>
      </c>
      <c r="M38">
        <f t="shared" si="7"/>
        <v>0.4746448839954337</v>
      </c>
      <c r="N38">
        <f t="shared" si="13"/>
        <v>6.2445667147636413E-2</v>
      </c>
      <c r="O38">
        <f t="shared" si="11"/>
        <v>8.885425375699996E-3</v>
      </c>
      <c r="P38">
        <f t="shared" si="12"/>
        <v>2.9680006211952721E-2</v>
      </c>
      <c r="V38">
        <v>-2.6000000000000099</v>
      </c>
      <c r="W38">
        <f t="shared" si="9"/>
        <v>-0.37908399999999959</v>
      </c>
    </row>
    <row r="39" spans="1:23" x14ac:dyDescent="0.3">
      <c r="A39">
        <v>3.5887632369995117</v>
      </c>
      <c r="B39" s="1">
        <v>0.64178645610809326</v>
      </c>
      <c r="C39">
        <f t="shared" si="1"/>
        <v>2.3032196396849258</v>
      </c>
      <c r="D39">
        <v>1.7899999999999999E-2</v>
      </c>
      <c r="E39">
        <v>2.5469999999999998E-3</v>
      </c>
      <c r="F39">
        <f t="shared" si="2"/>
        <v>717.75264739990234</v>
      </c>
      <c r="G39">
        <f t="shared" si="3"/>
        <v>-0.64178645610809326</v>
      </c>
      <c r="H39">
        <f t="shared" si="4"/>
        <v>-460.64392793698516</v>
      </c>
      <c r="I39">
        <v>1</v>
      </c>
      <c r="J39">
        <f t="shared" si="5"/>
        <v>-0.33163027151698615</v>
      </c>
      <c r="K39">
        <f t="shared" si="6"/>
        <v>-0.57993869566712419</v>
      </c>
      <c r="L39">
        <v>1</v>
      </c>
      <c r="M39">
        <f t="shared" si="7"/>
        <v>0.47585265261708537</v>
      </c>
      <c r="N39">
        <f t="shared" si="13"/>
        <v>6.4238861942291253E-2</v>
      </c>
      <c r="O39">
        <f t="shared" si="11"/>
        <v>9.1405799646377562E-3</v>
      </c>
      <c r="P39">
        <f t="shared" si="12"/>
        <v>3.0706601143109816E-2</v>
      </c>
      <c r="V39">
        <v>-2.5000000000000102</v>
      </c>
      <c r="W39">
        <f t="shared" si="9"/>
        <v>-0.38334999999999958</v>
      </c>
    </row>
    <row r="40" spans="1:23" x14ac:dyDescent="0.3">
      <c r="A40">
        <v>3.6889417171478271</v>
      </c>
      <c r="B40" s="1">
        <v>0.63756567239761353</v>
      </c>
      <c r="C40">
        <f t="shared" si="1"/>
        <v>2.3519426063289615</v>
      </c>
      <c r="D40">
        <v>1.7899999999999999E-2</v>
      </c>
      <c r="E40">
        <v>2.5469999999999998E-3</v>
      </c>
      <c r="F40">
        <f t="shared" si="2"/>
        <v>737.78834342956543</v>
      </c>
      <c r="G40">
        <f t="shared" si="3"/>
        <v>-0.63756567239761353</v>
      </c>
      <c r="H40">
        <f t="shared" si="4"/>
        <v>-470.38852126579229</v>
      </c>
      <c r="I40">
        <v>1</v>
      </c>
      <c r="J40">
        <f t="shared" si="5"/>
        <v>-0.3040982930368526</v>
      </c>
      <c r="K40">
        <f t="shared" si="6"/>
        <v>-0.58415947937760393</v>
      </c>
      <c r="L40">
        <v>1</v>
      </c>
      <c r="M40">
        <f t="shared" si="7"/>
        <v>0.47702716681904789</v>
      </c>
      <c r="N40">
        <f t="shared" si="13"/>
        <v>6.6032056736946107E-2</v>
      </c>
      <c r="O40">
        <f t="shared" si="11"/>
        <v>9.3957345535755146E-3</v>
      </c>
      <c r="P40">
        <f t="shared" si="12"/>
        <v>3.170452126803442E-2</v>
      </c>
      <c r="V40">
        <v>-2.4000000000000101</v>
      </c>
      <c r="W40">
        <f t="shared" si="9"/>
        <v>-0.38761599999999957</v>
      </c>
    </row>
    <row r="41" spans="1:23" x14ac:dyDescent="0.3">
      <c r="A41">
        <v>3.7883994579315186</v>
      </c>
      <c r="B41" s="1">
        <v>0.63342875242233276</v>
      </c>
      <c r="C41">
        <f t="shared" si="1"/>
        <v>2.3996811423150035</v>
      </c>
      <c r="D41">
        <v>1.7899999999999999E-2</v>
      </c>
      <c r="E41">
        <v>2.5469999999999998E-3</v>
      </c>
      <c r="F41">
        <f t="shared" si="2"/>
        <v>757.67989158630371</v>
      </c>
      <c r="G41">
        <f t="shared" si="3"/>
        <v>-0.63342875242233276</v>
      </c>
      <c r="H41">
        <f t="shared" si="4"/>
        <v>-479.9362284630007</v>
      </c>
      <c r="I41">
        <v>1</v>
      </c>
      <c r="J41">
        <f t="shared" si="5"/>
        <v>-0.27749428915069185</v>
      </c>
      <c r="K41">
        <f t="shared" si="6"/>
        <v>-0.58829639935288469</v>
      </c>
      <c r="L41">
        <v>1</v>
      </c>
      <c r="M41">
        <f t="shared" si="7"/>
        <v>0.47816209362483147</v>
      </c>
      <c r="N41">
        <f t="shared" si="13"/>
        <v>6.7812350296974175E-2</v>
      </c>
      <c r="O41">
        <f t="shared" si="11"/>
        <v>9.6490534193515772E-3</v>
      </c>
      <c r="P41">
        <f t="shared" si="12"/>
        <v>3.2672902011727463E-2</v>
      </c>
      <c r="V41">
        <v>-2.30000000000001</v>
      </c>
      <c r="W41">
        <f t="shared" si="9"/>
        <v>-0.39188199999999956</v>
      </c>
    </row>
    <row r="42" spans="1:23" x14ac:dyDescent="0.3">
      <c r="A42">
        <v>3.88785719871521</v>
      </c>
      <c r="B42" s="1">
        <v>0.6293102502822876</v>
      </c>
      <c r="C42">
        <f t="shared" si="1"/>
        <v>2.4466683867852623</v>
      </c>
      <c r="D42">
        <v>1.7899999999999999E-2</v>
      </c>
      <c r="E42">
        <v>2.5469999999999998E-3</v>
      </c>
      <c r="F42">
        <f t="shared" si="2"/>
        <v>777.57143974304199</v>
      </c>
      <c r="G42">
        <f t="shared" si="3"/>
        <v>-0.6293102502822876</v>
      </c>
      <c r="H42">
        <f t="shared" si="4"/>
        <v>-489.33367735705247</v>
      </c>
      <c r="I42">
        <v>1</v>
      </c>
      <c r="J42">
        <f t="shared" si="5"/>
        <v>-0.25157975523593573</v>
      </c>
      <c r="K42">
        <f t="shared" si="6"/>
        <v>-0.59241490149292986</v>
      </c>
      <c r="L42">
        <v>1</v>
      </c>
      <c r="M42">
        <f t="shared" si="7"/>
        <v>0.47926760764163495</v>
      </c>
      <c r="N42">
        <f t="shared" si="13"/>
        <v>6.9592643857002257E-2</v>
      </c>
      <c r="O42">
        <f t="shared" si="11"/>
        <v>9.9023722851276381E-3</v>
      </c>
      <c r="P42">
        <f t="shared" si="12"/>
        <v>3.3652277709165013E-2</v>
      </c>
      <c r="V42">
        <v>-2.2000000000000099</v>
      </c>
      <c r="W42">
        <f t="shared" si="9"/>
        <v>-0.39614799999999956</v>
      </c>
    </row>
    <row r="43" spans="1:23" x14ac:dyDescent="0.3">
      <c r="A43">
        <v>3.9858734607696533</v>
      </c>
      <c r="B43" s="1">
        <v>0.62518835067749023</v>
      </c>
      <c r="C43">
        <f t="shared" si="1"/>
        <v>2.4919216549477596</v>
      </c>
      <c r="D43">
        <v>1.7899999999999999E-2</v>
      </c>
      <c r="E43">
        <v>2.5469999999999998E-3</v>
      </c>
      <c r="F43">
        <f t="shared" si="2"/>
        <v>797.17469215393066</v>
      </c>
      <c r="G43">
        <f t="shared" si="3"/>
        <v>-0.62518835067749023</v>
      </c>
      <c r="H43">
        <f t="shared" si="4"/>
        <v>-498.38433098955193</v>
      </c>
      <c r="I43">
        <v>1</v>
      </c>
      <c r="J43">
        <f t="shared" si="5"/>
        <v>-0.22668143706571045</v>
      </c>
      <c r="K43">
        <f t="shared" si="6"/>
        <v>-0.59653680109772722</v>
      </c>
      <c r="L43">
        <v>1</v>
      </c>
      <c r="M43">
        <f t="shared" si="7"/>
        <v>0.48032976989477677</v>
      </c>
      <c r="N43">
        <f t="shared" si="13"/>
        <v>7.1347134947776794E-2</v>
      </c>
      <c r="O43">
        <f t="shared" si="11"/>
        <v>1.0152019704580306E-2</v>
      </c>
      <c r="P43">
        <f t="shared" si="12"/>
        <v>3.4707876550593347E-2</v>
      </c>
      <c r="V43">
        <v>-2.1000000000000099</v>
      </c>
      <c r="W43">
        <f t="shared" si="9"/>
        <v>-0.4004139999999996</v>
      </c>
    </row>
    <row r="44" spans="1:23" x14ac:dyDescent="0.3">
      <c r="A44">
        <v>4.0867724418640137</v>
      </c>
      <c r="B44" s="1">
        <v>0.62121683359146118</v>
      </c>
      <c r="C44">
        <f t="shared" si="1"/>
        <v>2.5387718359436064</v>
      </c>
      <c r="D44">
        <v>1.7899999999999999E-2</v>
      </c>
      <c r="E44">
        <v>2.5469999999999998E-3</v>
      </c>
      <c r="F44">
        <f t="shared" si="2"/>
        <v>817.35448837280273</v>
      </c>
      <c r="G44">
        <f t="shared" si="3"/>
        <v>-0.62121683359146118</v>
      </c>
      <c r="H44">
        <f t="shared" si="4"/>
        <v>-507.75436718872129</v>
      </c>
      <c r="I44">
        <v>1</v>
      </c>
      <c r="J44">
        <f t="shared" si="5"/>
        <v>-0.20168238792812163</v>
      </c>
      <c r="K44">
        <f t="shared" si="6"/>
        <v>-0.60050831818375627</v>
      </c>
      <c r="L44">
        <v>1</v>
      </c>
      <c r="M44">
        <f t="shared" si="7"/>
        <v>0.4813962293309863</v>
      </c>
      <c r="N44">
        <f t="shared" si="13"/>
        <v>7.3153226709365846E-2</v>
      </c>
      <c r="O44">
        <f t="shared" si="11"/>
        <v>1.0409009409427641E-2</v>
      </c>
      <c r="P44">
        <f t="shared" si="12"/>
        <v>3.5549852733976484E-2</v>
      </c>
      <c r="V44">
        <v>-2.0000000000000102</v>
      </c>
      <c r="W44">
        <f t="shared" si="9"/>
        <v>-0.4046799999999996</v>
      </c>
    </row>
    <row r="45" spans="1:23" x14ac:dyDescent="0.3">
      <c r="A45">
        <v>4.1855096817016602</v>
      </c>
      <c r="B45" s="1">
        <v>0.61711031198501587</v>
      </c>
      <c r="C45">
        <f t="shared" si="1"/>
        <v>2.582921185491216</v>
      </c>
      <c r="D45">
        <v>1.7899999999999999E-2</v>
      </c>
      <c r="E45">
        <v>2.5469999999999998E-3</v>
      </c>
      <c r="F45">
        <f t="shared" si="2"/>
        <v>837.10193634033203</v>
      </c>
      <c r="G45">
        <f t="shared" si="3"/>
        <v>-0.61711031198501587</v>
      </c>
      <c r="H45">
        <f t="shared" si="4"/>
        <v>-516.58423709824319</v>
      </c>
      <c r="I45">
        <v>1</v>
      </c>
      <c r="J45">
        <f t="shared" si="5"/>
        <v>-0.17780942816585457</v>
      </c>
      <c r="K45">
        <f t="shared" si="6"/>
        <v>-0.60461483979020159</v>
      </c>
      <c r="L45">
        <v>1</v>
      </c>
      <c r="M45">
        <f t="shared" si="7"/>
        <v>0.48241464979444465</v>
      </c>
      <c r="N45">
        <f t="shared" si="13"/>
        <v>7.4920623302459716E-2</v>
      </c>
      <c r="O45">
        <f t="shared" si="11"/>
        <v>1.0660493159294128E-2</v>
      </c>
      <c r="P45">
        <f t="shared" si="12"/>
        <v>3.6619073534003094E-2</v>
      </c>
      <c r="V45">
        <v>-1.9000000000000099</v>
      </c>
      <c r="W45">
        <f t="shared" si="9"/>
        <v>-0.40894599999999959</v>
      </c>
    </row>
    <row r="46" spans="1:23" x14ac:dyDescent="0.3">
      <c r="A46">
        <v>4.2835259437561035</v>
      </c>
      <c r="B46" s="1">
        <v>0.61311638355255127</v>
      </c>
      <c r="C46">
        <f t="shared" si="1"/>
        <v>2.6262999354892713</v>
      </c>
      <c r="D46">
        <v>1.7899999999999999E-2</v>
      </c>
      <c r="E46">
        <v>2.5469999999999998E-3</v>
      </c>
      <c r="F46">
        <f t="shared" si="2"/>
        <v>856.7051887512207</v>
      </c>
      <c r="G46">
        <f t="shared" si="3"/>
        <v>-0.61311638355255127</v>
      </c>
      <c r="H46">
        <f t="shared" si="4"/>
        <v>-525.25998709785426</v>
      </c>
      <c r="I46">
        <v>1</v>
      </c>
      <c r="J46">
        <f t="shared" si="5"/>
        <v>-0.15466142335810881</v>
      </c>
      <c r="K46">
        <f t="shared" si="6"/>
        <v>-0.60860876822266619</v>
      </c>
      <c r="L46">
        <v>1</v>
      </c>
      <c r="M46">
        <f t="shared" si="7"/>
        <v>0.48340214367954309</v>
      </c>
      <c r="N46">
        <f t="shared" si="13"/>
        <v>7.6675114393234253E-2</v>
      </c>
      <c r="O46">
        <f t="shared" si="11"/>
        <v>1.0910140578746794E-2</v>
      </c>
      <c r="P46">
        <f t="shared" si="12"/>
        <v>3.7621369571142045E-2</v>
      </c>
      <c r="V46">
        <v>-1.80000000000001</v>
      </c>
      <c r="W46">
        <f t="shared" si="9"/>
        <v>-0.41321199999999958</v>
      </c>
    </row>
    <row r="47" spans="1:23" x14ac:dyDescent="0.3">
      <c r="A47">
        <v>4.384425163269043</v>
      </c>
      <c r="B47" s="1">
        <v>0.60912609100341797</v>
      </c>
      <c r="C47">
        <f t="shared" si="1"/>
        <v>2.6706677609990948</v>
      </c>
      <c r="D47">
        <v>1.7899999999999999E-2</v>
      </c>
      <c r="E47">
        <v>2.5469999999999998E-3</v>
      </c>
      <c r="F47">
        <f t="shared" si="2"/>
        <v>876.88503265380859</v>
      </c>
      <c r="G47">
        <f t="shared" si="3"/>
        <v>-0.60912609100341797</v>
      </c>
      <c r="H47">
        <f t="shared" si="4"/>
        <v>-534.13355219981895</v>
      </c>
      <c r="I47">
        <v>1</v>
      </c>
      <c r="J47">
        <f t="shared" si="5"/>
        <v>-0.13137938681802425</v>
      </c>
      <c r="K47">
        <f t="shared" si="6"/>
        <v>-0.61259906077179949</v>
      </c>
      <c r="L47">
        <v>1</v>
      </c>
      <c r="M47">
        <f t="shared" si="7"/>
        <v>0.4843953553583431</v>
      </c>
      <c r="N47">
        <f t="shared" si="13"/>
        <v>7.8481210422515865E-2</v>
      </c>
      <c r="O47">
        <f t="shared" si="11"/>
        <v>1.1167130890846252E-2</v>
      </c>
      <c r="P47">
        <f t="shared" si="12"/>
        <v>3.8555364100094261E-2</v>
      </c>
      <c r="V47">
        <v>-1.7000000000000199</v>
      </c>
      <c r="W47">
        <f t="shared" si="9"/>
        <v>-0.41747799999999913</v>
      </c>
    </row>
    <row r="48" spans="1:23" x14ac:dyDescent="0.3">
      <c r="A48">
        <v>4.4860448837280273</v>
      </c>
      <c r="B48" s="1">
        <v>0.60518872737884521</v>
      </c>
      <c r="C48">
        <f t="shared" si="1"/>
        <v>2.7149037941477445</v>
      </c>
      <c r="D48">
        <v>1.7899999999999999E-2</v>
      </c>
      <c r="E48">
        <v>2.5469999999999998E-3</v>
      </c>
      <c r="F48">
        <f t="shared" si="2"/>
        <v>897.20897674560547</v>
      </c>
      <c r="G48">
        <f t="shared" si="3"/>
        <v>-0.60518872737884521</v>
      </c>
      <c r="H48">
        <f t="shared" si="4"/>
        <v>-542.9807588295489</v>
      </c>
      <c r="I48">
        <v>1</v>
      </c>
      <c r="J48">
        <f t="shared" si="5"/>
        <v>-0.1084664710967856</v>
      </c>
      <c r="K48">
        <f t="shared" si="6"/>
        <v>-0.61653642439637224</v>
      </c>
      <c r="L48">
        <v>1</v>
      </c>
      <c r="M48">
        <f t="shared" si="7"/>
        <v>0.4853728203430111</v>
      </c>
      <c r="N48">
        <f t="shared" si="13"/>
        <v>8.0300203418731689E-2</v>
      </c>
      <c r="O48">
        <f t="shared" si="11"/>
        <v>1.1425956318855285E-2</v>
      </c>
      <c r="P48">
        <f t="shared" si="12"/>
        <v>3.9437444315774166E-2</v>
      </c>
      <c r="V48">
        <v>-1.6000000000000201</v>
      </c>
      <c r="W48">
        <f t="shared" si="9"/>
        <v>-0.42174399999999912</v>
      </c>
    </row>
    <row r="49" spans="1:23" x14ac:dyDescent="0.3">
      <c r="A49">
        <v>4.5840616226196289</v>
      </c>
      <c r="B49" s="1">
        <v>0.60123056173324585</v>
      </c>
      <c r="C49">
        <f t="shared" si="1"/>
        <v>2.7560779443874139</v>
      </c>
      <c r="D49">
        <v>1.7899999999999999E-2</v>
      </c>
      <c r="E49">
        <v>2.5469999999999998E-3</v>
      </c>
      <c r="F49">
        <f t="shared" si="2"/>
        <v>916.81232452392578</v>
      </c>
      <c r="G49">
        <f t="shared" si="3"/>
        <v>-0.60123056173324585</v>
      </c>
      <c r="H49">
        <f t="shared" si="4"/>
        <v>-551.21558887748279</v>
      </c>
      <c r="I49">
        <v>1</v>
      </c>
      <c r="J49">
        <f t="shared" si="5"/>
        <v>-8.6852490132168711E-2</v>
      </c>
      <c r="K49">
        <f t="shared" si="6"/>
        <v>-0.62049459004197161</v>
      </c>
      <c r="L49">
        <v>1</v>
      </c>
      <c r="M49">
        <f t="shared" si="7"/>
        <v>0.48629487277096167</v>
      </c>
      <c r="N49">
        <f t="shared" si="13"/>
        <v>8.2054703044891347E-2</v>
      </c>
      <c r="O49">
        <f t="shared" si="11"/>
        <v>1.1675604952812195E-2</v>
      </c>
      <c r="P49">
        <f t="shared" si="12"/>
        <v>4.0469409273306389E-2</v>
      </c>
      <c r="V49">
        <v>-1.50000000000002</v>
      </c>
      <c r="W49">
        <f t="shared" si="9"/>
        <v>-0.42600999999999911</v>
      </c>
    </row>
    <row r="50" spans="1:23" x14ac:dyDescent="0.3">
      <c r="A50">
        <v>4.6835193634033203</v>
      </c>
      <c r="B50" s="1">
        <v>0.59724986553192139</v>
      </c>
      <c r="C50">
        <f t="shared" si="1"/>
        <v>2.7972313100087831</v>
      </c>
      <c r="D50">
        <v>1.7899999999999999E-2</v>
      </c>
      <c r="E50">
        <v>2.5469999999999998E-3</v>
      </c>
      <c r="F50">
        <f t="shared" si="2"/>
        <v>936.70387268066406</v>
      </c>
      <c r="G50">
        <f t="shared" si="3"/>
        <v>-0.59724986553192139</v>
      </c>
      <c r="H50">
        <f t="shared" si="4"/>
        <v>-559.44626200175662</v>
      </c>
      <c r="I50">
        <v>1</v>
      </c>
      <c r="J50">
        <f t="shared" si="5"/>
        <v>-6.5388084388213197E-2</v>
      </c>
      <c r="K50">
        <f t="shared" si="6"/>
        <v>-0.62447528624329607</v>
      </c>
      <c r="L50">
        <v>1</v>
      </c>
      <c r="M50">
        <f t="shared" si="7"/>
        <v>0.48721054431999883</v>
      </c>
      <c r="N50">
        <f t="shared" si="13"/>
        <v>8.3834996604919429E-2</v>
      </c>
      <c r="O50">
        <f t="shared" si="11"/>
        <v>1.1928923818588255E-2</v>
      </c>
      <c r="P50">
        <f t="shared" si="12"/>
        <v>4.1500821499789557E-2</v>
      </c>
      <c r="V50">
        <v>-1.4000000000000199</v>
      </c>
      <c r="W50">
        <f t="shared" si="9"/>
        <v>-0.43027599999999916</v>
      </c>
    </row>
    <row r="51" spans="1:23" x14ac:dyDescent="0.3">
      <c r="A51">
        <v>4.7815356254577637</v>
      </c>
      <c r="B51" s="1">
        <v>0.59340250492095947</v>
      </c>
      <c r="C51">
        <f t="shared" si="1"/>
        <v>2.8373752175154436</v>
      </c>
      <c r="D51">
        <v>1.7899999999999999E-2</v>
      </c>
      <c r="E51">
        <v>2.5469999999999998E-3</v>
      </c>
      <c r="F51">
        <f t="shared" si="2"/>
        <v>956.30712509155273</v>
      </c>
      <c r="G51">
        <f t="shared" si="3"/>
        <v>-0.59340250492095947</v>
      </c>
      <c r="H51">
        <f t="shared" si="4"/>
        <v>-567.47504350308873</v>
      </c>
      <c r="I51">
        <v>1</v>
      </c>
      <c r="J51">
        <f t="shared" si="5"/>
        <v>-4.4676156967841142E-2</v>
      </c>
      <c r="K51">
        <f t="shared" si="6"/>
        <v>-0.62832264685425798</v>
      </c>
      <c r="L51">
        <v>1</v>
      </c>
      <c r="M51">
        <f t="shared" si="7"/>
        <v>0.48809411514375189</v>
      </c>
      <c r="N51">
        <f t="shared" si="13"/>
        <v>8.5589487695693967E-2</v>
      </c>
      <c r="O51">
        <f t="shared" si="11"/>
        <v>1.2178571238040923E-2</v>
      </c>
      <c r="P51">
        <f t="shared" si="12"/>
        <v>4.2460472776771202E-2</v>
      </c>
      <c r="V51">
        <v>-1.30000000000002</v>
      </c>
      <c r="W51">
        <f t="shared" si="9"/>
        <v>-0.43454199999999915</v>
      </c>
    </row>
    <row r="52" spans="1:23" x14ac:dyDescent="0.3">
      <c r="A52">
        <v>4.883155345916748</v>
      </c>
      <c r="B52" s="1">
        <v>0.58952438831329346</v>
      </c>
      <c r="C52">
        <f t="shared" si="1"/>
        <v>2.8787391683403598</v>
      </c>
      <c r="D52">
        <v>1.7899999999999999E-2</v>
      </c>
      <c r="E52">
        <v>2.5469999999999998E-3</v>
      </c>
      <c r="F52">
        <f t="shared" si="2"/>
        <v>976.63106918334961</v>
      </c>
      <c r="G52">
        <f t="shared" si="3"/>
        <v>-0.58952438831329346</v>
      </c>
      <c r="H52">
        <f t="shared" si="4"/>
        <v>-575.74783366807196</v>
      </c>
      <c r="I52">
        <v>1</v>
      </c>
      <c r="J52">
        <f t="shared" si="5"/>
        <v>-2.3646314238512777E-2</v>
      </c>
      <c r="K52">
        <f t="shared" si="6"/>
        <v>-0.632200763461924</v>
      </c>
      <c r="L52">
        <v>1</v>
      </c>
      <c r="M52">
        <f t="shared" si="7"/>
        <v>0.48899124823458506</v>
      </c>
      <c r="N52">
        <f t="shared" si="13"/>
        <v>8.740848069190979E-2</v>
      </c>
      <c r="O52">
        <f t="shared" si="11"/>
        <v>1.2437396666049956E-2</v>
      </c>
      <c r="P52">
        <f t="shared" si="12"/>
        <v>4.336363786937919E-2</v>
      </c>
      <c r="V52">
        <v>-1.2000000000000199</v>
      </c>
      <c r="W52">
        <f t="shared" si="9"/>
        <v>-0.43880799999999914</v>
      </c>
    </row>
    <row r="53" spans="1:23" x14ac:dyDescent="0.3">
      <c r="A53">
        <v>4.9833335876464844</v>
      </c>
      <c r="B53" s="1">
        <v>0.58567464351654053</v>
      </c>
      <c r="C53">
        <f t="shared" si="1"/>
        <v>2.9186121224688577</v>
      </c>
      <c r="D53">
        <v>1.7899999999999999E-2</v>
      </c>
      <c r="E53">
        <v>2.5469999999999998E-3</v>
      </c>
      <c r="F53">
        <f t="shared" si="2"/>
        <v>996.66671752929688</v>
      </c>
      <c r="G53">
        <f t="shared" si="3"/>
        <v>-0.58567464351654053</v>
      </c>
      <c r="H53">
        <f t="shared" si="4"/>
        <v>-583.72242449377154</v>
      </c>
      <c r="I53">
        <v>1</v>
      </c>
      <c r="J53">
        <f t="shared" si="5"/>
        <v>-3.3388502327765506E-3</v>
      </c>
      <c r="K53">
        <f t="shared" si="6"/>
        <v>-0.63605050825867693</v>
      </c>
      <c r="L53">
        <v>1</v>
      </c>
      <c r="M53">
        <f t="shared" si="7"/>
        <v>0.48985756464906977</v>
      </c>
      <c r="N53">
        <f t="shared" si="13"/>
        <v>8.920167121887207E-2</v>
      </c>
      <c r="O53">
        <f t="shared" si="11"/>
        <v>1.2692550647735595E-2</v>
      </c>
      <c r="P53">
        <f t="shared" si="12"/>
        <v>4.4298721742999494E-2</v>
      </c>
      <c r="V53">
        <v>-1.1000000000000201</v>
      </c>
      <c r="W53">
        <f t="shared" si="9"/>
        <v>-0.44307399999999914</v>
      </c>
    </row>
    <row r="54" spans="1:23" x14ac:dyDescent="0.3">
      <c r="A54">
        <v>5.0813503265380859</v>
      </c>
      <c r="B54" s="1">
        <v>0.58185166120529175</v>
      </c>
      <c r="C54">
        <f t="shared" si="1"/>
        <v>2.956592128662237</v>
      </c>
      <c r="D54">
        <v>1.7899999999999999E-2</v>
      </c>
      <c r="E54">
        <v>2.5469999999999998E-3</v>
      </c>
      <c r="F54">
        <f t="shared" si="2"/>
        <v>1016.2700653076172</v>
      </c>
      <c r="G54">
        <f t="shared" si="3"/>
        <v>-0.58185166120529175</v>
      </c>
      <c r="H54">
        <f t="shared" si="4"/>
        <v>-591.31842573244739</v>
      </c>
      <c r="I54">
        <v>1</v>
      </c>
      <c r="J54">
        <f t="shared" si="5"/>
        <v>1.6139126145103835E-2</v>
      </c>
      <c r="K54">
        <f t="shared" si="6"/>
        <v>-0.63987349056992571</v>
      </c>
      <c r="L54">
        <v>1</v>
      </c>
      <c r="M54">
        <f t="shared" si="7"/>
        <v>0.4906884951213501</v>
      </c>
      <c r="N54">
        <f t="shared" si="13"/>
        <v>9.0956170845031728E-2</v>
      </c>
      <c r="O54">
        <f t="shared" si="11"/>
        <v>1.2942199281692504E-2</v>
      </c>
      <c r="P54">
        <f t="shared" si="12"/>
        <v>4.5286625321851376E-2</v>
      </c>
      <c r="V54">
        <v>-1.00000000000002</v>
      </c>
      <c r="W54">
        <f t="shared" si="9"/>
        <v>-0.44733999999999913</v>
      </c>
    </row>
    <row r="55" spans="1:23" x14ac:dyDescent="0.3">
      <c r="A55">
        <v>5.1822495460510254</v>
      </c>
      <c r="B55" s="1">
        <v>0.5779491662979126</v>
      </c>
      <c r="C55">
        <f t="shared" si="1"/>
        <v>2.9950768046879261</v>
      </c>
      <c r="D55">
        <v>1.7899999999999999E-2</v>
      </c>
      <c r="E55">
        <v>2.5469999999999998E-3</v>
      </c>
      <c r="F55">
        <f t="shared" si="2"/>
        <v>1036.4499092102051</v>
      </c>
      <c r="G55">
        <f t="shared" si="3"/>
        <v>-0.5779491662979126</v>
      </c>
      <c r="H55">
        <f t="shared" si="4"/>
        <v>-599.01536093758523</v>
      </c>
      <c r="I55">
        <v>1</v>
      </c>
      <c r="J55">
        <f t="shared" si="5"/>
        <v>3.5801324866491055E-2</v>
      </c>
      <c r="K55">
        <f t="shared" si="6"/>
        <v>-0.64377598547730486</v>
      </c>
      <c r="L55">
        <v>1</v>
      </c>
      <c r="M55">
        <f t="shared" si="7"/>
        <v>0.49152728451880451</v>
      </c>
      <c r="N55">
        <f t="shared" si="13"/>
        <v>9.2762266874313354E-2</v>
      </c>
      <c r="O55">
        <f t="shared" si="11"/>
        <v>1.319918959379196E-2</v>
      </c>
      <c r="P55">
        <f t="shared" si="12"/>
        <v>4.6287244490395035E-2</v>
      </c>
      <c r="V55">
        <v>-0.90000000000002001</v>
      </c>
      <c r="W55">
        <f t="shared" si="9"/>
        <v>-0.45160599999999912</v>
      </c>
    </row>
    <row r="56" spans="1:23" x14ac:dyDescent="0.3">
      <c r="A56">
        <v>5.2809863090515137</v>
      </c>
      <c r="B56" s="1">
        <v>0.57414519786834717</v>
      </c>
      <c r="C56">
        <f t="shared" si="1"/>
        <v>3.0320529293504137</v>
      </c>
      <c r="D56">
        <v>1.7899999999999999E-2</v>
      </c>
      <c r="E56">
        <v>2.5469999999999998E-3</v>
      </c>
      <c r="F56">
        <f t="shared" si="2"/>
        <v>1056.1972618103027</v>
      </c>
      <c r="G56">
        <f t="shared" si="3"/>
        <v>-0.57414519786834717</v>
      </c>
      <c r="H56">
        <f t="shared" si="4"/>
        <v>-606.41058587008274</v>
      </c>
      <c r="I56">
        <v>1</v>
      </c>
      <c r="J56">
        <f t="shared" si="5"/>
        <v>5.4674968795669646E-2</v>
      </c>
      <c r="K56">
        <f t="shared" si="6"/>
        <v>-0.64757995390687029</v>
      </c>
      <c r="L56">
        <v>1</v>
      </c>
      <c r="M56">
        <f t="shared" si="7"/>
        <v>0.49233243416882327</v>
      </c>
      <c r="N56">
        <f t="shared" si="13"/>
        <v>9.4529654932022089E-2</v>
      </c>
      <c r="O56">
        <f t="shared" si="11"/>
        <v>1.3450672129154205E-2</v>
      </c>
      <c r="P56">
        <f t="shared" si="12"/>
        <v>4.7267192676870719E-2</v>
      </c>
      <c r="V56">
        <v>-0.80000000000002003</v>
      </c>
      <c r="W56">
        <f t="shared" si="9"/>
        <v>-0.45587199999999917</v>
      </c>
    </row>
    <row r="57" spans="1:23" x14ac:dyDescent="0.3">
      <c r="A57">
        <v>5.3811650276184082</v>
      </c>
      <c r="B57" s="1">
        <v>0.57029420137405396</v>
      </c>
      <c r="C57">
        <f t="shared" si="1"/>
        <v>3.0688472118876291</v>
      </c>
      <c r="D57">
        <v>1.7899999999999999E-2</v>
      </c>
      <c r="E57">
        <v>2.5469999999999998E-3</v>
      </c>
      <c r="F57">
        <f t="shared" si="2"/>
        <v>1076.2330055236816</v>
      </c>
      <c r="G57">
        <f t="shared" si="3"/>
        <v>-0.57029420137405396</v>
      </c>
      <c r="H57">
        <f t="shared" si="4"/>
        <v>-613.76944237752582</v>
      </c>
      <c r="I57">
        <v>1</v>
      </c>
      <c r="J57">
        <f t="shared" si="5"/>
        <v>7.3466986180946423E-2</v>
      </c>
      <c r="K57">
        <f t="shared" si="6"/>
        <v>-0.6514309504011635</v>
      </c>
      <c r="L57">
        <v>1</v>
      </c>
      <c r="M57">
        <f t="shared" si="7"/>
        <v>0.49313410163047916</v>
      </c>
      <c r="N57">
        <f t="shared" si="13"/>
        <v>9.6322853994369503E-2</v>
      </c>
      <c r="O57">
        <f t="shared" si="11"/>
        <v>1.3705827325344085E-2</v>
      </c>
      <c r="P57">
        <f t="shared" si="12"/>
        <v>4.8268167450970748E-2</v>
      </c>
      <c r="V57">
        <v>-0.70000000000002005</v>
      </c>
      <c r="W57">
        <f t="shared" si="9"/>
        <v>-0.46013799999999916</v>
      </c>
    </row>
    <row r="58" spans="1:23" x14ac:dyDescent="0.3">
      <c r="A58">
        <v>5.4799017906188965</v>
      </c>
      <c r="B58" s="1">
        <v>0.56654775142669678</v>
      </c>
      <c r="C58">
        <f t="shared" si="1"/>
        <v>3.1046260375142651</v>
      </c>
      <c r="D58">
        <v>1.7899999999999999E-2</v>
      </c>
      <c r="E58">
        <v>2.5469999999999998E-3</v>
      </c>
      <c r="F58">
        <f t="shared" si="2"/>
        <v>1095.9803581237793</v>
      </c>
      <c r="G58">
        <f t="shared" si="3"/>
        <v>-0.56654775142669678</v>
      </c>
      <c r="H58">
        <f t="shared" si="4"/>
        <v>-620.92520750285303</v>
      </c>
      <c r="I58">
        <v>1</v>
      </c>
      <c r="J58">
        <f t="shared" si="5"/>
        <v>9.1649266945323785E-2</v>
      </c>
      <c r="K58">
        <f t="shared" si="6"/>
        <v>-0.65517740034852068</v>
      </c>
      <c r="L58">
        <v>1</v>
      </c>
      <c r="M58">
        <f t="shared" si="7"/>
        <v>0.49390975772788748</v>
      </c>
      <c r="N58">
        <f t="shared" si="13"/>
        <v>9.8090242052078239E-2</v>
      </c>
      <c r="O58">
        <f t="shared" si="11"/>
        <v>1.3957309860706328E-2</v>
      </c>
      <c r="P58">
        <f t="shared" si="12"/>
        <v>4.9220090707848635E-2</v>
      </c>
      <c r="V58">
        <v>-0.60000000000001996</v>
      </c>
      <c r="W58">
        <f t="shared" si="9"/>
        <v>-0.46440399999999915</v>
      </c>
    </row>
    <row r="59" spans="1:23" x14ac:dyDescent="0.3">
      <c r="A59">
        <v>5.5808010101318359</v>
      </c>
      <c r="B59" s="1">
        <v>0.56271994113922119</v>
      </c>
      <c r="C59">
        <f t="shared" si="1"/>
        <v>3.1404280159310929</v>
      </c>
      <c r="D59">
        <v>1.7899999999999999E-2</v>
      </c>
      <c r="E59">
        <v>2.5469999999999998E-3</v>
      </c>
      <c r="F59">
        <f t="shared" si="2"/>
        <v>1116.1602020263672</v>
      </c>
      <c r="G59">
        <f t="shared" si="3"/>
        <v>-0.56271994113922119</v>
      </c>
      <c r="H59">
        <f t="shared" si="4"/>
        <v>-628.08560318621858</v>
      </c>
      <c r="I59">
        <v>1</v>
      </c>
      <c r="J59">
        <f t="shared" si="5"/>
        <v>0.10989440385961277</v>
      </c>
      <c r="K59">
        <f t="shared" si="6"/>
        <v>-0.65900521063599626</v>
      </c>
      <c r="L59">
        <v>1</v>
      </c>
      <c r="M59">
        <f t="shared" si="7"/>
        <v>0.4946880952686511</v>
      </c>
      <c r="N59">
        <f t="shared" si="13"/>
        <v>9.9896338081359864E-2</v>
      </c>
      <c r="O59">
        <f t="shared" si="11"/>
        <v>1.4214300172805784E-2</v>
      </c>
      <c r="P59">
        <f t="shared" si="12"/>
        <v>5.0206477113179521E-2</v>
      </c>
      <c r="V59">
        <v>-0.50000000000001998</v>
      </c>
      <c r="W59">
        <f t="shared" si="9"/>
        <v>-0.46866999999999914</v>
      </c>
    </row>
    <row r="60" spans="1:23" x14ac:dyDescent="0.3">
      <c r="A60">
        <v>5.6788172721862793</v>
      </c>
      <c r="B60" s="1">
        <v>0.55893039703369141</v>
      </c>
      <c r="C60">
        <f t="shared" si="1"/>
        <v>3.1740635926248615</v>
      </c>
      <c r="D60">
        <v>1.7899999999999999E-2</v>
      </c>
      <c r="E60">
        <v>2.5469999999999998E-3</v>
      </c>
      <c r="F60">
        <f t="shared" si="2"/>
        <v>1135.7634544372559</v>
      </c>
      <c r="G60">
        <f t="shared" si="3"/>
        <v>-0.55893039703369141</v>
      </c>
      <c r="H60">
        <f t="shared" si="4"/>
        <v>-634.8127185249723</v>
      </c>
      <c r="I60">
        <v>1</v>
      </c>
      <c r="J60">
        <f t="shared" si="5"/>
        <v>0.12730507188899692</v>
      </c>
      <c r="K60">
        <f t="shared" si="6"/>
        <v>-0.66279475474152605</v>
      </c>
      <c r="L60">
        <v>1</v>
      </c>
      <c r="M60">
        <f t="shared" si="7"/>
        <v>0.49543083436678459</v>
      </c>
      <c r="N60">
        <f t="shared" si="13"/>
        <v>0.1016508291721344</v>
      </c>
      <c r="O60">
        <f t="shared" si="11"/>
        <v>1.4463947592258452E-2</v>
      </c>
      <c r="P60">
        <f t="shared" si="12"/>
        <v>5.1249143610348602E-2</v>
      </c>
      <c r="V60">
        <v>-0.40000000000002001</v>
      </c>
      <c r="W60">
        <f t="shared" si="9"/>
        <v>-0.47293599999999913</v>
      </c>
    </row>
    <row r="61" spans="1:23" x14ac:dyDescent="0.3">
      <c r="A61">
        <v>5.7804374694824219</v>
      </c>
      <c r="B61" s="1">
        <v>0.55513244867324829</v>
      </c>
      <c r="C61">
        <f t="shared" si="1"/>
        <v>3.2089084068363718</v>
      </c>
      <c r="D61">
        <v>1.7899999999999999E-2</v>
      </c>
      <c r="E61">
        <v>2.5469999999999998E-3</v>
      </c>
      <c r="F61">
        <f t="shared" si="2"/>
        <v>1156.0874938964844</v>
      </c>
      <c r="G61">
        <f t="shared" si="3"/>
        <v>-0.55513244867324829</v>
      </c>
      <c r="H61">
        <f t="shared" si="4"/>
        <v>-641.78168136727436</v>
      </c>
      <c r="I61">
        <v>1</v>
      </c>
      <c r="J61">
        <f t="shared" si="5"/>
        <v>0.14504145414775205</v>
      </c>
      <c r="K61">
        <f t="shared" si="6"/>
        <v>-0.66659270310196916</v>
      </c>
      <c r="L61">
        <v>1</v>
      </c>
      <c r="M61">
        <f t="shared" si="7"/>
        <v>0.49618746843394307</v>
      </c>
      <c r="N61">
        <f t="shared" si="13"/>
        <v>0.10346983070373535</v>
      </c>
      <c r="O61">
        <f t="shared" si="11"/>
        <v>1.4722774234771727E-2</v>
      </c>
      <c r="P61">
        <f t="shared" si="12"/>
        <v>5.2212629729519025E-2</v>
      </c>
      <c r="V61">
        <v>-0.30000000000001997</v>
      </c>
      <c r="W61">
        <f t="shared" si="9"/>
        <v>-0.47720199999999913</v>
      </c>
    </row>
    <row r="62" spans="1:23" x14ac:dyDescent="0.3">
      <c r="A62">
        <v>5.8784537315368652</v>
      </c>
      <c r="B62" s="1">
        <v>0.55141222476959229</v>
      </c>
      <c r="C62">
        <f t="shared" si="1"/>
        <v>3.2414512503118544</v>
      </c>
      <c r="D62">
        <v>1.7899999999999999E-2</v>
      </c>
      <c r="E62">
        <v>2.5469999999999998E-3</v>
      </c>
      <c r="F62">
        <f t="shared" si="2"/>
        <v>1175.690746307373</v>
      </c>
      <c r="G62">
        <f t="shared" si="3"/>
        <v>-0.55141222476959229</v>
      </c>
      <c r="H62">
        <f t="shared" si="4"/>
        <v>-648.29025006237089</v>
      </c>
      <c r="I62">
        <v>1</v>
      </c>
      <c r="J62">
        <f t="shared" si="5"/>
        <v>0.16185584406648057</v>
      </c>
      <c r="K62">
        <f t="shared" si="6"/>
        <v>-0.67031292700562517</v>
      </c>
      <c r="L62">
        <v>1</v>
      </c>
      <c r="M62">
        <f t="shared" si="7"/>
        <v>0.49690477030787605</v>
      </c>
      <c r="N62">
        <f t="shared" si="13"/>
        <v>0.10522432179450988</v>
      </c>
      <c r="O62">
        <f t="shared" si="11"/>
        <v>1.4972421654224395E-2</v>
      </c>
      <c r="P62">
        <f t="shared" si="12"/>
        <v>5.3211413249014836E-2</v>
      </c>
      <c r="V62">
        <v>-0.20000000000002</v>
      </c>
      <c r="W62">
        <f t="shared" si="9"/>
        <v>-0.48146799999999912</v>
      </c>
    </row>
    <row r="63" spans="1:23" x14ac:dyDescent="0.3">
      <c r="A63">
        <v>5.9793529510498047</v>
      </c>
      <c r="B63" s="1">
        <v>0.54761064052581787</v>
      </c>
      <c r="C63">
        <f t="shared" si="1"/>
        <v>3.2743572994543229</v>
      </c>
      <c r="D63">
        <v>1.7899999999999999E-2</v>
      </c>
      <c r="E63">
        <v>2.5469999999999998E-3</v>
      </c>
      <c r="F63">
        <f t="shared" si="2"/>
        <v>1195.8705902099609</v>
      </c>
      <c r="G63">
        <f t="shared" si="3"/>
        <v>-0.54761064052581787</v>
      </c>
      <c r="H63">
        <f t="shared" si="4"/>
        <v>-654.87145989086457</v>
      </c>
      <c r="I63">
        <v>1</v>
      </c>
      <c r="J63">
        <f t="shared" si="5"/>
        <v>0.17887444750857884</v>
      </c>
      <c r="K63">
        <f t="shared" si="6"/>
        <v>-0.67411451124939958</v>
      </c>
      <c r="L63">
        <v>1</v>
      </c>
      <c r="M63">
        <f t="shared" si="7"/>
        <v>0.49763078393071597</v>
      </c>
      <c r="N63">
        <f t="shared" si="13"/>
        <v>0.1070304178237915</v>
      </c>
      <c r="O63">
        <f t="shared" si="11"/>
        <v>1.5229411966323851E-2</v>
      </c>
      <c r="P63">
        <f t="shared" si="12"/>
        <v>5.4223897528568266E-2</v>
      </c>
      <c r="V63">
        <v>-0.10000000000002</v>
      </c>
      <c r="W63">
        <f t="shared" si="9"/>
        <v>-0.48573399999999911</v>
      </c>
    </row>
    <row r="64" spans="1:23" x14ac:dyDescent="0.3">
      <c r="A64">
        <v>6.079531192779541</v>
      </c>
      <c r="B64" s="1">
        <v>0.54384350776672363</v>
      </c>
      <c r="C64">
        <f t="shared" si="1"/>
        <v>3.3063135694584389</v>
      </c>
      <c r="D64">
        <v>1.7899999999999999E-2</v>
      </c>
      <c r="E64">
        <v>2.5469999999999998E-3</v>
      </c>
      <c r="F64">
        <f t="shared" si="2"/>
        <v>1215.9062385559082</v>
      </c>
      <c r="G64">
        <f t="shared" si="3"/>
        <v>-0.54384350776672363</v>
      </c>
      <c r="H64">
        <f t="shared" si="4"/>
        <v>-661.26271389168778</v>
      </c>
      <c r="I64">
        <v>1</v>
      </c>
      <c r="J64">
        <f t="shared" si="5"/>
        <v>0.19548967412038676</v>
      </c>
      <c r="K64">
        <f t="shared" si="6"/>
        <v>-0.67788164400849382</v>
      </c>
      <c r="L64">
        <v>1</v>
      </c>
      <c r="M64">
        <f t="shared" si="7"/>
        <v>0.49833958949797569</v>
      </c>
      <c r="N64">
        <f t="shared" si="13"/>
        <v>0.10882360835075378</v>
      </c>
      <c r="O64">
        <f t="shared" si="11"/>
        <v>1.5484565948009489E-2</v>
      </c>
      <c r="P64">
        <f t="shared" si="12"/>
        <v>5.523388021175487E-2</v>
      </c>
      <c r="V64">
        <v>-2.0428103653102899E-14</v>
      </c>
      <c r="W64">
        <f t="shared" si="9"/>
        <v>-0.4899999999999991</v>
      </c>
    </row>
    <row r="65" spans="1:23" x14ac:dyDescent="0.3">
      <c r="A65">
        <v>6.1782684326171875</v>
      </c>
      <c r="B65" s="1">
        <v>0.54011428356170654</v>
      </c>
      <c r="C65">
        <f t="shared" si="1"/>
        <v>3.3369710281349398</v>
      </c>
      <c r="D65">
        <v>1.7899999999999999E-2</v>
      </c>
      <c r="E65">
        <v>2.5469999999999998E-3</v>
      </c>
      <c r="F65">
        <f t="shared" si="2"/>
        <v>1235.6536865234375</v>
      </c>
      <c r="G65">
        <f t="shared" si="3"/>
        <v>-0.54011428356170654</v>
      </c>
      <c r="H65">
        <f t="shared" si="4"/>
        <v>-667.39420562698797</v>
      </c>
      <c r="I65">
        <v>1</v>
      </c>
      <c r="J65">
        <f t="shared" si="5"/>
        <v>0.21160013087836116</v>
      </c>
      <c r="K65">
        <f t="shared" si="6"/>
        <v>-0.68161086821351091</v>
      </c>
      <c r="L65">
        <v>1</v>
      </c>
      <c r="M65">
        <f t="shared" si="7"/>
        <v>0.49902686158327086</v>
      </c>
      <c r="N65">
        <f t="shared" si="13"/>
        <v>0.11059100494384765</v>
      </c>
      <c r="O65">
        <f t="shared" si="11"/>
        <v>1.5736049697875974E-2</v>
      </c>
      <c r="P65">
        <f t="shared" si="12"/>
        <v>5.6256951988516428E-2</v>
      </c>
      <c r="V65">
        <v>9.9999999999980105E-2</v>
      </c>
      <c r="W65">
        <f t="shared" si="9"/>
        <v>-0.49426599999999915</v>
      </c>
    </row>
    <row r="66" spans="1:23" x14ac:dyDescent="0.3">
      <c r="A66">
        <v>6.2762846946716309</v>
      </c>
      <c r="B66" s="1">
        <v>0.53636264801025391</v>
      </c>
      <c r="C66">
        <f t="shared" si="1"/>
        <v>3.3663646785003039</v>
      </c>
      <c r="D66">
        <v>1.7899999999999999E-2</v>
      </c>
      <c r="E66">
        <v>2.5469999999999998E-3</v>
      </c>
      <c r="F66">
        <f t="shared" si="2"/>
        <v>1255.2569389343262</v>
      </c>
      <c r="G66">
        <f t="shared" si="3"/>
        <v>-0.53636264801025391</v>
      </c>
      <c r="H66">
        <f t="shared" si="4"/>
        <v>-673.27293570006077</v>
      </c>
      <c r="I66">
        <v>1</v>
      </c>
      <c r="J66">
        <f t="shared" si="5"/>
        <v>0.2273402838475532</v>
      </c>
      <c r="K66">
        <f t="shared" si="6"/>
        <v>-0.68536250376496355</v>
      </c>
      <c r="L66">
        <v>1</v>
      </c>
      <c r="M66">
        <f t="shared" si="7"/>
        <v>0.49969833650893664</v>
      </c>
      <c r="N66">
        <f t="shared" si="13"/>
        <v>0.11234549603462218</v>
      </c>
      <c r="O66">
        <f t="shared" si="11"/>
        <v>1.5985697117328643E-2</v>
      </c>
      <c r="P66">
        <f t="shared" si="12"/>
        <v>5.733297410407609E-2</v>
      </c>
      <c r="V66">
        <v>0.19999999999998</v>
      </c>
      <c r="W66">
        <f t="shared" si="9"/>
        <v>-0.49853199999999914</v>
      </c>
    </row>
    <row r="67" spans="1:23" x14ac:dyDescent="0.3">
      <c r="A67">
        <v>6.3786253929138184</v>
      </c>
      <c r="B67" s="1">
        <v>0.53266453742980957</v>
      </c>
      <c r="C67">
        <f t="shared" si="1"/>
        <v>3.3976675443544764</v>
      </c>
      <c r="D67">
        <v>1.7899999999999999E-2</v>
      </c>
      <c r="E67">
        <v>2.5469999999999998E-3</v>
      </c>
      <c r="F67">
        <f t="shared" si="2"/>
        <v>1275.7250785827637</v>
      </c>
      <c r="G67">
        <f t="shared" si="3"/>
        <v>-0.53266453742980957</v>
      </c>
      <c r="H67">
        <f t="shared" si="4"/>
        <v>-679.53350887089528</v>
      </c>
      <c r="I67">
        <v>1</v>
      </c>
      <c r="J67">
        <f t="shared" si="5"/>
        <v>0.24351470605255246</v>
      </c>
      <c r="K67">
        <f t="shared" si="6"/>
        <v>-0.68906061434540788</v>
      </c>
      <c r="L67">
        <v>1</v>
      </c>
      <c r="M67">
        <f t="shared" si="7"/>
        <v>0.50038833736020183</v>
      </c>
      <c r="N67">
        <f t="shared" si="13"/>
        <v>0.11417739453315734</v>
      </c>
      <c r="O67">
        <f t="shared" si="11"/>
        <v>1.6246358875751495E-2</v>
      </c>
      <c r="P67">
        <f t="shared" si="12"/>
        <v>5.8248523576297222E-2</v>
      </c>
      <c r="V67">
        <v>0.29999999999998</v>
      </c>
      <c r="W67">
        <f t="shared" si="9"/>
        <v>-0.50279799999999919</v>
      </c>
    </row>
    <row r="68" spans="1:23" x14ac:dyDescent="0.3">
      <c r="A68">
        <v>6.4773621559143066</v>
      </c>
      <c r="B68" s="1">
        <v>0.52889072895050049</v>
      </c>
      <c r="C68">
        <f t="shared" si="1"/>
        <v>3.425816792317903</v>
      </c>
      <c r="D68">
        <v>1.7899999999999999E-2</v>
      </c>
      <c r="E68">
        <v>2.5469999999999998E-3</v>
      </c>
      <c r="F68">
        <f t="shared" si="2"/>
        <v>1295.4724311828613</v>
      </c>
      <c r="G68">
        <f t="shared" si="3"/>
        <v>-0.52889072895050049</v>
      </c>
      <c r="H68">
        <f t="shared" si="4"/>
        <v>-685.16335846358061</v>
      </c>
      <c r="I68">
        <v>1</v>
      </c>
      <c r="J68">
        <f t="shared" si="5"/>
        <v>0.25887544034810084</v>
      </c>
      <c r="K68">
        <f t="shared" si="6"/>
        <v>-0.69283442282471697</v>
      </c>
      <c r="L68">
        <v>1</v>
      </c>
      <c r="M68">
        <f t="shared" si="7"/>
        <v>0.50104362628525001</v>
      </c>
      <c r="N68">
        <f t="shared" si="13"/>
        <v>0.11594478259086609</v>
      </c>
      <c r="O68">
        <f t="shared" si="11"/>
        <v>1.6497841411113736E-2</v>
      </c>
      <c r="P68">
        <f t="shared" si="12"/>
        <v>5.9348172537487129E-2</v>
      </c>
      <c r="V68">
        <v>0.39999999999997998</v>
      </c>
      <c r="W68">
        <f t="shared" si="9"/>
        <v>-0.50706399999999918</v>
      </c>
    </row>
    <row r="69" spans="1:23" x14ac:dyDescent="0.3">
      <c r="A69">
        <v>6.5775408744812012</v>
      </c>
      <c r="B69" s="1">
        <v>0.52522629499435425</v>
      </c>
      <c r="C69">
        <f t="shared" ref="C69:C132" si="14">A69*B69</f>
        <v>3.4546974236776862</v>
      </c>
      <c r="D69">
        <v>1.7899999999999999E-2</v>
      </c>
      <c r="E69">
        <v>2.5469999999999998E-3</v>
      </c>
      <c r="F69">
        <f t="shared" ref="F69:F132" si="15">A69*200</f>
        <v>1315.5081748962402</v>
      </c>
      <c r="G69">
        <f t="shared" ref="G69:G132" si="16">-B69</f>
        <v>-0.52522629499435425</v>
      </c>
      <c r="H69">
        <f t="shared" ref="H69:H132" si="17">-C69*200</f>
        <v>-690.93948473553723</v>
      </c>
      <c r="I69">
        <v>1</v>
      </c>
      <c r="J69">
        <f t="shared" ref="J69:J132" si="18">LN(F69/1000)</f>
        <v>0.27422303576718782</v>
      </c>
      <c r="K69">
        <f t="shared" ref="K69:K132" si="19">((-G69)-$N$2)</f>
        <v>-0.69649885678086321</v>
      </c>
      <c r="L69">
        <v>1</v>
      </c>
      <c r="M69">
        <f t="shared" ref="M69:M132" si="20">-1*($S$4+($S$5*J69))</f>
        <v>0.50169835470582824</v>
      </c>
      <c r="N69">
        <f t="shared" si="13"/>
        <v>0.1177379816532135</v>
      </c>
      <c r="O69">
        <f t="shared" si="11"/>
        <v>1.6752996607303616E-2</v>
      </c>
      <c r="P69">
        <f t="shared" si="12"/>
        <v>6.0309523814517846E-2</v>
      </c>
      <c r="V69">
        <v>0.49999999999998002</v>
      </c>
      <c r="W69">
        <f t="shared" ref="W69:W132" si="21">V69*$S$5+$S$4</f>
        <v>-0.51132999999999917</v>
      </c>
    </row>
    <row r="70" spans="1:23" x14ac:dyDescent="0.3">
      <c r="A70">
        <v>6.6769986152648926</v>
      </c>
      <c r="B70" s="1">
        <v>0.52148431539535522</v>
      </c>
      <c r="C70">
        <f t="shared" si="14"/>
        <v>3.4819500517771473</v>
      </c>
      <c r="D70">
        <v>1.7899999999999999E-2</v>
      </c>
      <c r="E70">
        <v>2.5469999999999998E-3</v>
      </c>
      <c r="F70">
        <f t="shared" si="15"/>
        <v>1335.3997230529785</v>
      </c>
      <c r="G70">
        <f t="shared" si="16"/>
        <v>-0.52148431539535522</v>
      </c>
      <c r="H70">
        <f t="shared" si="17"/>
        <v>-696.39001035542947</v>
      </c>
      <c r="I70">
        <v>1</v>
      </c>
      <c r="J70">
        <f t="shared" si="18"/>
        <v>0.28923066505279649</v>
      </c>
      <c r="K70">
        <f t="shared" si="19"/>
        <v>-0.70024083637986223</v>
      </c>
      <c r="L70">
        <v>1</v>
      </c>
      <c r="M70">
        <f t="shared" si="20"/>
        <v>0.50233858017115229</v>
      </c>
      <c r="N70">
        <f t="shared" si="13"/>
        <v>0.11951827521324157</v>
      </c>
      <c r="O70">
        <f t="shared" ref="O70:O133" si="22">E70*A70</f>
        <v>1.7006315473079681E-2</v>
      </c>
      <c r="P70">
        <f t="shared" ref="P70:P133" si="23">-K70-M70-N70-O70</f>
        <v>6.1377665522388686E-2</v>
      </c>
      <c r="V70">
        <v>0.59999999999997999</v>
      </c>
      <c r="W70">
        <f t="shared" si="21"/>
        <v>-0.51559599999999917</v>
      </c>
    </row>
    <row r="71" spans="1:23" x14ac:dyDescent="0.3">
      <c r="A71">
        <v>6.776456356048584</v>
      </c>
      <c r="B71" s="1">
        <v>0.51775223016738892</v>
      </c>
      <c r="C71">
        <f t="shared" si="14"/>
        <v>3.508525390976132</v>
      </c>
      <c r="D71">
        <v>1.7899999999999999E-2</v>
      </c>
      <c r="E71">
        <v>2.5469999999999998E-3</v>
      </c>
      <c r="F71">
        <f t="shared" si="15"/>
        <v>1355.2912712097168</v>
      </c>
      <c r="G71">
        <f t="shared" si="16"/>
        <v>-0.51775223016738892</v>
      </c>
      <c r="H71">
        <f t="shared" si="17"/>
        <v>-701.70507819522641</v>
      </c>
      <c r="I71">
        <v>1</v>
      </c>
      <c r="J71">
        <f t="shared" si="18"/>
        <v>0.30401639153338278</v>
      </c>
      <c r="K71">
        <f t="shared" si="19"/>
        <v>-0.70397292160782854</v>
      </c>
      <c r="L71">
        <v>1</v>
      </c>
      <c r="M71">
        <f t="shared" si="20"/>
        <v>0.50296933926281406</v>
      </c>
      <c r="N71">
        <f t="shared" ref="N71:N134" si="24">D71*A71</f>
        <v>0.12129856877326965</v>
      </c>
      <c r="O71">
        <f t="shared" si="22"/>
        <v>1.7259634338855741E-2</v>
      </c>
      <c r="P71">
        <f t="shared" si="23"/>
        <v>6.2445379232889078E-2</v>
      </c>
      <c r="V71">
        <v>0.69999999999997997</v>
      </c>
      <c r="W71">
        <f t="shared" si="21"/>
        <v>-0.51986199999999916</v>
      </c>
    </row>
    <row r="72" spans="1:23" x14ac:dyDescent="0.3">
      <c r="A72">
        <v>6.8751931190490723</v>
      </c>
      <c r="B72" s="1">
        <v>0.51399719715118408</v>
      </c>
      <c r="C72">
        <f t="shared" si="14"/>
        <v>3.5338299930643302</v>
      </c>
      <c r="D72">
        <v>1.7899999999999999E-2</v>
      </c>
      <c r="E72">
        <v>2.5469999999999998E-3</v>
      </c>
      <c r="F72">
        <f t="shared" si="15"/>
        <v>1375.0386238098145</v>
      </c>
      <c r="G72">
        <f t="shared" si="16"/>
        <v>-0.51399719715118408</v>
      </c>
      <c r="H72">
        <f t="shared" si="17"/>
        <v>-706.76599861286604</v>
      </c>
      <c r="I72">
        <v>1</v>
      </c>
      <c r="J72">
        <f t="shared" si="18"/>
        <v>0.31848182076751813</v>
      </c>
      <c r="K72">
        <f t="shared" si="19"/>
        <v>-0.70772795462403337</v>
      </c>
      <c r="L72">
        <v>1</v>
      </c>
      <c r="M72">
        <f t="shared" si="20"/>
        <v>0.50358643447394236</v>
      </c>
      <c r="N72">
        <f t="shared" si="24"/>
        <v>0.12306595683097839</v>
      </c>
      <c r="O72">
        <f t="shared" si="22"/>
        <v>1.7511116874217986E-2</v>
      </c>
      <c r="P72">
        <f t="shared" si="23"/>
        <v>6.3564446444894646E-2</v>
      </c>
      <c r="V72">
        <v>0.79999999999997995</v>
      </c>
      <c r="W72">
        <f t="shared" si="21"/>
        <v>-0.52412799999999915</v>
      </c>
    </row>
    <row r="73" spans="1:23" x14ac:dyDescent="0.3">
      <c r="A73">
        <v>6.9746508598327637</v>
      </c>
      <c r="B73" s="1">
        <v>0.51029658317565918</v>
      </c>
      <c r="C73">
        <f t="shared" si="14"/>
        <v>3.5591405026158327</v>
      </c>
      <c r="D73">
        <v>1.7899999999999999E-2</v>
      </c>
      <c r="E73">
        <v>2.5469999999999998E-3</v>
      </c>
      <c r="F73">
        <f t="shared" si="15"/>
        <v>1394.9301719665527</v>
      </c>
      <c r="G73">
        <f t="shared" si="16"/>
        <v>-0.51029658317565918</v>
      </c>
      <c r="H73">
        <f t="shared" si="17"/>
        <v>-711.82810052316654</v>
      </c>
      <c r="I73">
        <v>1</v>
      </c>
      <c r="J73">
        <f t="shared" si="18"/>
        <v>0.33284435808253371</v>
      </c>
      <c r="K73">
        <f t="shared" si="19"/>
        <v>-0.71142856859955828</v>
      </c>
      <c r="L73">
        <v>1</v>
      </c>
      <c r="M73">
        <f t="shared" si="20"/>
        <v>0.50419914031580093</v>
      </c>
      <c r="N73">
        <f t="shared" si="24"/>
        <v>0.12484625039100647</v>
      </c>
      <c r="O73">
        <f t="shared" si="22"/>
        <v>1.7764435739994047E-2</v>
      </c>
      <c r="P73">
        <f t="shared" si="23"/>
        <v>6.4618742152756828E-2</v>
      </c>
      <c r="V73">
        <v>0.89999999999998004</v>
      </c>
      <c r="W73">
        <f t="shared" si="21"/>
        <v>-0.52839399999999914</v>
      </c>
    </row>
    <row r="74" spans="1:23" x14ac:dyDescent="0.3">
      <c r="A74">
        <v>7.0769915580749512</v>
      </c>
      <c r="B74" s="1">
        <v>0.50656712055206299</v>
      </c>
      <c r="C74">
        <f t="shared" si="14"/>
        <v>3.5849712357452859</v>
      </c>
      <c r="D74">
        <v>1.7899999999999999E-2</v>
      </c>
      <c r="E74">
        <v>2.5469999999999998E-3</v>
      </c>
      <c r="F74">
        <f t="shared" si="15"/>
        <v>1415.3983116149902</v>
      </c>
      <c r="G74">
        <f t="shared" si="16"/>
        <v>-0.50656712055206299</v>
      </c>
      <c r="H74">
        <f t="shared" si="17"/>
        <v>-716.99424714905717</v>
      </c>
      <c r="I74">
        <v>1</v>
      </c>
      <c r="J74">
        <f t="shared" si="18"/>
        <v>0.34741098379108831</v>
      </c>
      <c r="K74">
        <f t="shared" si="19"/>
        <v>-0.71515803122315447</v>
      </c>
      <c r="L74">
        <v>1</v>
      </c>
      <c r="M74">
        <f t="shared" si="20"/>
        <v>0.50482055256852787</v>
      </c>
      <c r="N74">
        <f t="shared" si="24"/>
        <v>0.12667814888954163</v>
      </c>
      <c r="O74">
        <f t="shared" si="22"/>
        <v>1.8025097498416898E-2</v>
      </c>
      <c r="P74">
        <f t="shared" si="23"/>
        <v>6.5634232266668077E-2</v>
      </c>
      <c r="V74">
        <v>0.99999999999998002</v>
      </c>
      <c r="W74">
        <f t="shared" si="21"/>
        <v>-0.53265999999999913</v>
      </c>
    </row>
    <row r="75" spans="1:23" x14ac:dyDescent="0.3">
      <c r="A75">
        <v>7.1750078201293945</v>
      </c>
      <c r="B75" s="1">
        <v>0.50286483764648438</v>
      </c>
      <c r="C75">
        <f t="shared" si="14"/>
        <v>3.6080591425816237</v>
      </c>
      <c r="D75">
        <v>1.7899999999999999E-2</v>
      </c>
      <c r="E75">
        <v>2.5469999999999998E-3</v>
      </c>
      <c r="F75">
        <f t="shared" si="15"/>
        <v>1435.0015640258789</v>
      </c>
      <c r="G75">
        <f t="shared" si="16"/>
        <v>-0.50286483764648438</v>
      </c>
      <c r="H75">
        <f t="shared" si="17"/>
        <v>-721.61182851632475</v>
      </c>
      <c r="I75">
        <v>1</v>
      </c>
      <c r="J75">
        <f t="shared" si="18"/>
        <v>0.36116593912449491</v>
      </c>
      <c r="K75">
        <f t="shared" si="19"/>
        <v>-0.71886031412873308</v>
      </c>
      <c r="L75">
        <v>1</v>
      </c>
      <c r="M75">
        <f t="shared" si="20"/>
        <v>0.5054073389630509</v>
      </c>
      <c r="N75">
        <f t="shared" si="24"/>
        <v>0.12843263998031615</v>
      </c>
      <c r="O75">
        <f t="shared" si="22"/>
        <v>1.8274744917869568E-2</v>
      </c>
      <c r="P75">
        <f t="shared" si="23"/>
        <v>6.6745590267496463E-2</v>
      </c>
      <c r="V75">
        <v>1.0999999999999699</v>
      </c>
      <c r="W75">
        <f t="shared" si="21"/>
        <v>-0.53692599999999868</v>
      </c>
    </row>
    <row r="76" spans="1:23" x14ac:dyDescent="0.3">
      <c r="A76">
        <v>7.275907039642334</v>
      </c>
      <c r="B76" s="1">
        <v>0.49916157126426697</v>
      </c>
      <c r="C76">
        <f t="shared" si="14"/>
        <v>3.6318531902806086</v>
      </c>
      <c r="D76">
        <v>1.7899999999999999E-2</v>
      </c>
      <c r="E76">
        <v>2.5469999999999998E-3</v>
      </c>
      <c r="F76">
        <f t="shared" si="15"/>
        <v>1455.1814079284668</v>
      </c>
      <c r="G76">
        <f t="shared" si="16"/>
        <v>-0.49916157126426697</v>
      </c>
      <c r="H76">
        <f t="shared" si="17"/>
        <v>-726.37063805612172</v>
      </c>
      <c r="I76">
        <v>1</v>
      </c>
      <c r="J76">
        <f t="shared" si="18"/>
        <v>0.37513057184031373</v>
      </c>
      <c r="K76">
        <f t="shared" si="19"/>
        <v>-0.72256358051095049</v>
      </c>
      <c r="L76">
        <v>1</v>
      </c>
      <c r="M76">
        <f t="shared" si="20"/>
        <v>0.5060030701947078</v>
      </c>
      <c r="N76">
        <f t="shared" si="24"/>
        <v>0.13023873600959776</v>
      </c>
      <c r="O76">
        <f t="shared" si="22"/>
        <v>1.8531735229969024E-2</v>
      </c>
      <c r="P76">
        <f t="shared" si="23"/>
        <v>6.7790039076675898E-2</v>
      </c>
      <c r="V76">
        <v>1.19999999999997</v>
      </c>
      <c r="W76">
        <f t="shared" si="21"/>
        <v>-0.54119199999999867</v>
      </c>
    </row>
    <row r="77" spans="1:23" x14ac:dyDescent="0.3">
      <c r="A77">
        <v>7.3732028007507324</v>
      </c>
      <c r="B77" s="1">
        <v>0.49549153447151184</v>
      </c>
      <c r="C77">
        <f t="shared" si="14"/>
        <v>3.6533595697136292</v>
      </c>
      <c r="D77">
        <v>1.7899999999999999E-2</v>
      </c>
      <c r="E77">
        <v>2.5469999999999998E-3</v>
      </c>
      <c r="F77">
        <f t="shared" si="15"/>
        <v>1474.6405601501465</v>
      </c>
      <c r="G77">
        <f t="shared" si="16"/>
        <v>-0.49549153447151184</v>
      </c>
      <c r="H77">
        <f t="shared" si="17"/>
        <v>-730.67191394272584</v>
      </c>
      <c r="I77">
        <v>1</v>
      </c>
      <c r="J77">
        <f t="shared" si="18"/>
        <v>0.38841427206123064</v>
      </c>
      <c r="K77">
        <f t="shared" si="19"/>
        <v>-0.72623361730370561</v>
      </c>
      <c r="L77">
        <v>1</v>
      </c>
      <c r="M77">
        <f t="shared" si="20"/>
        <v>0.50656975284613204</v>
      </c>
      <c r="N77">
        <f t="shared" si="24"/>
        <v>0.1319803301334381</v>
      </c>
      <c r="O77">
        <f t="shared" si="22"/>
        <v>1.8779547533512114E-2</v>
      </c>
      <c r="P77">
        <f t="shared" si="23"/>
        <v>6.8903986790623359E-2</v>
      </c>
      <c r="V77">
        <v>1.2999999999999701</v>
      </c>
      <c r="W77">
        <f t="shared" si="21"/>
        <v>-0.54545799999999867</v>
      </c>
    </row>
    <row r="78" spans="1:23" x14ac:dyDescent="0.3">
      <c r="A78">
        <v>7.4748225212097168</v>
      </c>
      <c r="B78" s="1">
        <v>0.49175387620925903</v>
      </c>
      <c r="C78">
        <f t="shared" si="14"/>
        <v>3.6757729487811446</v>
      </c>
      <c r="D78">
        <v>1.7899999999999999E-2</v>
      </c>
      <c r="E78">
        <v>2.5469999999999998E-3</v>
      </c>
      <c r="F78">
        <f t="shared" si="15"/>
        <v>1494.9645042419434</v>
      </c>
      <c r="G78">
        <f t="shared" si="16"/>
        <v>-0.49175387620925903</v>
      </c>
      <c r="H78">
        <f t="shared" si="17"/>
        <v>-735.15458975622892</v>
      </c>
      <c r="I78">
        <v>1</v>
      </c>
      <c r="J78">
        <f t="shared" si="18"/>
        <v>0.40210246357880297</v>
      </c>
      <c r="K78">
        <f t="shared" si="19"/>
        <v>-0.72997127556595842</v>
      </c>
      <c r="L78">
        <v>1</v>
      </c>
      <c r="M78">
        <f t="shared" si="20"/>
        <v>0.50715369109627173</v>
      </c>
      <c r="N78">
        <f t="shared" si="24"/>
        <v>0.13379932312965392</v>
      </c>
      <c r="O78">
        <f t="shared" si="22"/>
        <v>1.9038372961521149E-2</v>
      </c>
      <c r="P78">
        <f t="shared" si="23"/>
        <v>6.9979888378511615E-2</v>
      </c>
      <c r="V78">
        <v>1.3999999999999699</v>
      </c>
      <c r="W78">
        <f t="shared" si="21"/>
        <v>-0.54972399999999866</v>
      </c>
    </row>
    <row r="79" spans="1:23" x14ac:dyDescent="0.3">
      <c r="A79">
        <v>7.5728387832641602</v>
      </c>
      <c r="B79" s="1">
        <v>0.48801997303962708</v>
      </c>
      <c r="C79">
        <f t="shared" si="14"/>
        <v>3.6956965788420177</v>
      </c>
      <c r="D79">
        <v>1.7899999999999999E-2</v>
      </c>
      <c r="E79">
        <v>2.5469999999999998E-3</v>
      </c>
      <c r="F79">
        <f t="shared" si="15"/>
        <v>1514.567756652832</v>
      </c>
      <c r="G79">
        <f t="shared" si="16"/>
        <v>-0.48801997303962708</v>
      </c>
      <c r="H79">
        <f t="shared" si="17"/>
        <v>-739.13931576840355</v>
      </c>
      <c r="I79">
        <v>1</v>
      </c>
      <c r="J79">
        <f t="shared" si="18"/>
        <v>0.41513008911289168</v>
      </c>
      <c r="K79">
        <f t="shared" si="19"/>
        <v>-0.73370517873559038</v>
      </c>
      <c r="L79">
        <v>1</v>
      </c>
      <c r="M79">
        <f t="shared" si="20"/>
        <v>0.50770944960155595</v>
      </c>
      <c r="N79">
        <f t="shared" si="24"/>
        <v>0.13555381422042845</v>
      </c>
      <c r="O79">
        <f t="shared" si="22"/>
        <v>1.9288020380973814E-2</v>
      </c>
      <c r="P79">
        <f t="shared" si="23"/>
        <v>7.115389453263217E-2</v>
      </c>
      <c r="V79">
        <v>1.49999999999997</v>
      </c>
      <c r="W79">
        <f t="shared" si="21"/>
        <v>-0.55398999999999865</v>
      </c>
    </row>
    <row r="80" spans="1:23" x14ac:dyDescent="0.3">
      <c r="A80">
        <v>7.6730175018310547</v>
      </c>
      <c r="B80" s="1">
        <v>0.48434415459632874</v>
      </c>
      <c r="C80">
        <f t="shared" si="14"/>
        <v>3.7163811751271965</v>
      </c>
      <c r="D80">
        <v>1.7899999999999999E-2</v>
      </c>
      <c r="E80">
        <v>2.5469999999999998E-3</v>
      </c>
      <c r="F80">
        <f t="shared" si="15"/>
        <v>1534.6035003662109</v>
      </c>
      <c r="G80">
        <f t="shared" si="16"/>
        <v>-0.48434415459632874</v>
      </c>
      <c r="H80">
        <f t="shared" si="17"/>
        <v>-743.27623502543929</v>
      </c>
      <c r="I80">
        <v>1</v>
      </c>
      <c r="J80">
        <f t="shared" si="18"/>
        <v>0.42827204172208122</v>
      </c>
      <c r="K80">
        <f t="shared" si="19"/>
        <v>-0.73738099717888872</v>
      </c>
      <c r="L80">
        <v>1</v>
      </c>
      <c r="M80">
        <f t="shared" si="20"/>
        <v>0.50827008529986395</v>
      </c>
      <c r="N80">
        <f t="shared" si="24"/>
        <v>0.13734701328277588</v>
      </c>
      <c r="O80">
        <f t="shared" si="22"/>
        <v>1.9543175577163695E-2</v>
      </c>
      <c r="P80">
        <f t="shared" si="23"/>
        <v>7.2220723019085192E-2</v>
      </c>
      <c r="V80">
        <v>1.5999999999999699</v>
      </c>
      <c r="W80">
        <f t="shared" si="21"/>
        <v>-0.55825599999999875</v>
      </c>
    </row>
    <row r="81" spans="1:23" x14ac:dyDescent="0.3">
      <c r="A81">
        <v>7.771754264831543</v>
      </c>
      <c r="B81" s="1">
        <v>0.48058679699897766</v>
      </c>
      <c r="C81">
        <f t="shared" si="14"/>
        <v>3.7350024891985356</v>
      </c>
      <c r="D81">
        <v>1.7899999999999999E-2</v>
      </c>
      <c r="E81">
        <v>2.5469999999999998E-3</v>
      </c>
      <c r="F81">
        <f t="shared" si="15"/>
        <v>1554.3508529663086</v>
      </c>
      <c r="G81">
        <f t="shared" si="16"/>
        <v>-0.48058679699897766</v>
      </c>
      <c r="H81">
        <f t="shared" si="17"/>
        <v>-747.00049783970712</v>
      </c>
      <c r="I81">
        <v>1</v>
      </c>
      <c r="J81">
        <f t="shared" si="18"/>
        <v>0.44105800057191064</v>
      </c>
      <c r="K81">
        <f t="shared" si="19"/>
        <v>-0.74113835477623979</v>
      </c>
      <c r="L81">
        <v>1</v>
      </c>
      <c r="M81">
        <f t="shared" si="20"/>
        <v>0.50881553430439774</v>
      </c>
      <c r="N81">
        <f t="shared" si="24"/>
        <v>0.13911440134048461</v>
      </c>
      <c r="O81">
        <f t="shared" si="22"/>
        <v>1.979465811252594E-2</v>
      </c>
      <c r="P81">
        <f t="shared" si="23"/>
        <v>7.34137610188315E-2</v>
      </c>
      <c r="V81">
        <v>1.69999999999997</v>
      </c>
      <c r="W81">
        <f t="shared" si="21"/>
        <v>-0.56252199999999875</v>
      </c>
    </row>
    <row r="82" spans="1:23" x14ac:dyDescent="0.3">
      <c r="A82">
        <v>7.8733744621276855</v>
      </c>
      <c r="B82" s="1">
        <v>0.47691506147384644</v>
      </c>
      <c r="C82">
        <f t="shared" si="14"/>
        <v>3.7549308656122378</v>
      </c>
      <c r="D82">
        <v>1.7899999999999999E-2</v>
      </c>
      <c r="E82">
        <v>2.5469999999999998E-3</v>
      </c>
      <c r="F82">
        <f t="shared" si="15"/>
        <v>1574.6748924255371</v>
      </c>
      <c r="G82">
        <f t="shared" si="16"/>
        <v>-0.47691506147384644</v>
      </c>
      <c r="H82">
        <f t="shared" si="17"/>
        <v>-750.98617312244755</v>
      </c>
      <c r="I82">
        <v>1</v>
      </c>
      <c r="J82">
        <f t="shared" si="18"/>
        <v>0.45404883346297509</v>
      </c>
      <c r="K82">
        <f t="shared" si="19"/>
        <v>-0.74481009030137102</v>
      </c>
      <c r="L82">
        <v>1</v>
      </c>
      <c r="M82">
        <f t="shared" si="20"/>
        <v>0.50936972323553054</v>
      </c>
      <c r="N82">
        <f t="shared" si="24"/>
        <v>0.14093340287208556</v>
      </c>
      <c r="O82">
        <f t="shared" si="22"/>
        <v>2.0053484755039215E-2</v>
      </c>
      <c r="P82">
        <f t="shared" si="23"/>
        <v>7.4453479438715719E-2</v>
      </c>
      <c r="V82">
        <v>1.7999999999999701</v>
      </c>
      <c r="W82">
        <f t="shared" si="21"/>
        <v>-0.56678799999999874</v>
      </c>
    </row>
    <row r="83" spans="1:23" x14ac:dyDescent="0.3">
      <c r="A83">
        <v>7.972832202911377</v>
      </c>
      <c r="B83" s="1">
        <v>0.47321140766143799</v>
      </c>
      <c r="C83">
        <f t="shared" si="14"/>
        <v>3.7728351497881363</v>
      </c>
      <c r="D83">
        <v>1.7899999999999999E-2</v>
      </c>
      <c r="E83">
        <v>2.5469999999999998E-3</v>
      </c>
      <c r="F83">
        <f t="shared" si="15"/>
        <v>1594.5664405822754</v>
      </c>
      <c r="G83">
        <f t="shared" si="16"/>
        <v>-0.47321140766143799</v>
      </c>
      <c r="H83">
        <f t="shared" si="17"/>
        <v>-754.56702995762726</v>
      </c>
      <c r="I83">
        <v>1</v>
      </c>
      <c r="J83">
        <f t="shared" si="18"/>
        <v>0.466601875199597</v>
      </c>
      <c r="K83">
        <f t="shared" si="19"/>
        <v>-0.74851374411377947</v>
      </c>
      <c r="L83">
        <v>1</v>
      </c>
      <c r="M83">
        <f t="shared" si="20"/>
        <v>0.50990523599601478</v>
      </c>
      <c r="N83">
        <f t="shared" si="24"/>
        <v>0.14271369643211365</v>
      </c>
      <c r="O83">
        <f t="shared" si="22"/>
        <v>2.0306803620815276E-2</v>
      </c>
      <c r="P83">
        <f t="shared" si="23"/>
        <v>7.558800806483576E-2</v>
      </c>
      <c r="V83">
        <v>1.8999999999999699</v>
      </c>
      <c r="W83">
        <f t="shared" si="21"/>
        <v>-0.57105399999999873</v>
      </c>
    </row>
    <row r="84" spans="1:23" x14ac:dyDescent="0.3">
      <c r="A84">
        <v>8.0715694427490234</v>
      </c>
      <c r="B84" s="1">
        <v>0.46952086687088013</v>
      </c>
      <c r="C84">
        <f t="shared" si="14"/>
        <v>3.7897702817680283</v>
      </c>
      <c r="D84">
        <v>1.7899999999999999E-2</v>
      </c>
      <c r="E84">
        <v>2.5469999999999998E-3</v>
      </c>
      <c r="F84">
        <f t="shared" si="15"/>
        <v>1614.3138885498047</v>
      </c>
      <c r="G84">
        <f t="shared" si="16"/>
        <v>-0.46952086687088013</v>
      </c>
      <c r="H84">
        <f t="shared" si="17"/>
        <v>-757.95405635360567</v>
      </c>
      <c r="I84">
        <v>1</v>
      </c>
      <c r="J84">
        <f t="shared" si="18"/>
        <v>0.47891002959462814</v>
      </c>
      <c r="K84">
        <f t="shared" si="19"/>
        <v>-0.75220428490433733</v>
      </c>
      <c r="L84">
        <v>1</v>
      </c>
      <c r="M84">
        <f t="shared" si="20"/>
        <v>0.51043030186250682</v>
      </c>
      <c r="N84">
        <f t="shared" si="24"/>
        <v>0.14448109302520751</v>
      </c>
      <c r="O84">
        <f t="shared" si="22"/>
        <v>2.0558287370681761E-2</v>
      </c>
      <c r="P84">
        <f t="shared" si="23"/>
        <v>7.6734602645941244E-2</v>
      </c>
      <c r="V84">
        <v>1.99999999999997</v>
      </c>
      <c r="W84">
        <f t="shared" si="21"/>
        <v>-0.57531999999999872</v>
      </c>
    </row>
    <row r="85" spans="1:23" x14ac:dyDescent="0.3">
      <c r="A85">
        <v>8.1710271835327148</v>
      </c>
      <c r="B85" s="1">
        <v>0.46576538681983948</v>
      </c>
      <c r="C85">
        <f t="shared" si="14"/>
        <v>3.8057816368535384</v>
      </c>
      <c r="D85">
        <v>1.7899999999999999E-2</v>
      </c>
      <c r="E85">
        <v>2.5469999999999998E-3</v>
      </c>
      <c r="F85">
        <f t="shared" si="15"/>
        <v>1634.205436706543</v>
      </c>
      <c r="G85">
        <f t="shared" si="16"/>
        <v>-0.46576538681983948</v>
      </c>
      <c r="H85">
        <f t="shared" si="17"/>
        <v>-761.15632737070769</v>
      </c>
      <c r="I85">
        <v>1</v>
      </c>
      <c r="J85">
        <f t="shared" si="18"/>
        <v>0.49115671479352174</v>
      </c>
      <c r="K85">
        <f t="shared" si="19"/>
        <v>-0.75595976495537798</v>
      </c>
      <c r="L85">
        <v>1</v>
      </c>
      <c r="M85">
        <f t="shared" si="20"/>
        <v>0.51095274545309166</v>
      </c>
      <c r="N85">
        <f t="shared" si="24"/>
        <v>0.1462613865852356</v>
      </c>
      <c r="O85">
        <f t="shared" si="22"/>
        <v>2.0811606236457822E-2</v>
      </c>
      <c r="P85">
        <f t="shared" si="23"/>
        <v>7.7934026680592891E-2</v>
      </c>
      <c r="V85">
        <v>2.0999999999999699</v>
      </c>
      <c r="W85">
        <f t="shared" si="21"/>
        <v>-0.57958599999999871</v>
      </c>
    </row>
    <row r="86" spans="1:23" x14ac:dyDescent="0.3">
      <c r="A86">
        <v>8.2704849243164063</v>
      </c>
      <c r="B86" s="1">
        <v>0.46202567219734192</v>
      </c>
      <c r="C86">
        <f t="shared" si="14"/>
        <v>3.8211763565552701</v>
      </c>
      <c r="D86">
        <v>1.7899999999999999E-2</v>
      </c>
      <c r="E86">
        <v>2.5469999999999998E-3</v>
      </c>
      <c r="F86">
        <f t="shared" si="15"/>
        <v>1654.0969848632813</v>
      </c>
      <c r="G86">
        <f t="shared" si="16"/>
        <v>-0.46202567219734192</v>
      </c>
      <c r="H86">
        <f t="shared" si="17"/>
        <v>-764.23527131105402</v>
      </c>
      <c r="I86">
        <v>1</v>
      </c>
      <c r="J86">
        <f t="shared" si="18"/>
        <v>0.50325523143823669</v>
      </c>
      <c r="K86">
        <f t="shared" si="19"/>
        <v>-0.75969947957787554</v>
      </c>
      <c r="L86">
        <v>1</v>
      </c>
      <c r="M86">
        <f t="shared" si="20"/>
        <v>0.51146886817315518</v>
      </c>
      <c r="N86">
        <f t="shared" si="24"/>
        <v>0.14804168014526367</v>
      </c>
      <c r="O86">
        <f t="shared" si="22"/>
        <v>2.1064925102233886E-2</v>
      </c>
      <c r="P86">
        <f t="shared" si="23"/>
        <v>7.9124006157222801E-2</v>
      </c>
      <c r="V86">
        <v>2.19999999999997</v>
      </c>
      <c r="W86">
        <f t="shared" si="21"/>
        <v>-0.58385199999999871</v>
      </c>
    </row>
    <row r="87" spans="1:23" x14ac:dyDescent="0.3">
      <c r="A87">
        <v>8.3706626892089844</v>
      </c>
      <c r="B87" s="1">
        <v>0.45839160680770874</v>
      </c>
      <c r="C87">
        <f t="shared" si="14"/>
        <v>3.8370415201518426</v>
      </c>
      <c r="D87">
        <v>1.7899999999999999E-2</v>
      </c>
      <c r="E87">
        <v>2.5469999999999998E-3</v>
      </c>
      <c r="F87">
        <f t="shared" si="15"/>
        <v>1674.1325378417969</v>
      </c>
      <c r="G87">
        <f t="shared" si="16"/>
        <v>-0.45839160680770874</v>
      </c>
      <c r="H87">
        <f t="shared" si="17"/>
        <v>-767.40830403036853</v>
      </c>
      <c r="I87">
        <v>1</v>
      </c>
      <c r="J87">
        <f t="shared" si="18"/>
        <v>0.515295143271152</v>
      </c>
      <c r="K87">
        <f t="shared" si="19"/>
        <v>-0.76333354496750871</v>
      </c>
      <c r="L87">
        <v>1</v>
      </c>
      <c r="M87">
        <f t="shared" si="20"/>
        <v>0.51198249081194735</v>
      </c>
      <c r="N87">
        <f t="shared" si="24"/>
        <v>0.1498348621368408</v>
      </c>
      <c r="O87">
        <f t="shared" si="22"/>
        <v>2.1320077869415283E-2</v>
      </c>
      <c r="P87">
        <f t="shared" si="23"/>
        <v>8.0196114149305275E-2</v>
      </c>
      <c r="V87">
        <v>2.2999999999999701</v>
      </c>
      <c r="W87">
        <f t="shared" si="21"/>
        <v>-0.5881179999999987</v>
      </c>
    </row>
    <row r="88" spans="1:23" x14ac:dyDescent="0.3">
      <c r="A88">
        <v>8.4701204299926758</v>
      </c>
      <c r="B88" s="1">
        <v>0.45462608337402344</v>
      </c>
      <c r="C88">
        <f t="shared" si="14"/>
        <v>3.8507376767938695</v>
      </c>
      <c r="D88">
        <v>1.7899999999999999E-2</v>
      </c>
      <c r="E88">
        <v>2.5469999999999998E-3</v>
      </c>
      <c r="F88">
        <f t="shared" si="15"/>
        <v>1694.0240859985352</v>
      </c>
      <c r="G88">
        <f t="shared" si="16"/>
        <v>-0.45462608337402344</v>
      </c>
      <c r="H88">
        <f t="shared" si="17"/>
        <v>-770.14753535877389</v>
      </c>
      <c r="I88">
        <v>1</v>
      </c>
      <c r="J88">
        <f t="shared" si="18"/>
        <v>0.52710681454586283</v>
      </c>
      <c r="K88">
        <f t="shared" si="19"/>
        <v>-0.76709906840119402</v>
      </c>
      <c r="L88">
        <v>1</v>
      </c>
      <c r="M88">
        <f t="shared" si="20"/>
        <v>0.51248637670852648</v>
      </c>
      <c r="N88">
        <f t="shared" si="24"/>
        <v>0.1516151556968689</v>
      </c>
      <c r="O88">
        <f t="shared" si="22"/>
        <v>2.1573396735191343E-2</v>
      </c>
      <c r="P88">
        <f t="shared" si="23"/>
        <v>8.1424139260607292E-2</v>
      </c>
      <c r="V88">
        <v>2.3999999999999702</v>
      </c>
      <c r="W88">
        <f t="shared" si="21"/>
        <v>-0.59238399999999869</v>
      </c>
    </row>
    <row r="89" spans="1:23" x14ac:dyDescent="0.3">
      <c r="A89">
        <v>8.5688581466674805</v>
      </c>
      <c r="B89" s="1">
        <v>0.45093408226966858</v>
      </c>
      <c r="C89">
        <f t="shared" si="14"/>
        <v>3.8639901844664735</v>
      </c>
      <c r="D89">
        <v>1.7899999999999999E-2</v>
      </c>
      <c r="E89">
        <v>2.5469999999999998E-3</v>
      </c>
      <c r="F89">
        <f t="shared" si="15"/>
        <v>1713.7716293334961</v>
      </c>
      <c r="G89">
        <f t="shared" si="16"/>
        <v>-0.45093408226966858</v>
      </c>
      <c r="H89">
        <f t="shared" si="17"/>
        <v>-772.79803689329469</v>
      </c>
      <c r="I89">
        <v>1</v>
      </c>
      <c r="J89">
        <f t="shared" si="18"/>
        <v>0.53869657287002815</v>
      </c>
      <c r="K89">
        <f t="shared" si="19"/>
        <v>-0.77079106950554888</v>
      </c>
      <c r="L89">
        <v>1</v>
      </c>
      <c r="M89">
        <f t="shared" si="20"/>
        <v>0.51298079579863542</v>
      </c>
      <c r="N89">
        <f t="shared" si="24"/>
        <v>0.1533825608253479</v>
      </c>
      <c r="O89">
        <f t="shared" si="22"/>
        <v>2.1824881699562072E-2</v>
      </c>
      <c r="P89">
        <f t="shared" si="23"/>
        <v>8.2602831182003483E-2</v>
      </c>
      <c r="V89">
        <v>2.4999999999999698</v>
      </c>
      <c r="W89">
        <f t="shared" si="21"/>
        <v>-0.59664999999999868</v>
      </c>
    </row>
    <row r="90" spans="1:23" x14ac:dyDescent="0.3">
      <c r="A90">
        <v>8.6697568893432617</v>
      </c>
      <c r="B90" s="1">
        <v>0.44722983241081238</v>
      </c>
      <c r="C90">
        <f t="shared" si="14"/>
        <v>3.877373920663473</v>
      </c>
      <c r="D90">
        <v>1.7899999999999999E-2</v>
      </c>
      <c r="E90">
        <v>2.5469999999999998E-3</v>
      </c>
      <c r="F90">
        <f t="shared" si="15"/>
        <v>1733.9513778686523</v>
      </c>
      <c r="G90">
        <f t="shared" si="16"/>
        <v>-0.44722983241081238</v>
      </c>
      <c r="H90">
        <f t="shared" si="17"/>
        <v>-775.47478413269459</v>
      </c>
      <c r="I90">
        <v>1</v>
      </c>
      <c r="J90">
        <f t="shared" si="18"/>
        <v>0.55040283752037233</v>
      </c>
      <c r="K90">
        <f t="shared" si="19"/>
        <v>-0.77449531936440508</v>
      </c>
      <c r="L90">
        <v>1</v>
      </c>
      <c r="M90">
        <f t="shared" si="20"/>
        <v>0.51348018504861903</v>
      </c>
      <c r="N90">
        <f t="shared" si="24"/>
        <v>0.15518864831924437</v>
      </c>
      <c r="O90">
        <f t="shared" si="22"/>
        <v>2.2081870797157285E-2</v>
      </c>
      <c r="P90">
        <f t="shared" si="23"/>
        <v>8.3744615199384392E-2</v>
      </c>
      <c r="V90">
        <v>2.5999999999999699</v>
      </c>
      <c r="W90">
        <f t="shared" si="21"/>
        <v>-0.60091599999999867</v>
      </c>
    </row>
    <row r="91" spans="1:23" x14ac:dyDescent="0.3">
      <c r="A91">
        <v>8.7692146301269531</v>
      </c>
      <c r="B91" s="1">
        <v>0.44348722696304321</v>
      </c>
      <c r="C91">
        <f t="shared" si="14"/>
        <v>3.8890346789587511</v>
      </c>
      <c r="D91">
        <v>1.7899999999999999E-2</v>
      </c>
      <c r="E91">
        <v>2.5469999999999998E-3</v>
      </c>
      <c r="F91">
        <f t="shared" si="15"/>
        <v>1753.8429260253906</v>
      </c>
      <c r="G91">
        <f t="shared" si="16"/>
        <v>-0.44348722696304321</v>
      </c>
      <c r="H91">
        <f t="shared" si="17"/>
        <v>-777.80693579175022</v>
      </c>
      <c r="I91">
        <v>1</v>
      </c>
      <c r="J91">
        <f t="shared" si="18"/>
        <v>0.56180933807304545</v>
      </c>
      <c r="K91">
        <f t="shared" si="19"/>
        <v>-0.77823792481217424</v>
      </c>
      <c r="L91">
        <v>1</v>
      </c>
      <c r="M91">
        <f t="shared" si="20"/>
        <v>0.51396678636219606</v>
      </c>
      <c r="N91">
        <f t="shared" si="24"/>
        <v>0.15696894187927246</v>
      </c>
      <c r="O91">
        <f t="shared" si="22"/>
        <v>2.2335189662933349E-2</v>
      </c>
      <c r="P91">
        <f t="shared" si="23"/>
        <v>8.4967006907772369E-2</v>
      </c>
      <c r="V91">
        <v>2.69999999999997</v>
      </c>
      <c r="W91">
        <f t="shared" si="21"/>
        <v>-0.60518199999999867</v>
      </c>
    </row>
    <row r="92" spans="1:23" x14ac:dyDescent="0.3">
      <c r="A92">
        <v>8.8701143264770508</v>
      </c>
      <c r="B92" s="1">
        <v>0.4396510124206543</v>
      </c>
      <c r="C92">
        <f t="shared" si="14"/>
        <v>3.8997547439225855</v>
      </c>
      <c r="D92">
        <v>1.7899999999999999E-2</v>
      </c>
      <c r="E92">
        <v>2.5469999999999998E-3</v>
      </c>
      <c r="F92">
        <f t="shared" si="15"/>
        <v>1774.0228652954102</v>
      </c>
      <c r="G92">
        <f t="shared" si="16"/>
        <v>-0.4396510124206543</v>
      </c>
      <c r="H92">
        <f t="shared" si="17"/>
        <v>-779.9509487845171</v>
      </c>
      <c r="I92">
        <v>1</v>
      </c>
      <c r="J92">
        <f t="shared" si="18"/>
        <v>0.5732497729223679</v>
      </c>
      <c r="K92">
        <f t="shared" si="19"/>
        <v>-0.78207413935456316</v>
      </c>
      <c r="L92">
        <v>1</v>
      </c>
      <c r="M92">
        <f t="shared" si="20"/>
        <v>0.51445483531286818</v>
      </c>
      <c r="N92">
        <f t="shared" si="24"/>
        <v>0.15877504644393919</v>
      </c>
      <c r="O92">
        <f t="shared" si="22"/>
        <v>2.2592181189537045E-2</v>
      </c>
      <c r="P92">
        <f t="shared" si="23"/>
        <v>8.6252076408218747E-2</v>
      </c>
      <c r="V92">
        <v>2.7999999999999701</v>
      </c>
      <c r="W92">
        <f t="shared" si="21"/>
        <v>-0.60944799999999866</v>
      </c>
    </row>
    <row r="93" spans="1:23" x14ac:dyDescent="0.3">
      <c r="A93">
        <v>8.9688510894775391</v>
      </c>
      <c r="B93" s="1">
        <v>0.43601417541503906</v>
      </c>
      <c r="C93">
        <f t="shared" si="14"/>
        <v>3.9105462121988239</v>
      </c>
      <c r="D93">
        <v>1.7899999999999999E-2</v>
      </c>
      <c r="E93">
        <v>2.5469999999999998E-3</v>
      </c>
      <c r="F93">
        <f t="shared" si="15"/>
        <v>1793.7702178955078</v>
      </c>
      <c r="G93">
        <f t="shared" si="16"/>
        <v>-0.43601417541503906</v>
      </c>
      <c r="H93">
        <f t="shared" si="17"/>
        <v>-782.10924243976478</v>
      </c>
      <c r="I93">
        <v>1</v>
      </c>
      <c r="J93">
        <f t="shared" si="18"/>
        <v>0.584319671762905</v>
      </c>
      <c r="K93">
        <f t="shared" si="19"/>
        <v>-0.78571097636017839</v>
      </c>
      <c r="L93">
        <v>1</v>
      </c>
      <c r="M93">
        <f t="shared" si="20"/>
        <v>0.51492707719740549</v>
      </c>
      <c r="N93">
        <f t="shared" si="24"/>
        <v>0.16054243450164793</v>
      </c>
      <c r="O93">
        <f t="shared" si="22"/>
        <v>2.284366372489929E-2</v>
      </c>
      <c r="P93">
        <f t="shared" si="23"/>
        <v>8.7397800936225678E-2</v>
      </c>
      <c r="V93">
        <v>2.8999999999999702</v>
      </c>
      <c r="W93">
        <f t="shared" si="21"/>
        <v>-0.61371399999999876</v>
      </c>
    </row>
    <row r="94" spans="1:23" x14ac:dyDescent="0.3">
      <c r="A94">
        <v>9.0675878524780273</v>
      </c>
      <c r="B94" s="1">
        <v>0.43236246705055237</v>
      </c>
      <c r="C94">
        <f t="shared" si="14"/>
        <v>3.92048465409502</v>
      </c>
      <c r="D94">
        <v>1.7899999999999999E-2</v>
      </c>
      <c r="E94">
        <v>2.5469999999999998E-3</v>
      </c>
      <c r="F94">
        <f t="shared" si="15"/>
        <v>1813.5175704956055</v>
      </c>
      <c r="G94">
        <f t="shared" si="16"/>
        <v>-0.43236246705055237</v>
      </c>
      <c r="H94">
        <f t="shared" si="17"/>
        <v>-784.096930819004</v>
      </c>
      <c r="I94">
        <v>1</v>
      </c>
      <c r="J94">
        <f t="shared" si="18"/>
        <v>0.59526836841492436</v>
      </c>
      <c r="K94">
        <f t="shared" si="19"/>
        <v>-0.78936268472466509</v>
      </c>
      <c r="L94">
        <v>1</v>
      </c>
      <c r="M94">
        <f t="shared" si="20"/>
        <v>0.51539414859658061</v>
      </c>
      <c r="N94">
        <f t="shared" si="24"/>
        <v>0.16230982255935669</v>
      </c>
      <c r="O94">
        <f t="shared" si="22"/>
        <v>2.3095146260261535E-2</v>
      </c>
      <c r="P94">
        <f t="shared" si="23"/>
        <v>8.8563567308466248E-2</v>
      </c>
      <c r="V94">
        <v>2.9999999999999698</v>
      </c>
      <c r="W94">
        <f t="shared" si="21"/>
        <v>-0.61797999999999864</v>
      </c>
    </row>
    <row r="95" spans="1:23" x14ac:dyDescent="0.3">
      <c r="A95">
        <v>9.168487548828125</v>
      </c>
      <c r="B95" s="1">
        <v>0.4286760687828064</v>
      </c>
      <c r="C95">
        <f t="shared" si="14"/>
        <v>3.9303111991157493</v>
      </c>
      <c r="D95">
        <v>1.7899999999999999E-2</v>
      </c>
      <c r="E95">
        <v>2.5469999999999998E-3</v>
      </c>
      <c r="F95">
        <f t="shared" si="15"/>
        <v>1833.697509765625</v>
      </c>
      <c r="G95">
        <f t="shared" si="16"/>
        <v>-0.4286760687828064</v>
      </c>
      <c r="H95">
        <f t="shared" si="17"/>
        <v>-786.06223982314987</v>
      </c>
      <c r="I95">
        <v>1</v>
      </c>
      <c r="J95">
        <f t="shared" si="18"/>
        <v>0.60633442553400818</v>
      </c>
      <c r="K95">
        <f t="shared" si="19"/>
        <v>-0.79304908299241106</v>
      </c>
      <c r="L95">
        <v>1</v>
      </c>
      <c r="M95">
        <f t="shared" si="20"/>
        <v>0.51586622659328074</v>
      </c>
      <c r="N95">
        <f t="shared" si="24"/>
        <v>0.16411592712402343</v>
      </c>
      <c r="O95">
        <f t="shared" si="22"/>
        <v>2.3352137786865231E-2</v>
      </c>
      <c r="P95">
        <f t="shared" si="23"/>
        <v>8.9714791488241658E-2</v>
      </c>
      <c r="V95">
        <v>3.0999999999999699</v>
      </c>
      <c r="W95">
        <f t="shared" si="21"/>
        <v>-0.62224599999999874</v>
      </c>
    </row>
    <row r="96" spans="1:23" x14ac:dyDescent="0.3">
      <c r="A96">
        <v>9.2679452896118164</v>
      </c>
      <c r="B96" s="1">
        <v>0.42480173707008362</v>
      </c>
      <c r="C96">
        <f t="shared" si="14"/>
        <v>3.9370392580975988</v>
      </c>
      <c r="D96">
        <v>1.7899999999999999E-2</v>
      </c>
      <c r="E96">
        <v>2.5469999999999998E-3</v>
      </c>
      <c r="F96">
        <f t="shared" si="15"/>
        <v>1853.5890579223633</v>
      </c>
      <c r="G96">
        <f t="shared" si="16"/>
        <v>-0.42480173707008362</v>
      </c>
      <c r="H96">
        <f t="shared" si="17"/>
        <v>-787.40785161951976</v>
      </c>
      <c r="I96">
        <v>1</v>
      </c>
      <c r="J96">
        <f t="shared" si="18"/>
        <v>0.61712379096925485</v>
      </c>
      <c r="K96">
        <f t="shared" si="19"/>
        <v>-0.79692341470513384</v>
      </c>
      <c r="L96">
        <v>1</v>
      </c>
      <c r="M96">
        <f t="shared" si="20"/>
        <v>0.51632650092274845</v>
      </c>
      <c r="N96">
        <f t="shared" si="24"/>
        <v>0.16589622068405149</v>
      </c>
      <c r="O96">
        <f t="shared" si="22"/>
        <v>2.3605456652641296E-2</v>
      </c>
      <c r="P96">
        <f t="shared" si="23"/>
        <v>9.109523644569259E-2</v>
      </c>
      <c r="V96">
        <v>3.19999999999997</v>
      </c>
      <c r="W96">
        <f t="shared" si="21"/>
        <v>-0.62651199999999874</v>
      </c>
    </row>
    <row r="97" spans="1:23" x14ac:dyDescent="0.3">
      <c r="A97">
        <v>9.3681230545043945</v>
      </c>
      <c r="B97" s="1">
        <v>0.4209921658039093</v>
      </c>
      <c r="C97">
        <f t="shared" si="14"/>
        <v>3.9439064142333393</v>
      </c>
      <c r="D97">
        <v>1.7899999999999999E-2</v>
      </c>
      <c r="E97">
        <v>2.5469999999999998E-3</v>
      </c>
      <c r="F97">
        <f t="shared" si="15"/>
        <v>1873.6246109008789</v>
      </c>
      <c r="G97">
        <f t="shared" si="16"/>
        <v>-0.4209921658039093</v>
      </c>
      <c r="H97">
        <f t="shared" si="17"/>
        <v>-788.78128284666786</v>
      </c>
      <c r="I97">
        <v>1</v>
      </c>
      <c r="J97">
        <f t="shared" si="18"/>
        <v>0.62787484939677729</v>
      </c>
      <c r="K97">
        <f t="shared" si="19"/>
        <v>-0.80073298597130815</v>
      </c>
      <c r="L97">
        <v>1</v>
      </c>
      <c r="M97">
        <f t="shared" si="20"/>
        <v>0.51678514107526652</v>
      </c>
      <c r="N97">
        <f t="shared" si="24"/>
        <v>0.16768940267562865</v>
      </c>
      <c r="O97">
        <f t="shared" si="22"/>
        <v>2.3860609419822692E-2</v>
      </c>
      <c r="P97">
        <f t="shared" si="23"/>
        <v>9.2397832800590288E-2</v>
      </c>
      <c r="V97">
        <v>3.2999999999999701</v>
      </c>
      <c r="W97">
        <f t="shared" si="21"/>
        <v>-0.63077799999999873</v>
      </c>
    </row>
    <row r="98" spans="1:23" x14ac:dyDescent="0.3">
      <c r="A98">
        <v>9.4675807952880859</v>
      </c>
      <c r="B98" s="1">
        <v>0.41724255681037903</v>
      </c>
      <c r="C98">
        <f t="shared" si="14"/>
        <v>3.9502776178348427</v>
      </c>
      <c r="D98">
        <v>1.7899999999999999E-2</v>
      </c>
      <c r="E98">
        <v>2.5469999999999998E-3</v>
      </c>
      <c r="F98">
        <f t="shared" si="15"/>
        <v>1893.5161590576172</v>
      </c>
      <c r="G98">
        <f t="shared" si="16"/>
        <v>-0.41724255681037903</v>
      </c>
      <c r="H98">
        <f t="shared" si="17"/>
        <v>-790.05552356696853</v>
      </c>
      <c r="I98">
        <v>1</v>
      </c>
      <c r="J98">
        <f t="shared" si="18"/>
        <v>0.63843550228559964</v>
      </c>
      <c r="K98">
        <f t="shared" si="19"/>
        <v>-0.80448259496483843</v>
      </c>
      <c r="L98">
        <v>1</v>
      </c>
      <c r="M98">
        <f t="shared" si="20"/>
        <v>0.51723565852750364</v>
      </c>
      <c r="N98">
        <f t="shared" si="24"/>
        <v>0.16946969623565672</v>
      </c>
      <c r="O98">
        <f t="shared" si="22"/>
        <v>2.4113928285598753E-2</v>
      </c>
      <c r="P98">
        <f t="shared" si="23"/>
        <v>9.3663311916079323E-2</v>
      </c>
      <c r="V98">
        <v>3.3999999999999702</v>
      </c>
      <c r="W98">
        <f t="shared" si="21"/>
        <v>-0.63504399999999872</v>
      </c>
    </row>
    <row r="99" spans="1:23" x14ac:dyDescent="0.3">
      <c r="A99">
        <v>9.5677595138549805</v>
      </c>
      <c r="B99" s="1">
        <v>0.41341850161552429</v>
      </c>
      <c r="C99">
        <f t="shared" si="14"/>
        <v>3.9554888020356032</v>
      </c>
      <c r="D99">
        <v>1.7899999999999999E-2</v>
      </c>
      <c r="E99">
        <v>2.5469999999999998E-3</v>
      </c>
      <c r="F99">
        <f t="shared" si="15"/>
        <v>1913.5519027709961</v>
      </c>
      <c r="G99">
        <f t="shared" si="16"/>
        <v>-0.41341850161552429</v>
      </c>
      <c r="H99">
        <f t="shared" si="17"/>
        <v>-791.09776040712063</v>
      </c>
      <c r="I99">
        <v>1</v>
      </c>
      <c r="J99">
        <f t="shared" si="18"/>
        <v>0.64896115003678945</v>
      </c>
      <c r="K99">
        <f t="shared" si="19"/>
        <v>-0.80830665015969316</v>
      </c>
      <c r="L99">
        <v>1</v>
      </c>
      <c r="M99">
        <f t="shared" si="20"/>
        <v>0.51768468266056944</v>
      </c>
      <c r="N99">
        <f t="shared" si="24"/>
        <v>0.17126289529800415</v>
      </c>
      <c r="O99">
        <f t="shared" si="22"/>
        <v>2.4369083481788633E-2</v>
      </c>
      <c r="P99">
        <f t="shared" si="23"/>
        <v>9.4989988719330939E-2</v>
      </c>
      <c r="V99">
        <v>3.4999999999999698</v>
      </c>
      <c r="W99">
        <f t="shared" si="21"/>
        <v>-0.63930999999999871</v>
      </c>
    </row>
    <row r="100" spans="1:23" x14ac:dyDescent="0.3">
      <c r="A100">
        <v>9.6664962768554688</v>
      </c>
      <c r="B100" s="1">
        <v>0.40967130661010742</v>
      </c>
      <c r="C100">
        <f t="shared" si="14"/>
        <v>3.9600861600811186</v>
      </c>
      <c r="D100">
        <v>1.7899999999999999E-2</v>
      </c>
      <c r="E100">
        <v>2.5469999999999998E-3</v>
      </c>
      <c r="F100">
        <f t="shared" si="15"/>
        <v>1933.2992553710938</v>
      </c>
      <c r="G100">
        <f t="shared" si="16"/>
        <v>-0.40967130661010742</v>
      </c>
      <c r="H100">
        <f t="shared" si="17"/>
        <v>-792.01723201622372</v>
      </c>
      <c r="I100">
        <v>1</v>
      </c>
      <c r="J100">
        <f t="shared" si="18"/>
        <v>0.65922800219672195</v>
      </c>
      <c r="K100">
        <f t="shared" si="19"/>
        <v>-0.81205384516511003</v>
      </c>
      <c r="L100">
        <v>1</v>
      </c>
      <c r="M100">
        <f t="shared" si="20"/>
        <v>0.5181226665737122</v>
      </c>
      <c r="N100">
        <f t="shared" si="24"/>
        <v>0.17303028335571288</v>
      </c>
      <c r="O100">
        <f t="shared" si="22"/>
        <v>2.4620566017150878E-2</v>
      </c>
      <c r="P100">
        <f t="shared" si="23"/>
        <v>9.6280329218534078E-2</v>
      </c>
      <c r="V100">
        <v>3.5999999999999699</v>
      </c>
      <c r="W100">
        <f t="shared" si="21"/>
        <v>-0.6435759999999987</v>
      </c>
    </row>
    <row r="101" spans="1:23" x14ac:dyDescent="0.3">
      <c r="A101">
        <v>9.7666749954223633</v>
      </c>
      <c r="B101" s="1">
        <v>0.4058169424533844</v>
      </c>
      <c r="C101">
        <f t="shared" si="14"/>
        <v>3.9634821845782255</v>
      </c>
      <c r="D101">
        <v>1.7899999999999999E-2</v>
      </c>
      <c r="E101">
        <v>2.5469999999999998E-3</v>
      </c>
      <c r="F101">
        <f t="shared" si="15"/>
        <v>1953.3349990844727</v>
      </c>
      <c r="G101">
        <f t="shared" si="16"/>
        <v>-0.4058169424533844</v>
      </c>
      <c r="H101">
        <f t="shared" si="17"/>
        <v>-792.69643691564511</v>
      </c>
      <c r="I101">
        <v>1</v>
      </c>
      <c r="J101">
        <f t="shared" si="18"/>
        <v>0.66953816769406871</v>
      </c>
      <c r="K101">
        <f t="shared" si="19"/>
        <v>-0.81590820932183306</v>
      </c>
      <c r="L101">
        <v>1</v>
      </c>
      <c r="M101">
        <f t="shared" si="20"/>
        <v>0.51856249823382894</v>
      </c>
      <c r="N101">
        <f t="shared" si="24"/>
        <v>0.17482348241806028</v>
      </c>
      <c r="O101">
        <f t="shared" si="22"/>
        <v>2.4875721213340758E-2</v>
      </c>
      <c r="P101">
        <f t="shared" si="23"/>
        <v>9.7646507456603082E-2</v>
      </c>
      <c r="V101">
        <v>3.69999999999997</v>
      </c>
      <c r="W101">
        <f t="shared" si="21"/>
        <v>-0.6478419999999987</v>
      </c>
    </row>
    <row r="102" spans="1:23" x14ac:dyDescent="0.3">
      <c r="A102">
        <v>9.8668537139892578</v>
      </c>
      <c r="B102" s="1">
        <v>0.40195715427398682</v>
      </c>
      <c r="C102">
        <f t="shared" si="14"/>
        <v>3.9660524405128399</v>
      </c>
      <c r="D102">
        <v>1.7899999999999999E-2</v>
      </c>
      <c r="E102">
        <v>2.5469999999999998E-3</v>
      </c>
      <c r="F102">
        <f t="shared" si="15"/>
        <v>1973.3707427978516</v>
      </c>
      <c r="G102">
        <f t="shared" si="16"/>
        <v>-0.40195715427398682</v>
      </c>
      <c r="H102">
        <f t="shared" si="17"/>
        <v>-793.21048810256798</v>
      </c>
      <c r="I102">
        <v>1</v>
      </c>
      <c r="J102">
        <f t="shared" si="18"/>
        <v>0.67974311754702477</v>
      </c>
      <c r="K102">
        <f t="shared" si="19"/>
        <v>-0.81976799750123064</v>
      </c>
      <c r="L102">
        <v>1</v>
      </c>
      <c r="M102">
        <f t="shared" si="20"/>
        <v>0.51899784139455607</v>
      </c>
      <c r="N102">
        <f t="shared" si="24"/>
        <v>0.17661668148040771</v>
      </c>
      <c r="O102">
        <f t="shared" si="22"/>
        <v>2.5130876409530638E-2</v>
      </c>
      <c r="P102">
        <f t="shared" si="23"/>
        <v>9.9022598216736216E-2</v>
      </c>
      <c r="V102">
        <v>3.7999999999999701</v>
      </c>
      <c r="W102">
        <f t="shared" si="21"/>
        <v>-0.65210799999999869</v>
      </c>
    </row>
    <row r="103" spans="1:23" x14ac:dyDescent="0.3">
      <c r="A103">
        <v>9.9655904769897461</v>
      </c>
      <c r="B103" s="1">
        <v>0.39809593558311462</v>
      </c>
      <c r="C103">
        <f t="shared" si="14"/>
        <v>3.9672610645754105</v>
      </c>
      <c r="D103">
        <v>1.7899999999999999E-2</v>
      </c>
      <c r="E103">
        <v>2.5469999999999998E-3</v>
      </c>
      <c r="F103">
        <f t="shared" si="15"/>
        <v>1993.1180953979492</v>
      </c>
      <c r="G103">
        <f t="shared" si="16"/>
        <v>-0.39809593558311462</v>
      </c>
      <c r="H103">
        <f t="shared" si="17"/>
        <v>-793.4522129150821</v>
      </c>
      <c r="I103">
        <v>1</v>
      </c>
      <c r="J103">
        <f t="shared" si="18"/>
        <v>0.68970029456693993</v>
      </c>
      <c r="K103">
        <f t="shared" si="19"/>
        <v>-0.82362921619210283</v>
      </c>
      <c r="L103">
        <v>1</v>
      </c>
      <c r="M103">
        <f t="shared" si="20"/>
        <v>0.51942261456622563</v>
      </c>
      <c r="N103">
        <f t="shared" si="24"/>
        <v>0.17838406953811645</v>
      </c>
      <c r="O103">
        <f t="shared" si="22"/>
        <v>2.538235894489288E-2</v>
      </c>
      <c r="P103">
        <f t="shared" si="23"/>
        <v>0.10044017314286788</v>
      </c>
      <c r="V103">
        <v>3.8999999999999599</v>
      </c>
      <c r="W103">
        <f t="shared" si="21"/>
        <v>-0.65637399999999824</v>
      </c>
    </row>
    <row r="104" spans="1:23" x14ac:dyDescent="0.3">
      <c r="A104">
        <v>10.066490173339844</v>
      </c>
      <c r="B104" s="1">
        <v>0.39425358176231384</v>
      </c>
      <c r="C104">
        <f t="shared" si="14"/>
        <v>3.9687498066143689</v>
      </c>
      <c r="D104">
        <v>1.7899999999999999E-2</v>
      </c>
      <c r="E104">
        <v>2.5469999999999998E-3</v>
      </c>
      <c r="F104">
        <f t="shared" si="15"/>
        <v>2013.2980346679688</v>
      </c>
      <c r="G104">
        <f t="shared" si="16"/>
        <v>-0.39425358176231384</v>
      </c>
      <c r="H104">
        <f t="shared" si="17"/>
        <v>-793.74996132287379</v>
      </c>
      <c r="I104">
        <v>1</v>
      </c>
      <c r="J104">
        <f t="shared" si="18"/>
        <v>0.69977419067523428</v>
      </c>
      <c r="K104">
        <f t="shared" si="19"/>
        <v>-0.82747157001290361</v>
      </c>
      <c r="L104">
        <v>1</v>
      </c>
      <c r="M104">
        <f t="shared" si="20"/>
        <v>0.51985236697420545</v>
      </c>
      <c r="N104">
        <f t="shared" si="24"/>
        <v>0.18019017410278321</v>
      </c>
      <c r="O104">
        <f t="shared" si="22"/>
        <v>2.563935047149658E-2</v>
      </c>
      <c r="P104">
        <f t="shared" si="23"/>
        <v>0.10178967846441837</v>
      </c>
      <c r="V104">
        <v>3.99999999999996</v>
      </c>
      <c r="W104">
        <f t="shared" si="21"/>
        <v>-0.66063999999999834</v>
      </c>
    </row>
    <row r="105" spans="1:23" x14ac:dyDescent="0.3">
      <c r="A105">
        <v>10.165226936340332</v>
      </c>
      <c r="B105" s="1">
        <v>0.39047113060951233</v>
      </c>
      <c r="C105">
        <f t="shared" si="14"/>
        <v>3.9692276547350787</v>
      </c>
      <c r="D105">
        <v>1.7899999999999999E-2</v>
      </c>
      <c r="E105">
        <v>2.5469999999999998E-3</v>
      </c>
      <c r="F105">
        <f t="shared" si="15"/>
        <v>2033.0453872680664</v>
      </c>
      <c r="G105">
        <f t="shared" si="16"/>
        <v>-0.39047113060951233</v>
      </c>
      <c r="H105">
        <f t="shared" si="17"/>
        <v>-793.84553094701573</v>
      </c>
      <c r="I105">
        <v>1</v>
      </c>
      <c r="J105">
        <f t="shared" si="18"/>
        <v>0.70953485966413021</v>
      </c>
      <c r="K105">
        <f t="shared" si="19"/>
        <v>-0.83125402116570513</v>
      </c>
      <c r="L105">
        <v>1</v>
      </c>
      <c r="M105">
        <f t="shared" si="20"/>
        <v>0.52026875711327181</v>
      </c>
      <c r="N105">
        <f t="shared" si="24"/>
        <v>0.18195756216049194</v>
      </c>
      <c r="O105">
        <f t="shared" si="22"/>
        <v>2.5890833006858825E-2</v>
      </c>
      <c r="P105">
        <f t="shared" si="23"/>
        <v>0.10313686888508256</v>
      </c>
      <c r="V105">
        <v>4.0999999999999996</v>
      </c>
      <c r="W105">
        <f t="shared" si="21"/>
        <v>-0.664906</v>
      </c>
    </row>
    <row r="106" spans="1:23" x14ac:dyDescent="0.3">
      <c r="A106">
        <v>10.265405654907227</v>
      </c>
      <c r="B106" s="1">
        <v>0.38657712936401367</v>
      </c>
      <c r="C106">
        <f t="shared" si="14"/>
        <v>3.9683710498311484</v>
      </c>
      <c r="D106">
        <v>1.7899999999999999E-2</v>
      </c>
      <c r="E106">
        <v>2.5469999999999998E-3</v>
      </c>
      <c r="F106">
        <f t="shared" si="15"/>
        <v>2053.0811309814453</v>
      </c>
      <c r="G106">
        <f t="shared" si="16"/>
        <v>-0.38657712936401367</v>
      </c>
      <c r="H106">
        <f t="shared" si="17"/>
        <v>-793.67420996622968</v>
      </c>
      <c r="I106">
        <v>1</v>
      </c>
      <c r="J106">
        <f t="shared" si="18"/>
        <v>0.7193416555128852</v>
      </c>
      <c r="K106">
        <f t="shared" si="19"/>
        <v>-0.83514802241120378</v>
      </c>
      <c r="L106">
        <v>1</v>
      </c>
      <c r="M106">
        <f t="shared" si="20"/>
        <v>0.52068711502417964</v>
      </c>
      <c r="N106">
        <f t="shared" si="24"/>
        <v>0.18375076122283934</v>
      </c>
      <c r="O106">
        <f t="shared" si="22"/>
        <v>2.6145988203048705E-2</v>
      </c>
      <c r="P106">
        <f t="shared" si="23"/>
        <v>0.10456415796113611</v>
      </c>
      <c r="V106">
        <v>4.2</v>
      </c>
      <c r="W106">
        <f t="shared" si="21"/>
        <v>-0.66917199999999999</v>
      </c>
    </row>
    <row r="107" spans="1:23" x14ac:dyDescent="0.3">
      <c r="A107">
        <v>10.363421440124512</v>
      </c>
      <c r="B107" s="1">
        <v>0.38264569640159607</v>
      </c>
      <c r="C107">
        <f t="shared" si="14"/>
        <v>3.9655186140596754</v>
      </c>
      <c r="D107">
        <v>1.7899999999999999E-2</v>
      </c>
      <c r="E107">
        <v>2.5469999999999998E-3</v>
      </c>
      <c r="F107">
        <f t="shared" si="15"/>
        <v>2072.6842880249023</v>
      </c>
      <c r="G107">
        <f t="shared" si="16"/>
        <v>-0.38264569640159607</v>
      </c>
      <c r="H107">
        <f t="shared" si="17"/>
        <v>-793.10372281193509</v>
      </c>
      <c r="I107">
        <v>1</v>
      </c>
      <c r="J107">
        <f t="shared" si="18"/>
        <v>0.72884452471338468</v>
      </c>
      <c r="K107">
        <f t="shared" si="19"/>
        <v>-0.83907945537362139</v>
      </c>
      <c r="L107">
        <v>1</v>
      </c>
      <c r="M107">
        <f t="shared" si="20"/>
        <v>0.52109250742427293</v>
      </c>
      <c r="N107">
        <f t="shared" si="24"/>
        <v>0.18550524377822875</v>
      </c>
      <c r="O107">
        <f t="shared" si="22"/>
        <v>2.639563440799713E-2</v>
      </c>
      <c r="P107">
        <f t="shared" si="23"/>
        <v>0.10608606976312257</v>
      </c>
      <c r="V107">
        <v>4.3</v>
      </c>
      <c r="W107">
        <f t="shared" si="21"/>
        <v>-0.67343799999999998</v>
      </c>
    </row>
    <row r="108" spans="1:23" x14ac:dyDescent="0.3">
      <c r="A108">
        <v>10.463600158691406</v>
      </c>
      <c r="B108" s="1">
        <v>0.37875312566757202</v>
      </c>
      <c r="C108">
        <f t="shared" si="14"/>
        <v>3.9631212658400727</v>
      </c>
      <c r="D108">
        <v>1.7899999999999999E-2</v>
      </c>
      <c r="E108">
        <v>2.5469999999999998E-3</v>
      </c>
      <c r="F108">
        <f t="shared" si="15"/>
        <v>2092.7200317382813</v>
      </c>
      <c r="G108">
        <f t="shared" si="16"/>
        <v>-0.37875312566757202</v>
      </c>
      <c r="H108">
        <f t="shared" si="17"/>
        <v>-792.62425316801455</v>
      </c>
      <c r="I108">
        <v>1</v>
      </c>
      <c r="J108">
        <f t="shared" si="18"/>
        <v>0.73846467041644748</v>
      </c>
      <c r="K108">
        <f t="shared" si="19"/>
        <v>-0.84297202610764543</v>
      </c>
      <c r="L108">
        <v>1</v>
      </c>
      <c r="M108">
        <f t="shared" si="20"/>
        <v>0.52150290283996559</v>
      </c>
      <c r="N108">
        <f t="shared" si="24"/>
        <v>0.18729844284057617</v>
      </c>
      <c r="O108">
        <f t="shared" si="22"/>
        <v>2.6650789604187011E-2</v>
      </c>
      <c r="P108">
        <f t="shared" si="23"/>
        <v>0.10751989082291666</v>
      </c>
      <c r="V108">
        <v>4.4000000000000004</v>
      </c>
      <c r="W108">
        <f t="shared" si="21"/>
        <v>-0.67770399999999997</v>
      </c>
    </row>
    <row r="109" spans="1:23" x14ac:dyDescent="0.3">
      <c r="A109">
        <v>10.563057899475098</v>
      </c>
      <c r="B109" s="1">
        <v>0.37483856081962585</v>
      </c>
      <c r="C109">
        <f t="shared" si="14"/>
        <v>3.9594414208936257</v>
      </c>
      <c r="D109">
        <v>1.7899999999999999E-2</v>
      </c>
      <c r="E109">
        <v>2.5469999999999998E-3</v>
      </c>
      <c r="F109">
        <f t="shared" si="15"/>
        <v>2112.6115798950195</v>
      </c>
      <c r="G109">
        <f t="shared" si="16"/>
        <v>-0.37483856081962585</v>
      </c>
      <c r="H109">
        <f t="shared" si="17"/>
        <v>-791.88828417872514</v>
      </c>
      <c r="I109">
        <v>1</v>
      </c>
      <c r="J109">
        <f t="shared" si="18"/>
        <v>0.74792489773953996</v>
      </c>
      <c r="K109">
        <f t="shared" si="19"/>
        <v>-0.8468865909555916</v>
      </c>
      <c r="L109">
        <v>1</v>
      </c>
      <c r="M109">
        <f t="shared" si="20"/>
        <v>0.5219064761375688</v>
      </c>
      <c r="N109">
        <f t="shared" si="24"/>
        <v>0.18907873640060424</v>
      </c>
      <c r="O109">
        <f t="shared" si="22"/>
        <v>2.6904108469963071E-2</v>
      </c>
      <c r="P109">
        <f t="shared" si="23"/>
        <v>0.10899726994745548</v>
      </c>
      <c r="V109">
        <v>4.5</v>
      </c>
      <c r="W109">
        <f t="shared" si="21"/>
        <v>-0.68196999999999997</v>
      </c>
    </row>
    <row r="110" spans="1:23" x14ac:dyDescent="0.3">
      <c r="A110">
        <v>10.663236618041992</v>
      </c>
      <c r="B110" s="1">
        <v>0.3709251880645752</v>
      </c>
      <c r="C110">
        <f t="shared" si="14"/>
        <v>3.9552630479242907</v>
      </c>
      <c r="D110">
        <v>1.7899999999999999E-2</v>
      </c>
      <c r="E110">
        <v>2.5469999999999998E-3</v>
      </c>
      <c r="F110">
        <f t="shared" si="15"/>
        <v>2132.6473236083984</v>
      </c>
      <c r="G110">
        <f t="shared" si="16"/>
        <v>-0.3709251880645752</v>
      </c>
      <c r="H110">
        <f t="shared" si="17"/>
        <v>-791.05260958485815</v>
      </c>
      <c r="I110">
        <v>1</v>
      </c>
      <c r="J110">
        <f t="shared" si="18"/>
        <v>0.75736408292517998</v>
      </c>
      <c r="K110">
        <f t="shared" si="19"/>
        <v>-0.85079996371064226</v>
      </c>
      <c r="L110">
        <v>1</v>
      </c>
      <c r="M110">
        <f t="shared" si="20"/>
        <v>0.52230915177758819</v>
      </c>
      <c r="N110">
        <f t="shared" si="24"/>
        <v>0.19087193546295164</v>
      </c>
      <c r="O110">
        <f t="shared" si="22"/>
        <v>2.7159263666152952E-2</v>
      </c>
      <c r="P110">
        <f t="shared" si="23"/>
        <v>0.11045961280394948</v>
      </c>
      <c r="V110">
        <v>4.5999999999999996</v>
      </c>
      <c r="W110">
        <f t="shared" si="21"/>
        <v>-0.68623599999999996</v>
      </c>
    </row>
    <row r="111" spans="1:23" x14ac:dyDescent="0.3">
      <c r="A111">
        <v>10.763415336608887</v>
      </c>
      <c r="B111" s="1">
        <v>0.36690887808799744</v>
      </c>
      <c r="C111">
        <f t="shared" si="14"/>
        <v>3.9491926455503119</v>
      </c>
      <c r="D111">
        <v>1.7899999999999999E-2</v>
      </c>
      <c r="E111">
        <v>2.5469999999999998E-3</v>
      </c>
      <c r="F111">
        <f t="shared" si="15"/>
        <v>2152.6830673217773</v>
      </c>
      <c r="G111">
        <f t="shared" si="16"/>
        <v>-0.36690887808799744</v>
      </c>
      <c r="H111">
        <f t="shared" si="17"/>
        <v>-789.83852911006238</v>
      </c>
      <c r="I111">
        <v>1</v>
      </c>
      <c r="J111">
        <f t="shared" si="18"/>
        <v>0.7667150024010031</v>
      </c>
      <c r="K111">
        <f t="shared" si="19"/>
        <v>-0.85481627368722002</v>
      </c>
      <c r="L111">
        <v>1</v>
      </c>
      <c r="M111">
        <f t="shared" si="20"/>
        <v>0.52270806200242681</v>
      </c>
      <c r="N111">
        <f t="shared" si="24"/>
        <v>0.19266513452529907</v>
      </c>
      <c r="O111">
        <f t="shared" si="22"/>
        <v>2.7414418862342832E-2</v>
      </c>
      <c r="P111">
        <f t="shared" si="23"/>
        <v>0.11202865829715131</v>
      </c>
      <c r="V111">
        <v>4.7</v>
      </c>
      <c r="W111">
        <f t="shared" si="21"/>
        <v>-0.69050199999999995</v>
      </c>
    </row>
    <row r="112" spans="1:23" x14ac:dyDescent="0.3">
      <c r="A112">
        <v>10.862152099609375</v>
      </c>
      <c r="B112" s="1">
        <v>0.36298245191574097</v>
      </c>
      <c r="C112">
        <f t="shared" si="14"/>
        <v>3.9427706021979247</v>
      </c>
      <c r="D112">
        <v>1.7899999999999999E-2</v>
      </c>
      <c r="E112">
        <v>2.5469999999999998E-3</v>
      </c>
      <c r="F112">
        <f t="shared" si="15"/>
        <v>2172.430419921875</v>
      </c>
      <c r="G112">
        <f t="shared" si="16"/>
        <v>-0.36298245191574097</v>
      </c>
      <c r="H112">
        <f t="shared" si="17"/>
        <v>-788.55412043958495</v>
      </c>
      <c r="I112">
        <v>1</v>
      </c>
      <c r="J112">
        <f t="shared" si="18"/>
        <v>0.77584654999060121</v>
      </c>
      <c r="K112">
        <f t="shared" si="19"/>
        <v>-0.85874269985947649</v>
      </c>
      <c r="L112">
        <v>1</v>
      </c>
      <c r="M112">
        <f t="shared" si="20"/>
        <v>0.52309761382259901</v>
      </c>
      <c r="N112">
        <f t="shared" si="24"/>
        <v>0.19443252258300781</v>
      </c>
      <c r="O112">
        <f t="shared" si="22"/>
        <v>2.7665901397705077E-2</v>
      </c>
      <c r="P112">
        <f t="shared" si="23"/>
        <v>0.11354666205616459</v>
      </c>
      <c r="V112">
        <v>4.8</v>
      </c>
      <c r="W112">
        <f t="shared" si="21"/>
        <v>-0.69476799999999994</v>
      </c>
    </row>
    <row r="113" spans="1:23" x14ac:dyDescent="0.3">
      <c r="A113">
        <v>10.961609840393066</v>
      </c>
      <c r="B113" s="1">
        <v>0.35896557569503784</v>
      </c>
      <c r="C113">
        <f t="shared" si="14"/>
        <v>3.934840586901089</v>
      </c>
      <c r="D113">
        <v>1.7899999999999999E-2</v>
      </c>
      <c r="E113">
        <v>2.5469999999999998E-3</v>
      </c>
      <c r="F113">
        <f t="shared" si="15"/>
        <v>2192.3219680786133</v>
      </c>
      <c r="G113">
        <f t="shared" si="16"/>
        <v>-0.35896557569503784</v>
      </c>
      <c r="H113">
        <f t="shared" si="17"/>
        <v>-786.96811738021779</v>
      </c>
      <c r="I113">
        <v>1</v>
      </c>
      <c r="J113">
        <f t="shared" si="18"/>
        <v>0.78496124154702374</v>
      </c>
      <c r="K113">
        <f t="shared" si="19"/>
        <v>-0.86275957608017961</v>
      </c>
      <c r="L113">
        <v>1</v>
      </c>
      <c r="M113">
        <f t="shared" si="20"/>
        <v>0.52348644656439602</v>
      </c>
      <c r="N113">
        <f t="shared" si="24"/>
        <v>0.19621281614303587</v>
      </c>
      <c r="O113">
        <f t="shared" si="22"/>
        <v>2.7919220263481138E-2</v>
      </c>
      <c r="P113">
        <f t="shared" si="23"/>
        <v>0.11514109310926658</v>
      </c>
      <c r="V113">
        <v>4.9000000000000004</v>
      </c>
      <c r="W113">
        <f t="shared" si="21"/>
        <v>-0.69903399999999993</v>
      </c>
    </row>
    <row r="114" spans="1:23" x14ac:dyDescent="0.3">
      <c r="A114">
        <v>11.061067581176758</v>
      </c>
      <c r="B114" s="1">
        <v>0.35499003529548645</v>
      </c>
      <c r="C114">
        <f t="shared" si="14"/>
        <v>3.9265687710476982</v>
      </c>
      <c r="D114">
        <v>1.7899999999999999E-2</v>
      </c>
      <c r="E114">
        <v>2.5469999999999998E-3</v>
      </c>
      <c r="F114">
        <f t="shared" si="15"/>
        <v>2212.2135162353516</v>
      </c>
      <c r="G114">
        <f t="shared" si="16"/>
        <v>-0.35499003529548645</v>
      </c>
      <c r="H114">
        <f t="shared" si="17"/>
        <v>-785.31375420953964</v>
      </c>
      <c r="I114">
        <v>1</v>
      </c>
      <c r="J114">
        <f t="shared" si="18"/>
        <v>0.79399360532873464</v>
      </c>
      <c r="K114">
        <f t="shared" si="19"/>
        <v>-0.866735116479731</v>
      </c>
      <c r="L114">
        <v>1</v>
      </c>
      <c r="M114">
        <f t="shared" si="20"/>
        <v>0.52387176720332385</v>
      </c>
      <c r="N114">
        <f t="shared" si="24"/>
        <v>0.19799310970306397</v>
      </c>
      <c r="O114">
        <f t="shared" si="22"/>
        <v>2.8172539129257199E-2</v>
      </c>
      <c r="P114">
        <f t="shared" si="23"/>
        <v>0.11669770044408599</v>
      </c>
      <c r="V114">
        <v>5</v>
      </c>
      <c r="W114">
        <f t="shared" si="21"/>
        <v>-0.70330000000000004</v>
      </c>
    </row>
    <row r="115" spans="1:23" x14ac:dyDescent="0.3">
      <c r="A115">
        <v>11.161966323852539</v>
      </c>
      <c r="B115" s="1">
        <v>0.35098123550415039</v>
      </c>
      <c r="C115">
        <f t="shared" si="14"/>
        <v>3.9176407310014838</v>
      </c>
      <c r="D115">
        <v>1.7899999999999999E-2</v>
      </c>
      <c r="E115">
        <v>2.5469999999999998E-3</v>
      </c>
      <c r="F115">
        <f t="shared" si="15"/>
        <v>2232.3932647705078</v>
      </c>
      <c r="G115">
        <f t="shared" si="16"/>
        <v>-0.35098123550415039</v>
      </c>
      <c r="H115">
        <f t="shared" si="17"/>
        <v>-783.52814620029676</v>
      </c>
      <c r="I115">
        <v>1</v>
      </c>
      <c r="J115">
        <f t="shared" si="18"/>
        <v>0.80307422289234021</v>
      </c>
      <c r="K115">
        <f t="shared" si="19"/>
        <v>-0.87074391627106706</v>
      </c>
      <c r="L115">
        <v>1</v>
      </c>
      <c r="M115">
        <f t="shared" si="20"/>
        <v>0.52425914634858728</v>
      </c>
      <c r="N115">
        <f t="shared" si="24"/>
        <v>0.19979919719696043</v>
      </c>
      <c r="O115">
        <f t="shared" si="22"/>
        <v>2.8429528226852414E-2</v>
      </c>
      <c r="P115">
        <f t="shared" si="23"/>
        <v>0.11825604449866695</v>
      </c>
      <c r="V115">
        <v>5.0999999999999996</v>
      </c>
      <c r="W115">
        <f t="shared" si="21"/>
        <v>-0.70756599999999992</v>
      </c>
    </row>
    <row r="116" spans="1:23" x14ac:dyDescent="0.3">
      <c r="A116">
        <v>11.258541107177734</v>
      </c>
      <c r="B116" s="1">
        <v>0.346933513879776</v>
      </c>
      <c r="C116">
        <f t="shared" si="14"/>
        <v>3.9059652274730752</v>
      </c>
      <c r="D116">
        <v>1.7899999999999999E-2</v>
      </c>
      <c r="E116">
        <v>2.5469999999999998E-3</v>
      </c>
      <c r="F116">
        <f t="shared" si="15"/>
        <v>2251.7082214355469</v>
      </c>
      <c r="G116">
        <f t="shared" si="16"/>
        <v>-0.346933513879776</v>
      </c>
      <c r="H116">
        <f t="shared" si="17"/>
        <v>-781.19304549461503</v>
      </c>
      <c r="I116">
        <v>1</v>
      </c>
      <c r="J116">
        <f t="shared" si="18"/>
        <v>0.81168913768947193</v>
      </c>
      <c r="K116">
        <f t="shared" si="19"/>
        <v>-0.87479163789544145</v>
      </c>
      <c r="L116">
        <v>1</v>
      </c>
      <c r="M116">
        <f t="shared" si="20"/>
        <v>0.52462665861383284</v>
      </c>
      <c r="N116">
        <f t="shared" si="24"/>
        <v>0.20152788581848144</v>
      </c>
      <c r="O116">
        <f t="shared" si="22"/>
        <v>2.8675504199981688E-2</v>
      </c>
      <c r="P116">
        <f t="shared" si="23"/>
        <v>0.11996158926314548</v>
      </c>
      <c r="V116">
        <v>5.2</v>
      </c>
      <c r="W116">
        <f t="shared" si="21"/>
        <v>-0.71183200000000002</v>
      </c>
    </row>
    <row r="117" spans="1:23" x14ac:dyDescent="0.3">
      <c r="A117">
        <v>11.361602783203125</v>
      </c>
      <c r="B117" s="1">
        <v>0.34292563796043396</v>
      </c>
      <c r="C117">
        <f t="shared" si="14"/>
        <v>3.8961848826829737</v>
      </c>
      <c r="D117">
        <v>1.7899999999999999E-2</v>
      </c>
      <c r="E117">
        <v>2.5469999999999998E-3</v>
      </c>
      <c r="F117">
        <f t="shared" si="15"/>
        <v>2272.320556640625</v>
      </c>
      <c r="G117">
        <f t="shared" si="16"/>
        <v>-0.34292563796043396</v>
      </c>
      <c r="H117">
        <f t="shared" si="17"/>
        <v>-779.23697653659474</v>
      </c>
      <c r="I117">
        <v>1</v>
      </c>
      <c r="J117">
        <f t="shared" si="18"/>
        <v>0.82080158097733458</v>
      </c>
      <c r="K117">
        <f t="shared" si="19"/>
        <v>-0.8787995138147835</v>
      </c>
      <c r="L117">
        <v>1</v>
      </c>
      <c r="M117">
        <f t="shared" si="20"/>
        <v>0.52501539544449305</v>
      </c>
      <c r="N117">
        <f t="shared" si="24"/>
        <v>0.20337268981933593</v>
      </c>
      <c r="O117">
        <f t="shared" si="22"/>
        <v>2.8938002288818356E-2</v>
      </c>
      <c r="P117">
        <f t="shared" si="23"/>
        <v>0.12147342626213617</v>
      </c>
      <c r="V117">
        <v>5.3</v>
      </c>
      <c r="W117">
        <f t="shared" si="21"/>
        <v>-0.7160979999999999</v>
      </c>
    </row>
    <row r="118" spans="1:23" x14ac:dyDescent="0.3">
      <c r="A118">
        <v>11.459619522094727</v>
      </c>
      <c r="B118" s="1">
        <v>0.33877104520797729</v>
      </c>
      <c r="C118">
        <f t="shared" si="14"/>
        <v>3.8821872831857718</v>
      </c>
      <c r="D118">
        <v>1.7899999999999999E-2</v>
      </c>
      <c r="E118">
        <v>2.5469999999999998E-3</v>
      </c>
      <c r="F118">
        <f t="shared" si="15"/>
        <v>2291.9239044189453</v>
      </c>
      <c r="G118">
        <f t="shared" si="16"/>
        <v>-0.33877104520797729</v>
      </c>
      <c r="H118">
        <f t="shared" si="17"/>
        <v>-776.43745663715436</v>
      </c>
      <c r="I118">
        <v>1</v>
      </c>
      <c r="J118">
        <f t="shared" si="18"/>
        <v>0.82939159778604943</v>
      </c>
      <c r="K118">
        <f t="shared" si="19"/>
        <v>-0.88295410656724016</v>
      </c>
      <c r="L118">
        <v>1</v>
      </c>
      <c r="M118">
        <f t="shared" si="20"/>
        <v>0.52538184556155287</v>
      </c>
      <c r="N118">
        <f t="shared" si="24"/>
        <v>0.2051271894454956</v>
      </c>
      <c r="O118">
        <f t="shared" si="22"/>
        <v>2.9187650922775265E-2</v>
      </c>
      <c r="P118">
        <f t="shared" si="23"/>
        <v>0.12325742063741642</v>
      </c>
      <c r="V118">
        <v>5.4</v>
      </c>
      <c r="W118">
        <f t="shared" si="21"/>
        <v>-0.720364</v>
      </c>
    </row>
    <row r="119" spans="1:23" x14ac:dyDescent="0.3">
      <c r="A119">
        <v>11.560518264770508</v>
      </c>
      <c r="B119" s="1">
        <v>0.33470642566680908</v>
      </c>
      <c r="C119">
        <f t="shared" si="14"/>
        <v>3.8693797472571987</v>
      </c>
      <c r="D119">
        <v>1.7899999999999999E-2</v>
      </c>
      <c r="E119">
        <v>2.5469999999999998E-3</v>
      </c>
      <c r="F119">
        <f t="shared" si="15"/>
        <v>2312.1036529541016</v>
      </c>
      <c r="G119">
        <f t="shared" si="16"/>
        <v>-0.33470642566680908</v>
      </c>
      <c r="H119">
        <f t="shared" si="17"/>
        <v>-773.87594945143974</v>
      </c>
      <c r="I119">
        <v>1</v>
      </c>
      <c r="J119">
        <f t="shared" si="18"/>
        <v>0.83815778239778482</v>
      </c>
      <c r="K119">
        <f t="shared" si="19"/>
        <v>-0.88701872610840837</v>
      </c>
      <c r="L119">
        <v>1</v>
      </c>
      <c r="M119">
        <f t="shared" si="20"/>
        <v>0.52575581099708946</v>
      </c>
      <c r="N119">
        <f t="shared" si="24"/>
        <v>0.20693327693939209</v>
      </c>
      <c r="O119">
        <f t="shared" si="22"/>
        <v>2.9444640020370481E-2</v>
      </c>
      <c r="P119">
        <f t="shared" si="23"/>
        <v>0.12488499815155635</v>
      </c>
      <c r="V119">
        <v>5.5</v>
      </c>
      <c r="W119">
        <f t="shared" si="21"/>
        <v>-0.72463</v>
      </c>
    </row>
    <row r="120" spans="1:23" x14ac:dyDescent="0.3">
      <c r="A120">
        <v>11.659255027770996</v>
      </c>
      <c r="B120" s="1">
        <v>0.33051636815071106</v>
      </c>
      <c r="C120">
        <f t="shared" si="14"/>
        <v>3.8535746271217874</v>
      </c>
      <c r="D120">
        <v>1.7899999999999999E-2</v>
      </c>
      <c r="E120">
        <v>2.5469999999999998E-3</v>
      </c>
      <c r="F120">
        <f t="shared" si="15"/>
        <v>2331.8510055541992</v>
      </c>
      <c r="G120">
        <f t="shared" si="16"/>
        <v>-0.33051636815071106</v>
      </c>
      <c r="H120">
        <f t="shared" si="17"/>
        <v>-770.71492542435749</v>
      </c>
      <c r="I120">
        <v>1</v>
      </c>
      <c r="J120">
        <f t="shared" si="18"/>
        <v>0.8466623751753275</v>
      </c>
      <c r="K120">
        <f t="shared" si="19"/>
        <v>-0.8912087836245064</v>
      </c>
      <c r="L120">
        <v>1</v>
      </c>
      <c r="M120">
        <f t="shared" si="20"/>
        <v>0.52611861692497941</v>
      </c>
      <c r="N120">
        <f t="shared" si="24"/>
        <v>0.20870066499710083</v>
      </c>
      <c r="O120">
        <f t="shared" si="22"/>
        <v>2.9696122555732726E-2</v>
      </c>
      <c r="P120">
        <f t="shared" si="23"/>
        <v>0.12669337914669343</v>
      </c>
      <c r="V120">
        <v>5.6</v>
      </c>
      <c r="W120">
        <f t="shared" si="21"/>
        <v>-0.72889599999999999</v>
      </c>
    </row>
    <row r="121" spans="1:23" x14ac:dyDescent="0.3">
      <c r="A121">
        <v>11.759433746337891</v>
      </c>
      <c r="B121" s="1">
        <v>0.32644510269165039</v>
      </c>
      <c r="C121">
        <f t="shared" si="14"/>
        <v>3.8388095569189318</v>
      </c>
      <c r="D121">
        <v>1.7899999999999999E-2</v>
      </c>
      <c r="E121">
        <v>2.5469999999999998E-3</v>
      </c>
      <c r="F121">
        <f t="shared" si="15"/>
        <v>2351.8867492675781</v>
      </c>
      <c r="G121">
        <f t="shared" si="16"/>
        <v>-0.32644510269165039</v>
      </c>
      <c r="H121">
        <f t="shared" si="17"/>
        <v>-767.76191138378636</v>
      </c>
      <c r="I121">
        <v>1</v>
      </c>
      <c r="J121">
        <f t="shared" si="18"/>
        <v>0.85521787805548455</v>
      </c>
      <c r="K121">
        <f t="shared" si="19"/>
        <v>-0.89528004908356706</v>
      </c>
      <c r="L121">
        <v>1</v>
      </c>
      <c r="M121">
        <f t="shared" si="20"/>
        <v>0.526483594677847</v>
      </c>
      <c r="N121">
        <f t="shared" si="24"/>
        <v>0.21049386405944823</v>
      </c>
      <c r="O121">
        <f t="shared" si="22"/>
        <v>2.9951277751922606E-2</v>
      </c>
      <c r="P121">
        <f t="shared" si="23"/>
        <v>0.12835131259434923</v>
      </c>
      <c r="V121">
        <v>5.7</v>
      </c>
      <c r="W121">
        <f t="shared" si="21"/>
        <v>-0.73316199999999998</v>
      </c>
    </row>
    <row r="122" spans="1:23" x14ac:dyDescent="0.3">
      <c r="A122">
        <v>11.857450485229492</v>
      </c>
      <c r="B122" s="1">
        <v>0.32226657867431641</v>
      </c>
      <c r="C122">
        <f t="shared" si="14"/>
        <v>3.8212599996750214</v>
      </c>
      <c r="D122">
        <v>1.7899999999999999E-2</v>
      </c>
      <c r="E122">
        <v>2.5469999999999998E-3</v>
      </c>
      <c r="F122">
        <f t="shared" si="15"/>
        <v>2371.4900970458984</v>
      </c>
      <c r="G122">
        <f t="shared" si="16"/>
        <v>-0.32226657867431641</v>
      </c>
      <c r="H122">
        <f t="shared" si="17"/>
        <v>-764.25199993500428</v>
      </c>
      <c r="I122">
        <v>1</v>
      </c>
      <c r="J122">
        <f t="shared" si="18"/>
        <v>0.86351849050805762</v>
      </c>
      <c r="K122">
        <f t="shared" si="19"/>
        <v>-0.89945857310090105</v>
      </c>
      <c r="L122">
        <v>1</v>
      </c>
      <c r="M122">
        <f t="shared" si="20"/>
        <v>0.5268376988050737</v>
      </c>
      <c r="N122">
        <f t="shared" si="24"/>
        <v>0.2122483636856079</v>
      </c>
      <c r="O122">
        <f t="shared" si="22"/>
        <v>3.0200926385879515E-2</v>
      </c>
      <c r="P122">
        <f t="shared" si="23"/>
        <v>0.13017158422433994</v>
      </c>
      <c r="V122">
        <v>5.8</v>
      </c>
      <c r="W122">
        <f t="shared" si="21"/>
        <v>-0.73742799999999997</v>
      </c>
    </row>
    <row r="123" spans="1:23" x14ac:dyDescent="0.3">
      <c r="A123">
        <v>11.959070205688477</v>
      </c>
      <c r="B123" s="1">
        <v>0.31804934144020081</v>
      </c>
      <c r="C123">
        <f t="shared" si="14"/>
        <v>3.8035744031563468</v>
      </c>
      <c r="D123">
        <v>1.7899999999999999E-2</v>
      </c>
      <c r="E123">
        <v>2.5469999999999998E-3</v>
      </c>
      <c r="F123">
        <f t="shared" si="15"/>
        <v>2391.8140411376953</v>
      </c>
      <c r="G123">
        <f t="shared" si="16"/>
        <v>-0.31804934144020081</v>
      </c>
      <c r="H123">
        <f t="shared" si="17"/>
        <v>-760.71488063126935</v>
      </c>
      <c r="I123">
        <v>1</v>
      </c>
      <c r="J123">
        <f t="shared" si="18"/>
        <v>0.87205209106702808</v>
      </c>
      <c r="K123">
        <f t="shared" si="19"/>
        <v>-0.90367581033501665</v>
      </c>
      <c r="L123">
        <v>1</v>
      </c>
      <c r="M123">
        <f t="shared" si="20"/>
        <v>0.52720174220491944</v>
      </c>
      <c r="N123">
        <f t="shared" si="24"/>
        <v>0.21406735668182372</v>
      </c>
      <c r="O123">
        <f t="shared" si="22"/>
        <v>3.0459751813888547E-2</v>
      </c>
      <c r="P123">
        <f t="shared" si="23"/>
        <v>0.13194695963438494</v>
      </c>
      <c r="V123">
        <v>5.9</v>
      </c>
      <c r="W123">
        <f t="shared" si="21"/>
        <v>-0.74169399999999996</v>
      </c>
    </row>
    <row r="124" spans="1:23" x14ac:dyDescent="0.3">
      <c r="A124">
        <v>12.057806968688965</v>
      </c>
      <c r="B124" s="1">
        <v>0.31383365392684937</v>
      </c>
      <c r="C124">
        <f t="shared" si="14"/>
        <v>3.7841456193282852</v>
      </c>
      <c r="D124">
        <v>1.7899999999999999E-2</v>
      </c>
      <c r="E124">
        <v>2.5469999999999998E-3</v>
      </c>
      <c r="F124">
        <f t="shared" si="15"/>
        <v>2411.561393737793</v>
      </c>
      <c r="G124">
        <f t="shared" si="16"/>
        <v>-0.31383365392684937</v>
      </c>
      <c r="H124">
        <f t="shared" si="17"/>
        <v>-756.82912386565704</v>
      </c>
      <c r="I124">
        <v>1</v>
      </c>
      <c r="J124">
        <f t="shared" si="18"/>
        <v>0.88027441893713321</v>
      </c>
      <c r="K124">
        <f t="shared" si="19"/>
        <v>-0.90789149784836809</v>
      </c>
      <c r="L124">
        <v>1</v>
      </c>
      <c r="M124">
        <f t="shared" si="20"/>
        <v>0.52755250671185805</v>
      </c>
      <c r="N124">
        <f t="shared" si="24"/>
        <v>0.21583474473953246</v>
      </c>
      <c r="O124">
        <f t="shared" si="22"/>
        <v>3.0711234349250792E-2</v>
      </c>
      <c r="P124">
        <f t="shared" si="23"/>
        <v>0.13379301204772678</v>
      </c>
      <c r="V124">
        <v>6</v>
      </c>
      <c r="W124">
        <f t="shared" si="21"/>
        <v>-0.74595999999999996</v>
      </c>
    </row>
    <row r="125" spans="1:23" x14ac:dyDescent="0.3">
      <c r="A125">
        <v>12.157985687255859</v>
      </c>
      <c r="B125" s="1">
        <v>0.30957973003387451</v>
      </c>
      <c r="C125">
        <f t="shared" si="14"/>
        <v>3.7638659268163792</v>
      </c>
      <c r="D125">
        <v>1.7899999999999999E-2</v>
      </c>
      <c r="E125">
        <v>2.5469999999999998E-3</v>
      </c>
      <c r="F125">
        <f t="shared" si="15"/>
        <v>2431.5971374511719</v>
      </c>
      <c r="G125">
        <f t="shared" si="16"/>
        <v>-0.30957973003387451</v>
      </c>
      <c r="H125">
        <f t="shared" si="17"/>
        <v>-752.77318536327584</v>
      </c>
      <c r="I125">
        <v>1</v>
      </c>
      <c r="J125">
        <f t="shared" si="18"/>
        <v>0.88854829966323434</v>
      </c>
      <c r="K125">
        <f t="shared" si="19"/>
        <v>-0.91214542174134294</v>
      </c>
      <c r="L125">
        <v>1</v>
      </c>
      <c r="M125">
        <f t="shared" si="20"/>
        <v>0.52790547046363356</v>
      </c>
      <c r="N125">
        <f t="shared" si="24"/>
        <v>0.21762794380187989</v>
      </c>
      <c r="O125">
        <f t="shared" si="22"/>
        <v>3.0966389545440672E-2</v>
      </c>
      <c r="P125">
        <f t="shared" si="23"/>
        <v>0.13564561793038882</v>
      </c>
      <c r="V125">
        <v>6.1</v>
      </c>
      <c r="W125">
        <f t="shared" si="21"/>
        <v>-0.75022599999999995</v>
      </c>
    </row>
    <row r="126" spans="1:23" x14ac:dyDescent="0.3">
      <c r="A126">
        <v>12.256722450256348</v>
      </c>
      <c r="B126" s="1">
        <v>0.30533149838447571</v>
      </c>
      <c r="C126">
        <f t="shared" si="14"/>
        <v>3.7423634310194132</v>
      </c>
      <c r="D126">
        <v>1.7899999999999999E-2</v>
      </c>
      <c r="E126">
        <v>2.5469999999999998E-3</v>
      </c>
      <c r="F126">
        <f t="shared" si="15"/>
        <v>2451.3444900512695</v>
      </c>
      <c r="G126">
        <f t="shared" si="16"/>
        <v>-0.30533149838447571</v>
      </c>
      <c r="H126">
        <f t="shared" si="17"/>
        <v>-748.47268620388263</v>
      </c>
      <c r="I126">
        <v>1</v>
      </c>
      <c r="J126">
        <f t="shared" si="18"/>
        <v>0.89663664548614641</v>
      </c>
      <c r="K126">
        <f t="shared" si="19"/>
        <v>-0.91639365339074175</v>
      </c>
      <c r="L126">
        <v>1</v>
      </c>
      <c r="M126">
        <f t="shared" si="20"/>
        <v>0.52825051929643896</v>
      </c>
      <c r="N126">
        <f t="shared" si="24"/>
        <v>0.21939533185958862</v>
      </c>
      <c r="O126">
        <f t="shared" si="22"/>
        <v>3.1217872080802914E-2</v>
      </c>
      <c r="P126">
        <f t="shared" si="23"/>
        <v>0.13752993015391124</v>
      </c>
      <c r="V126">
        <v>6.2</v>
      </c>
      <c r="W126">
        <f t="shared" si="21"/>
        <v>-0.75449199999999994</v>
      </c>
    </row>
    <row r="127" spans="1:23" x14ac:dyDescent="0.3">
      <c r="A127">
        <v>12.356901168823242</v>
      </c>
      <c r="B127" s="1">
        <v>0.30102577805519104</v>
      </c>
      <c r="C127">
        <f t="shared" si="14"/>
        <v>3.7197457886961161</v>
      </c>
      <c r="D127">
        <v>1.7899999999999999E-2</v>
      </c>
      <c r="E127">
        <v>2.5469999999999998E-3</v>
      </c>
      <c r="F127">
        <f t="shared" si="15"/>
        <v>2471.3802337646484</v>
      </c>
      <c r="G127">
        <f t="shared" si="16"/>
        <v>-0.30102577805519104</v>
      </c>
      <c r="H127">
        <f t="shared" si="17"/>
        <v>-743.94915773922321</v>
      </c>
      <c r="I127">
        <v>1</v>
      </c>
      <c r="J127">
        <f t="shared" si="18"/>
        <v>0.90477679366480945</v>
      </c>
      <c r="K127">
        <f t="shared" si="19"/>
        <v>-0.92069937372002641</v>
      </c>
      <c r="L127">
        <v>1</v>
      </c>
      <c r="M127">
        <f t="shared" si="20"/>
        <v>0.52859777801774077</v>
      </c>
      <c r="N127">
        <f t="shared" si="24"/>
        <v>0.22118853092193602</v>
      </c>
      <c r="O127">
        <f t="shared" si="22"/>
        <v>3.1473027276992797E-2</v>
      </c>
      <c r="P127">
        <f t="shared" si="23"/>
        <v>0.13944003750335682</v>
      </c>
      <c r="V127">
        <v>6.3</v>
      </c>
      <c r="W127">
        <f t="shared" si="21"/>
        <v>-0.75875800000000004</v>
      </c>
    </row>
    <row r="128" spans="1:23" x14ac:dyDescent="0.3">
      <c r="A128">
        <v>12.457799911499023</v>
      </c>
      <c r="B128" s="1">
        <v>0.29665201902389526</v>
      </c>
      <c r="C128">
        <f t="shared" si="14"/>
        <v>3.695631496341889</v>
      </c>
      <c r="D128">
        <v>1.7899999999999999E-2</v>
      </c>
      <c r="E128">
        <v>2.5469999999999998E-3</v>
      </c>
      <c r="F128">
        <f t="shared" si="15"/>
        <v>2491.5599822998047</v>
      </c>
      <c r="G128">
        <f t="shared" si="16"/>
        <v>-0.29665201902389526</v>
      </c>
      <c r="H128">
        <f t="shared" si="17"/>
        <v>-739.12629926837781</v>
      </c>
      <c r="I128">
        <v>1</v>
      </c>
      <c r="J128">
        <f t="shared" si="18"/>
        <v>0.91290901322368345</v>
      </c>
      <c r="K128">
        <f t="shared" si="19"/>
        <v>-0.92507313275132219</v>
      </c>
      <c r="L128">
        <v>1</v>
      </c>
      <c r="M128">
        <f t="shared" si="20"/>
        <v>0.52894469850412229</v>
      </c>
      <c r="N128">
        <f t="shared" si="24"/>
        <v>0.22299461841583251</v>
      </c>
      <c r="O128">
        <f t="shared" si="22"/>
        <v>3.1730016374588013E-2</v>
      </c>
      <c r="P128">
        <f t="shared" si="23"/>
        <v>0.14140379945677939</v>
      </c>
      <c r="V128">
        <v>6.4</v>
      </c>
      <c r="W128">
        <f t="shared" si="21"/>
        <v>-0.76302399999999992</v>
      </c>
    </row>
    <row r="129" spans="1:23" x14ac:dyDescent="0.3">
      <c r="A129">
        <v>12.556537628173828</v>
      </c>
      <c r="B129" s="1">
        <v>0.29229375720024109</v>
      </c>
      <c r="C129">
        <f t="shared" si="14"/>
        <v>3.670197560765132</v>
      </c>
      <c r="D129">
        <v>1.7899999999999999E-2</v>
      </c>
      <c r="E129">
        <v>2.5469999999999998E-3</v>
      </c>
      <c r="F129">
        <f t="shared" si="15"/>
        <v>2511.3075256347656</v>
      </c>
      <c r="G129">
        <f t="shared" si="16"/>
        <v>-0.29229375720024109</v>
      </c>
      <c r="H129">
        <f t="shared" si="17"/>
        <v>-734.03951215302641</v>
      </c>
      <c r="I129">
        <v>1</v>
      </c>
      <c r="J129">
        <f t="shared" si="18"/>
        <v>0.92080354405627574</v>
      </c>
      <c r="K129">
        <f t="shared" si="19"/>
        <v>-0.92943139457497637</v>
      </c>
      <c r="L129">
        <v>1</v>
      </c>
      <c r="M129">
        <f t="shared" si="20"/>
        <v>0.52928147918944068</v>
      </c>
      <c r="N129">
        <f t="shared" si="24"/>
        <v>0.22476202354431152</v>
      </c>
      <c r="O129">
        <f t="shared" si="22"/>
        <v>3.1981501338958739E-2</v>
      </c>
      <c r="P129">
        <f t="shared" si="23"/>
        <v>0.14340639050226542</v>
      </c>
      <c r="V129">
        <v>6.5</v>
      </c>
      <c r="W129">
        <f t="shared" si="21"/>
        <v>-0.76729000000000003</v>
      </c>
    </row>
    <row r="130" spans="1:23" x14ac:dyDescent="0.3">
      <c r="A130">
        <v>12.656715393066406</v>
      </c>
      <c r="B130" s="1">
        <v>0.28795087337493896</v>
      </c>
      <c r="C130">
        <f t="shared" si="14"/>
        <v>3.6445122514915056</v>
      </c>
      <c r="D130">
        <v>1.7899999999999999E-2</v>
      </c>
      <c r="E130">
        <v>2.5469999999999998E-3</v>
      </c>
      <c r="F130">
        <f t="shared" si="15"/>
        <v>2531.3430786132813</v>
      </c>
      <c r="G130">
        <f t="shared" si="16"/>
        <v>-0.28795087337493896</v>
      </c>
      <c r="H130">
        <f t="shared" si="17"/>
        <v>-728.90245029830112</v>
      </c>
      <c r="I130">
        <v>1</v>
      </c>
      <c r="J130">
        <f t="shared" si="18"/>
        <v>0.92875002299448572</v>
      </c>
      <c r="K130">
        <f t="shared" si="19"/>
        <v>-0.93377427840027849</v>
      </c>
      <c r="L130">
        <v>1</v>
      </c>
      <c r="M130">
        <f t="shared" si="20"/>
        <v>0.52962047598094475</v>
      </c>
      <c r="N130">
        <f t="shared" si="24"/>
        <v>0.22655520553588865</v>
      </c>
      <c r="O130">
        <f t="shared" si="22"/>
        <v>3.2236654106140135E-2</v>
      </c>
      <c r="P130">
        <f t="shared" si="23"/>
        <v>0.14536194277730496</v>
      </c>
      <c r="V130">
        <v>6.6</v>
      </c>
      <c r="W130">
        <f t="shared" si="21"/>
        <v>-0.77155599999999991</v>
      </c>
    </row>
    <row r="131" spans="1:23" x14ac:dyDescent="0.3">
      <c r="A131">
        <v>12.756894111633301</v>
      </c>
      <c r="B131" s="1">
        <v>0.28346234560012817</v>
      </c>
      <c r="C131">
        <f t="shared" si="14"/>
        <v>3.6160991274560388</v>
      </c>
      <c r="D131">
        <v>1.7899999999999999E-2</v>
      </c>
      <c r="E131">
        <v>2.5469999999999998E-3</v>
      </c>
      <c r="F131">
        <f t="shared" si="15"/>
        <v>2551.3788223266602</v>
      </c>
      <c r="G131">
        <f t="shared" si="16"/>
        <v>-0.28346234560012817</v>
      </c>
      <c r="H131">
        <f t="shared" si="17"/>
        <v>-723.21982549120776</v>
      </c>
      <c r="I131">
        <v>1</v>
      </c>
      <c r="J131">
        <f t="shared" si="18"/>
        <v>0.93663392767475628</v>
      </c>
      <c r="K131">
        <f t="shared" si="19"/>
        <v>-0.93826280617508928</v>
      </c>
      <c r="L131">
        <v>1</v>
      </c>
      <c r="M131">
        <f t="shared" si="20"/>
        <v>0.52995680335460504</v>
      </c>
      <c r="N131">
        <f t="shared" si="24"/>
        <v>0.22834840459823608</v>
      </c>
      <c r="O131">
        <f t="shared" si="22"/>
        <v>3.2491809302330012E-2</v>
      </c>
      <c r="P131">
        <f t="shared" si="23"/>
        <v>0.14746578891991816</v>
      </c>
      <c r="V131">
        <v>6.7</v>
      </c>
      <c r="W131">
        <f t="shared" si="21"/>
        <v>-0.77582200000000001</v>
      </c>
    </row>
    <row r="132" spans="1:23" x14ac:dyDescent="0.3">
      <c r="A132">
        <v>12.855630874633789</v>
      </c>
      <c r="B132" s="1">
        <v>0.2789158821105957</v>
      </c>
      <c r="C132">
        <f t="shared" si="14"/>
        <v>3.5856396254866922</v>
      </c>
      <c r="D132">
        <v>1.7899999999999999E-2</v>
      </c>
      <c r="E132">
        <v>2.5469999999999998E-3</v>
      </c>
      <c r="F132">
        <f t="shared" si="15"/>
        <v>2571.1261749267578</v>
      </c>
      <c r="G132">
        <f t="shared" si="16"/>
        <v>-0.2789158821105957</v>
      </c>
      <c r="H132">
        <f t="shared" si="17"/>
        <v>-717.12792509733845</v>
      </c>
      <c r="I132">
        <v>1</v>
      </c>
      <c r="J132">
        <f t="shared" si="18"/>
        <v>0.9443440032859951</v>
      </c>
      <c r="K132">
        <f t="shared" si="19"/>
        <v>-0.94280926966462175</v>
      </c>
      <c r="L132">
        <v>1</v>
      </c>
      <c r="M132">
        <f t="shared" si="20"/>
        <v>0.53028571518018053</v>
      </c>
      <c r="N132">
        <f t="shared" si="24"/>
        <v>0.23011579265594481</v>
      </c>
      <c r="O132">
        <f t="shared" si="22"/>
        <v>3.2743291837692257E-2</v>
      </c>
      <c r="P132">
        <f t="shared" si="23"/>
        <v>0.14966446999080416</v>
      </c>
      <c r="V132">
        <v>6.8</v>
      </c>
      <c r="W132">
        <f t="shared" si="21"/>
        <v>-0.78008799999999989</v>
      </c>
    </row>
    <row r="133" spans="1:23" x14ac:dyDescent="0.3">
      <c r="A133">
        <v>12.956530570983887</v>
      </c>
      <c r="B133" s="1">
        <v>0.27456843852996826</v>
      </c>
      <c r="C133">
        <f t="shared" ref="C133:C196" si="25">A133*B133</f>
        <v>3.5574543676408439</v>
      </c>
      <c r="D133">
        <v>1.7899999999999999E-2</v>
      </c>
      <c r="E133">
        <v>2.5469999999999998E-3</v>
      </c>
      <c r="F133">
        <f t="shared" ref="F133:F196" si="26">A133*200</f>
        <v>2591.3061141967773</v>
      </c>
      <c r="G133">
        <f t="shared" ref="G133:G144" si="27">-B133</f>
        <v>-0.27456843852996826</v>
      </c>
      <c r="H133">
        <f t="shared" ref="H133:H196" si="28">-C133*200</f>
        <v>-711.49087352816878</v>
      </c>
      <c r="I133">
        <v>1</v>
      </c>
      <c r="J133">
        <f t="shared" ref="J133:J196" si="29">LN(F133/1000)</f>
        <v>0.95216203979504077</v>
      </c>
      <c r="K133">
        <f t="shared" ref="K133:K187" si="30">((-G133)-$N$2)</f>
        <v>-0.94715671324524919</v>
      </c>
      <c r="L133">
        <v>1</v>
      </c>
      <c r="M133">
        <f t="shared" ref="M133:M196" si="31">-1*($S$4+($S$5*J133))</f>
        <v>0.53061923261765642</v>
      </c>
      <c r="N133">
        <f t="shared" si="24"/>
        <v>0.23192189722061157</v>
      </c>
      <c r="O133">
        <f t="shared" si="22"/>
        <v>3.300028336429596E-2</v>
      </c>
      <c r="P133">
        <f t="shared" si="23"/>
        <v>0.15161530004268525</v>
      </c>
      <c r="V133">
        <v>6.9</v>
      </c>
      <c r="W133">
        <f t="shared" ref="W133:W139" si="32">V133*$S$5+$S$4</f>
        <v>-0.784354</v>
      </c>
    </row>
    <row r="134" spans="1:23" x14ac:dyDescent="0.3">
      <c r="A134">
        <v>13.054546356201172</v>
      </c>
      <c r="B134" s="1">
        <v>0.27003148198127747</v>
      </c>
      <c r="C134">
        <f t="shared" si="25"/>
        <v>3.5251384991582881</v>
      </c>
      <c r="D134">
        <v>1.7899999999999999E-2</v>
      </c>
      <c r="E134">
        <v>2.5469999999999998E-3</v>
      </c>
      <c r="F134">
        <f t="shared" si="26"/>
        <v>2610.9092712402344</v>
      </c>
      <c r="G134">
        <f t="shared" si="27"/>
        <v>-0.27003148198127747</v>
      </c>
      <c r="H134">
        <f t="shared" si="28"/>
        <v>-705.02769983165763</v>
      </c>
      <c r="I134">
        <v>1</v>
      </c>
      <c r="J134">
        <f t="shared" si="29"/>
        <v>0.95969854044998537</v>
      </c>
      <c r="K134">
        <f t="shared" si="30"/>
        <v>-0.95169366979393999</v>
      </c>
      <c r="L134">
        <v>1</v>
      </c>
      <c r="M134">
        <f t="shared" si="31"/>
        <v>0.53094073973559641</v>
      </c>
      <c r="N134">
        <f t="shared" si="24"/>
        <v>0.23367637977600098</v>
      </c>
      <c r="O134">
        <f t="shared" ref="O134:O144" si="33">E134*A134</f>
        <v>3.3249929569244385E-2</v>
      </c>
      <c r="P134">
        <f t="shared" ref="P134:P144" si="34">-K134-M134-N134-O134</f>
        <v>0.15382662071309822</v>
      </c>
      <c r="V134">
        <v>7</v>
      </c>
      <c r="W134">
        <f t="shared" si="32"/>
        <v>-0.78861999999999999</v>
      </c>
    </row>
    <row r="135" spans="1:23" x14ac:dyDescent="0.3">
      <c r="A135">
        <v>13.154725074768066</v>
      </c>
      <c r="B135" s="1">
        <v>0.26536893844604492</v>
      </c>
      <c r="C135">
        <f t="shared" si="25"/>
        <v>3.4908554286407707</v>
      </c>
      <c r="D135">
        <v>1.7899999999999999E-2</v>
      </c>
      <c r="E135">
        <v>2.5469999999999998E-3</v>
      </c>
      <c r="F135">
        <f t="shared" si="26"/>
        <v>2630.9450149536133</v>
      </c>
      <c r="G135">
        <f t="shared" si="27"/>
        <v>-0.26536893844604492</v>
      </c>
      <c r="H135">
        <f t="shared" si="28"/>
        <v>-698.17108572815414</v>
      </c>
      <c r="I135">
        <v>1</v>
      </c>
      <c r="J135">
        <f t="shared" si="29"/>
        <v>0.96734310292438186</v>
      </c>
      <c r="K135">
        <f t="shared" si="30"/>
        <v>-0.95635621332917253</v>
      </c>
      <c r="L135">
        <v>1</v>
      </c>
      <c r="M135">
        <f t="shared" si="31"/>
        <v>0.53126685677075414</v>
      </c>
      <c r="N135">
        <f t="shared" ref="N135:N144" si="35">D135*A135</f>
        <v>0.23546957883834838</v>
      </c>
      <c r="O135">
        <f t="shared" si="33"/>
        <v>3.3505084765434262E-2</v>
      </c>
      <c r="P135">
        <f t="shared" si="34"/>
        <v>0.15611469295463576</v>
      </c>
      <c r="V135">
        <v>7.1</v>
      </c>
      <c r="W135">
        <f t="shared" si="32"/>
        <v>-0.79288599999999998</v>
      </c>
    </row>
    <row r="136" spans="1:23" x14ac:dyDescent="0.3">
      <c r="A136">
        <v>13.252741813659668</v>
      </c>
      <c r="B136" s="1">
        <v>0.26078814268112183</v>
      </c>
      <c r="C136">
        <f t="shared" si="25"/>
        <v>3.4561579230167467</v>
      </c>
      <c r="D136">
        <v>1.7899999999999999E-2</v>
      </c>
      <c r="E136">
        <v>2.5469999999999998E-3</v>
      </c>
      <c r="F136">
        <f t="shared" si="26"/>
        <v>2650.5483627319336</v>
      </c>
      <c r="G136">
        <f t="shared" si="27"/>
        <v>-0.26078814268112183</v>
      </c>
      <c r="H136">
        <f t="shared" si="28"/>
        <v>-691.23158460334935</v>
      </c>
      <c r="I136">
        <v>1</v>
      </c>
      <c r="J136">
        <f t="shared" si="29"/>
        <v>0.97476654792401463</v>
      </c>
      <c r="K136">
        <f t="shared" si="30"/>
        <v>-0.96093700909409563</v>
      </c>
      <c r="L136">
        <v>1</v>
      </c>
      <c r="M136">
        <f t="shared" si="31"/>
        <v>0.53158354093443849</v>
      </c>
      <c r="N136">
        <f t="shared" si="35"/>
        <v>0.23722407846450805</v>
      </c>
      <c r="O136">
        <f t="shared" si="33"/>
        <v>3.3754733399391168E-2</v>
      </c>
      <c r="P136">
        <f t="shared" si="34"/>
        <v>0.15837465629575792</v>
      </c>
      <c r="V136">
        <v>7.2</v>
      </c>
      <c r="W136">
        <f t="shared" si="32"/>
        <v>-0.79715199999999997</v>
      </c>
    </row>
    <row r="137" spans="1:23" x14ac:dyDescent="0.3">
      <c r="A137">
        <v>13.353640556335449</v>
      </c>
      <c r="B137" s="1">
        <v>0.25620302557945251</v>
      </c>
      <c r="C137">
        <f t="shared" si="25"/>
        <v>3.4212431130336256</v>
      </c>
      <c r="D137">
        <v>1.7899999999999999E-2</v>
      </c>
      <c r="E137">
        <v>2.5469999999999998E-3</v>
      </c>
      <c r="F137">
        <f t="shared" si="26"/>
        <v>2670.7281112670898</v>
      </c>
      <c r="G137">
        <f t="shared" si="27"/>
        <v>-0.25620302557945251</v>
      </c>
      <c r="H137">
        <f t="shared" si="28"/>
        <v>-684.24862260672512</v>
      </c>
      <c r="I137">
        <v>1</v>
      </c>
      <c r="J137">
        <f t="shared" si="29"/>
        <v>0.98235113608513736</v>
      </c>
      <c r="K137">
        <f t="shared" si="30"/>
        <v>-0.96552212619576494</v>
      </c>
      <c r="L137">
        <v>1</v>
      </c>
      <c r="M137">
        <f t="shared" si="31"/>
        <v>0.53190709946539194</v>
      </c>
      <c r="N137">
        <f t="shared" si="35"/>
        <v>0.23903016595840454</v>
      </c>
      <c r="O137">
        <f t="shared" si="33"/>
        <v>3.4011722496986384E-2</v>
      </c>
      <c r="P137">
        <f t="shared" si="34"/>
        <v>0.16057313827498207</v>
      </c>
      <c r="V137">
        <v>7.3</v>
      </c>
      <c r="W137">
        <f t="shared" si="32"/>
        <v>-0.80141799999999996</v>
      </c>
    </row>
    <row r="138" spans="1:23" x14ac:dyDescent="0.3">
      <c r="A138">
        <v>13.453819274902344</v>
      </c>
      <c r="B138" s="1">
        <v>0.25139963626861572</v>
      </c>
      <c r="C138">
        <f t="shared" si="25"/>
        <v>3.3822852721341405</v>
      </c>
      <c r="D138">
        <v>1.7899999999999999E-2</v>
      </c>
      <c r="E138">
        <v>2.5469999999999998E-3</v>
      </c>
      <c r="F138">
        <f t="shared" si="26"/>
        <v>2690.7638549804688</v>
      </c>
      <c r="G138">
        <f t="shared" si="27"/>
        <v>-0.25139963626861572</v>
      </c>
      <c r="H138">
        <f t="shared" si="28"/>
        <v>-676.45705442682811</v>
      </c>
      <c r="I138">
        <v>1</v>
      </c>
      <c r="J138">
        <f t="shared" si="29"/>
        <v>0.9898251142637472</v>
      </c>
      <c r="K138">
        <f t="shared" si="30"/>
        <v>-0.97032551550660173</v>
      </c>
      <c r="L138">
        <v>1</v>
      </c>
      <c r="M138">
        <f t="shared" si="31"/>
        <v>0.53222593937449147</v>
      </c>
      <c r="N138">
        <f t="shared" si="35"/>
        <v>0.24082336502075194</v>
      </c>
      <c r="O138">
        <f t="shared" si="33"/>
        <v>3.4266877693176268E-2</v>
      </c>
      <c r="P138">
        <f t="shared" si="34"/>
        <v>0.16300933341818205</v>
      </c>
      <c r="V138">
        <v>7.4</v>
      </c>
      <c r="W138">
        <f t="shared" si="32"/>
        <v>-0.80568399999999996</v>
      </c>
    </row>
    <row r="139" spans="1:23" x14ac:dyDescent="0.3">
      <c r="C139">
        <f t="shared" si="25"/>
        <v>0</v>
      </c>
      <c r="D139">
        <v>1.7899999999999999E-2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-0.80994999999999995</v>
      </c>
    </row>
    <row r="140" spans="1:23" x14ac:dyDescent="0.3">
      <c r="C140">
        <f t="shared" si="25"/>
        <v>0</v>
      </c>
      <c r="D140">
        <v>1.7899999999999999E-2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1:23" x14ac:dyDescent="0.3">
      <c r="C141">
        <f t="shared" si="25"/>
        <v>0</v>
      </c>
      <c r="D141">
        <v>1.7899999999999999E-2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1:23" x14ac:dyDescent="0.3">
      <c r="C142">
        <f t="shared" si="25"/>
        <v>0</v>
      </c>
      <c r="D142">
        <v>1.7899999999999999E-2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1:23" x14ac:dyDescent="0.3">
      <c r="C143">
        <f t="shared" si="25"/>
        <v>0</v>
      </c>
      <c r="D143">
        <v>1.7899999999999999E-2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1.7899999999999999E-2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1.7899999999999999E-2</v>
      </c>
      <c r="E145">
        <v>2.5469999999999998E-3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1.7899999999999999E-2</v>
      </c>
      <c r="E146">
        <v>2.5469999999999998E-3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1.7899999999999999E-2</v>
      </c>
      <c r="E147">
        <v>2.5469999999999998E-3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1.7899999999999999E-2</v>
      </c>
      <c r="E148">
        <v>2.5469999999999998E-3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1.7899999999999999E-2</v>
      </c>
      <c r="E149">
        <v>2.5469999999999998E-3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1.7899999999999999E-2</v>
      </c>
      <c r="E150">
        <v>2.5469999999999998E-3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1.7899999999999999E-2</v>
      </c>
      <c r="E151">
        <v>2.5469999999999998E-3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1.7899999999999999E-2</v>
      </c>
      <c r="E152">
        <v>2.5469999999999998E-3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1.7899999999999999E-2</v>
      </c>
      <c r="E153">
        <v>2.5469999999999998E-3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1.7899999999999999E-2</v>
      </c>
      <c r="E154">
        <v>2.5469999999999998E-3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1.7899999999999999E-2</v>
      </c>
      <c r="E155">
        <v>2.5469999999999998E-3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1.7899999999999999E-2</v>
      </c>
      <c r="E156">
        <v>2.5469999999999998E-3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1.7899999999999999E-2</v>
      </c>
      <c r="E157">
        <v>2.5469999999999998E-3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1.7899999999999999E-2</v>
      </c>
      <c r="E158">
        <v>2.5469999999999998E-3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1.7899999999999999E-2</v>
      </c>
      <c r="E159">
        <v>2.5469999999999998E-3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1.7899999999999999E-2</v>
      </c>
      <c r="E160">
        <v>2.5469999999999998E-3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1.7899999999999999E-2</v>
      </c>
      <c r="E161">
        <v>2.5469999999999998E-3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1.7899999999999999E-2</v>
      </c>
      <c r="E162">
        <v>2.5469999999999998E-3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1.7899999999999999E-2</v>
      </c>
      <c r="E163">
        <v>2.5469999999999998E-3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1.7899999999999999E-2</v>
      </c>
      <c r="E164">
        <v>2.5469999999999998E-3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1.7899999999999999E-2</v>
      </c>
      <c r="E165">
        <v>2.5469999999999998E-3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1.7899999999999999E-2</v>
      </c>
      <c r="E166">
        <v>2.5469999999999998E-3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1.7899999999999999E-2</v>
      </c>
      <c r="E167">
        <v>2.5469999999999998E-3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1.7899999999999999E-2</v>
      </c>
      <c r="E168">
        <v>2.5469999999999998E-3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1.7899999999999999E-2</v>
      </c>
      <c r="E169">
        <v>2.5469999999999998E-3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1.7899999999999999E-2</v>
      </c>
      <c r="E170">
        <v>2.5469999999999998E-3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1.7899999999999999E-2</v>
      </c>
      <c r="E171">
        <v>2.5469999999999998E-3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1.7899999999999999E-2</v>
      </c>
      <c r="E172">
        <v>2.5469999999999998E-3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1.7899999999999999E-2</v>
      </c>
      <c r="E173">
        <v>2.5469999999999998E-3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1.7899999999999999E-2</v>
      </c>
      <c r="E174">
        <v>2.5469999999999998E-3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1.7899999999999999E-2</v>
      </c>
      <c r="E175">
        <v>2.5469999999999998E-3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1.7899999999999999E-2</v>
      </c>
      <c r="E176">
        <v>2.5469999999999998E-3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1.7899999999999999E-2</v>
      </c>
      <c r="E177">
        <v>2.5469999999999998E-3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1.7899999999999999E-2</v>
      </c>
      <c r="E178">
        <v>2.5469999999999998E-3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1.7899999999999999E-2</v>
      </c>
      <c r="E179">
        <v>2.5469999999999998E-3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1.7899999999999999E-2</v>
      </c>
      <c r="E180">
        <v>2.5469999999999998E-3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1.7899999999999999E-2</v>
      </c>
      <c r="E181">
        <v>2.5469999999999998E-3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1.7899999999999999E-2</v>
      </c>
      <c r="E182">
        <v>2.5469999999999998E-3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1.7899999999999999E-2</v>
      </c>
      <c r="E183">
        <v>2.5469999999999998E-3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1.7899999999999999E-2</v>
      </c>
      <c r="E184">
        <v>2.5469999999999998E-3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1.7899999999999999E-2</v>
      </c>
      <c r="E185">
        <v>2.5469999999999998E-3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1.7899999999999999E-2</v>
      </c>
      <c r="E186">
        <v>2.5469999999999998E-3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1.7899999999999999E-2</v>
      </c>
      <c r="E187">
        <v>2.5469999999999998E-3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1.7899999999999999E-2</v>
      </c>
      <c r="E188">
        <v>2.5469999999999998E-3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1.7899999999999999E-2</v>
      </c>
      <c r="E189">
        <v>2.5469999999999998E-3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1.7899999999999999E-2</v>
      </c>
      <c r="E190">
        <v>2.5469999999999998E-3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1.7899999999999999E-2</v>
      </c>
      <c r="E191">
        <v>2.5469999999999998E-3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1.7899999999999999E-2</v>
      </c>
      <c r="E192">
        <v>2.5469999999999998E-3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1.7899999999999999E-2</v>
      </c>
      <c r="E193">
        <v>2.5469999999999998E-3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1.7899999999999999E-2</v>
      </c>
      <c r="E194">
        <v>2.5469999999999998E-3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1.7899999999999999E-2</v>
      </c>
      <c r="E195">
        <v>2.5469999999999998E-3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1.7899999999999999E-2</v>
      </c>
      <c r="E196">
        <v>2.5469999999999998E-3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1.7899999999999999E-2</v>
      </c>
      <c r="E197">
        <v>2.5469999999999998E-3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1.7899999999999999E-2</v>
      </c>
      <c r="E198">
        <v>2.5469999999999998E-3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1.7899999999999999E-2</v>
      </c>
      <c r="E199">
        <v>2.5469999999999998E-3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1.7899999999999999E-2</v>
      </c>
      <c r="E200">
        <v>2.5469999999999998E-3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1.7899999999999999E-2</v>
      </c>
      <c r="E201">
        <v>2.5469999999999998E-3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1.7899999999999999E-2</v>
      </c>
      <c r="E202">
        <v>2.5469999999999998E-3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1.7899999999999999E-2</v>
      </c>
      <c r="E203">
        <v>2.5469999999999998E-3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1.7899999999999999E-2</v>
      </c>
      <c r="E204">
        <v>2.5469999999999998E-3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1.7899999999999999E-2</v>
      </c>
      <c r="E205">
        <v>2.5469999999999998E-3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1.7899999999999999E-2</v>
      </c>
      <c r="E206">
        <v>2.5469999999999998E-3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1.7899999999999999E-2</v>
      </c>
      <c r="E207">
        <v>2.5469999999999998E-3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1.7899999999999999E-2</v>
      </c>
      <c r="E208">
        <v>2.5469999999999998E-3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1.7899999999999999E-2</v>
      </c>
      <c r="E209">
        <v>2.5469999999999998E-3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1.7899999999999999E-2</v>
      </c>
      <c r="E210">
        <v>2.5469999999999998E-3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1.7899999999999999E-2</v>
      </c>
      <c r="E211">
        <v>2.5469999999999998E-3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1.7899999999999999E-2</v>
      </c>
      <c r="E212">
        <v>2.5469999999999998E-3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1.7899999999999999E-2</v>
      </c>
      <c r="E213">
        <v>2.5469999999999998E-3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1.7899999999999999E-2</v>
      </c>
      <c r="E214">
        <v>2.5469999999999998E-3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1.7899999999999999E-2</v>
      </c>
      <c r="E215">
        <v>2.5469999999999998E-3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1.7899999999999999E-2</v>
      </c>
      <c r="E216">
        <v>2.5469999999999998E-3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1.7899999999999999E-2</v>
      </c>
      <c r="E217">
        <v>2.5469999999999998E-3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1.7899999999999999E-2</v>
      </c>
      <c r="E218">
        <v>2.5469999999999998E-3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1.7899999999999999E-2</v>
      </c>
      <c r="E219">
        <v>2.5469999999999998E-3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1.7899999999999999E-2</v>
      </c>
      <c r="E220">
        <v>2.5469999999999998E-3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1.7899999999999999E-2</v>
      </c>
      <c r="E221">
        <v>2.5469999999999998E-3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1.7899999999999999E-2</v>
      </c>
      <c r="E222">
        <v>2.5469999999999998E-3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1.7899999999999999E-2</v>
      </c>
      <c r="E223">
        <v>2.5469999999999998E-3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1.7899999999999999E-2</v>
      </c>
      <c r="E224">
        <v>2.5469999999999998E-3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1.7899999999999999E-2</v>
      </c>
      <c r="E225">
        <v>2.5469999999999998E-3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1.7899999999999999E-2</v>
      </c>
      <c r="E226">
        <v>2.5469999999999998E-3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1.7899999999999999E-2</v>
      </c>
      <c r="E227">
        <v>2.5469999999999998E-3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1.7899999999999999E-2</v>
      </c>
      <c r="E228">
        <v>2.5469999999999998E-3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1.7899999999999999E-2</v>
      </c>
      <c r="E229">
        <v>2.5469999999999998E-3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1.7899999999999999E-2</v>
      </c>
      <c r="E230">
        <v>2.5469999999999998E-3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1.7899999999999999E-2</v>
      </c>
      <c r="E231">
        <v>2.5469999999999998E-3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1.7899999999999999E-2</v>
      </c>
      <c r="E232">
        <v>2.5469999999999998E-3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1.7899999999999999E-2</v>
      </c>
      <c r="E233">
        <v>2.5469999999999998E-3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1.7899999999999999E-2</v>
      </c>
      <c r="E234">
        <v>2.5469999999999998E-3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1.7899999999999999E-2</v>
      </c>
      <c r="E235">
        <v>2.5469999999999998E-3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1.7899999999999999E-2</v>
      </c>
      <c r="E236">
        <v>2.5469999999999998E-3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1.7899999999999999E-2</v>
      </c>
      <c r="E237">
        <v>2.5469999999999998E-3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1.7899999999999999E-2</v>
      </c>
      <c r="E238">
        <v>2.5469999999999998E-3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1.7899999999999999E-2</v>
      </c>
      <c r="E239">
        <v>2.5469999999999998E-3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1.7899999999999999E-2</v>
      </c>
      <c r="E240">
        <v>2.5469999999999998E-3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1.7899999999999999E-2</v>
      </c>
      <c r="E241">
        <v>2.5469999999999998E-3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1.7899999999999999E-2</v>
      </c>
      <c r="E242">
        <v>2.5469999999999998E-3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1.7899999999999999E-2</v>
      </c>
      <c r="E243">
        <v>2.5469999999999998E-3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1.7899999999999999E-2</v>
      </c>
      <c r="E244">
        <v>2.5469999999999998E-3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1.7899999999999999E-2</v>
      </c>
      <c r="E245">
        <v>2.5469999999999998E-3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1.7899999999999999E-2</v>
      </c>
      <c r="E246">
        <v>2.5469999999999998E-3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1.7899999999999999E-2</v>
      </c>
      <c r="E247">
        <v>2.5469999999999998E-3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1.7899999999999999E-2</v>
      </c>
      <c r="E248">
        <v>2.5469999999999998E-3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1.7899999999999999E-2</v>
      </c>
      <c r="E249">
        <v>2.5469999999999998E-3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1.7899999999999999E-2</v>
      </c>
      <c r="E250">
        <v>2.5469999999999998E-3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1.7899999999999999E-2</v>
      </c>
      <c r="E251">
        <v>2.5469999999999998E-3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1.7899999999999999E-2</v>
      </c>
      <c r="E252">
        <v>2.5469999999999998E-3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1.7899999999999999E-2</v>
      </c>
      <c r="E253">
        <v>2.5469999999999998E-3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1.7899999999999999E-2</v>
      </c>
      <c r="E254">
        <v>2.5469999999999998E-3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1.7899999999999999E-2</v>
      </c>
      <c r="E255">
        <v>2.5469999999999998E-3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1.7899999999999999E-2</v>
      </c>
      <c r="E256">
        <v>2.5469999999999998E-3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1.7899999999999999E-2</v>
      </c>
      <c r="E257">
        <v>2.5469999999999998E-3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1.7899999999999999E-2</v>
      </c>
      <c r="E258">
        <v>2.5469999999999998E-3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1.7899999999999999E-2</v>
      </c>
      <c r="E259">
        <v>2.5469999999999998E-3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1.7899999999999999E-2</v>
      </c>
      <c r="E260">
        <v>2.5469999999999998E-3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1.7899999999999999E-2</v>
      </c>
      <c r="E261">
        <v>2.5469999999999998E-3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1.7899999999999999E-2</v>
      </c>
      <c r="E262">
        <v>2.5469999999999998E-3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1.7899999999999999E-2</v>
      </c>
      <c r="E263">
        <v>2.5469999999999998E-3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1.7899999999999999E-2</v>
      </c>
      <c r="E264">
        <v>2.5469999999999998E-3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1.7899999999999999E-2</v>
      </c>
      <c r="E265">
        <v>2.5469999999999998E-3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1.7899999999999999E-2</v>
      </c>
      <c r="E266">
        <v>2.5469999999999998E-3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1.7899999999999999E-2</v>
      </c>
      <c r="E267">
        <v>2.5469999999999998E-3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1.7899999999999999E-2</v>
      </c>
      <c r="E268">
        <v>2.5469999999999998E-3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1.7899999999999999E-2</v>
      </c>
      <c r="E269">
        <v>2.5469999999999998E-3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1.7899999999999999E-2</v>
      </c>
      <c r="E270">
        <v>2.5469999999999998E-3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1.7899999999999999E-2</v>
      </c>
      <c r="E271">
        <v>2.5469999999999998E-3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1.7899999999999999E-2</v>
      </c>
      <c r="E272">
        <v>2.5469999999999998E-3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1.7899999999999999E-2</v>
      </c>
      <c r="E273">
        <v>2.5469999999999998E-3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1.7899999999999999E-2</v>
      </c>
      <c r="E274">
        <v>2.5469999999999998E-3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1.7899999999999999E-2</v>
      </c>
      <c r="E275">
        <v>2.5469999999999998E-3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1.7899999999999999E-2</v>
      </c>
      <c r="E276">
        <v>2.5469999999999998E-3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1.7899999999999999E-2</v>
      </c>
      <c r="E277">
        <v>2.5469999999999998E-3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1.7899999999999999E-2</v>
      </c>
      <c r="E278">
        <v>2.5469999999999998E-3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1.7899999999999999E-2</v>
      </c>
      <c r="E279">
        <v>2.5469999999999998E-3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1.7899999999999999E-2</v>
      </c>
      <c r="E280">
        <v>2.5469999999999998E-3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1.7899999999999999E-2</v>
      </c>
      <c r="E281">
        <v>2.5469999999999998E-3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1.7899999999999999E-2</v>
      </c>
      <c r="E282">
        <v>2.5469999999999998E-3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1.7899999999999999E-2</v>
      </c>
      <c r="E283">
        <v>2.5469999999999998E-3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1.7899999999999999E-2</v>
      </c>
      <c r="E284">
        <v>2.5469999999999998E-3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1.7899999999999999E-2</v>
      </c>
      <c r="E285">
        <v>2.5469999999999998E-3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1.7899999999999999E-2</v>
      </c>
      <c r="E286">
        <v>2.5469999999999998E-3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1.7899999999999999E-2</v>
      </c>
      <c r="E287">
        <v>2.5469999999999998E-3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1.7899999999999999E-2</v>
      </c>
      <c r="E288">
        <v>2.5469999999999998E-3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1.7899999999999999E-2</v>
      </c>
      <c r="E289">
        <v>2.5469999999999998E-3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1.7899999999999999E-2</v>
      </c>
      <c r="E290">
        <v>2.5469999999999998E-3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1.7899999999999999E-2</v>
      </c>
      <c r="E291">
        <v>2.5469999999999998E-3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1.7899999999999999E-2</v>
      </c>
      <c r="E292">
        <v>2.5469999999999998E-3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1.7899999999999999E-2</v>
      </c>
      <c r="E293">
        <v>2.5469999999999998E-3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1.7899999999999999E-2</v>
      </c>
      <c r="E294">
        <v>2.5469999999999998E-3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1.7899999999999999E-2</v>
      </c>
      <c r="E295">
        <v>2.5469999999999998E-3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1.7899999999999999E-2</v>
      </c>
      <c r="E296">
        <v>2.5469999999999998E-3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1.7899999999999999E-2</v>
      </c>
      <c r="E297">
        <v>2.5469999999999998E-3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1.7899999999999999E-2</v>
      </c>
      <c r="E298">
        <v>2.5469999999999998E-3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1.7899999999999999E-2</v>
      </c>
      <c r="E299">
        <v>2.5469999999999998E-3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1.7899999999999999E-2</v>
      </c>
      <c r="E300">
        <v>2.5469999999999998E-3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1.7899999999999999E-2</v>
      </c>
      <c r="E301">
        <v>2.5469999999999998E-3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1.7899999999999999E-2</v>
      </c>
      <c r="E302">
        <v>2.5469999999999998E-3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1.7899999999999999E-2</v>
      </c>
      <c r="E303">
        <v>2.5469999999999998E-3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2026-04-27T10:13:06Z</dcterms:modified>
</cp:coreProperties>
</file>