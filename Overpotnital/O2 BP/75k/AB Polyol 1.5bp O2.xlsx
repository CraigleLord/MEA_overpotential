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KAIST MASc 2021\Laboratory Work\Protocol\overpotential calculation\For paper SI\Overpotnital\O2 BP\75k\"/>
    </mc:Choice>
  </mc:AlternateContent>
  <xr:revisionPtr revIDLastSave="0" documentId="13_ncr:1_{3644D388-4A6C-4DC6-BD9B-4521CD81849D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3" sheetId="4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K212" i="1" s="1"/>
  <c r="C213" i="1"/>
  <c r="H213" i="1" s="1"/>
  <c r="J213" i="1"/>
  <c r="M213" i="1" s="1"/>
  <c r="G213" i="1"/>
  <c r="K213" i="1" s="1"/>
  <c r="C214" i="1"/>
  <c r="H214" i="1" s="1"/>
  <c r="J214" i="1"/>
  <c r="M214" i="1" s="1"/>
  <c r="G214" i="1"/>
  <c r="K214" i="1" s="1"/>
  <c r="C215" i="1"/>
  <c r="H215" i="1" s="1"/>
  <c r="J215" i="1"/>
  <c r="M215" i="1" s="1"/>
  <c r="G215" i="1"/>
  <c r="K215" i="1" s="1"/>
  <c r="C216" i="1"/>
  <c r="H216" i="1" s="1"/>
  <c r="J216" i="1"/>
  <c r="M216" i="1" s="1"/>
  <c r="G216" i="1"/>
  <c r="K216" i="1" s="1"/>
  <c r="C217" i="1"/>
  <c r="H217" i="1" s="1"/>
  <c r="J217" i="1"/>
  <c r="M217" i="1" s="1"/>
  <c r="G217" i="1"/>
  <c r="K217" i="1" s="1"/>
  <c r="C218" i="1"/>
  <c r="H218" i="1" s="1"/>
  <c r="J218" i="1"/>
  <c r="M218" i="1" s="1"/>
  <c r="G218" i="1"/>
  <c r="K218" i="1" s="1"/>
  <c r="C219" i="1"/>
  <c r="H219" i="1" s="1"/>
  <c r="J219" i="1"/>
  <c r="M219" i="1" s="1"/>
  <c r="G219" i="1"/>
  <c r="K219" i="1" s="1"/>
  <c r="C220" i="1"/>
  <c r="H220" i="1" s="1"/>
  <c r="J220" i="1"/>
  <c r="M220" i="1" s="1"/>
  <c r="G220" i="1"/>
  <c r="K220" i="1" s="1"/>
  <c r="C221" i="1"/>
  <c r="H221" i="1" s="1"/>
  <c r="J221" i="1"/>
  <c r="M221" i="1" s="1"/>
  <c r="G221" i="1"/>
  <c r="K221" i="1" s="1"/>
  <c r="C222" i="1"/>
  <c r="H222" i="1" s="1"/>
  <c r="J222" i="1"/>
  <c r="M222" i="1" s="1"/>
  <c r="G222" i="1"/>
  <c r="K222" i="1" s="1"/>
  <c r="C223" i="1"/>
  <c r="H223" i="1" s="1"/>
  <c r="J223" i="1"/>
  <c r="M223" i="1" s="1"/>
  <c r="G223" i="1"/>
  <c r="K223" i="1" s="1"/>
  <c r="C224" i="1"/>
  <c r="H224" i="1" s="1"/>
  <c r="J224" i="1"/>
  <c r="M224" i="1" s="1"/>
  <c r="G224" i="1"/>
  <c r="K224" i="1" s="1"/>
  <c r="C225" i="1"/>
  <c r="H225" i="1" s="1"/>
  <c r="J225" i="1"/>
  <c r="M225" i="1" s="1"/>
  <c r="G225" i="1"/>
  <c r="K225" i="1" s="1"/>
  <c r="C226" i="1"/>
  <c r="H226" i="1" s="1"/>
  <c r="J226" i="1"/>
  <c r="M226" i="1" s="1"/>
  <c r="G226" i="1"/>
  <c r="K226" i="1" s="1"/>
  <c r="C227" i="1"/>
  <c r="H227" i="1" s="1"/>
  <c r="J227" i="1"/>
  <c r="M227" i="1" s="1"/>
  <c r="G227" i="1"/>
  <c r="K227" i="1" s="1"/>
  <c r="C228" i="1"/>
  <c r="H228" i="1" s="1"/>
  <c r="J228" i="1"/>
  <c r="M228" i="1" s="1"/>
  <c r="G228" i="1"/>
  <c r="K228" i="1" s="1"/>
  <c r="C229" i="1"/>
  <c r="H229" i="1" s="1"/>
  <c r="J229" i="1"/>
  <c r="M229" i="1" s="1"/>
  <c r="G229" i="1"/>
  <c r="K229" i="1" s="1"/>
  <c r="C230" i="1"/>
  <c r="H230" i="1" s="1"/>
  <c r="J230" i="1"/>
  <c r="M230" i="1" s="1"/>
  <c r="G230" i="1"/>
  <c r="K230" i="1" s="1"/>
  <c r="C231" i="1"/>
  <c r="H231" i="1" s="1"/>
  <c r="J231" i="1"/>
  <c r="M231" i="1" s="1"/>
  <c r="G231" i="1"/>
  <c r="K231" i="1" s="1"/>
  <c r="C232" i="1"/>
  <c r="H232" i="1" s="1"/>
  <c r="J232" i="1"/>
  <c r="M232" i="1" s="1"/>
  <c r="G232" i="1"/>
  <c r="K232" i="1" s="1"/>
  <c r="C233" i="1"/>
  <c r="H233" i="1" s="1"/>
  <c r="J233" i="1"/>
  <c r="M233" i="1" s="1"/>
  <c r="G233" i="1"/>
  <c r="K233" i="1" s="1"/>
  <c r="C234" i="1"/>
  <c r="H234" i="1" s="1"/>
  <c r="J234" i="1"/>
  <c r="M234" i="1" s="1"/>
  <c r="G234" i="1"/>
  <c r="K234" i="1" s="1"/>
  <c r="C235" i="1"/>
  <c r="H235" i="1" s="1"/>
  <c r="G235" i="1"/>
  <c r="K235" i="1" s="1"/>
  <c r="C236" i="1"/>
  <c r="H236" i="1" s="1"/>
  <c r="G236" i="1"/>
  <c r="K236" i="1" s="1"/>
  <c r="C237" i="1"/>
  <c r="H237" i="1" s="1"/>
  <c r="G237" i="1"/>
  <c r="K237" i="1" s="1"/>
  <c r="C238" i="1"/>
  <c r="H238" i="1" s="1"/>
  <c r="G238" i="1"/>
  <c r="K238" i="1" s="1"/>
  <c r="C239" i="1"/>
  <c r="H239" i="1" s="1"/>
  <c r="G239" i="1"/>
  <c r="K239" i="1" s="1"/>
  <c r="C240" i="1"/>
  <c r="H240" i="1" s="1"/>
  <c r="G240" i="1"/>
  <c r="K240" i="1" s="1"/>
  <c r="C241" i="1"/>
  <c r="H241" i="1" s="1"/>
  <c r="G241" i="1"/>
  <c r="K241" i="1" s="1"/>
  <c r="C242" i="1"/>
  <c r="H242" i="1" s="1"/>
  <c r="G242" i="1"/>
  <c r="K242" i="1" s="1"/>
  <c r="C243" i="1"/>
  <c r="H243" i="1" s="1"/>
  <c r="G243" i="1"/>
  <c r="K243" i="1" s="1"/>
  <c r="C244" i="1"/>
  <c r="H244" i="1" s="1"/>
  <c r="G244" i="1"/>
  <c r="K244" i="1" s="1"/>
  <c r="C245" i="1"/>
  <c r="H245" i="1" s="1"/>
  <c r="G245" i="1"/>
  <c r="K245" i="1" s="1"/>
  <c r="C246" i="1"/>
  <c r="H246" i="1" s="1"/>
  <c r="G246" i="1"/>
  <c r="K246" i="1" s="1"/>
  <c r="C247" i="1"/>
  <c r="H247" i="1" s="1"/>
  <c r="G247" i="1"/>
  <c r="K247" i="1" s="1"/>
  <c r="C248" i="1"/>
  <c r="H248" i="1" s="1"/>
  <c r="G248" i="1"/>
  <c r="K248" i="1" s="1"/>
  <c r="C249" i="1"/>
  <c r="H249" i="1" s="1"/>
  <c r="G249" i="1"/>
  <c r="K249" i="1" s="1"/>
  <c r="C250" i="1"/>
  <c r="H250" i="1" s="1"/>
  <c r="G250" i="1"/>
  <c r="K250" i="1" s="1"/>
  <c r="C251" i="1"/>
  <c r="H251" i="1" s="1"/>
  <c r="G251" i="1"/>
  <c r="K251" i="1" s="1"/>
  <c r="C252" i="1"/>
  <c r="H252" i="1" s="1"/>
  <c r="G252" i="1"/>
  <c r="K252" i="1" s="1"/>
  <c r="C253" i="1"/>
  <c r="H253" i="1" s="1"/>
  <c r="G253" i="1"/>
  <c r="K253" i="1" s="1"/>
  <c r="C254" i="1"/>
  <c r="H254" i="1" s="1"/>
  <c r="G254" i="1"/>
  <c r="K254" i="1" s="1"/>
  <c r="C255" i="1"/>
  <c r="H255" i="1" s="1"/>
  <c r="G255" i="1"/>
  <c r="K255" i="1" s="1"/>
  <c r="C256" i="1"/>
  <c r="H256" i="1" s="1"/>
  <c r="G256" i="1"/>
  <c r="K256" i="1" s="1"/>
  <c r="C257" i="1"/>
  <c r="H257" i="1" s="1"/>
  <c r="G257" i="1"/>
  <c r="K257" i="1" s="1"/>
  <c r="C258" i="1"/>
  <c r="H258" i="1" s="1"/>
  <c r="G258" i="1"/>
  <c r="K258" i="1" s="1"/>
  <c r="C259" i="1"/>
  <c r="H259" i="1" s="1"/>
  <c r="G259" i="1"/>
  <c r="K259" i="1" s="1"/>
  <c r="C260" i="1"/>
  <c r="H260" i="1" s="1"/>
  <c r="G260" i="1"/>
  <c r="K260" i="1" s="1"/>
  <c r="C261" i="1"/>
  <c r="H261" i="1" s="1"/>
  <c r="G261" i="1"/>
  <c r="K261" i="1" s="1"/>
  <c r="C262" i="1"/>
  <c r="H262" i="1" s="1"/>
  <c r="G262" i="1"/>
  <c r="K262" i="1" s="1"/>
  <c r="C263" i="1"/>
  <c r="H263" i="1" s="1"/>
  <c r="G263" i="1"/>
  <c r="K263" i="1" s="1"/>
  <c r="C264" i="1"/>
  <c r="H264" i="1" s="1"/>
  <c r="G264" i="1"/>
  <c r="K264" i="1" s="1"/>
  <c r="C265" i="1"/>
  <c r="H265" i="1" s="1"/>
  <c r="G265" i="1"/>
  <c r="K265" i="1" s="1"/>
  <c r="C266" i="1"/>
  <c r="H266" i="1" s="1"/>
  <c r="G266" i="1"/>
  <c r="K266" i="1" s="1"/>
  <c r="C267" i="1"/>
  <c r="H267" i="1" s="1"/>
  <c r="G267" i="1"/>
  <c r="K267" i="1" s="1"/>
  <c r="C268" i="1"/>
  <c r="H268" i="1" s="1"/>
  <c r="G268" i="1"/>
  <c r="K268" i="1" s="1"/>
  <c r="C269" i="1"/>
  <c r="H269" i="1" s="1"/>
  <c r="G269" i="1"/>
  <c r="K269" i="1" s="1"/>
  <c r="C270" i="1"/>
  <c r="H270" i="1" s="1"/>
  <c r="G270" i="1"/>
  <c r="K270" i="1" s="1"/>
  <c r="C271" i="1"/>
  <c r="H271" i="1" s="1"/>
  <c r="G271" i="1"/>
  <c r="K271" i="1" s="1"/>
  <c r="C272" i="1"/>
  <c r="H272" i="1" s="1"/>
  <c r="G272" i="1"/>
  <c r="K272" i="1" s="1"/>
  <c r="C273" i="1"/>
  <c r="H273" i="1" s="1"/>
  <c r="G273" i="1"/>
  <c r="K273" i="1" s="1"/>
  <c r="C274" i="1"/>
  <c r="H274" i="1" s="1"/>
  <c r="G274" i="1"/>
  <c r="K274" i="1" s="1"/>
  <c r="C275" i="1"/>
  <c r="H275" i="1" s="1"/>
  <c r="G275" i="1"/>
  <c r="K275" i="1" s="1"/>
  <c r="C276" i="1"/>
  <c r="H276" i="1" s="1"/>
  <c r="G276" i="1"/>
  <c r="K276" i="1" s="1"/>
  <c r="C277" i="1"/>
  <c r="H277" i="1" s="1"/>
  <c r="G277" i="1"/>
  <c r="K277" i="1" s="1"/>
  <c r="C278" i="1"/>
  <c r="H278" i="1" s="1"/>
  <c r="G278" i="1"/>
  <c r="K278" i="1" s="1"/>
  <c r="C279" i="1"/>
  <c r="H279" i="1" s="1"/>
  <c r="G279" i="1"/>
  <c r="K279" i="1" s="1"/>
  <c r="C280" i="1"/>
  <c r="H280" i="1" s="1"/>
  <c r="G280" i="1"/>
  <c r="K280" i="1" s="1"/>
  <c r="C281" i="1"/>
  <c r="H281" i="1" s="1"/>
  <c r="G281" i="1"/>
  <c r="K281" i="1" s="1"/>
  <c r="C282" i="1"/>
  <c r="H282" i="1" s="1"/>
  <c r="G282" i="1"/>
  <c r="K282" i="1" s="1"/>
  <c r="C283" i="1"/>
  <c r="H283" i="1" s="1"/>
  <c r="G283" i="1"/>
  <c r="K283" i="1" s="1"/>
  <c r="C284" i="1"/>
  <c r="H284" i="1" s="1"/>
  <c r="G284" i="1"/>
  <c r="K284" i="1" s="1"/>
  <c r="C285" i="1"/>
  <c r="H285" i="1" s="1"/>
  <c r="G285" i="1"/>
  <c r="K285" i="1" s="1"/>
  <c r="C286" i="1"/>
  <c r="H286" i="1" s="1"/>
  <c r="G286" i="1"/>
  <c r="K286" i="1" s="1"/>
  <c r="C287" i="1"/>
  <c r="H287" i="1" s="1"/>
  <c r="G287" i="1"/>
  <c r="K287" i="1" s="1"/>
  <c r="C288" i="1"/>
  <c r="H288" i="1" s="1"/>
  <c r="G288" i="1"/>
  <c r="C289" i="1"/>
  <c r="H289" i="1" s="1"/>
  <c r="G289" i="1"/>
  <c r="K289" i="1" s="1"/>
  <c r="C290" i="1"/>
  <c r="H290" i="1" s="1"/>
  <c r="G290" i="1"/>
  <c r="K290" i="1" s="1"/>
  <c r="C291" i="1"/>
  <c r="H291" i="1" s="1"/>
  <c r="G291" i="1"/>
  <c r="K291" i="1" s="1"/>
  <c r="C292" i="1"/>
  <c r="H292" i="1" s="1"/>
  <c r="G292" i="1"/>
  <c r="K292" i="1" s="1"/>
  <c r="C293" i="1"/>
  <c r="H293" i="1" s="1"/>
  <c r="G293" i="1"/>
  <c r="K293" i="1" s="1"/>
  <c r="C294" i="1"/>
  <c r="H294" i="1" s="1"/>
  <c r="G294" i="1"/>
  <c r="K294" i="1" s="1"/>
  <c r="C295" i="1"/>
  <c r="H295" i="1" s="1"/>
  <c r="G295" i="1"/>
  <c r="K295" i="1" s="1"/>
  <c r="C296" i="1"/>
  <c r="H296" i="1" s="1"/>
  <c r="G296" i="1"/>
  <c r="K296" i="1" s="1"/>
  <c r="C297" i="1"/>
  <c r="H297" i="1" s="1"/>
  <c r="G297" i="1"/>
  <c r="K297" i="1" s="1"/>
  <c r="C298" i="1"/>
  <c r="H298" i="1" s="1"/>
  <c r="G298" i="1"/>
  <c r="K298" i="1" s="1"/>
  <c r="C299" i="1"/>
  <c r="H299" i="1" s="1"/>
  <c r="G299" i="1"/>
  <c r="K299" i="1" s="1"/>
  <c r="C300" i="1"/>
  <c r="H300" i="1" s="1"/>
  <c r="G300" i="1"/>
  <c r="K300" i="1" s="1"/>
  <c r="C301" i="1"/>
  <c r="H301" i="1" s="1"/>
  <c r="G301" i="1"/>
  <c r="K301" i="1" s="1"/>
  <c r="C302" i="1"/>
  <c r="H302" i="1" s="1"/>
  <c r="G302" i="1"/>
  <c r="K302" i="1" s="1"/>
  <c r="C303" i="1"/>
  <c r="H303" i="1" s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K188" i="1" s="1"/>
  <c r="J189" i="1"/>
  <c r="M189" i="1" s="1"/>
  <c r="G189" i="1"/>
  <c r="K189" i="1" s="1"/>
  <c r="J190" i="1"/>
  <c r="M190" i="1" s="1"/>
  <c r="G190" i="1"/>
  <c r="K190" i="1" s="1"/>
  <c r="J191" i="1"/>
  <c r="M191" i="1" s="1"/>
  <c r="G191" i="1"/>
  <c r="K191" i="1" s="1"/>
  <c r="J192" i="1"/>
  <c r="M192" i="1" s="1"/>
  <c r="G192" i="1"/>
  <c r="K192" i="1" s="1"/>
  <c r="J193" i="1"/>
  <c r="M193" i="1" s="1"/>
  <c r="G193" i="1"/>
  <c r="K193" i="1" s="1"/>
  <c r="J194" i="1"/>
  <c r="M194" i="1" s="1"/>
  <c r="G194" i="1"/>
  <c r="K194" i="1" s="1"/>
  <c r="J195" i="1"/>
  <c r="M195" i="1" s="1"/>
  <c r="G195" i="1"/>
  <c r="K195" i="1" s="1"/>
  <c r="J196" i="1"/>
  <c r="M196" i="1" s="1"/>
  <c r="G196" i="1"/>
  <c r="K196" i="1" s="1"/>
  <c r="J197" i="1"/>
  <c r="M197" i="1" s="1"/>
  <c r="G197" i="1"/>
  <c r="K197" i="1" s="1"/>
  <c r="J198" i="1"/>
  <c r="M198" i="1" s="1"/>
  <c r="G198" i="1"/>
  <c r="K198" i="1" s="1"/>
  <c r="J199" i="1"/>
  <c r="M199" i="1" s="1"/>
  <c r="G199" i="1"/>
  <c r="K199" i="1" s="1"/>
  <c r="J200" i="1"/>
  <c r="M200" i="1" s="1"/>
  <c r="G200" i="1"/>
  <c r="K200" i="1" s="1"/>
  <c r="J201" i="1"/>
  <c r="M201" i="1" s="1"/>
  <c r="G201" i="1"/>
  <c r="K201" i="1" s="1"/>
  <c r="J202" i="1"/>
  <c r="M202" i="1" s="1"/>
  <c r="G202" i="1"/>
  <c r="K202" i="1" s="1"/>
  <c r="J203" i="1"/>
  <c r="M203" i="1" s="1"/>
  <c r="G203" i="1"/>
  <c r="K203" i="1" s="1"/>
  <c r="J204" i="1"/>
  <c r="M204" i="1" s="1"/>
  <c r="G204" i="1"/>
  <c r="K204" i="1" s="1"/>
  <c r="J205" i="1"/>
  <c r="M205" i="1" s="1"/>
  <c r="G205" i="1"/>
  <c r="K205" i="1" s="1"/>
  <c r="J206" i="1"/>
  <c r="M206" i="1" s="1"/>
  <c r="G206" i="1"/>
  <c r="K206" i="1" s="1"/>
  <c r="J207" i="1"/>
  <c r="M207" i="1" s="1"/>
  <c r="G207" i="1"/>
  <c r="K207" i="1" s="1"/>
  <c r="J208" i="1"/>
  <c r="M208" i="1" s="1"/>
  <c r="G208" i="1"/>
  <c r="K208" i="1" s="1"/>
  <c r="J209" i="1"/>
  <c r="M209" i="1" s="1"/>
  <c r="G209" i="1"/>
  <c r="K209" i="1" s="1"/>
  <c r="J210" i="1"/>
  <c r="M210" i="1" s="1"/>
  <c r="G210" i="1"/>
  <c r="K210" i="1" s="1"/>
  <c r="J211" i="1"/>
  <c r="M211" i="1" s="1"/>
  <c r="G211" i="1"/>
  <c r="K211" i="1" s="1"/>
  <c r="J5" i="1"/>
  <c r="M5" i="1" s="1"/>
  <c r="G5" i="1"/>
  <c r="K5" i="1" s="1"/>
  <c r="J6" i="1"/>
  <c r="M6" i="1" s="1"/>
  <c r="G6" i="1"/>
  <c r="K6" i="1" s="1"/>
  <c r="J7" i="1"/>
  <c r="M7" i="1" s="1"/>
  <c r="G7" i="1"/>
  <c r="K7" i="1" s="1"/>
  <c r="J8" i="1"/>
  <c r="M8" i="1" s="1"/>
  <c r="G8" i="1"/>
  <c r="K8" i="1" s="1"/>
  <c r="J9" i="1"/>
  <c r="M9" i="1" s="1"/>
  <c r="G9" i="1"/>
  <c r="K9" i="1" s="1"/>
  <c r="J10" i="1"/>
  <c r="M10" i="1" s="1"/>
  <c r="G10" i="1"/>
  <c r="K10" i="1" s="1"/>
  <c r="J11" i="1"/>
  <c r="M11" i="1" s="1"/>
  <c r="G11" i="1"/>
  <c r="K11" i="1" s="1"/>
  <c r="J12" i="1"/>
  <c r="M12" i="1" s="1"/>
  <c r="G12" i="1"/>
  <c r="K12" i="1" s="1"/>
  <c r="J13" i="1"/>
  <c r="M13" i="1" s="1"/>
  <c r="G13" i="1"/>
  <c r="K13" i="1" s="1"/>
  <c r="J14" i="1"/>
  <c r="M14" i="1" s="1"/>
  <c r="G14" i="1"/>
  <c r="K14" i="1" s="1"/>
  <c r="J15" i="1"/>
  <c r="M15" i="1" s="1"/>
  <c r="G15" i="1"/>
  <c r="K15" i="1" s="1"/>
  <c r="J16" i="1"/>
  <c r="M16" i="1" s="1"/>
  <c r="G16" i="1"/>
  <c r="K16" i="1" s="1"/>
  <c r="J17" i="1"/>
  <c r="M17" i="1" s="1"/>
  <c r="G17" i="1"/>
  <c r="K17" i="1" s="1"/>
  <c r="J18" i="1"/>
  <c r="M18" i="1" s="1"/>
  <c r="G18" i="1"/>
  <c r="K18" i="1" s="1"/>
  <c r="J19" i="1"/>
  <c r="M19" i="1" s="1"/>
  <c r="G19" i="1"/>
  <c r="K19" i="1" s="1"/>
  <c r="J20" i="1"/>
  <c r="M20" i="1" s="1"/>
  <c r="G20" i="1"/>
  <c r="K20" i="1" s="1"/>
  <c r="J21" i="1"/>
  <c r="M21" i="1" s="1"/>
  <c r="G21" i="1"/>
  <c r="K21" i="1" s="1"/>
  <c r="J22" i="1"/>
  <c r="M22" i="1" s="1"/>
  <c r="G22" i="1"/>
  <c r="K22" i="1" s="1"/>
  <c r="J23" i="1"/>
  <c r="M23" i="1" s="1"/>
  <c r="G23" i="1"/>
  <c r="K23" i="1" s="1"/>
  <c r="J24" i="1"/>
  <c r="M24" i="1" s="1"/>
  <c r="G24" i="1"/>
  <c r="K24" i="1" s="1"/>
  <c r="J25" i="1"/>
  <c r="M25" i="1" s="1"/>
  <c r="G25" i="1"/>
  <c r="K25" i="1" s="1"/>
  <c r="J26" i="1"/>
  <c r="M26" i="1" s="1"/>
  <c r="G26" i="1"/>
  <c r="K26" i="1" s="1"/>
  <c r="J27" i="1"/>
  <c r="M27" i="1" s="1"/>
  <c r="G27" i="1"/>
  <c r="K27" i="1" s="1"/>
  <c r="J28" i="1"/>
  <c r="M28" i="1" s="1"/>
  <c r="G28" i="1"/>
  <c r="K28" i="1" s="1"/>
  <c r="J29" i="1"/>
  <c r="M29" i="1" s="1"/>
  <c r="G29" i="1"/>
  <c r="K29" i="1" s="1"/>
  <c r="J30" i="1"/>
  <c r="M30" i="1" s="1"/>
  <c r="G30" i="1"/>
  <c r="K30" i="1" s="1"/>
  <c r="J31" i="1"/>
  <c r="M31" i="1" s="1"/>
  <c r="G31" i="1"/>
  <c r="K31" i="1" s="1"/>
  <c r="J32" i="1"/>
  <c r="M32" i="1" s="1"/>
  <c r="G32" i="1"/>
  <c r="K32" i="1" s="1"/>
  <c r="J33" i="1"/>
  <c r="M33" i="1" s="1"/>
  <c r="G33" i="1"/>
  <c r="K33" i="1" s="1"/>
  <c r="J34" i="1"/>
  <c r="M34" i="1" s="1"/>
  <c r="G34" i="1"/>
  <c r="K34" i="1" s="1"/>
  <c r="J35" i="1"/>
  <c r="M35" i="1" s="1"/>
  <c r="G35" i="1"/>
  <c r="K35" i="1" s="1"/>
  <c r="J36" i="1"/>
  <c r="M36" i="1" s="1"/>
  <c r="G36" i="1"/>
  <c r="K36" i="1" s="1"/>
  <c r="J37" i="1"/>
  <c r="M37" i="1" s="1"/>
  <c r="G37" i="1"/>
  <c r="K37" i="1" s="1"/>
  <c r="J38" i="1"/>
  <c r="M38" i="1" s="1"/>
  <c r="G38" i="1"/>
  <c r="K38" i="1" s="1"/>
  <c r="J39" i="1"/>
  <c r="M39" i="1" s="1"/>
  <c r="G39" i="1"/>
  <c r="K39" i="1" s="1"/>
  <c r="J40" i="1"/>
  <c r="M40" i="1" s="1"/>
  <c r="G40" i="1"/>
  <c r="K40" i="1" s="1"/>
  <c r="J41" i="1"/>
  <c r="M41" i="1" s="1"/>
  <c r="G41" i="1"/>
  <c r="K41" i="1" s="1"/>
  <c r="J42" i="1"/>
  <c r="M42" i="1" s="1"/>
  <c r="G42" i="1"/>
  <c r="K42" i="1" s="1"/>
  <c r="J43" i="1"/>
  <c r="M43" i="1" s="1"/>
  <c r="G43" i="1"/>
  <c r="K43" i="1" s="1"/>
  <c r="J44" i="1"/>
  <c r="M44" i="1" s="1"/>
  <c r="G44" i="1"/>
  <c r="K44" i="1" s="1"/>
  <c r="J45" i="1"/>
  <c r="M45" i="1" s="1"/>
  <c r="G45" i="1"/>
  <c r="K45" i="1" s="1"/>
  <c r="J46" i="1"/>
  <c r="M46" i="1" s="1"/>
  <c r="G46" i="1"/>
  <c r="K46" i="1" s="1"/>
  <c r="J47" i="1"/>
  <c r="M47" i="1" s="1"/>
  <c r="G47" i="1"/>
  <c r="K47" i="1" s="1"/>
  <c r="J48" i="1"/>
  <c r="M48" i="1" s="1"/>
  <c r="G48" i="1"/>
  <c r="K48" i="1" s="1"/>
  <c r="J49" i="1"/>
  <c r="M49" i="1" s="1"/>
  <c r="G49" i="1"/>
  <c r="K49" i="1" s="1"/>
  <c r="J50" i="1"/>
  <c r="M50" i="1" s="1"/>
  <c r="G50" i="1"/>
  <c r="K50" i="1" s="1"/>
  <c r="J51" i="1"/>
  <c r="M51" i="1" s="1"/>
  <c r="G51" i="1"/>
  <c r="K51" i="1" s="1"/>
  <c r="J52" i="1"/>
  <c r="M52" i="1" s="1"/>
  <c r="G52" i="1"/>
  <c r="K52" i="1" s="1"/>
  <c r="J53" i="1"/>
  <c r="M53" i="1" s="1"/>
  <c r="G53" i="1"/>
  <c r="K53" i="1" s="1"/>
  <c r="J54" i="1"/>
  <c r="M54" i="1" s="1"/>
  <c r="G54" i="1"/>
  <c r="K54" i="1" s="1"/>
  <c r="J55" i="1"/>
  <c r="M55" i="1" s="1"/>
  <c r="G55" i="1"/>
  <c r="K55" i="1" s="1"/>
  <c r="J56" i="1"/>
  <c r="M56" i="1" s="1"/>
  <c r="G56" i="1"/>
  <c r="K56" i="1" s="1"/>
  <c r="J57" i="1"/>
  <c r="M57" i="1" s="1"/>
  <c r="G57" i="1"/>
  <c r="K57" i="1" s="1"/>
  <c r="J58" i="1"/>
  <c r="M58" i="1" s="1"/>
  <c r="G58" i="1"/>
  <c r="K58" i="1" s="1"/>
  <c r="J59" i="1"/>
  <c r="M59" i="1" s="1"/>
  <c r="G59" i="1"/>
  <c r="K59" i="1" s="1"/>
  <c r="J60" i="1"/>
  <c r="M60" i="1" s="1"/>
  <c r="G60" i="1"/>
  <c r="K60" i="1" s="1"/>
  <c r="J61" i="1"/>
  <c r="M61" i="1" s="1"/>
  <c r="G61" i="1"/>
  <c r="K61" i="1" s="1"/>
  <c r="J62" i="1"/>
  <c r="M62" i="1" s="1"/>
  <c r="G62" i="1"/>
  <c r="K62" i="1" s="1"/>
  <c r="J63" i="1"/>
  <c r="M63" i="1" s="1"/>
  <c r="G63" i="1"/>
  <c r="K63" i="1" s="1"/>
  <c r="J64" i="1"/>
  <c r="M64" i="1" s="1"/>
  <c r="G64" i="1"/>
  <c r="K64" i="1" s="1"/>
  <c r="J65" i="1"/>
  <c r="M65" i="1" s="1"/>
  <c r="G65" i="1"/>
  <c r="K65" i="1" s="1"/>
  <c r="J66" i="1"/>
  <c r="M66" i="1" s="1"/>
  <c r="G66" i="1"/>
  <c r="K66" i="1" s="1"/>
  <c r="J67" i="1"/>
  <c r="M67" i="1" s="1"/>
  <c r="G67" i="1"/>
  <c r="K67" i="1" s="1"/>
  <c r="J68" i="1"/>
  <c r="M68" i="1" s="1"/>
  <c r="G68" i="1"/>
  <c r="K68" i="1" s="1"/>
  <c r="J69" i="1"/>
  <c r="M69" i="1" s="1"/>
  <c r="G69" i="1"/>
  <c r="K69" i="1" s="1"/>
  <c r="J70" i="1"/>
  <c r="M70" i="1" s="1"/>
  <c r="G70" i="1"/>
  <c r="K70" i="1" s="1"/>
  <c r="J71" i="1"/>
  <c r="M71" i="1" s="1"/>
  <c r="G71" i="1"/>
  <c r="K71" i="1" s="1"/>
  <c r="J72" i="1"/>
  <c r="M72" i="1" s="1"/>
  <c r="G72" i="1"/>
  <c r="K72" i="1" s="1"/>
  <c r="J73" i="1"/>
  <c r="M73" i="1" s="1"/>
  <c r="G73" i="1"/>
  <c r="K73" i="1" s="1"/>
  <c r="J74" i="1"/>
  <c r="M74" i="1" s="1"/>
  <c r="G74" i="1"/>
  <c r="K74" i="1" s="1"/>
  <c r="J75" i="1"/>
  <c r="M75" i="1" s="1"/>
  <c r="G75" i="1"/>
  <c r="K75" i="1" s="1"/>
  <c r="J76" i="1"/>
  <c r="M76" i="1" s="1"/>
  <c r="G76" i="1"/>
  <c r="K76" i="1" s="1"/>
  <c r="J77" i="1"/>
  <c r="M77" i="1" s="1"/>
  <c r="G77" i="1"/>
  <c r="K77" i="1" s="1"/>
  <c r="J78" i="1"/>
  <c r="M78" i="1" s="1"/>
  <c r="G78" i="1"/>
  <c r="K78" i="1" s="1"/>
  <c r="J79" i="1"/>
  <c r="M79" i="1" s="1"/>
  <c r="G79" i="1"/>
  <c r="K79" i="1" s="1"/>
  <c r="J80" i="1"/>
  <c r="M80" i="1" s="1"/>
  <c r="G80" i="1"/>
  <c r="K80" i="1" s="1"/>
  <c r="J81" i="1"/>
  <c r="M81" i="1" s="1"/>
  <c r="G81" i="1"/>
  <c r="K81" i="1" s="1"/>
  <c r="J82" i="1"/>
  <c r="M82" i="1" s="1"/>
  <c r="G82" i="1"/>
  <c r="K82" i="1" s="1"/>
  <c r="J83" i="1"/>
  <c r="M83" i="1" s="1"/>
  <c r="G83" i="1"/>
  <c r="K83" i="1" s="1"/>
  <c r="J84" i="1"/>
  <c r="M84" i="1" s="1"/>
  <c r="G84" i="1"/>
  <c r="K84" i="1" s="1"/>
  <c r="J85" i="1"/>
  <c r="M85" i="1" s="1"/>
  <c r="G85" i="1"/>
  <c r="K85" i="1" s="1"/>
  <c r="J86" i="1"/>
  <c r="M86" i="1" s="1"/>
  <c r="G86" i="1"/>
  <c r="K86" i="1" s="1"/>
  <c r="J87" i="1"/>
  <c r="M87" i="1" s="1"/>
  <c r="G87" i="1"/>
  <c r="K87" i="1" s="1"/>
  <c r="J88" i="1"/>
  <c r="M88" i="1" s="1"/>
  <c r="G88" i="1"/>
  <c r="K88" i="1" s="1"/>
  <c r="J89" i="1"/>
  <c r="M89" i="1" s="1"/>
  <c r="G89" i="1"/>
  <c r="K89" i="1" s="1"/>
  <c r="J90" i="1"/>
  <c r="M90" i="1" s="1"/>
  <c r="G90" i="1"/>
  <c r="K90" i="1" s="1"/>
  <c r="J91" i="1"/>
  <c r="M91" i="1" s="1"/>
  <c r="G91" i="1"/>
  <c r="K91" i="1" s="1"/>
  <c r="J92" i="1"/>
  <c r="M92" i="1" s="1"/>
  <c r="G92" i="1"/>
  <c r="K92" i="1" s="1"/>
  <c r="J93" i="1"/>
  <c r="M93" i="1" s="1"/>
  <c r="G93" i="1"/>
  <c r="K93" i="1" s="1"/>
  <c r="J94" i="1"/>
  <c r="M94" i="1" s="1"/>
  <c r="G94" i="1"/>
  <c r="K94" i="1" s="1"/>
  <c r="J95" i="1"/>
  <c r="M95" i="1" s="1"/>
  <c r="G95" i="1"/>
  <c r="K95" i="1" s="1"/>
  <c r="J96" i="1"/>
  <c r="M96" i="1" s="1"/>
  <c r="G96" i="1"/>
  <c r="K96" i="1" s="1"/>
  <c r="J97" i="1"/>
  <c r="M97" i="1" s="1"/>
  <c r="G97" i="1"/>
  <c r="K97" i="1" s="1"/>
  <c r="J98" i="1"/>
  <c r="M98" i="1" s="1"/>
  <c r="G98" i="1"/>
  <c r="K98" i="1" s="1"/>
  <c r="J99" i="1"/>
  <c r="M99" i="1" s="1"/>
  <c r="G99" i="1"/>
  <c r="K99" i="1" s="1"/>
  <c r="J100" i="1"/>
  <c r="M100" i="1" s="1"/>
  <c r="G100" i="1"/>
  <c r="K100" i="1" s="1"/>
  <c r="J101" i="1"/>
  <c r="M101" i="1" s="1"/>
  <c r="G101" i="1"/>
  <c r="K101" i="1" s="1"/>
  <c r="J102" i="1"/>
  <c r="M102" i="1" s="1"/>
  <c r="G102" i="1"/>
  <c r="K102" i="1" s="1"/>
  <c r="J103" i="1"/>
  <c r="M103" i="1" s="1"/>
  <c r="G103" i="1"/>
  <c r="K103" i="1" s="1"/>
  <c r="J104" i="1"/>
  <c r="M104" i="1" s="1"/>
  <c r="G104" i="1"/>
  <c r="K104" i="1" s="1"/>
  <c r="J105" i="1"/>
  <c r="M105" i="1" s="1"/>
  <c r="G105" i="1"/>
  <c r="K105" i="1" s="1"/>
  <c r="J106" i="1"/>
  <c r="M106" i="1" s="1"/>
  <c r="G106" i="1"/>
  <c r="K106" i="1" s="1"/>
  <c r="J107" i="1"/>
  <c r="M107" i="1" s="1"/>
  <c r="G107" i="1"/>
  <c r="K107" i="1" s="1"/>
  <c r="J108" i="1"/>
  <c r="M108" i="1" s="1"/>
  <c r="G108" i="1"/>
  <c r="K108" i="1" s="1"/>
  <c r="J109" i="1"/>
  <c r="M109" i="1" s="1"/>
  <c r="G109" i="1"/>
  <c r="K109" i="1" s="1"/>
  <c r="J110" i="1"/>
  <c r="M110" i="1" s="1"/>
  <c r="G110" i="1"/>
  <c r="K110" i="1" s="1"/>
  <c r="J111" i="1"/>
  <c r="M111" i="1" s="1"/>
  <c r="G111" i="1"/>
  <c r="K111" i="1" s="1"/>
  <c r="J112" i="1"/>
  <c r="M112" i="1" s="1"/>
  <c r="G112" i="1"/>
  <c r="K112" i="1" s="1"/>
  <c r="J113" i="1"/>
  <c r="M113" i="1" s="1"/>
  <c r="G113" i="1"/>
  <c r="K113" i="1" s="1"/>
  <c r="J114" i="1"/>
  <c r="M114" i="1" s="1"/>
  <c r="G114" i="1"/>
  <c r="K114" i="1" s="1"/>
  <c r="J115" i="1"/>
  <c r="M115" i="1" s="1"/>
  <c r="G115" i="1"/>
  <c r="K115" i="1" s="1"/>
  <c r="J116" i="1"/>
  <c r="M116" i="1" s="1"/>
  <c r="G116" i="1"/>
  <c r="K116" i="1" s="1"/>
  <c r="J117" i="1"/>
  <c r="M117" i="1" s="1"/>
  <c r="G117" i="1"/>
  <c r="K117" i="1" s="1"/>
  <c r="J118" i="1"/>
  <c r="M118" i="1" s="1"/>
  <c r="G118" i="1"/>
  <c r="K118" i="1" s="1"/>
  <c r="J119" i="1"/>
  <c r="M119" i="1" s="1"/>
  <c r="G119" i="1"/>
  <c r="K119" i="1" s="1"/>
  <c r="J120" i="1"/>
  <c r="M120" i="1" s="1"/>
  <c r="G120" i="1"/>
  <c r="K120" i="1" s="1"/>
  <c r="J121" i="1"/>
  <c r="M121" i="1" s="1"/>
  <c r="G121" i="1"/>
  <c r="K121" i="1" s="1"/>
  <c r="J122" i="1"/>
  <c r="M122" i="1" s="1"/>
  <c r="G122" i="1"/>
  <c r="K122" i="1" s="1"/>
  <c r="J123" i="1"/>
  <c r="M123" i="1" s="1"/>
  <c r="G123" i="1"/>
  <c r="K123" i="1" s="1"/>
  <c r="J124" i="1"/>
  <c r="M124" i="1" s="1"/>
  <c r="G124" i="1"/>
  <c r="K124" i="1" s="1"/>
  <c r="J125" i="1"/>
  <c r="M125" i="1" s="1"/>
  <c r="G125" i="1"/>
  <c r="K125" i="1" s="1"/>
  <c r="J126" i="1"/>
  <c r="M126" i="1" s="1"/>
  <c r="G126" i="1"/>
  <c r="K126" i="1" s="1"/>
  <c r="J127" i="1"/>
  <c r="M127" i="1" s="1"/>
  <c r="G127" i="1"/>
  <c r="K127" i="1" s="1"/>
  <c r="J128" i="1"/>
  <c r="M128" i="1" s="1"/>
  <c r="G128" i="1"/>
  <c r="K128" i="1" s="1"/>
  <c r="J129" i="1"/>
  <c r="M129" i="1" s="1"/>
  <c r="G129" i="1"/>
  <c r="K129" i="1" s="1"/>
  <c r="J130" i="1"/>
  <c r="M130" i="1" s="1"/>
  <c r="G130" i="1"/>
  <c r="K130" i="1" s="1"/>
  <c r="J131" i="1"/>
  <c r="M131" i="1" s="1"/>
  <c r="G131" i="1"/>
  <c r="K131" i="1" s="1"/>
  <c r="J132" i="1"/>
  <c r="M132" i="1" s="1"/>
  <c r="G132" i="1"/>
  <c r="K132" i="1" s="1"/>
  <c r="J133" i="1"/>
  <c r="M133" i="1" s="1"/>
  <c r="G133" i="1"/>
  <c r="K133" i="1" s="1"/>
  <c r="J134" i="1"/>
  <c r="M134" i="1" s="1"/>
  <c r="G134" i="1"/>
  <c r="K134" i="1" s="1"/>
  <c r="J135" i="1"/>
  <c r="M135" i="1" s="1"/>
  <c r="G135" i="1"/>
  <c r="K135" i="1" s="1"/>
  <c r="J136" i="1"/>
  <c r="M136" i="1" s="1"/>
  <c r="G136" i="1"/>
  <c r="K136" i="1" s="1"/>
  <c r="J137" i="1"/>
  <c r="M137" i="1" s="1"/>
  <c r="G137" i="1"/>
  <c r="K137" i="1" s="1"/>
  <c r="J138" i="1"/>
  <c r="M138" i="1" s="1"/>
  <c r="G138" i="1"/>
  <c r="K138" i="1" s="1"/>
  <c r="J139" i="1"/>
  <c r="M139" i="1" s="1"/>
  <c r="G139" i="1"/>
  <c r="K139" i="1" s="1"/>
  <c r="J140" i="1"/>
  <c r="M140" i="1" s="1"/>
  <c r="G140" i="1"/>
  <c r="K140" i="1" s="1"/>
  <c r="J141" i="1"/>
  <c r="M141" i="1" s="1"/>
  <c r="G141" i="1"/>
  <c r="K141" i="1" s="1"/>
  <c r="J142" i="1"/>
  <c r="M142" i="1" s="1"/>
  <c r="G142" i="1"/>
  <c r="K142" i="1" s="1"/>
  <c r="J143" i="1"/>
  <c r="M143" i="1" s="1"/>
  <c r="G143" i="1"/>
  <c r="K143" i="1" s="1"/>
  <c r="J144" i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K145" i="1" s="1"/>
  <c r="J146" i="1"/>
  <c r="M146" i="1" s="1"/>
  <c r="G146" i="1"/>
  <c r="K146" i="1" s="1"/>
  <c r="J147" i="1"/>
  <c r="M147" i="1" s="1"/>
  <c r="G147" i="1"/>
  <c r="K147" i="1" s="1"/>
  <c r="J148" i="1"/>
  <c r="M148" i="1" s="1"/>
  <c r="G148" i="1"/>
  <c r="K148" i="1" s="1"/>
  <c r="J149" i="1"/>
  <c r="M149" i="1" s="1"/>
  <c r="G149" i="1"/>
  <c r="K149" i="1" s="1"/>
  <c r="J150" i="1"/>
  <c r="M150" i="1" s="1"/>
  <c r="G150" i="1"/>
  <c r="K150" i="1" s="1"/>
  <c r="J151" i="1"/>
  <c r="M151" i="1" s="1"/>
  <c r="G151" i="1"/>
  <c r="K151" i="1" s="1"/>
  <c r="J152" i="1"/>
  <c r="M152" i="1" s="1"/>
  <c r="G152" i="1"/>
  <c r="K152" i="1" s="1"/>
  <c r="J153" i="1"/>
  <c r="M153" i="1" s="1"/>
  <c r="G153" i="1"/>
  <c r="K153" i="1" s="1"/>
  <c r="J154" i="1"/>
  <c r="M154" i="1" s="1"/>
  <c r="G154" i="1"/>
  <c r="K154" i="1" s="1"/>
  <c r="J155" i="1"/>
  <c r="M155" i="1" s="1"/>
  <c r="G155" i="1"/>
  <c r="K155" i="1" s="1"/>
  <c r="J156" i="1"/>
  <c r="M156" i="1" s="1"/>
  <c r="G156" i="1"/>
  <c r="K156" i="1" s="1"/>
  <c r="J157" i="1"/>
  <c r="M157" i="1" s="1"/>
  <c r="G157" i="1"/>
  <c r="K157" i="1" s="1"/>
  <c r="J158" i="1"/>
  <c r="M158" i="1" s="1"/>
  <c r="G158" i="1"/>
  <c r="K158" i="1" s="1"/>
  <c r="J159" i="1"/>
  <c r="M159" i="1" s="1"/>
  <c r="G159" i="1"/>
  <c r="K159" i="1" s="1"/>
  <c r="J160" i="1"/>
  <c r="M160" i="1" s="1"/>
  <c r="G160" i="1"/>
  <c r="K160" i="1" s="1"/>
  <c r="J161" i="1"/>
  <c r="M161" i="1" s="1"/>
  <c r="G161" i="1"/>
  <c r="K161" i="1" s="1"/>
  <c r="J162" i="1"/>
  <c r="M162" i="1" s="1"/>
  <c r="G162" i="1"/>
  <c r="K162" i="1" s="1"/>
  <c r="J163" i="1"/>
  <c r="M163" i="1" s="1"/>
  <c r="G163" i="1"/>
  <c r="K163" i="1" s="1"/>
  <c r="J164" i="1"/>
  <c r="M164" i="1" s="1"/>
  <c r="G164" i="1"/>
  <c r="K164" i="1" s="1"/>
  <c r="J165" i="1"/>
  <c r="M165" i="1" s="1"/>
  <c r="G165" i="1"/>
  <c r="K165" i="1" s="1"/>
  <c r="J166" i="1"/>
  <c r="M166" i="1" s="1"/>
  <c r="G166" i="1"/>
  <c r="K166" i="1" s="1"/>
  <c r="J167" i="1"/>
  <c r="M167" i="1" s="1"/>
  <c r="G167" i="1"/>
  <c r="K167" i="1" s="1"/>
  <c r="J168" i="1"/>
  <c r="M168" i="1" s="1"/>
  <c r="G168" i="1"/>
  <c r="K168" i="1" s="1"/>
  <c r="J169" i="1"/>
  <c r="M169" i="1" s="1"/>
  <c r="G169" i="1"/>
  <c r="K169" i="1" s="1"/>
  <c r="J170" i="1"/>
  <c r="M170" i="1" s="1"/>
  <c r="G170" i="1"/>
  <c r="K170" i="1" s="1"/>
  <c r="J171" i="1"/>
  <c r="M171" i="1" s="1"/>
  <c r="G171" i="1"/>
  <c r="K171" i="1" s="1"/>
  <c r="J172" i="1"/>
  <c r="M172" i="1" s="1"/>
  <c r="G172" i="1"/>
  <c r="K172" i="1" s="1"/>
  <c r="J173" i="1"/>
  <c r="M173" i="1" s="1"/>
  <c r="G173" i="1"/>
  <c r="K173" i="1" s="1"/>
  <c r="J174" i="1"/>
  <c r="M174" i="1" s="1"/>
  <c r="G174" i="1"/>
  <c r="K174" i="1" s="1"/>
  <c r="J175" i="1"/>
  <c r="M175" i="1" s="1"/>
  <c r="G175" i="1"/>
  <c r="K175" i="1" s="1"/>
  <c r="J176" i="1"/>
  <c r="M176" i="1" s="1"/>
  <c r="G176" i="1"/>
  <c r="K176" i="1" s="1"/>
  <c r="J177" i="1"/>
  <c r="M177" i="1" s="1"/>
  <c r="G177" i="1"/>
  <c r="K177" i="1" s="1"/>
  <c r="J178" i="1"/>
  <c r="M178" i="1" s="1"/>
  <c r="G178" i="1"/>
  <c r="K178" i="1" s="1"/>
  <c r="J179" i="1"/>
  <c r="M179" i="1" s="1"/>
  <c r="G179" i="1"/>
  <c r="K179" i="1" s="1"/>
  <c r="J180" i="1"/>
  <c r="M180" i="1" s="1"/>
  <c r="G180" i="1"/>
  <c r="K180" i="1" s="1"/>
  <c r="J181" i="1"/>
  <c r="M181" i="1" s="1"/>
  <c r="G181" i="1"/>
  <c r="K181" i="1" s="1"/>
  <c r="J182" i="1"/>
  <c r="M182" i="1" s="1"/>
  <c r="G182" i="1"/>
  <c r="K182" i="1" s="1"/>
  <c r="J183" i="1"/>
  <c r="M183" i="1" s="1"/>
  <c r="G183" i="1"/>
  <c r="K183" i="1" s="1"/>
  <c r="J184" i="1"/>
  <c r="M184" i="1" s="1"/>
  <c r="G184" i="1"/>
  <c r="K184" i="1" s="1"/>
  <c r="J185" i="1"/>
  <c r="M185" i="1" s="1"/>
  <c r="G185" i="1"/>
  <c r="K185" i="1" s="1"/>
  <c r="J186" i="1"/>
  <c r="M186" i="1" s="1"/>
  <c r="G186" i="1"/>
  <c r="K186" i="1" s="1"/>
  <c r="J187" i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<sst xmlns="http://schemas.openxmlformats.org/spreadsheetml/2006/main" count="40" uniqueCount="36">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</sst>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A140" zoomScale="85" zoomScaleNormal="85" workbookViewId="0">
      <selection activeCell="O148" sqref="O148"/>
    </sheetView>
  </sheetViews>
  <sheetFormatPr defaultRowHeight="15"/>
  <cols>
    <col min="10" max="10" width="12.28515625" customWidth="1"/>
    <col min="11" max="11" width="13.5703125" bestFit="1" customWidth="1"/>
    <col min="28" max="28" width="14" bestFit="1" customWidth="1"/>
  </cols>
  <sheetData>
    <row r="1" spans="1:29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-0.49557000000000001</v>
      </c>
      <c r="AC3" t="s">
        <v>30</v>
      </c>
    </row>
    <row r="4" spans="1:29">
      <c r="A4">
        <v>5.6458800000000003E-2</v>
      </c>
      <c r="B4">
        <v>0.95376000000000005</v>
      </c>
      <c r="C4">
        <f>A4*B4</f>
        <v>5.3848145088000003E-2</v>
      </c>
      <c r="D4">
        <v>1.6E-2</v>
      </c>
      <c r="E4">
        <v>3.5999999999999999E-3</v>
      </c>
      <c r="F4">
        <f>A4*200</f>
        <v>11.29176</v>
      </c>
      <c r="G4">
        <f>-B4</f>
        <v>-0.95376000000000005</v>
      </c>
      <c r="H4">
        <f t="shared" ref="H4" si="0">-C4*200</f>
        <v>-10.7696290176</v>
      </c>
      <c r="I4">
        <v>1</v>
      </c>
      <c r="J4">
        <f>LN(F4/1000)</f>
        <v>-4.4836820228018857</v>
      </c>
      <c r="K4">
        <f>((-G4)-$N$2)</f>
        <v>-0.2679651517752174</v>
      </c>
      <c r="L4">
        <v>1</v>
      </c>
      <c r="M4">
        <f>-1*($S$4+($S$5*J4))</f>
        <v>0.33132418323872737</v>
      </c>
      <c r="N4">
        <f>D4*A4</f>
        <v>9.0334080000000004E-4</v>
      </c>
      <c r="O4">
        <f>E4*A4</f>
        <v>2.0325168000000002E-4</v>
      </c>
      <c r="P4">
        <f>-K4-M4-N4-O4</f>
        <v>-6.4465623943509964E-2</v>
      </c>
      <c r="R4" s="2" t="s">
        <v>16</v>
      </c>
      <c r="S4">
        <v>-0.59899999999999998</v>
      </c>
      <c r="V4">
        <v>-6</v>
      </c>
      <c r="W4">
        <f>V4*$S$5+$S$4</f>
        <v>-0.24079999999999996</v>
      </c>
      <c r="Y4">
        <v>0</v>
      </c>
      <c r="Z4">
        <f>$AB$4*Y4+$AB$3</f>
        <v>-0.49557000000000001</v>
      </c>
      <c r="AB4">
        <v>13.90432</v>
      </c>
      <c r="AC4" t="s">
        <v>31</v>
      </c>
    </row>
    <row r="5" spans="1:29">
      <c r="A5">
        <v>0.10686795</v>
      </c>
      <c r="B5">
        <v>0.86148999999999998</v>
      </c>
      <c r="C5">
        <f t="shared" ref="C5:C68" si="1">A5*B5</f>
        <v>9.2065670245499998E-2</v>
      </c>
      <c r="D5">
        <v>1.6E-2</v>
      </c>
      <c r="E5">
        <v>3.5999999999999999E-3</v>
      </c>
      <c r="F5">
        <f t="shared" ref="F5:F68" si="2">A5*200</f>
        <v>21.37359</v>
      </c>
      <c r="G5">
        <f t="shared" ref="G5:G68" si="3">-B5</f>
        <v>-0.86148999999999998</v>
      </c>
      <c r="H5">
        <f t="shared" ref="H5:H68" si="4">-C5*200</f>
        <v>-18.413134049099998</v>
      </c>
      <c r="I5">
        <v>1</v>
      </c>
      <c r="J5">
        <f t="shared" ref="J5:J68" si="5">LN(F5/1000)</f>
        <v>-3.8455992312473741</v>
      </c>
      <c r="K5">
        <f t="shared" ref="K5:K68" si="6">((-G5)-$N$2)</f>
        <v>-0.36023515177521748</v>
      </c>
      <c r="L5">
        <v>1</v>
      </c>
      <c r="M5">
        <f t="shared" ref="M5:M68" si="7">-1*($S$4+($S$5*J5))</f>
        <v>0.3694177258945317</v>
      </c>
      <c r="N5">
        <f t="shared" ref="N5:N6" si="8">D5*A5</f>
        <v>1.7098872000000001E-3</v>
      </c>
      <c r="O5">
        <f>E5*A5</f>
        <v>3.8472461999999999E-4</v>
      </c>
      <c r="P5">
        <f>-K5-M5-N5-O5</f>
        <v>-1.1277185939314224E-2</v>
      </c>
      <c r="R5" s="2" t="s">
        <v>17</v>
      </c>
      <c r="S5">
        <v>-5.9700000000000003E-2</v>
      </c>
      <c r="V5">
        <v>-5.9</v>
      </c>
      <c r="W5">
        <f t="shared" ref="W5:W68" si="9">V5*$S$5+$S$4</f>
        <v>-0.24676999999999993</v>
      </c>
      <c r="Y5">
        <v>0.01</v>
      </c>
      <c r="Z5">
        <f t="shared" ref="Z5:Z31" si="10">$AB$4*Y5+$AB$3</f>
        <v>-0.35652680000000003</v>
      </c>
    </row>
    <row r="6" spans="1:29">
      <c r="A6">
        <v>0.15931385000000001</v>
      </c>
      <c r="B6">
        <v>0.82933999999999997</v>
      </c>
      <c r="C6">
        <f t="shared" si="1"/>
        <v>0.132125348359</v>
      </c>
      <c r="D6">
        <v>1.6E-2</v>
      </c>
      <c r="E6">
        <v>3.5999999999999999E-3</v>
      </c>
      <c r="F6">
        <f t="shared" si="2"/>
        <v>31.862770000000001</v>
      </c>
      <c r="G6">
        <f t="shared" si="3"/>
        <v>-0.82933999999999997</v>
      </c>
      <c r="H6">
        <f t="shared" si="4"/>
        <v>-26.425069671799999</v>
      </c>
      <c r="I6">
        <v>1</v>
      </c>
      <c r="J6">
        <f t="shared" si="5"/>
        <v>-3.4463170354044688</v>
      </c>
      <c r="K6">
        <f t="shared" si="6"/>
        <v>-0.39238515177521749</v>
      </c>
      <c r="L6">
        <v>1</v>
      </c>
      <c r="M6">
        <f t="shared" si="7"/>
        <v>0.3932548729863532</v>
      </c>
      <c r="N6">
        <f t="shared" si="8"/>
        <v>2.5490216E-3</v>
      </c>
      <c r="O6">
        <f t="shared" ref="O6:O69" si="11">E6*A6</f>
        <v>5.7352985999999996E-4</v>
      </c>
      <c r="P6">
        <f t="shared" ref="P6:P69" si="12">-K6-M6-N6-O6</f>
        <v>-3.9922726711357102E-3</v>
      </c>
      <c r="V6">
        <v>-5.8</v>
      </c>
      <c r="W6">
        <f t="shared" si="9"/>
        <v>-0.25273999999999996</v>
      </c>
      <c r="Y6">
        <v>0.02</v>
      </c>
      <c r="Z6">
        <f t="shared" si="10"/>
        <v>-0.2174836</v>
      </c>
      <c r="AB6" t="s">
        <v>32</v>
      </c>
    </row>
    <row r="7" spans="1:29">
      <c r="A7">
        <v>0.2117597</v>
      </c>
      <c r="B7">
        <v>0.81110000000000004</v>
      </c>
      <c r="C7">
        <f t="shared" si="1"/>
        <v>0.17175829267000001</v>
      </c>
      <c r="D7">
        <v>1.6E-2</v>
      </c>
      <c r="E7">
        <v>3.5999999999999999E-3</v>
      </c>
      <c r="F7">
        <f t="shared" si="2"/>
        <v>42.351939999999999</v>
      </c>
      <c r="G7">
        <f t="shared" si="3"/>
        <v>-0.81110000000000004</v>
      </c>
      <c r="H7">
        <f t="shared" si="4"/>
        <v>-34.351658534000002</v>
      </c>
      <c r="I7">
        <v>1</v>
      </c>
      <c r="J7">
        <f t="shared" si="5"/>
        <v>-3.1617410501965439</v>
      </c>
      <c r="K7">
        <f t="shared" si="6"/>
        <v>-0.41062515177521741</v>
      </c>
      <c r="L7">
        <v>1</v>
      </c>
      <c r="M7">
        <f t="shared" si="7"/>
        <v>0.4102440593032663</v>
      </c>
      <c r="N7">
        <f t="shared" ref="N7:N70" si="13">D7*A7</f>
        <v>3.3881552E-3</v>
      </c>
      <c r="O7">
        <f t="shared" si="11"/>
        <v>7.6233491999999994E-4</v>
      </c>
      <c r="P7">
        <f t="shared" si="12"/>
        <v>-3.7693976480488835E-3</v>
      </c>
      <c r="V7">
        <v>-5.7</v>
      </c>
      <c r="W7">
        <f t="shared" si="9"/>
        <v>-0.25870999999999994</v>
      </c>
      <c r="Y7">
        <v>0.03</v>
      </c>
      <c r="Z7">
        <f t="shared" si="10"/>
        <v>-7.8440400000000021E-2</v>
      </c>
      <c r="AB7" t="s">
        <v>33</v>
      </c>
      <c r="AC7">
        <f>-AB3/AB4</f>
        <v>3.5641440933465281E-2</v>
      </c>
    </row>
    <row r="8" spans="1:29">
      <c r="A8">
        <v>0.26267805</v>
      </c>
      <c r="B8">
        <v>0.79810000000000003</v>
      </c>
      <c r="C8">
        <f t="shared" si="1"/>
        <v>0.20964335170500001</v>
      </c>
      <c r="D8">
        <v>1.6E-2</v>
      </c>
      <c r="E8">
        <v>3.5999999999999999E-3</v>
      </c>
      <c r="F8">
        <f t="shared" si="2"/>
        <v>52.535609999999998</v>
      </c>
      <c r="G8">
        <f t="shared" si="3"/>
        <v>-0.79810000000000003</v>
      </c>
      <c r="H8">
        <f t="shared" si="4"/>
        <v>-41.928670341</v>
      </c>
      <c r="I8">
        <v>1</v>
      </c>
      <c r="J8">
        <f t="shared" si="5"/>
        <v>-2.9462640536020612</v>
      </c>
      <c r="K8">
        <f t="shared" si="6"/>
        <v>-0.42362515177521742</v>
      </c>
      <c r="L8">
        <v>1</v>
      </c>
      <c r="M8">
        <f t="shared" si="7"/>
        <v>0.42310803599995694</v>
      </c>
      <c r="N8">
        <f t="shared" si="13"/>
        <v>4.2028487999999998E-3</v>
      </c>
      <c r="O8">
        <f t="shared" si="11"/>
        <v>9.4564097999999997E-4</v>
      </c>
      <c r="P8">
        <f t="shared" si="12"/>
        <v>-4.6313740047395201E-3</v>
      </c>
      <c r="V8">
        <v>-5.6</v>
      </c>
      <c r="W8">
        <f t="shared" si="9"/>
        <v>-0.26467999999999997</v>
      </c>
      <c r="Y8">
        <v>0.04</v>
      </c>
      <c r="Z8">
        <f t="shared" si="10"/>
        <v>6.0602800000000012E-2</v>
      </c>
    </row>
    <row r="9" spans="1:29">
      <c r="A9">
        <v>0.31359635000000002</v>
      </c>
      <c r="B9">
        <v>0.78847999999999996</v>
      </c>
      <c r="C9">
        <f t="shared" si="1"/>
        <v>0.24726445004800002</v>
      </c>
      <c r="D9">
        <v>1.6E-2</v>
      </c>
      <c r="E9">
        <v>3.5999999999999999E-3</v>
      </c>
      <c r="F9">
        <f t="shared" si="2"/>
        <v>62.719270000000002</v>
      </c>
      <c r="G9">
        <f t="shared" si="3"/>
        <v>-0.78847999999999996</v>
      </c>
      <c r="H9">
        <f t="shared" si="4"/>
        <v>-49.452890009600004</v>
      </c>
      <c r="I9">
        <v>1</v>
      </c>
      <c r="J9">
        <f t="shared" si="5"/>
        <v>-2.7690865420383308</v>
      </c>
      <c r="K9">
        <f t="shared" si="6"/>
        <v>-0.4332451517752175</v>
      </c>
      <c r="L9">
        <v>1</v>
      </c>
      <c r="M9">
        <f t="shared" si="7"/>
        <v>0.43368553344031158</v>
      </c>
      <c r="N9">
        <f t="shared" si="13"/>
        <v>5.0175416000000006E-3</v>
      </c>
      <c r="O9">
        <f t="shared" si="11"/>
        <v>1.1289468600000001E-3</v>
      </c>
      <c r="P9">
        <f t="shared" si="12"/>
        <v>-6.5868701250940808E-3</v>
      </c>
      <c r="V9">
        <v>-5.5</v>
      </c>
      <c r="W9">
        <f t="shared" si="9"/>
        <v>-0.27064999999999995</v>
      </c>
      <c r="Y9">
        <v>0.05</v>
      </c>
      <c r="Z9">
        <f t="shared" si="10"/>
        <v>0.19964600000000005</v>
      </c>
      <c r="AB9" t="s">
        <v>35</v>
      </c>
      <c r="AC9">
        <v>3.4259999999999999E-2</v>
      </c>
    </row>
    <row r="10" spans="1:29">
      <c r="A10">
        <v>0.36502389999999996</v>
      </c>
      <c r="B10">
        <v>0.77853000000000006</v>
      </c>
      <c r="C10">
        <f t="shared" si="1"/>
        <v>0.28418205686699999</v>
      </c>
      <c r="D10">
        <v>1.6E-2</v>
      </c>
      <c r="E10">
        <v>3.5999999999999999E-3</v>
      </c>
      <c r="F10">
        <f t="shared" si="2"/>
        <v>73.004779999999997</v>
      </c>
      <c r="G10">
        <f t="shared" si="3"/>
        <v>-0.77853000000000006</v>
      </c>
      <c r="H10">
        <f t="shared" si="4"/>
        <v>-56.836411373399997</v>
      </c>
      <c r="I10">
        <v>1</v>
      </c>
      <c r="J10">
        <f t="shared" si="5"/>
        <v>-2.6172303605253768</v>
      </c>
      <c r="K10">
        <f t="shared" si="6"/>
        <v>-0.4431951517752174</v>
      </c>
      <c r="L10">
        <v>1</v>
      </c>
      <c r="M10">
        <f t="shared" si="7"/>
        <v>0.44275134747663497</v>
      </c>
      <c r="N10">
        <f t="shared" si="13"/>
        <v>5.8403823999999991E-3</v>
      </c>
      <c r="O10">
        <f t="shared" si="11"/>
        <v>1.3140860399999997E-3</v>
      </c>
      <c r="P10">
        <f t="shared" si="12"/>
        <v>-6.7106641414175702E-3</v>
      </c>
      <c r="V10">
        <v>-5.4</v>
      </c>
      <c r="W10">
        <f t="shared" si="9"/>
        <v>-0.27661999999999992</v>
      </c>
      <c r="Y10">
        <v>0.06</v>
      </c>
      <c r="Z10">
        <f t="shared" si="10"/>
        <v>0.33868919999999997</v>
      </c>
    </row>
    <row r="11" spans="1:29">
      <c r="A11">
        <v>0.41645139999999997</v>
      </c>
      <c r="B11">
        <v>0.77081999999999995</v>
      </c>
      <c r="C11">
        <f t="shared" si="1"/>
        <v>0.32100906814799995</v>
      </c>
      <c r="D11">
        <v>1.6E-2</v>
      </c>
      <c r="E11">
        <v>3.5999999999999999E-3</v>
      </c>
      <c r="F11">
        <f t="shared" si="2"/>
        <v>83.290279999999996</v>
      </c>
      <c r="G11">
        <f t="shared" si="3"/>
        <v>-0.77081999999999995</v>
      </c>
      <c r="H11">
        <f t="shared" si="4"/>
        <v>-64.201813629599997</v>
      </c>
      <c r="I11">
        <v>1</v>
      </c>
      <c r="J11">
        <f t="shared" si="5"/>
        <v>-2.4854234232924295</v>
      </c>
      <c r="K11">
        <f t="shared" si="6"/>
        <v>-0.45090515177521751</v>
      </c>
      <c r="L11">
        <v>1</v>
      </c>
      <c r="M11">
        <f t="shared" si="7"/>
        <v>0.45062022162944193</v>
      </c>
      <c r="N11">
        <f t="shared" si="13"/>
        <v>6.6632224E-3</v>
      </c>
      <c r="O11">
        <f t="shared" si="11"/>
        <v>1.4992250399999999E-3</v>
      </c>
      <c r="P11">
        <f t="shared" si="12"/>
        <v>-7.8775172942244249E-3</v>
      </c>
      <c r="V11">
        <v>-5.3</v>
      </c>
      <c r="W11">
        <f t="shared" si="9"/>
        <v>-0.28258999999999995</v>
      </c>
      <c r="Y11">
        <v>7.0000000000000007E-2</v>
      </c>
      <c r="Z11">
        <f t="shared" si="10"/>
        <v>0.47773240000000011</v>
      </c>
      <c r="AB11" t="s">
        <v>34</v>
      </c>
      <c r="AC11">
        <f>AC7-AC9</f>
        <v>1.3814409334652819E-3</v>
      </c>
    </row>
    <row r="12" spans="1:29">
      <c r="A12">
        <v>0.4673697</v>
      </c>
      <c r="B12">
        <v>0.76356000000000002</v>
      </c>
      <c r="C12">
        <f t="shared" si="1"/>
        <v>0.356864808132</v>
      </c>
      <c r="D12">
        <v>1.6E-2</v>
      </c>
      <c r="E12">
        <v>3.5999999999999999E-3</v>
      </c>
      <c r="F12">
        <f t="shared" si="2"/>
        <v>93.473939999999999</v>
      </c>
      <c r="G12">
        <f t="shared" si="3"/>
        <v>-0.76356000000000002</v>
      </c>
      <c r="H12">
        <f t="shared" si="4"/>
        <v>-71.372961626399999</v>
      </c>
      <c r="I12">
        <v>1</v>
      </c>
      <c r="J12">
        <f t="shared" si="5"/>
        <v>-2.3700725981137198</v>
      </c>
      <c r="K12">
        <f t="shared" si="6"/>
        <v>-0.45816515177521744</v>
      </c>
      <c r="L12">
        <v>1</v>
      </c>
      <c r="M12">
        <f t="shared" si="7"/>
        <v>0.45750666589261091</v>
      </c>
      <c r="N12">
        <f t="shared" si="13"/>
        <v>7.4779152E-3</v>
      </c>
      <c r="O12">
        <f t="shared" si="11"/>
        <v>1.68253092E-3</v>
      </c>
      <c r="P12">
        <f t="shared" si="12"/>
        <v>-8.5019602373934706E-3</v>
      </c>
      <c r="V12">
        <v>-5.2</v>
      </c>
      <c r="W12">
        <f t="shared" si="9"/>
        <v>-0.28855999999999993</v>
      </c>
      <c r="Y12">
        <v>0.08</v>
      </c>
      <c r="Z12">
        <f t="shared" si="10"/>
        <v>0.61677559999999998</v>
      </c>
      <c r="AC12">
        <f>AC11*3</f>
        <v>4.1443228003958457E-3</v>
      </c>
    </row>
    <row r="13" spans="1:29">
      <c r="A13">
        <v>0.51828809999999992</v>
      </c>
      <c r="B13">
        <v>0.75665000000000004</v>
      </c>
      <c r="C13">
        <f t="shared" si="1"/>
        <v>0.39216269086499994</v>
      </c>
      <c r="D13">
        <v>1.6E-2</v>
      </c>
      <c r="E13">
        <v>3.5999999999999999E-3</v>
      </c>
      <c r="F13">
        <f t="shared" si="2"/>
        <v>103.65761999999998</v>
      </c>
      <c r="G13">
        <f t="shared" si="3"/>
        <v>-0.75665000000000004</v>
      </c>
      <c r="H13">
        <f t="shared" si="4"/>
        <v>-78.432538172999983</v>
      </c>
      <c r="I13">
        <v>1</v>
      </c>
      <c r="J13">
        <f t="shared" si="5"/>
        <v>-2.2666619261600176</v>
      </c>
      <c r="K13">
        <f t="shared" si="6"/>
        <v>-0.46507515177521741</v>
      </c>
      <c r="L13">
        <v>1</v>
      </c>
      <c r="M13">
        <f t="shared" si="7"/>
        <v>0.46368028300824693</v>
      </c>
      <c r="N13">
        <f t="shared" si="13"/>
        <v>8.2926095999999987E-3</v>
      </c>
      <c r="O13">
        <f t="shared" si="11"/>
        <v>1.8658371599999998E-3</v>
      </c>
      <c r="P13">
        <f t="shared" si="12"/>
        <v>-8.7635779930295178E-3</v>
      </c>
      <c r="V13">
        <v>-5.0999999999999996</v>
      </c>
      <c r="W13">
        <f t="shared" si="9"/>
        <v>-0.29452999999999996</v>
      </c>
      <c r="Y13">
        <v>0.09</v>
      </c>
      <c r="Z13">
        <f t="shared" si="10"/>
        <v>0.7558187999999999</v>
      </c>
    </row>
    <row r="14" spans="1:29">
      <c r="A14">
        <v>0.57480745</v>
      </c>
      <c r="B14">
        <v>0.75021000000000004</v>
      </c>
      <c r="C14">
        <f t="shared" si="1"/>
        <v>0.4312262970645</v>
      </c>
      <c r="D14">
        <v>1.6E-2</v>
      </c>
      <c r="E14">
        <v>3.5999999999999999E-3</v>
      </c>
      <c r="F14">
        <f t="shared" si="2"/>
        <v>114.96149</v>
      </c>
      <c r="G14">
        <f t="shared" si="3"/>
        <v>-0.75021000000000004</v>
      </c>
      <c r="H14">
        <f t="shared" si="4"/>
        <v>-86.245259412899998</v>
      </c>
      <c r="I14">
        <v>1</v>
      </c>
      <c r="J14">
        <f t="shared" si="5"/>
        <v>-2.1631580762654377</v>
      </c>
      <c r="K14">
        <f t="shared" si="6"/>
        <v>-0.47151515177521741</v>
      </c>
      <c r="L14">
        <v>1</v>
      </c>
      <c r="M14">
        <f t="shared" si="7"/>
        <v>0.46985946284695335</v>
      </c>
      <c r="N14">
        <f t="shared" si="13"/>
        <v>9.1969192000000005E-3</v>
      </c>
      <c r="O14">
        <f t="shared" si="11"/>
        <v>2.0693068200000001E-3</v>
      </c>
      <c r="P14">
        <f t="shared" si="12"/>
        <v>-9.6105370917359354E-3</v>
      </c>
      <c r="V14">
        <v>-5</v>
      </c>
      <c r="W14">
        <f t="shared" si="9"/>
        <v>-0.30049999999999999</v>
      </c>
      <c r="Y14">
        <v>0.1</v>
      </c>
      <c r="Z14">
        <f t="shared" si="10"/>
        <v>0.89486200000000005</v>
      </c>
    </row>
    <row r="15" spans="1:29">
      <c r="A15">
        <v>0.62521654999999998</v>
      </c>
      <c r="B15">
        <v>0.74433000000000005</v>
      </c>
      <c r="C15">
        <f t="shared" si="1"/>
        <v>0.46536743466149999</v>
      </c>
      <c r="D15">
        <v>1.6E-2</v>
      </c>
      <c r="E15">
        <v>3.5999999999999999E-3</v>
      </c>
      <c r="F15">
        <f t="shared" si="2"/>
        <v>125.04330999999999</v>
      </c>
      <c r="G15">
        <f t="shared" si="3"/>
        <v>-0.74433000000000005</v>
      </c>
      <c r="H15">
        <f t="shared" si="4"/>
        <v>-93.0734869323</v>
      </c>
      <c r="I15">
        <v>1</v>
      </c>
      <c r="J15">
        <f t="shared" si="5"/>
        <v>-2.0790951216901701</v>
      </c>
      <c r="K15">
        <f t="shared" si="6"/>
        <v>-0.47739515177521741</v>
      </c>
      <c r="L15">
        <v>1</v>
      </c>
      <c r="M15">
        <f t="shared" si="7"/>
        <v>0.47487802123509681</v>
      </c>
      <c r="N15">
        <f t="shared" si="13"/>
        <v>1.00034648E-2</v>
      </c>
      <c r="O15">
        <f t="shared" si="11"/>
        <v>2.2507795799999999E-3</v>
      </c>
      <c r="P15">
        <f t="shared" si="12"/>
        <v>-9.7371138398794077E-3</v>
      </c>
      <c r="V15">
        <v>-4.9000000000000004</v>
      </c>
      <c r="W15">
        <f t="shared" si="9"/>
        <v>-0.30646999999999996</v>
      </c>
      <c r="Y15">
        <v>0.11</v>
      </c>
      <c r="Z15">
        <f t="shared" si="10"/>
        <v>1.0339052</v>
      </c>
    </row>
    <row r="16" spans="1:29">
      <c r="A16">
        <v>0.67715325000000004</v>
      </c>
      <c r="B16">
        <v>0.73782000000000003</v>
      </c>
      <c r="C16">
        <f t="shared" si="1"/>
        <v>0.49961721091500005</v>
      </c>
      <c r="D16">
        <v>1.6E-2</v>
      </c>
      <c r="E16">
        <v>3.5999999999999999E-3</v>
      </c>
      <c r="F16">
        <f t="shared" si="2"/>
        <v>135.43065000000001</v>
      </c>
      <c r="G16">
        <f t="shared" si="3"/>
        <v>-0.73782000000000003</v>
      </c>
      <c r="H16">
        <f t="shared" si="4"/>
        <v>-99.923442183000006</v>
      </c>
      <c r="I16">
        <v>1</v>
      </c>
      <c r="J16">
        <f t="shared" si="5"/>
        <v>-1.9992955777989436</v>
      </c>
      <c r="K16">
        <f t="shared" si="6"/>
        <v>-0.48390515177521742</v>
      </c>
      <c r="L16">
        <v>1</v>
      </c>
      <c r="M16">
        <f t="shared" si="7"/>
        <v>0.47964205400540305</v>
      </c>
      <c r="N16">
        <f t="shared" si="13"/>
        <v>1.0834452000000001E-2</v>
      </c>
      <c r="O16">
        <f t="shared" si="11"/>
        <v>2.4377517E-3</v>
      </c>
      <c r="P16">
        <f t="shared" si="12"/>
        <v>-9.0091059301856298E-3</v>
      </c>
      <c r="V16">
        <v>-4.8</v>
      </c>
      <c r="W16">
        <f t="shared" si="9"/>
        <v>-0.31244</v>
      </c>
      <c r="Y16">
        <v>0.12</v>
      </c>
      <c r="Z16">
        <f t="shared" si="10"/>
        <v>1.1729483999999999</v>
      </c>
    </row>
    <row r="17" spans="1:26">
      <c r="A17">
        <v>0.72807159999999993</v>
      </c>
      <c r="B17">
        <v>0.73179000000000005</v>
      </c>
      <c r="C17">
        <f t="shared" si="1"/>
        <v>0.532795516164</v>
      </c>
      <c r="D17">
        <v>1.6E-2</v>
      </c>
      <c r="E17">
        <v>3.5999999999999999E-3</v>
      </c>
      <c r="F17">
        <f t="shared" si="2"/>
        <v>145.61431999999999</v>
      </c>
      <c r="G17">
        <f t="shared" si="3"/>
        <v>-0.73179000000000005</v>
      </c>
      <c r="H17">
        <f t="shared" si="4"/>
        <v>-106.5591032328</v>
      </c>
      <c r="I17">
        <v>1</v>
      </c>
      <c r="J17">
        <f t="shared" si="5"/>
        <v>-1.9267937964074062</v>
      </c>
      <c r="K17">
        <f t="shared" si="6"/>
        <v>-0.4899351517752174</v>
      </c>
      <c r="L17">
        <v>1</v>
      </c>
      <c r="M17">
        <f t="shared" si="7"/>
        <v>0.48397041035447785</v>
      </c>
      <c r="N17">
        <f t="shared" si="13"/>
        <v>1.1649145599999999E-2</v>
      </c>
      <c r="O17">
        <f t="shared" si="11"/>
        <v>2.6210577599999996E-3</v>
      </c>
      <c r="P17">
        <f t="shared" si="12"/>
        <v>-8.305461939260449E-3</v>
      </c>
      <c r="V17">
        <v>-4.7</v>
      </c>
      <c r="W17">
        <f t="shared" si="9"/>
        <v>-0.31840999999999997</v>
      </c>
      <c r="Y17">
        <v>0.13</v>
      </c>
      <c r="Z17">
        <f t="shared" si="10"/>
        <v>1.3119916</v>
      </c>
    </row>
    <row r="18" spans="1:26">
      <c r="A18">
        <v>0.7794991</v>
      </c>
      <c r="B18">
        <v>0.72614000000000001</v>
      </c>
      <c r="C18">
        <f t="shared" si="1"/>
        <v>0.56602547647400003</v>
      </c>
      <c r="D18">
        <v>1.6E-2</v>
      </c>
      <c r="E18">
        <v>3.5999999999999999E-3</v>
      </c>
      <c r="F18">
        <f t="shared" si="2"/>
        <v>155.89982000000001</v>
      </c>
      <c r="G18">
        <f t="shared" si="3"/>
        <v>-0.72614000000000001</v>
      </c>
      <c r="H18">
        <f t="shared" si="4"/>
        <v>-113.2050952948</v>
      </c>
      <c r="I18">
        <v>1</v>
      </c>
      <c r="J18">
        <f t="shared" si="5"/>
        <v>-1.8585416575053459</v>
      </c>
      <c r="K18">
        <f t="shared" si="6"/>
        <v>-0.49558515177521745</v>
      </c>
      <c r="L18">
        <v>1</v>
      </c>
      <c r="M18">
        <f t="shared" si="7"/>
        <v>0.48804506304693085</v>
      </c>
      <c r="N18">
        <f t="shared" si="13"/>
        <v>1.2471985600000001E-2</v>
      </c>
      <c r="O18">
        <f t="shared" si="11"/>
        <v>2.8061967599999999E-3</v>
      </c>
      <c r="P18">
        <f t="shared" si="12"/>
        <v>-7.7380936317134026E-3</v>
      </c>
      <c r="V18">
        <v>-4.5999999999999996</v>
      </c>
      <c r="W18">
        <f t="shared" si="9"/>
        <v>-0.32438</v>
      </c>
      <c r="Y18">
        <v>0.14000000000000001</v>
      </c>
      <c r="Z18">
        <f t="shared" si="10"/>
        <v>1.4510348000000002</v>
      </c>
    </row>
    <row r="19" spans="1:26">
      <c r="A19">
        <v>0.83041735000000005</v>
      </c>
      <c r="B19">
        <v>0.72080999999999995</v>
      </c>
      <c r="C19">
        <f t="shared" si="1"/>
        <v>0.59857313005349999</v>
      </c>
      <c r="D19">
        <v>1.6E-2</v>
      </c>
      <c r="E19">
        <v>3.5999999999999999E-3</v>
      </c>
      <c r="F19">
        <f t="shared" si="2"/>
        <v>166.08347000000001</v>
      </c>
      <c r="G19">
        <f t="shared" si="3"/>
        <v>-0.72080999999999995</v>
      </c>
      <c r="H19">
        <f t="shared" si="4"/>
        <v>-119.7146260107</v>
      </c>
      <c r="I19">
        <v>1</v>
      </c>
      <c r="J19">
        <f t="shared" si="5"/>
        <v>-1.7952647856776009</v>
      </c>
      <c r="K19">
        <f t="shared" si="6"/>
        <v>-0.5009151517752175</v>
      </c>
      <c r="L19">
        <v>1</v>
      </c>
      <c r="M19">
        <f t="shared" si="7"/>
        <v>0.49182269229504721</v>
      </c>
      <c r="N19">
        <f t="shared" si="13"/>
        <v>1.3286677600000001E-2</v>
      </c>
      <c r="O19">
        <f t="shared" si="11"/>
        <v>2.9895024600000001E-3</v>
      </c>
      <c r="P19">
        <f t="shared" si="12"/>
        <v>-7.1837205798297114E-3</v>
      </c>
      <c r="V19">
        <v>-4.5000000000000098</v>
      </c>
      <c r="W19">
        <f t="shared" si="9"/>
        <v>-0.33034999999999937</v>
      </c>
      <c r="Y19">
        <v>0.15</v>
      </c>
      <c r="Z19">
        <f t="shared" si="10"/>
        <v>1.5900779999999999</v>
      </c>
    </row>
    <row r="20" spans="1:26">
      <c r="A20">
        <v>0.88439080000000003</v>
      </c>
      <c r="B20">
        <v>0.71582999999999997</v>
      </c>
      <c r="C20">
        <f t="shared" si="1"/>
        <v>0.63307346636399997</v>
      </c>
      <c r="D20">
        <v>1.6E-2</v>
      </c>
      <c r="E20">
        <v>3.5999999999999999E-3</v>
      </c>
      <c r="F20">
        <f t="shared" si="2"/>
        <v>176.87816000000001</v>
      </c>
      <c r="G20">
        <f t="shared" si="3"/>
        <v>-0.71582999999999997</v>
      </c>
      <c r="H20">
        <f t="shared" si="4"/>
        <v>-126.6146932728</v>
      </c>
      <c r="I20">
        <v>1</v>
      </c>
      <c r="J20">
        <f t="shared" si="5"/>
        <v>-1.7322941450198435</v>
      </c>
      <c r="K20">
        <f t="shared" si="6"/>
        <v>-0.50589515177521749</v>
      </c>
      <c r="L20">
        <v>1</v>
      </c>
      <c r="M20">
        <f t="shared" si="7"/>
        <v>0.49558203954231533</v>
      </c>
      <c r="N20">
        <f t="shared" si="13"/>
        <v>1.4150252800000001E-2</v>
      </c>
      <c r="O20">
        <f t="shared" si="11"/>
        <v>3.1838068799999999E-3</v>
      </c>
      <c r="P20">
        <f t="shared" si="12"/>
        <v>-7.0209474470978453E-3</v>
      </c>
      <c r="V20">
        <v>-4.4000000000000101</v>
      </c>
      <c r="W20">
        <f t="shared" si="9"/>
        <v>-0.33631999999999934</v>
      </c>
      <c r="Y20">
        <v>0.16</v>
      </c>
      <c r="Z20">
        <f t="shared" si="10"/>
        <v>1.7291212</v>
      </c>
    </row>
    <row r="21" spans="1:26">
      <c r="A21">
        <v>0.93530919999999995</v>
      </c>
      <c r="B21">
        <v>0.71077000000000001</v>
      </c>
      <c r="C21">
        <f t="shared" si="1"/>
        <v>0.66478972008399995</v>
      </c>
      <c r="D21">
        <v>1.6E-2</v>
      </c>
      <c r="E21">
        <v>3.5999999999999999E-3</v>
      </c>
      <c r="F21">
        <f t="shared" si="2"/>
        <v>187.06183999999999</v>
      </c>
      <c r="G21">
        <f t="shared" si="3"/>
        <v>-0.71077000000000001</v>
      </c>
      <c r="H21">
        <f t="shared" si="4"/>
        <v>-132.95794401679998</v>
      </c>
      <c r="I21">
        <v>1</v>
      </c>
      <c r="J21">
        <f t="shared" si="5"/>
        <v>-1.6763160216079862</v>
      </c>
      <c r="K21">
        <f t="shared" si="6"/>
        <v>-0.51095515177521744</v>
      </c>
      <c r="L21">
        <v>1</v>
      </c>
      <c r="M21">
        <f t="shared" si="7"/>
        <v>0.49892393351000319</v>
      </c>
      <c r="N21">
        <f t="shared" si="13"/>
        <v>1.49649472E-2</v>
      </c>
      <c r="O21">
        <f t="shared" si="11"/>
        <v>3.3671131199999997E-3</v>
      </c>
      <c r="P21">
        <f t="shared" si="12"/>
        <v>-6.3008420547857498E-3</v>
      </c>
      <c r="V21">
        <v>-4.3000000000000096</v>
      </c>
      <c r="W21">
        <f t="shared" si="9"/>
        <v>-0.34228999999999937</v>
      </c>
      <c r="Y21">
        <v>0.17</v>
      </c>
      <c r="Z21">
        <f t="shared" si="10"/>
        <v>1.8681644000000002</v>
      </c>
    </row>
    <row r="22" spans="1:26">
      <c r="A22">
        <v>0.98775499999999994</v>
      </c>
      <c r="B22">
        <v>0.70545999999999998</v>
      </c>
      <c r="C22">
        <f t="shared" si="1"/>
        <v>0.69682164229999999</v>
      </c>
      <c r="D22">
        <v>1.6E-2</v>
      </c>
      <c r="E22">
        <v>3.5999999999999999E-3</v>
      </c>
      <c r="F22">
        <f t="shared" si="2"/>
        <v>197.55099999999999</v>
      </c>
      <c r="G22">
        <f t="shared" si="3"/>
        <v>-0.70545999999999998</v>
      </c>
      <c r="H22">
        <f t="shared" si="4"/>
        <v>-139.36432846</v>
      </c>
      <c r="I22">
        <v>1</v>
      </c>
      <c r="J22">
        <f t="shared" si="5"/>
        <v>-1.6217585001279315</v>
      </c>
      <c r="K22">
        <f t="shared" si="6"/>
        <v>-0.51626515177521748</v>
      </c>
      <c r="L22">
        <v>1</v>
      </c>
      <c r="M22">
        <f t="shared" si="7"/>
        <v>0.50218101754236244</v>
      </c>
      <c r="N22">
        <f t="shared" si="13"/>
        <v>1.5804079999999998E-2</v>
      </c>
      <c r="O22">
        <f t="shared" si="11"/>
        <v>3.5559179999999995E-3</v>
      </c>
      <c r="P22">
        <f t="shared" si="12"/>
        <v>-5.2758637671449591E-3</v>
      </c>
      <c r="V22">
        <v>-4.2000000000000099</v>
      </c>
      <c r="W22">
        <f t="shared" si="9"/>
        <v>-0.34825999999999935</v>
      </c>
      <c r="Y22">
        <v>0.18</v>
      </c>
      <c r="Z22">
        <f t="shared" si="10"/>
        <v>2.0072076000000001</v>
      </c>
    </row>
    <row r="23" spans="1:26">
      <c r="A23">
        <v>1.0396917999999999</v>
      </c>
      <c r="B23">
        <v>0.70065</v>
      </c>
      <c r="C23">
        <f t="shared" si="1"/>
        <v>0.72846005966999994</v>
      </c>
      <c r="D23">
        <v>1.6E-2</v>
      </c>
      <c r="E23">
        <v>3.5999999999999999E-3</v>
      </c>
      <c r="F23">
        <f t="shared" si="2"/>
        <v>207.93835999999999</v>
      </c>
      <c r="G23">
        <f t="shared" si="3"/>
        <v>-0.70065</v>
      </c>
      <c r="H23">
        <f t="shared" si="4"/>
        <v>-145.69201193399999</v>
      </c>
      <c r="I23">
        <v>1</v>
      </c>
      <c r="J23">
        <f t="shared" si="5"/>
        <v>-1.5705135893538638</v>
      </c>
      <c r="K23">
        <f t="shared" si="6"/>
        <v>-0.52107515177521746</v>
      </c>
      <c r="L23">
        <v>1</v>
      </c>
      <c r="M23">
        <f t="shared" si="7"/>
        <v>0.50524033871557428</v>
      </c>
      <c r="N23">
        <f t="shared" si="13"/>
        <v>1.66350688E-2</v>
      </c>
      <c r="O23">
        <f t="shared" si="11"/>
        <v>3.7428904799999998E-3</v>
      </c>
      <c r="P23">
        <f t="shared" si="12"/>
        <v>-4.5431462203568175E-3</v>
      </c>
      <c r="V23">
        <v>-4.1000000000000103</v>
      </c>
      <c r="W23">
        <f t="shared" si="9"/>
        <v>-0.35422999999999938</v>
      </c>
      <c r="Y23">
        <v>0.19</v>
      </c>
      <c r="Z23">
        <f t="shared" si="10"/>
        <v>2.1462508000000002</v>
      </c>
    </row>
    <row r="24" spans="1:26">
      <c r="A24">
        <v>1.090101</v>
      </c>
      <c r="B24">
        <v>0.69637000000000004</v>
      </c>
      <c r="C24">
        <f t="shared" si="1"/>
        <v>0.75911363337000004</v>
      </c>
      <c r="D24">
        <v>1.6E-2</v>
      </c>
      <c r="E24">
        <v>3.5999999999999999E-3</v>
      </c>
      <c r="F24">
        <f t="shared" si="2"/>
        <v>218.02019999999999</v>
      </c>
      <c r="G24">
        <f t="shared" si="3"/>
        <v>-0.69637000000000004</v>
      </c>
      <c r="H24">
        <f t="shared" si="4"/>
        <v>-151.82272667399999</v>
      </c>
      <c r="I24">
        <v>1</v>
      </c>
      <c r="J24">
        <f t="shared" si="5"/>
        <v>-1.5231675599353129</v>
      </c>
      <c r="K24">
        <f t="shared" si="6"/>
        <v>-0.52535515177521741</v>
      </c>
      <c r="L24">
        <v>1</v>
      </c>
      <c r="M24">
        <f t="shared" si="7"/>
        <v>0.50806689667186178</v>
      </c>
      <c r="N24">
        <f t="shared" si="13"/>
        <v>1.7441616E-2</v>
      </c>
      <c r="O24">
        <f t="shared" si="11"/>
        <v>3.9243635999999995E-3</v>
      </c>
      <c r="P24">
        <f t="shared" si="12"/>
        <v>-4.0777244966443676E-3</v>
      </c>
      <c r="V24">
        <v>-4.0000000000000098</v>
      </c>
      <c r="W24">
        <f t="shared" si="9"/>
        <v>-0.36019999999999941</v>
      </c>
      <c r="Y24">
        <v>0.2</v>
      </c>
      <c r="Z24">
        <f t="shared" si="10"/>
        <v>2.2852940000000004</v>
      </c>
    </row>
    <row r="25" spans="1:26">
      <c r="A25">
        <v>1.1415283999999999</v>
      </c>
      <c r="B25">
        <v>0.69157999999999997</v>
      </c>
      <c r="C25">
        <f t="shared" si="1"/>
        <v>0.78945821087199985</v>
      </c>
      <c r="D25">
        <v>1.6E-2</v>
      </c>
      <c r="E25">
        <v>3.5999999999999999E-3</v>
      </c>
      <c r="F25">
        <f t="shared" si="2"/>
        <v>228.30567999999997</v>
      </c>
      <c r="G25">
        <f t="shared" si="3"/>
        <v>-0.69157999999999997</v>
      </c>
      <c r="H25">
        <f t="shared" si="4"/>
        <v>-157.89164217439998</v>
      </c>
      <c r="I25">
        <v>1</v>
      </c>
      <c r="J25">
        <f t="shared" si="5"/>
        <v>-1.4770698462114191</v>
      </c>
      <c r="K25">
        <f t="shared" si="6"/>
        <v>-0.53014515177521748</v>
      </c>
      <c r="L25">
        <v>1</v>
      </c>
      <c r="M25">
        <f t="shared" si="7"/>
        <v>0.5108189301811783</v>
      </c>
      <c r="N25">
        <f t="shared" si="13"/>
        <v>1.8264454399999998E-2</v>
      </c>
      <c r="O25">
        <f t="shared" si="11"/>
        <v>4.1095022399999992E-3</v>
      </c>
      <c r="P25">
        <f t="shared" si="12"/>
        <v>-3.0477350459608135E-3</v>
      </c>
      <c r="V25">
        <v>-3.9000000000000101</v>
      </c>
      <c r="W25">
        <f t="shared" si="9"/>
        <v>-0.36616999999999933</v>
      </c>
      <c r="Y25">
        <v>0.21</v>
      </c>
      <c r="Z25">
        <f t="shared" si="10"/>
        <v>2.4243372000000001</v>
      </c>
    </row>
    <row r="26" spans="1:26">
      <c r="A26">
        <v>1.1939742</v>
      </c>
      <c r="B26">
        <v>0.68725000000000003</v>
      </c>
      <c r="C26">
        <f t="shared" si="1"/>
        <v>0.82055876895000002</v>
      </c>
      <c r="D26">
        <v>1.6E-2</v>
      </c>
      <c r="E26">
        <v>3.5999999999999999E-3</v>
      </c>
      <c r="F26">
        <f t="shared" si="2"/>
        <v>238.79483999999999</v>
      </c>
      <c r="G26">
        <f t="shared" si="3"/>
        <v>-0.68725000000000003</v>
      </c>
      <c r="H26">
        <f t="shared" si="4"/>
        <v>-164.11175378999999</v>
      </c>
      <c r="I26">
        <v>1</v>
      </c>
      <c r="J26">
        <f t="shared" si="5"/>
        <v>-1.4321505057373483</v>
      </c>
      <c r="K26">
        <f t="shared" si="6"/>
        <v>-0.53447515177521743</v>
      </c>
      <c r="L26">
        <v>1</v>
      </c>
      <c r="M26">
        <f t="shared" si="7"/>
        <v>0.51350061480748033</v>
      </c>
      <c r="N26">
        <f t="shared" si="13"/>
        <v>1.9103587200000001E-2</v>
      </c>
      <c r="O26">
        <f t="shared" si="11"/>
        <v>4.2983071199999999E-3</v>
      </c>
      <c r="P26">
        <f t="shared" si="12"/>
        <v>-2.4273573522629001E-3</v>
      </c>
      <c r="V26">
        <v>-3.80000000000001</v>
      </c>
      <c r="W26">
        <f t="shared" si="9"/>
        <v>-0.37213999999999936</v>
      </c>
      <c r="Y26">
        <v>0.22</v>
      </c>
      <c r="Z26">
        <f t="shared" si="10"/>
        <v>2.5633804000000002</v>
      </c>
    </row>
    <row r="27" spans="1:26">
      <c r="A27">
        <v>1.2448927000000001</v>
      </c>
      <c r="B27">
        <v>0.68296999999999997</v>
      </c>
      <c r="C27">
        <f t="shared" si="1"/>
        <v>0.85022436731899997</v>
      </c>
      <c r="D27">
        <v>1.6E-2</v>
      </c>
      <c r="E27">
        <v>3.5999999999999999E-3</v>
      </c>
      <c r="F27">
        <f t="shared" si="2"/>
        <v>248.97854000000001</v>
      </c>
      <c r="G27">
        <f t="shared" si="3"/>
        <v>-0.68296999999999997</v>
      </c>
      <c r="H27">
        <f t="shared" si="4"/>
        <v>-170.0448734638</v>
      </c>
      <c r="I27">
        <v>1</v>
      </c>
      <c r="J27">
        <f t="shared" si="5"/>
        <v>-1.3903885709705033</v>
      </c>
      <c r="K27">
        <f t="shared" si="6"/>
        <v>-0.53875515177521749</v>
      </c>
      <c r="L27">
        <v>1</v>
      </c>
      <c r="M27">
        <f t="shared" si="7"/>
        <v>0.51599380231306091</v>
      </c>
      <c r="N27">
        <f t="shared" si="13"/>
        <v>1.9918283200000001E-2</v>
      </c>
      <c r="O27">
        <f t="shared" si="11"/>
        <v>4.4816137200000003E-3</v>
      </c>
      <c r="P27">
        <f t="shared" si="12"/>
        <v>-1.6385474578434244E-3</v>
      </c>
      <c r="V27">
        <v>-3.7000000000000099</v>
      </c>
      <c r="W27">
        <f t="shared" si="9"/>
        <v>-0.37810999999999939</v>
      </c>
      <c r="Y27">
        <v>0.23</v>
      </c>
      <c r="Z27">
        <f t="shared" si="10"/>
        <v>2.7024236000000004</v>
      </c>
    </row>
    <row r="28" spans="1:26">
      <c r="A28">
        <v>1.2998845000000001</v>
      </c>
      <c r="B28">
        <v>0.67903999999999998</v>
      </c>
      <c r="C28">
        <f t="shared" si="1"/>
        <v>0.88267357088000009</v>
      </c>
      <c r="D28">
        <v>1.6E-2</v>
      </c>
      <c r="E28">
        <v>3.5999999999999999E-3</v>
      </c>
      <c r="F28">
        <f t="shared" si="2"/>
        <v>259.9769</v>
      </c>
      <c r="G28">
        <f t="shared" si="3"/>
        <v>-0.67903999999999998</v>
      </c>
      <c r="H28">
        <f t="shared" si="4"/>
        <v>-176.53471417600002</v>
      </c>
      <c r="I28">
        <v>1</v>
      </c>
      <c r="J28">
        <f t="shared" si="5"/>
        <v>-1.3471624980675088</v>
      </c>
      <c r="K28">
        <f t="shared" si="6"/>
        <v>-0.54268515177521748</v>
      </c>
      <c r="L28">
        <v>1</v>
      </c>
      <c r="M28">
        <f t="shared" si="7"/>
        <v>0.51857439886536971</v>
      </c>
      <c r="N28">
        <f t="shared" si="13"/>
        <v>2.0798152000000004E-2</v>
      </c>
      <c r="O28">
        <f t="shared" si="11"/>
        <v>4.6795842000000006E-3</v>
      </c>
      <c r="P28">
        <f t="shared" si="12"/>
        <v>-1.3669832901522386E-3</v>
      </c>
      <c r="V28">
        <v>-3.6000000000000099</v>
      </c>
      <c r="W28">
        <f t="shared" si="9"/>
        <v>-0.38407999999999937</v>
      </c>
      <c r="Y28">
        <v>0.24</v>
      </c>
      <c r="Z28">
        <f t="shared" si="10"/>
        <v>2.8414668000000001</v>
      </c>
    </row>
    <row r="29" spans="1:26">
      <c r="A29">
        <v>1.3523303000000002</v>
      </c>
      <c r="B29">
        <v>0.67425999999999997</v>
      </c>
      <c r="C29">
        <f t="shared" si="1"/>
        <v>0.91182222807800006</v>
      </c>
      <c r="D29">
        <v>1.6E-2</v>
      </c>
      <c r="E29">
        <v>3.5999999999999999E-3</v>
      </c>
      <c r="F29">
        <f t="shared" si="2"/>
        <v>270.46606000000003</v>
      </c>
      <c r="G29">
        <f t="shared" si="3"/>
        <v>-0.67425999999999997</v>
      </c>
      <c r="H29">
        <f t="shared" si="4"/>
        <v>-182.3644456156</v>
      </c>
      <c r="I29">
        <v>1</v>
      </c>
      <c r="J29">
        <f t="shared" si="5"/>
        <v>-1.3076086599171421</v>
      </c>
      <c r="K29">
        <f t="shared" si="6"/>
        <v>-0.54746515177521748</v>
      </c>
      <c r="L29">
        <v>1</v>
      </c>
      <c r="M29">
        <f t="shared" si="7"/>
        <v>0.52093576300294653</v>
      </c>
      <c r="N29">
        <f t="shared" si="13"/>
        <v>2.1637284800000003E-2</v>
      </c>
      <c r="O29">
        <f t="shared" si="11"/>
        <v>4.8683890800000004E-3</v>
      </c>
      <c r="P29">
        <f t="shared" si="12"/>
        <v>2.3714892270952637E-5</v>
      </c>
      <c r="V29">
        <v>-3.5000000000000102</v>
      </c>
      <c r="W29">
        <f t="shared" si="9"/>
        <v>-0.39004999999999934</v>
      </c>
      <c r="Y29">
        <v>0.25</v>
      </c>
      <c r="Z29">
        <f t="shared" si="10"/>
        <v>2.9805100000000002</v>
      </c>
    </row>
    <row r="30" spans="1:26">
      <c r="A30">
        <v>1.4027395</v>
      </c>
      <c r="B30">
        <v>0.66996999999999995</v>
      </c>
      <c r="C30">
        <f t="shared" si="1"/>
        <v>0.93979338281499991</v>
      </c>
      <c r="D30">
        <v>1.6E-2</v>
      </c>
      <c r="E30">
        <v>3.5999999999999999E-3</v>
      </c>
      <c r="F30">
        <f t="shared" si="2"/>
        <v>280.54790000000003</v>
      </c>
      <c r="G30">
        <f t="shared" si="3"/>
        <v>-0.66996999999999995</v>
      </c>
      <c r="H30">
        <f t="shared" si="4"/>
        <v>-187.95867656299998</v>
      </c>
      <c r="I30">
        <v>1</v>
      </c>
      <c r="J30">
        <f t="shared" si="5"/>
        <v>-1.2710108021099096</v>
      </c>
      <c r="K30">
        <f t="shared" si="6"/>
        <v>-0.5517551517752175</v>
      </c>
      <c r="L30">
        <v>1</v>
      </c>
      <c r="M30">
        <f t="shared" si="7"/>
        <v>0.52312065511403838</v>
      </c>
      <c r="N30">
        <f t="shared" si="13"/>
        <v>2.2443832E-2</v>
      </c>
      <c r="O30">
        <f t="shared" si="11"/>
        <v>5.0498621999999996E-3</v>
      </c>
      <c r="P30">
        <f t="shared" si="12"/>
        <v>1.1408024611791207E-3</v>
      </c>
      <c r="V30">
        <v>-3.4000000000000101</v>
      </c>
      <c r="W30">
        <f t="shared" si="9"/>
        <v>-0.39601999999999937</v>
      </c>
      <c r="Y30">
        <v>0.26</v>
      </c>
      <c r="Z30">
        <f t="shared" si="10"/>
        <v>3.1195532000000004</v>
      </c>
    </row>
    <row r="31" spans="1:26">
      <c r="A31">
        <v>1.4531487000000001</v>
      </c>
      <c r="B31">
        <v>0.66620999999999997</v>
      </c>
      <c r="C31">
        <f t="shared" si="1"/>
        <v>0.96810219542700005</v>
      </c>
      <c r="D31">
        <v>1.6E-2</v>
      </c>
      <c r="E31">
        <v>3.5999999999999999E-3</v>
      </c>
      <c r="F31">
        <f t="shared" si="2"/>
        <v>290.62974000000003</v>
      </c>
      <c r="G31">
        <f t="shared" si="3"/>
        <v>-0.66620999999999997</v>
      </c>
      <c r="H31">
        <f t="shared" si="4"/>
        <v>-193.62043908540002</v>
      </c>
      <c r="I31">
        <v>1</v>
      </c>
      <c r="J31">
        <f t="shared" si="5"/>
        <v>-1.2357051930960983</v>
      </c>
      <c r="K31">
        <f t="shared" si="6"/>
        <v>-0.55551515177521749</v>
      </c>
      <c r="L31">
        <v>1</v>
      </c>
      <c r="M31">
        <f t="shared" si="7"/>
        <v>0.52522839997216286</v>
      </c>
      <c r="N31">
        <f t="shared" si="13"/>
        <v>2.3250379200000001E-2</v>
      </c>
      <c r="O31">
        <f t="shared" si="11"/>
        <v>5.2313353199999997E-3</v>
      </c>
      <c r="P31">
        <f t="shared" si="12"/>
        <v>1.8050372830546229E-3</v>
      </c>
      <c r="V31">
        <v>-3.30000000000001</v>
      </c>
      <c r="W31">
        <f t="shared" si="9"/>
        <v>-0.4019899999999994</v>
      </c>
      <c r="Y31">
        <v>0.27</v>
      </c>
      <c r="Z31">
        <f t="shared" si="10"/>
        <v>3.2585964000000005</v>
      </c>
    </row>
    <row r="32" spans="1:26">
      <c r="A32">
        <v>1.5050853000000002</v>
      </c>
      <c r="B32">
        <v>0.66217999999999999</v>
      </c>
      <c r="C32">
        <f t="shared" si="1"/>
        <v>0.99663738395400014</v>
      </c>
      <c r="D32">
        <v>1.6E-2</v>
      </c>
      <c r="E32">
        <v>3.5999999999999999E-3</v>
      </c>
      <c r="F32">
        <f t="shared" si="2"/>
        <v>301.01706000000001</v>
      </c>
      <c r="G32">
        <f t="shared" si="3"/>
        <v>-0.66217999999999999</v>
      </c>
      <c r="H32">
        <f t="shared" si="4"/>
        <v>-199.32747679080003</v>
      </c>
      <c r="I32">
        <v>1</v>
      </c>
      <c r="J32">
        <f t="shared" si="5"/>
        <v>-1.2005883380985201</v>
      </c>
      <c r="K32">
        <f t="shared" si="6"/>
        <v>-0.55954515177521746</v>
      </c>
      <c r="L32">
        <v>1</v>
      </c>
      <c r="M32">
        <f t="shared" si="7"/>
        <v>0.52732487621551827</v>
      </c>
      <c r="N32">
        <f t="shared" si="13"/>
        <v>2.4081364800000005E-2</v>
      </c>
      <c r="O32">
        <f t="shared" si="11"/>
        <v>5.4183070800000004E-3</v>
      </c>
      <c r="P32">
        <f t="shared" si="12"/>
        <v>2.7206036796991913E-3</v>
      </c>
      <c r="V32">
        <v>-3.2000000000000099</v>
      </c>
      <c r="W32">
        <f t="shared" si="9"/>
        <v>-0.40795999999999938</v>
      </c>
    </row>
    <row r="33" spans="1:23">
      <c r="A33">
        <v>1.5570220000000001</v>
      </c>
      <c r="B33">
        <v>0.65827999999999998</v>
      </c>
      <c r="C33">
        <f t="shared" si="1"/>
        <v>1.0249564421600001</v>
      </c>
      <c r="D33">
        <v>1.6E-2</v>
      </c>
      <c r="E33">
        <v>3.5999999999999999E-3</v>
      </c>
      <c r="F33">
        <f t="shared" si="2"/>
        <v>311.40440000000001</v>
      </c>
      <c r="G33">
        <f t="shared" si="3"/>
        <v>-0.65827999999999998</v>
      </c>
      <c r="H33">
        <f t="shared" si="4"/>
        <v>-204.99128843200003</v>
      </c>
      <c r="I33">
        <v>1</v>
      </c>
      <c r="J33">
        <f t="shared" si="5"/>
        <v>-1.1666628899453897</v>
      </c>
      <c r="K33">
        <f t="shared" si="6"/>
        <v>-0.56344515177521748</v>
      </c>
      <c r="L33">
        <v>1</v>
      </c>
      <c r="M33">
        <f t="shared" si="7"/>
        <v>0.52935022547026023</v>
      </c>
      <c r="N33">
        <f t="shared" si="13"/>
        <v>2.4912352000000002E-2</v>
      </c>
      <c r="O33">
        <f t="shared" si="11"/>
        <v>5.6052792000000004E-3</v>
      </c>
      <c r="P33">
        <f t="shared" si="12"/>
        <v>3.5772951049572489E-3</v>
      </c>
      <c r="V33">
        <v>-3.1000000000000099</v>
      </c>
      <c r="W33">
        <f t="shared" si="9"/>
        <v>-0.41392999999999935</v>
      </c>
    </row>
    <row r="34" spans="1:23">
      <c r="A34">
        <v>1.6074310000000001</v>
      </c>
      <c r="B34">
        <v>0.65464</v>
      </c>
      <c r="C34">
        <f t="shared" si="1"/>
        <v>1.05228862984</v>
      </c>
      <c r="D34">
        <v>1.6E-2</v>
      </c>
      <c r="E34">
        <v>3.5999999999999999E-3</v>
      </c>
      <c r="F34">
        <f t="shared" si="2"/>
        <v>321.4862</v>
      </c>
      <c r="G34">
        <f t="shared" si="3"/>
        <v>-0.65464</v>
      </c>
      <c r="H34">
        <f t="shared" si="4"/>
        <v>-210.45772596800001</v>
      </c>
      <c r="I34">
        <v>1</v>
      </c>
      <c r="J34">
        <f t="shared" si="5"/>
        <v>-1.1348006600204277</v>
      </c>
      <c r="K34">
        <f t="shared" si="6"/>
        <v>-0.56708515177521746</v>
      </c>
      <c r="L34">
        <v>1</v>
      </c>
      <c r="M34">
        <f t="shared" si="7"/>
        <v>0.53125240059678047</v>
      </c>
      <c r="N34">
        <f t="shared" si="13"/>
        <v>2.5718896000000002E-2</v>
      </c>
      <c r="O34">
        <f t="shared" si="11"/>
        <v>5.7867515999999999E-3</v>
      </c>
      <c r="P34">
        <f t="shared" si="12"/>
        <v>4.327103578436982E-3</v>
      </c>
      <c r="V34">
        <v>-3.0000000000000102</v>
      </c>
      <c r="W34">
        <f t="shared" si="9"/>
        <v>-0.41989999999999938</v>
      </c>
    </row>
    <row r="35" spans="1:23">
      <c r="A35">
        <v>1.6588585</v>
      </c>
      <c r="B35">
        <v>0.65059</v>
      </c>
      <c r="C35">
        <f t="shared" si="1"/>
        <v>1.0792367515150001</v>
      </c>
      <c r="D35">
        <v>1.6E-2</v>
      </c>
      <c r="E35">
        <v>3.5999999999999999E-3</v>
      </c>
      <c r="F35">
        <f t="shared" si="2"/>
        <v>331.77170000000001</v>
      </c>
      <c r="G35">
        <f t="shared" si="3"/>
        <v>-0.65059</v>
      </c>
      <c r="H35">
        <f t="shared" si="4"/>
        <v>-215.84735030300001</v>
      </c>
      <c r="I35">
        <v>1</v>
      </c>
      <c r="J35">
        <f t="shared" si="5"/>
        <v>-1.1033081972081777</v>
      </c>
      <c r="K35">
        <f t="shared" si="6"/>
        <v>-0.57113515177521745</v>
      </c>
      <c r="L35">
        <v>1</v>
      </c>
      <c r="M35">
        <f t="shared" si="7"/>
        <v>0.53313250062667172</v>
      </c>
      <c r="N35">
        <f t="shared" si="13"/>
        <v>2.6541736E-2</v>
      </c>
      <c r="O35">
        <f t="shared" si="11"/>
        <v>5.9718905999999999E-3</v>
      </c>
      <c r="P35">
        <f t="shared" si="12"/>
        <v>5.48902454854573E-3</v>
      </c>
      <c r="V35">
        <v>-2.9000000000000101</v>
      </c>
      <c r="W35">
        <f t="shared" si="9"/>
        <v>-0.42586999999999936</v>
      </c>
    </row>
    <row r="36" spans="1:23">
      <c r="A36">
        <v>1.7092677000000001</v>
      </c>
      <c r="B36">
        <v>0.64703999999999995</v>
      </c>
      <c r="C36">
        <f t="shared" si="1"/>
        <v>1.1059645726079999</v>
      </c>
      <c r="D36">
        <v>1.6E-2</v>
      </c>
      <c r="E36">
        <v>3.5999999999999999E-3</v>
      </c>
      <c r="F36">
        <f t="shared" si="2"/>
        <v>341.85354000000001</v>
      </c>
      <c r="G36">
        <f t="shared" si="3"/>
        <v>-0.64703999999999995</v>
      </c>
      <c r="H36">
        <f t="shared" si="4"/>
        <v>-221.19291452159996</v>
      </c>
      <c r="I36">
        <v>1</v>
      </c>
      <c r="J36">
        <f t="shared" si="5"/>
        <v>-1.0733728792569075</v>
      </c>
      <c r="K36">
        <f t="shared" si="6"/>
        <v>-0.57468515177521751</v>
      </c>
      <c r="L36">
        <v>1</v>
      </c>
      <c r="M36">
        <f t="shared" si="7"/>
        <v>0.5349196391083626</v>
      </c>
      <c r="N36">
        <f t="shared" si="13"/>
        <v>2.73482832E-2</v>
      </c>
      <c r="O36">
        <f t="shared" si="11"/>
        <v>6.15336372E-3</v>
      </c>
      <c r="P36">
        <f t="shared" si="12"/>
        <v>6.2638657468549073E-3</v>
      </c>
      <c r="V36">
        <v>-2.80000000000001</v>
      </c>
      <c r="W36">
        <f t="shared" si="9"/>
        <v>-0.43183999999999934</v>
      </c>
    </row>
    <row r="37" spans="1:23">
      <c r="A37">
        <v>1.7596769000000001</v>
      </c>
      <c r="B37">
        <v>0.64390999999999998</v>
      </c>
      <c r="C37">
        <f t="shared" si="1"/>
        <v>1.1330735526790001</v>
      </c>
      <c r="D37">
        <v>1.6E-2</v>
      </c>
      <c r="E37">
        <v>3.5999999999999999E-3</v>
      </c>
      <c r="F37">
        <f t="shared" si="2"/>
        <v>351.93538000000001</v>
      </c>
      <c r="G37">
        <f t="shared" si="3"/>
        <v>-0.64390999999999998</v>
      </c>
      <c r="H37">
        <f t="shared" si="4"/>
        <v>-226.61471053580001</v>
      </c>
      <c r="I37">
        <v>1</v>
      </c>
      <c r="J37">
        <f t="shared" si="5"/>
        <v>-1.0443076997822818</v>
      </c>
      <c r="K37">
        <f t="shared" si="6"/>
        <v>-0.57781515177521747</v>
      </c>
      <c r="L37">
        <v>1</v>
      </c>
      <c r="M37">
        <f t="shared" si="7"/>
        <v>0.53665483032299777</v>
      </c>
      <c r="N37">
        <f t="shared" si="13"/>
        <v>2.8154830400000001E-2</v>
      </c>
      <c r="O37">
        <f t="shared" si="11"/>
        <v>6.3348368400000001E-3</v>
      </c>
      <c r="P37">
        <f t="shared" si="12"/>
        <v>6.6706542122197052E-3</v>
      </c>
      <c r="V37">
        <v>-2.7000000000000099</v>
      </c>
      <c r="W37">
        <f t="shared" si="9"/>
        <v>-0.43780999999999937</v>
      </c>
    </row>
    <row r="38" spans="1:23">
      <c r="A38">
        <v>1.8116136</v>
      </c>
      <c r="B38">
        <v>0.64032999999999995</v>
      </c>
      <c r="C38">
        <f t="shared" si="1"/>
        <v>1.1600305364879999</v>
      </c>
      <c r="D38">
        <v>1.6E-2</v>
      </c>
      <c r="E38">
        <v>3.5999999999999999E-3</v>
      </c>
      <c r="F38">
        <f t="shared" si="2"/>
        <v>362.32272</v>
      </c>
      <c r="G38">
        <f t="shared" si="3"/>
        <v>-0.64032999999999995</v>
      </c>
      <c r="H38">
        <f t="shared" si="4"/>
        <v>-232.00610729759998</v>
      </c>
      <c r="I38">
        <v>1</v>
      </c>
      <c r="J38">
        <f t="shared" si="5"/>
        <v>-1.0152199725863804</v>
      </c>
      <c r="K38">
        <f t="shared" si="6"/>
        <v>-0.5813951517752175</v>
      </c>
      <c r="L38">
        <v>1</v>
      </c>
      <c r="M38">
        <f t="shared" si="7"/>
        <v>0.53839136763659301</v>
      </c>
      <c r="N38">
        <f t="shared" si="13"/>
        <v>2.8985817600000002E-2</v>
      </c>
      <c r="O38">
        <f t="shared" si="11"/>
        <v>6.5218089600000001E-3</v>
      </c>
      <c r="P38">
        <f t="shared" si="12"/>
        <v>7.4961575786244884E-3</v>
      </c>
      <c r="V38">
        <v>-2.6000000000000099</v>
      </c>
      <c r="W38">
        <f t="shared" si="9"/>
        <v>-0.4437799999999994</v>
      </c>
    </row>
    <row r="39" spans="1:23">
      <c r="A39">
        <v>1.8625319999999999</v>
      </c>
      <c r="B39">
        <v>0.63639999999999997</v>
      </c>
      <c r="C39">
        <f t="shared" si="1"/>
        <v>1.1853153647999999</v>
      </c>
      <c r="D39">
        <v>1.6E-2</v>
      </c>
      <c r="E39">
        <v>3.5999999999999999E-3</v>
      </c>
      <c r="F39">
        <f t="shared" si="2"/>
        <v>372.50639999999999</v>
      </c>
      <c r="G39">
        <f t="shared" si="3"/>
        <v>-0.63639999999999997</v>
      </c>
      <c r="H39">
        <f t="shared" si="4"/>
        <v>-237.06307295999997</v>
      </c>
      <c r="I39">
        <v>1</v>
      </c>
      <c r="J39">
        <f t="shared" si="5"/>
        <v>-0.98750106010206451</v>
      </c>
      <c r="K39">
        <f t="shared" si="6"/>
        <v>-0.58532515177521749</v>
      </c>
      <c r="L39">
        <v>1</v>
      </c>
      <c r="M39">
        <f t="shared" si="7"/>
        <v>0.54004618671190674</v>
      </c>
      <c r="N39">
        <f t="shared" si="13"/>
        <v>2.9800511999999998E-2</v>
      </c>
      <c r="O39">
        <f t="shared" si="11"/>
        <v>6.7051151999999994E-3</v>
      </c>
      <c r="P39">
        <f t="shared" si="12"/>
        <v>8.7733378633107519E-3</v>
      </c>
      <c r="V39">
        <v>-2.5000000000000102</v>
      </c>
      <c r="W39">
        <f t="shared" si="9"/>
        <v>-0.44974999999999937</v>
      </c>
    </row>
    <row r="40" spans="1:23">
      <c r="A40">
        <v>1.9139595</v>
      </c>
      <c r="B40">
        <v>0.63288999999999995</v>
      </c>
      <c r="C40">
        <f t="shared" si="1"/>
        <v>1.2113258279549999</v>
      </c>
      <c r="D40">
        <v>1.6E-2</v>
      </c>
      <c r="E40">
        <v>3.5999999999999999E-3</v>
      </c>
      <c r="F40">
        <f t="shared" si="2"/>
        <v>382.7919</v>
      </c>
      <c r="G40">
        <f t="shared" si="3"/>
        <v>-0.63288999999999995</v>
      </c>
      <c r="H40">
        <f t="shared" si="4"/>
        <v>-242.26516559099997</v>
      </c>
      <c r="I40">
        <v>1</v>
      </c>
      <c r="J40">
        <f t="shared" si="5"/>
        <v>-0.96026377950181929</v>
      </c>
      <c r="K40">
        <f t="shared" si="6"/>
        <v>-0.5888351517752175</v>
      </c>
      <c r="L40">
        <v>1</v>
      </c>
      <c r="M40">
        <f t="shared" si="7"/>
        <v>0.54167225236374139</v>
      </c>
      <c r="N40">
        <f t="shared" si="13"/>
        <v>3.0623352E-2</v>
      </c>
      <c r="O40">
        <f t="shared" si="11"/>
        <v>6.8902542000000002E-3</v>
      </c>
      <c r="P40">
        <f t="shared" si="12"/>
        <v>9.6492932114761107E-3</v>
      </c>
      <c r="V40">
        <v>-2.4000000000000101</v>
      </c>
      <c r="W40">
        <f t="shared" si="9"/>
        <v>-0.45571999999999935</v>
      </c>
    </row>
    <row r="41" spans="1:23">
      <c r="A41">
        <v>1.9643685</v>
      </c>
      <c r="B41">
        <v>0.62924000000000002</v>
      </c>
      <c r="C41">
        <f t="shared" si="1"/>
        <v>1.2360592349399999</v>
      </c>
      <c r="D41">
        <v>1.6E-2</v>
      </c>
      <c r="E41">
        <v>3.5999999999999999E-3</v>
      </c>
      <c r="F41">
        <f t="shared" si="2"/>
        <v>392.87369999999999</v>
      </c>
      <c r="G41">
        <f t="shared" si="3"/>
        <v>-0.62924000000000002</v>
      </c>
      <c r="H41">
        <f t="shared" si="4"/>
        <v>-247.21184698799999</v>
      </c>
      <c r="I41">
        <v>1</v>
      </c>
      <c r="J41">
        <f t="shared" si="5"/>
        <v>-0.93426709281038267</v>
      </c>
      <c r="K41">
        <f t="shared" si="6"/>
        <v>-0.59248515177521743</v>
      </c>
      <c r="L41">
        <v>1</v>
      </c>
      <c r="M41">
        <f t="shared" si="7"/>
        <v>0.54322425455922008</v>
      </c>
      <c r="N41">
        <f t="shared" si="13"/>
        <v>3.1429895999999999E-2</v>
      </c>
      <c r="O41">
        <f t="shared" si="11"/>
        <v>7.0717265999999997E-3</v>
      </c>
      <c r="P41">
        <f t="shared" si="12"/>
        <v>1.0759274615997358E-2</v>
      </c>
      <c r="V41">
        <v>-2.30000000000001</v>
      </c>
      <c r="W41">
        <f t="shared" si="9"/>
        <v>-0.46168999999999938</v>
      </c>
    </row>
    <row r="42" spans="1:23">
      <c r="A42">
        <v>2.0163053</v>
      </c>
      <c r="B42">
        <v>0.62585999999999997</v>
      </c>
      <c r="C42">
        <f t="shared" si="1"/>
        <v>1.2619248350579999</v>
      </c>
      <c r="D42">
        <v>1.6E-2</v>
      </c>
      <c r="E42">
        <v>3.5999999999999999E-3</v>
      </c>
      <c r="F42">
        <f t="shared" si="2"/>
        <v>403.26105999999999</v>
      </c>
      <c r="G42">
        <f t="shared" si="3"/>
        <v>-0.62585999999999997</v>
      </c>
      <c r="H42">
        <f t="shared" si="4"/>
        <v>-252.38496701159997</v>
      </c>
      <c r="I42">
        <v>1</v>
      </c>
      <c r="J42">
        <f t="shared" si="5"/>
        <v>-0.90817113519856563</v>
      </c>
      <c r="K42">
        <f t="shared" si="6"/>
        <v>-0.59586515177521748</v>
      </c>
      <c r="L42">
        <v>1</v>
      </c>
      <c r="M42">
        <f t="shared" si="7"/>
        <v>0.54478218322864558</v>
      </c>
      <c r="N42">
        <f t="shared" si="13"/>
        <v>3.22608848E-2</v>
      </c>
      <c r="O42">
        <f t="shared" si="11"/>
        <v>7.2586990800000001E-3</v>
      </c>
      <c r="P42">
        <f t="shared" si="12"/>
        <v>1.1563384666571905E-2</v>
      </c>
      <c r="V42">
        <v>-2.2000000000000099</v>
      </c>
      <c r="W42">
        <f t="shared" si="9"/>
        <v>-0.46765999999999941</v>
      </c>
    </row>
    <row r="43" spans="1:23">
      <c r="A43">
        <v>2.0682418999999999</v>
      </c>
      <c r="B43">
        <v>0.62251999999999996</v>
      </c>
      <c r="C43">
        <f t="shared" si="1"/>
        <v>1.2875219475879998</v>
      </c>
      <c r="D43">
        <v>1.6E-2</v>
      </c>
      <c r="E43">
        <v>3.5999999999999999E-3</v>
      </c>
      <c r="F43">
        <f t="shared" si="2"/>
        <v>413.64837999999997</v>
      </c>
      <c r="G43">
        <f t="shared" si="3"/>
        <v>-0.62251999999999996</v>
      </c>
      <c r="H43">
        <f t="shared" si="4"/>
        <v>-257.50438951759998</v>
      </c>
      <c r="I43">
        <v>1</v>
      </c>
      <c r="J43">
        <f t="shared" si="5"/>
        <v>-0.88273898970802001</v>
      </c>
      <c r="K43">
        <f t="shared" si="6"/>
        <v>-0.59920515177521749</v>
      </c>
      <c r="L43">
        <v>1</v>
      </c>
      <c r="M43">
        <f t="shared" si="7"/>
        <v>0.54630048231443118</v>
      </c>
      <c r="N43">
        <f t="shared" si="13"/>
        <v>3.3091870400000001E-2</v>
      </c>
      <c r="O43">
        <f t="shared" si="11"/>
        <v>7.445670839999999E-3</v>
      </c>
      <c r="P43">
        <f t="shared" si="12"/>
        <v>1.2367128220786314E-2</v>
      </c>
      <c r="V43">
        <v>-2.1000000000000099</v>
      </c>
      <c r="W43">
        <f t="shared" si="9"/>
        <v>-0.47362999999999938</v>
      </c>
    </row>
    <row r="44" spans="1:23">
      <c r="A44">
        <v>2.1191604000000002</v>
      </c>
      <c r="B44">
        <v>0.61895</v>
      </c>
      <c r="C44">
        <f t="shared" si="1"/>
        <v>1.3116543295800001</v>
      </c>
      <c r="D44">
        <v>1.6E-2</v>
      </c>
      <c r="E44">
        <v>3.5999999999999999E-3</v>
      </c>
      <c r="F44">
        <f t="shared" si="2"/>
        <v>423.83208000000002</v>
      </c>
      <c r="G44">
        <f t="shared" si="3"/>
        <v>-0.61895</v>
      </c>
      <c r="H44">
        <f t="shared" si="4"/>
        <v>-262.33086591599999</v>
      </c>
      <c r="I44">
        <v>1</v>
      </c>
      <c r="J44">
        <f t="shared" si="5"/>
        <v>-0.85841793992968418</v>
      </c>
      <c r="K44">
        <f t="shared" si="6"/>
        <v>-0.60277515177521745</v>
      </c>
      <c r="L44">
        <v>1</v>
      </c>
      <c r="M44">
        <f t="shared" si="7"/>
        <v>0.54775244898619779</v>
      </c>
      <c r="N44">
        <f t="shared" si="13"/>
        <v>3.3906566400000004E-2</v>
      </c>
      <c r="O44">
        <f t="shared" si="11"/>
        <v>7.6289774400000003E-3</v>
      </c>
      <c r="P44">
        <f t="shared" si="12"/>
        <v>1.3487158949019657E-2</v>
      </c>
      <c r="V44">
        <v>-2.0000000000000102</v>
      </c>
      <c r="W44">
        <f t="shared" si="9"/>
        <v>-0.47959999999999936</v>
      </c>
    </row>
    <row r="45" spans="1:23">
      <c r="A45">
        <v>2.1700789</v>
      </c>
      <c r="B45">
        <v>0.61570999999999998</v>
      </c>
      <c r="C45">
        <f t="shared" si="1"/>
        <v>1.3361392795189999</v>
      </c>
      <c r="D45">
        <v>1.6E-2</v>
      </c>
      <c r="E45">
        <v>3.5999999999999999E-3</v>
      </c>
      <c r="F45">
        <f t="shared" si="2"/>
        <v>434.01578000000001</v>
      </c>
      <c r="G45">
        <f t="shared" si="3"/>
        <v>-0.61570999999999998</v>
      </c>
      <c r="H45">
        <f t="shared" si="4"/>
        <v>-267.22785590379999</v>
      </c>
      <c r="I45">
        <v>1</v>
      </c>
      <c r="J45">
        <f t="shared" si="5"/>
        <v>-0.8346743860957162</v>
      </c>
      <c r="K45">
        <f t="shared" si="6"/>
        <v>-0.60601515177521748</v>
      </c>
      <c r="L45">
        <v>1</v>
      </c>
      <c r="M45">
        <f t="shared" si="7"/>
        <v>0.54916993915008572</v>
      </c>
      <c r="N45">
        <f t="shared" si="13"/>
        <v>3.4721262400000001E-2</v>
      </c>
      <c r="O45">
        <f t="shared" si="11"/>
        <v>7.8122840399999999E-3</v>
      </c>
      <c r="P45">
        <f t="shared" si="12"/>
        <v>1.4311666185131758E-2</v>
      </c>
      <c r="V45">
        <v>-1.9000000000000099</v>
      </c>
      <c r="W45">
        <f t="shared" si="9"/>
        <v>-0.48556999999999939</v>
      </c>
    </row>
    <row r="46" spans="1:23">
      <c r="A46">
        <v>2.2225246999999997</v>
      </c>
      <c r="B46">
        <v>0.61253999999999997</v>
      </c>
      <c r="C46">
        <f t="shared" si="1"/>
        <v>1.3613852797379997</v>
      </c>
      <c r="D46">
        <v>1.6E-2</v>
      </c>
      <c r="E46">
        <v>3.5999999999999999E-3</v>
      </c>
      <c r="F46">
        <f t="shared" si="2"/>
        <v>444.50493999999992</v>
      </c>
      <c r="G46">
        <f t="shared" si="3"/>
        <v>-0.61253999999999997</v>
      </c>
      <c r="H46">
        <f t="shared" si="4"/>
        <v>-272.27705594759993</v>
      </c>
      <c r="I46">
        <v>1</v>
      </c>
      <c r="J46">
        <f t="shared" si="5"/>
        <v>-0.81079411047913508</v>
      </c>
      <c r="K46">
        <f t="shared" si="6"/>
        <v>-0.60918515177521748</v>
      </c>
      <c r="L46">
        <v>1</v>
      </c>
      <c r="M46">
        <f t="shared" si="7"/>
        <v>0.55059559160439564</v>
      </c>
      <c r="N46">
        <f t="shared" si="13"/>
        <v>3.5560395199999997E-2</v>
      </c>
      <c r="O46">
        <f t="shared" si="11"/>
        <v>8.001088919999998E-3</v>
      </c>
      <c r="P46">
        <f t="shared" si="12"/>
        <v>1.5028076050821846E-2</v>
      </c>
      <c r="V46">
        <v>-1.80000000000001</v>
      </c>
      <c r="W46">
        <f t="shared" si="9"/>
        <v>-0.49153999999999937</v>
      </c>
    </row>
    <row r="47" spans="1:23">
      <c r="A47">
        <v>2.2734431000000002</v>
      </c>
      <c r="B47">
        <v>0.60902000000000001</v>
      </c>
      <c r="C47">
        <f t="shared" si="1"/>
        <v>1.3845723167620001</v>
      </c>
      <c r="D47">
        <v>1.6E-2</v>
      </c>
      <c r="E47">
        <v>3.5999999999999999E-3</v>
      </c>
      <c r="F47">
        <f t="shared" si="2"/>
        <v>454.68862000000001</v>
      </c>
      <c r="G47">
        <f t="shared" si="3"/>
        <v>-0.60902000000000001</v>
      </c>
      <c r="H47">
        <f t="shared" si="4"/>
        <v>-276.91446335240005</v>
      </c>
      <c r="I47">
        <v>1</v>
      </c>
      <c r="J47">
        <f t="shared" si="5"/>
        <v>-0.78814244595501826</v>
      </c>
      <c r="K47">
        <f t="shared" si="6"/>
        <v>-0.61270515177521745</v>
      </c>
      <c r="L47">
        <v>1</v>
      </c>
      <c r="M47">
        <f t="shared" si="7"/>
        <v>0.55194789597648541</v>
      </c>
      <c r="N47">
        <f t="shared" si="13"/>
        <v>3.63750896E-2</v>
      </c>
      <c r="O47">
        <f t="shared" si="11"/>
        <v>8.1843951599999999E-3</v>
      </c>
      <c r="P47">
        <f t="shared" si="12"/>
        <v>1.6197771038732035E-2</v>
      </c>
      <c r="V47">
        <v>-1.7000000000000199</v>
      </c>
      <c r="W47">
        <f t="shared" si="9"/>
        <v>-0.49750999999999879</v>
      </c>
    </row>
    <row r="48" spans="1:23">
      <c r="A48">
        <v>2.3248704</v>
      </c>
      <c r="B48">
        <v>0.60577999999999999</v>
      </c>
      <c r="C48">
        <f t="shared" si="1"/>
        <v>1.4083599909119999</v>
      </c>
      <c r="D48">
        <v>1.6E-2</v>
      </c>
      <c r="E48">
        <v>3.5999999999999999E-3</v>
      </c>
      <c r="F48">
        <f t="shared" si="2"/>
        <v>464.97408000000001</v>
      </c>
      <c r="G48">
        <f t="shared" si="3"/>
        <v>-0.60577999999999999</v>
      </c>
      <c r="H48">
        <f t="shared" si="4"/>
        <v>-281.67199818239999</v>
      </c>
      <c r="I48">
        <v>1</v>
      </c>
      <c r="J48">
        <f t="shared" si="5"/>
        <v>-0.765773616883904</v>
      </c>
      <c r="K48">
        <f t="shared" si="6"/>
        <v>-0.61594515177521747</v>
      </c>
      <c r="L48">
        <v>1</v>
      </c>
      <c r="M48">
        <f t="shared" si="7"/>
        <v>0.55328331507203088</v>
      </c>
      <c r="N48">
        <f t="shared" si="13"/>
        <v>3.7197926399999998E-2</v>
      </c>
      <c r="O48">
        <f t="shared" si="11"/>
        <v>8.3695334400000002E-3</v>
      </c>
      <c r="P48">
        <f t="shared" si="12"/>
        <v>1.7094376863186593E-2</v>
      </c>
      <c r="V48">
        <v>-1.6000000000000201</v>
      </c>
      <c r="W48">
        <f t="shared" si="9"/>
        <v>-0.50347999999999882</v>
      </c>
    </row>
    <row r="49" spans="1:23">
      <c r="A49">
        <v>2.3752795</v>
      </c>
      <c r="B49">
        <v>0.60284000000000004</v>
      </c>
      <c r="C49">
        <f t="shared" si="1"/>
        <v>1.43191349378</v>
      </c>
      <c r="D49">
        <v>1.6E-2</v>
      </c>
      <c r="E49">
        <v>3.5999999999999999E-3</v>
      </c>
      <c r="F49">
        <f t="shared" si="2"/>
        <v>475.05590000000001</v>
      </c>
      <c r="G49">
        <f t="shared" si="3"/>
        <v>-0.60284000000000004</v>
      </c>
      <c r="H49">
        <f t="shared" si="4"/>
        <v>-286.38269875600002</v>
      </c>
      <c r="I49">
        <v>1</v>
      </c>
      <c r="J49">
        <f t="shared" si="5"/>
        <v>-0.7443227976612129</v>
      </c>
      <c r="K49">
        <f t="shared" si="6"/>
        <v>-0.61888515177521741</v>
      </c>
      <c r="L49">
        <v>1</v>
      </c>
      <c r="M49">
        <f t="shared" si="7"/>
        <v>0.55456392897962559</v>
      </c>
      <c r="N49">
        <f t="shared" si="13"/>
        <v>3.8004471999999997E-2</v>
      </c>
      <c r="O49">
        <f t="shared" si="11"/>
        <v>8.5510061999999991E-3</v>
      </c>
      <c r="P49">
        <f t="shared" si="12"/>
        <v>1.7765744595591829E-2</v>
      </c>
      <c r="V49">
        <v>-1.50000000000002</v>
      </c>
      <c r="W49">
        <f t="shared" si="9"/>
        <v>-0.50944999999999874</v>
      </c>
    </row>
    <row r="50" spans="1:23">
      <c r="A50">
        <v>2.4272163</v>
      </c>
      <c r="B50">
        <v>0.59957000000000005</v>
      </c>
      <c r="C50">
        <f t="shared" si="1"/>
        <v>1.4552860769910001</v>
      </c>
      <c r="D50">
        <v>1.6E-2</v>
      </c>
      <c r="E50">
        <v>3.5999999999999999E-3</v>
      </c>
      <c r="F50">
        <f t="shared" si="2"/>
        <v>485.44326000000001</v>
      </c>
      <c r="G50">
        <f t="shared" si="3"/>
        <v>-0.59957000000000005</v>
      </c>
      <c r="H50">
        <f t="shared" si="4"/>
        <v>-291.05721539820001</v>
      </c>
      <c r="I50">
        <v>1</v>
      </c>
      <c r="J50">
        <f t="shared" si="5"/>
        <v>-0.72269286728749849</v>
      </c>
      <c r="K50">
        <f t="shared" si="6"/>
        <v>-0.62215515177521741</v>
      </c>
      <c r="L50">
        <v>1</v>
      </c>
      <c r="M50">
        <f t="shared" si="7"/>
        <v>0.55585523582293628</v>
      </c>
      <c r="N50">
        <f t="shared" si="13"/>
        <v>3.8835460799999999E-2</v>
      </c>
      <c r="O50">
        <f t="shared" si="11"/>
        <v>8.7379786799999994E-3</v>
      </c>
      <c r="P50">
        <f t="shared" si="12"/>
        <v>1.872647647228113E-2</v>
      </c>
      <c r="V50">
        <v>-1.4000000000000199</v>
      </c>
      <c r="W50">
        <f t="shared" si="9"/>
        <v>-0.51541999999999877</v>
      </c>
    </row>
    <row r="51" spans="1:23">
      <c r="A51">
        <v>2.4776255000000003</v>
      </c>
      <c r="B51">
        <v>0.59614999999999996</v>
      </c>
      <c r="C51">
        <f t="shared" si="1"/>
        <v>1.4770364418250002</v>
      </c>
      <c r="D51">
        <v>1.6E-2</v>
      </c>
      <c r="E51">
        <v>3.5999999999999999E-3</v>
      </c>
      <c r="F51">
        <f t="shared" si="2"/>
        <v>495.52510000000007</v>
      </c>
      <c r="G51">
        <f t="shared" si="3"/>
        <v>-0.59614999999999996</v>
      </c>
      <c r="H51">
        <f t="shared" si="4"/>
        <v>-295.40728836500006</v>
      </c>
      <c r="I51">
        <v>1</v>
      </c>
      <c r="J51">
        <f t="shared" si="5"/>
        <v>-0.70213727059193309</v>
      </c>
      <c r="K51">
        <f t="shared" si="6"/>
        <v>-0.6255751517752175</v>
      </c>
      <c r="L51">
        <v>1</v>
      </c>
      <c r="M51">
        <f t="shared" si="7"/>
        <v>0.55708240494566152</v>
      </c>
      <c r="N51">
        <f t="shared" si="13"/>
        <v>3.9642008000000006E-2</v>
      </c>
      <c r="O51">
        <f t="shared" si="11"/>
        <v>8.9194518000000004E-3</v>
      </c>
      <c r="P51">
        <f t="shared" si="12"/>
        <v>1.9931287029555968E-2</v>
      </c>
      <c r="V51">
        <v>-1.30000000000002</v>
      </c>
      <c r="W51">
        <f t="shared" si="9"/>
        <v>-0.5213899999999988</v>
      </c>
    </row>
    <row r="52" spans="1:23">
      <c r="A52">
        <v>2.5295619999999999</v>
      </c>
      <c r="B52">
        <v>0.59309999999999996</v>
      </c>
      <c r="C52">
        <f t="shared" si="1"/>
        <v>1.5002832221999998</v>
      </c>
      <c r="D52">
        <v>1.6E-2</v>
      </c>
      <c r="E52">
        <v>3.5999999999999999E-3</v>
      </c>
      <c r="F52">
        <f t="shared" si="2"/>
        <v>505.91239999999999</v>
      </c>
      <c r="G52">
        <f t="shared" si="3"/>
        <v>-0.59309999999999996</v>
      </c>
      <c r="H52">
        <f t="shared" si="4"/>
        <v>-300.05664443999996</v>
      </c>
      <c r="I52">
        <v>1</v>
      </c>
      <c r="J52">
        <f t="shared" si="5"/>
        <v>-0.68139174721175066</v>
      </c>
      <c r="K52">
        <f t="shared" si="6"/>
        <v>-0.62862515177521749</v>
      </c>
      <c r="L52">
        <v>1</v>
      </c>
      <c r="M52">
        <f t="shared" si="7"/>
        <v>0.55832091269145845</v>
      </c>
      <c r="N52">
        <f t="shared" si="13"/>
        <v>4.0472991999999999E-2</v>
      </c>
      <c r="O52">
        <f t="shared" si="11"/>
        <v>9.1064231999999998E-3</v>
      </c>
      <c r="P52">
        <f t="shared" si="12"/>
        <v>2.0724823883759048E-2</v>
      </c>
      <c r="V52">
        <v>-1.2000000000000199</v>
      </c>
      <c r="W52">
        <f t="shared" si="9"/>
        <v>-0.52735999999999883</v>
      </c>
    </row>
    <row r="53" spans="1:23">
      <c r="A53">
        <v>2.5840447000000002</v>
      </c>
      <c r="B53">
        <v>0.58977999999999997</v>
      </c>
      <c r="C53">
        <f t="shared" si="1"/>
        <v>1.5240178831660001</v>
      </c>
      <c r="D53">
        <v>1.6E-2</v>
      </c>
      <c r="E53">
        <v>3.5999999999999999E-3</v>
      </c>
      <c r="F53">
        <f t="shared" si="2"/>
        <v>516.80894000000001</v>
      </c>
      <c r="G53">
        <f t="shared" si="3"/>
        <v>-0.58977999999999997</v>
      </c>
      <c r="H53">
        <f t="shared" si="4"/>
        <v>-304.80357663320001</v>
      </c>
      <c r="I53">
        <v>1</v>
      </c>
      <c r="J53">
        <f t="shared" si="5"/>
        <v>-0.66008202790175696</v>
      </c>
      <c r="K53">
        <f t="shared" si="6"/>
        <v>-0.63194515177521748</v>
      </c>
      <c r="L53">
        <v>1</v>
      </c>
      <c r="M53">
        <f t="shared" si="7"/>
        <v>0.55959310293426512</v>
      </c>
      <c r="N53">
        <f t="shared" si="13"/>
        <v>4.1344715200000007E-2</v>
      </c>
      <c r="O53">
        <f t="shared" si="11"/>
        <v>9.3025609200000012E-3</v>
      </c>
      <c r="P53">
        <f t="shared" si="12"/>
        <v>2.1704772720952357E-2</v>
      </c>
      <c r="V53">
        <v>-1.1000000000000201</v>
      </c>
      <c r="W53">
        <f t="shared" si="9"/>
        <v>-0.53332999999999875</v>
      </c>
    </row>
    <row r="54" spans="1:23">
      <c r="A54">
        <v>2.6400549</v>
      </c>
      <c r="B54">
        <v>0.58667999999999998</v>
      </c>
      <c r="C54">
        <f t="shared" si="1"/>
        <v>1.548867408732</v>
      </c>
      <c r="D54">
        <v>1.6E-2</v>
      </c>
      <c r="E54">
        <v>3.5999999999999999E-3</v>
      </c>
      <c r="F54">
        <f t="shared" si="2"/>
        <v>528.01098000000002</v>
      </c>
      <c r="G54">
        <f t="shared" si="3"/>
        <v>-0.58667999999999998</v>
      </c>
      <c r="H54">
        <f t="shared" si="4"/>
        <v>-309.77348174640002</v>
      </c>
      <c r="I54">
        <v>1</v>
      </c>
      <c r="J54">
        <f t="shared" si="5"/>
        <v>-0.63863820003755256</v>
      </c>
      <c r="K54">
        <f t="shared" si="6"/>
        <v>-0.63504515177521748</v>
      </c>
      <c r="L54">
        <v>1</v>
      </c>
      <c r="M54">
        <f t="shared" si="7"/>
        <v>0.5608732994577581</v>
      </c>
      <c r="N54">
        <f t="shared" si="13"/>
        <v>4.2240878400000001E-2</v>
      </c>
      <c r="O54">
        <f t="shared" si="11"/>
        <v>9.5041976399999999E-3</v>
      </c>
      <c r="P54">
        <f t="shared" si="12"/>
        <v>2.2426776277459374E-2</v>
      </c>
      <c r="V54">
        <v>-1.00000000000002</v>
      </c>
      <c r="W54">
        <f t="shared" si="9"/>
        <v>-0.53929999999999878</v>
      </c>
    </row>
    <row r="55" spans="1:23">
      <c r="A55">
        <v>2.6904640999999998</v>
      </c>
      <c r="B55">
        <v>0.58311000000000002</v>
      </c>
      <c r="C55">
        <f t="shared" si="1"/>
        <v>1.5688365213509998</v>
      </c>
      <c r="D55">
        <v>1.6E-2</v>
      </c>
      <c r="E55">
        <v>3.5999999999999999E-3</v>
      </c>
      <c r="F55">
        <f t="shared" si="2"/>
        <v>538.09281999999996</v>
      </c>
      <c r="G55">
        <f t="shared" si="3"/>
        <v>-0.58311000000000002</v>
      </c>
      <c r="H55">
        <f t="shared" si="4"/>
        <v>-313.76730427019999</v>
      </c>
      <c r="I55">
        <v>1</v>
      </c>
      <c r="J55">
        <f t="shared" si="5"/>
        <v>-0.61972420582053522</v>
      </c>
      <c r="K55">
        <f t="shared" si="6"/>
        <v>-0.63861515177521744</v>
      </c>
      <c r="L55">
        <v>1</v>
      </c>
      <c r="M55">
        <f t="shared" si="7"/>
        <v>0.56200246491251404</v>
      </c>
      <c r="N55">
        <f t="shared" si="13"/>
        <v>4.3047425599999994E-2</v>
      </c>
      <c r="O55">
        <f t="shared" si="11"/>
        <v>9.6856707599999991E-3</v>
      </c>
      <c r="P55">
        <f t="shared" si="12"/>
        <v>2.3879590502703399E-2</v>
      </c>
      <c r="V55">
        <v>-0.90000000000002001</v>
      </c>
      <c r="W55">
        <f t="shared" si="9"/>
        <v>-0.54526999999999881</v>
      </c>
    </row>
    <row r="56" spans="1:23">
      <c r="A56">
        <v>2.7449464999999997</v>
      </c>
      <c r="B56">
        <v>0.58042000000000005</v>
      </c>
      <c r="C56">
        <f t="shared" si="1"/>
        <v>1.59322184753</v>
      </c>
      <c r="D56">
        <v>1.6E-2</v>
      </c>
      <c r="E56">
        <v>3.5999999999999999E-3</v>
      </c>
      <c r="F56">
        <f t="shared" si="2"/>
        <v>548.98929999999996</v>
      </c>
      <c r="G56">
        <f t="shared" si="3"/>
        <v>-0.58042000000000005</v>
      </c>
      <c r="H56">
        <f t="shared" si="4"/>
        <v>-318.64436950599998</v>
      </c>
      <c r="I56">
        <v>1</v>
      </c>
      <c r="J56">
        <f t="shared" si="5"/>
        <v>-0.59967632764432377</v>
      </c>
      <c r="K56">
        <f t="shared" si="6"/>
        <v>-0.64130515177521741</v>
      </c>
      <c r="L56">
        <v>1</v>
      </c>
      <c r="M56">
        <f t="shared" si="7"/>
        <v>0.56319932323963384</v>
      </c>
      <c r="N56">
        <f t="shared" si="13"/>
        <v>4.3919143999999993E-2</v>
      </c>
      <c r="O56">
        <f t="shared" si="11"/>
        <v>9.8818073999999995E-3</v>
      </c>
      <c r="P56">
        <f t="shared" si="12"/>
        <v>2.4304877135583575E-2</v>
      </c>
      <c r="V56">
        <v>-0.80000000000002003</v>
      </c>
      <c r="W56">
        <f t="shared" si="9"/>
        <v>-0.55123999999999873</v>
      </c>
    </row>
    <row r="57" spans="1:23">
      <c r="A57">
        <v>2.7953557</v>
      </c>
      <c r="B57">
        <v>0.57716000000000001</v>
      </c>
      <c r="C57">
        <f t="shared" si="1"/>
        <v>1.6133674958120001</v>
      </c>
      <c r="D57">
        <v>1.6E-2</v>
      </c>
      <c r="E57">
        <v>3.5999999999999999E-3</v>
      </c>
      <c r="F57">
        <f t="shared" si="2"/>
        <v>559.07114000000001</v>
      </c>
      <c r="G57">
        <f t="shared" si="3"/>
        <v>-0.57716000000000001</v>
      </c>
      <c r="H57">
        <f t="shared" si="4"/>
        <v>-322.67349916240005</v>
      </c>
      <c r="I57">
        <v>1</v>
      </c>
      <c r="J57">
        <f t="shared" si="5"/>
        <v>-0.58147855095469403</v>
      </c>
      <c r="K57">
        <f t="shared" si="6"/>
        <v>-0.64456515177521745</v>
      </c>
      <c r="L57">
        <v>1</v>
      </c>
      <c r="M57">
        <f t="shared" si="7"/>
        <v>0.56428573050800479</v>
      </c>
      <c r="N57">
        <f t="shared" si="13"/>
        <v>4.4725691200000001E-2</v>
      </c>
      <c r="O57">
        <f t="shared" si="11"/>
        <v>1.006328052E-2</v>
      </c>
      <c r="P57">
        <f t="shared" si="12"/>
        <v>2.5490449547212655E-2</v>
      </c>
      <c r="V57">
        <v>-0.70000000000002005</v>
      </c>
      <c r="W57">
        <f t="shared" si="9"/>
        <v>-0.55720999999999876</v>
      </c>
    </row>
    <row r="58" spans="1:23">
      <c r="A58">
        <v>2.8478015000000001</v>
      </c>
      <c r="B58">
        <v>0.57418000000000002</v>
      </c>
      <c r="C58">
        <f t="shared" si="1"/>
        <v>1.6351506652700001</v>
      </c>
      <c r="D58">
        <v>1.6E-2</v>
      </c>
      <c r="E58">
        <v>3.5999999999999999E-3</v>
      </c>
      <c r="F58">
        <f t="shared" si="2"/>
        <v>569.56029999999998</v>
      </c>
      <c r="G58">
        <f t="shared" si="3"/>
        <v>-0.57418000000000002</v>
      </c>
      <c r="H58">
        <f t="shared" si="4"/>
        <v>-327.03013305400003</v>
      </c>
      <c r="I58">
        <v>1</v>
      </c>
      <c r="J58">
        <f t="shared" si="5"/>
        <v>-0.56289061934709972</v>
      </c>
      <c r="K58">
        <f t="shared" si="6"/>
        <v>-0.64754515177521743</v>
      </c>
      <c r="L58">
        <v>1</v>
      </c>
      <c r="M58">
        <f t="shared" si="7"/>
        <v>0.56539543002497816</v>
      </c>
      <c r="N58">
        <f t="shared" si="13"/>
        <v>4.5564824000000004E-2</v>
      </c>
      <c r="O58">
        <f t="shared" si="11"/>
        <v>1.0252085399999999E-2</v>
      </c>
      <c r="P58">
        <f t="shared" si="12"/>
        <v>2.6332812350239265E-2</v>
      </c>
      <c r="V58">
        <v>-0.60000000000001996</v>
      </c>
      <c r="W58">
        <f t="shared" si="9"/>
        <v>-0.56317999999999879</v>
      </c>
    </row>
    <row r="59" spans="1:23">
      <c r="A59">
        <v>2.8997383000000001</v>
      </c>
      <c r="B59">
        <v>0.57101000000000002</v>
      </c>
      <c r="C59">
        <f t="shared" si="1"/>
        <v>1.6557795666830002</v>
      </c>
      <c r="D59">
        <v>1.6E-2</v>
      </c>
      <c r="E59">
        <v>3.5999999999999999E-3</v>
      </c>
      <c r="F59">
        <f t="shared" si="2"/>
        <v>579.94766000000004</v>
      </c>
      <c r="G59">
        <f t="shared" si="3"/>
        <v>-0.57101000000000002</v>
      </c>
      <c r="H59">
        <f t="shared" si="4"/>
        <v>-331.15591333660007</v>
      </c>
      <c r="I59">
        <v>1</v>
      </c>
      <c r="J59">
        <f t="shared" si="5"/>
        <v>-0.54481742089298046</v>
      </c>
      <c r="K59">
        <f t="shared" si="6"/>
        <v>-0.65071515177521744</v>
      </c>
      <c r="L59">
        <v>1</v>
      </c>
      <c r="M59">
        <f t="shared" si="7"/>
        <v>0.566474399972689</v>
      </c>
      <c r="N59">
        <f t="shared" si="13"/>
        <v>4.6395812800000005E-2</v>
      </c>
      <c r="O59">
        <f t="shared" si="11"/>
        <v>1.043905788E-2</v>
      </c>
      <c r="P59">
        <f t="shared" si="12"/>
        <v>2.7405881122528432E-2</v>
      </c>
      <c r="V59">
        <v>-0.50000000000001998</v>
      </c>
      <c r="W59">
        <f t="shared" si="9"/>
        <v>-0.56914999999999882</v>
      </c>
    </row>
    <row r="60" spans="1:23">
      <c r="A60">
        <v>2.9506567000000001</v>
      </c>
      <c r="B60">
        <v>0.56806999999999996</v>
      </c>
      <c r="C60">
        <f t="shared" si="1"/>
        <v>1.6761795515689999</v>
      </c>
      <c r="D60">
        <v>1.6E-2</v>
      </c>
      <c r="E60">
        <v>3.5999999999999999E-3</v>
      </c>
      <c r="F60">
        <f t="shared" si="2"/>
        <v>590.13134000000002</v>
      </c>
      <c r="G60">
        <f t="shared" si="3"/>
        <v>-0.56806999999999996</v>
      </c>
      <c r="H60">
        <f t="shared" si="4"/>
        <v>-335.23591031379999</v>
      </c>
      <c r="I60">
        <v>1</v>
      </c>
      <c r="J60">
        <f t="shared" si="5"/>
        <v>-0.52741015668684765</v>
      </c>
      <c r="K60">
        <f t="shared" si="6"/>
        <v>-0.65365515177521749</v>
      </c>
      <c r="L60">
        <v>1</v>
      </c>
      <c r="M60">
        <f t="shared" si="7"/>
        <v>0.56751361364579522</v>
      </c>
      <c r="N60">
        <f t="shared" si="13"/>
        <v>4.7210507200000001E-2</v>
      </c>
      <c r="O60">
        <f t="shared" si="11"/>
        <v>1.062236412E-2</v>
      </c>
      <c r="P60">
        <f t="shared" si="12"/>
        <v>2.8308666809422268E-2</v>
      </c>
      <c r="V60">
        <v>-0.40000000000002001</v>
      </c>
      <c r="W60">
        <f t="shared" si="9"/>
        <v>-0.57511999999999874</v>
      </c>
    </row>
    <row r="61" spans="1:23">
      <c r="A61">
        <v>3.0015750000000003</v>
      </c>
      <c r="B61">
        <v>0.56523999999999996</v>
      </c>
      <c r="C61">
        <f t="shared" si="1"/>
        <v>1.696610253</v>
      </c>
      <c r="D61">
        <v>1.6E-2</v>
      </c>
      <c r="E61">
        <v>3.5999999999999999E-3</v>
      </c>
      <c r="F61">
        <f t="shared" si="2"/>
        <v>600.31500000000005</v>
      </c>
      <c r="G61">
        <f t="shared" si="3"/>
        <v>-0.56523999999999996</v>
      </c>
      <c r="H61">
        <f t="shared" si="4"/>
        <v>-339.32205060000001</v>
      </c>
      <c r="I61">
        <v>1</v>
      </c>
      <c r="J61">
        <f t="shared" si="5"/>
        <v>-0.51030076153027526</v>
      </c>
      <c r="K61">
        <f t="shared" si="6"/>
        <v>-0.65648515177521749</v>
      </c>
      <c r="L61">
        <v>1</v>
      </c>
      <c r="M61">
        <f t="shared" si="7"/>
        <v>0.5685350445366425</v>
      </c>
      <c r="N61">
        <f t="shared" si="13"/>
        <v>4.8025200000000004E-2</v>
      </c>
      <c r="O61">
        <f t="shared" si="11"/>
        <v>1.0805670000000002E-2</v>
      </c>
      <c r="P61">
        <f t="shared" si="12"/>
        <v>2.9119237238574985E-2</v>
      </c>
      <c r="V61">
        <v>-0.30000000000001997</v>
      </c>
      <c r="W61">
        <f t="shared" si="9"/>
        <v>-0.58108999999999877</v>
      </c>
    </row>
    <row r="62" spans="1:23">
      <c r="A62">
        <v>3.0540208</v>
      </c>
      <c r="B62">
        <v>0.56259000000000003</v>
      </c>
      <c r="C62">
        <f t="shared" si="1"/>
        <v>1.7181615618720001</v>
      </c>
      <c r="D62">
        <v>1.6E-2</v>
      </c>
      <c r="E62">
        <v>3.5999999999999999E-3</v>
      </c>
      <c r="F62">
        <f t="shared" si="2"/>
        <v>610.80416000000002</v>
      </c>
      <c r="G62">
        <f t="shared" si="3"/>
        <v>-0.56259000000000003</v>
      </c>
      <c r="H62">
        <f t="shared" si="4"/>
        <v>-343.63231237440004</v>
      </c>
      <c r="I62">
        <v>1</v>
      </c>
      <c r="J62">
        <f t="shared" si="5"/>
        <v>-0.49297889492083952</v>
      </c>
      <c r="K62">
        <f t="shared" si="6"/>
        <v>-0.65913515177521742</v>
      </c>
      <c r="L62">
        <v>1</v>
      </c>
      <c r="M62">
        <f t="shared" si="7"/>
        <v>0.56956915997322588</v>
      </c>
      <c r="N62">
        <f t="shared" si="13"/>
        <v>4.88643328E-2</v>
      </c>
      <c r="O62">
        <f t="shared" si="11"/>
        <v>1.0994474879999999E-2</v>
      </c>
      <c r="P62">
        <f t="shared" si="12"/>
        <v>2.9707184121991539E-2</v>
      </c>
      <c r="V62">
        <v>-0.20000000000002</v>
      </c>
      <c r="W62">
        <f t="shared" si="9"/>
        <v>-0.58705999999999881</v>
      </c>
    </row>
    <row r="63" spans="1:23">
      <c r="A63">
        <v>3.1044299</v>
      </c>
      <c r="B63">
        <v>0.55930000000000002</v>
      </c>
      <c r="C63">
        <f t="shared" si="1"/>
        <v>1.73630764307</v>
      </c>
      <c r="D63">
        <v>1.6E-2</v>
      </c>
      <c r="E63">
        <v>3.5999999999999999E-3</v>
      </c>
      <c r="F63">
        <f t="shared" si="2"/>
        <v>620.88598000000002</v>
      </c>
      <c r="G63">
        <f t="shared" si="3"/>
        <v>-0.55930000000000002</v>
      </c>
      <c r="H63">
        <f t="shared" si="4"/>
        <v>-347.26152861399999</v>
      </c>
      <c r="I63">
        <v>1</v>
      </c>
      <c r="J63">
        <f t="shared" si="5"/>
        <v>-0.47660782099184884</v>
      </c>
      <c r="K63">
        <f t="shared" si="6"/>
        <v>-0.66242515177521744</v>
      </c>
      <c r="L63">
        <v>1</v>
      </c>
      <c r="M63">
        <f t="shared" si="7"/>
        <v>0.57054651308678661</v>
      </c>
      <c r="N63">
        <f t="shared" si="13"/>
        <v>4.96708784E-2</v>
      </c>
      <c r="O63">
        <f t="shared" si="11"/>
        <v>1.1175947639999999E-2</v>
      </c>
      <c r="P63">
        <f t="shared" si="12"/>
        <v>3.1031812648430825E-2</v>
      </c>
      <c r="V63">
        <v>-0.10000000000002</v>
      </c>
      <c r="W63">
        <f t="shared" si="9"/>
        <v>-0.59302999999999884</v>
      </c>
    </row>
    <row r="64" spans="1:23">
      <c r="A64">
        <v>3.1563667</v>
      </c>
      <c r="B64">
        <v>0.55640000000000001</v>
      </c>
      <c r="C64">
        <f t="shared" si="1"/>
        <v>1.75620243188</v>
      </c>
      <c r="D64">
        <v>1.6E-2</v>
      </c>
      <c r="E64">
        <v>3.5999999999999999E-3</v>
      </c>
      <c r="F64">
        <f t="shared" si="2"/>
        <v>631.27333999999996</v>
      </c>
      <c r="G64">
        <f t="shared" si="3"/>
        <v>-0.55640000000000001</v>
      </c>
      <c r="H64">
        <f t="shared" si="4"/>
        <v>-351.24048637599998</v>
      </c>
      <c r="I64">
        <v>1</v>
      </c>
      <c r="J64">
        <f t="shared" si="5"/>
        <v>-0.46001632481867272</v>
      </c>
      <c r="K64">
        <f t="shared" si="6"/>
        <v>-0.66532515177521745</v>
      </c>
      <c r="L64">
        <v>1</v>
      </c>
      <c r="M64">
        <f t="shared" si="7"/>
        <v>0.57153702540832518</v>
      </c>
      <c r="N64">
        <f t="shared" si="13"/>
        <v>5.0501867200000002E-2</v>
      </c>
      <c r="O64">
        <f t="shared" si="11"/>
        <v>1.136292012E-2</v>
      </c>
      <c r="P64">
        <f t="shared" si="12"/>
        <v>3.1923339046892263E-2</v>
      </c>
      <c r="V64">
        <v>-2.0428103653102899E-14</v>
      </c>
      <c r="W64">
        <f t="shared" si="9"/>
        <v>-0.59899999999999876</v>
      </c>
    </row>
    <row r="65" spans="1:23">
      <c r="A65">
        <v>3.2108488999999998</v>
      </c>
      <c r="B65">
        <v>0.55388000000000004</v>
      </c>
      <c r="C65">
        <f t="shared" si="1"/>
        <v>1.7784249887320001</v>
      </c>
      <c r="D65">
        <v>1.6E-2</v>
      </c>
      <c r="E65">
        <v>3.5999999999999999E-3</v>
      </c>
      <c r="F65">
        <f t="shared" si="2"/>
        <v>642.16977999999995</v>
      </c>
      <c r="G65">
        <f t="shared" si="3"/>
        <v>-0.55388000000000004</v>
      </c>
      <c r="H65">
        <f t="shared" si="4"/>
        <v>-355.68499774640003</v>
      </c>
      <c r="I65">
        <v>1</v>
      </c>
      <c r="J65">
        <f t="shared" si="5"/>
        <v>-0.44290255542552998</v>
      </c>
      <c r="K65">
        <f t="shared" si="6"/>
        <v>-0.66784515177521742</v>
      </c>
      <c r="L65">
        <v>1</v>
      </c>
      <c r="M65">
        <f t="shared" si="7"/>
        <v>0.57255871744109588</v>
      </c>
      <c r="N65">
        <f t="shared" si="13"/>
        <v>5.1373582399999999E-2</v>
      </c>
      <c r="O65">
        <f t="shared" si="11"/>
        <v>1.155905604E-2</v>
      </c>
      <c r="P65">
        <f t="shared" si="12"/>
        <v>3.2353795894121538E-2</v>
      </c>
      <c r="V65">
        <v>9.9999999999980105E-2</v>
      </c>
      <c r="W65">
        <f t="shared" si="9"/>
        <v>-0.60496999999999879</v>
      </c>
    </row>
    <row r="66" spans="1:23">
      <c r="A66">
        <v>3.2653318000000002</v>
      </c>
      <c r="B66">
        <v>0.55057999999999996</v>
      </c>
      <c r="C66">
        <f t="shared" si="1"/>
        <v>1.7978263824439999</v>
      </c>
      <c r="D66">
        <v>1.6E-2</v>
      </c>
      <c r="E66">
        <v>3.5999999999999999E-3</v>
      </c>
      <c r="F66">
        <f t="shared" si="2"/>
        <v>653.06636000000003</v>
      </c>
      <c r="G66">
        <f t="shared" si="3"/>
        <v>-0.55057999999999996</v>
      </c>
      <c r="H66">
        <f t="shared" si="4"/>
        <v>-359.56527648880001</v>
      </c>
      <c r="I66">
        <v>1</v>
      </c>
      <c r="J66">
        <f t="shared" si="5"/>
        <v>-0.42607653159181907</v>
      </c>
      <c r="K66">
        <f t="shared" si="6"/>
        <v>-0.6711451517752175</v>
      </c>
      <c r="L66">
        <v>1</v>
      </c>
      <c r="M66">
        <f t="shared" si="7"/>
        <v>0.57356323106396834</v>
      </c>
      <c r="N66">
        <f t="shared" si="13"/>
        <v>5.2245308800000008E-2</v>
      </c>
      <c r="O66">
        <f t="shared" si="11"/>
        <v>1.175519448E-2</v>
      </c>
      <c r="P66">
        <f t="shared" si="12"/>
        <v>3.358141743124915E-2</v>
      </c>
      <c r="V66">
        <v>0.19999999999998</v>
      </c>
      <c r="W66">
        <f t="shared" si="9"/>
        <v>-0.61093999999999882</v>
      </c>
    </row>
    <row r="67" spans="1:23">
      <c r="A67">
        <v>3.3162500000000001</v>
      </c>
      <c r="B67">
        <v>0.54779</v>
      </c>
      <c r="C67">
        <f t="shared" si="1"/>
        <v>1.8166085875</v>
      </c>
      <c r="D67">
        <v>1.6E-2</v>
      </c>
      <c r="E67">
        <v>3.5999999999999999E-3</v>
      </c>
      <c r="F67">
        <f t="shared" si="2"/>
        <v>663.25</v>
      </c>
      <c r="G67">
        <f t="shared" si="3"/>
        <v>-0.54779</v>
      </c>
      <c r="H67">
        <f t="shared" si="4"/>
        <v>-363.32171749999998</v>
      </c>
      <c r="I67">
        <v>1</v>
      </c>
      <c r="J67">
        <f t="shared" si="5"/>
        <v>-0.41060328596428802</v>
      </c>
      <c r="K67">
        <f t="shared" si="6"/>
        <v>-0.67393515177521746</v>
      </c>
      <c r="L67">
        <v>1</v>
      </c>
      <c r="M67">
        <f t="shared" si="7"/>
        <v>0.57448698382793195</v>
      </c>
      <c r="N67">
        <f t="shared" si="13"/>
        <v>5.3060000000000003E-2</v>
      </c>
      <c r="O67">
        <f t="shared" si="11"/>
        <v>1.1938499999999999E-2</v>
      </c>
      <c r="P67">
        <f t="shared" si="12"/>
        <v>3.4449667947285503E-2</v>
      </c>
      <c r="V67">
        <v>0.29999999999998</v>
      </c>
      <c r="W67">
        <f t="shared" si="9"/>
        <v>-0.61690999999999874</v>
      </c>
    </row>
    <row r="68" spans="1:23">
      <c r="A68">
        <v>3.3681867999999997</v>
      </c>
      <c r="B68">
        <v>0.54493000000000003</v>
      </c>
      <c r="C68">
        <f t="shared" si="1"/>
        <v>1.835426032924</v>
      </c>
      <c r="D68">
        <v>1.6E-2</v>
      </c>
      <c r="E68">
        <v>3.5999999999999999E-3</v>
      </c>
      <c r="F68">
        <f t="shared" si="2"/>
        <v>673.63735999999994</v>
      </c>
      <c r="G68">
        <f t="shared" si="3"/>
        <v>-0.54493000000000003</v>
      </c>
      <c r="H68">
        <f t="shared" si="4"/>
        <v>-367.08520658480001</v>
      </c>
      <c r="I68">
        <v>1</v>
      </c>
      <c r="J68">
        <f t="shared" si="5"/>
        <v>-0.39506335440914775</v>
      </c>
      <c r="K68">
        <f t="shared" si="6"/>
        <v>-0.67679515177521743</v>
      </c>
      <c r="L68">
        <v>1</v>
      </c>
      <c r="M68">
        <f t="shared" si="7"/>
        <v>0.57541471774177388</v>
      </c>
      <c r="N68">
        <f t="shared" si="13"/>
        <v>5.3890988799999998E-2</v>
      </c>
      <c r="O68">
        <f t="shared" si="11"/>
        <v>1.2125472479999998E-2</v>
      </c>
      <c r="P68">
        <f t="shared" si="12"/>
        <v>3.5363972753443551E-2</v>
      </c>
      <c r="V68">
        <v>0.39999999999997998</v>
      </c>
      <c r="W68">
        <f t="shared" si="9"/>
        <v>-0.62287999999999877</v>
      </c>
    </row>
    <row r="69" spans="1:23">
      <c r="A69">
        <v>3.4216509000000004</v>
      </c>
      <c r="B69">
        <v>0.54225000000000001</v>
      </c>
      <c r="C69">
        <f t="shared" ref="C69:C132" si="14">A69*B69</f>
        <v>1.8553902005250003</v>
      </c>
      <c r="D69">
        <v>1.6E-2</v>
      </c>
      <c r="E69">
        <v>3.5999999999999999E-3</v>
      </c>
      <c r="F69">
        <f t="shared" ref="F69:F132" si="15">A69*200</f>
        <v>684.33018000000004</v>
      </c>
      <c r="G69">
        <f t="shared" ref="G69:G132" si="16">-B69</f>
        <v>-0.54225000000000001</v>
      </c>
      <c r="H69">
        <f t="shared" ref="H69:H132" si="17">-C69*200</f>
        <v>-371.07804010500007</v>
      </c>
      <c r="I69">
        <v>1</v>
      </c>
      <c r="J69">
        <f t="shared" ref="J69:J132" si="18">LN(F69/1000)</f>
        <v>-0.37931475853282087</v>
      </c>
      <c r="K69">
        <f t="shared" ref="K69:K132" si="19">((-G69)-$N$2)</f>
        <v>-0.67947515177521745</v>
      </c>
      <c r="L69">
        <v>1</v>
      </c>
      <c r="M69">
        <f t="shared" ref="M69:M132" si="20">-1*($S$4+($S$5*J69))</f>
        <v>0.5763549089155906</v>
      </c>
      <c r="N69">
        <f t="shared" si="13"/>
        <v>5.4746414400000006E-2</v>
      </c>
      <c r="O69">
        <f t="shared" si="11"/>
        <v>1.231794324E-2</v>
      </c>
      <c r="P69">
        <f t="shared" si="12"/>
        <v>3.605588521962684E-2</v>
      </c>
      <c r="V69">
        <v>0.49999999999998002</v>
      </c>
      <c r="W69">
        <f t="shared" ref="W69:W132" si="21">V69*$S$5+$S$4</f>
        <v>-0.6288499999999988</v>
      </c>
    </row>
    <row r="70" spans="1:23">
      <c r="A70">
        <v>3.4766428</v>
      </c>
      <c r="B70">
        <v>0.53922000000000003</v>
      </c>
      <c r="C70">
        <f t="shared" si="14"/>
        <v>1.8746753306160002</v>
      </c>
      <c r="D70">
        <v>1.6E-2</v>
      </c>
      <c r="E70">
        <v>3.5999999999999999E-3</v>
      </c>
      <c r="F70">
        <f t="shared" si="15"/>
        <v>695.32856000000004</v>
      </c>
      <c r="G70">
        <f t="shared" si="16"/>
        <v>-0.53922000000000003</v>
      </c>
      <c r="H70">
        <f t="shared" si="17"/>
        <v>-374.93506612320004</v>
      </c>
      <c r="I70">
        <v>1</v>
      </c>
      <c r="J70">
        <f t="shared" si="18"/>
        <v>-0.36337079692613128</v>
      </c>
      <c r="K70">
        <f t="shared" si="19"/>
        <v>-0.68250515177521742</v>
      </c>
      <c r="L70">
        <v>1</v>
      </c>
      <c r="M70">
        <f t="shared" si="20"/>
        <v>0.57730676342350995</v>
      </c>
      <c r="N70">
        <f t="shared" si="13"/>
        <v>5.5626284800000002E-2</v>
      </c>
      <c r="O70">
        <f t="shared" ref="O70:O133" si="22">E70*A70</f>
        <v>1.2515914079999999E-2</v>
      </c>
      <c r="P70">
        <f t="shared" ref="P70:P133" si="23">-K70-M70-N70-O70</f>
        <v>3.7056189471707468E-2</v>
      </c>
      <c r="V70">
        <v>0.59999999999997999</v>
      </c>
      <c r="W70">
        <f t="shared" si="21"/>
        <v>-0.63481999999999883</v>
      </c>
    </row>
    <row r="71" spans="1:23">
      <c r="A71">
        <v>3.5280703</v>
      </c>
      <c r="B71">
        <v>0.53664000000000001</v>
      </c>
      <c r="C71">
        <f t="shared" si="14"/>
        <v>1.8933036457920001</v>
      </c>
      <c r="D71">
        <v>1.6E-2</v>
      </c>
      <c r="E71">
        <v>3.5999999999999999E-3</v>
      </c>
      <c r="F71">
        <f t="shared" si="15"/>
        <v>705.61405999999999</v>
      </c>
      <c r="G71">
        <f t="shared" si="16"/>
        <v>-0.53664000000000001</v>
      </c>
      <c r="H71">
        <f t="shared" si="17"/>
        <v>-378.66072915839999</v>
      </c>
      <c r="I71">
        <v>1</v>
      </c>
      <c r="J71">
        <f t="shared" si="18"/>
        <v>-0.34868684818422674</v>
      </c>
      <c r="K71">
        <f t="shared" si="19"/>
        <v>-0.68508515177521745</v>
      </c>
      <c r="L71">
        <v>1</v>
      </c>
      <c r="M71">
        <f t="shared" si="20"/>
        <v>0.57818339516340167</v>
      </c>
      <c r="N71">
        <f t="shared" ref="N71:N134" si="24">D71*A71</f>
        <v>5.64491248E-2</v>
      </c>
      <c r="O71">
        <f t="shared" si="22"/>
        <v>1.270105308E-2</v>
      </c>
      <c r="P71">
        <f t="shared" si="23"/>
        <v>3.7751578731815782E-2</v>
      </c>
      <c r="V71">
        <v>0.69999999999997997</v>
      </c>
      <c r="W71">
        <f t="shared" si="21"/>
        <v>-0.64078999999999875</v>
      </c>
    </row>
    <row r="72" spans="1:23">
      <c r="A72">
        <v>3.5784796999999999</v>
      </c>
      <c r="B72">
        <v>0.53403</v>
      </c>
      <c r="C72">
        <f t="shared" si="14"/>
        <v>1.9110155141909999</v>
      </c>
      <c r="D72">
        <v>1.6E-2</v>
      </c>
      <c r="E72">
        <v>3.5999999999999999E-3</v>
      </c>
      <c r="F72">
        <f t="shared" si="15"/>
        <v>715.69593999999995</v>
      </c>
      <c r="G72">
        <f t="shared" si="16"/>
        <v>-0.53403</v>
      </c>
      <c r="H72">
        <f t="shared" si="17"/>
        <v>-382.20310283819998</v>
      </c>
      <c r="I72">
        <v>1</v>
      </c>
      <c r="J72">
        <f t="shared" si="18"/>
        <v>-0.33449986702159507</v>
      </c>
      <c r="K72">
        <f t="shared" si="19"/>
        <v>-0.68769515177521745</v>
      </c>
      <c r="L72">
        <v>1</v>
      </c>
      <c r="M72">
        <f t="shared" si="20"/>
        <v>0.57903035793881075</v>
      </c>
      <c r="N72">
        <f t="shared" si="24"/>
        <v>5.7255675200000002E-2</v>
      </c>
      <c r="O72">
        <f t="shared" si="22"/>
        <v>1.288252692E-2</v>
      </c>
      <c r="P72">
        <f t="shared" si="23"/>
        <v>3.8526591716406704E-2</v>
      </c>
      <c r="V72">
        <v>0.79999999999997995</v>
      </c>
      <c r="W72">
        <f t="shared" si="21"/>
        <v>-0.64675999999999878</v>
      </c>
    </row>
    <row r="73" spans="1:23">
      <c r="A73">
        <v>3.6319438000000002</v>
      </c>
      <c r="B73">
        <v>0.53122000000000003</v>
      </c>
      <c r="C73">
        <f t="shared" si="14"/>
        <v>1.9293611854360002</v>
      </c>
      <c r="D73">
        <v>1.6E-2</v>
      </c>
      <c r="E73">
        <v>3.5999999999999999E-3</v>
      </c>
      <c r="F73">
        <f t="shared" si="15"/>
        <v>726.38876000000005</v>
      </c>
      <c r="G73">
        <f t="shared" si="16"/>
        <v>-0.53122000000000003</v>
      </c>
      <c r="H73">
        <f t="shared" si="17"/>
        <v>-385.87223708720006</v>
      </c>
      <c r="I73">
        <v>1</v>
      </c>
      <c r="J73">
        <f t="shared" si="18"/>
        <v>-0.31966992538305222</v>
      </c>
      <c r="K73">
        <f t="shared" si="19"/>
        <v>-0.69050515177521743</v>
      </c>
      <c r="L73">
        <v>1</v>
      </c>
      <c r="M73">
        <f t="shared" si="20"/>
        <v>0.57991570545463178</v>
      </c>
      <c r="N73">
        <f t="shared" si="24"/>
        <v>5.8111100800000003E-2</v>
      </c>
      <c r="O73">
        <f t="shared" si="22"/>
        <v>1.307499768E-2</v>
      </c>
      <c r="P73">
        <f t="shared" si="23"/>
        <v>3.9403347840585648E-2</v>
      </c>
      <c r="V73">
        <v>0.89999999999998004</v>
      </c>
      <c r="W73">
        <f t="shared" si="21"/>
        <v>-0.65272999999999881</v>
      </c>
    </row>
    <row r="74" spans="1:23">
      <c r="A74">
        <v>3.6828620999999999</v>
      </c>
      <c r="B74">
        <v>0.52869999999999995</v>
      </c>
      <c r="C74">
        <f t="shared" si="14"/>
        <v>1.9471291922699998</v>
      </c>
      <c r="D74">
        <v>1.6E-2</v>
      </c>
      <c r="E74">
        <v>3.5999999999999999E-3</v>
      </c>
      <c r="F74">
        <f t="shared" si="15"/>
        <v>736.57241999999997</v>
      </c>
      <c r="G74">
        <f t="shared" si="16"/>
        <v>-0.52869999999999995</v>
      </c>
      <c r="H74">
        <f t="shared" si="17"/>
        <v>-389.42583845399997</v>
      </c>
      <c r="I74">
        <v>1</v>
      </c>
      <c r="J74">
        <f t="shared" si="18"/>
        <v>-0.30574771797462341</v>
      </c>
      <c r="K74">
        <f t="shared" si="19"/>
        <v>-0.69302515177521751</v>
      </c>
      <c r="L74">
        <v>1</v>
      </c>
      <c r="M74">
        <f t="shared" si="20"/>
        <v>0.58074686123691499</v>
      </c>
      <c r="N74">
        <f t="shared" si="24"/>
        <v>5.8925793599999998E-2</v>
      </c>
      <c r="O74">
        <f t="shared" si="22"/>
        <v>1.3258303559999999E-2</v>
      </c>
      <c r="P74">
        <f t="shared" si="23"/>
        <v>4.0094193378302521E-2</v>
      </c>
      <c r="V74">
        <v>0.99999999999998002</v>
      </c>
      <c r="W74">
        <f t="shared" si="21"/>
        <v>-0.65869999999999873</v>
      </c>
    </row>
    <row r="75" spans="1:23">
      <c r="A75">
        <v>3.7337804999999999</v>
      </c>
      <c r="B75">
        <v>0.52600999999999998</v>
      </c>
      <c r="C75">
        <f t="shared" si="14"/>
        <v>1.9640058808049998</v>
      </c>
      <c r="D75">
        <v>1.6E-2</v>
      </c>
      <c r="E75">
        <v>3.5999999999999999E-3</v>
      </c>
      <c r="F75">
        <f t="shared" si="15"/>
        <v>746.75609999999995</v>
      </c>
      <c r="G75">
        <f t="shared" si="16"/>
        <v>-0.52600999999999998</v>
      </c>
      <c r="H75">
        <f t="shared" si="17"/>
        <v>-392.80117616099994</v>
      </c>
      <c r="I75">
        <v>1</v>
      </c>
      <c r="J75">
        <f t="shared" si="18"/>
        <v>-0.29201665318811348</v>
      </c>
      <c r="K75">
        <f t="shared" si="19"/>
        <v>-0.69571515177521748</v>
      </c>
      <c r="L75">
        <v>1</v>
      </c>
      <c r="M75">
        <f t="shared" si="20"/>
        <v>0.58156660580466957</v>
      </c>
      <c r="N75">
        <f t="shared" si="24"/>
        <v>5.9740488000000001E-2</v>
      </c>
      <c r="O75">
        <f t="shared" si="22"/>
        <v>1.3441609799999999E-2</v>
      </c>
      <c r="P75">
        <f t="shared" si="23"/>
        <v>4.0966448170547912E-2</v>
      </c>
      <c r="V75">
        <v>1.0999999999999699</v>
      </c>
      <c r="W75">
        <f t="shared" si="21"/>
        <v>-0.66466999999999821</v>
      </c>
    </row>
    <row r="76" spans="1:23">
      <c r="A76">
        <v>3.7852079999999999</v>
      </c>
      <c r="B76">
        <v>0.52325999999999995</v>
      </c>
      <c r="C76">
        <f t="shared" si="14"/>
        <v>1.9806479380799997</v>
      </c>
      <c r="D76">
        <v>1.6E-2</v>
      </c>
      <c r="E76">
        <v>3.5999999999999999E-3</v>
      </c>
      <c r="F76">
        <f t="shared" si="15"/>
        <v>757.04160000000002</v>
      </c>
      <c r="G76">
        <f t="shared" si="16"/>
        <v>-0.52325999999999995</v>
      </c>
      <c r="H76">
        <f t="shared" si="17"/>
        <v>-396.12958761599992</v>
      </c>
      <c r="I76">
        <v>1</v>
      </c>
      <c r="J76">
        <f t="shared" si="18"/>
        <v>-0.27833707328972984</v>
      </c>
      <c r="K76">
        <f t="shared" si="19"/>
        <v>-0.69846515177521751</v>
      </c>
      <c r="L76">
        <v>1</v>
      </c>
      <c r="M76">
        <f t="shared" si="20"/>
        <v>0.58238327672460311</v>
      </c>
      <c r="N76">
        <f t="shared" si="24"/>
        <v>6.0563328E-2</v>
      </c>
      <c r="O76">
        <f t="shared" si="22"/>
        <v>1.36267488E-2</v>
      </c>
      <c r="P76">
        <f t="shared" si="23"/>
        <v>4.1891798250614405E-2</v>
      </c>
      <c r="V76">
        <v>1.19999999999997</v>
      </c>
      <c r="W76">
        <f t="shared" si="21"/>
        <v>-0.67063999999999813</v>
      </c>
    </row>
    <row r="77" spans="1:23">
      <c r="A77">
        <v>3.8396904000000003</v>
      </c>
      <c r="B77">
        <v>0.52070000000000005</v>
      </c>
      <c r="C77">
        <f t="shared" si="14"/>
        <v>1.9993267912800003</v>
      </c>
      <c r="D77">
        <v>1.6E-2</v>
      </c>
      <c r="E77">
        <v>3.5999999999999999E-3</v>
      </c>
      <c r="F77">
        <f t="shared" si="15"/>
        <v>767.93808000000001</v>
      </c>
      <c r="G77">
        <f t="shared" si="16"/>
        <v>-0.52070000000000005</v>
      </c>
      <c r="H77">
        <f t="shared" si="17"/>
        <v>-399.86535825600009</v>
      </c>
      <c r="I77">
        <v>1</v>
      </c>
      <c r="J77">
        <f t="shared" si="18"/>
        <v>-0.26404617408483494</v>
      </c>
      <c r="K77">
        <f t="shared" si="19"/>
        <v>-0.7010251517752174</v>
      </c>
      <c r="L77">
        <v>1</v>
      </c>
      <c r="M77">
        <f t="shared" si="20"/>
        <v>0.58323644340713532</v>
      </c>
      <c r="N77">
        <f t="shared" si="24"/>
        <v>6.1435046400000005E-2</v>
      </c>
      <c r="O77">
        <f t="shared" si="22"/>
        <v>1.382288544E-2</v>
      </c>
      <c r="P77">
        <f t="shared" si="23"/>
        <v>4.2530776528082077E-2</v>
      </c>
      <c r="V77">
        <v>1.2999999999999701</v>
      </c>
      <c r="W77">
        <f t="shared" si="21"/>
        <v>-0.67660999999999816</v>
      </c>
    </row>
    <row r="78" spans="1:23">
      <c r="A78">
        <v>3.8900995999999997</v>
      </c>
      <c r="B78">
        <v>0.51824000000000003</v>
      </c>
      <c r="C78">
        <f t="shared" si="14"/>
        <v>2.0160052167039999</v>
      </c>
      <c r="D78">
        <v>1.6E-2</v>
      </c>
      <c r="E78">
        <v>3.5999999999999999E-3</v>
      </c>
      <c r="F78">
        <f t="shared" si="15"/>
        <v>778.01991999999996</v>
      </c>
      <c r="G78">
        <f t="shared" si="16"/>
        <v>-0.51824000000000003</v>
      </c>
      <c r="H78">
        <f t="shared" si="17"/>
        <v>-403.20104334079997</v>
      </c>
      <c r="I78">
        <v>1</v>
      </c>
      <c r="J78">
        <f t="shared" si="18"/>
        <v>-0.25100315101841464</v>
      </c>
      <c r="K78">
        <f t="shared" si="19"/>
        <v>-0.70348515177521742</v>
      </c>
      <c r="L78">
        <v>1</v>
      </c>
      <c r="M78">
        <f t="shared" si="20"/>
        <v>0.58401511188420063</v>
      </c>
      <c r="N78">
        <f t="shared" si="24"/>
        <v>6.2241593599999999E-2</v>
      </c>
      <c r="O78">
        <f t="shared" si="22"/>
        <v>1.4004358559999999E-2</v>
      </c>
      <c r="P78">
        <f t="shared" si="23"/>
        <v>4.322408773101679E-2</v>
      </c>
      <c r="V78">
        <v>1.3999999999999699</v>
      </c>
      <c r="W78">
        <f t="shared" si="21"/>
        <v>-0.68257999999999819</v>
      </c>
    </row>
    <row r="79" spans="1:23">
      <c r="A79">
        <v>3.9405087999999999</v>
      </c>
      <c r="B79">
        <v>0.51546999999999998</v>
      </c>
      <c r="C79">
        <f t="shared" si="14"/>
        <v>2.0312140711360001</v>
      </c>
      <c r="D79">
        <v>1.6E-2</v>
      </c>
      <c r="E79">
        <v>3.5999999999999999E-3</v>
      </c>
      <c r="F79">
        <f t="shared" si="15"/>
        <v>788.10176000000001</v>
      </c>
      <c r="G79">
        <f t="shared" si="16"/>
        <v>-0.51546999999999998</v>
      </c>
      <c r="H79">
        <f t="shared" si="17"/>
        <v>-406.24281422720003</v>
      </c>
      <c r="I79">
        <v>1</v>
      </c>
      <c r="J79">
        <f t="shared" si="18"/>
        <v>-0.23812806040589221</v>
      </c>
      <c r="K79">
        <f t="shared" si="19"/>
        <v>-0.70625515177521747</v>
      </c>
      <c r="L79">
        <v>1</v>
      </c>
      <c r="M79">
        <f t="shared" si="20"/>
        <v>0.58478375479376821</v>
      </c>
      <c r="N79">
        <f t="shared" si="24"/>
        <v>6.3048140799999999E-2</v>
      </c>
      <c r="O79">
        <f t="shared" si="22"/>
        <v>1.418583168E-2</v>
      </c>
      <c r="P79">
        <f t="shared" si="23"/>
        <v>4.4237424501449268E-2</v>
      </c>
      <c r="V79">
        <v>1.49999999999997</v>
      </c>
      <c r="W79">
        <f t="shared" si="21"/>
        <v>-0.68854999999999822</v>
      </c>
    </row>
    <row r="80" spans="1:23">
      <c r="A80">
        <v>3.9929546</v>
      </c>
      <c r="B80">
        <v>0.51304000000000005</v>
      </c>
      <c r="C80">
        <f t="shared" si="14"/>
        <v>2.0485454279840001</v>
      </c>
      <c r="D80">
        <v>1.6E-2</v>
      </c>
      <c r="E80">
        <v>3.5999999999999999E-3</v>
      </c>
      <c r="F80">
        <f t="shared" si="15"/>
        <v>798.59091999999998</v>
      </c>
      <c r="G80">
        <f t="shared" si="16"/>
        <v>-0.51304000000000005</v>
      </c>
      <c r="H80">
        <f t="shared" si="17"/>
        <v>-409.70908559680004</v>
      </c>
      <c r="I80">
        <v>1</v>
      </c>
      <c r="J80">
        <f t="shared" si="18"/>
        <v>-0.22490645431497422</v>
      </c>
      <c r="K80">
        <f t="shared" si="19"/>
        <v>-0.7086851517752174</v>
      </c>
      <c r="L80">
        <v>1</v>
      </c>
      <c r="M80">
        <f t="shared" si="20"/>
        <v>0.58557308467739599</v>
      </c>
      <c r="N80">
        <f t="shared" si="24"/>
        <v>6.3887273600000002E-2</v>
      </c>
      <c r="O80">
        <f t="shared" si="22"/>
        <v>1.4374636559999999E-2</v>
      </c>
      <c r="P80">
        <f t="shared" si="23"/>
        <v>4.4850156937821406E-2</v>
      </c>
      <c r="V80">
        <v>1.5999999999999699</v>
      </c>
      <c r="W80">
        <f t="shared" si="21"/>
        <v>-0.69451999999999814</v>
      </c>
    </row>
    <row r="81" spans="1:23">
      <c r="A81">
        <v>4.0433637999999998</v>
      </c>
      <c r="B81">
        <v>0.51041000000000003</v>
      </c>
      <c r="C81">
        <f t="shared" si="14"/>
        <v>2.0637733171580002</v>
      </c>
      <c r="D81">
        <v>1.6E-2</v>
      </c>
      <c r="E81">
        <v>3.5999999999999999E-3</v>
      </c>
      <c r="F81">
        <f t="shared" si="15"/>
        <v>808.67275999999993</v>
      </c>
      <c r="G81">
        <f t="shared" si="16"/>
        <v>-0.51041000000000003</v>
      </c>
      <c r="H81">
        <f t="shared" si="17"/>
        <v>-412.75466343160002</v>
      </c>
      <c r="I81">
        <v>1</v>
      </c>
      <c r="J81">
        <f t="shared" si="18"/>
        <v>-0.21236094313754159</v>
      </c>
      <c r="K81">
        <f t="shared" si="19"/>
        <v>-0.71131515177521742</v>
      </c>
      <c r="L81">
        <v>1</v>
      </c>
      <c r="M81">
        <f t="shared" si="20"/>
        <v>0.58632205169468876</v>
      </c>
      <c r="N81">
        <f t="shared" si="24"/>
        <v>6.4693820799999996E-2</v>
      </c>
      <c r="O81">
        <f t="shared" si="22"/>
        <v>1.4556109679999998E-2</v>
      </c>
      <c r="P81">
        <f t="shared" si="23"/>
        <v>4.5743169600528669E-2</v>
      </c>
      <c r="V81">
        <v>1.69999999999997</v>
      </c>
      <c r="W81">
        <f t="shared" si="21"/>
        <v>-0.70048999999999817</v>
      </c>
    </row>
    <row r="82" spans="1:23">
      <c r="A82">
        <v>4.0983559999999999</v>
      </c>
      <c r="B82">
        <v>0.50805999999999996</v>
      </c>
      <c r="C82">
        <f t="shared" si="14"/>
        <v>2.0822107493599997</v>
      </c>
      <c r="D82">
        <v>1.6E-2</v>
      </c>
      <c r="E82">
        <v>3.5999999999999999E-3</v>
      </c>
      <c r="F82">
        <f t="shared" si="15"/>
        <v>819.6712</v>
      </c>
      <c r="G82">
        <f t="shared" si="16"/>
        <v>-0.50805999999999996</v>
      </c>
      <c r="H82">
        <f t="shared" si="17"/>
        <v>-416.44214987199996</v>
      </c>
      <c r="I82">
        <v>1</v>
      </c>
      <c r="J82">
        <f t="shared" si="18"/>
        <v>-0.19885199474581039</v>
      </c>
      <c r="K82">
        <f t="shared" si="19"/>
        <v>-0.7136651517752175</v>
      </c>
      <c r="L82">
        <v>1</v>
      </c>
      <c r="M82">
        <f t="shared" si="20"/>
        <v>0.58712853591367509</v>
      </c>
      <c r="N82">
        <f t="shared" si="24"/>
        <v>6.5573696000000001E-2</v>
      </c>
      <c r="O82">
        <f t="shared" si="22"/>
        <v>1.47540816E-2</v>
      </c>
      <c r="P82">
        <f t="shared" si="23"/>
        <v>4.6208838261542415E-2</v>
      </c>
      <c r="V82">
        <v>1.7999999999999701</v>
      </c>
      <c r="W82">
        <f t="shared" si="21"/>
        <v>-0.7064599999999982</v>
      </c>
    </row>
    <row r="83" spans="1:23">
      <c r="A83">
        <v>4.1497831999999999</v>
      </c>
      <c r="B83">
        <v>0.50521000000000005</v>
      </c>
      <c r="C83">
        <f t="shared" si="14"/>
        <v>2.0965119704720001</v>
      </c>
      <c r="D83">
        <v>1.6E-2</v>
      </c>
      <c r="E83">
        <v>3.5999999999999999E-3</v>
      </c>
      <c r="F83">
        <f t="shared" si="15"/>
        <v>829.95663999999999</v>
      </c>
      <c r="G83">
        <f t="shared" si="16"/>
        <v>-0.50521000000000005</v>
      </c>
      <c r="H83">
        <f t="shared" si="17"/>
        <v>-419.30239409440003</v>
      </c>
      <c r="I83">
        <v>1</v>
      </c>
      <c r="J83">
        <f t="shared" si="18"/>
        <v>-0.18638182051995553</v>
      </c>
      <c r="K83">
        <f t="shared" si="19"/>
        <v>-0.71651515177521741</v>
      </c>
      <c r="L83">
        <v>1</v>
      </c>
      <c r="M83">
        <f t="shared" si="20"/>
        <v>0.58787300531495867</v>
      </c>
      <c r="N83">
        <f t="shared" si="24"/>
        <v>6.6396531199999997E-2</v>
      </c>
      <c r="O83">
        <f t="shared" si="22"/>
        <v>1.493921952E-2</v>
      </c>
      <c r="P83">
        <f t="shared" si="23"/>
        <v>4.7306395740258737E-2</v>
      </c>
      <c r="V83">
        <v>1.8999999999999699</v>
      </c>
      <c r="W83">
        <f t="shared" si="21"/>
        <v>-0.71242999999999823</v>
      </c>
    </row>
    <row r="84" spans="1:23">
      <c r="A84">
        <v>4.2007021</v>
      </c>
      <c r="B84">
        <v>0.50261999999999996</v>
      </c>
      <c r="C84">
        <f t="shared" si="14"/>
        <v>2.1113568895019998</v>
      </c>
      <c r="D84">
        <v>1.6E-2</v>
      </c>
      <c r="E84">
        <v>3.5999999999999999E-3</v>
      </c>
      <c r="F84">
        <f t="shared" si="15"/>
        <v>840.14041999999995</v>
      </c>
      <c r="G84">
        <f t="shared" si="16"/>
        <v>-0.50261999999999996</v>
      </c>
      <c r="H84">
        <f t="shared" si="17"/>
        <v>-422.27137790039995</v>
      </c>
      <c r="I84">
        <v>1</v>
      </c>
      <c r="J84">
        <f t="shared" si="18"/>
        <v>-0.17418623444890136</v>
      </c>
      <c r="K84">
        <f t="shared" si="19"/>
        <v>-0.7191051517752175</v>
      </c>
      <c r="L84">
        <v>1</v>
      </c>
      <c r="M84">
        <f t="shared" si="20"/>
        <v>0.58860108180340054</v>
      </c>
      <c r="N84">
        <f t="shared" si="24"/>
        <v>6.7211233600000003E-2</v>
      </c>
      <c r="O84">
        <f t="shared" si="22"/>
        <v>1.512252756E-2</v>
      </c>
      <c r="P84">
        <f t="shared" si="23"/>
        <v>4.8170308811816956E-2</v>
      </c>
      <c r="V84">
        <v>1.99999999999997</v>
      </c>
      <c r="W84">
        <f t="shared" si="21"/>
        <v>-0.71839999999999815</v>
      </c>
    </row>
    <row r="85" spans="1:23">
      <c r="A85">
        <v>4.2511112999999998</v>
      </c>
      <c r="B85">
        <v>0.50029000000000001</v>
      </c>
      <c r="C85">
        <f t="shared" si="14"/>
        <v>2.1267884722770001</v>
      </c>
      <c r="D85">
        <v>1.6E-2</v>
      </c>
      <c r="E85">
        <v>3.5999999999999999E-3</v>
      </c>
      <c r="F85">
        <f t="shared" si="15"/>
        <v>850.22226000000001</v>
      </c>
      <c r="G85">
        <f t="shared" si="16"/>
        <v>-0.50029000000000001</v>
      </c>
      <c r="H85">
        <f t="shared" si="17"/>
        <v>-425.35769445540001</v>
      </c>
      <c r="I85">
        <v>1</v>
      </c>
      <c r="J85">
        <f t="shared" si="18"/>
        <v>-0.16225748132538589</v>
      </c>
      <c r="K85">
        <f t="shared" si="19"/>
        <v>-0.72143515177521744</v>
      </c>
      <c r="L85">
        <v>1</v>
      </c>
      <c r="M85">
        <f t="shared" si="20"/>
        <v>0.58931322836487443</v>
      </c>
      <c r="N85">
        <f t="shared" si="24"/>
        <v>6.8017780799999997E-2</v>
      </c>
      <c r="O85">
        <f t="shared" si="22"/>
        <v>1.5304000679999999E-2</v>
      </c>
      <c r="P85">
        <f t="shared" si="23"/>
        <v>4.8800141930343016E-2</v>
      </c>
      <c r="V85">
        <v>2.0999999999999699</v>
      </c>
      <c r="W85">
        <f t="shared" si="21"/>
        <v>-0.72436999999999818</v>
      </c>
    </row>
    <row r="86" spans="1:23">
      <c r="A86">
        <v>4.3035570999999999</v>
      </c>
      <c r="B86">
        <v>0.49769000000000002</v>
      </c>
      <c r="C86">
        <f t="shared" si="14"/>
        <v>2.1418373330990002</v>
      </c>
      <c r="D86">
        <v>1.6E-2</v>
      </c>
      <c r="E86">
        <v>3.5999999999999999E-3</v>
      </c>
      <c r="F86">
        <f t="shared" si="15"/>
        <v>860.71141999999998</v>
      </c>
      <c r="G86">
        <f t="shared" si="16"/>
        <v>-0.49769000000000002</v>
      </c>
      <c r="H86">
        <f t="shared" si="17"/>
        <v>-428.36746661980004</v>
      </c>
      <c r="I86">
        <v>1</v>
      </c>
      <c r="J86">
        <f t="shared" si="18"/>
        <v>-0.14999599914471817</v>
      </c>
      <c r="K86">
        <f t="shared" si="19"/>
        <v>-0.72403515177521749</v>
      </c>
      <c r="L86">
        <v>1</v>
      </c>
      <c r="M86">
        <f t="shared" si="20"/>
        <v>0.59004523885106031</v>
      </c>
      <c r="N86">
        <f t="shared" si="24"/>
        <v>6.88569136E-2</v>
      </c>
      <c r="O86">
        <f t="shared" si="22"/>
        <v>1.549280556E-2</v>
      </c>
      <c r="P86">
        <f t="shared" si="23"/>
        <v>4.9640193764157181E-2</v>
      </c>
      <c r="V86">
        <v>2.19999999999997</v>
      </c>
      <c r="W86">
        <f t="shared" si="21"/>
        <v>-0.73033999999999821</v>
      </c>
    </row>
    <row r="87" spans="1:23">
      <c r="A87">
        <v>4.3554937000000002</v>
      </c>
      <c r="B87">
        <v>0.49531999999999998</v>
      </c>
      <c r="C87">
        <f t="shared" si="14"/>
        <v>2.157363139484</v>
      </c>
      <c r="D87">
        <v>1.6E-2</v>
      </c>
      <c r="E87">
        <v>3.5999999999999999E-3</v>
      </c>
      <c r="F87">
        <f t="shared" si="15"/>
        <v>871.09874000000002</v>
      </c>
      <c r="G87">
        <f t="shared" si="16"/>
        <v>-0.49531999999999998</v>
      </c>
      <c r="H87">
        <f t="shared" si="17"/>
        <v>-431.47262789680002</v>
      </c>
      <c r="I87">
        <v>1</v>
      </c>
      <c r="J87">
        <f t="shared" si="18"/>
        <v>-0.13799994460535786</v>
      </c>
      <c r="K87">
        <f t="shared" si="19"/>
        <v>-0.72640515177521747</v>
      </c>
      <c r="L87">
        <v>1</v>
      </c>
      <c r="M87">
        <f t="shared" si="20"/>
        <v>0.59076140330706006</v>
      </c>
      <c r="N87">
        <f t="shared" si="24"/>
        <v>6.96878992E-2</v>
      </c>
      <c r="O87">
        <f t="shared" si="22"/>
        <v>1.5679777320000001E-2</v>
      </c>
      <c r="P87">
        <f t="shared" si="23"/>
        <v>5.0276071948157405E-2</v>
      </c>
      <c r="V87">
        <v>2.2999999999999701</v>
      </c>
      <c r="W87">
        <f t="shared" si="21"/>
        <v>-0.73630999999999824</v>
      </c>
    </row>
    <row r="88" spans="1:23">
      <c r="A88">
        <v>4.4074302000000003</v>
      </c>
      <c r="B88">
        <v>0.49270999999999998</v>
      </c>
      <c r="C88">
        <f t="shared" si="14"/>
        <v>2.1715849338419999</v>
      </c>
      <c r="D88">
        <v>1.6E-2</v>
      </c>
      <c r="E88">
        <v>3.5999999999999999E-3</v>
      </c>
      <c r="F88">
        <f t="shared" si="15"/>
        <v>881.48604</v>
      </c>
      <c r="G88">
        <f t="shared" si="16"/>
        <v>-0.49270999999999998</v>
      </c>
      <c r="H88">
        <f t="shared" si="17"/>
        <v>-434.3169867684</v>
      </c>
      <c r="I88">
        <v>1</v>
      </c>
      <c r="J88">
        <f t="shared" si="18"/>
        <v>-0.12614611391170047</v>
      </c>
      <c r="K88">
        <f t="shared" si="19"/>
        <v>-0.72901515177521747</v>
      </c>
      <c r="L88">
        <v>1</v>
      </c>
      <c r="M88">
        <f t="shared" si="20"/>
        <v>0.59146907699947149</v>
      </c>
      <c r="N88">
        <f t="shared" si="24"/>
        <v>7.0518883200000007E-2</v>
      </c>
      <c r="O88">
        <f t="shared" si="22"/>
        <v>1.5866748720000001E-2</v>
      </c>
      <c r="P88">
        <f t="shared" si="23"/>
        <v>5.1160442855745974E-2</v>
      </c>
      <c r="V88">
        <v>2.3999999999999702</v>
      </c>
      <c r="W88">
        <f t="shared" si="21"/>
        <v>-0.74227999999999816</v>
      </c>
    </row>
    <row r="89" spans="1:23">
      <c r="A89">
        <v>4.4583485999999999</v>
      </c>
      <c r="B89">
        <v>0.49053000000000002</v>
      </c>
      <c r="C89">
        <f t="shared" si="14"/>
        <v>2.186953738758</v>
      </c>
      <c r="D89">
        <v>1.6E-2</v>
      </c>
      <c r="E89">
        <v>3.5999999999999999E-3</v>
      </c>
      <c r="F89">
        <f t="shared" si="15"/>
        <v>891.66971999999998</v>
      </c>
      <c r="G89">
        <f t="shared" si="16"/>
        <v>-0.49053000000000002</v>
      </c>
      <c r="H89">
        <f t="shared" si="17"/>
        <v>-437.39074775160003</v>
      </c>
      <c r="I89">
        <v>1</v>
      </c>
      <c r="J89">
        <f t="shared" si="18"/>
        <v>-0.11465948402693731</v>
      </c>
      <c r="K89">
        <f t="shared" si="19"/>
        <v>-0.73119515177521743</v>
      </c>
      <c r="L89">
        <v>1</v>
      </c>
      <c r="M89">
        <f t="shared" si="20"/>
        <v>0.59215482880359183</v>
      </c>
      <c r="N89">
        <f t="shared" si="24"/>
        <v>7.1333577600000003E-2</v>
      </c>
      <c r="O89">
        <f t="shared" si="22"/>
        <v>1.6050054960000001E-2</v>
      </c>
      <c r="P89">
        <f t="shared" si="23"/>
        <v>5.16566904116256E-2</v>
      </c>
      <c r="V89">
        <v>2.4999999999999698</v>
      </c>
      <c r="W89">
        <f t="shared" si="21"/>
        <v>-0.74824999999999819</v>
      </c>
    </row>
    <row r="90" spans="1:23">
      <c r="A90">
        <v>4.5092670999999998</v>
      </c>
      <c r="B90">
        <v>0.48780000000000001</v>
      </c>
      <c r="C90">
        <f t="shared" si="14"/>
        <v>2.1996204913799997</v>
      </c>
      <c r="D90">
        <v>1.6E-2</v>
      </c>
      <c r="E90">
        <v>3.5999999999999999E-3</v>
      </c>
      <c r="F90">
        <f t="shared" si="15"/>
        <v>901.85341999999991</v>
      </c>
      <c r="G90">
        <f t="shared" si="16"/>
        <v>-0.48780000000000001</v>
      </c>
      <c r="H90">
        <f t="shared" si="17"/>
        <v>-439.92409827599994</v>
      </c>
      <c r="I90">
        <v>1</v>
      </c>
      <c r="J90">
        <f t="shared" si="18"/>
        <v>-0.1033032776682072</v>
      </c>
      <c r="K90">
        <f t="shared" si="19"/>
        <v>-0.73392515177521744</v>
      </c>
      <c r="L90">
        <v>1</v>
      </c>
      <c r="M90">
        <f t="shared" si="20"/>
        <v>0.59283279432320801</v>
      </c>
      <c r="N90">
        <f t="shared" si="24"/>
        <v>7.2148273599999993E-2</v>
      </c>
      <c r="O90">
        <f t="shared" si="22"/>
        <v>1.6233361559999999E-2</v>
      </c>
      <c r="P90">
        <f t="shared" si="23"/>
        <v>5.2710722292009439E-2</v>
      </c>
      <c r="V90">
        <v>2.5999999999999699</v>
      </c>
      <c r="W90">
        <f t="shared" si="21"/>
        <v>-0.75421999999999823</v>
      </c>
    </row>
    <row r="91" spans="1:23">
      <c r="A91">
        <v>4.5601855000000002</v>
      </c>
      <c r="B91">
        <v>0.4854</v>
      </c>
      <c r="C91">
        <f t="shared" si="14"/>
        <v>2.2135140416999999</v>
      </c>
      <c r="D91">
        <v>1.6E-2</v>
      </c>
      <c r="E91">
        <v>3.5999999999999999E-3</v>
      </c>
      <c r="F91">
        <f t="shared" si="15"/>
        <v>912.03710000000001</v>
      </c>
      <c r="G91">
        <f t="shared" si="16"/>
        <v>-0.4854</v>
      </c>
      <c r="H91">
        <f t="shared" si="17"/>
        <v>-442.70280833999999</v>
      </c>
      <c r="I91">
        <v>1</v>
      </c>
      <c r="J91">
        <f t="shared" si="18"/>
        <v>-9.2074609910645838E-2</v>
      </c>
      <c r="K91">
        <f t="shared" si="19"/>
        <v>-0.7363251517752174</v>
      </c>
      <c r="L91">
        <v>1</v>
      </c>
      <c r="M91">
        <f t="shared" si="20"/>
        <v>0.59350314578833441</v>
      </c>
      <c r="N91">
        <f t="shared" si="24"/>
        <v>7.2962968000000003E-2</v>
      </c>
      <c r="O91">
        <f t="shared" si="22"/>
        <v>1.64166678E-2</v>
      </c>
      <c r="P91">
        <f t="shared" si="23"/>
        <v>5.3442370186882991E-2</v>
      </c>
      <c r="V91">
        <v>2.69999999999997</v>
      </c>
      <c r="W91">
        <f t="shared" si="21"/>
        <v>-0.76018999999999814</v>
      </c>
    </row>
    <row r="92" spans="1:23">
      <c r="A92">
        <v>4.6116127999999996</v>
      </c>
      <c r="B92">
        <v>0.48303000000000001</v>
      </c>
      <c r="C92">
        <f t="shared" si="14"/>
        <v>2.2275473307839997</v>
      </c>
      <c r="D92">
        <v>1.6E-2</v>
      </c>
      <c r="E92">
        <v>3.5999999999999999E-3</v>
      </c>
      <c r="F92">
        <f t="shared" si="15"/>
        <v>922.32255999999995</v>
      </c>
      <c r="G92">
        <f t="shared" si="16"/>
        <v>-0.48303000000000001</v>
      </c>
      <c r="H92">
        <f t="shared" si="17"/>
        <v>-445.50946615679993</v>
      </c>
      <c r="I92">
        <v>1</v>
      </c>
      <c r="J92">
        <f t="shared" si="18"/>
        <v>-8.0860268451957984E-2</v>
      </c>
      <c r="K92">
        <f t="shared" si="19"/>
        <v>-0.73869515177521738</v>
      </c>
      <c r="L92">
        <v>1</v>
      </c>
      <c r="M92">
        <f t="shared" si="20"/>
        <v>0.59417264197341813</v>
      </c>
      <c r="N92">
        <f t="shared" si="24"/>
        <v>7.3785804799999993E-2</v>
      </c>
      <c r="O92">
        <f t="shared" si="22"/>
        <v>1.660180608E-2</v>
      </c>
      <c r="P92">
        <f t="shared" si="23"/>
        <v>5.4134898921799263E-2</v>
      </c>
      <c r="V92">
        <v>2.7999999999999701</v>
      </c>
      <c r="W92">
        <f t="shared" si="21"/>
        <v>-0.76615999999999818</v>
      </c>
    </row>
    <row r="93" spans="1:23">
      <c r="A93">
        <v>4.6625307999999999</v>
      </c>
      <c r="B93">
        <v>0.48064000000000001</v>
      </c>
      <c r="C93">
        <f t="shared" si="14"/>
        <v>2.2409988037119999</v>
      </c>
      <c r="D93">
        <v>1.6E-2</v>
      </c>
      <c r="E93">
        <v>3.5999999999999999E-3</v>
      </c>
      <c r="F93">
        <f t="shared" si="15"/>
        <v>932.50616000000002</v>
      </c>
      <c r="G93">
        <f t="shared" si="16"/>
        <v>-0.48064000000000001</v>
      </c>
      <c r="H93">
        <f t="shared" si="17"/>
        <v>-448.19976074239997</v>
      </c>
      <c r="I93">
        <v>1</v>
      </c>
      <c r="J93">
        <f t="shared" si="18"/>
        <v>-6.9879521587861995E-2</v>
      </c>
      <c r="K93">
        <f t="shared" si="19"/>
        <v>-0.7410851517752175</v>
      </c>
      <c r="L93">
        <v>1</v>
      </c>
      <c r="M93">
        <f t="shared" si="20"/>
        <v>0.59482819256120456</v>
      </c>
      <c r="N93">
        <f t="shared" si="24"/>
        <v>7.4600492800000001E-2</v>
      </c>
      <c r="O93">
        <f t="shared" si="22"/>
        <v>1.6785110879999999E-2</v>
      </c>
      <c r="P93">
        <f t="shared" si="23"/>
        <v>5.4871355534012942E-2</v>
      </c>
      <c r="V93">
        <v>2.8999999999999702</v>
      </c>
      <c r="W93">
        <f t="shared" si="21"/>
        <v>-0.77212999999999821</v>
      </c>
    </row>
    <row r="94" spans="1:23">
      <c r="A94">
        <v>4.7129399000000003</v>
      </c>
      <c r="B94">
        <v>0.47808</v>
      </c>
      <c r="C94">
        <f t="shared" si="14"/>
        <v>2.253162307392</v>
      </c>
      <c r="D94">
        <v>1.6E-2</v>
      </c>
      <c r="E94">
        <v>3.5999999999999999E-3</v>
      </c>
      <c r="F94">
        <f t="shared" si="15"/>
        <v>942.58798000000002</v>
      </c>
      <c r="G94">
        <f t="shared" si="16"/>
        <v>-0.47808</v>
      </c>
      <c r="H94">
        <f t="shared" si="17"/>
        <v>-450.63246147839999</v>
      </c>
      <c r="I94">
        <v>1</v>
      </c>
      <c r="J94">
        <f t="shared" si="18"/>
        <v>-5.9126016536470039E-2</v>
      </c>
      <c r="K94">
        <f t="shared" si="19"/>
        <v>-0.74364515177521739</v>
      </c>
      <c r="L94">
        <v>1</v>
      </c>
      <c r="M94">
        <f t="shared" si="20"/>
        <v>0.5954701768127727</v>
      </c>
      <c r="N94">
        <f t="shared" si="24"/>
        <v>7.5407038400000001E-2</v>
      </c>
      <c r="O94">
        <f t="shared" si="22"/>
        <v>1.6966583640000001E-2</v>
      </c>
      <c r="P94">
        <f t="shared" si="23"/>
        <v>5.5801352922444689E-2</v>
      </c>
      <c r="V94">
        <v>2.9999999999999698</v>
      </c>
      <c r="W94">
        <f t="shared" si="21"/>
        <v>-0.77809999999999824</v>
      </c>
    </row>
    <row r="95" spans="1:23">
      <c r="A95">
        <v>4.7674229000000006</v>
      </c>
      <c r="B95">
        <v>0.47567999999999999</v>
      </c>
      <c r="C95">
        <f t="shared" si="14"/>
        <v>2.2677677250720003</v>
      </c>
      <c r="D95">
        <v>1.6E-2</v>
      </c>
      <c r="E95">
        <v>3.5999999999999999E-3</v>
      </c>
      <c r="F95">
        <f t="shared" si="15"/>
        <v>953.48458000000016</v>
      </c>
      <c r="G95">
        <f t="shared" si="16"/>
        <v>-0.47567999999999999</v>
      </c>
      <c r="H95">
        <f t="shared" si="17"/>
        <v>-453.55354501440007</v>
      </c>
      <c r="I95">
        <v>1</v>
      </c>
      <c r="J95">
        <f t="shared" si="18"/>
        <v>-4.7632026070333781E-2</v>
      </c>
      <c r="K95">
        <f t="shared" si="19"/>
        <v>-0.74604515177521746</v>
      </c>
      <c r="L95">
        <v>1</v>
      </c>
      <c r="M95">
        <f t="shared" si="20"/>
        <v>0.59615636804360106</v>
      </c>
      <c r="N95">
        <f t="shared" si="24"/>
        <v>7.6278766400000017E-2</v>
      </c>
      <c r="O95">
        <f t="shared" si="22"/>
        <v>1.716272244E-2</v>
      </c>
      <c r="P95">
        <f t="shared" si="23"/>
        <v>5.6447294891616387E-2</v>
      </c>
      <c r="V95">
        <v>3.0999999999999699</v>
      </c>
      <c r="W95">
        <f t="shared" si="21"/>
        <v>-0.78406999999999816</v>
      </c>
    </row>
    <row r="96" spans="1:23">
      <c r="A96">
        <v>4.8198686999999998</v>
      </c>
      <c r="B96">
        <v>0.47311999999999999</v>
      </c>
      <c r="C96">
        <f t="shared" si="14"/>
        <v>2.2803762793439999</v>
      </c>
      <c r="D96">
        <v>1.6E-2</v>
      </c>
      <c r="E96">
        <v>3.5999999999999999E-3</v>
      </c>
      <c r="F96">
        <f t="shared" si="15"/>
        <v>963.97373999999991</v>
      </c>
      <c r="G96">
        <f t="shared" si="16"/>
        <v>-0.47311999999999999</v>
      </c>
      <c r="H96">
        <f t="shared" si="17"/>
        <v>-456.07525586879996</v>
      </c>
      <c r="I96">
        <v>1</v>
      </c>
      <c r="J96">
        <f t="shared" si="18"/>
        <v>-3.6691225406525564E-2</v>
      </c>
      <c r="K96">
        <f t="shared" si="19"/>
        <v>-0.74860515177521747</v>
      </c>
      <c r="L96">
        <v>1</v>
      </c>
      <c r="M96">
        <f t="shared" si="20"/>
        <v>0.59680953384323043</v>
      </c>
      <c r="N96">
        <f t="shared" si="24"/>
        <v>7.7117899199999992E-2</v>
      </c>
      <c r="O96">
        <f t="shared" si="22"/>
        <v>1.7351527319999997E-2</v>
      </c>
      <c r="P96">
        <f t="shared" si="23"/>
        <v>5.7326191411987047E-2</v>
      </c>
      <c r="V96">
        <v>3.19999999999997</v>
      </c>
      <c r="W96">
        <f t="shared" si="21"/>
        <v>-0.79003999999999819</v>
      </c>
    </row>
    <row r="97" spans="1:23">
      <c r="A97">
        <v>4.8728237000000005</v>
      </c>
      <c r="B97">
        <v>0.47087000000000001</v>
      </c>
      <c r="C97">
        <f t="shared" si="14"/>
        <v>2.2944664956190004</v>
      </c>
      <c r="D97">
        <v>1.6E-2</v>
      </c>
      <c r="E97">
        <v>3.5999999999999999E-3</v>
      </c>
      <c r="F97">
        <f t="shared" si="15"/>
        <v>974.56474000000014</v>
      </c>
      <c r="G97">
        <f t="shared" si="16"/>
        <v>-0.47087000000000001</v>
      </c>
      <c r="H97">
        <f t="shared" si="17"/>
        <v>-458.89329912380009</v>
      </c>
      <c r="I97">
        <v>1</v>
      </c>
      <c r="J97">
        <f t="shared" si="18"/>
        <v>-2.5764328172413205E-2</v>
      </c>
      <c r="K97">
        <f t="shared" si="19"/>
        <v>-0.75085515177521744</v>
      </c>
      <c r="L97">
        <v>1</v>
      </c>
      <c r="M97">
        <f t="shared" si="20"/>
        <v>0.59746186960810688</v>
      </c>
      <c r="N97">
        <f t="shared" si="24"/>
        <v>7.7965179200000012E-2</v>
      </c>
      <c r="O97">
        <f t="shared" si="22"/>
        <v>1.7542165320000001E-2</v>
      </c>
      <c r="P97">
        <f t="shared" si="23"/>
        <v>5.7885937647110558E-2</v>
      </c>
      <c r="V97">
        <v>3.2999999999999701</v>
      </c>
      <c r="W97">
        <f t="shared" si="21"/>
        <v>-0.79600999999999822</v>
      </c>
    </row>
    <row r="98" spans="1:23">
      <c r="A98">
        <v>4.9247607000000002</v>
      </c>
      <c r="B98">
        <v>0.46834999999999999</v>
      </c>
      <c r="C98">
        <f t="shared" si="14"/>
        <v>2.3065116738450002</v>
      </c>
      <c r="D98">
        <v>1.6E-2</v>
      </c>
      <c r="E98">
        <v>3.5999999999999999E-3</v>
      </c>
      <c r="F98">
        <f t="shared" si="15"/>
        <v>984.9521400000001</v>
      </c>
      <c r="G98">
        <f t="shared" si="16"/>
        <v>-0.46834999999999999</v>
      </c>
      <c r="H98">
        <f t="shared" si="17"/>
        <v>-461.30233476900003</v>
      </c>
      <c r="I98">
        <v>1</v>
      </c>
      <c r="J98">
        <f t="shared" si="18"/>
        <v>-1.5162227823010951E-2</v>
      </c>
      <c r="K98">
        <f t="shared" si="19"/>
        <v>-0.75337515177521741</v>
      </c>
      <c r="L98">
        <v>1</v>
      </c>
      <c r="M98">
        <f t="shared" si="20"/>
        <v>0.59809481499896622</v>
      </c>
      <c r="N98">
        <f t="shared" si="24"/>
        <v>7.8796171200000001E-2</v>
      </c>
      <c r="O98">
        <f t="shared" si="22"/>
        <v>1.772913852E-2</v>
      </c>
      <c r="P98">
        <f t="shared" si="23"/>
        <v>5.8755027056251193E-2</v>
      </c>
      <c r="V98">
        <v>3.3999999999999702</v>
      </c>
      <c r="W98">
        <f t="shared" si="21"/>
        <v>-0.80197999999999814</v>
      </c>
    </row>
    <row r="99" spans="1:23">
      <c r="A99">
        <v>4.9751699</v>
      </c>
      <c r="B99">
        <v>0.46588000000000002</v>
      </c>
      <c r="C99">
        <f t="shared" si="14"/>
        <v>2.3178321530120001</v>
      </c>
      <c r="D99">
        <v>1.6E-2</v>
      </c>
      <c r="E99">
        <v>3.5999999999999999E-3</v>
      </c>
      <c r="F99">
        <f t="shared" si="15"/>
        <v>995.03398000000004</v>
      </c>
      <c r="G99">
        <f t="shared" si="16"/>
        <v>-0.46588000000000002</v>
      </c>
      <c r="H99">
        <f t="shared" si="17"/>
        <v>-463.56643060240003</v>
      </c>
      <c r="I99">
        <v>1</v>
      </c>
      <c r="J99">
        <f t="shared" si="18"/>
        <v>-4.9783916528990573E-3</v>
      </c>
      <c r="K99">
        <f t="shared" si="19"/>
        <v>-0.75584515177521738</v>
      </c>
      <c r="L99">
        <v>1</v>
      </c>
      <c r="M99">
        <f t="shared" si="20"/>
        <v>0.59870279001832194</v>
      </c>
      <c r="N99">
        <f t="shared" si="24"/>
        <v>7.9602718400000008E-2</v>
      </c>
      <c r="O99">
        <f t="shared" si="22"/>
        <v>1.7910611640000001E-2</v>
      </c>
      <c r="P99">
        <f t="shared" si="23"/>
        <v>5.9629031716895431E-2</v>
      </c>
      <c r="V99">
        <v>3.4999999999999698</v>
      </c>
      <c r="W99">
        <f t="shared" si="21"/>
        <v>-0.80794999999999817</v>
      </c>
    </row>
    <row r="100" spans="1:23">
      <c r="A100">
        <v>5.0260879000000003</v>
      </c>
      <c r="B100">
        <v>0.46353</v>
      </c>
      <c r="C100">
        <f t="shared" si="14"/>
        <v>2.329742524287</v>
      </c>
      <c r="D100">
        <v>1.6E-2</v>
      </c>
      <c r="E100">
        <v>3.5999999999999999E-3</v>
      </c>
      <c r="F100">
        <f t="shared" si="15"/>
        <v>1005.21758</v>
      </c>
      <c r="G100">
        <f t="shared" si="16"/>
        <v>-0.46353</v>
      </c>
      <c r="H100">
        <f t="shared" si="17"/>
        <v>-465.9485048574</v>
      </c>
      <c r="I100">
        <v>1</v>
      </c>
      <c r="J100">
        <f t="shared" si="18"/>
        <v>5.2040155912724418E-3</v>
      </c>
      <c r="K100">
        <f t="shared" si="19"/>
        <v>-0.75819515177521746</v>
      </c>
      <c r="L100">
        <v>1</v>
      </c>
      <c r="M100">
        <f t="shared" si="20"/>
        <v>0.59931067973079899</v>
      </c>
      <c r="N100">
        <f t="shared" si="24"/>
        <v>8.0417406400000002E-2</v>
      </c>
      <c r="O100">
        <f t="shared" si="22"/>
        <v>1.809391644E-2</v>
      </c>
      <c r="P100">
        <f t="shared" si="23"/>
        <v>6.0373149204418469E-2</v>
      </c>
      <c r="V100">
        <v>3.5999999999999699</v>
      </c>
      <c r="W100">
        <f t="shared" si="21"/>
        <v>-0.8139199999999982</v>
      </c>
    </row>
    <row r="101" spans="1:23">
      <c r="A101">
        <v>5.0775155999999999</v>
      </c>
      <c r="B101">
        <v>0.46128000000000002</v>
      </c>
      <c r="C101">
        <f t="shared" si="14"/>
        <v>2.3421563959680003</v>
      </c>
      <c r="D101">
        <v>1.6E-2</v>
      </c>
      <c r="E101">
        <v>3.5999999999999999E-3</v>
      </c>
      <c r="F101">
        <f t="shared" si="15"/>
        <v>1015.50312</v>
      </c>
      <c r="G101">
        <f t="shared" si="16"/>
        <v>-0.46128000000000002</v>
      </c>
      <c r="H101">
        <f t="shared" si="17"/>
        <v>-468.43127919360006</v>
      </c>
      <c r="I101">
        <v>1</v>
      </c>
      <c r="J101">
        <f t="shared" si="18"/>
        <v>1.5384174411721409E-2</v>
      </c>
      <c r="K101">
        <f t="shared" si="19"/>
        <v>-0.76044515177521743</v>
      </c>
      <c r="L101">
        <v>1</v>
      </c>
      <c r="M101">
        <f t="shared" si="20"/>
        <v>0.59991843521237975</v>
      </c>
      <c r="N101">
        <f t="shared" si="24"/>
        <v>8.1240249599999995E-2</v>
      </c>
      <c r="O101">
        <f t="shared" si="22"/>
        <v>1.8279056159999998E-2</v>
      </c>
      <c r="P101">
        <f t="shared" si="23"/>
        <v>6.1007410802837683E-2</v>
      </c>
      <c r="V101">
        <v>3.69999999999997</v>
      </c>
      <c r="W101">
        <f t="shared" si="21"/>
        <v>-0.81988999999999823</v>
      </c>
    </row>
    <row r="102" spans="1:23">
      <c r="A102">
        <v>5.1279243000000001</v>
      </c>
      <c r="B102">
        <v>0.45885999999999999</v>
      </c>
      <c r="C102">
        <f t="shared" si="14"/>
        <v>2.352999344298</v>
      </c>
      <c r="D102">
        <v>1.6E-2</v>
      </c>
      <c r="E102">
        <v>3.5999999999999999E-3</v>
      </c>
      <c r="F102">
        <f t="shared" si="15"/>
        <v>1025.5848599999999</v>
      </c>
      <c r="G102">
        <f t="shared" si="16"/>
        <v>-0.45885999999999999</v>
      </c>
      <c r="H102">
        <f t="shared" si="17"/>
        <v>-470.59986885960001</v>
      </c>
      <c r="I102">
        <v>1</v>
      </c>
      <c r="J102">
        <f t="shared" si="18"/>
        <v>2.5263044984824127E-2</v>
      </c>
      <c r="K102">
        <f t="shared" si="19"/>
        <v>-0.76286515177521741</v>
      </c>
      <c r="L102">
        <v>1</v>
      </c>
      <c r="M102">
        <f t="shared" si="20"/>
        <v>0.600508203785594</v>
      </c>
      <c r="N102">
        <f t="shared" si="24"/>
        <v>8.2046788800000006E-2</v>
      </c>
      <c r="O102">
        <f t="shared" si="22"/>
        <v>1.8460527479999999E-2</v>
      </c>
      <c r="P102">
        <f t="shared" si="23"/>
        <v>6.1849631709623404E-2</v>
      </c>
      <c r="V102">
        <v>3.7999999999999701</v>
      </c>
      <c r="W102">
        <f t="shared" si="21"/>
        <v>-0.82585999999999826</v>
      </c>
    </row>
    <row r="103" spans="1:23">
      <c r="A103">
        <v>5.1783339999999995</v>
      </c>
      <c r="B103">
        <v>0.45632</v>
      </c>
      <c r="C103">
        <f t="shared" si="14"/>
        <v>2.3629773708799999</v>
      </c>
      <c r="D103">
        <v>1.6E-2</v>
      </c>
      <c r="E103">
        <v>3.5999999999999999E-3</v>
      </c>
      <c r="F103">
        <f t="shared" si="15"/>
        <v>1035.6668</v>
      </c>
      <c r="G103">
        <f t="shared" si="16"/>
        <v>-0.45632</v>
      </c>
      <c r="H103">
        <f t="shared" si="17"/>
        <v>-472.59547417599998</v>
      </c>
      <c r="I103">
        <v>1</v>
      </c>
      <c r="J103">
        <f t="shared" si="18"/>
        <v>3.5045470484343706E-2</v>
      </c>
      <c r="K103">
        <f t="shared" si="19"/>
        <v>-0.7654051517752174</v>
      </c>
      <c r="L103">
        <v>1</v>
      </c>
      <c r="M103">
        <f t="shared" si="20"/>
        <v>0.60109221458791529</v>
      </c>
      <c r="N103">
        <f t="shared" si="24"/>
        <v>8.2853343999999995E-2</v>
      </c>
      <c r="O103">
        <f t="shared" si="22"/>
        <v>1.8642002399999996E-2</v>
      </c>
      <c r="P103">
        <f t="shared" si="23"/>
        <v>6.2817590787302119E-2</v>
      </c>
      <c r="V103">
        <v>3.8999999999999599</v>
      </c>
      <c r="W103">
        <f t="shared" si="21"/>
        <v>-0.83182999999999763</v>
      </c>
    </row>
    <row r="104" spans="1:23">
      <c r="A104">
        <v>5.2317979000000001</v>
      </c>
      <c r="B104">
        <v>0.45401000000000002</v>
      </c>
      <c r="C104">
        <f t="shared" si="14"/>
        <v>2.3752885645790003</v>
      </c>
      <c r="D104">
        <v>1.6E-2</v>
      </c>
      <c r="E104">
        <v>3.5999999999999999E-3</v>
      </c>
      <c r="F104">
        <f t="shared" si="15"/>
        <v>1046.3595800000001</v>
      </c>
      <c r="G104">
        <f t="shared" si="16"/>
        <v>-0.45401000000000002</v>
      </c>
      <c r="H104">
        <f t="shared" si="17"/>
        <v>-475.05771291580004</v>
      </c>
      <c r="I104">
        <v>1</v>
      </c>
      <c r="J104">
        <f t="shared" si="18"/>
        <v>4.5317073298888406E-2</v>
      </c>
      <c r="K104">
        <f t="shared" si="19"/>
        <v>-0.76771515177521743</v>
      </c>
      <c r="L104">
        <v>1</v>
      </c>
      <c r="M104">
        <f t="shared" si="20"/>
        <v>0.60170542927594362</v>
      </c>
      <c r="N104">
        <f t="shared" si="24"/>
        <v>8.3708766400000009E-2</v>
      </c>
      <c r="O104">
        <f t="shared" si="22"/>
        <v>1.883447244E-2</v>
      </c>
      <c r="P104">
        <f t="shared" si="23"/>
        <v>6.3466483659273806E-2</v>
      </c>
      <c r="V104">
        <v>3.99999999999996</v>
      </c>
      <c r="W104">
        <f t="shared" si="21"/>
        <v>-0.83779999999999766</v>
      </c>
    </row>
    <row r="105" spans="1:23">
      <c r="A105">
        <v>5.2822074999999993</v>
      </c>
      <c r="B105">
        <v>0.45180999999999999</v>
      </c>
      <c r="C105">
        <f t="shared" si="14"/>
        <v>2.3865541705749997</v>
      </c>
      <c r="D105">
        <v>1.6E-2</v>
      </c>
      <c r="E105">
        <v>3.5999999999999999E-3</v>
      </c>
      <c r="F105">
        <f t="shared" si="15"/>
        <v>1056.4414999999999</v>
      </c>
      <c r="G105">
        <f t="shared" si="16"/>
        <v>-0.45180999999999999</v>
      </c>
      <c r="H105">
        <f t="shared" si="17"/>
        <v>-477.31083411499992</v>
      </c>
      <c r="I105">
        <v>1</v>
      </c>
      <c r="J105">
        <f t="shared" si="18"/>
        <v>5.4906185031213681E-2</v>
      </c>
      <c r="K105">
        <f t="shared" si="19"/>
        <v>-0.76991515177521741</v>
      </c>
      <c r="L105">
        <v>1</v>
      </c>
      <c r="M105">
        <f t="shared" si="20"/>
        <v>0.60227789924636344</v>
      </c>
      <c r="N105">
        <f t="shared" si="24"/>
        <v>8.4515319999999991E-2</v>
      </c>
      <c r="O105">
        <f t="shared" si="22"/>
        <v>1.9015946999999998E-2</v>
      </c>
      <c r="P105">
        <f t="shared" si="23"/>
        <v>6.4105985528853993E-2</v>
      </c>
      <c r="V105">
        <v>4.0999999999999996</v>
      </c>
      <c r="W105">
        <f t="shared" si="21"/>
        <v>-0.84376999999999991</v>
      </c>
    </row>
    <row r="106" spans="1:23">
      <c r="A106">
        <v>5.3331249999999999</v>
      </c>
      <c r="B106">
        <v>0.44939000000000001</v>
      </c>
      <c r="C106">
        <f t="shared" si="14"/>
        <v>2.3966530437500002</v>
      </c>
      <c r="D106">
        <v>1.6E-2</v>
      </c>
      <c r="E106">
        <v>3.5999999999999999E-3</v>
      </c>
      <c r="F106">
        <f t="shared" si="15"/>
        <v>1066.625</v>
      </c>
      <c r="G106">
        <f t="shared" si="16"/>
        <v>-0.44939000000000001</v>
      </c>
      <c r="H106">
        <f t="shared" si="17"/>
        <v>-479.33060875000007</v>
      </c>
      <c r="I106">
        <v>1</v>
      </c>
      <c r="J106">
        <f t="shared" si="18"/>
        <v>6.4499457874611782E-2</v>
      </c>
      <c r="K106">
        <f t="shared" si="19"/>
        <v>-0.7723351517752175</v>
      </c>
      <c r="L106">
        <v>1</v>
      </c>
      <c r="M106">
        <f t="shared" si="20"/>
        <v>0.60285061763511427</v>
      </c>
      <c r="N106">
        <f t="shared" si="24"/>
        <v>8.5330000000000003E-2</v>
      </c>
      <c r="O106">
        <f t="shared" si="22"/>
        <v>1.9199249999999998E-2</v>
      </c>
      <c r="P106">
        <f t="shared" si="23"/>
        <v>6.4955284140103223E-2</v>
      </c>
      <c r="V106">
        <v>4.2</v>
      </c>
      <c r="W106">
        <f t="shared" si="21"/>
        <v>-0.84973999999999994</v>
      </c>
    </row>
    <row r="107" spans="1:23">
      <c r="A107">
        <v>5.3840435000000006</v>
      </c>
      <c r="B107">
        <v>0.44714999999999999</v>
      </c>
      <c r="C107">
        <f t="shared" si="14"/>
        <v>2.407475051025</v>
      </c>
      <c r="D107">
        <v>1.6E-2</v>
      </c>
      <c r="E107">
        <v>3.5999999999999999E-3</v>
      </c>
      <c r="F107">
        <f t="shared" si="15"/>
        <v>1076.8087</v>
      </c>
      <c r="G107">
        <f t="shared" si="16"/>
        <v>-0.44714999999999999</v>
      </c>
      <c r="H107">
        <f t="shared" si="17"/>
        <v>-481.49501020500003</v>
      </c>
      <c r="I107">
        <v>1</v>
      </c>
      <c r="J107">
        <f t="shared" si="18"/>
        <v>7.4001759370486725E-2</v>
      </c>
      <c r="K107">
        <f t="shared" si="19"/>
        <v>-0.77457515177521752</v>
      </c>
      <c r="L107">
        <v>1</v>
      </c>
      <c r="M107">
        <f t="shared" si="20"/>
        <v>0.60341790503441806</v>
      </c>
      <c r="N107">
        <f t="shared" si="24"/>
        <v>8.6144696000000007E-2</v>
      </c>
      <c r="O107">
        <f t="shared" si="22"/>
        <v>1.9382556600000003E-2</v>
      </c>
      <c r="P107">
        <f t="shared" si="23"/>
        <v>6.5629994140799452E-2</v>
      </c>
      <c r="V107">
        <v>4.3</v>
      </c>
      <c r="W107">
        <f t="shared" si="21"/>
        <v>-0.85570999999999997</v>
      </c>
    </row>
    <row r="108" spans="1:23">
      <c r="A108">
        <v>5.4344525999999993</v>
      </c>
      <c r="B108">
        <v>0.44467000000000001</v>
      </c>
      <c r="C108">
        <f t="shared" si="14"/>
        <v>2.4165380376419998</v>
      </c>
      <c r="D108">
        <v>1.6E-2</v>
      </c>
      <c r="E108">
        <v>3.5999999999999999E-3</v>
      </c>
      <c r="F108">
        <f t="shared" si="15"/>
        <v>1086.8905199999999</v>
      </c>
      <c r="G108">
        <f t="shared" si="16"/>
        <v>-0.44467000000000001</v>
      </c>
      <c r="H108">
        <f t="shared" si="17"/>
        <v>-483.30760752839996</v>
      </c>
      <c r="I108">
        <v>1</v>
      </c>
      <c r="J108">
        <f t="shared" si="18"/>
        <v>8.3320885495419938E-2</v>
      </c>
      <c r="K108">
        <f t="shared" si="19"/>
        <v>-0.77705515177521745</v>
      </c>
      <c r="L108">
        <v>1</v>
      </c>
      <c r="M108">
        <f t="shared" si="20"/>
        <v>0.60397425686407658</v>
      </c>
      <c r="N108">
        <f t="shared" si="24"/>
        <v>8.6951241599999993E-2</v>
      </c>
      <c r="O108">
        <f t="shared" si="22"/>
        <v>1.9564029359999995E-2</v>
      </c>
      <c r="P108">
        <f t="shared" si="23"/>
        <v>6.6565623951140879E-2</v>
      </c>
      <c r="V108">
        <v>4.4000000000000004</v>
      </c>
      <c r="W108">
        <f t="shared" si="21"/>
        <v>-0.86168</v>
      </c>
    </row>
    <row r="109" spans="1:23">
      <c r="A109">
        <v>5.4863895999999999</v>
      </c>
      <c r="B109">
        <v>0.44248999999999999</v>
      </c>
      <c r="C109">
        <f t="shared" si="14"/>
        <v>2.427672534104</v>
      </c>
      <c r="D109">
        <v>1.6E-2</v>
      </c>
      <c r="E109">
        <v>3.5999999999999999E-3</v>
      </c>
      <c r="F109">
        <f t="shared" si="15"/>
        <v>1097.27792</v>
      </c>
      <c r="G109">
        <f t="shared" si="16"/>
        <v>-0.44248999999999999</v>
      </c>
      <c r="H109">
        <f t="shared" si="17"/>
        <v>-485.5345068208</v>
      </c>
      <c r="I109">
        <v>1</v>
      </c>
      <c r="J109">
        <f t="shared" si="18"/>
        <v>9.2832494694238057E-2</v>
      </c>
      <c r="K109">
        <f t="shared" si="19"/>
        <v>-0.77923515177521741</v>
      </c>
      <c r="L109">
        <v>1</v>
      </c>
      <c r="M109">
        <f t="shared" si="20"/>
        <v>0.60454209993324604</v>
      </c>
      <c r="N109">
        <f t="shared" si="24"/>
        <v>8.7782233599999995E-2</v>
      </c>
      <c r="O109">
        <f t="shared" si="22"/>
        <v>1.9751002559999998E-2</v>
      </c>
      <c r="P109">
        <f t="shared" si="23"/>
        <v>6.715981568197138E-2</v>
      </c>
      <c r="V109">
        <v>4.5</v>
      </c>
      <c r="W109">
        <f t="shared" si="21"/>
        <v>-0.86765000000000003</v>
      </c>
    </row>
    <row r="110" spans="1:23">
      <c r="A110">
        <v>5.5378169000000002</v>
      </c>
      <c r="B110">
        <v>0.44017000000000001</v>
      </c>
      <c r="C110">
        <f t="shared" si="14"/>
        <v>2.437580864873</v>
      </c>
      <c r="D110">
        <v>1.6E-2</v>
      </c>
      <c r="E110">
        <v>3.5999999999999999E-3</v>
      </c>
      <c r="F110">
        <f t="shared" si="15"/>
        <v>1107.5633800000001</v>
      </c>
      <c r="G110">
        <f t="shared" si="16"/>
        <v>-0.44017000000000001</v>
      </c>
      <c r="H110">
        <f t="shared" si="17"/>
        <v>-487.51617297460001</v>
      </c>
      <c r="I110">
        <v>1</v>
      </c>
      <c r="J110">
        <f t="shared" si="18"/>
        <v>0.10216244929066529</v>
      </c>
      <c r="K110">
        <f t="shared" si="19"/>
        <v>-0.7815551517752175</v>
      </c>
      <c r="L110">
        <v>1</v>
      </c>
      <c r="M110">
        <f t="shared" si="20"/>
        <v>0.60509909822265273</v>
      </c>
      <c r="N110">
        <f t="shared" si="24"/>
        <v>8.8605070399999999E-2</v>
      </c>
      <c r="O110">
        <f t="shared" si="22"/>
        <v>1.9936140840000002E-2</v>
      </c>
      <c r="P110">
        <f t="shared" si="23"/>
        <v>6.7914842312564769E-2</v>
      </c>
      <c r="V110">
        <v>4.5999999999999996</v>
      </c>
      <c r="W110">
        <f t="shared" si="21"/>
        <v>-0.87361999999999995</v>
      </c>
    </row>
    <row r="111" spans="1:23">
      <c r="A111">
        <v>5.5912813000000003</v>
      </c>
      <c r="B111">
        <v>0.43768000000000001</v>
      </c>
      <c r="C111">
        <f t="shared" si="14"/>
        <v>2.4471919993840001</v>
      </c>
      <c r="D111">
        <v>1.6E-2</v>
      </c>
      <c r="E111">
        <v>3.5999999999999999E-3</v>
      </c>
      <c r="F111">
        <f t="shared" si="15"/>
        <v>1118.2562600000001</v>
      </c>
      <c r="G111">
        <f t="shared" si="16"/>
        <v>-0.43768000000000001</v>
      </c>
      <c r="H111">
        <f t="shared" si="17"/>
        <v>-489.43839987680002</v>
      </c>
      <c r="I111">
        <v>1</v>
      </c>
      <c r="J111">
        <f t="shared" si="18"/>
        <v>0.1117705613477919</v>
      </c>
      <c r="K111">
        <f t="shared" si="19"/>
        <v>-0.78404515177521739</v>
      </c>
      <c r="L111">
        <v>1</v>
      </c>
      <c r="M111">
        <f t="shared" si="20"/>
        <v>0.60567270251246319</v>
      </c>
      <c r="N111">
        <f t="shared" si="24"/>
        <v>8.9460500800000009E-2</v>
      </c>
      <c r="O111">
        <f t="shared" si="22"/>
        <v>2.0128612680000001E-2</v>
      </c>
      <c r="P111">
        <f t="shared" si="23"/>
        <v>6.8783335782754182E-2</v>
      </c>
      <c r="V111">
        <v>4.7</v>
      </c>
      <c r="W111">
        <f t="shared" si="21"/>
        <v>-0.87958999999999998</v>
      </c>
    </row>
    <row r="112" spans="1:23">
      <c r="A112">
        <v>5.6421992000000003</v>
      </c>
      <c r="B112">
        <v>0.43535000000000001</v>
      </c>
      <c r="C112">
        <f t="shared" si="14"/>
        <v>2.4563314217200003</v>
      </c>
      <c r="D112">
        <v>1.6E-2</v>
      </c>
      <c r="E112">
        <v>3.5999999999999999E-3</v>
      </c>
      <c r="F112">
        <f t="shared" si="15"/>
        <v>1128.43984</v>
      </c>
      <c r="G112">
        <f t="shared" si="16"/>
        <v>-0.43535000000000001</v>
      </c>
      <c r="H112">
        <f t="shared" si="17"/>
        <v>-491.26628434400004</v>
      </c>
      <c r="I112">
        <v>1</v>
      </c>
      <c r="J112">
        <f t="shared" si="18"/>
        <v>0.12083600615129481</v>
      </c>
      <c r="K112">
        <f t="shared" si="19"/>
        <v>-0.78637515177521744</v>
      </c>
      <c r="L112">
        <v>1</v>
      </c>
      <c r="M112">
        <f t="shared" si="20"/>
        <v>0.60621390956723231</v>
      </c>
      <c r="N112">
        <f t="shared" si="24"/>
        <v>9.0275187200000009E-2</v>
      </c>
      <c r="O112">
        <f t="shared" si="22"/>
        <v>2.0311917120000002E-2</v>
      </c>
      <c r="P112">
        <f t="shared" si="23"/>
        <v>6.957413788798511E-2</v>
      </c>
      <c r="V112">
        <v>4.8</v>
      </c>
      <c r="W112">
        <f t="shared" si="21"/>
        <v>-0.8855599999999999</v>
      </c>
    </row>
    <row r="113" spans="1:23">
      <c r="A113">
        <v>5.6931181999999998</v>
      </c>
      <c r="B113">
        <v>0.43285000000000001</v>
      </c>
      <c r="C113">
        <f t="shared" si="14"/>
        <v>2.4642662128700001</v>
      </c>
      <c r="D113">
        <v>1.6E-2</v>
      </c>
      <c r="E113">
        <v>3.5999999999999999E-3</v>
      </c>
      <c r="F113">
        <f t="shared" si="15"/>
        <v>1138.62364</v>
      </c>
      <c r="G113">
        <f t="shared" si="16"/>
        <v>-0.43285000000000001</v>
      </c>
      <c r="H113">
        <f t="shared" si="17"/>
        <v>-492.85324257400003</v>
      </c>
      <c r="I113">
        <v>1</v>
      </c>
      <c r="J113">
        <f t="shared" si="18"/>
        <v>0.12982019965902555</v>
      </c>
      <c r="K113">
        <f t="shared" si="19"/>
        <v>-0.7888751517752175</v>
      </c>
      <c r="L113">
        <v>1</v>
      </c>
      <c r="M113">
        <f t="shared" si="20"/>
        <v>0.60675026591964376</v>
      </c>
      <c r="N113">
        <f t="shared" si="24"/>
        <v>9.1089891199999995E-2</v>
      </c>
      <c r="O113">
        <f t="shared" si="22"/>
        <v>2.049522552E-2</v>
      </c>
      <c r="P113">
        <f t="shared" si="23"/>
        <v>7.0539769135573749E-2</v>
      </c>
      <c r="V113">
        <v>4.9000000000000004</v>
      </c>
      <c r="W113">
        <f t="shared" si="21"/>
        <v>-0.89152999999999993</v>
      </c>
    </row>
    <row r="114" spans="1:23">
      <c r="A114">
        <v>5.7486191</v>
      </c>
      <c r="B114">
        <v>0.43056</v>
      </c>
      <c r="C114">
        <f t="shared" si="14"/>
        <v>2.4751254396959999</v>
      </c>
      <c r="D114">
        <v>1.6E-2</v>
      </c>
      <c r="E114">
        <v>3.5999999999999999E-3</v>
      </c>
      <c r="F114">
        <f t="shared" si="15"/>
        <v>1149.7238199999999</v>
      </c>
      <c r="G114">
        <f t="shared" si="16"/>
        <v>-0.43056</v>
      </c>
      <c r="H114">
        <f t="shared" si="17"/>
        <v>-495.02508793919998</v>
      </c>
      <c r="I114">
        <v>1</v>
      </c>
      <c r="J114">
        <f t="shared" si="18"/>
        <v>0.13952175701122421</v>
      </c>
      <c r="K114">
        <f t="shared" si="19"/>
        <v>-0.7911651517752174</v>
      </c>
      <c r="L114">
        <v>1</v>
      </c>
      <c r="M114">
        <f t="shared" si="20"/>
        <v>0.6073294488935701</v>
      </c>
      <c r="N114">
        <f t="shared" si="24"/>
        <v>9.1977905600000007E-2</v>
      </c>
      <c r="O114">
        <f t="shared" si="22"/>
        <v>2.0695028759999998E-2</v>
      </c>
      <c r="P114">
        <f t="shared" si="23"/>
        <v>7.1162768521647296E-2</v>
      </c>
      <c r="V114">
        <v>5</v>
      </c>
      <c r="W114">
        <f t="shared" si="21"/>
        <v>-0.89749999999999996</v>
      </c>
    </row>
    <row r="115" spans="1:23">
      <c r="A115">
        <v>5.8020835000000002</v>
      </c>
      <c r="B115">
        <v>0.42795</v>
      </c>
      <c r="C115">
        <f t="shared" si="14"/>
        <v>2.4830016338250003</v>
      </c>
      <c r="D115">
        <v>1.6E-2</v>
      </c>
      <c r="E115">
        <v>3.5999999999999999E-3</v>
      </c>
      <c r="F115">
        <f t="shared" si="15"/>
        <v>1160.4167</v>
      </c>
      <c r="G115">
        <f t="shared" si="16"/>
        <v>-0.42795</v>
      </c>
      <c r="H115">
        <f t="shared" si="17"/>
        <v>-496.60032676500003</v>
      </c>
      <c r="I115">
        <v>1</v>
      </c>
      <c r="J115">
        <f t="shared" si="18"/>
        <v>0.14877916475066125</v>
      </c>
      <c r="K115">
        <f t="shared" si="19"/>
        <v>-0.7937751517752174</v>
      </c>
      <c r="L115">
        <v>1</v>
      </c>
      <c r="M115">
        <f t="shared" si="20"/>
        <v>0.60788211613561449</v>
      </c>
      <c r="N115">
        <f t="shared" si="24"/>
        <v>9.2833336000000002E-2</v>
      </c>
      <c r="O115">
        <f t="shared" si="22"/>
        <v>2.0887500600000001E-2</v>
      </c>
      <c r="P115">
        <f t="shared" si="23"/>
        <v>7.2172199039602911E-2</v>
      </c>
      <c r="V115">
        <v>5.0999999999999996</v>
      </c>
      <c r="W115">
        <f t="shared" si="21"/>
        <v>-0.90347</v>
      </c>
    </row>
    <row r="116" spans="1:23">
      <c r="A116">
        <v>5.8560565999999996</v>
      </c>
      <c r="B116">
        <v>0.42549999999999999</v>
      </c>
      <c r="C116">
        <f t="shared" si="14"/>
        <v>2.4917520832999998</v>
      </c>
      <c r="D116">
        <v>1.6E-2</v>
      </c>
      <c r="E116">
        <v>3.5999999999999999E-3</v>
      </c>
      <c r="F116">
        <f t="shared" si="15"/>
        <v>1171.2113199999999</v>
      </c>
      <c r="G116">
        <f t="shared" si="16"/>
        <v>-0.42549999999999999</v>
      </c>
      <c r="H116">
        <f t="shared" si="17"/>
        <v>-498.35041665999995</v>
      </c>
      <c r="I116">
        <v>1</v>
      </c>
      <c r="J116">
        <f t="shared" si="18"/>
        <v>0.15803852947874766</v>
      </c>
      <c r="K116">
        <f t="shared" si="19"/>
        <v>-0.79622515177521747</v>
      </c>
      <c r="L116">
        <v>1</v>
      </c>
      <c r="M116">
        <f t="shared" si="20"/>
        <v>0.60843490020988122</v>
      </c>
      <c r="N116">
        <f t="shared" si="24"/>
        <v>9.3696905599999991E-2</v>
      </c>
      <c r="O116">
        <f t="shared" si="22"/>
        <v>2.1081803759999997E-2</v>
      </c>
      <c r="P116">
        <f t="shared" si="23"/>
        <v>7.3011542205336261E-2</v>
      </c>
      <c r="V116">
        <v>5.2</v>
      </c>
      <c r="W116">
        <f t="shared" si="21"/>
        <v>-0.90944000000000003</v>
      </c>
    </row>
    <row r="117" spans="1:23">
      <c r="A117">
        <v>5.9079931999999999</v>
      </c>
      <c r="B117">
        <v>0.42346</v>
      </c>
      <c r="C117">
        <f t="shared" si="14"/>
        <v>2.5017988004720002</v>
      </c>
      <c r="D117">
        <v>1.6E-2</v>
      </c>
      <c r="E117">
        <v>3.5999999999999999E-3</v>
      </c>
      <c r="F117">
        <f t="shared" si="15"/>
        <v>1181.5986399999999</v>
      </c>
      <c r="G117">
        <f t="shared" si="16"/>
        <v>-0.42346</v>
      </c>
      <c r="H117">
        <f t="shared" si="17"/>
        <v>-500.35976009440003</v>
      </c>
      <c r="I117">
        <v>1</v>
      </c>
      <c r="J117">
        <f t="shared" si="18"/>
        <v>0.16686830125265095</v>
      </c>
      <c r="K117">
        <f t="shared" si="19"/>
        <v>-0.79826515177521751</v>
      </c>
      <c r="L117">
        <v>1</v>
      </c>
      <c r="M117">
        <f t="shared" si="20"/>
        <v>0.60896203758478329</v>
      </c>
      <c r="N117">
        <f t="shared" si="24"/>
        <v>9.4527891200000005E-2</v>
      </c>
      <c r="O117">
        <f t="shared" si="22"/>
        <v>2.1268775519999998E-2</v>
      </c>
      <c r="P117">
        <f t="shared" si="23"/>
        <v>7.3506447470434222E-2</v>
      </c>
      <c r="V117">
        <v>5.3</v>
      </c>
      <c r="W117">
        <f t="shared" si="21"/>
        <v>-0.91541000000000006</v>
      </c>
    </row>
    <row r="118" spans="1:23">
      <c r="A118">
        <v>5.9584023000000004</v>
      </c>
      <c r="B118">
        <v>0.42086000000000001</v>
      </c>
      <c r="C118">
        <f t="shared" si="14"/>
        <v>2.5076531919780001</v>
      </c>
      <c r="D118">
        <v>1.6E-2</v>
      </c>
      <c r="E118">
        <v>3.5999999999999999E-3</v>
      </c>
      <c r="F118">
        <f t="shared" si="15"/>
        <v>1191.68046</v>
      </c>
      <c r="G118">
        <f t="shared" si="16"/>
        <v>-0.42086000000000001</v>
      </c>
      <c r="H118">
        <f t="shared" si="17"/>
        <v>-501.53063839560002</v>
      </c>
      <c r="I118">
        <v>1</v>
      </c>
      <c r="J118">
        <f t="shared" si="18"/>
        <v>0.17536446223604829</v>
      </c>
      <c r="K118">
        <f t="shared" si="19"/>
        <v>-0.80086515177521744</v>
      </c>
      <c r="L118">
        <v>1</v>
      </c>
      <c r="M118">
        <f t="shared" si="20"/>
        <v>0.60946925839549204</v>
      </c>
      <c r="N118">
        <f t="shared" si="24"/>
        <v>9.5334436800000005E-2</v>
      </c>
      <c r="O118">
        <f t="shared" si="22"/>
        <v>2.1450248280000001E-2</v>
      </c>
      <c r="P118">
        <f t="shared" si="23"/>
        <v>7.4611208299725396E-2</v>
      </c>
      <c r="V118">
        <v>5.4</v>
      </c>
      <c r="W118">
        <f t="shared" si="21"/>
        <v>-0.92138000000000009</v>
      </c>
    </row>
    <row r="119" spans="1:23">
      <c r="A119">
        <v>6.0098301000000003</v>
      </c>
      <c r="B119">
        <v>0.41830000000000001</v>
      </c>
      <c r="C119">
        <f t="shared" si="14"/>
        <v>2.51391193083</v>
      </c>
      <c r="D119">
        <v>1.6E-2</v>
      </c>
      <c r="E119">
        <v>3.5999999999999999E-3</v>
      </c>
      <c r="F119">
        <f t="shared" si="15"/>
        <v>1201.9660200000001</v>
      </c>
      <c r="G119">
        <f t="shared" si="16"/>
        <v>-0.41830000000000001</v>
      </c>
      <c r="H119">
        <f t="shared" si="17"/>
        <v>-502.78238616599998</v>
      </c>
      <c r="I119">
        <v>1</v>
      </c>
      <c r="J119">
        <f t="shared" si="18"/>
        <v>0.18395856616267578</v>
      </c>
      <c r="K119">
        <f t="shared" si="19"/>
        <v>-0.80342515177521745</v>
      </c>
      <c r="L119">
        <v>1</v>
      </c>
      <c r="M119">
        <f t="shared" si="20"/>
        <v>0.60998232639991168</v>
      </c>
      <c r="N119">
        <f t="shared" si="24"/>
        <v>9.6157281600000005E-2</v>
      </c>
      <c r="O119">
        <f t="shared" si="22"/>
        <v>2.163538836E-2</v>
      </c>
      <c r="P119">
        <f t="shared" si="23"/>
        <v>7.5650155415305759E-2</v>
      </c>
      <c r="V119">
        <v>5.5</v>
      </c>
      <c r="W119">
        <f t="shared" si="21"/>
        <v>-0.92735000000000001</v>
      </c>
    </row>
    <row r="120" spans="1:23">
      <c r="A120">
        <v>6.0612572999999994</v>
      </c>
      <c r="B120">
        <v>0.4163</v>
      </c>
      <c r="C120">
        <f t="shared" si="14"/>
        <v>2.5233014139899996</v>
      </c>
      <c r="D120">
        <v>1.6E-2</v>
      </c>
      <c r="E120">
        <v>3.5999999999999999E-3</v>
      </c>
      <c r="F120">
        <f t="shared" si="15"/>
        <v>1212.25146</v>
      </c>
      <c r="G120">
        <f t="shared" si="16"/>
        <v>-0.4163</v>
      </c>
      <c r="H120">
        <f t="shared" si="17"/>
        <v>-504.66028279799991</v>
      </c>
      <c r="I120">
        <v>1</v>
      </c>
      <c r="J120">
        <f t="shared" si="18"/>
        <v>0.19247934137463488</v>
      </c>
      <c r="K120">
        <f t="shared" si="19"/>
        <v>-0.80542515177521745</v>
      </c>
      <c r="L120">
        <v>1</v>
      </c>
      <c r="M120">
        <f t="shared" si="20"/>
        <v>0.61049101668006567</v>
      </c>
      <c r="N120">
        <f t="shared" si="24"/>
        <v>9.6980116799999988E-2</v>
      </c>
      <c r="O120">
        <f t="shared" si="22"/>
        <v>2.1820526279999999E-2</v>
      </c>
      <c r="P120">
        <f t="shared" si="23"/>
        <v>7.6133492015151794E-2</v>
      </c>
      <c r="V120">
        <v>5.6</v>
      </c>
      <c r="W120">
        <f t="shared" si="21"/>
        <v>-0.93331999999999993</v>
      </c>
    </row>
    <row r="121" spans="1:23">
      <c r="A121">
        <v>6.1126851000000002</v>
      </c>
      <c r="B121">
        <v>0.41383999999999999</v>
      </c>
      <c r="C121">
        <f t="shared" si="14"/>
        <v>2.5296736017839998</v>
      </c>
      <c r="D121">
        <v>1.6E-2</v>
      </c>
      <c r="E121">
        <v>3.5999999999999999E-3</v>
      </c>
      <c r="F121">
        <f t="shared" si="15"/>
        <v>1222.53702</v>
      </c>
      <c r="G121">
        <f t="shared" si="16"/>
        <v>-0.41383999999999999</v>
      </c>
      <c r="H121">
        <f t="shared" si="17"/>
        <v>-505.93472035679997</v>
      </c>
      <c r="I121">
        <v>1</v>
      </c>
      <c r="J121">
        <f t="shared" si="18"/>
        <v>0.20092822411698225</v>
      </c>
      <c r="K121">
        <f t="shared" si="19"/>
        <v>-0.80788515177521747</v>
      </c>
      <c r="L121">
        <v>1</v>
      </c>
      <c r="M121">
        <f t="shared" si="20"/>
        <v>0.61099541497978382</v>
      </c>
      <c r="N121">
        <f t="shared" si="24"/>
        <v>9.7802961600000002E-2</v>
      </c>
      <c r="O121">
        <f t="shared" si="22"/>
        <v>2.2005666359999999E-2</v>
      </c>
      <c r="P121">
        <f t="shared" si="23"/>
        <v>7.7081108835433648E-2</v>
      </c>
      <c r="V121">
        <v>5.7</v>
      </c>
      <c r="W121">
        <f t="shared" si="21"/>
        <v>-0.93928999999999996</v>
      </c>
    </row>
    <row r="122" spans="1:23">
      <c r="A122">
        <v>6.1646216000000003</v>
      </c>
      <c r="B122">
        <v>0.41144999999999998</v>
      </c>
      <c r="C122">
        <f t="shared" si="14"/>
        <v>2.5364335573200001</v>
      </c>
      <c r="D122">
        <v>1.6E-2</v>
      </c>
      <c r="E122">
        <v>3.5999999999999999E-3</v>
      </c>
      <c r="F122">
        <f t="shared" si="15"/>
        <v>1232.9243200000001</v>
      </c>
      <c r="G122">
        <f t="shared" si="16"/>
        <v>-0.41144999999999998</v>
      </c>
      <c r="H122">
        <f t="shared" si="17"/>
        <v>-507.28671146400001</v>
      </c>
      <c r="I122">
        <v>1</v>
      </c>
      <c r="J122">
        <f t="shared" si="18"/>
        <v>0.209388843547441</v>
      </c>
      <c r="K122">
        <f t="shared" si="19"/>
        <v>-0.81027515177521747</v>
      </c>
      <c r="L122">
        <v>1</v>
      </c>
      <c r="M122">
        <f t="shared" si="20"/>
        <v>0.61150051395978222</v>
      </c>
      <c r="N122">
        <f t="shared" si="24"/>
        <v>9.8633945600000009E-2</v>
      </c>
      <c r="O122">
        <f t="shared" si="22"/>
        <v>2.2192637760000002E-2</v>
      </c>
      <c r="P122">
        <f t="shared" si="23"/>
        <v>7.7948054455435234E-2</v>
      </c>
      <c r="V122">
        <v>5.8</v>
      </c>
      <c r="W122">
        <f t="shared" si="21"/>
        <v>-0.94525999999999999</v>
      </c>
    </row>
    <row r="123" spans="1:23">
      <c r="A123">
        <v>6.2160492999999999</v>
      </c>
      <c r="B123">
        <v>0.40941</v>
      </c>
      <c r="C123">
        <f t="shared" si="14"/>
        <v>2.5449127439129997</v>
      </c>
      <c r="D123">
        <v>1.6E-2</v>
      </c>
      <c r="E123">
        <v>3.5999999999999999E-3</v>
      </c>
      <c r="F123">
        <f t="shared" si="15"/>
        <v>1243.2098599999999</v>
      </c>
      <c r="G123">
        <f t="shared" si="16"/>
        <v>-0.40941</v>
      </c>
      <c r="H123">
        <f t="shared" si="17"/>
        <v>-508.98254878259996</v>
      </c>
      <c r="I123">
        <v>1</v>
      </c>
      <c r="J123">
        <f t="shared" si="18"/>
        <v>0.21769663174522563</v>
      </c>
      <c r="K123">
        <f t="shared" si="19"/>
        <v>-0.8123151517752174</v>
      </c>
      <c r="L123">
        <v>1</v>
      </c>
      <c r="M123">
        <f t="shared" si="20"/>
        <v>0.61199648891518998</v>
      </c>
      <c r="N123">
        <f t="shared" si="24"/>
        <v>9.9456788800000001E-2</v>
      </c>
      <c r="O123">
        <f t="shared" si="22"/>
        <v>2.237777748E-2</v>
      </c>
      <c r="P123">
        <f t="shared" si="23"/>
        <v>7.8484096580027418E-2</v>
      </c>
      <c r="V123">
        <v>5.9</v>
      </c>
      <c r="W123">
        <f t="shared" si="21"/>
        <v>-0.95123000000000002</v>
      </c>
    </row>
    <row r="124" spans="1:23">
      <c r="A124">
        <v>6.2674766000000002</v>
      </c>
      <c r="B124">
        <v>0.40692</v>
      </c>
      <c r="C124">
        <f t="shared" si="14"/>
        <v>2.5503615780720001</v>
      </c>
      <c r="D124">
        <v>1.6E-2</v>
      </c>
      <c r="E124">
        <v>3.5999999999999999E-3</v>
      </c>
      <c r="F124">
        <f t="shared" si="15"/>
        <v>1253.49532</v>
      </c>
      <c r="G124">
        <f t="shared" si="16"/>
        <v>-0.40692</v>
      </c>
      <c r="H124">
        <f t="shared" si="17"/>
        <v>-510.07231561440005</v>
      </c>
      <c r="I124">
        <v>1</v>
      </c>
      <c r="J124">
        <f t="shared" si="18"/>
        <v>0.22593590506317038</v>
      </c>
      <c r="K124">
        <f t="shared" si="19"/>
        <v>-0.81480515177521751</v>
      </c>
      <c r="L124">
        <v>1</v>
      </c>
      <c r="M124">
        <f t="shared" si="20"/>
        <v>0.61248837353227126</v>
      </c>
      <c r="N124">
        <f t="shared" si="24"/>
        <v>0.10027962560000001</v>
      </c>
      <c r="O124">
        <f t="shared" si="22"/>
        <v>2.256291576E-2</v>
      </c>
      <c r="P124">
        <f t="shared" si="23"/>
        <v>7.9474236882946248E-2</v>
      </c>
      <c r="V124">
        <v>6</v>
      </c>
      <c r="W124">
        <f t="shared" si="21"/>
        <v>-0.95720000000000005</v>
      </c>
    </row>
    <row r="125" spans="1:23">
      <c r="A125">
        <v>6.3189038000000002</v>
      </c>
      <c r="B125">
        <v>0.40434999999999999</v>
      </c>
      <c r="C125">
        <f t="shared" si="14"/>
        <v>2.5550487515299998</v>
      </c>
      <c r="D125">
        <v>1.6E-2</v>
      </c>
      <c r="E125">
        <v>3.5999999999999999E-3</v>
      </c>
      <c r="F125">
        <f t="shared" si="15"/>
        <v>1263.7807600000001</v>
      </c>
      <c r="G125">
        <f t="shared" si="16"/>
        <v>-0.40434999999999999</v>
      </c>
      <c r="H125">
        <f t="shared" si="17"/>
        <v>-511.00975030599994</v>
      </c>
      <c r="I125">
        <v>1</v>
      </c>
      <c r="J125">
        <f t="shared" si="18"/>
        <v>0.23410783131349611</v>
      </c>
      <c r="K125">
        <f t="shared" si="19"/>
        <v>-0.81737515177521747</v>
      </c>
      <c r="L125">
        <v>1</v>
      </c>
      <c r="M125">
        <f t="shared" si="20"/>
        <v>0.61297623752941566</v>
      </c>
      <c r="N125">
        <f t="shared" si="24"/>
        <v>0.1011024608</v>
      </c>
      <c r="O125">
        <f t="shared" si="22"/>
        <v>2.2748053680000001E-2</v>
      </c>
      <c r="P125">
        <f t="shared" si="23"/>
        <v>8.0548399765801804E-2</v>
      </c>
      <c r="V125">
        <v>6.1</v>
      </c>
      <c r="W125">
        <f t="shared" si="21"/>
        <v>-0.96316999999999997</v>
      </c>
    </row>
    <row r="126" spans="1:23">
      <c r="A126">
        <v>6.3693124999999995</v>
      </c>
      <c r="B126">
        <v>0.40198</v>
      </c>
      <c r="C126">
        <f t="shared" si="14"/>
        <v>2.5603362387499997</v>
      </c>
      <c r="D126">
        <v>1.6E-2</v>
      </c>
      <c r="E126">
        <v>3.5999999999999999E-3</v>
      </c>
      <c r="F126">
        <f t="shared" si="15"/>
        <v>1273.8625</v>
      </c>
      <c r="G126">
        <f t="shared" si="16"/>
        <v>-0.40198</v>
      </c>
      <c r="H126">
        <f t="shared" si="17"/>
        <v>-512.06724774999998</v>
      </c>
      <c r="I126">
        <v>1</v>
      </c>
      <c r="J126">
        <f t="shared" si="18"/>
        <v>0.24205362353884965</v>
      </c>
      <c r="K126">
        <f t="shared" si="19"/>
        <v>-0.81974515177521745</v>
      </c>
      <c r="L126">
        <v>1</v>
      </c>
      <c r="M126">
        <f t="shared" si="20"/>
        <v>0.6134506013252693</v>
      </c>
      <c r="N126">
        <f t="shared" si="24"/>
        <v>0.101909</v>
      </c>
      <c r="O126">
        <f t="shared" si="22"/>
        <v>2.2929524999999999E-2</v>
      </c>
      <c r="P126">
        <f t="shared" si="23"/>
        <v>8.145602544994815E-2</v>
      </c>
      <c r="V126">
        <v>6.2</v>
      </c>
      <c r="W126">
        <f t="shared" si="21"/>
        <v>-0.96914</v>
      </c>
    </row>
    <row r="127" spans="1:23">
      <c r="A127">
        <v>6.4197221999999998</v>
      </c>
      <c r="B127">
        <v>0.39976</v>
      </c>
      <c r="C127">
        <f t="shared" si="14"/>
        <v>2.566348146672</v>
      </c>
      <c r="D127">
        <v>1.6E-2</v>
      </c>
      <c r="E127">
        <v>3.5999999999999999E-3</v>
      </c>
      <c r="F127">
        <f t="shared" si="15"/>
        <v>1283.94444</v>
      </c>
      <c r="G127">
        <f t="shared" si="16"/>
        <v>-0.39976</v>
      </c>
      <c r="H127">
        <f t="shared" si="17"/>
        <v>-513.26962933439995</v>
      </c>
      <c r="I127">
        <v>1</v>
      </c>
      <c r="J127">
        <f t="shared" si="18"/>
        <v>0.24993693330351407</v>
      </c>
      <c r="K127">
        <f t="shared" si="19"/>
        <v>-0.82196515177521745</v>
      </c>
      <c r="L127">
        <v>1</v>
      </c>
      <c r="M127">
        <f t="shared" si="20"/>
        <v>0.61392123491821982</v>
      </c>
      <c r="N127">
        <f t="shared" si="24"/>
        <v>0.1027155552</v>
      </c>
      <c r="O127">
        <f t="shared" si="22"/>
        <v>2.311099992E-2</v>
      </c>
      <c r="P127">
        <f t="shared" si="23"/>
        <v>8.2217361736997632E-2</v>
      </c>
      <c r="V127">
        <v>6.3</v>
      </c>
      <c r="W127">
        <f t="shared" si="21"/>
        <v>-0.97510999999999992</v>
      </c>
    </row>
    <row r="128" spans="1:23">
      <c r="A128">
        <v>6.4711504</v>
      </c>
      <c r="B128">
        <v>0.39746999999999999</v>
      </c>
      <c r="C128">
        <f t="shared" si="14"/>
        <v>2.5720881494880001</v>
      </c>
      <c r="D128">
        <v>1.6E-2</v>
      </c>
      <c r="E128">
        <v>3.5999999999999999E-3</v>
      </c>
      <c r="F128">
        <f t="shared" si="15"/>
        <v>1294.23008</v>
      </c>
      <c r="G128">
        <f t="shared" si="16"/>
        <v>-0.39746999999999999</v>
      </c>
      <c r="H128">
        <f t="shared" si="17"/>
        <v>-514.41762989760002</v>
      </c>
      <c r="I128">
        <v>1</v>
      </c>
      <c r="J128">
        <f t="shared" si="18"/>
        <v>0.25791598552825112</v>
      </c>
      <c r="K128">
        <f t="shared" si="19"/>
        <v>-0.82425515177521747</v>
      </c>
      <c r="L128">
        <v>1</v>
      </c>
      <c r="M128">
        <f t="shared" si="20"/>
        <v>0.61439758433603653</v>
      </c>
      <c r="N128">
        <f t="shared" si="24"/>
        <v>0.1035384064</v>
      </c>
      <c r="O128">
        <f t="shared" si="22"/>
        <v>2.3296141439999998E-2</v>
      </c>
      <c r="P128">
        <f t="shared" si="23"/>
        <v>8.3023019599180931E-2</v>
      </c>
      <c r="V128">
        <v>6.4</v>
      </c>
      <c r="W128">
        <f t="shared" si="21"/>
        <v>-0.98107999999999995</v>
      </c>
    </row>
    <row r="129" spans="1:23">
      <c r="A129">
        <v>6.5251225999999996</v>
      </c>
      <c r="B129">
        <v>0.39499000000000001</v>
      </c>
      <c r="C129">
        <f t="shared" si="14"/>
        <v>2.5773581757740001</v>
      </c>
      <c r="D129">
        <v>1.6E-2</v>
      </c>
      <c r="E129">
        <v>3.5999999999999999E-3</v>
      </c>
      <c r="F129">
        <f t="shared" si="15"/>
        <v>1305.0245199999999</v>
      </c>
      <c r="G129">
        <f t="shared" si="16"/>
        <v>-0.39499000000000001</v>
      </c>
      <c r="H129">
        <f t="shared" si="17"/>
        <v>-515.47163515479997</v>
      </c>
      <c r="I129">
        <v>1</v>
      </c>
      <c r="J129">
        <f t="shared" si="18"/>
        <v>0.26622182987017118</v>
      </c>
      <c r="K129">
        <f t="shared" si="19"/>
        <v>-0.8267351517752175</v>
      </c>
      <c r="L129">
        <v>1</v>
      </c>
      <c r="M129">
        <f t="shared" si="20"/>
        <v>0.61489344324324924</v>
      </c>
      <c r="N129">
        <f t="shared" si="24"/>
        <v>0.1044019616</v>
      </c>
      <c r="O129">
        <f t="shared" si="22"/>
        <v>2.3490441359999999E-2</v>
      </c>
      <c r="P129">
        <f t="shared" si="23"/>
        <v>8.3949305571968266E-2</v>
      </c>
      <c r="V129">
        <v>6.5</v>
      </c>
      <c r="W129">
        <f t="shared" si="21"/>
        <v>-0.98704999999999998</v>
      </c>
    </row>
    <row r="130" spans="1:23">
      <c r="A130">
        <v>6.5755322000000005</v>
      </c>
      <c r="B130">
        <v>0.39293</v>
      </c>
      <c r="C130">
        <f t="shared" si="14"/>
        <v>2.5837238673460003</v>
      </c>
      <c r="D130">
        <v>1.6E-2</v>
      </c>
      <c r="E130">
        <v>3.5999999999999999E-3</v>
      </c>
      <c r="F130">
        <f t="shared" si="15"/>
        <v>1315.10644</v>
      </c>
      <c r="G130">
        <f t="shared" si="16"/>
        <v>-0.39293</v>
      </c>
      <c r="H130">
        <f t="shared" si="17"/>
        <v>-516.74477346920003</v>
      </c>
      <c r="I130">
        <v>1</v>
      </c>
      <c r="J130">
        <f t="shared" si="18"/>
        <v>0.2739176053198023</v>
      </c>
      <c r="K130">
        <f t="shared" si="19"/>
        <v>-0.82879515177521745</v>
      </c>
      <c r="L130">
        <v>1</v>
      </c>
      <c r="M130">
        <f t="shared" si="20"/>
        <v>0.61535288103759223</v>
      </c>
      <c r="N130">
        <f t="shared" si="24"/>
        <v>0.10520851520000001</v>
      </c>
      <c r="O130">
        <f t="shared" si="22"/>
        <v>2.3671915920000001E-2</v>
      </c>
      <c r="P130">
        <f t="shared" si="23"/>
        <v>8.4561839617625228E-2</v>
      </c>
      <c r="V130">
        <v>6.6</v>
      </c>
      <c r="W130">
        <f t="shared" si="21"/>
        <v>-0.99302000000000001</v>
      </c>
    </row>
    <row r="131" spans="1:23">
      <c r="A131">
        <v>6.6295059000000007</v>
      </c>
      <c r="B131">
        <v>0.39028000000000002</v>
      </c>
      <c r="C131">
        <f t="shared" si="14"/>
        <v>2.5873635626520004</v>
      </c>
      <c r="D131">
        <v>1.6E-2</v>
      </c>
      <c r="E131">
        <v>3.5999999999999999E-3</v>
      </c>
      <c r="F131">
        <f t="shared" si="15"/>
        <v>1325.9011800000001</v>
      </c>
      <c r="G131">
        <f t="shared" si="16"/>
        <v>-0.39028000000000002</v>
      </c>
      <c r="H131">
        <f t="shared" si="17"/>
        <v>-517.47271253040003</v>
      </c>
      <c r="I131">
        <v>1</v>
      </c>
      <c r="J131">
        <f t="shared" si="18"/>
        <v>0.28209236409967559</v>
      </c>
      <c r="K131">
        <f t="shared" si="19"/>
        <v>-0.83144515177521749</v>
      </c>
      <c r="L131">
        <v>1</v>
      </c>
      <c r="M131">
        <f t="shared" si="20"/>
        <v>0.61584091413675057</v>
      </c>
      <c r="N131">
        <f t="shared" si="24"/>
        <v>0.10607209440000001</v>
      </c>
      <c r="O131">
        <f t="shared" si="22"/>
        <v>2.3866221240000002E-2</v>
      </c>
      <c r="P131">
        <f t="shared" si="23"/>
        <v>8.5665921998466912E-2</v>
      </c>
      <c r="V131">
        <v>6.7</v>
      </c>
      <c r="W131">
        <f t="shared" si="21"/>
        <v>-0.99899000000000004</v>
      </c>
    </row>
    <row r="132" spans="1:23">
      <c r="A132">
        <v>6.6799149999999994</v>
      </c>
      <c r="B132">
        <v>0.38775999999999999</v>
      </c>
      <c r="C132">
        <f t="shared" si="14"/>
        <v>2.5902038403999996</v>
      </c>
      <c r="D132">
        <v>1.6E-2</v>
      </c>
      <c r="E132">
        <v>3.5999999999999999E-3</v>
      </c>
      <c r="F132">
        <f t="shared" si="15"/>
        <v>1335.9829999999999</v>
      </c>
      <c r="G132">
        <f t="shared" si="16"/>
        <v>-0.38775999999999999</v>
      </c>
      <c r="H132">
        <f t="shared" si="17"/>
        <v>-518.04076807999991</v>
      </c>
      <c r="I132">
        <v>1</v>
      </c>
      <c r="J132">
        <f t="shared" si="18"/>
        <v>0.28966735048259795</v>
      </c>
      <c r="K132">
        <f t="shared" si="19"/>
        <v>-0.83396515177521746</v>
      </c>
      <c r="L132">
        <v>1</v>
      </c>
      <c r="M132">
        <f t="shared" si="20"/>
        <v>0.61629314082381104</v>
      </c>
      <c r="N132">
        <f t="shared" si="24"/>
        <v>0.10687864</v>
      </c>
      <c r="O132">
        <f t="shared" si="22"/>
        <v>2.4047693999999998E-2</v>
      </c>
      <c r="P132">
        <f t="shared" si="23"/>
        <v>8.6745676951406434E-2</v>
      </c>
      <c r="V132">
        <v>6.8</v>
      </c>
      <c r="W132">
        <f t="shared" si="21"/>
        <v>-1.0049600000000001</v>
      </c>
    </row>
    <row r="133" spans="1:23">
      <c r="A133">
        <v>6.7333788999999999</v>
      </c>
      <c r="B133">
        <v>0.38530999999999999</v>
      </c>
      <c r="C133">
        <f t="shared" ref="C133:C196" si="25">A133*B133</f>
        <v>2.594438223959</v>
      </c>
      <c r="D133">
        <v>1.6E-2</v>
      </c>
      <c r="E133">
        <v>3.5999999999999999E-3</v>
      </c>
      <c r="F133">
        <f t="shared" ref="F133:F196" si="26">A133*200</f>
        <v>1346.67578</v>
      </c>
      <c r="G133">
        <f t="shared" ref="G133:G144" si="27">-B133</f>
        <v>-0.38530999999999999</v>
      </c>
      <c r="H133">
        <f t="shared" ref="H133:H196" si="28">-C133*200</f>
        <v>-518.88764479179997</v>
      </c>
      <c r="I133">
        <v>1</v>
      </c>
      <c r="J133">
        <f t="shared" ref="J133:J196" si="29">LN(F133/1000)</f>
        <v>0.29763917060878342</v>
      </c>
      <c r="K133">
        <f t="shared" ref="K133:K187" si="30">((-G133)-$N$2)</f>
        <v>-0.83641515177521741</v>
      </c>
      <c r="L133">
        <v>1</v>
      </c>
      <c r="M133">
        <f t="shared" ref="M133:M196" si="31">-1*($S$4+($S$5*J133))</f>
        <v>0.61676905848534436</v>
      </c>
      <c r="N133">
        <f t="shared" si="24"/>
        <v>0.1077340624</v>
      </c>
      <c r="O133">
        <f t="shared" si="22"/>
        <v>2.4240164039999998E-2</v>
      </c>
      <c r="P133">
        <f t="shared" si="23"/>
        <v>8.7671866849873062E-2</v>
      </c>
      <c r="V133">
        <v>6.9</v>
      </c>
      <c r="W133">
        <f t="shared" ref="W133:W139" si="32">V133*$S$5+$S$4</f>
        <v>-1.0109300000000001</v>
      </c>
    </row>
    <row r="134" spans="1:23">
      <c r="A134">
        <v>6.7863340000000001</v>
      </c>
      <c r="B134">
        <v>0.38291999999999998</v>
      </c>
      <c r="C134">
        <f t="shared" si="25"/>
        <v>2.5986230152799998</v>
      </c>
      <c r="D134">
        <v>1.6E-2</v>
      </c>
      <c r="E134">
        <v>3.5999999999999999E-3</v>
      </c>
      <c r="F134">
        <f t="shared" si="26"/>
        <v>1357.2668000000001</v>
      </c>
      <c r="G134">
        <f t="shared" si="27"/>
        <v>-0.38291999999999998</v>
      </c>
      <c r="H134">
        <f t="shared" si="28"/>
        <v>-519.72460305599998</v>
      </c>
      <c r="I134">
        <v>1</v>
      </c>
      <c r="J134">
        <f t="shared" si="29"/>
        <v>0.30547297169697729</v>
      </c>
      <c r="K134">
        <f t="shared" si="30"/>
        <v>-0.83880515177521753</v>
      </c>
      <c r="L134">
        <v>1</v>
      </c>
      <c r="M134">
        <f t="shared" si="31"/>
        <v>0.61723673641030952</v>
      </c>
      <c r="N134">
        <f t="shared" si="24"/>
        <v>0.10858134400000001</v>
      </c>
      <c r="O134">
        <f t="shared" ref="O134:O144" si="33">E134*A134</f>
        <v>2.44308024E-2</v>
      </c>
      <c r="P134">
        <f t="shared" ref="P134:P144" si="34">-K134-M134-N134-O134</f>
        <v>8.8556268964908008E-2</v>
      </c>
      <c r="V134">
        <v>7</v>
      </c>
      <c r="W134">
        <f t="shared" si="32"/>
        <v>-1.0169000000000001</v>
      </c>
    </row>
    <row r="135" spans="1:23">
      <c r="A135">
        <v>6.8392895999999999</v>
      </c>
      <c r="B135">
        <v>0.38040000000000002</v>
      </c>
      <c r="C135">
        <f t="shared" si="25"/>
        <v>2.6016657638400003</v>
      </c>
      <c r="D135">
        <v>1.6E-2</v>
      </c>
      <c r="E135">
        <v>3.5999999999999999E-3</v>
      </c>
      <c r="F135">
        <f t="shared" si="26"/>
        <v>1367.8579199999999</v>
      </c>
      <c r="G135">
        <f t="shared" si="27"/>
        <v>-0.38040000000000002</v>
      </c>
      <c r="H135">
        <f t="shared" si="28"/>
        <v>-520.3331527680001</v>
      </c>
      <c r="I135">
        <v>1</v>
      </c>
      <c r="J135">
        <f t="shared" si="29"/>
        <v>0.31324595415744899</v>
      </c>
      <c r="K135">
        <f t="shared" si="30"/>
        <v>-0.84132515177521738</v>
      </c>
      <c r="L135">
        <v>1</v>
      </c>
      <c r="M135">
        <f t="shared" si="31"/>
        <v>0.61770078346319968</v>
      </c>
      <c r="N135">
        <f t="shared" ref="N135:N144" si="35">D135*A135</f>
        <v>0.10942863360000001</v>
      </c>
      <c r="O135">
        <f t="shared" si="33"/>
        <v>2.4621442559999998E-2</v>
      </c>
      <c r="P135">
        <f t="shared" si="34"/>
        <v>8.9574292152017704E-2</v>
      </c>
      <c r="V135">
        <v>7.1</v>
      </c>
      <c r="W135">
        <f t="shared" si="32"/>
        <v>-1.0228699999999999</v>
      </c>
    </row>
    <row r="136" spans="1:23">
      <c r="A136">
        <v>6.8907167999999999</v>
      </c>
      <c r="B136">
        <v>0.37817000000000001</v>
      </c>
      <c r="C136">
        <f t="shared" si="25"/>
        <v>2.6058623722559999</v>
      </c>
      <c r="D136">
        <v>1.6E-2</v>
      </c>
      <c r="E136">
        <v>3.5999999999999999E-3</v>
      </c>
      <c r="F136">
        <f t="shared" si="26"/>
        <v>1378.14336</v>
      </c>
      <c r="G136">
        <f t="shared" si="27"/>
        <v>-0.37817000000000001</v>
      </c>
      <c r="H136">
        <f t="shared" si="28"/>
        <v>-521.17247445119995</v>
      </c>
      <c r="I136">
        <v>1</v>
      </c>
      <c r="J136">
        <f t="shared" si="29"/>
        <v>0.32073720201331024</v>
      </c>
      <c r="K136">
        <f t="shared" si="30"/>
        <v>-0.84355515177521745</v>
      </c>
      <c r="L136">
        <v>1</v>
      </c>
      <c r="M136">
        <f t="shared" si="31"/>
        <v>0.61814801096019456</v>
      </c>
      <c r="N136">
        <f t="shared" si="35"/>
        <v>0.1102514688</v>
      </c>
      <c r="O136">
        <f t="shared" si="33"/>
        <v>2.480658048E-2</v>
      </c>
      <c r="P136">
        <f t="shared" si="34"/>
        <v>9.034909153502288E-2</v>
      </c>
      <c r="V136">
        <v>7.2</v>
      </c>
      <c r="W136">
        <f t="shared" si="32"/>
        <v>-1.02884</v>
      </c>
    </row>
    <row r="137" spans="1:23">
      <c r="A137">
        <v>6.9416353000000006</v>
      </c>
      <c r="B137">
        <v>0.37573000000000001</v>
      </c>
      <c r="C137">
        <f t="shared" si="25"/>
        <v>2.6081806312690001</v>
      </c>
      <c r="D137">
        <v>1.6E-2</v>
      </c>
      <c r="E137">
        <v>3.5999999999999999E-3</v>
      </c>
      <c r="F137">
        <f t="shared" si="26"/>
        <v>1388.3270600000001</v>
      </c>
      <c r="G137">
        <f t="shared" si="27"/>
        <v>-0.37573000000000001</v>
      </c>
      <c r="H137">
        <f t="shared" si="28"/>
        <v>-521.63612625380006</v>
      </c>
      <c r="I137">
        <v>1</v>
      </c>
      <c r="J137">
        <f t="shared" si="29"/>
        <v>0.32809946833304454</v>
      </c>
      <c r="K137">
        <f t="shared" si="30"/>
        <v>-0.84599515177521745</v>
      </c>
      <c r="L137">
        <v>1</v>
      </c>
      <c r="M137">
        <f t="shared" si="31"/>
        <v>0.61858753825948276</v>
      </c>
      <c r="N137">
        <f t="shared" si="35"/>
        <v>0.11106616480000001</v>
      </c>
      <c r="O137">
        <f t="shared" si="33"/>
        <v>2.4989887080000002E-2</v>
      </c>
      <c r="P137">
        <f t="shared" si="34"/>
        <v>9.1351561635734685E-2</v>
      </c>
      <c r="V137">
        <v>7.3</v>
      </c>
      <c r="W137">
        <f t="shared" si="32"/>
        <v>-1.03481</v>
      </c>
    </row>
    <row r="138" spans="1:23">
      <c r="A138">
        <v>6.9935717999999998</v>
      </c>
      <c r="B138">
        <v>0.37323000000000001</v>
      </c>
      <c r="C138">
        <f t="shared" si="25"/>
        <v>2.6102108029140001</v>
      </c>
      <c r="D138">
        <v>1.6E-2</v>
      </c>
      <c r="E138">
        <v>3.5999999999999999E-3</v>
      </c>
      <c r="F138">
        <f t="shared" si="26"/>
        <v>1398.7143599999999</v>
      </c>
      <c r="G138">
        <f t="shared" si="27"/>
        <v>-0.37323000000000001</v>
      </c>
      <c r="H138">
        <f t="shared" si="28"/>
        <v>-522.04216058279997</v>
      </c>
      <c r="I138">
        <v>1</v>
      </c>
      <c r="J138">
        <f t="shared" si="29"/>
        <v>0.33555350042661858</v>
      </c>
      <c r="K138">
        <f t="shared" si="30"/>
        <v>-0.8484951517752175</v>
      </c>
      <c r="L138">
        <v>1</v>
      </c>
      <c r="M138">
        <f t="shared" si="31"/>
        <v>0.61903254397546914</v>
      </c>
      <c r="N138">
        <f t="shared" si="35"/>
        <v>0.1118971488</v>
      </c>
      <c r="O138">
        <f t="shared" si="33"/>
        <v>2.5176858479999998E-2</v>
      </c>
      <c r="P138">
        <f t="shared" si="34"/>
        <v>9.2388600519748371E-2</v>
      </c>
      <c r="V138">
        <v>7.4</v>
      </c>
      <c r="W138">
        <f t="shared" si="32"/>
        <v>-1.04078</v>
      </c>
    </row>
    <row r="139" spans="1:23">
      <c r="A139">
        <v>7.0455088000000003</v>
      </c>
      <c r="B139">
        <v>0.37075999999999998</v>
      </c>
      <c r="C139">
        <f t="shared" si="25"/>
        <v>2.6121928426880001</v>
      </c>
      <c r="D139">
        <v>1.6E-2</v>
      </c>
      <c r="E139">
        <v>3.5999999999999999E-3</v>
      </c>
      <c r="F139">
        <f t="shared" si="26"/>
        <v>1409.10176</v>
      </c>
      <c r="G139">
        <f t="shared" si="27"/>
        <v>-0.37075999999999998</v>
      </c>
      <c r="H139">
        <f t="shared" si="28"/>
        <v>-522.43856853760008</v>
      </c>
      <c r="I139">
        <v>1</v>
      </c>
      <c r="J139">
        <f t="shared" si="29"/>
        <v>0.34295245174234185</v>
      </c>
      <c r="K139">
        <f t="shared" si="30"/>
        <v>-0.85096515177521748</v>
      </c>
      <c r="L139">
        <v>1</v>
      </c>
      <c r="M139">
        <f t="shared" si="31"/>
        <v>0.61947426136901784</v>
      </c>
      <c r="N139">
        <f t="shared" si="35"/>
        <v>0.1127281408</v>
      </c>
      <c r="O139">
        <f t="shared" si="33"/>
        <v>2.5363831680000001E-2</v>
      </c>
      <c r="P139">
        <f t="shared" si="34"/>
        <v>9.3398917926199629E-2</v>
      </c>
      <c r="V139">
        <v>7.5</v>
      </c>
      <c r="W139">
        <f t="shared" si="32"/>
        <v>-1.0467500000000001</v>
      </c>
    </row>
    <row r="140" spans="1:23">
      <c r="A140">
        <v>7.0964268000000006</v>
      </c>
      <c r="B140">
        <v>0.36847000000000002</v>
      </c>
      <c r="C140">
        <f t="shared" si="25"/>
        <v>2.6148203829960002</v>
      </c>
      <c r="D140">
        <v>1.6E-2</v>
      </c>
      <c r="E140">
        <v>3.5999999999999999E-3</v>
      </c>
      <c r="F140">
        <f t="shared" si="26"/>
        <v>1419.2853600000001</v>
      </c>
      <c r="G140">
        <f t="shared" si="27"/>
        <v>-0.36847000000000002</v>
      </c>
      <c r="H140">
        <f t="shared" si="28"/>
        <v>-522.96407659919998</v>
      </c>
      <c r="I140">
        <v>1</v>
      </c>
      <c r="J140">
        <f t="shared" si="29"/>
        <v>0.35015347732588925</v>
      </c>
      <c r="K140">
        <f t="shared" si="30"/>
        <v>-0.85325515177521738</v>
      </c>
      <c r="L140">
        <v>1</v>
      </c>
      <c r="M140">
        <f t="shared" si="31"/>
        <v>0.61990416259635561</v>
      </c>
      <c r="N140">
        <f t="shared" si="35"/>
        <v>0.11354282880000001</v>
      </c>
      <c r="O140">
        <f t="shared" si="33"/>
        <v>2.5547136480000003E-2</v>
      </c>
      <c r="P140">
        <f t="shared" si="34"/>
        <v>9.4261023898861762E-2</v>
      </c>
    </row>
    <row r="141" spans="1:23">
      <c r="A141">
        <v>7.1493817999999996</v>
      </c>
      <c r="B141">
        <v>0.36586000000000002</v>
      </c>
      <c r="C141">
        <f t="shared" si="25"/>
        <v>2.6156728253480002</v>
      </c>
      <c r="D141">
        <v>1.6E-2</v>
      </c>
      <c r="E141">
        <v>3.5999999999999999E-3</v>
      </c>
      <c r="F141">
        <f t="shared" si="26"/>
        <v>1429.87636</v>
      </c>
      <c r="G141">
        <f t="shared" si="27"/>
        <v>-0.36586000000000002</v>
      </c>
      <c r="H141">
        <f t="shared" si="28"/>
        <v>-523.13456506960006</v>
      </c>
      <c r="I141">
        <v>1</v>
      </c>
      <c r="J141">
        <f t="shared" si="29"/>
        <v>0.35758797899534006</v>
      </c>
      <c r="K141">
        <f t="shared" si="30"/>
        <v>-0.85586515177521738</v>
      </c>
      <c r="L141">
        <v>1</v>
      </c>
      <c r="M141">
        <f t="shared" si="31"/>
        <v>0.62034800234602183</v>
      </c>
      <c r="N141">
        <f t="shared" si="35"/>
        <v>0.1143901088</v>
      </c>
      <c r="O141">
        <f t="shared" si="33"/>
        <v>2.5737774479999996E-2</v>
      </c>
      <c r="P141">
        <f t="shared" si="34"/>
        <v>9.5389266149195545E-2</v>
      </c>
    </row>
    <row r="142" spans="1:23">
      <c r="A142">
        <v>7.2013188000000001</v>
      </c>
      <c r="B142">
        <v>0.36347000000000002</v>
      </c>
      <c r="C142">
        <f t="shared" si="25"/>
        <v>2.617463344236</v>
      </c>
      <c r="D142">
        <v>1.6E-2</v>
      </c>
      <c r="E142">
        <v>3.5999999999999999E-3</v>
      </c>
      <c r="F142">
        <f t="shared" si="26"/>
        <v>1440.26376</v>
      </c>
      <c r="G142">
        <f t="shared" si="27"/>
        <v>-0.36347000000000002</v>
      </c>
      <c r="H142">
        <f t="shared" si="28"/>
        <v>-523.49266884719998</v>
      </c>
      <c r="I142">
        <v>1</v>
      </c>
      <c r="J142">
        <f t="shared" si="29"/>
        <v>0.36482626348161024</v>
      </c>
      <c r="K142">
        <f t="shared" si="30"/>
        <v>-0.8582551517752175</v>
      </c>
      <c r="L142">
        <v>1</v>
      </c>
      <c r="M142">
        <f t="shared" si="31"/>
        <v>0.62078012792985215</v>
      </c>
      <c r="N142">
        <f t="shared" si="35"/>
        <v>0.1152211008</v>
      </c>
      <c r="O142">
        <f t="shared" si="33"/>
        <v>2.5924747679999999E-2</v>
      </c>
      <c r="P142">
        <f t="shared" si="34"/>
        <v>9.6329175365365338E-2</v>
      </c>
    </row>
    <row r="143" spans="1:23">
      <c r="A143">
        <v>7.2563109999999993</v>
      </c>
      <c r="B143">
        <v>0.36097000000000001</v>
      </c>
      <c r="C143">
        <f t="shared" si="25"/>
        <v>2.6193105816699997</v>
      </c>
      <c r="D143">
        <v>1.6E-2</v>
      </c>
      <c r="E143">
        <v>3.5999999999999999E-3</v>
      </c>
      <c r="F143">
        <f t="shared" si="26"/>
        <v>1451.2621999999999</v>
      </c>
      <c r="G143">
        <f t="shared" si="27"/>
        <v>-0.36097000000000001</v>
      </c>
      <c r="H143">
        <f t="shared" si="28"/>
        <v>-523.86211633399989</v>
      </c>
      <c r="I143">
        <v>1</v>
      </c>
      <c r="J143">
        <f t="shared" si="29"/>
        <v>0.37243366054071031</v>
      </c>
      <c r="K143">
        <f t="shared" si="30"/>
        <v>-0.86075515177521744</v>
      </c>
      <c r="L143">
        <v>1</v>
      </c>
      <c r="M143">
        <f t="shared" si="31"/>
        <v>0.62123428953428039</v>
      </c>
      <c r="N143">
        <f t="shared" si="35"/>
        <v>0.11610097599999999</v>
      </c>
      <c r="O143">
        <f t="shared" si="33"/>
        <v>2.6122719599999997E-2</v>
      </c>
      <c r="P143">
        <f t="shared" si="34"/>
        <v>9.7297166640937058E-2</v>
      </c>
    </row>
    <row r="144" spans="1:23">
      <c r="A144">
        <v>7.3072284999999999</v>
      </c>
      <c r="B144">
        <v>0.35843000000000003</v>
      </c>
      <c r="C144">
        <f t="shared" si="25"/>
        <v>2.6191299112549999</v>
      </c>
      <c r="D144">
        <v>1.6E-2</v>
      </c>
      <c r="E144">
        <v>3.5999999999999999E-3</v>
      </c>
      <c r="F144">
        <f t="shared" si="26"/>
        <v>1461.4457</v>
      </c>
      <c r="G144">
        <f t="shared" si="27"/>
        <v>-0.35843000000000003</v>
      </c>
      <c r="H144">
        <f t="shared" si="28"/>
        <v>-523.82598225100003</v>
      </c>
      <c r="I144">
        <v>1</v>
      </c>
      <c r="J144">
        <f t="shared" si="29"/>
        <v>0.37942615126964568</v>
      </c>
      <c r="K144">
        <f t="shared" si="30"/>
        <v>-0.86329515177521743</v>
      </c>
      <c r="L144">
        <v>1</v>
      </c>
      <c r="M144">
        <f t="shared" si="31"/>
        <v>0.62165174123079781</v>
      </c>
      <c r="N144">
        <f t="shared" si="35"/>
        <v>0.11691565600000001</v>
      </c>
      <c r="O144">
        <f t="shared" si="33"/>
        <v>2.6306022599999999E-2</v>
      </c>
      <c r="P144">
        <f t="shared" si="34"/>
        <v>9.842173194441961E-2</v>
      </c>
    </row>
    <row r="145" spans="1:16">
      <c r="A145">
        <v>7.3596748000000005</v>
      </c>
      <c r="B145">
        <v>0.35588999999999998</v>
      </c>
      <c r="C145">
        <f t="shared" si="25"/>
        <v>2.6192346645720002</v>
      </c>
      <c r="D145">
        <v>1.6E-2</v>
      </c>
      <c r="E145">
        <v>3.5999999999999999E-3</v>
      </c>
      <c r="F145">
        <f t="shared" si="26"/>
        <v>1471.93496</v>
      </c>
      <c r="G145">
        <f t="shared" ref="G145:G187" si="36">-B145</f>
        <v>-0.35588999999999998</v>
      </c>
      <c r="H145">
        <f t="shared" si="28"/>
        <v>-523.84693291439999</v>
      </c>
      <c r="I145">
        <v>1</v>
      </c>
      <c r="J145">
        <f t="shared" si="29"/>
        <v>0.38657783454789957</v>
      </c>
      <c r="K145">
        <f t="shared" si="30"/>
        <v>-0.86583515177521742</v>
      </c>
      <c r="L145">
        <v>1</v>
      </c>
      <c r="M145">
        <f t="shared" si="31"/>
        <v>0.62207869672250959</v>
      </c>
      <c r="N145">
        <f t="shared" ref="N145:N187" si="37">D145*A145</f>
        <v>0.11775479680000001</v>
      </c>
      <c r="O145">
        <f t="shared" ref="O145:O187" si="38">E145*A145</f>
        <v>2.649482928E-2</v>
      </c>
      <c r="P145">
        <f t="shared" ref="P145:P187" si="39">-K145-M145-N145-O145</f>
        <v>9.9506828972707823E-2</v>
      </c>
    </row>
    <row r="146" spans="1:16">
      <c r="A146">
        <v>7.4126293999999993</v>
      </c>
      <c r="B146">
        <v>0.35355999999999999</v>
      </c>
      <c r="C146">
        <f t="shared" si="25"/>
        <v>2.6208092506639997</v>
      </c>
      <c r="D146">
        <v>1.6E-2</v>
      </c>
      <c r="E146">
        <v>3.5999999999999999E-3</v>
      </c>
      <c r="F146">
        <f t="shared" si="26"/>
        <v>1482.5258799999999</v>
      </c>
      <c r="G146">
        <f t="shared" si="36"/>
        <v>-0.35355999999999999</v>
      </c>
      <c r="H146">
        <f t="shared" si="28"/>
        <v>-524.16185013279994</v>
      </c>
      <c r="I146">
        <v>1</v>
      </c>
      <c r="J146">
        <f t="shared" si="29"/>
        <v>0.39374730873568542</v>
      </c>
      <c r="K146">
        <f t="shared" si="30"/>
        <v>-0.86816515177521747</v>
      </c>
      <c r="L146">
        <v>1</v>
      </c>
      <c r="M146">
        <f t="shared" si="31"/>
        <v>0.62250671433152038</v>
      </c>
      <c r="N146">
        <f t="shared" si="37"/>
        <v>0.1186020704</v>
      </c>
      <c r="O146">
        <f t="shared" si="38"/>
        <v>2.6685465839999995E-2</v>
      </c>
      <c r="P146">
        <f t="shared" si="39"/>
        <v>0.10037090120369711</v>
      </c>
    </row>
    <row r="147" spans="1:16">
      <c r="A147">
        <v>7.4635479</v>
      </c>
      <c r="B147">
        <v>0.35085</v>
      </c>
      <c r="C147">
        <f t="shared" si="25"/>
        <v>2.6185857807150001</v>
      </c>
      <c r="D147">
        <v>1.6E-2</v>
      </c>
      <c r="E147">
        <v>3.5999999999999999E-3</v>
      </c>
      <c r="F147">
        <f t="shared" si="26"/>
        <v>1492.70958</v>
      </c>
      <c r="G147">
        <f t="shared" si="36"/>
        <v>-0.35085</v>
      </c>
      <c r="H147">
        <f t="shared" si="28"/>
        <v>-523.71715614300001</v>
      </c>
      <c r="I147">
        <v>1</v>
      </c>
      <c r="J147">
        <f t="shared" si="29"/>
        <v>0.40059297853691106</v>
      </c>
      <c r="K147">
        <f t="shared" si="30"/>
        <v>-0.87087515177521746</v>
      </c>
      <c r="L147">
        <v>1</v>
      </c>
      <c r="M147">
        <f t="shared" si="31"/>
        <v>0.6229154008186536</v>
      </c>
      <c r="N147">
        <f t="shared" si="37"/>
        <v>0.1194167664</v>
      </c>
      <c r="O147">
        <f t="shared" si="38"/>
        <v>2.6868772440000001E-2</v>
      </c>
      <c r="P147">
        <f t="shared" si="39"/>
        <v>0.10167421211656388</v>
      </c>
    </row>
    <row r="148" spans="1:16">
      <c r="A148">
        <v>7.5180308</v>
      </c>
      <c r="B148">
        <v>0.34842000000000001</v>
      </c>
      <c r="C148">
        <f t="shared" si="25"/>
        <v>2.619432291336</v>
      </c>
      <c r="D148">
        <v>1.6E-2</v>
      </c>
      <c r="E148">
        <v>3.5999999999999999E-3</v>
      </c>
      <c r="F148">
        <f t="shared" si="26"/>
        <v>1503.60616</v>
      </c>
      <c r="G148">
        <f t="shared" si="36"/>
        <v>-0.34842000000000001</v>
      </c>
      <c r="H148">
        <f t="shared" si="28"/>
        <v>-523.88645826719994</v>
      </c>
      <c r="I148">
        <v>1</v>
      </c>
      <c r="J148">
        <f t="shared" si="29"/>
        <v>0.4078663295337584</v>
      </c>
      <c r="K148">
        <f t="shared" si="30"/>
        <v>-0.8733051517752175</v>
      </c>
      <c r="L148">
        <v>1</v>
      </c>
      <c r="M148">
        <f t="shared" si="31"/>
        <v>0.62334961987316539</v>
      </c>
      <c r="N148">
        <f t="shared" si="37"/>
        <v>0.12028849280000001</v>
      </c>
      <c r="O148">
        <f t="shared" si="38"/>
        <v>2.7064910880000001E-2</v>
      </c>
      <c r="P148">
        <f t="shared" si="39"/>
        <v>0.1026021282220521</v>
      </c>
    </row>
    <row r="149" spans="1:16">
      <c r="A149">
        <v>7.5699672999999992</v>
      </c>
      <c r="B149">
        <v>0.34538999999999997</v>
      </c>
      <c r="C149">
        <f t="shared" si="25"/>
        <v>2.6145910057469997</v>
      </c>
      <c r="D149">
        <v>1.6E-2</v>
      </c>
      <c r="E149">
        <v>3.5999999999999999E-3</v>
      </c>
      <c r="F149">
        <f t="shared" si="26"/>
        <v>1513.9934599999999</v>
      </c>
      <c r="G149">
        <f t="shared" si="36"/>
        <v>-0.34538999999999997</v>
      </c>
      <c r="H149">
        <f t="shared" si="28"/>
        <v>-522.91820114939992</v>
      </c>
      <c r="I149">
        <v>1</v>
      </c>
      <c r="J149">
        <f t="shared" si="29"/>
        <v>0.41475083532296814</v>
      </c>
      <c r="K149">
        <f t="shared" si="30"/>
        <v>-0.87633515177521748</v>
      </c>
      <c r="L149">
        <v>1</v>
      </c>
      <c r="M149">
        <f t="shared" si="31"/>
        <v>0.62376062486878114</v>
      </c>
      <c r="N149">
        <f t="shared" si="37"/>
        <v>0.12111947679999999</v>
      </c>
      <c r="O149">
        <f t="shared" si="38"/>
        <v>2.7251882279999997E-2</v>
      </c>
      <c r="P149">
        <f t="shared" si="39"/>
        <v>0.10420316782643635</v>
      </c>
    </row>
    <row r="150" spans="1:16">
      <c r="A150">
        <v>7.6203760000000003</v>
      </c>
      <c r="B150">
        <v>0.34305999999999998</v>
      </c>
      <c r="C150">
        <f t="shared" si="25"/>
        <v>2.6142461905599998</v>
      </c>
      <c r="D150">
        <v>1.6E-2</v>
      </c>
      <c r="E150">
        <v>3.5999999999999999E-3</v>
      </c>
      <c r="F150">
        <f t="shared" si="26"/>
        <v>1524.0752</v>
      </c>
      <c r="G150">
        <f t="shared" si="36"/>
        <v>-0.34305999999999998</v>
      </c>
      <c r="H150">
        <f t="shared" si="28"/>
        <v>-522.84923811199997</v>
      </c>
      <c r="I150">
        <v>1</v>
      </c>
      <c r="J150">
        <f t="shared" si="29"/>
        <v>0.42138779987910868</v>
      </c>
      <c r="K150">
        <f t="shared" si="30"/>
        <v>-0.87866515177521753</v>
      </c>
      <c r="L150">
        <v>1</v>
      </c>
      <c r="M150">
        <f t="shared" si="31"/>
        <v>0.62415685165278278</v>
      </c>
      <c r="N150">
        <f t="shared" si="37"/>
        <v>0.12192601600000001</v>
      </c>
      <c r="O150">
        <f t="shared" si="38"/>
        <v>2.7433353600000002E-2</v>
      </c>
      <c r="P150">
        <f t="shared" si="39"/>
        <v>0.10514893052243472</v>
      </c>
    </row>
    <row r="151" spans="1:16">
      <c r="A151">
        <v>7.6723129999999999</v>
      </c>
      <c r="B151">
        <v>0.34045999999999998</v>
      </c>
      <c r="C151">
        <f t="shared" si="25"/>
        <v>2.6121156839799999</v>
      </c>
      <c r="D151">
        <v>1.6E-2</v>
      </c>
      <c r="E151">
        <v>3.5999999999999999E-3</v>
      </c>
      <c r="F151">
        <f t="shared" si="26"/>
        <v>1534.4626000000001</v>
      </c>
      <c r="G151">
        <f t="shared" si="36"/>
        <v>-0.34045999999999998</v>
      </c>
      <c r="H151">
        <f t="shared" si="28"/>
        <v>-522.42313679599999</v>
      </c>
      <c r="I151">
        <v>1</v>
      </c>
      <c r="J151">
        <f t="shared" si="29"/>
        <v>0.42818022202077671</v>
      </c>
      <c r="K151">
        <f t="shared" si="30"/>
        <v>-0.88126515177521747</v>
      </c>
      <c r="L151">
        <v>1</v>
      </c>
      <c r="M151">
        <f t="shared" si="31"/>
        <v>0.62456235925464032</v>
      </c>
      <c r="N151">
        <f t="shared" si="37"/>
        <v>0.122757008</v>
      </c>
      <c r="O151">
        <f t="shared" si="38"/>
        <v>2.7620326799999997E-2</v>
      </c>
      <c r="P151">
        <f t="shared" si="39"/>
        <v>0.10632545772057715</v>
      </c>
    </row>
    <row r="152" spans="1:16">
      <c r="A152">
        <v>7.7242495</v>
      </c>
      <c r="B152">
        <v>0.33801999999999999</v>
      </c>
      <c r="C152">
        <f t="shared" si="25"/>
        <v>2.6109508159899999</v>
      </c>
      <c r="D152">
        <v>1.6E-2</v>
      </c>
      <c r="E152">
        <v>3.5999999999999999E-3</v>
      </c>
      <c r="F152">
        <f t="shared" si="26"/>
        <v>1544.8498999999999</v>
      </c>
      <c r="G152">
        <f t="shared" si="36"/>
        <v>-0.33801999999999999</v>
      </c>
      <c r="H152">
        <f t="shared" si="28"/>
        <v>-522.19016319799994</v>
      </c>
      <c r="I152">
        <v>1</v>
      </c>
      <c r="J152">
        <f t="shared" si="29"/>
        <v>0.43492675352657761</v>
      </c>
      <c r="K152">
        <f t="shared" si="30"/>
        <v>-0.88370515177521747</v>
      </c>
      <c r="L152">
        <v>1</v>
      </c>
      <c r="M152">
        <f t="shared" si="31"/>
        <v>0.62496512718553665</v>
      </c>
      <c r="N152">
        <f t="shared" si="37"/>
        <v>0.12358799200000001</v>
      </c>
      <c r="O152">
        <f t="shared" si="38"/>
        <v>2.78072982E-2</v>
      </c>
      <c r="P152">
        <f t="shared" si="39"/>
        <v>0.10734473438968081</v>
      </c>
    </row>
    <row r="153" spans="1:16">
      <c r="A153">
        <v>7.7756777000000001</v>
      </c>
      <c r="B153">
        <v>0.33551999999999998</v>
      </c>
      <c r="C153">
        <f t="shared" si="25"/>
        <v>2.6088953819039999</v>
      </c>
      <c r="D153">
        <v>1.6E-2</v>
      </c>
      <c r="E153">
        <v>3.5999999999999999E-3</v>
      </c>
      <c r="F153">
        <f t="shared" si="26"/>
        <v>1555.13554</v>
      </c>
      <c r="G153">
        <f t="shared" si="36"/>
        <v>-0.33551999999999998</v>
      </c>
      <c r="H153">
        <f t="shared" si="28"/>
        <v>-521.77907638080001</v>
      </c>
      <c r="I153">
        <v>1</v>
      </c>
      <c r="J153">
        <f t="shared" si="29"/>
        <v>0.44156270581977614</v>
      </c>
      <c r="K153">
        <f t="shared" si="30"/>
        <v>-0.88620515177521741</v>
      </c>
      <c r="L153">
        <v>1</v>
      </c>
      <c r="M153">
        <f t="shared" si="31"/>
        <v>0.62536129353744063</v>
      </c>
      <c r="N153">
        <f t="shared" si="37"/>
        <v>0.12441084320000001</v>
      </c>
      <c r="O153">
        <f t="shared" si="38"/>
        <v>2.7992439719999998E-2</v>
      </c>
      <c r="P153">
        <f t="shared" si="39"/>
        <v>0.10844057531777677</v>
      </c>
    </row>
    <row r="154" spans="1:16">
      <c r="A154">
        <v>7.8265957000000004</v>
      </c>
      <c r="B154">
        <v>0.33298</v>
      </c>
      <c r="C154">
        <f t="shared" si="25"/>
        <v>2.6060998361859999</v>
      </c>
      <c r="D154">
        <v>1.6E-2</v>
      </c>
      <c r="E154">
        <v>3.5999999999999999E-3</v>
      </c>
      <c r="F154">
        <f t="shared" si="26"/>
        <v>1565.3191400000001</v>
      </c>
      <c r="G154">
        <f t="shared" si="36"/>
        <v>-0.33298</v>
      </c>
      <c r="H154">
        <f t="shared" si="28"/>
        <v>-521.21996723719997</v>
      </c>
      <c r="I154">
        <v>1</v>
      </c>
      <c r="J154">
        <f t="shared" si="29"/>
        <v>0.44808972652526585</v>
      </c>
      <c r="K154">
        <f t="shared" si="30"/>
        <v>-0.8887451517752174</v>
      </c>
      <c r="L154">
        <v>1</v>
      </c>
      <c r="M154">
        <f t="shared" si="31"/>
        <v>0.6257509566735584</v>
      </c>
      <c r="N154">
        <f t="shared" si="37"/>
        <v>0.12522553120000002</v>
      </c>
      <c r="O154">
        <f t="shared" si="38"/>
        <v>2.817574452E-2</v>
      </c>
      <c r="P154">
        <f t="shared" si="39"/>
        <v>0.10959291938165898</v>
      </c>
    </row>
    <row r="155" spans="1:16">
      <c r="A155">
        <v>7.8775142000000002</v>
      </c>
      <c r="B155">
        <v>0.33045999999999998</v>
      </c>
      <c r="C155">
        <f t="shared" si="25"/>
        <v>2.6032033425319998</v>
      </c>
      <c r="D155">
        <v>1.6E-2</v>
      </c>
      <c r="E155">
        <v>3.5999999999999999E-3</v>
      </c>
      <c r="F155">
        <f t="shared" si="26"/>
        <v>1575.5028400000001</v>
      </c>
      <c r="G155">
        <f t="shared" si="36"/>
        <v>-0.33045999999999998</v>
      </c>
      <c r="H155">
        <f t="shared" si="28"/>
        <v>-520.64066850639995</v>
      </c>
      <c r="I155">
        <v>1</v>
      </c>
      <c r="J155">
        <f t="shared" si="29"/>
        <v>0.45457448481591611</v>
      </c>
      <c r="K155">
        <f t="shared" si="30"/>
        <v>-0.89126515177521748</v>
      </c>
      <c r="L155">
        <v>1</v>
      </c>
      <c r="M155">
        <f t="shared" si="31"/>
        <v>0.62613809674351018</v>
      </c>
      <c r="N155">
        <f t="shared" si="37"/>
        <v>0.12604022719999999</v>
      </c>
      <c r="O155">
        <f t="shared" si="38"/>
        <v>2.8359051119999999E-2</v>
      </c>
      <c r="P155">
        <f t="shared" si="39"/>
        <v>0.1107277767117073</v>
      </c>
    </row>
    <row r="156" spans="1:16">
      <c r="A156">
        <v>7.9289414000000003</v>
      </c>
      <c r="B156">
        <v>0.32788</v>
      </c>
      <c r="C156">
        <f t="shared" si="25"/>
        <v>2.5997413062320001</v>
      </c>
      <c r="D156">
        <v>1.6E-2</v>
      </c>
      <c r="E156">
        <v>3.5999999999999999E-3</v>
      </c>
      <c r="F156">
        <f t="shared" si="26"/>
        <v>1585.78828</v>
      </c>
      <c r="G156">
        <f t="shared" si="36"/>
        <v>-0.32788</v>
      </c>
      <c r="H156">
        <f t="shared" si="28"/>
        <v>-519.94826124639997</v>
      </c>
      <c r="I156">
        <v>1</v>
      </c>
      <c r="J156">
        <f t="shared" si="29"/>
        <v>0.46108162123735136</v>
      </c>
      <c r="K156">
        <f t="shared" si="30"/>
        <v>-0.89384515177521751</v>
      </c>
      <c r="L156">
        <v>1</v>
      </c>
      <c r="M156">
        <f t="shared" si="31"/>
        <v>0.62652657278786983</v>
      </c>
      <c r="N156">
        <f t="shared" si="37"/>
        <v>0.1268630624</v>
      </c>
      <c r="O156">
        <f t="shared" si="38"/>
        <v>2.8544189040000001E-2</v>
      </c>
      <c r="P156">
        <f t="shared" si="39"/>
        <v>0.11191132754734767</v>
      </c>
    </row>
    <row r="157" spans="1:16">
      <c r="A157">
        <v>7.9793501000000004</v>
      </c>
      <c r="B157">
        <v>0.32521</v>
      </c>
      <c r="C157">
        <f t="shared" si="25"/>
        <v>2.5949644460210002</v>
      </c>
      <c r="D157">
        <v>1.6E-2</v>
      </c>
      <c r="E157">
        <v>3.5999999999999999E-3</v>
      </c>
      <c r="F157">
        <f t="shared" si="26"/>
        <v>1595.8700200000001</v>
      </c>
      <c r="G157">
        <f t="shared" si="36"/>
        <v>-0.32521</v>
      </c>
      <c r="H157">
        <f t="shared" si="28"/>
        <v>-518.99288920420008</v>
      </c>
      <c r="I157">
        <v>1</v>
      </c>
      <c r="J157">
        <f t="shared" si="29"/>
        <v>0.46741905460835348</v>
      </c>
      <c r="K157">
        <f t="shared" si="30"/>
        <v>-0.89651515177521746</v>
      </c>
      <c r="L157">
        <v>1</v>
      </c>
      <c r="M157">
        <f t="shared" si="31"/>
        <v>0.62690491756011868</v>
      </c>
      <c r="N157">
        <f t="shared" si="37"/>
        <v>0.12766960160000002</v>
      </c>
      <c r="O157">
        <f t="shared" si="38"/>
        <v>2.8725660360000002E-2</v>
      </c>
      <c r="P157">
        <f t="shared" si="39"/>
        <v>0.11321497225509876</v>
      </c>
    </row>
    <row r="158" spans="1:16">
      <c r="A158">
        <v>8.0338340000000006</v>
      </c>
      <c r="B158">
        <v>0.32223000000000002</v>
      </c>
      <c r="C158">
        <f t="shared" si="25"/>
        <v>2.5887423298200005</v>
      </c>
      <c r="D158">
        <v>1.6E-2</v>
      </c>
      <c r="E158">
        <v>3.5999999999999999E-3</v>
      </c>
      <c r="F158">
        <f t="shared" si="26"/>
        <v>1606.7668000000001</v>
      </c>
      <c r="G158">
        <f t="shared" si="36"/>
        <v>-0.32223000000000002</v>
      </c>
      <c r="H158">
        <f t="shared" si="28"/>
        <v>-517.74846596400016</v>
      </c>
      <c r="I158">
        <v>1</v>
      </c>
      <c r="J158">
        <f t="shared" si="29"/>
        <v>0.47422396110381354</v>
      </c>
      <c r="K158">
        <f t="shared" si="30"/>
        <v>-0.89949515177521744</v>
      </c>
      <c r="L158">
        <v>1</v>
      </c>
      <c r="M158">
        <f t="shared" si="31"/>
        <v>0.62731117047789764</v>
      </c>
      <c r="N158">
        <f t="shared" si="37"/>
        <v>0.128541344</v>
      </c>
      <c r="O158">
        <f t="shared" si="38"/>
        <v>2.8921802400000002E-2</v>
      </c>
      <c r="P158">
        <f t="shared" si="39"/>
        <v>0.1147208348973198</v>
      </c>
    </row>
    <row r="159" spans="1:16">
      <c r="A159">
        <v>8.0883158999999996</v>
      </c>
      <c r="B159">
        <v>0.31974999999999998</v>
      </c>
      <c r="C159">
        <f t="shared" si="25"/>
        <v>2.5862390090249998</v>
      </c>
      <c r="D159">
        <v>1.6E-2</v>
      </c>
      <c r="E159">
        <v>3.5999999999999999E-3</v>
      </c>
      <c r="F159">
        <f t="shared" si="26"/>
        <v>1617.66318</v>
      </c>
      <c r="G159">
        <f t="shared" si="36"/>
        <v>-0.31974999999999998</v>
      </c>
      <c r="H159">
        <f t="shared" si="28"/>
        <v>-517.24780180499999</v>
      </c>
      <c r="I159">
        <v>1</v>
      </c>
      <c r="J159">
        <f t="shared" si="29"/>
        <v>0.48098262638483297</v>
      </c>
      <c r="K159">
        <f t="shared" si="30"/>
        <v>-0.90197515177521748</v>
      </c>
      <c r="L159">
        <v>1</v>
      </c>
      <c r="M159">
        <f t="shared" si="31"/>
        <v>0.62771466279517452</v>
      </c>
      <c r="N159">
        <f t="shared" si="37"/>
        <v>0.1294130544</v>
      </c>
      <c r="O159">
        <f t="shared" si="38"/>
        <v>2.9117937239999999E-2</v>
      </c>
      <c r="P159">
        <f t="shared" si="39"/>
        <v>0.11572949734004295</v>
      </c>
    </row>
    <row r="160" spans="1:16">
      <c r="A160">
        <v>8.1387245999999998</v>
      </c>
      <c r="B160">
        <v>0.31697999999999998</v>
      </c>
      <c r="C160">
        <f t="shared" si="25"/>
        <v>2.5798129237079999</v>
      </c>
      <c r="D160">
        <v>1.6E-2</v>
      </c>
      <c r="E160">
        <v>3.5999999999999999E-3</v>
      </c>
      <c r="F160">
        <f t="shared" si="26"/>
        <v>1627.7449199999999</v>
      </c>
      <c r="G160">
        <f t="shared" si="36"/>
        <v>-0.31697999999999998</v>
      </c>
      <c r="H160">
        <f t="shared" si="28"/>
        <v>-515.96258474159993</v>
      </c>
      <c r="I160">
        <v>1</v>
      </c>
      <c r="J160">
        <f t="shared" si="29"/>
        <v>0.48719557225759452</v>
      </c>
      <c r="K160">
        <f t="shared" si="30"/>
        <v>-0.90474515177521742</v>
      </c>
      <c r="L160">
        <v>1</v>
      </c>
      <c r="M160">
        <f t="shared" si="31"/>
        <v>0.62808557566377843</v>
      </c>
      <c r="N160">
        <f t="shared" si="37"/>
        <v>0.13021959359999999</v>
      </c>
      <c r="O160">
        <f t="shared" si="38"/>
        <v>2.9299408559999997E-2</v>
      </c>
      <c r="P160">
        <f t="shared" si="39"/>
        <v>0.11714057395143901</v>
      </c>
    </row>
    <row r="161" spans="1:16">
      <c r="A161">
        <v>8.1891342999999992</v>
      </c>
      <c r="B161">
        <v>0.31411</v>
      </c>
      <c r="C161">
        <f t="shared" si="25"/>
        <v>2.5722889749729996</v>
      </c>
      <c r="D161">
        <v>1.6E-2</v>
      </c>
      <c r="E161">
        <v>3.5999999999999999E-3</v>
      </c>
      <c r="F161">
        <f t="shared" si="26"/>
        <v>1637.8268599999999</v>
      </c>
      <c r="G161">
        <f t="shared" si="36"/>
        <v>-0.31411</v>
      </c>
      <c r="H161">
        <f t="shared" si="28"/>
        <v>-514.45779499459991</v>
      </c>
      <c r="I161">
        <v>1</v>
      </c>
      <c r="J161">
        <f t="shared" si="29"/>
        <v>0.49337027776831743</v>
      </c>
      <c r="K161">
        <f t="shared" si="30"/>
        <v>-0.90761515177521745</v>
      </c>
      <c r="L161">
        <v>1</v>
      </c>
      <c r="M161">
        <f t="shared" si="31"/>
        <v>0.62845420558276854</v>
      </c>
      <c r="N161">
        <f t="shared" si="37"/>
        <v>0.13102614879999999</v>
      </c>
      <c r="O161">
        <f t="shared" si="38"/>
        <v>2.9480883479999997E-2</v>
      </c>
      <c r="P161">
        <f t="shared" si="39"/>
        <v>0.11865391391244892</v>
      </c>
    </row>
    <row r="162" spans="1:16">
      <c r="A162">
        <v>8.2395429999999994</v>
      </c>
      <c r="B162">
        <v>0.31175000000000003</v>
      </c>
      <c r="C162">
        <f t="shared" si="25"/>
        <v>2.56867753025</v>
      </c>
      <c r="D162">
        <v>1.6E-2</v>
      </c>
      <c r="E162">
        <v>3.5999999999999999E-3</v>
      </c>
      <c r="F162">
        <f t="shared" si="26"/>
        <v>1647.9086</v>
      </c>
      <c r="G162">
        <f t="shared" si="36"/>
        <v>-0.31175000000000003</v>
      </c>
      <c r="H162">
        <f t="shared" si="28"/>
        <v>-513.73550605000003</v>
      </c>
      <c r="I162">
        <v>1</v>
      </c>
      <c r="J162">
        <f t="shared" si="29"/>
        <v>0.49950696878420414</v>
      </c>
      <c r="K162">
        <f t="shared" si="30"/>
        <v>-0.90997515177521748</v>
      </c>
      <c r="L162">
        <v>1</v>
      </c>
      <c r="M162">
        <f t="shared" si="31"/>
        <v>0.62882056603641701</v>
      </c>
      <c r="N162">
        <f t="shared" si="37"/>
        <v>0.131832688</v>
      </c>
      <c r="O162">
        <f t="shared" si="38"/>
        <v>2.9662354799999999E-2</v>
      </c>
      <c r="P162">
        <f t="shared" si="39"/>
        <v>0.11965954293880048</v>
      </c>
    </row>
    <row r="163" spans="1:16">
      <c r="A163">
        <v>8.2899531</v>
      </c>
      <c r="B163">
        <v>0.309</v>
      </c>
      <c r="C163">
        <f t="shared" si="25"/>
        <v>2.5615955078999999</v>
      </c>
      <c r="D163">
        <v>1.6E-2</v>
      </c>
      <c r="E163">
        <v>3.5999999999999999E-3</v>
      </c>
      <c r="F163">
        <f t="shared" si="26"/>
        <v>1657.99062</v>
      </c>
      <c r="G163">
        <f t="shared" si="36"/>
        <v>-0.309</v>
      </c>
      <c r="H163">
        <f t="shared" si="28"/>
        <v>-512.31910157999994</v>
      </c>
      <c r="I163">
        <v>1</v>
      </c>
      <c r="J163">
        <f t="shared" si="29"/>
        <v>0.50560639927852347</v>
      </c>
      <c r="K163">
        <f t="shared" si="30"/>
        <v>-0.91272515177521751</v>
      </c>
      <c r="L163">
        <v>1</v>
      </c>
      <c r="M163">
        <f t="shared" si="31"/>
        <v>0.62918470203692778</v>
      </c>
      <c r="N163">
        <f t="shared" si="37"/>
        <v>0.13263924960000001</v>
      </c>
      <c r="O163">
        <f t="shared" si="38"/>
        <v>2.9843831160000001E-2</v>
      </c>
      <c r="P163">
        <f t="shared" si="39"/>
        <v>0.12105736897828973</v>
      </c>
    </row>
    <row r="164" spans="1:16">
      <c r="A164">
        <v>8.3434169999999988</v>
      </c>
      <c r="B164">
        <v>0.30620999999999998</v>
      </c>
      <c r="C164">
        <f t="shared" si="25"/>
        <v>2.5548377195699996</v>
      </c>
      <c r="D164">
        <v>1.6E-2</v>
      </c>
      <c r="E164">
        <v>3.5999999999999999E-3</v>
      </c>
      <c r="F164">
        <f t="shared" si="26"/>
        <v>1668.6833999999997</v>
      </c>
      <c r="G164">
        <f t="shared" si="36"/>
        <v>-0.30620999999999998</v>
      </c>
      <c r="H164">
        <f t="shared" si="28"/>
        <v>-510.96754391399992</v>
      </c>
      <c r="I164">
        <v>1</v>
      </c>
      <c r="J164">
        <f t="shared" si="29"/>
        <v>0.51203493225763319</v>
      </c>
      <c r="K164">
        <f t="shared" si="30"/>
        <v>-0.91551515177521747</v>
      </c>
      <c r="L164">
        <v>1</v>
      </c>
      <c r="M164">
        <f t="shared" si="31"/>
        <v>0.6295684854557807</v>
      </c>
      <c r="N164">
        <f t="shared" si="37"/>
        <v>0.13349467199999998</v>
      </c>
      <c r="O164">
        <f t="shared" si="38"/>
        <v>3.0036301199999994E-2</v>
      </c>
      <c r="P164">
        <f t="shared" si="39"/>
        <v>0.1224156931194368</v>
      </c>
    </row>
    <row r="165" spans="1:16">
      <c r="A165">
        <v>8.3938261999999995</v>
      </c>
      <c r="B165">
        <v>0.30320999999999998</v>
      </c>
      <c r="C165">
        <f t="shared" si="25"/>
        <v>2.5450920421019996</v>
      </c>
      <c r="D165">
        <v>1.6E-2</v>
      </c>
      <c r="E165">
        <v>3.5999999999999999E-3</v>
      </c>
      <c r="F165">
        <f t="shared" si="26"/>
        <v>1678.7652399999999</v>
      </c>
      <c r="G165">
        <f t="shared" si="36"/>
        <v>-0.30320999999999998</v>
      </c>
      <c r="H165">
        <f t="shared" si="28"/>
        <v>-509.01840842039991</v>
      </c>
      <c r="I165">
        <v>1</v>
      </c>
      <c r="J165">
        <f t="shared" si="29"/>
        <v>0.51805854699727583</v>
      </c>
      <c r="K165">
        <f t="shared" si="30"/>
        <v>-0.91851515177521748</v>
      </c>
      <c r="L165">
        <v>1</v>
      </c>
      <c r="M165">
        <f t="shared" si="31"/>
        <v>0.62992809525573734</v>
      </c>
      <c r="N165">
        <f t="shared" si="37"/>
        <v>0.13430121919999999</v>
      </c>
      <c r="O165">
        <f t="shared" si="38"/>
        <v>3.0217774319999998E-2</v>
      </c>
      <c r="P165">
        <f t="shared" si="39"/>
        <v>0.12406806299948014</v>
      </c>
    </row>
    <row r="166" spans="1:16">
      <c r="A166">
        <v>8.4462724999999992</v>
      </c>
      <c r="B166">
        <v>0.30009999999999998</v>
      </c>
      <c r="C166">
        <f t="shared" si="25"/>
        <v>2.5347263772499997</v>
      </c>
      <c r="D166">
        <v>1.6E-2</v>
      </c>
      <c r="E166">
        <v>3.5999999999999999E-3</v>
      </c>
      <c r="F166">
        <f t="shared" si="26"/>
        <v>1689.2544999999998</v>
      </c>
      <c r="G166">
        <f t="shared" si="36"/>
        <v>-0.30009999999999998</v>
      </c>
      <c r="H166">
        <f t="shared" si="28"/>
        <v>-506.94527544999994</v>
      </c>
      <c r="I166">
        <v>1</v>
      </c>
      <c r="J166">
        <f t="shared" si="29"/>
        <v>0.52428730735069817</v>
      </c>
      <c r="K166">
        <f t="shared" si="30"/>
        <v>-0.92162515177521742</v>
      </c>
      <c r="L166">
        <v>1</v>
      </c>
      <c r="M166">
        <f t="shared" si="31"/>
        <v>0.63029995224883661</v>
      </c>
      <c r="N166">
        <f t="shared" si="37"/>
        <v>0.13514035999999999</v>
      </c>
      <c r="O166">
        <f t="shared" si="38"/>
        <v>3.0406580999999995E-2</v>
      </c>
      <c r="P166">
        <f t="shared" si="39"/>
        <v>0.12577825852638083</v>
      </c>
    </row>
    <row r="167" spans="1:16">
      <c r="A167">
        <v>8.4987188000000007</v>
      </c>
      <c r="B167">
        <v>0.29768</v>
      </c>
      <c r="C167">
        <f t="shared" si="25"/>
        <v>2.5298986123840002</v>
      </c>
      <c r="D167">
        <v>1.6E-2</v>
      </c>
      <c r="E167">
        <v>3.5999999999999999E-3</v>
      </c>
      <c r="F167">
        <f t="shared" si="26"/>
        <v>1699.7437600000001</v>
      </c>
      <c r="G167">
        <f t="shared" si="36"/>
        <v>-0.29768</v>
      </c>
      <c r="H167">
        <f t="shared" si="28"/>
        <v>-505.97972247680002</v>
      </c>
      <c r="I167">
        <v>1</v>
      </c>
      <c r="J167">
        <f t="shared" si="29"/>
        <v>0.53047751028958634</v>
      </c>
      <c r="K167">
        <f t="shared" si="30"/>
        <v>-0.92404515177521751</v>
      </c>
      <c r="L167">
        <v>1</v>
      </c>
      <c r="M167">
        <f t="shared" si="31"/>
        <v>0.63066950736428828</v>
      </c>
      <c r="N167">
        <f t="shared" si="37"/>
        <v>0.13597950080000001</v>
      </c>
      <c r="O167">
        <f t="shared" si="38"/>
        <v>3.0595387680000002E-2</v>
      </c>
      <c r="P167">
        <f t="shared" si="39"/>
        <v>0.12680075593092921</v>
      </c>
    </row>
    <row r="168" spans="1:16">
      <c r="A168">
        <v>8.5516728999999998</v>
      </c>
      <c r="B168">
        <v>0.29485</v>
      </c>
      <c r="C168">
        <f t="shared" si="25"/>
        <v>2.5214607545650001</v>
      </c>
      <c r="D168">
        <v>1.6E-2</v>
      </c>
      <c r="E168">
        <v>3.5999999999999999E-3</v>
      </c>
      <c r="F168">
        <f t="shared" si="26"/>
        <v>1710.33458</v>
      </c>
      <c r="G168">
        <f t="shared" si="36"/>
        <v>-0.29485</v>
      </c>
      <c r="H168">
        <f t="shared" si="28"/>
        <v>-504.292150913</v>
      </c>
      <c r="I168">
        <v>1</v>
      </c>
      <c r="J168">
        <f t="shared" si="29"/>
        <v>0.5366890121942004</v>
      </c>
      <c r="K168">
        <f t="shared" si="30"/>
        <v>-0.9268751517752174</v>
      </c>
      <c r="L168">
        <v>1</v>
      </c>
      <c r="M168">
        <f t="shared" si="31"/>
        <v>0.63104033402799375</v>
      </c>
      <c r="N168">
        <f t="shared" si="37"/>
        <v>0.13682676639999999</v>
      </c>
      <c r="O168">
        <f t="shared" si="38"/>
        <v>3.0786022439999998E-2</v>
      </c>
      <c r="P168">
        <f t="shared" si="39"/>
        <v>0.12822202890722365</v>
      </c>
    </row>
    <row r="169" spans="1:16">
      <c r="A169">
        <v>8.6056474999999999</v>
      </c>
      <c r="B169">
        <v>0.29191</v>
      </c>
      <c r="C169">
        <f t="shared" si="25"/>
        <v>2.512074561725</v>
      </c>
      <c r="D169">
        <v>1.6E-2</v>
      </c>
      <c r="E169">
        <v>3.5999999999999999E-3</v>
      </c>
      <c r="F169">
        <f t="shared" si="26"/>
        <v>1721.1295</v>
      </c>
      <c r="G169">
        <f t="shared" si="36"/>
        <v>-0.29191</v>
      </c>
      <c r="H169">
        <f t="shared" si="28"/>
        <v>-502.414912345</v>
      </c>
      <c r="I169">
        <v>1</v>
      </c>
      <c r="J169">
        <f t="shared" si="29"/>
        <v>0.54298076134794071</v>
      </c>
      <c r="K169">
        <f t="shared" si="30"/>
        <v>-0.92981515177521745</v>
      </c>
      <c r="L169">
        <v>1</v>
      </c>
      <c r="M169">
        <f t="shared" si="31"/>
        <v>0.63141595145247209</v>
      </c>
      <c r="N169">
        <f t="shared" si="37"/>
        <v>0.13769036000000001</v>
      </c>
      <c r="O169">
        <f t="shared" si="38"/>
        <v>3.0980331E-2</v>
      </c>
      <c r="P169">
        <f t="shared" si="39"/>
        <v>0.12972850932274535</v>
      </c>
    </row>
    <row r="170" spans="1:16">
      <c r="A170">
        <v>8.6560556999999996</v>
      </c>
      <c r="B170">
        <v>0.28908</v>
      </c>
      <c r="C170">
        <f t="shared" si="25"/>
        <v>2.502292581756</v>
      </c>
      <c r="D170">
        <v>1.6E-2</v>
      </c>
      <c r="E170">
        <v>3.5999999999999999E-3</v>
      </c>
      <c r="F170">
        <f t="shared" si="26"/>
        <v>1731.2111399999999</v>
      </c>
      <c r="G170">
        <f t="shared" si="36"/>
        <v>-0.28908</v>
      </c>
      <c r="H170">
        <f t="shared" si="28"/>
        <v>-500.45851635119999</v>
      </c>
      <c r="I170">
        <v>1</v>
      </c>
      <c r="J170">
        <f t="shared" si="29"/>
        <v>0.54882124449220526</v>
      </c>
      <c r="K170">
        <f t="shared" si="30"/>
        <v>-0.93264515177521745</v>
      </c>
      <c r="L170">
        <v>1</v>
      </c>
      <c r="M170">
        <f t="shared" si="31"/>
        <v>0.63176462829618463</v>
      </c>
      <c r="N170">
        <f t="shared" si="37"/>
        <v>0.1384968912</v>
      </c>
      <c r="O170">
        <f t="shared" si="38"/>
        <v>3.1161800519999998E-2</v>
      </c>
      <c r="P170">
        <f t="shared" si="39"/>
        <v>0.13122183175903282</v>
      </c>
    </row>
    <row r="171" spans="1:16">
      <c r="A171">
        <v>8.708501</v>
      </c>
      <c r="B171">
        <v>0.28614000000000001</v>
      </c>
      <c r="C171">
        <f t="shared" si="25"/>
        <v>2.4918504761400002</v>
      </c>
      <c r="D171">
        <v>1.6E-2</v>
      </c>
      <c r="E171">
        <v>3.5999999999999999E-3</v>
      </c>
      <c r="F171">
        <f t="shared" si="26"/>
        <v>1741.7002</v>
      </c>
      <c r="G171">
        <f t="shared" si="36"/>
        <v>-0.28614000000000001</v>
      </c>
      <c r="H171">
        <f t="shared" si="28"/>
        <v>-498.37009522800003</v>
      </c>
      <c r="I171">
        <v>1</v>
      </c>
      <c r="J171">
        <f t="shared" si="29"/>
        <v>0.55486176258593378</v>
      </c>
      <c r="K171">
        <f t="shared" si="30"/>
        <v>-0.93558515177521739</v>
      </c>
      <c r="L171">
        <v>1</v>
      </c>
      <c r="M171">
        <f t="shared" si="31"/>
        <v>0.63212524722638019</v>
      </c>
      <c r="N171">
        <f t="shared" si="37"/>
        <v>0.13933601600000001</v>
      </c>
      <c r="O171">
        <f t="shared" si="38"/>
        <v>3.1350603599999999E-2</v>
      </c>
      <c r="P171">
        <f t="shared" si="39"/>
        <v>0.13277328494883719</v>
      </c>
    </row>
    <row r="172" spans="1:16">
      <c r="A172">
        <v>8.759419900000001</v>
      </c>
      <c r="B172">
        <v>0.28322000000000003</v>
      </c>
      <c r="C172">
        <f t="shared" si="25"/>
        <v>2.4808429040780005</v>
      </c>
      <c r="D172">
        <v>1.6E-2</v>
      </c>
      <c r="E172">
        <v>3.5999999999999999E-3</v>
      </c>
      <c r="F172">
        <f t="shared" si="26"/>
        <v>1751.8839800000003</v>
      </c>
      <c r="G172">
        <f t="shared" si="36"/>
        <v>-0.28322000000000003</v>
      </c>
      <c r="H172">
        <f t="shared" si="28"/>
        <v>-496.16858081560008</v>
      </c>
      <c r="I172">
        <v>1</v>
      </c>
      <c r="J172">
        <f t="shared" si="29"/>
        <v>0.56069176886027494</v>
      </c>
      <c r="K172">
        <f t="shared" si="30"/>
        <v>-0.93850515177521743</v>
      </c>
      <c r="L172">
        <v>1</v>
      </c>
      <c r="M172">
        <f t="shared" si="31"/>
        <v>0.63247329860095836</v>
      </c>
      <c r="N172">
        <f t="shared" si="37"/>
        <v>0.14015071840000001</v>
      </c>
      <c r="O172">
        <f t="shared" si="38"/>
        <v>3.1533911640000002E-2</v>
      </c>
      <c r="P172">
        <f t="shared" si="39"/>
        <v>0.13434722313425906</v>
      </c>
    </row>
    <row r="173" spans="1:16">
      <c r="A173">
        <v>8.8103388999999996</v>
      </c>
      <c r="B173">
        <v>0.28050999999999998</v>
      </c>
      <c r="C173">
        <f t="shared" si="25"/>
        <v>2.4713881648389999</v>
      </c>
      <c r="D173">
        <v>1.6E-2</v>
      </c>
      <c r="E173">
        <v>3.5999999999999999E-3</v>
      </c>
      <c r="F173">
        <f t="shared" si="26"/>
        <v>1762.0677799999999</v>
      </c>
      <c r="G173">
        <f t="shared" si="36"/>
        <v>-0.28050999999999998</v>
      </c>
      <c r="H173">
        <f t="shared" si="28"/>
        <v>-494.2776329678</v>
      </c>
      <c r="I173">
        <v>1</v>
      </c>
      <c r="J173">
        <f t="shared" si="29"/>
        <v>0.5664879944245238</v>
      </c>
      <c r="K173">
        <f t="shared" si="30"/>
        <v>-0.94121515177521742</v>
      </c>
      <c r="L173">
        <v>1</v>
      </c>
      <c r="M173">
        <f t="shared" si="31"/>
        <v>0.63281933326714401</v>
      </c>
      <c r="N173">
        <f t="shared" si="37"/>
        <v>0.14096542239999998</v>
      </c>
      <c r="O173">
        <f t="shared" si="38"/>
        <v>3.1717220040000001E-2</v>
      </c>
      <c r="P173">
        <f t="shared" si="39"/>
        <v>0.13571317606807343</v>
      </c>
    </row>
    <row r="174" spans="1:16">
      <c r="A174">
        <v>8.8607479999999992</v>
      </c>
      <c r="B174">
        <v>0.27742</v>
      </c>
      <c r="C174">
        <f t="shared" si="25"/>
        <v>2.4581487101599997</v>
      </c>
      <c r="D174">
        <v>1.6E-2</v>
      </c>
      <c r="E174">
        <v>3.5999999999999999E-3</v>
      </c>
      <c r="F174">
        <f t="shared" si="26"/>
        <v>1772.1495999999997</v>
      </c>
      <c r="G174">
        <f t="shared" si="36"/>
        <v>-0.27742</v>
      </c>
      <c r="H174">
        <f t="shared" si="28"/>
        <v>-491.62974203199997</v>
      </c>
      <c r="I174">
        <v>1</v>
      </c>
      <c r="J174">
        <f t="shared" si="29"/>
        <v>0.57219327299858413</v>
      </c>
      <c r="K174">
        <f t="shared" si="30"/>
        <v>-0.94430515177521746</v>
      </c>
      <c r="L174">
        <v>1</v>
      </c>
      <c r="M174">
        <f t="shared" si="31"/>
        <v>0.63315993839801543</v>
      </c>
      <c r="N174">
        <f t="shared" si="37"/>
        <v>0.141771968</v>
      </c>
      <c r="O174">
        <f t="shared" si="38"/>
        <v>3.1898692799999996E-2</v>
      </c>
      <c r="P174">
        <f t="shared" si="39"/>
        <v>0.13747455257720204</v>
      </c>
    </row>
    <row r="175" spans="1:16">
      <c r="A175">
        <v>8.9147207000000002</v>
      </c>
      <c r="B175">
        <v>0.27467000000000003</v>
      </c>
      <c r="C175">
        <f t="shared" si="25"/>
        <v>2.4486063346690004</v>
      </c>
      <c r="D175">
        <v>1.6E-2</v>
      </c>
      <c r="E175">
        <v>3.5999999999999999E-3</v>
      </c>
      <c r="F175">
        <f t="shared" si="26"/>
        <v>1782.9441400000001</v>
      </c>
      <c r="G175">
        <f t="shared" si="36"/>
        <v>-0.27467000000000003</v>
      </c>
      <c r="H175">
        <f t="shared" si="28"/>
        <v>-489.72126693380005</v>
      </c>
      <c r="I175">
        <v>1</v>
      </c>
      <c r="J175">
        <f t="shared" si="29"/>
        <v>0.57826600916981807</v>
      </c>
      <c r="K175">
        <f t="shared" si="30"/>
        <v>-0.94705515177521749</v>
      </c>
      <c r="L175">
        <v>1</v>
      </c>
      <c r="M175">
        <f t="shared" si="31"/>
        <v>0.63352248074743811</v>
      </c>
      <c r="N175">
        <f t="shared" si="37"/>
        <v>0.1426355312</v>
      </c>
      <c r="O175">
        <f t="shared" si="38"/>
        <v>3.2092994520000001E-2</v>
      </c>
      <c r="P175">
        <f t="shared" si="39"/>
        <v>0.13880414530777938</v>
      </c>
    </row>
    <row r="176" spans="1:16">
      <c r="A176">
        <v>8.9656395999999994</v>
      </c>
      <c r="B176">
        <v>0.27159</v>
      </c>
      <c r="C176">
        <f t="shared" si="25"/>
        <v>2.434978058964</v>
      </c>
      <c r="D176">
        <v>1.6E-2</v>
      </c>
      <c r="E176">
        <v>3.5999999999999999E-3</v>
      </c>
      <c r="F176">
        <f t="shared" si="26"/>
        <v>1793.1279199999999</v>
      </c>
      <c r="G176">
        <f t="shared" si="36"/>
        <v>-0.27159</v>
      </c>
      <c r="H176">
        <f t="shared" si="28"/>
        <v>-486.99561179279999</v>
      </c>
      <c r="I176">
        <v>1</v>
      </c>
      <c r="J176">
        <f t="shared" si="29"/>
        <v>0.58396153619413205</v>
      </c>
      <c r="K176">
        <f t="shared" si="30"/>
        <v>-0.95013515177521746</v>
      </c>
      <c r="L176">
        <v>1</v>
      </c>
      <c r="M176">
        <f t="shared" si="31"/>
        <v>0.63386250371078967</v>
      </c>
      <c r="N176">
        <f t="shared" si="37"/>
        <v>0.1434502336</v>
      </c>
      <c r="O176">
        <f t="shared" si="38"/>
        <v>3.2276302559999998E-2</v>
      </c>
      <c r="P176">
        <f t="shared" si="39"/>
        <v>0.14054611190442778</v>
      </c>
    </row>
    <row r="177" spans="1:16">
      <c r="A177">
        <v>9.0175762000000006</v>
      </c>
      <c r="B177">
        <v>0.26857999999999999</v>
      </c>
      <c r="C177">
        <f t="shared" si="25"/>
        <v>2.4219406157960002</v>
      </c>
      <c r="D177">
        <v>1.6E-2</v>
      </c>
      <c r="E177">
        <v>3.5999999999999999E-3</v>
      </c>
      <c r="F177">
        <f t="shared" si="26"/>
        <v>1803.5152400000002</v>
      </c>
      <c r="G177">
        <f t="shared" si="36"/>
        <v>-0.26857999999999999</v>
      </c>
      <c r="H177">
        <f t="shared" si="28"/>
        <v>-484.38812315920006</v>
      </c>
      <c r="I177">
        <v>1</v>
      </c>
      <c r="J177">
        <f t="shared" si="29"/>
        <v>0.58973767156140655</v>
      </c>
      <c r="K177">
        <f t="shared" si="30"/>
        <v>-0.95314515177521741</v>
      </c>
      <c r="L177">
        <v>1</v>
      </c>
      <c r="M177">
        <f t="shared" si="31"/>
        <v>0.63420733899221593</v>
      </c>
      <c r="N177">
        <f t="shared" si="37"/>
        <v>0.1442812192</v>
      </c>
      <c r="O177">
        <f t="shared" si="38"/>
        <v>3.2463274319999999E-2</v>
      </c>
      <c r="P177">
        <f t="shared" si="39"/>
        <v>0.14219331926300149</v>
      </c>
    </row>
    <row r="178" spans="1:16">
      <c r="A178">
        <v>9.0679853999999995</v>
      </c>
      <c r="B178">
        <v>0.26551999999999998</v>
      </c>
      <c r="C178">
        <f t="shared" si="25"/>
        <v>2.4077314834079995</v>
      </c>
      <c r="D178">
        <v>1.6E-2</v>
      </c>
      <c r="E178">
        <v>3.5999999999999999E-3</v>
      </c>
      <c r="F178">
        <f t="shared" si="26"/>
        <v>1813.59708</v>
      </c>
      <c r="G178">
        <f t="shared" si="36"/>
        <v>-0.26551999999999998</v>
      </c>
      <c r="H178">
        <f t="shared" si="28"/>
        <v>-481.54629668159987</v>
      </c>
      <c r="I178">
        <v>1</v>
      </c>
      <c r="J178">
        <f t="shared" si="29"/>
        <v>0.59531221015254154</v>
      </c>
      <c r="K178">
        <f t="shared" si="30"/>
        <v>-0.95620515177521748</v>
      </c>
      <c r="L178">
        <v>1</v>
      </c>
      <c r="M178">
        <f t="shared" si="31"/>
        <v>0.63454013894610672</v>
      </c>
      <c r="N178">
        <f t="shared" si="37"/>
        <v>0.14508776639999998</v>
      </c>
      <c r="O178">
        <f t="shared" si="38"/>
        <v>3.2644747439999997E-2</v>
      </c>
      <c r="P178">
        <f t="shared" si="39"/>
        <v>0.14393249898911076</v>
      </c>
    </row>
    <row r="179" spans="1:16">
      <c r="A179">
        <v>9.1183945000000008</v>
      </c>
      <c r="B179">
        <v>0.26279000000000002</v>
      </c>
      <c r="C179">
        <f t="shared" si="25"/>
        <v>2.3962228906550003</v>
      </c>
      <c r="D179">
        <v>1.6E-2</v>
      </c>
      <c r="E179">
        <v>3.5999999999999999E-3</v>
      </c>
      <c r="F179">
        <f t="shared" si="26"/>
        <v>1823.6789000000001</v>
      </c>
      <c r="G179">
        <f t="shared" si="36"/>
        <v>-0.26279000000000002</v>
      </c>
      <c r="H179">
        <f t="shared" si="28"/>
        <v>-479.24457813100003</v>
      </c>
      <c r="I179">
        <v>1</v>
      </c>
      <c r="J179">
        <f t="shared" si="29"/>
        <v>0.60085583448832014</v>
      </c>
      <c r="K179">
        <f t="shared" si="30"/>
        <v>-0.95893515177521738</v>
      </c>
      <c r="L179">
        <v>1</v>
      </c>
      <c r="M179">
        <f t="shared" si="31"/>
        <v>0.63487109331895264</v>
      </c>
      <c r="N179">
        <f t="shared" si="37"/>
        <v>0.14589431200000003</v>
      </c>
      <c r="O179">
        <f t="shared" si="38"/>
        <v>3.2826220199999999E-2</v>
      </c>
      <c r="P179">
        <f t="shared" si="39"/>
        <v>0.1453435262562647</v>
      </c>
    </row>
    <row r="180" spans="1:16">
      <c r="A180">
        <v>9.1688036999999998</v>
      </c>
      <c r="B180">
        <v>0.25975999999999999</v>
      </c>
      <c r="C180">
        <f t="shared" si="25"/>
        <v>2.3816884491120001</v>
      </c>
      <c r="D180">
        <v>1.6E-2</v>
      </c>
      <c r="E180">
        <v>3.5999999999999999E-3</v>
      </c>
      <c r="F180">
        <f t="shared" si="26"/>
        <v>1833.7607399999999</v>
      </c>
      <c r="G180">
        <f t="shared" si="36"/>
        <v>-0.25975999999999999</v>
      </c>
      <c r="H180">
        <f t="shared" si="28"/>
        <v>-476.33768982240002</v>
      </c>
      <c r="I180">
        <v>1</v>
      </c>
      <c r="J180">
        <f t="shared" si="29"/>
        <v>0.60636890730861892</v>
      </c>
      <c r="K180">
        <f t="shared" si="30"/>
        <v>-0.96196515177521746</v>
      </c>
      <c r="L180">
        <v>1</v>
      </c>
      <c r="M180">
        <f t="shared" si="31"/>
        <v>0.63520022376632457</v>
      </c>
      <c r="N180">
        <f t="shared" si="37"/>
        <v>0.14670085920000001</v>
      </c>
      <c r="O180">
        <f t="shared" si="38"/>
        <v>3.3007693319999996E-2</v>
      </c>
      <c r="P180">
        <f t="shared" si="39"/>
        <v>0.14705637548889289</v>
      </c>
    </row>
    <row r="181" spans="1:16">
      <c r="A181">
        <v>9.2197217000000009</v>
      </c>
      <c r="B181">
        <v>0.25691000000000003</v>
      </c>
      <c r="C181">
        <f t="shared" si="25"/>
        <v>2.3686387019470003</v>
      </c>
      <c r="D181">
        <v>1.6E-2</v>
      </c>
      <c r="E181">
        <v>3.5999999999999999E-3</v>
      </c>
      <c r="F181">
        <f t="shared" si="26"/>
        <v>1843.9443400000002</v>
      </c>
      <c r="G181">
        <f t="shared" si="36"/>
        <v>-0.25691000000000003</v>
      </c>
      <c r="H181">
        <f t="shared" si="28"/>
        <v>-473.72774038940008</v>
      </c>
      <c r="I181">
        <v>1</v>
      </c>
      <c r="J181">
        <f t="shared" si="29"/>
        <v>0.61190694029706583</v>
      </c>
      <c r="K181">
        <f t="shared" si="30"/>
        <v>-0.96481515177521748</v>
      </c>
      <c r="L181">
        <v>1</v>
      </c>
      <c r="M181">
        <f t="shared" si="31"/>
        <v>0.63553084433573481</v>
      </c>
      <c r="N181">
        <f t="shared" si="37"/>
        <v>0.14751554720000001</v>
      </c>
      <c r="O181">
        <f t="shared" si="38"/>
        <v>3.3190998120000002E-2</v>
      </c>
      <c r="P181">
        <f t="shared" si="39"/>
        <v>0.14857776211948265</v>
      </c>
    </row>
    <row r="182" spans="1:16">
      <c r="A182">
        <v>9.2721680000000006</v>
      </c>
      <c r="B182">
        <v>0.25369000000000003</v>
      </c>
      <c r="C182">
        <f t="shared" si="25"/>
        <v>2.3522562999200005</v>
      </c>
      <c r="D182">
        <v>1.6E-2</v>
      </c>
      <c r="E182">
        <v>3.5999999999999999E-3</v>
      </c>
      <c r="F182">
        <f t="shared" si="26"/>
        <v>1854.4336000000001</v>
      </c>
      <c r="G182">
        <f t="shared" si="36"/>
        <v>-0.25369000000000003</v>
      </c>
      <c r="H182">
        <f t="shared" si="28"/>
        <v>-470.4512599840001</v>
      </c>
      <c r="I182">
        <v>1</v>
      </c>
      <c r="J182">
        <f t="shared" si="29"/>
        <v>0.6175793125073642</v>
      </c>
      <c r="K182">
        <f t="shared" si="30"/>
        <v>-0.96803515177521748</v>
      </c>
      <c r="L182">
        <v>1</v>
      </c>
      <c r="M182">
        <f t="shared" si="31"/>
        <v>0.6358694849566896</v>
      </c>
      <c r="N182">
        <f t="shared" si="37"/>
        <v>0.14835468800000001</v>
      </c>
      <c r="O182">
        <f t="shared" si="38"/>
        <v>3.3379804800000003E-2</v>
      </c>
      <c r="P182">
        <f t="shared" si="39"/>
        <v>0.15043117401852787</v>
      </c>
    </row>
    <row r="183" spans="1:16">
      <c r="A183">
        <v>9.2986454999999992</v>
      </c>
      <c r="B183">
        <v>0.25159999999999999</v>
      </c>
      <c r="C183">
        <f t="shared" si="25"/>
        <v>2.3395392077999997</v>
      </c>
      <c r="D183">
        <v>1.6E-2</v>
      </c>
      <c r="E183">
        <v>3.5999999999999999E-3</v>
      </c>
      <c r="F183">
        <f t="shared" si="26"/>
        <v>1859.7290999999998</v>
      </c>
      <c r="G183">
        <f t="shared" si="36"/>
        <v>-0.25159999999999999</v>
      </c>
      <c r="H183">
        <f t="shared" si="28"/>
        <v>-467.90784155999995</v>
      </c>
      <c r="I183">
        <v>1</v>
      </c>
      <c r="J183">
        <f t="shared" si="29"/>
        <v>0.62043083195653304</v>
      </c>
      <c r="K183">
        <f t="shared" si="30"/>
        <v>-0.97012515177521741</v>
      </c>
      <c r="L183">
        <v>1</v>
      </c>
      <c r="M183">
        <f t="shared" si="31"/>
        <v>0.63603972066780501</v>
      </c>
      <c r="N183">
        <f t="shared" si="37"/>
        <v>0.14877832799999999</v>
      </c>
      <c r="O183">
        <f t="shared" si="38"/>
        <v>3.3475123799999999E-2</v>
      </c>
      <c r="P183">
        <f t="shared" si="39"/>
        <v>0.15183197930741241</v>
      </c>
    </row>
    <row r="184" spans="1:16">
      <c r="C184">
        <f t="shared" si="25"/>
        <v>0</v>
      </c>
      <c r="D184">
        <v>1.6E-2</v>
      </c>
      <c r="E184">
        <v>3.5999999999999999E-3</v>
      </c>
      <c r="F184">
        <f t="shared" si="26"/>
        <v>0</v>
      </c>
      <c r="G184">
        <f t="shared" si="36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7"/>
        <v>0</v>
      </c>
      <c r="O184">
        <f t="shared" si="38"/>
        <v>0</v>
      </c>
      <c r="P184" t="e">
        <f t="shared" si="39"/>
        <v>#NUM!</v>
      </c>
    </row>
    <row r="185" spans="1:16">
      <c r="C185">
        <f t="shared" si="25"/>
        <v>0</v>
      </c>
      <c r="D185">
        <v>1.6E-2</v>
      </c>
      <c r="E185">
        <v>3.5999999999999999E-3</v>
      </c>
      <c r="F185">
        <f t="shared" si="26"/>
        <v>0</v>
      </c>
      <c r="G185">
        <f t="shared" si="36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7"/>
        <v>0</v>
      </c>
      <c r="O185">
        <f t="shared" si="38"/>
        <v>0</v>
      </c>
      <c r="P185" t="e">
        <f t="shared" si="39"/>
        <v>#NUM!</v>
      </c>
    </row>
    <row r="186" spans="1:16">
      <c r="C186">
        <f t="shared" si="25"/>
        <v>0</v>
      </c>
      <c r="D186">
        <v>1.6E-2</v>
      </c>
      <c r="E186">
        <v>3.5999999999999999E-3</v>
      </c>
      <c r="F186">
        <f t="shared" si="26"/>
        <v>0</v>
      </c>
      <c r="G186">
        <f t="shared" si="36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7"/>
        <v>0</v>
      </c>
      <c r="O186">
        <f t="shared" si="38"/>
        <v>0</v>
      </c>
      <c r="P186" t="e">
        <f t="shared" si="39"/>
        <v>#NUM!</v>
      </c>
    </row>
    <row r="187" spans="1:16">
      <c r="C187">
        <f t="shared" si="25"/>
        <v>0</v>
      </c>
      <c r="D187">
        <v>1.6E-2</v>
      </c>
      <c r="E187">
        <v>3.5999999999999999E-3</v>
      </c>
      <c r="F187">
        <f t="shared" si="26"/>
        <v>0</v>
      </c>
      <c r="G187">
        <f t="shared" si="36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7"/>
        <v>0</v>
      </c>
      <c r="O187">
        <f t="shared" si="38"/>
        <v>0</v>
      </c>
      <c r="P187" t="e">
        <f t="shared" si="39"/>
        <v>#NUM!</v>
      </c>
    </row>
    <row r="188" spans="1:16">
      <c r="C188">
        <f t="shared" si="25"/>
        <v>0</v>
      </c>
      <c r="D188">
        <v>1.6E-2</v>
      </c>
      <c r="E188">
        <v>3.5999999999999999E-3</v>
      </c>
      <c r="F188">
        <f t="shared" si="26"/>
        <v>0</v>
      </c>
      <c r="G188">
        <f t="shared" ref="G188:G211" si="40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1">((-G188)-$N$2)</f>
        <v>-1.2217251517752175</v>
      </c>
      <c r="L188">
        <v>1</v>
      </c>
      <c r="M188" t="e">
        <f t="shared" si="31"/>
        <v>#NUM!</v>
      </c>
      <c r="N188">
        <f t="shared" ref="N188:N211" si="42">D188*A188</f>
        <v>0</v>
      </c>
      <c r="O188">
        <f t="shared" ref="O188:O211" si="43">E188*A188</f>
        <v>0</v>
      </c>
      <c r="P188" t="e">
        <f t="shared" ref="P188:P211" si="44">-K188-M188-N188-O188</f>
        <v>#NUM!</v>
      </c>
    </row>
    <row r="189" spans="1:16">
      <c r="C189">
        <f t="shared" si="25"/>
        <v>0</v>
      </c>
      <c r="D189">
        <v>1.6E-2</v>
      </c>
      <c r="E189">
        <v>3.5999999999999999E-3</v>
      </c>
      <c r="F189">
        <f t="shared" si="26"/>
        <v>0</v>
      </c>
      <c r="G189">
        <f t="shared" si="40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1"/>
        <v>-1.2217251517752175</v>
      </c>
      <c r="L189">
        <v>1</v>
      </c>
      <c r="M189" t="e">
        <f t="shared" si="31"/>
        <v>#NUM!</v>
      </c>
      <c r="N189">
        <f t="shared" si="42"/>
        <v>0</v>
      </c>
      <c r="O189">
        <f t="shared" si="43"/>
        <v>0</v>
      </c>
      <c r="P189" t="e">
        <f t="shared" si="44"/>
        <v>#NUM!</v>
      </c>
    </row>
    <row r="190" spans="1:16">
      <c r="C190">
        <f t="shared" si="25"/>
        <v>0</v>
      </c>
      <c r="D190">
        <v>1.6E-2</v>
      </c>
      <c r="E190">
        <v>3.5999999999999999E-3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-1.2217251517752175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1:16">
      <c r="C191">
        <f t="shared" si="25"/>
        <v>0</v>
      </c>
      <c r="D191">
        <v>1.6E-2</v>
      </c>
      <c r="E191">
        <v>3.5999999999999999E-3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-1.2217251517752175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1:16">
      <c r="C192">
        <f t="shared" si="25"/>
        <v>0</v>
      </c>
      <c r="D192">
        <v>1.6E-2</v>
      </c>
      <c r="E192">
        <v>3.5999999999999999E-3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-1.2217251517752175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>
      <c r="C193">
        <f t="shared" si="25"/>
        <v>0</v>
      </c>
      <c r="D193">
        <v>1.6E-2</v>
      </c>
      <c r="E193">
        <v>3.5999999999999999E-3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-1.2217251517752175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>
      <c r="C194">
        <f t="shared" si="25"/>
        <v>0</v>
      </c>
      <c r="D194">
        <v>1.6E-2</v>
      </c>
      <c r="E194">
        <v>3.5999999999999999E-3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-1.2217251517752175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>
      <c r="C195">
        <f t="shared" si="25"/>
        <v>0</v>
      </c>
      <c r="D195">
        <v>1.6E-2</v>
      </c>
      <c r="E195">
        <v>3.5999999999999999E-3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-1.2217251517752175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>
      <c r="C196">
        <f t="shared" si="25"/>
        <v>0</v>
      </c>
      <c r="D196">
        <v>1.6E-2</v>
      </c>
      <c r="E196">
        <v>3.5999999999999999E-3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-1.2217251517752175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>
      <c r="C197">
        <f t="shared" ref="C197:C211" si="45">A197*B197</f>
        <v>0</v>
      </c>
      <c r="D197">
        <v>1.6E-2</v>
      </c>
      <c r="E197">
        <v>3.5999999999999999E-3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-1.2217251517752175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>
      <c r="C198">
        <f t="shared" si="45"/>
        <v>0</v>
      </c>
      <c r="D198">
        <v>1.6E-2</v>
      </c>
      <c r="E198">
        <v>3.5999999999999999E-3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-1.2217251517752175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>
      <c r="C199">
        <f t="shared" si="45"/>
        <v>0</v>
      </c>
      <c r="D199">
        <v>1.6E-2</v>
      </c>
      <c r="E199">
        <v>3.5999999999999999E-3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-1.2217251517752175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>
      <c r="C200">
        <f t="shared" si="45"/>
        <v>0</v>
      </c>
      <c r="D200">
        <v>1.6E-2</v>
      </c>
      <c r="E200">
        <v>3.5999999999999999E-3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-1.2217251517752175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>
      <c r="C201">
        <f t="shared" si="45"/>
        <v>0</v>
      </c>
      <c r="D201">
        <v>1.6E-2</v>
      </c>
      <c r="E201">
        <v>3.5999999999999999E-3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-1.2217251517752175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>
      <c r="C202">
        <f t="shared" si="45"/>
        <v>0</v>
      </c>
      <c r="D202">
        <v>1.6E-2</v>
      </c>
      <c r="E202">
        <v>3.5999999999999999E-3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-1.2217251517752175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>
      <c r="C203">
        <f t="shared" si="45"/>
        <v>0</v>
      </c>
      <c r="D203">
        <v>1.6E-2</v>
      </c>
      <c r="E203">
        <v>3.5999999999999999E-3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-1.2217251517752175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>
      <c r="C204">
        <f t="shared" si="45"/>
        <v>0</v>
      </c>
      <c r="D204">
        <v>1.6E-2</v>
      </c>
      <c r="E204">
        <v>3.5999999999999999E-3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-1.2217251517752175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>
      <c r="C205">
        <f t="shared" si="45"/>
        <v>0</v>
      </c>
      <c r="D205">
        <v>1.6E-2</v>
      </c>
      <c r="E205">
        <v>3.5999999999999999E-3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-1.2217251517752175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>
      <c r="C206">
        <f t="shared" si="45"/>
        <v>0</v>
      </c>
      <c r="D206">
        <v>1.6E-2</v>
      </c>
      <c r="E206">
        <v>3.5999999999999999E-3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-1.2217251517752175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>
      <c r="C207">
        <f t="shared" si="45"/>
        <v>0</v>
      </c>
      <c r="D207">
        <v>1.6E-2</v>
      </c>
      <c r="E207">
        <v>3.5999999999999999E-3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-1.2217251517752175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>
      <c r="C208">
        <f t="shared" si="45"/>
        <v>0</v>
      </c>
      <c r="D208">
        <v>1.6E-2</v>
      </c>
      <c r="E208">
        <v>3.5999999999999999E-3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-1.2217251517752175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>
      <c r="C209">
        <f t="shared" si="45"/>
        <v>0</v>
      </c>
      <c r="D209">
        <v>1.6E-2</v>
      </c>
      <c r="E209">
        <v>3.5999999999999999E-3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-1.2217251517752175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>
      <c r="C210">
        <f t="shared" si="45"/>
        <v>0</v>
      </c>
      <c r="D210">
        <v>1.6E-2</v>
      </c>
      <c r="E210">
        <v>3.5999999999999999E-3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-1.2217251517752175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>
      <c r="C211">
        <f t="shared" si="45"/>
        <v>0</v>
      </c>
      <c r="D211">
        <v>1.6E-2</v>
      </c>
      <c r="E211">
        <v>3.5999999999999999E-3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-1.2217251517752175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>
      <c r="C212">
        <f t="shared" ref="C212:C275" si="50">A212*B212</f>
        <v>0</v>
      </c>
      <c r="D212">
        <v>1.6E-2</v>
      </c>
      <c r="E212">
        <v>3.5999999999999999E-3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-1.2217251517752175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>
      <c r="C213">
        <f t="shared" si="50"/>
        <v>0</v>
      </c>
      <c r="D213">
        <v>1.6E-2</v>
      </c>
      <c r="E213">
        <v>3.5999999999999999E-3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-1.2217251517752175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>
      <c r="C214">
        <f t="shared" si="50"/>
        <v>0</v>
      </c>
      <c r="D214">
        <v>1.6E-2</v>
      </c>
      <c r="E214">
        <v>3.5999999999999999E-3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-1.2217251517752175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>
      <c r="C215">
        <f t="shared" si="50"/>
        <v>0</v>
      </c>
      <c r="D215">
        <v>1.6E-2</v>
      </c>
      <c r="E215">
        <v>3.5999999999999999E-3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-1.2217251517752175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>
      <c r="C216">
        <f t="shared" si="50"/>
        <v>0</v>
      </c>
      <c r="D216">
        <v>1.6E-2</v>
      </c>
      <c r="E216">
        <v>3.5999999999999999E-3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-1.2217251517752175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>
      <c r="C217">
        <f t="shared" si="50"/>
        <v>0</v>
      </c>
      <c r="D217">
        <v>1.6E-2</v>
      </c>
      <c r="E217">
        <v>3.5999999999999999E-3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-1.2217251517752175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>
      <c r="C218">
        <f t="shared" si="50"/>
        <v>0</v>
      </c>
      <c r="D218">
        <v>1.6E-2</v>
      </c>
      <c r="E218">
        <v>3.5999999999999999E-3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-1.2217251517752175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>
      <c r="C219">
        <f t="shared" si="50"/>
        <v>0</v>
      </c>
      <c r="D219">
        <v>1.6E-2</v>
      </c>
      <c r="E219">
        <v>3.5999999999999999E-3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-1.2217251517752175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>
      <c r="C220">
        <f t="shared" si="50"/>
        <v>0</v>
      </c>
      <c r="D220">
        <v>1.6E-2</v>
      </c>
      <c r="E220">
        <v>3.5999999999999999E-3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-1.2217251517752175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>
      <c r="C221">
        <f t="shared" si="50"/>
        <v>0</v>
      </c>
      <c r="D221">
        <v>1.6E-2</v>
      </c>
      <c r="E221">
        <v>3.5999999999999999E-3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-1.2217251517752175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>
      <c r="C222">
        <f t="shared" si="50"/>
        <v>0</v>
      </c>
      <c r="D222">
        <v>1.6E-2</v>
      </c>
      <c r="E222">
        <v>3.5999999999999999E-3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-1.2217251517752175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>
      <c r="C223">
        <f t="shared" si="50"/>
        <v>0</v>
      </c>
      <c r="D223">
        <v>1.6E-2</v>
      </c>
      <c r="E223">
        <v>3.5999999999999999E-3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-1.2217251517752175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>
      <c r="C224">
        <f t="shared" si="50"/>
        <v>0</v>
      </c>
      <c r="D224">
        <v>1.6E-2</v>
      </c>
      <c r="E224">
        <v>3.5999999999999999E-3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-1.2217251517752175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>
      <c r="C225">
        <f t="shared" si="50"/>
        <v>0</v>
      </c>
      <c r="D225">
        <v>1.6E-2</v>
      </c>
      <c r="E225">
        <v>3.5999999999999999E-3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-1.2217251517752175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>
      <c r="C226">
        <f t="shared" si="50"/>
        <v>0</v>
      </c>
      <c r="D226">
        <v>1.6E-2</v>
      </c>
      <c r="E226">
        <v>3.5999999999999999E-3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-1.2217251517752175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>
      <c r="C227">
        <f t="shared" si="50"/>
        <v>0</v>
      </c>
      <c r="D227">
        <v>1.6E-2</v>
      </c>
      <c r="E227">
        <v>3.5999999999999999E-3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-1.2217251517752175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>
      <c r="C228">
        <f t="shared" si="50"/>
        <v>0</v>
      </c>
      <c r="D228">
        <v>1.6E-2</v>
      </c>
      <c r="E228">
        <v>3.5999999999999999E-3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-1.2217251517752175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>
      <c r="C229">
        <f t="shared" si="50"/>
        <v>0</v>
      </c>
      <c r="D229">
        <v>1.6E-2</v>
      </c>
      <c r="E229">
        <v>3.5999999999999999E-3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-1.2217251517752175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>
      <c r="C230">
        <f t="shared" si="50"/>
        <v>0</v>
      </c>
      <c r="D230">
        <v>1.6E-2</v>
      </c>
      <c r="E230">
        <v>3.5999999999999999E-3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-1.2217251517752175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>
      <c r="C231">
        <f t="shared" si="50"/>
        <v>0</v>
      </c>
      <c r="D231">
        <v>1.6E-2</v>
      </c>
      <c r="E231">
        <v>3.5999999999999999E-3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-1.2217251517752175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>
      <c r="C232">
        <f t="shared" si="50"/>
        <v>0</v>
      </c>
      <c r="D232">
        <v>1.6E-2</v>
      </c>
      <c r="E232">
        <v>3.5999999999999999E-3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-1.2217251517752175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>
      <c r="C233">
        <f t="shared" si="50"/>
        <v>0</v>
      </c>
      <c r="D233">
        <v>1.6E-2</v>
      </c>
      <c r="E233">
        <v>3.5999999999999999E-3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-1.2217251517752175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>
      <c r="C234">
        <f t="shared" si="50"/>
        <v>0</v>
      </c>
      <c r="D234">
        <v>1.6E-2</v>
      </c>
      <c r="E234">
        <v>3.5999999999999999E-3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-1.2217251517752175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>
      <c r="C235">
        <f t="shared" si="50"/>
        <v>0</v>
      </c>
      <c r="D235">
        <v>1.6E-2</v>
      </c>
      <c r="E235">
        <v>3.5999999999999999E-3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-1.2217251517752175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>
      <c r="C236">
        <f t="shared" si="50"/>
        <v>0</v>
      </c>
      <c r="D236">
        <v>1.6E-2</v>
      </c>
      <c r="E236">
        <v>3.5999999999999999E-3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-1.2217251517752175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>
      <c r="C237">
        <f t="shared" si="50"/>
        <v>0</v>
      </c>
      <c r="D237">
        <v>1.6E-2</v>
      </c>
      <c r="E237">
        <v>3.5999999999999999E-3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-1.2217251517752175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>
      <c r="C238">
        <f t="shared" si="50"/>
        <v>0</v>
      </c>
      <c r="D238">
        <v>1.6E-2</v>
      </c>
      <c r="E238">
        <v>3.5999999999999999E-3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-1.2217251517752175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>
      <c r="C239">
        <f t="shared" si="50"/>
        <v>0</v>
      </c>
      <c r="D239">
        <v>1.6E-2</v>
      </c>
      <c r="E239">
        <v>3.5999999999999999E-3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-1.2217251517752175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>
      <c r="C240">
        <f t="shared" si="50"/>
        <v>0</v>
      </c>
      <c r="D240">
        <v>1.6E-2</v>
      </c>
      <c r="E240">
        <v>3.5999999999999999E-3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-1.2217251517752175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>
      <c r="C241">
        <f t="shared" si="50"/>
        <v>0</v>
      </c>
      <c r="D241">
        <v>1.6E-2</v>
      </c>
      <c r="E241">
        <v>3.5999999999999999E-3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-1.2217251517752175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>
      <c r="C242">
        <f t="shared" si="50"/>
        <v>0</v>
      </c>
      <c r="D242">
        <v>1.6E-2</v>
      </c>
      <c r="E242">
        <v>3.5999999999999999E-3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-1.2217251517752175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>
      <c r="C243">
        <f t="shared" si="50"/>
        <v>0</v>
      </c>
      <c r="D243">
        <v>1.6E-2</v>
      </c>
      <c r="E243">
        <v>3.5999999999999999E-3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-1.2217251517752175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>
      <c r="C244">
        <f t="shared" si="50"/>
        <v>0</v>
      </c>
      <c r="D244">
        <v>1.6E-2</v>
      </c>
      <c r="E244">
        <v>3.5999999999999999E-3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-1.2217251517752175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>
      <c r="C245">
        <f t="shared" si="50"/>
        <v>0</v>
      </c>
      <c r="D245">
        <v>1.6E-2</v>
      </c>
      <c r="E245">
        <v>3.5999999999999999E-3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-1.2217251517752175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>
      <c r="C246">
        <f t="shared" si="50"/>
        <v>0</v>
      </c>
      <c r="D246">
        <v>1.6E-2</v>
      </c>
      <c r="E246">
        <v>3.5999999999999999E-3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-1.2217251517752175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>
      <c r="C247">
        <f t="shared" si="50"/>
        <v>0</v>
      </c>
      <c r="D247">
        <v>1.6E-2</v>
      </c>
      <c r="E247">
        <v>3.5999999999999999E-3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-1.2217251517752175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>
      <c r="C248">
        <f t="shared" si="50"/>
        <v>0</v>
      </c>
      <c r="D248">
        <v>1.6E-2</v>
      </c>
      <c r="E248">
        <v>3.5999999999999999E-3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-1.2217251517752175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>
      <c r="C249">
        <f t="shared" si="50"/>
        <v>0</v>
      </c>
      <c r="D249">
        <v>1.6E-2</v>
      </c>
      <c r="E249">
        <v>3.5999999999999999E-3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-1.2217251517752175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>
      <c r="C250">
        <f t="shared" si="50"/>
        <v>0</v>
      </c>
      <c r="D250">
        <v>1.6E-2</v>
      </c>
      <c r="E250">
        <v>3.5999999999999999E-3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-1.2217251517752175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>
      <c r="C251">
        <f t="shared" si="50"/>
        <v>0</v>
      </c>
      <c r="D251">
        <v>1.6E-2</v>
      </c>
      <c r="E251">
        <v>3.5999999999999999E-3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-1.2217251517752175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>
      <c r="C252">
        <f t="shared" si="50"/>
        <v>0</v>
      </c>
      <c r="D252">
        <v>1.6E-2</v>
      </c>
      <c r="E252">
        <v>3.5999999999999999E-3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-1.2217251517752175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>
      <c r="C253">
        <f t="shared" si="50"/>
        <v>0</v>
      </c>
      <c r="D253">
        <v>1.6E-2</v>
      </c>
      <c r="E253">
        <v>3.5999999999999999E-3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-1.2217251517752175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>
      <c r="C254">
        <f t="shared" si="50"/>
        <v>0</v>
      </c>
      <c r="D254">
        <v>1.6E-2</v>
      </c>
      <c r="E254">
        <v>3.5999999999999999E-3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-1.2217251517752175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>
      <c r="C255">
        <f t="shared" si="50"/>
        <v>0</v>
      </c>
      <c r="D255">
        <v>1.6E-2</v>
      </c>
      <c r="E255">
        <v>3.5999999999999999E-3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-1.2217251517752175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>
      <c r="C256">
        <f t="shared" si="50"/>
        <v>0</v>
      </c>
      <c r="D256">
        <v>1.6E-2</v>
      </c>
      <c r="E256">
        <v>3.5999999999999999E-3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-1.2217251517752175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>
      <c r="C257">
        <f t="shared" si="50"/>
        <v>0</v>
      </c>
      <c r="D257">
        <v>1.6E-2</v>
      </c>
      <c r="E257">
        <v>3.5999999999999999E-3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-1.2217251517752175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>
      <c r="C258">
        <f t="shared" si="50"/>
        <v>0</v>
      </c>
      <c r="D258">
        <v>1.6E-2</v>
      </c>
      <c r="E258">
        <v>3.5999999999999999E-3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-1.2217251517752175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>
      <c r="C259">
        <f t="shared" si="50"/>
        <v>0</v>
      </c>
      <c r="D259">
        <v>1.6E-2</v>
      </c>
      <c r="E259">
        <v>3.5999999999999999E-3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-1.2217251517752175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>
      <c r="C260">
        <f t="shared" si="50"/>
        <v>0</v>
      </c>
      <c r="D260">
        <v>1.6E-2</v>
      </c>
      <c r="E260">
        <v>3.5999999999999999E-3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-1.2217251517752175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>
      <c r="C261">
        <f t="shared" si="50"/>
        <v>0</v>
      </c>
      <c r="D261">
        <v>1.6E-2</v>
      </c>
      <c r="E261">
        <v>3.5999999999999999E-3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-1.2217251517752175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>
      <c r="C262">
        <f t="shared" si="50"/>
        <v>0</v>
      </c>
      <c r="D262">
        <v>1.6E-2</v>
      </c>
      <c r="E262">
        <v>3.5999999999999999E-3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-1.2217251517752175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>
      <c r="C263">
        <f t="shared" si="50"/>
        <v>0</v>
      </c>
      <c r="D263">
        <v>1.6E-2</v>
      </c>
      <c r="E263">
        <v>3.5999999999999999E-3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-1.2217251517752175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>
      <c r="C264">
        <f t="shared" si="50"/>
        <v>0</v>
      </c>
      <c r="D264">
        <v>1.6E-2</v>
      </c>
      <c r="E264">
        <v>3.5999999999999999E-3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-1.2217251517752175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>
      <c r="C265">
        <f t="shared" si="50"/>
        <v>0</v>
      </c>
      <c r="D265">
        <v>1.6E-2</v>
      </c>
      <c r="E265">
        <v>3.5999999999999999E-3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-1.2217251517752175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>
      <c r="C266">
        <f t="shared" si="50"/>
        <v>0</v>
      </c>
      <c r="D266">
        <v>1.6E-2</v>
      </c>
      <c r="E266">
        <v>3.5999999999999999E-3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-1.2217251517752175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>
      <c r="C267">
        <f t="shared" si="50"/>
        <v>0</v>
      </c>
      <c r="D267">
        <v>1.6E-2</v>
      </c>
      <c r="E267">
        <v>3.5999999999999999E-3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-1.2217251517752175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>
      <c r="C268">
        <f t="shared" si="50"/>
        <v>0</v>
      </c>
      <c r="D268">
        <v>1.6E-2</v>
      </c>
      <c r="E268">
        <v>3.5999999999999999E-3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-1.2217251517752175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>
      <c r="C269">
        <f t="shared" si="50"/>
        <v>0</v>
      </c>
      <c r="D269">
        <v>1.6E-2</v>
      </c>
      <c r="E269">
        <v>3.5999999999999999E-3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-1.2217251517752175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>
      <c r="C270">
        <f t="shared" si="50"/>
        <v>0</v>
      </c>
      <c r="D270">
        <v>1.6E-2</v>
      </c>
      <c r="E270">
        <v>3.5999999999999999E-3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-1.2217251517752175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>
      <c r="C271">
        <f t="shared" si="50"/>
        <v>0</v>
      </c>
      <c r="D271">
        <v>1.6E-2</v>
      </c>
      <c r="E271">
        <v>3.5999999999999999E-3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-1.2217251517752175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>
      <c r="C272">
        <f t="shared" si="50"/>
        <v>0</v>
      </c>
      <c r="D272">
        <v>1.6E-2</v>
      </c>
      <c r="E272">
        <v>3.5999999999999999E-3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-1.2217251517752175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>
      <c r="C273">
        <f t="shared" si="50"/>
        <v>0</v>
      </c>
      <c r="D273">
        <v>1.6E-2</v>
      </c>
      <c r="E273">
        <v>3.5999999999999999E-3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-1.2217251517752175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>
      <c r="C274">
        <f t="shared" si="50"/>
        <v>0</v>
      </c>
      <c r="D274">
        <v>1.6E-2</v>
      </c>
      <c r="E274">
        <v>3.5999999999999999E-3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-1.2217251517752175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>
      <c r="C275">
        <f t="shared" si="50"/>
        <v>0</v>
      </c>
      <c r="D275">
        <v>1.6E-2</v>
      </c>
      <c r="E275">
        <v>3.5999999999999999E-3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-1.2217251517752175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>
      <c r="C276">
        <f t="shared" ref="C276:C303" si="60">A276*B276</f>
        <v>0</v>
      </c>
      <c r="D276">
        <v>1.6E-2</v>
      </c>
      <c r="E276">
        <v>3.5999999999999999E-3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-1.2217251517752175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>
      <c r="C277">
        <f t="shared" si="60"/>
        <v>0</v>
      </c>
      <c r="D277">
        <v>1.6E-2</v>
      </c>
      <c r="E277">
        <v>3.5999999999999999E-3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-1.2217251517752175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>
      <c r="C278">
        <f t="shared" si="60"/>
        <v>0</v>
      </c>
      <c r="D278">
        <v>1.6E-2</v>
      </c>
      <c r="E278">
        <v>3.5999999999999999E-3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-1.2217251517752175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>
      <c r="C279">
        <f t="shared" si="60"/>
        <v>0</v>
      </c>
      <c r="D279">
        <v>1.6E-2</v>
      </c>
      <c r="E279">
        <v>3.5999999999999999E-3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-1.2217251517752175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>
      <c r="C280">
        <f t="shared" si="60"/>
        <v>0</v>
      </c>
      <c r="D280">
        <v>1.6E-2</v>
      </c>
      <c r="E280">
        <v>3.5999999999999999E-3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-1.2217251517752175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>
      <c r="C281">
        <f t="shared" si="60"/>
        <v>0</v>
      </c>
      <c r="D281">
        <v>1.6E-2</v>
      </c>
      <c r="E281">
        <v>3.5999999999999999E-3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-1.2217251517752175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>
      <c r="C282">
        <f t="shared" si="60"/>
        <v>0</v>
      </c>
      <c r="D282">
        <v>1.6E-2</v>
      </c>
      <c r="E282">
        <v>3.5999999999999999E-3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-1.2217251517752175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>
      <c r="C283">
        <f t="shared" si="60"/>
        <v>0</v>
      </c>
      <c r="D283">
        <v>1.6E-2</v>
      </c>
      <c r="E283">
        <v>3.5999999999999999E-3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-1.2217251517752175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>
      <c r="C284">
        <f t="shared" si="60"/>
        <v>0</v>
      </c>
      <c r="D284">
        <v>1.6E-2</v>
      </c>
      <c r="E284">
        <v>3.5999999999999999E-3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-1.2217251517752175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>
      <c r="C285">
        <f t="shared" si="60"/>
        <v>0</v>
      </c>
      <c r="D285">
        <v>1.6E-2</v>
      </c>
      <c r="E285">
        <v>3.5999999999999999E-3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-1.2217251517752175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>
      <c r="C286">
        <f t="shared" si="60"/>
        <v>0</v>
      </c>
      <c r="D286">
        <v>1.6E-2</v>
      </c>
      <c r="E286">
        <v>3.5999999999999999E-3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-1.2217251517752175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>
      <c r="C287">
        <f t="shared" si="60"/>
        <v>0</v>
      </c>
      <c r="D287">
        <v>1.6E-2</v>
      </c>
      <c r="E287">
        <v>3.5999999999999999E-3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-1.2217251517752175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>
      <c r="C288">
        <f t="shared" si="60"/>
        <v>0</v>
      </c>
      <c r="D288">
        <v>1.6E-2</v>
      </c>
      <c r="E288">
        <v>3.5999999999999999E-3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-1.2217251517752175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>
      <c r="C289">
        <f t="shared" si="60"/>
        <v>0</v>
      </c>
      <c r="D289">
        <v>1.6E-2</v>
      </c>
      <c r="E289">
        <v>3.5999999999999999E-3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-1.2217251517752175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>
      <c r="C290">
        <f t="shared" si="60"/>
        <v>0</v>
      </c>
      <c r="D290">
        <v>1.6E-2</v>
      </c>
      <c r="E290">
        <v>3.5999999999999999E-3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-1.2217251517752175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>
      <c r="C291">
        <f t="shared" si="60"/>
        <v>0</v>
      </c>
      <c r="D291">
        <v>1.6E-2</v>
      </c>
      <c r="E291">
        <v>3.5999999999999999E-3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-1.2217251517752175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>
      <c r="C292">
        <f t="shared" si="60"/>
        <v>0</v>
      </c>
      <c r="D292">
        <v>1.6E-2</v>
      </c>
      <c r="E292">
        <v>3.5999999999999999E-3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-1.2217251517752175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>
      <c r="C293">
        <f t="shared" si="60"/>
        <v>0</v>
      </c>
      <c r="D293">
        <v>1.6E-2</v>
      </c>
      <c r="E293">
        <v>3.5999999999999999E-3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-1.2217251517752175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>
      <c r="C294">
        <f t="shared" si="60"/>
        <v>0</v>
      </c>
      <c r="D294">
        <v>1.6E-2</v>
      </c>
      <c r="E294">
        <v>3.5999999999999999E-3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-1.2217251517752175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>
      <c r="C295">
        <f t="shared" si="60"/>
        <v>0</v>
      </c>
      <c r="D295">
        <v>1.6E-2</v>
      </c>
      <c r="E295">
        <v>3.5999999999999999E-3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-1.2217251517752175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>
      <c r="C296">
        <f t="shared" si="60"/>
        <v>0</v>
      </c>
      <c r="D296">
        <v>1.6E-2</v>
      </c>
      <c r="E296">
        <v>3.5999999999999999E-3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-1.2217251517752175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>
      <c r="C297">
        <f t="shared" si="60"/>
        <v>0</v>
      </c>
      <c r="D297">
        <v>1.6E-2</v>
      </c>
      <c r="E297">
        <v>3.5999999999999999E-3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-1.2217251517752175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>
      <c r="C298">
        <f t="shared" si="60"/>
        <v>0</v>
      </c>
      <c r="D298">
        <v>1.6E-2</v>
      </c>
      <c r="E298">
        <v>3.5999999999999999E-3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-1.2217251517752175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>
      <c r="C299">
        <f t="shared" si="60"/>
        <v>0</v>
      </c>
      <c r="D299">
        <v>1.6E-2</v>
      </c>
      <c r="E299">
        <v>3.5999999999999999E-3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-1.2217251517752175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>
      <c r="C300">
        <f t="shared" si="60"/>
        <v>0</v>
      </c>
      <c r="D300">
        <v>1.6E-2</v>
      </c>
      <c r="E300">
        <v>3.5999999999999999E-3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-1.2217251517752175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>
      <c r="C301">
        <f t="shared" si="60"/>
        <v>0</v>
      </c>
      <c r="D301">
        <v>1.6E-2</v>
      </c>
      <c r="E301">
        <v>3.5999999999999999E-3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-1.2217251517752175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>
      <c r="C302">
        <f t="shared" si="60"/>
        <v>0</v>
      </c>
      <c r="D302">
        <v>1.6E-2</v>
      </c>
      <c r="E302">
        <v>3.5999999999999999E-3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-1.2217251517752175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>
      <c r="C303">
        <f t="shared" si="60"/>
        <v>0</v>
      </c>
      <c r="D303">
        <v>1.6E-2</v>
      </c>
      <c r="E303">
        <v>3.5999999999999999E-3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-1.2217251517752175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D7D9-6648-4951-9F68-CF9D4B729191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5"/>
  <sheetData>
    <row r="1" spans="1:15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5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  <c r="N2">
        <v>5.2834000000000003</v>
      </c>
      <c r="O2">
        <f>N2/200</f>
        <v>2.6417000000000003E-2</v>
      </c>
    </row>
    <row r="3" spans="1:15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  <c r="N3">
        <v>15.97625</v>
      </c>
      <c r="O3">
        <f t="shared" ref="O3:O66" si="6">N3/200</f>
        <v>7.9881250000000001E-2</v>
      </c>
    </row>
    <row r="4" spans="1:15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  <c r="N37">
        <v>367.92376000000002</v>
      </c>
      <c r="O37">
        <f t="shared" si="6"/>
        <v>1.8396188</v>
      </c>
    </row>
    <row r="38" spans="1:15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  <c r="N53">
        <v>536.25972000000002</v>
      </c>
      <c r="O53">
        <f t="shared" si="6"/>
        <v>2.6812985999999999</v>
      </c>
    </row>
    <row r="54" spans="1:15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-0.54429490048808493</v>
      </c>
      <c r="N66">
        <v>672.72080000000005</v>
      </c>
      <c r="O66">
        <f t="shared" si="6"/>
        <v>3.3636040000000005</v>
      </c>
    </row>
    <row r="67" spans="1:15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-0.54392399335984032</v>
      </c>
      <c r="N67">
        <v>682.80264</v>
      </c>
      <c r="O67">
        <f t="shared" ref="O67:O130" si="13">N67/200</f>
        <v>3.4140131999999999</v>
      </c>
    </row>
    <row r="68" spans="1:15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-0.54578405801666419</v>
      </c>
      <c r="N68">
        <v>692.98631999999998</v>
      </c>
      <c r="O68">
        <f t="shared" si="13"/>
        <v>3.4649315999999999</v>
      </c>
    </row>
    <row r="69" spans="1:15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-0.54384688535380998</v>
      </c>
      <c r="N69">
        <v>703.06822</v>
      </c>
      <c r="O69">
        <f t="shared" si="13"/>
        <v>3.5153411000000001</v>
      </c>
    </row>
    <row r="70" spans="1:15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-0.54822192695354566</v>
      </c>
      <c r="N70">
        <v>713.45551999999998</v>
      </c>
      <c r="O70">
        <f t="shared" si="13"/>
        <v>3.5672775999999997</v>
      </c>
    </row>
    <row r="71" spans="1:15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-0.54986129096288128</v>
      </c>
      <c r="N71">
        <v>723.53736000000004</v>
      </c>
      <c r="O71">
        <f t="shared" si="13"/>
        <v>3.6176868</v>
      </c>
    </row>
    <row r="72" spans="1:15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-0.55387431482491545</v>
      </c>
      <c r="N72">
        <v>733.721</v>
      </c>
      <c r="O72">
        <f t="shared" si="13"/>
        <v>3.6686049999999999</v>
      </c>
    </row>
    <row r="73" spans="1:15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-0.55426389621052796</v>
      </c>
      <c r="N73">
        <v>744.21015999999997</v>
      </c>
      <c r="O73">
        <f t="shared" si="13"/>
        <v>3.7210508</v>
      </c>
    </row>
    <row r="74" spans="1:15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-0.55097319323385407</v>
      </c>
      <c r="N74">
        <v>754.39383999999995</v>
      </c>
      <c r="O74">
        <f t="shared" si="13"/>
        <v>3.7719691999999996</v>
      </c>
    </row>
    <row r="75" spans="1:15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-0.55359691666755717</v>
      </c>
      <c r="N75">
        <v>764.57754</v>
      </c>
      <c r="O75">
        <f t="shared" si="13"/>
        <v>3.8228876999999999</v>
      </c>
    </row>
    <row r="76" spans="1:15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-0.55503177799562253</v>
      </c>
      <c r="N76">
        <v>774.86303999999996</v>
      </c>
      <c r="O76">
        <f t="shared" si="13"/>
        <v>3.8743151999999998</v>
      </c>
    </row>
    <row r="77" spans="1:15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-0.55938656199011849</v>
      </c>
      <c r="N77">
        <v>785.14847999999995</v>
      </c>
      <c r="O77">
        <f t="shared" si="13"/>
        <v>3.9257423999999999</v>
      </c>
    </row>
    <row r="78" spans="1:15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-0.55940973210701983</v>
      </c>
      <c r="N78">
        <v>795.6377</v>
      </c>
      <c r="O78">
        <f t="shared" si="13"/>
        <v>3.9781884999999999</v>
      </c>
    </row>
    <row r="79" spans="1:15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-0.5610279499565427</v>
      </c>
      <c r="N79">
        <v>806.12685999999997</v>
      </c>
      <c r="O79">
        <f t="shared" si="13"/>
        <v>4.0306343</v>
      </c>
    </row>
    <row r="80" spans="1:15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-0.56067834604243083</v>
      </c>
      <c r="N80">
        <v>816.20870000000002</v>
      </c>
      <c r="O80">
        <f t="shared" si="13"/>
        <v>4.0810434999999998</v>
      </c>
    </row>
    <row r="81" spans="1:15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-0.56244938979343206</v>
      </c>
      <c r="N81">
        <v>826.49423999999999</v>
      </c>
      <c r="O81">
        <f t="shared" si="13"/>
        <v>4.1324712000000003</v>
      </c>
    </row>
    <row r="82" spans="1:15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-0.56038991101632152</v>
      </c>
      <c r="N82">
        <v>836.57608000000005</v>
      </c>
      <c r="O82">
        <f t="shared" si="13"/>
        <v>4.1828804000000002</v>
      </c>
    </row>
    <row r="83" spans="1:15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-0.56540888854250937</v>
      </c>
      <c r="N83">
        <v>846.65791999999999</v>
      </c>
      <c r="O83">
        <f t="shared" si="13"/>
        <v>4.2332896</v>
      </c>
    </row>
    <row r="84" spans="1:15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-0.56703822537980109</v>
      </c>
      <c r="N84">
        <v>857.04521999999997</v>
      </c>
      <c r="O84">
        <f t="shared" si="13"/>
        <v>4.2852261</v>
      </c>
    </row>
    <row r="85" spans="1:15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-0.56328804717809589</v>
      </c>
      <c r="N85">
        <v>867.73807999999997</v>
      </c>
      <c r="O85">
        <f t="shared" si="13"/>
        <v>4.3386903999999999</v>
      </c>
    </row>
    <row r="86" spans="1:15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-0.57107842900603145</v>
      </c>
      <c r="N86">
        <v>877.81992000000002</v>
      </c>
      <c r="O86">
        <f t="shared" si="13"/>
        <v>4.3890995999999998</v>
      </c>
    </row>
    <row r="87" spans="1:15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-0.5675831040249828</v>
      </c>
      <c r="N87">
        <v>887.90175999999997</v>
      </c>
      <c r="O87">
        <f t="shared" si="13"/>
        <v>4.4395087999999996</v>
      </c>
    </row>
    <row r="88" spans="1:15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-0.5699875166778926</v>
      </c>
      <c r="N88">
        <v>898.18730000000005</v>
      </c>
      <c r="O88">
        <f t="shared" si="13"/>
        <v>4.4909365000000001</v>
      </c>
    </row>
    <row r="89" spans="1:15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-0.57103634589774044</v>
      </c>
      <c r="N89">
        <v>909.18564000000003</v>
      </c>
      <c r="O89">
        <f t="shared" si="13"/>
        <v>4.5459282000000005</v>
      </c>
    </row>
    <row r="90" spans="1:15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-0.57191458257093175</v>
      </c>
      <c r="N90">
        <v>919.87851999999998</v>
      </c>
      <c r="O90">
        <f t="shared" si="13"/>
        <v>4.5993925999999998</v>
      </c>
    </row>
    <row r="91" spans="1:15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-0.573640129077709</v>
      </c>
      <c r="N91">
        <v>930.06209999999999</v>
      </c>
      <c r="O91">
        <f t="shared" si="13"/>
        <v>4.6503104999999998</v>
      </c>
    </row>
    <row r="92" spans="1:15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-0.57205932378850022</v>
      </c>
      <c r="N92">
        <v>940.55125999999996</v>
      </c>
      <c r="O92">
        <f t="shared" si="13"/>
        <v>4.7027562999999999</v>
      </c>
    </row>
    <row r="93" spans="1:15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-0.57645870088847617</v>
      </c>
      <c r="N93">
        <v>952.16063999999994</v>
      </c>
      <c r="O93">
        <f t="shared" si="13"/>
        <v>4.7608031999999998</v>
      </c>
    </row>
    <row r="94" spans="1:15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-0.57315960679579414</v>
      </c>
      <c r="N94">
        <v>962.75166000000002</v>
      </c>
      <c r="O94">
        <f t="shared" si="13"/>
        <v>4.8137582999999999</v>
      </c>
    </row>
    <row r="95" spans="1:15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-0.57904511094058186</v>
      </c>
      <c r="N95">
        <v>973.54638</v>
      </c>
      <c r="O95">
        <f t="shared" si="13"/>
        <v>4.8677318999999999</v>
      </c>
    </row>
    <row r="96" spans="1:15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-0.5758775087773863</v>
      </c>
      <c r="N96">
        <v>984.03563999999994</v>
      </c>
      <c r="O96">
        <f t="shared" si="13"/>
        <v>4.9201781999999996</v>
      </c>
    </row>
    <row r="97" spans="1:15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-0.58038301883152765</v>
      </c>
      <c r="N97">
        <v>994.62656000000004</v>
      </c>
      <c r="O97">
        <f t="shared" si="13"/>
        <v>4.9731328000000001</v>
      </c>
    </row>
    <row r="98" spans="1:15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-0.57909249611400693</v>
      </c>
      <c r="N98">
        <v>1005.93038</v>
      </c>
      <c r="O98">
        <f t="shared" si="13"/>
        <v>5.0296519000000002</v>
      </c>
    </row>
    <row r="99" spans="1:15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-0.58123611239320683</v>
      </c>
      <c r="N99">
        <v>1016.52138</v>
      </c>
      <c r="O99">
        <f t="shared" si="13"/>
        <v>5.0826069</v>
      </c>
    </row>
    <row r="100" spans="1:15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-0.58018356334356103</v>
      </c>
      <c r="N100">
        <v>1027.31612</v>
      </c>
      <c r="O100">
        <f t="shared" si="13"/>
        <v>5.1365805999999994</v>
      </c>
    </row>
    <row r="101" spans="1:15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-0.58409137706152248</v>
      </c>
      <c r="N101">
        <v>1037.4998000000001</v>
      </c>
      <c r="O101">
        <f t="shared" si="13"/>
        <v>5.1874989999999999</v>
      </c>
    </row>
    <row r="102" spans="1:15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-0.58336674153087176</v>
      </c>
      <c r="N102">
        <v>1047.6833999999999</v>
      </c>
      <c r="O102">
        <f t="shared" si="13"/>
        <v>5.2384169999999992</v>
      </c>
    </row>
    <row r="103" spans="1:15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-0.58569423178199564</v>
      </c>
      <c r="N103">
        <v>1057.7653399999999</v>
      </c>
      <c r="O103">
        <f t="shared" si="13"/>
        <v>5.2888266999999995</v>
      </c>
    </row>
    <row r="104" spans="1:15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-0.58675310426900429</v>
      </c>
      <c r="N104">
        <v>1069.3746000000001</v>
      </c>
      <c r="O104">
        <f t="shared" si="13"/>
        <v>5.3468730000000004</v>
      </c>
    </row>
    <row r="105" spans="1:15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-0.58922289531961713</v>
      </c>
      <c r="N105">
        <v>1079.7620199999999</v>
      </c>
      <c r="O105">
        <f t="shared" si="13"/>
        <v>5.3988100999999995</v>
      </c>
    </row>
    <row r="106" spans="1:15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-0.58824606991971173</v>
      </c>
      <c r="N106">
        <v>1090.04756</v>
      </c>
      <c r="O106">
        <f t="shared" si="13"/>
        <v>5.4502378</v>
      </c>
    </row>
    <row r="107" spans="1:15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-0.58822532052174847</v>
      </c>
      <c r="N107">
        <v>1100.3330000000001</v>
      </c>
      <c r="O107">
        <f t="shared" si="13"/>
        <v>5.501665</v>
      </c>
    </row>
    <row r="108" spans="1:15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-0.59159219234957439</v>
      </c>
      <c r="N108">
        <v>1111.53496</v>
      </c>
      <c r="O108">
        <f t="shared" si="13"/>
        <v>5.5576748</v>
      </c>
    </row>
    <row r="109" spans="1:15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-0.5891231171721284</v>
      </c>
      <c r="N109">
        <v>1122.12608</v>
      </c>
      <c r="O109">
        <f t="shared" si="13"/>
        <v>5.6106303999999998</v>
      </c>
    </row>
    <row r="110" spans="1:15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-0.5899284133543734</v>
      </c>
      <c r="N110">
        <v>1132.3097600000001</v>
      </c>
      <c r="O110">
        <f t="shared" si="13"/>
        <v>5.6615488000000003</v>
      </c>
    </row>
    <row r="111" spans="1:15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-0.59822507291672267</v>
      </c>
      <c r="N111">
        <v>1143.00254</v>
      </c>
      <c r="O111">
        <f t="shared" si="13"/>
        <v>5.7150126999999999</v>
      </c>
    </row>
    <row r="112" spans="1:15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-0.5912379085418944</v>
      </c>
      <c r="N112">
        <v>1153.08448</v>
      </c>
      <c r="O112">
        <f t="shared" si="13"/>
        <v>5.7654224000000003</v>
      </c>
    </row>
    <row r="113" spans="1:15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-0.59141322462568324</v>
      </c>
      <c r="N113">
        <v>1164.2864199999999</v>
      </c>
      <c r="O113">
        <f t="shared" si="13"/>
        <v>5.8214320999999991</v>
      </c>
    </row>
    <row r="114" spans="1:15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-0.59485580527659399</v>
      </c>
      <c r="N114">
        <v>1174.77568</v>
      </c>
      <c r="O114">
        <f t="shared" si="13"/>
        <v>5.8738783999999997</v>
      </c>
    </row>
    <row r="115" spans="1:15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-0.59402103878395895</v>
      </c>
      <c r="N115">
        <v>1185.57032</v>
      </c>
      <c r="O115">
        <f t="shared" si="13"/>
        <v>5.9278516000000003</v>
      </c>
    </row>
    <row r="116" spans="1:15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-0.59871896702968219</v>
      </c>
      <c r="N116">
        <v>1195.6520599999999</v>
      </c>
      <c r="O116">
        <f t="shared" si="13"/>
        <v>5.9782602999999996</v>
      </c>
    </row>
    <row r="117" spans="1:15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-0.59620688999763771</v>
      </c>
      <c r="N117">
        <v>1206.03946</v>
      </c>
      <c r="O117">
        <f t="shared" si="13"/>
        <v>6.0301973000000002</v>
      </c>
    </row>
    <row r="118" spans="1:15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-0.59654517390114714</v>
      </c>
      <c r="N118">
        <v>1216.2231400000001</v>
      </c>
      <c r="O118">
        <f t="shared" si="13"/>
        <v>6.0811157000000007</v>
      </c>
    </row>
    <row r="119" spans="1:15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-0.60170421878657376</v>
      </c>
      <c r="N119">
        <v>1226.4067399999999</v>
      </c>
      <c r="O119">
        <f t="shared" si="13"/>
        <v>6.1320336999999991</v>
      </c>
    </row>
    <row r="120" spans="1:15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-0.59658428971858957</v>
      </c>
      <c r="N120">
        <v>1236.4886799999999</v>
      </c>
      <c r="O120">
        <f t="shared" si="13"/>
        <v>6.1824433999999995</v>
      </c>
    </row>
    <row r="121" spans="1:15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-0.60228554533008383</v>
      </c>
      <c r="N121">
        <v>1247.0796800000001</v>
      </c>
      <c r="O121">
        <f t="shared" si="13"/>
        <v>6.2353984000000002</v>
      </c>
    </row>
    <row r="122" spans="1:15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-0.59862658847043548</v>
      </c>
      <c r="N122">
        <v>1257.3650399999999</v>
      </c>
      <c r="O122">
        <f t="shared" si="13"/>
        <v>6.2868251999999991</v>
      </c>
    </row>
    <row r="123" spans="1:15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-0.60003783212111028</v>
      </c>
      <c r="N123">
        <v>1267.54874</v>
      </c>
      <c r="O123">
        <f t="shared" si="13"/>
        <v>6.3377436999999999</v>
      </c>
    </row>
    <row r="124" spans="1:15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-0.60638659739337009</v>
      </c>
      <c r="N124">
        <v>1277.93604</v>
      </c>
      <c r="O124">
        <f t="shared" si="13"/>
        <v>6.3896801999999999</v>
      </c>
    </row>
    <row r="125" spans="1:15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-0.60215251055536312</v>
      </c>
      <c r="N125">
        <v>1288.6289999999999</v>
      </c>
      <c r="O125">
        <f t="shared" si="13"/>
        <v>6.4431449999999995</v>
      </c>
    </row>
    <row r="126" spans="1:15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-0.59961183116722738</v>
      </c>
      <c r="N126">
        <v>1299.11816</v>
      </c>
      <c r="O126">
        <f t="shared" si="13"/>
        <v>6.4955907999999996</v>
      </c>
    </row>
    <row r="127" spans="1:15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-0.60652160937810584</v>
      </c>
      <c r="N127">
        <v>1309.40362</v>
      </c>
      <c r="O127">
        <f t="shared" si="13"/>
        <v>6.5470180999999998</v>
      </c>
    </row>
    <row r="128" spans="1:15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-0.60045808445516857</v>
      </c>
      <c r="N128">
        <v>1320.1983399999999</v>
      </c>
      <c r="O128">
        <f t="shared" si="13"/>
        <v>6.6009916999999998</v>
      </c>
    </row>
    <row r="129" spans="1:15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-0.60684443606997174</v>
      </c>
      <c r="N129">
        <v>1330.6875</v>
      </c>
      <c r="O129">
        <f t="shared" si="13"/>
        <v>6.6534374999999999</v>
      </c>
    </row>
    <row r="130" spans="1:15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-0.60872153314352673</v>
      </c>
      <c r="N130">
        <v>1341.1766600000001</v>
      </c>
      <c r="O130">
        <f t="shared" si="13"/>
        <v>6.7058833</v>
      </c>
    </row>
    <row r="131" spans="1:15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-0.60596141201182352</v>
      </c>
      <c r="N131">
        <v>1352.48046</v>
      </c>
      <c r="O131">
        <f t="shared" ref="O131:O194" si="20">N131/200</f>
        <v>6.7624022999999998</v>
      </c>
    </row>
    <row r="132" spans="1:15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-0.61257952442651131</v>
      </c>
      <c r="N132">
        <v>1362.5623000000001</v>
      </c>
      <c r="O132">
        <f t="shared" si="20"/>
        <v>6.8128115000000005</v>
      </c>
    </row>
    <row r="133" spans="1:15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-0.60935605779882407</v>
      </c>
      <c r="N133">
        <v>1372.7460000000001</v>
      </c>
      <c r="O133">
        <f t="shared" si="20"/>
        <v>6.8637300000000003</v>
      </c>
    </row>
    <row r="134" spans="1:15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-0.61155443720886749</v>
      </c>
      <c r="N134">
        <v>1382.92958</v>
      </c>
      <c r="O134">
        <f t="shared" si="20"/>
        <v>6.9146479000000003</v>
      </c>
    </row>
    <row r="135" spans="1:15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-0.61048853634067524</v>
      </c>
      <c r="N135">
        <v>1393.3169</v>
      </c>
      <c r="O135">
        <f t="shared" si="20"/>
        <v>6.9665844999999997</v>
      </c>
    </row>
    <row r="136" spans="1:15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-0.61324217592096963</v>
      </c>
      <c r="N136">
        <v>1403.6025400000001</v>
      </c>
      <c r="O136">
        <f t="shared" si="20"/>
        <v>7.0180127000000008</v>
      </c>
    </row>
    <row r="137" spans="1:15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-0.61146722534922404</v>
      </c>
      <c r="N137">
        <v>1413.88798</v>
      </c>
      <c r="O137">
        <f t="shared" si="20"/>
        <v>7.0694398999999999</v>
      </c>
    </row>
    <row r="138" spans="1:15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-0.61421079247078936</v>
      </c>
      <c r="N138">
        <v>1424.17354</v>
      </c>
      <c r="O138">
        <f t="shared" si="20"/>
        <v>7.1208676999999998</v>
      </c>
    </row>
    <row r="139" spans="1:15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-0.61158378376779599</v>
      </c>
      <c r="N139">
        <v>1434.4589800000001</v>
      </c>
      <c r="O139">
        <f t="shared" si="20"/>
        <v>7.1722949000000007</v>
      </c>
    </row>
    <row r="140" spans="1:15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-0.61574881296906514</v>
      </c>
      <c r="N140">
        <v>1444.8464799999999</v>
      </c>
      <c r="O140">
        <f t="shared" si="20"/>
        <v>7.2242324</v>
      </c>
    </row>
    <row r="141" spans="1:15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-0.60964510752523582</v>
      </c>
      <c r="N141">
        <v>1455.53926</v>
      </c>
      <c r="O141">
        <f t="shared" si="20"/>
        <v>7.2776962999999997</v>
      </c>
    </row>
    <row r="142" spans="1:15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-0.61953841857836289</v>
      </c>
      <c r="N142">
        <v>1465.6210000000001</v>
      </c>
      <c r="O142">
        <f t="shared" si="20"/>
        <v>7.3281050000000008</v>
      </c>
    </row>
    <row r="143" spans="1:15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-0.6177470145393078</v>
      </c>
      <c r="N143">
        <v>1475.80458</v>
      </c>
      <c r="O143">
        <f t="shared" si="20"/>
        <v>7.3790228999999998</v>
      </c>
    </row>
    <row r="144" spans="1:15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-0.61758078477305811</v>
      </c>
      <c r="N144">
        <v>1486.29384</v>
      </c>
      <c r="O144">
        <f t="shared" si="20"/>
        <v>7.4314692000000004</v>
      </c>
    </row>
    <row r="145" spans="1:15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-0.62028361847732105</v>
      </c>
      <c r="N145">
        <v>1496.8848599999999</v>
      </c>
      <c r="O145">
        <f t="shared" si="20"/>
        <v>7.4844242999999997</v>
      </c>
    </row>
    <row r="146" spans="1:15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-0.61033650773832837</v>
      </c>
      <c r="N146">
        <v>1506.9666</v>
      </c>
      <c r="O146">
        <f t="shared" si="20"/>
        <v>7.5348329999999999</v>
      </c>
    </row>
    <row r="147" spans="1:15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-0.62219574898139274</v>
      </c>
      <c r="N147">
        <v>1517.76142</v>
      </c>
      <c r="O147">
        <f t="shared" si="20"/>
        <v>7.5888071000000004</v>
      </c>
    </row>
    <row r="148" spans="1:15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-0.61826563990274708</v>
      </c>
      <c r="N148">
        <v>1528.5561600000001</v>
      </c>
      <c r="O148">
        <f t="shared" si="20"/>
        <v>7.6427808000000006</v>
      </c>
    </row>
    <row r="149" spans="1:15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-0.62217223860443271</v>
      </c>
      <c r="N149">
        <v>1538.8416999999999</v>
      </c>
      <c r="O149">
        <f t="shared" si="20"/>
        <v>7.6942084999999993</v>
      </c>
    </row>
    <row r="150" spans="1:15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-0.6228553636883114</v>
      </c>
      <c r="N150">
        <v>1548.92344</v>
      </c>
      <c r="O150">
        <f t="shared" si="20"/>
        <v>7.7446172000000004</v>
      </c>
    </row>
    <row r="151" spans="1:15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-0.62225418844675173</v>
      </c>
      <c r="N151">
        <v>1559.7181599999999</v>
      </c>
      <c r="O151">
        <f t="shared" si="20"/>
        <v>7.7985907999999995</v>
      </c>
    </row>
    <row r="152" spans="1:15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-0.61893113707009584</v>
      </c>
      <c r="N152">
        <v>1569.7999</v>
      </c>
      <c r="O152">
        <f t="shared" si="20"/>
        <v>7.8489994999999997</v>
      </c>
    </row>
    <row r="153" spans="1:15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-0.62345012333581484</v>
      </c>
      <c r="N153">
        <v>1580.9001000000001</v>
      </c>
      <c r="O153">
        <f t="shared" si="20"/>
        <v>7.9045005000000002</v>
      </c>
    </row>
    <row r="154" spans="1:15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-0.62320961928666274</v>
      </c>
      <c r="N154">
        <v>1590.9819399999999</v>
      </c>
      <c r="O154">
        <f t="shared" si="20"/>
        <v>7.9549096999999991</v>
      </c>
    </row>
    <row r="155" spans="1:15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-0.62381012264526536</v>
      </c>
      <c r="N155">
        <v>1601.26748</v>
      </c>
      <c r="O155">
        <f t="shared" si="20"/>
        <v>8.0063373999999996</v>
      </c>
    </row>
    <row r="156" spans="1:15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-0.62851742425409596</v>
      </c>
      <c r="N156">
        <v>1612.2659200000001</v>
      </c>
      <c r="O156">
        <f t="shared" si="20"/>
        <v>8.0613296000000005</v>
      </c>
    </row>
    <row r="157" spans="1:15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-0.62589531196836268</v>
      </c>
      <c r="N157">
        <v>1622.5513599999999</v>
      </c>
      <c r="O157">
        <f t="shared" si="20"/>
        <v>8.1127567999999997</v>
      </c>
    </row>
    <row r="158" spans="1:15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-0.62918672545025378</v>
      </c>
      <c r="N158">
        <v>1632.73506</v>
      </c>
      <c r="O158">
        <f t="shared" si="20"/>
        <v>8.1636752999999995</v>
      </c>
    </row>
    <row r="159" spans="1:15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-0.62476775884155078</v>
      </c>
      <c r="N159">
        <v>1643.4279200000001</v>
      </c>
      <c r="O159">
        <f t="shared" si="20"/>
        <v>8.2171396000000012</v>
      </c>
    </row>
    <row r="160" spans="1:15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-0.63279908642033378</v>
      </c>
      <c r="N160">
        <v>1653.5097599999999</v>
      </c>
      <c r="O160">
        <f t="shared" si="20"/>
        <v>8.2675488000000001</v>
      </c>
    </row>
    <row r="161" spans="1:15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-0.62647026171357068</v>
      </c>
      <c r="N161">
        <v>1663.5916</v>
      </c>
      <c r="O161">
        <f t="shared" si="20"/>
        <v>8.3179579999999991</v>
      </c>
    </row>
    <row r="162" spans="1:15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-0.63240424717373289</v>
      </c>
      <c r="N162">
        <v>1674.08086</v>
      </c>
      <c r="O162">
        <f t="shared" si="20"/>
        <v>8.3704043000000006</v>
      </c>
    </row>
    <row r="163" spans="1:15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-0.62921238627774168</v>
      </c>
      <c r="N163">
        <v>1684.2644600000001</v>
      </c>
      <c r="O163">
        <f t="shared" si="20"/>
        <v>8.4213222999999999</v>
      </c>
    </row>
    <row r="164" spans="1:15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-0.63392510646287248</v>
      </c>
      <c r="N164">
        <v>1694.55</v>
      </c>
      <c r="O164">
        <f t="shared" si="20"/>
        <v>8.4727499999999996</v>
      </c>
    </row>
    <row r="165" spans="1:15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-0.6274818307984833</v>
      </c>
      <c r="N165">
        <v>1704.83554</v>
      </c>
      <c r="O165">
        <f t="shared" si="20"/>
        <v>8.524177700000001</v>
      </c>
    </row>
    <row r="166" spans="1:15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-0.63502774603832401</v>
      </c>
      <c r="N166">
        <v>1715.3248000000001</v>
      </c>
      <c r="O166">
        <f t="shared" si="20"/>
        <v>8.5766240000000007</v>
      </c>
    </row>
    <row r="167" spans="1:15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-0.63163068508113063</v>
      </c>
      <c r="N167">
        <v>1725.61016</v>
      </c>
      <c r="O167">
        <f t="shared" si="20"/>
        <v>8.6280508000000005</v>
      </c>
    </row>
    <row r="168" spans="1:15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-0.63495005582549313</v>
      </c>
      <c r="N168">
        <v>1735.79376</v>
      </c>
      <c r="O168">
        <f t="shared" si="20"/>
        <v>8.6789687999999998</v>
      </c>
    </row>
    <row r="169" spans="1:15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-0.63466196098229932</v>
      </c>
      <c r="N169">
        <v>1746.2829999999999</v>
      </c>
      <c r="O169">
        <f t="shared" si="20"/>
        <v>8.7314150000000001</v>
      </c>
    </row>
    <row r="170" spans="1:15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-0.63244912132074571</v>
      </c>
      <c r="N170">
        <v>1756.4666</v>
      </c>
      <c r="O170">
        <f t="shared" si="20"/>
        <v>8.7823329999999995</v>
      </c>
    </row>
    <row r="171" spans="1:15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-0.6335852059160535</v>
      </c>
      <c r="N171">
        <v>1766.54844</v>
      </c>
      <c r="O171">
        <f t="shared" si="20"/>
        <v>8.8327422000000002</v>
      </c>
    </row>
    <row r="172" spans="1:15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-0.64075867737186587</v>
      </c>
      <c r="N172">
        <v>1776.6302800000001</v>
      </c>
      <c r="O172">
        <f t="shared" si="20"/>
        <v>8.8831514000000009</v>
      </c>
    </row>
    <row r="173" spans="1:15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-0.63549035818212374</v>
      </c>
      <c r="N173">
        <v>1786.7121</v>
      </c>
      <c r="O173">
        <f t="shared" si="20"/>
        <v>8.9335605000000005</v>
      </c>
    </row>
    <row r="174" spans="1:15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-0.63796733239690107</v>
      </c>
      <c r="N174">
        <v>1796.79394</v>
      </c>
      <c r="O174">
        <f t="shared" si="20"/>
        <v>8.9839696999999994</v>
      </c>
    </row>
    <row r="175" spans="1:15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-0.63799782647923264</v>
      </c>
      <c r="N175">
        <v>1807.3849600000001</v>
      </c>
      <c r="O175">
        <f t="shared" si="20"/>
        <v>9.0369248000000013</v>
      </c>
    </row>
    <row r="176" spans="1:15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-0.63496386810711669</v>
      </c>
      <c r="N176">
        <v>1817.4667999999999</v>
      </c>
      <c r="O176">
        <f t="shared" si="20"/>
        <v>9.0873340000000002</v>
      </c>
    </row>
    <row r="177" spans="1:15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-0.64015808596370261</v>
      </c>
      <c r="N177">
        <v>1828.36348</v>
      </c>
      <c r="O177">
        <f t="shared" si="20"/>
        <v>9.1418174000000008</v>
      </c>
    </row>
    <row r="178" spans="1:15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-0.64181307046357428</v>
      </c>
      <c r="N178">
        <v>1838.5468800000001</v>
      </c>
      <c r="O178">
        <f t="shared" si="20"/>
        <v>9.1927344000000009</v>
      </c>
    </row>
    <row r="179" spans="1:15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-0.63852334748039286</v>
      </c>
      <c r="N179">
        <v>1849.0361399999999</v>
      </c>
      <c r="O179">
        <f t="shared" si="20"/>
        <v>9.2451806999999988</v>
      </c>
    </row>
    <row r="180" spans="1:15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-0.63661794611231126</v>
      </c>
      <c r="N180">
        <v>1859.11796</v>
      </c>
      <c r="O180">
        <f t="shared" si="20"/>
        <v>9.2955898000000001</v>
      </c>
    </row>
    <row r="181" spans="1:15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-0.6372447740911904</v>
      </c>
      <c r="N181">
        <v>1870.1164000000001</v>
      </c>
      <c r="O181">
        <f t="shared" si="20"/>
        <v>9.3505820000000011</v>
      </c>
    </row>
    <row r="182" spans="1:15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-0.63747916395284865</v>
      </c>
      <c r="N182">
        <v>1880.60546</v>
      </c>
      <c r="O182">
        <f t="shared" si="20"/>
        <v>9.4030272999999998</v>
      </c>
    </row>
    <row r="183" spans="1:15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-0.64303901493764548</v>
      </c>
      <c r="N183">
        <v>1890.99296</v>
      </c>
      <c r="O183">
        <f t="shared" si="20"/>
        <v>9.4549648000000008</v>
      </c>
    </row>
    <row r="184" spans="1:15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-0.64651055110794942</v>
      </c>
      <c r="N184">
        <v>1901.0748000000001</v>
      </c>
      <c r="O184">
        <f t="shared" si="20"/>
        <v>9.5053739999999998</v>
      </c>
    </row>
    <row r="185" spans="1:15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-0.65010916984964051</v>
      </c>
      <c r="N185">
        <v>1911.1566399999999</v>
      </c>
      <c r="O185">
        <f t="shared" si="20"/>
        <v>9.5557832000000005</v>
      </c>
    </row>
    <row r="186" spans="1:15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-0.64164634255791342</v>
      </c>
      <c r="N186">
        <v>1921.74746</v>
      </c>
      <c r="O186">
        <f t="shared" si="20"/>
        <v>9.6087372999999996</v>
      </c>
    </row>
    <row r="187" spans="1:15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-0.64524585491273445</v>
      </c>
      <c r="N187">
        <v>1931.9312600000001</v>
      </c>
      <c r="O187">
        <f t="shared" si="20"/>
        <v>9.6596563</v>
      </c>
    </row>
    <row r="188" spans="1:15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-0.6455377921778922</v>
      </c>
      <c r="N188">
        <v>1942.4203199999999</v>
      </c>
      <c r="O188">
        <f t="shared" si="20"/>
        <v>9.7121016000000004</v>
      </c>
    </row>
    <row r="189" spans="1:15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-0.64778470765036977</v>
      </c>
      <c r="N189">
        <v>1952.70606</v>
      </c>
      <c r="O189">
        <f t="shared" si="20"/>
        <v>9.7635302999999993</v>
      </c>
    </row>
    <row r="190" spans="1:15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-0.64640450171492136</v>
      </c>
      <c r="N190">
        <v>1962.8894600000001</v>
      </c>
      <c r="O190">
        <f t="shared" si="20"/>
        <v>9.8144473000000012</v>
      </c>
    </row>
    <row r="191" spans="1:15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-0.6522863818414274</v>
      </c>
      <c r="N191">
        <v>1973.0732399999999</v>
      </c>
      <c r="O191">
        <f t="shared" si="20"/>
        <v>9.8653662000000004</v>
      </c>
    </row>
    <row r="192" spans="1:15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-0.64184541029889031</v>
      </c>
      <c r="N192">
        <v>1983.25684</v>
      </c>
      <c r="O192">
        <f t="shared" si="20"/>
        <v>9.9162841999999998</v>
      </c>
    </row>
    <row r="193" spans="1:15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-0.65190939578203011</v>
      </c>
      <c r="N193">
        <v>1993.6443400000001</v>
      </c>
      <c r="O193">
        <f t="shared" si="20"/>
        <v>9.9682217000000009</v>
      </c>
    </row>
    <row r="194" spans="1:15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-0.65273690721887989</v>
      </c>
      <c r="N194">
        <v>2004.2352000000001</v>
      </c>
      <c r="O194">
        <f t="shared" si="20"/>
        <v>10.021176000000001</v>
      </c>
    </row>
    <row r="195" spans="1:15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-0.65230136694098151</v>
      </c>
      <c r="N195">
        <v>2014.4190000000001</v>
      </c>
      <c r="O195">
        <f t="shared" ref="O195:O232" si="27">N195/200</f>
        <v>10.072095000000001</v>
      </c>
    </row>
    <row r="196" spans="1:15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-0.65959008269131825</v>
      </c>
      <c r="N196">
        <v>2024.6025999999999</v>
      </c>
      <c r="O196">
        <f t="shared" si="27"/>
        <v>10.123013</v>
      </c>
    </row>
    <row r="197" spans="1:15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-0.66179204378171907</v>
      </c>
      <c r="N197">
        <v>2035.0917999999999</v>
      </c>
      <c r="O197">
        <f t="shared" si="27"/>
        <v>10.175459</v>
      </c>
    </row>
    <row r="198" spans="1:15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-0.66211599394739307</v>
      </c>
      <c r="N198">
        <v>2045.1733999999999</v>
      </c>
      <c r="O198">
        <f t="shared" si="27"/>
        <v>10.225866999999999</v>
      </c>
    </row>
    <row r="199" spans="1:15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-0.66440166725239791</v>
      </c>
      <c r="N199">
        <v>2056.0700000000002</v>
      </c>
      <c r="O199">
        <f t="shared" si="27"/>
        <v>10.28035</v>
      </c>
    </row>
    <row r="200" spans="1:15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-0.66518193215132393</v>
      </c>
      <c r="N200">
        <v>2066.1518000000001</v>
      </c>
      <c r="O200">
        <f t="shared" si="27"/>
        <v>10.330759</v>
      </c>
    </row>
    <row r="201" spans="1:15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-0.66719614845848718</v>
      </c>
      <c r="N201">
        <v>2076.2338</v>
      </c>
      <c r="O201">
        <f t="shared" si="27"/>
        <v>10.381169</v>
      </c>
    </row>
    <row r="202" spans="1:15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-0.66671488987428595</v>
      </c>
      <c r="N202">
        <v>2086.5194000000001</v>
      </c>
      <c r="O202">
        <f t="shared" si="27"/>
        <v>10.432597000000001</v>
      </c>
    </row>
    <row r="203" spans="1:15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-0.66889138687137417</v>
      </c>
      <c r="N203">
        <v>2097.1102000000001</v>
      </c>
      <c r="O203">
        <f t="shared" si="27"/>
        <v>10.485551000000001</v>
      </c>
    </row>
    <row r="204" spans="1:15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-0.66855632525230091</v>
      </c>
      <c r="N204">
        <v>2107.2939999999999</v>
      </c>
      <c r="O204">
        <f t="shared" si="27"/>
        <v>10.53647</v>
      </c>
    </row>
    <row r="205" spans="1:15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-0.67047849981740748</v>
      </c>
      <c r="N205">
        <v>2117.4776000000002</v>
      </c>
      <c r="O205">
        <f t="shared" si="27"/>
        <v>10.587388000000001</v>
      </c>
    </row>
    <row r="206" spans="1:15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-0.67105793440947581</v>
      </c>
      <c r="N206">
        <v>2127.6614</v>
      </c>
      <c r="O206">
        <f t="shared" si="27"/>
        <v>10.638306999999999</v>
      </c>
    </row>
    <row r="207" spans="1:15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-0.67318633161679553</v>
      </c>
      <c r="N207">
        <v>2138.6596</v>
      </c>
      <c r="O207">
        <f t="shared" si="27"/>
        <v>10.693298</v>
      </c>
    </row>
    <row r="208" spans="1:15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-0.67290301672003305</v>
      </c>
      <c r="N208">
        <v>2149.3524000000002</v>
      </c>
      <c r="O208">
        <f t="shared" si="27"/>
        <v>10.746762</v>
      </c>
    </row>
    <row r="209" spans="1:15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-0.67502150206235689</v>
      </c>
      <c r="N209">
        <v>2159.4342000000001</v>
      </c>
      <c r="O209">
        <f t="shared" si="27"/>
        <v>10.797171000000001</v>
      </c>
    </row>
    <row r="210" spans="1:15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-0.6754195889154736</v>
      </c>
      <c r="N210">
        <v>2170.0252</v>
      </c>
      <c r="O210">
        <f t="shared" si="27"/>
        <v>10.850125999999999</v>
      </c>
    </row>
    <row r="211" spans="1:15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-0.67751675055456806</v>
      </c>
      <c r="N211">
        <v>2180.107</v>
      </c>
      <c r="O211">
        <f t="shared" si="27"/>
        <v>10.900535</v>
      </c>
    </row>
    <row r="212" spans="1:15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-0.67714328110683597</v>
      </c>
      <c r="N212">
        <v>2190.6981999999998</v>
      </c>
      <c r="O212">
        <f t="shared" si="27"/>
        <v>10.953491</v>
      </c>
    </row>
    <row r="213" spans="1:15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-0.68002812259492906</v>
      </c>
      <c r="N213">
        <v>2200.7800000000002</v>
      </c>
      <c r="O213">
        <f t="shared" si="27"/>
        <v>11.003900000000002</v>
      </c>
    </row>
    <row r="214" spans="1:15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-0.67988653065297644</v>
      </c>
      <c r="N214">
        <v>2211.0654</v>
      </c>
      <c r="O214">
        <f t="shared" si="27"/>
        <v>11.055327</v>
      </c>
    </row>
    <row r="215" spans="1:15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-0.68203351436922588</v>
      </c>
      <c r="N215">
        <v>2221.1469999999999</v>
      </c>
      <c r="O215">
        <f t="shared" si="27"/>
        <v>11.105734999999999</v>
      </c>
    </row>
    <row r="216" spans="1:15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-0.68267034950453676</v>
      </c>
      <c r="N216">
        <v>2231.6363999999999</v>
      </c>
      <c r="O216">
        <f t="shared" si="27"/>
        <v>11.158182</v>
      </c>
    </row>
    <row r="217" spans="1:15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-0.68460293332422406</v>
      </c>
      <c r="N217">
        <v>2241.8200000000002</v>
      </c>
      <c r="O217">
        <f t="shared" si="27"/>
        <v>11.209100000000001</v>
      </c>
    </row>
    <row r="218" spans="1:15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-0.68436375299588481</v>
      </c>
      <c r="N218">
        <v>2252.3092000000001</v>
      </c>
      <c r="O218">
        <f t="shared" si="27"/>
        <v>11.261546000000001</v>
      </c>
    </row>
    <row r="219" spans="1:15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-0.68402574539489192</v>
      </c>
      <c r="N219">
        <v>2262.4929999999999</v>
      </c>
      <c r="O219">
        <f t="shared" si="27"/>
        <v>11.312465</v>
      </c>
    </row>
    <row r="220" spans="1:15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-0.68698170537934333</v>
      </c>
      <c r="N220">
        <v>2272.982</v>
      </c>
      <c r="O220">
        <f t="shared" si="27"/>
        <v>11.36491</v>
      </c>
    </row>
    <row r="221" spans="1:15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-0.68640513187891883</v>
      </c>
      <c r="N221">
        <v>2283.1658000000002</v>
      </c>
      <c r="O221">
        <f t="shared" si="27"/>
        <v>11.415829</v>
      </c>
    </row>
    <row r="222" spans="1:15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-0.68864910539445912</v>
      </c>
      <c r="N222">
        <v>2293.4512</v>
      </c>
      <c r="O222">
        <f t="shared" si="27"/>
        <v>11.467255999999999</v>
      </c>
    </row>
    <row r="223" spans="1:15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-0.68874943302032987</v>
      </c>
      <c r="N223">
        <v>2303.5331999999999</v>
      </c>
      <c r="O223">
        <f t="shared" si="27"/>
        <v>11.517665999999998</v>
      </c>
    </row>
    <row r="224" spans="1:15">
      <c r="N224">
        <v>2314.1242000000002</v>
      </c>
      <c r="O224">
        <f t="shared" si="27"/>
        <v>11.570621000000001</v>
      </c>
    </row>
    <row r="225" spans="14:15">
      <c r="N225">
        <v>2325.4281999999998</v>
      </c>
      <c r="O225">
        <f t="shared" si="27"/>
        <v>11.627141</v>
      </c>
    </row>
    <row r="226" spans="14:15">
      <c r="N226">
        <v>2335.8152</v>
      </c>
      <c r="O226">
        <f t="shared" si="27"/>
        <v>11.679076</v>
      </c>
    </row>
    <row r="227" spans="14:15">
      <c r="N227">
        <v>2345.9987999999998</v>
      </c>
      <c r="O227">
        <f t="shared" si="27"/>
        <v>11.729994</v>
      </c>
    </row>
    <row r="228" spans="14:15">
      <c r="N228">
        <v>2356.7937999999999</v>
      </c>
      <c r="O228">
        <f t="shared" si="27"/>
        <v>11.783968999999999</v>
      </c>
    </row>
    <row r="229" spans="14:15">
      <c r="N229">
        <v>2366.8755999999998</v>
      </c>
      <c r="O229">
        <f t="shared" si="27"/>
        <v>11.834377999999999</v>
      </c>
    </row>
    <row r="230" spans="14:15">
      <c r="N230">
        <v>2377.0594000000001</v>
      </c>
      <c r="O230">
        <f t="shared" si="27"/>
        <v>11.885297000000001</v>
      </c>
    </row>
    <row r="231" spans="14:15">
      <c r="N231">
        <v>2387.1410000000001</v>
      </c>
      <c r="O231">
        <f t="shared" si="27"/>
        <v>11.935705</v>
      </c>
    </row>
    <row r="232" spans="14:15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DavidOHalla</cp:lastModifiedBy>
  <dcterms:created xsi:type="dcterms:W3CDTF">2025-09-17T02:43:03Z</dcterms:created>
  <dcterms:modified xsi:type="dcterms:W3CDTF">2026-03-24T15:09:49Z</dcterms:modified>
</cp:coreProperties>
</file>