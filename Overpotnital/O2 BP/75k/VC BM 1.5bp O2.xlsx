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O2 BP\75k\"/>
    </mc:Choice>
  </mc:AlternateContent>
  <xr:revisionPtr revIDLastSave="0" documentId="13_ncr:1_{C46F142F-4844-4A53-81AC-EA426196EC34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K212" i="1" s="1"/>
  <c r="C213" i="1"/>
  <c r="H213" i="1" s="1"/>
  <c r="J213" i="1"/>
  <c r="M213" i="1" s="1"/>
  <c r="G213" i="1"/>
  <c r="K213" i="1" s="1"/>
  <c r="C214" i="1"/>
  <c r="H214" i="1" s="1"/>
  <c r="J214" i="1"/>
  <c r="M214" i="1" s="1"/>
  <c r="G214" i="1"/>
  <c r="K214" i="1" s="1"/>
  <c r="C215" i="1"/>
  <c r="H215" i="1" s="1"/>
  <c r="J215" i="1"/>
  <c r="M215" i="1" s="1"/>
  <c r="G215" i="1"/>
  <c r="K215" i="1" s="1"/>
  <c r="C216" i="1"/>
  <c r="H216" i="1" s="1"/>
  <c r="J216" i="1"/>
  <c r="M216" i="1" s="1"/>
  <c r="G216" i="1"/>
  <c r="K216" i="1" s="1"/>
  <c r="C217" i="1"/>
  <c r="H217" i="1" s="1"/>
  <c r="J217" i="1"/>
  <c r="M217" i="1" s="1"/>
  <c r="G217" i="1"/>
  <c r="K217" i="1" s="1"/>
  <c r="C218" i="1"/>
  <c r="H218" i="1" s="1"/>
  <c r="J218" i="1"/>
  <c r="M218" i="1" s="1"/>
  <c r="G218" i="1"/>
  <c r="K218" i="1" s="1"/>
  <c r="C219" i="1"/>
  <c r="H219" i="1" s="1"/>
  <c r="J219" i="1"/>
  <c r="M219" i="1" s="1"/>
  <c r="G219" i="1"/>
  <c r="K219" i="1" s="1"/>
  <c r="C220" i="1"/>
  <c r="H220" i="1" s="1"/>
  <c r="J220" i="1"/>
  <c r="M220" i="1" s="1"/>
  <c r="G220" i="1"/>
  <c r="K220" i="1" s="1"/>
  <c r="C221" i="1"/>
  <c r="H221" i="1" s="1"/>
  <c r="J221" i="1"/>
  <c r="M221" i="1" s="1"/>
  <c r="G221" i="1"/>
  <c r="K221" i="1" s="1"/>
  <c r="C222" i="1"/>
  <c r="H222" i="1" s="1"/>
  <c r="J222" i="1"/>
  <c r="M222" i="1" s="1"/>
  <c r="G222" i="1"/>
  <c r="K222" i="1" s="1"/>
  <c r="C223" i="1"/>
  <c r="H223" i="1" s="1"/>
  <c r="J223" i="1"/>
  <c r="M223" i="1" s="1"/>
  <c r="G223" i="1"/>
  <c r="K223" i="1" s="1"/>
  <c r="C224" i="1"/>
  <c r="H224" i="1" s="1"/>
  <c r="J224" i="1"/>
  <c r="M224" i="1" s="1"/>
  <c r="G224" i="1"/>
  <c r="K224" i="1" s="1"/>
  <c r="C225" i="1"/>
  <c r="H225" i="1" s="1"/>
  <c r="J225" i="1"/>
  <c r="M225" i="1" s="1"/>
  <c r="G225" i="1"/>
  <c r="K225" i="1" s="1"/>
  <c r="C226" i="1"/>
  <c r="H226" i="1" s="1"/>
  <c r="J226" i="1"/>
  <c r="M226" i="1" s="1"/>
  <c r="G226" i="1"/>
  <c r="K226" i="1" s="1"/>
  <c r="C227" i="1"/>
  <c r="H227" i="1" s="1"/>
  <c r="J227" i="1"/>
  <c r="M227" i="1" s="1"/>
  <c r="G227" i="1"/>
  <c r="K227" i="1" s="1"/>
  <c r="C228" i="1"/>
  <c r="H228" i="1" s="1"/>
  <c r="J228" i="1"/>
  <c r="M228" i="1" s="1"/>
  <c r="G228" i="1"/>
  <c r="K228" i="1" s="1"/>
  <c r="C229" i="1"/>
  <c r="H229" i="1" s="1"/>
  <c r="J229" i="1"/>
  <c r="M229" i="1" s="1"/>
  <c r="G229" i="1"/>
  <c r="K229" i="1" s="1"/>
  <c r="C230" i="1"/>
  <c r="H230" i="1" s="1"/>
  <c r="J230" i="1"/>
  <c r="M230" i="1" s="1"/>
  <c r="G230" i="1"/>
  <c r="K230" i="1" s="1"/>
  <c r="C231" i="1"/>
  <c r="H231" i="1" s="1"/>
  <c r="J231" i="1"/>
  <c r="M231" i="1" s="1"/>
  <c r="G231" i="1"/>
  <c r="K231" i="1" s="1"/>
  <c r="C232" i="1"/>
  <c r="H232" i="1" s="1"/>
  <c r="J232" i="1"/>
  <c r="M232" i="1" s="1"/>
  <c r="G232" i="1"/>
  <c r="K232" i="1" s="1"/>
  <c r="C233" i="1"/>
  <c r="H233" i="1" s="1"/>
  <c r="J233" i="1"/>
  <c r="M233" i="1" s="1"/>
  <c r="G233" i="1"/>
  <c r="K233" i="1" s="1"/>
  <c r="C234" i="1"/>
  <c r="H234" i="1" s="1"/>
  <c r="J234" i="1"/>
  <c r="M234" i="1" s="1"/>
  <c r="G234" i="1"/>
  <c r="K234" i="1" s="1"/>
  <c r="C235" i="1"/>
  <c r="H235" i="1" s="1"/>
  <c r="G235" i="1"/>
  <c r="K235" i="1" s="1"/>
  <c r="C236" i="1"/>
  <c r="H236" i="1" s="1"/>
  <c r="G236" i="1"/>
  <c r="K236" i="1" s="1"/>
  <c r="C237" i="1"/>
  <c r="H237" i="1" s="1"/>
  <c r="G237" i="1"/>
  <c r="K237" i="1" s="1"/>
  <c r="C238" i="1"/>
  <c r="H238" i="1" s="1"/>
  <c r="G238" i="1"/>
  <c r="K238" i="1" s="1"/>
  <c r="C239" i="1"/>
  <c r="H239" i="1" s="1"/>
  <c r="G239" i="1"/>
  <c r="K239" i="1" s="1"/>
  <c r="C240" i="1"/>
  <c r="H240" i="1" s="1"/>
  <c r="G240" i="1"/>
  <c r="K240" i="1" s="1"/>
  <c r="C241" i="1"/>
  <c r="H241" i="1" s="1"/>
  <c r="G241" i="1"/>
  <c r="K241" i="1" s="1"/>
  <c r="C242" i="1"/>
  <c r="H242" i="1" s="1"/>
  <c r="G242" i="1"/>
  <c r="K242" i="1" s="1"/>
  <c r="C243" i="1"/>
  <c r="H243" i="1" s="1"/>
  <c r="G243" i="1"/>
  <c r="K243" i="1" s="1"/>
  <c r="C244" i="1"/>
  <c r="H244" i="1" s="1"/>
  <c r="G244" i="1"/>
  <c r="K244" i="1" s="1"/>
  <c r="C245" i="1"/>
  <c r="H245" i="1" s="1"/>
  <c r="G245" i="1"/>
  <c r="K245" i="1" s="1"/>
  <c r="C246" i="1"/>
  <c r="H246" i="1" s="1"/>
  <c r="G246" i="1"/>
  <c r="K246" i="1" s="1"/>
  <c r="C247" i="1"/>
  <c r="H247" i="1" s="1"/>
  <c r="G247" i="1"/>
  <c r="K247" i="1" s="1"/>
  <c r="C248" i="1"/>
  <c r="H248" i="1" s="1"/>
  <c r="G248" i="1"/>
  <c r="K248" i="1" s="1"/>
  <c r="C249" i="1"/>
  <c r="H249" i="1" s="1"/>
  <c r="G249" i="1"/>
  <c r="K249" i="1" s="1"/>
  <c r="C250" i="1"/>
  <c r="H250" i="1" s="1"/>
  <c r="G250" i="1"/>
  <c r="K250" i="1" s="1"/>
  <c r="C251" i="1"/>
  <c r="H251" i="1" s="1"/>
  <c r="G251" i="1"/>
  <c r="K251" i="1" s="1"/>
  <c r="C252" i="1"/>
  <c r="H252" i="1" s="1"/>
  <c r="G252" i="1"/>
  <c r="K252" i="1" s="1"/>
  <c r="C253" i="1"/>
  <c r="H253" i="1" s="1"/>
  <c r="G253" i="1"/>
  <c r="K253" i="1" s="1"/>
  <c r="C254" i="1"/>
  <c r="H254" i="1" s="1"/>
  <c r="G254" i="1"/>
  <c r="K254" i="1" s="1"/>
  <c r="C255" i="1"/>
  <c r="H255" i="1" s="1"/>
  <c r="G255" i="1"/>
  <c r="K255" i="1" s="1"/>
  <c r="C256" i="1"/>
  <c r="H256" i="1" s="1"/>
  <c r="G256" i="1"/>
  <c r="K256" i="1" s="1"/>
  <c r="C257" i="1"/>
  <c r="H257" i="1" s="1"/>
  <c r="G257" i="1"/>
  <c r="K257" i="1" s="1"/>
  <c r="C258" i="1"/>
  <c r="H258" i="1" s="1"/>
  <c r="G258" i="1"/>
  <c r="K258" i="1" s="1"/>
  <c r="C259" i="1"/>
  <c r="H259" i="1" s="1"/>
  <c r="G259" i="1"/>
  <c r="K259" i="1" s="1"/>
  <c r="C260" i="1"/>
  <c r="H260" i="1" s="1"/>
  <c r="G260" i="1"/>
  <c r="K260" i="1" s="1"/>
  <c r="C261" i="1"/>
  <c r="H261" i="1" s="1"/>
  <c r="G261" i="1"/>
  <c r="K261" i="1" s="1"/>
  <c r="C262" i="1"/>
  <c r="H262" i="1" s="1"/>
  <c r="G262" i="1"/>
  <c r="K262" i="1" s="1"/>
  <c r="C263" i="1"/>
  <c r="H263" i="1" s="1"/>
  <c r="G263" i="1"/>
  <c r="K263" i="1" s="1"/>
  <c r="C264" i="1"/>
  <c r="H264" i="1" s="1"/>
  <c r="G264" i="1"/>
  <c r="K264" i="1" s="1"/>
  <c r="C265" i="1"/>
  <c r="H265" i="1" s="1"/>
  <c r="G265" i="1"/>
  <c r="K265" i="1" s="1"/>
  <c r="C266" i="1"/>
  <c r="H266" i="1" s="1"/>
  <c r="G266" i="1"/>
  <c r="K266" i="1" s="1"/>
  <c r="C267" i="1"/>
  <c r="H267" i="1" s="1"/>
  <c r="G267" i="1"/>
  <c r="K267" i="1" s="1"/>
  <c r="C268" i="1"/>
  <c r="H268" i="1" s="1"/>
  <c r="G268" i="1"/>
  <c r="K268" i="1" s="1"/>
  <c r="C269" i="1"/>
  <c r="H269" i="1" s="1"/>
  <c r="G269" i="1"/>
  <c r="K269" i="1" s="1"/>
  <c r="C270" i="1"/>
  <c r="H270" i="1" s="1"/>
  <c r="G270" i="1"/>
  <c r="K270" i="1" s="1"/>
  <c r="C271" i="1"/>
  <c r="H271" i="1" s="1"/>
  <c r="G271" i="1"/>
  <c r="K271" i="1" s="1"/>
  <c r="C272" i="1"/>
  <c r="H272" i="1" s="1"/>
  <c r="G272" i="1"/>
  <c r="K272" i="1" s="1"/>
  <c r="C273" i="1"/>
  <c r="H273" i="1" s="1"/>
  <c r="G273" i="1"/>
  <c r="K273" i="1" s="1"/>
  <c r="C274" i="1"/>
  <c r="H274" i="1" s="1"/>
  <c r="G274" i="1"/>
  <c r="K274" i="1" s="1"/>
  <c r="C275" i="1"/>
  <c r="H275" i="1" s="1"/>
  <c r="G275" i="1"/>
  <c r="K275" i="1" s="1"/>
  <c r="C276" i="1"/>
  <c r="H276" i="1" s="1"/>
  <c r="G276" i="1"/>
  <c r="K276" i="1" s="1"/>
  <c r="C277" i="1"/>
  <c r="H277" i="1" s="1"/>
  <c r="G277" i="1"/>
  <c r="K277" i="1" s="1"/>
  <c r="C278" i="1"/>
  <c r="H278" i="1" s="1"/>
  <c r="G278" i="1"/>
  <c r="K278" i="1" s="1"/>
  <c r="C279" i="1"/>
  <c r="H279" i="1" s="1"/>
  <c r="G279" i="1"/>
  <c r="K279" i="1" s="1"/>
  <c r="C280" i="1"/>
  <c r="H280" i="1" s="1"/>
  <c r="G280" i="1"/>
  <c r="K280" i="1" s="1"/>
  <c r="C281" i="1"/>
  <c r="H281" i="1" s="1"/>
  <c r="G281" i="1"/>
  <c r="K281" i="1" s="1"/>
  <c r="C282" i="1"/>
  <c r="H282" i="1" s="1"/>
  <c r="G282" i="1"/>
  <c r="K282" i="1" s="1"/>
  <c r="C283" i="1"/>
  <c r="H283" i="1" s="1"/>
  <c r="G283" i="1"/>
  <c r="K283" i="1" s="1"/>
  <c r="C284" i="1"/>
  <c r="H284" i="1" s="1"/>
  <c r="G284" i="1"/>
  <c r="K284" i="1" s="1"/>
  <c r="C285" i="1"/>
  <c r="H285" i="1" s="1"/>
  <c r="G285" i="1"/>
  <c r="K285" i="1" s="1"/>
  <c r="C286" i="1"/>
  <c r="H286" i="1" s="1"/>
  <c r="G286" i="1"/>
  <c r="K286" i="1" s="1"/>
  <c r="C287" i="1"/>
  <c r="H287" i="1" s="1"/>
  <c r="G287" i="1"/>
  <c r="K287" i="1" s="1"/>
  <c r="C288" i="1"/>
  <c r="H288" i="1" s="1"/>
  <c r="G288" i="1"/>
  <c r="C289" i="1"/>
  <c r="H289" i="1" s="1"/>
  <c r="G289" i="1"/>
  <c r="K289" i="1" s="1"/>
  <c r="C290" i="1"/>
  <c r="H290" i="1" s="1"/>
  <c r="G290" i="1"/>
  <c r="K290" i="1" s="1"/>
  <c r="C291" i="1"/>
  <c r="H291" i="1" s="1"/>
  <c r="G291" i="1"/>
  <c r="K291" i="1" s="1"/>
  <c r="C292" i="1"/>
  <c r="H292" i="1" s="1"/>
  <c r="G292" i="1"/>
  <c r="K292" i="1" s="1"/>
  <c r="C293" i="1"/>
  <c r="H293" i="1" s="1"/>
  <c r="G293" i="1"/>
  <c r="K293" i="1" s="1"/>
  <c r="C294" i="1"/>
  <c r="H294" i="1" s="1"/>
  <c r="G294" i="1"/>
  <c r="K294" i="1" s="1"/>
  <c r="C295" i="1"/>
  <c r="H295" i="1" s="1"/>
  <c r="G295" i="1"/>
  <c r="K295" i="1" s="1"/>
  <c r="C296" i="1"/>
  <c r="H296" i="1" s="1"/>
  <c r="G296" i="1"/>
  <c r="K296" i="1" s="1"/>
  <c r="C297" i="1"/>
  <c r="H297" i="1" s="1"/>
  <c r="G297" i="1"/>
  <c r="K297" i="1" s="1"/>
  <c r="C298" i="1"/>
  <c r="H298" i="1" s="1"/>
  <c r="G298" i="1"/>
  <c r="K298" i="1" s="1"/>
  <c r="C299" i="1"/>
  <c r="H299" i="1" s="1"/>
  <c r="G299" i="1"/>
  <c r="K299" i="1" s="1"/>
  <c r="C300" i="1"/>
  <c r="H300" i="1" s="1"/>
  <c r="G300" i="1"/>
  <c r="K300" i="1" s="1"/>
  <c r="C301" i="1"/>
  <c r="H301" i="1" s="1"/>
  <c r="G301" i="1"/>
  <c r="K301" i="1" s="1"/>
  <c r="C302" i="1"/>
  <c r="H302" i="1" s="1"/>
  <c r="G302" i="1"/>
  <c r="K302" i="1" s="1"/>
  <c r="C303" i="1"/>
  <c r="H303" i="1" s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K188" i="1" s="1"/>
  <c r="J189" i="1"/>
  <c r="M189" i="1" s="1"/>
  <c r="G189" i="1"/>
  <c r="K189" i="1" s="1"/>
  <c r="J190" i="1"/>
  <c r="M190" i="1" s="1"/>
  <c r="G190" i="1"/>
  <c r="K190" i="1" s="1"/>
  <c r="J191" i="1"/>
  <c r="M191" i="1" s="1"/>
  <c r="G191" i="1"/>
  <c r="K191" i="1" s="1"/>
  <c r="J192" i="1"/>
  <c r="M192" i="1" s="1"/>
  <c r="G192" i="1"/>
  <c r="K192" i="1" s="1"/>
  <c r="J193" i="1"/>
  <c r="M193" i="1" s="1"/>
  <c r="G193" i="1"/>
  <c r="K193" i="1" s="1"/>
  <c r="J194" i="1"/>
  <c r="M194" i="1" s="1"/>
  <c r="G194" i="1"/>
  <c r="K194" i="1" s="1"/>
  <c r="J195" i="1"/>
  <c r="M195" i="1" s="1"/>
  <c r="G195" i="1"/>
  <c r="K195" i="1" s="1"/>
  <c r="J196" i="1"/>
  <c r="M196" i="1" s="1"/>
  <c r="G196" i="1"/>
  <c r="K196" i="1" s="1"/>
  <c r="J197" i="1"/>
  <c r="M197" i="1" s="1"/>
  <c r="G197" i="1"/>
  <c r="K197" i="1" s="1"/>
  <c r="J198" i="1"/>
  <c r="M198" i="1" s="1"/>
  <c r="G198" i="1"/>
  <c r="K198" i="1" s="1"/>
  <c r="J199" i="1"/>
  <c r="M199" i="1" s="1"/>
  <c r="G199" i="1"/>
  <c r="K199" i="1" s="1"/>
  <c r="J200" i="1"/>
  <c r="M200" i="1" s="1"/>
  <c r="G200" i="1"/>
  <c r="K200" i="1" s="1"/>
  <c r="J201" i="1"/>
  <c r="M201" i="1" s="1"/>
  <c r="G201" i="1"/>
  <c r="K201" i="1" s="1"/>
  <c r="J202" i="1"/>
  <c r="M202" i="1" s="1"/>
  <c r="G202" i="1"/>
  <c r="K202" i="1" s="1"/>
  <c r="J203" i="1"/>
  <c r="M203" i="1" s="1"/>
  <c r="G203" i="1"/>
  <c r="K203" i="1" s="1"/>
  <c r="J204" i="1"/>
  <c r="M204" i="1" s="1"/>
  <c r="G204" i="1"/>
  <c r="K204" i="1" s="1"/>
  <c r="J205" i="1"/>
  <c r="M205" i="1" s="1"/>
  <c r="G205" i="1"/>
  <c r="K205" i="1" s="1"/>
  <c r="J206" i="1"/>
  <c r="M206" i="1" s="1"/>
  <c r="G206" i="1"/>
  <c r="K206" i="1" s="1"/>
  <c r="J207" i="1"/>
  <c r="M207" i="1" s="1"/>
  <c r="G207" i="1"/>
  <c r="K207" i="1" s="1"/>
  <c r="J208" i="1"/>
  <c r="M208" i="1" s="1"/>
  <c r="G208" i="1"/>
  <c r="K208" i="1" s="1"/>
  <c r="J209" i="1"/>
  <c r="M209" i="1" s="1"/>
  <c r="G209" i="1"/>
  <c r="K209" i="1" s="1"/>
  <c r="J210" i="1"/>
  <c r="M210" i="1" s="1"/>
  <c r="G210" i="1"/>
  <c r="K210" i="1" s="1"/>
  <c r="J211" i="1"/>
  <c r="M211" i="1" s="1"/>
  <c r="G211" i="1"/>
  <c r="K211" i="1" s="1"/>
  <c r="J5" i="1"/>
  <c r="M5" i="1" s="1"/>
  <c r="G5" i="1"/>
  <c r="K5" i="1" s="1"/>
  <c r="J6" i="1"/>
  <c r="M6" i="1" s="1"/>
  <c r="G6" i="1"/>
  <c r="K6" i="1" s="1"/>
  <c r="J7" i="1"/>
  <c r="M7" i="1" s="1"/>
  <c r="G7" i="1"/>
  <c r="K7" i="1" s="1"/>
  <c r="J8" i="1"/>
  <c r="M8" i="1" s="1"/>
  <c r="G8" i="1"/>
  <c r="K8" i="1" s="1"/>
  <c r="J9" i="1"/>
  <c r="M9" i="1" s="1"/>
  <c r="G9" i="1"/>
  <c r="K9" i="1" s="1"/>
  <c r="J10" i="1"/>
  <c r="M10" i="1" s="1"/>
  <c r="G10" i="1"/>
  <c r="K10" i="1" s="1"/>
  <c r="J11" i="1"/>
  <c r="M11" i="1" s="1"/>
  <c r="G11" i="1"/>
  <c r="K11" i="1" s="1"/>
  <c r="J12" i="1"/>
  <c r="M12" i="1" s="1"/>
  <c r="G12" i="1"/>
  <c r="K12" i="1" s="1"/>
  <c r="J13" i="1"/>
  <c r="M13" i="1" s="1"/>
  <c r="G13" i="1"/>
  <c r="K13" i="1" s="1"/>
  <c r="J14" i="1"/>
  <c r="M14" i="1" s="1"/>
  <c r="G14" i="1"/>
  <c r="K14" i="1" s="1"/>
  <c r="J15" i="1"/>
  <c r="M15" i="1" s="1"/>
  <c r="G15" i="1"/>
  <c r="K15" i="1" s="1"/>
  <c r="J16" i="1"/>
  <c r="M16" i="1" s="1"/>
  <c r="G16" i="1"/>
  <c r="K16" i="1" s="1"/>
  <c r="J17" i="1"/>
  <c r="M17" i="1" s="1"/>
  <c r="G17" i="1"/>
  <c r="K17" i="1" s="1"/>
  <c r="J18" i="1"/>
  <c r="M18" i="1" s="1"/>
  <c r="G18" i="1"/>
  <c r="K18" i="1" s="1"/>
  <c r="J19" i="1"/>
  <c r="M19" i="1" s="1"/>
  <c r="G19" i="1"/>
  <c r="K19" i="1" s="1"/>
  <c r="J20" i="1"/>
  <c r="M20" i="1" s="1"/>
  <c r="G20" i="1"/>
  <c r="K20" i="1" s="1"/>
  <c r="J21" i="1"/>
  <c r="M21" i="1" s="1"/>
  <c r="G21" i="1"/>
  <c r="K21" i="1" s="1"/>
  <c r="J22" i="1"/>
  <c r="M22" i="1" s="1"/>
  <c r="G22" i="1"/>
  <c r="K22" i="1" s="1"/>
  <c r="J23" i="1"/>
  <c r="M23" i="1" s="1"/>
  <c r="G23" i="1"/>
  <c r="K23" i="1" s="1"/>
  <c r="J24" i="1"/>
  <c r="M24" i="1" s="1"/>
  <c r="G24" i="1"/>
  <c r="K24" i="1" s="1"/>
  <c r="J25" i="1"/>
  <c r="M25" i="1" s="1"/>
  <c r="G25" i="1"/>
  <c r="K25" i="1" s="1"/>
  <c r="J26" i="1"/>
  <c r="M26" i="1" s="1"/>
  <c r="G26" i="1"/>
  <c r="K26" i="1" s="1"/>
  <c r="J27" i="1"/>
  <c r="M27" i="1" s="1"/>
  <c r="G27" i="1"/>
  <c r="K27" i="1" s="1"/>
  <c r="J28" i="1"/>
  <c r="M28" i="1" s="1"/>
  <c r="G28" i="1"/>
  <c r="K28" i="1" s="1"/>
  <c r="J29" i="1"/>
  <c r="M29" i="1" s="1"/>
  <c r="G29" i="1"/>
  <c r="K29" i="1" s="1"/>
  <c r="J30" i="1"/>
  <c r="M30" i="1" s="1"/>
  <c r="G30" i="1"/>
  <c r="K30" i="1" s="1"/>
  <c r="J31" i="1"/>
  <c r="M31" i="1" s="1"/>
  <c r="G31" i="1"/>
  <c r="K31" i="1" s="1"/>
  <c r="J32" i="1"/>
  <c r="M32" i="1" s="1"/>
  <c r="G32" i="1"/>
  <c r="K32" i="1" s="1"/>
  <c r="J33" i="1"/>
  <c r="M33" i="1" s="1"/>
  <c r="G33" i="1"/>
  <c r="K33" i="1" s="1"/>
  <c r="J34" i="1"/>
  <c r="M34" i="1" s="1"/>
  <c r="G34" i="1"/>
  <c r="K34" i="1" s="1"/>
  <c r="J35" i="1"/>
  <c r="M35" i="1" s="1"/>
  <c r="G35" i="1"/>
  <c r="K35" i="1" s="1"/>
  <c r="J36" i="1"/>
  <c r="M36" i="1" s="1"/>
  <c r="G36" i="1"/>
  <c r="K36" i="1" s="1"/>
  <c r="J37" i="1"/>
  <c r="M37" i="1" s="1"/>
  <c r="G37" i="1"/>
  <c r="K37" i="1" s="1"/>
  <c r="J38" i="1"/>
  <c r="M38" i="1" s="1"/>
  <c r="G38" i="1"/>
  <c r="K38" i="1" s="1"/>
  <c r="J39" i="1"/>
  <c r="M39" i="1" s="1"/>
  <c r="G39" i="1"/>
  <c r="K39" i="1" s="1"/>
  <c r="J40" i="1"/>
  <c r="M40" i="1" s="1"/>
  <c r="G40" i="1"/>
  <c r="K40" i="1" s="1"/>
  <c r="J41" i="1"/>
  <c r="M41" i="1" s="1"/>
  <c r="G41" i="1"/>
  <c r="K41" i="1" s="1"/>
  <c r="J42" i="1"/>
  <c r="M42" i="1" s="1"/>
  <c r="G42" i="1"/>
  <c r="K42" i="1" s="1"/>
  <c r="J43" i="1"/>
  <c r="M43" i="1" s="1"/>
  <c r="G43" i="1"/>
  <c r="K43" i="1" s="1"/>
  <c r="J44" i="1"/>
  <c r="M44" i="1" s="1"/>
  <c r="G44" i="1"/>
  <c r="K44" i="1" s="1"/>
  <c r="J45" i="1"/>
  <c r="M45" i="1" s="1"/>
  <c r="G45" i="1"/>
  <c r="K45" i="1" s="1"/>
  <c r="J46" i="1"/>
  <c r="M46" i="1" s="1"/>
  <c r="G46" i="1"/>
  <c r="K46" i="1" s="1"/>
  <c r="J47" i="1"/>
  <c r="M47" i="1" s="1"/>
  <c r="G47" i="1"/>
  <c r="K47" i="1" s="1"/>
  <c r="J48" i="1"/>
  <c r="M48" i="1" s="1"/>
  <c r="G48" i="1"/>
  <c r="K48" i="1" s="1"/>
  <c r="J49" i="1"/>
  <c r="M49" i="1" s="1"/>
  <c r="G49" i="1"/>
  <c r="K49" i="1" s="1"/>
  <c r="J50" i="1"/>
  <c r="M50" i="1" s="1"/>
  <c r="G50" i="1"/>
  <c r="K50" i="1" s="1"/>
  <c r="J51" i="1"/>
  <c r="M51" i="1" s="1"/>
  <c r="G51" i="1"/>
  <c r="K51" i="1" s="1"/>
  <c r="J52" i="1"/>
  <c r="M52" i="1" s="1"/>
  <c r="G52" i="1"/>
  <c r="K52" i="1" s="1"/>
  <c r="J53" i="1"/>
  <c r="M53" i="1" s="1"/>
  <c r="G53" i="1"/>
  <c r="K53" i="1" s="1"/>
  <c r="J54" i="1"/>
  <c r="M54" i="1" s="1"/>
  <c r="G54" i="1"/>
  <c r="K54" i="1" s="1"/>
  <c r="J55" i="1"/>
  <c r="M55" i="1" s="1"/>
  <c r="G55" i="1"/>
  <c r="K55" i="1" s="1"/>
  <c r="J56" i="1"/>
  <c r="M56" i="1" s="1"/>
  <c r="G56" i="1"/>
  <c r="K56" i="1" s="1"/>
  <c r="J57" i="1"/>
  <c r="M57" i="1" s="1"/>
  <c r="G57" i="1"/>
  <c r="K57" i="1" s="1"/>
  <c r="J58" i="1"/>
  <c r="M58" i="1" s="1"/>
  <c r="G58" i="1"/>
  <c r="K58" i="1" s="1"/>
  <c r="J59" i="1"/>
  <c r="M59" i="1" s="1"/>
  <c r="G59" i="1"/>
  <c r="K59" i="1" s="1"/>
  <c r="J60" i="1"/>
  <c r="M60" i="1" s="1"/>
  <c r="G60" i="1"/>
  <c r="K60" i="1" s="1"/>
  <c r="J61" i="1"/>
  <c r="M61" i="1" s="1"/>
  <c r="G61" i="1"/>
  <c r="K61" i="1" s="1"/>
  <c r="J62" i="1"/>
  <c r="M62" i="1" s="1"/>
  <c r="G62" i="1"/>
  <c r="K62" i="1" s="1"/>
  <c r="J63" i="1"/>
  <c r="M63" i="1" s="1"/>
  <c r="G63" i="1"/>
  <c r="K63" i="1" s="1"/>
  <c r="J64" i="1"/>
  <c r="M64" i="1" s="1"/>
  <c r="G64" i="1"/>
  <c r="K64" i="1" s="1"/>
  <c r="J65" i="1"/>
  <c r="M65" i="1" s="1"/>
  <c r="G65" i="1"/>
  <c r="K65" i="1" s="1"/>
  <c r="J66" i="1"/>
  <c r="M66" i="1" s="1"/>
  <c r="G66" i="1"/>
  <c r="K66" i="1" s="1"/>
  <c r="J67" i="1"/>
  <c r="M67" i="1" s="1"/>
  <c r="G67" i="1"/>
  <c r="K67" i="1" s="1"/>
  <c r="J68" i="1"/>
  <c r="M68" i="1" s="1"/>
  <c r="G68" i="1"/>
  <c r="K68" i="1" s="1"/>
  <c r="J69" i="1"/>
  <c r="M69" i="1" s="1"/>
  <c r="G69" i="1"/>
  <c r="K69" i="1" s="1"/>
  <c r="J70" i="1"/>
  <c r="M70" i="1" s="1"/>
  <c r="G70" i="1"/>
  <c r="K70" i="1" s="1"/>
  <c r="J71" i="1"/>
  <c r="M71" i="1" s="1"/>
  <c r="G71" i="1"/>
  <c r="K71" i="1" s="1"/>
  <c r="J72" i="1"/>
  <c r="M72" i="1" s="1"/>
  <c r="G72" i="1"/>
  <c r="K72" i="1" s="1"/>
  <c r="J73" i="1"/>
  <c r="M73" i="1" s="1"/>
  <c r="G73" i="1"/>
  <c r="K73" i="1" s="1"/>
  <c r="J74" i="1"/>
  <c r="M74" i="1" s="1"/>
  <c r="G74" i="1"/>
  <c r="K74" i="1" s="1"/>
  <c r="J75" i="1"/>
  <c r="M75" i="1" s="1"/>
  <c r="G75" i="1"/>
  <c r="K75" i="1" s="1"/>
  <c r="J76" i="1"/>
  <c r="M76" i="1" s="1"/>
  <c r="G76" i="1"/>
  <c r="K76" i="1" s="1"/>
  <c r="J77" i="1"/>
  <c r="M77" i="1" s="1"/>
  <c r="G77" i="1"/>
  <c r="K77" i="1" s="1"/>
  <c r="J78" i="1"/>
  <c r="M78" i="1" s="1"/>
  <c r="G78" i="1"/>
  <c r="K78" i="1" s="1"/>
  <c r="J79" i="1"/>
  <c r="M79" i="1" s="1"/>
  <c r="G79" i="1"/>
  <c r="K79" i="1" s="1"/>
  <c r="J80" i="1"/>
  <c r="M80" i="1" s="1"/>
  <c r="G80" i="1"/>
  <c r="K80" i="1" s="1"/>
  <c r="J81" i="1"/>
  <c r="M81" i="1" s="1"/>
  <c r="G81" i="1"/>
  <c r="K81" i="1" s="1"/>
  <c r="J82" i="1"/>
  <c r="M82" i="1" s="1"/>
  <c r="G82" i="1"/>
  <c r="K82" i="1" s="1"/>
  <c r="J83" i="1"/>
  <c r="M83" i="1" s="1"/>
  <c r="G83" i="1"/>
  <c r="K83" i="1" s="1"/>
  <c r="J84" i="1"/>
  <c r="M84" i="1" s="1"/>
  <c r="G84" i="1"/>
  <c r="K84" i="1" s="1"/>
  <c r="J85" i="1"/>
  <c r="M85" i="1" s="1"/>
  <c r="G85" i="1"/>
  <c r="K85" i="1" s="1"/>
  <c r="J86" i="1"/>
  <c r="M86" i="1" s="1"/>
  <c r="G86" i="1"/>
  <c r="K86" i="1" s="1"/>
  <c r="J87" i="1"/>
  <c r="M87" i="1" s="1"/>
  <c r="G87" i="1"/>
  <c r="K87" i="1" s="1"/>
  <c r="J88" i="1"/>
  <c r="M88" i="1" s="1"/>
  <c r="G88" i="1"/>
  <c r="K88" i="1" s="1"/>
  <c r="J89" i="1"/>
  <c r="M89" i="1" s="1"/>
  <c r="G89" i="1"/>
  <c r="K89" i="1" s="1"/>
  <c r="J90" i="1"/>
  <c r="M90" i="1" s="1"/>
  <c r="G90" i="1"/>
  <c r="K90" i="1" s="1"/>
  <c r="J91" i="1"/>
  <c r="M91" i="1" s="1"/>
  <c r="G91" i="1"/>
  <c r="K91" i="1" s="1"/>
  <c r="J92" i="1"/>
  <c r="M92" i="1" s="1"/>
  <c r="G92" i="1"/>
  <c r="K92" i="1" s="1"/>
  <c r="J93" i="1"/>
  <c r="M93" i="1" s="1"/>
  <c r="G93" i="1"/>
  <c r="K93" i="1" s="1"/>
  <c r="J94" i="1"/>
  <c r="M94" i="1" s="1"/>
  <c r="G94" i="1"/>
  <c r="K94" i="1" s="1"/>
  <c r="J95" i="1"/>
  <c r="M95" i="1" s="1"/>
  <c r="G95" i="1"/>
  <c r="K95" i="1" s="1"/>
  <c r="J96" i="1"/>
  <c r="M96" i="1" s="1"/>
  <c r="G96" i="1"/>
  <c r="K96" i="1" s="1"/>
  <c r="J97" i="1"/>
  <c r="M97" i="1" s="1"/>
  <c r="G97" i="1"/>
  <c r="K97" i="1" s="1"/>
  <c r="J98" i="1"/>
  <c r="M98" i="1" s="1"/>
  <c r="G98" i="1"/>
  <c r="K98" i="1" s="1"/>
  <c r="J99" i="1"/>
  <c r="M99" i="1" s="1"/>
  <c r="G99" i="1"/>
  <c r="K99" i="1" s="1"/>
  <c r="J100" i="1"/>
  <c r="M100" i="1" s="1"/>
  <c r="G100" i="1"/>
  <c r="K100" i="1" s="1"/>
  <c r="J101" i="1"/>
  <c r="M101" i="1" s="1"/>
  <c r="G101" i="1"/>
  <c r="K101" i="1" s="1"/>
  <c r="J102" i="1"/>
  <c r="M102" i="1" s="1"/>
  <c r="G102" i="1"/>
  <c r="K102" i="1" s="1"/>
  <c r="J103" i="1"/>
  <c r="M103" i="1" s="1"/>
  <c r="G103" i="1"/>
  <c r="K103" i="1" s="1"/>
  <c r="J104" i="1"/>
  <c r="M104" i="1" s="1"/>
  <c r="G104" i="1"/>
  <c r="K104" i="1" s="1"/>
  <c r="J105" i="1"/>
  <c r="M105" i="1" s="1"/>
  <c r="G105" i="1"/>
  <c r="K105" i="1" s="1"/>
  <c r="J106" i="1"/>
  <c r="M106" i="1" s="1"/>
  <c r="G106" i="1"/>
  <c r="K106" i="1" s="1"/>
  <c r="J107" i="1"/>
  <c r="M107" i="1" s="1"/>
  <c r="G107" i="1"/>
  <c r="K107" i="1" s="1"/>
  <c r="J108" i="1"/>
  <c r="M108" i="1" s="1"/>
  <c r="G108" i="1"/>
  <c r="K108" i="1" s="1"/>
  <c r="J109" i="1"/>
  <c r="M109" i="1" s="1"/>
  <c r="G109" i="1"/>
  <c r="K109" i="1" s="1"/>
  <c r="J110" i="1"/>
  <c r="M110" i="1" s="1"/>
  <c r="G110" i="1"/>
  <c r="K110" i="1" s="1"/>
  <c r="J111" i="1"/>
  <c r="M111" i="1" s="1"/>
  <c r="G111" i="1"/>
  <c r="K111" i="1" s="1"/>
  <c r="J112" i="1"/>
  <c r="M112" i="1" s="1"/>
  <c r="G112" i="1"/>
  <c r="K112" i="1" s="1"/>
  <c r="J113" i="1"/>
  <c r="M113" i="1" s="1"/>
  <c r="G113" i="1"/>
  <c r="K113" i="1" s="1"/>
  <c r="J114" i="1"/>
  <c r="M114" i="1" s="1"/>
  <c r="G114" i="1"/>
  <c r="K114" i="1" s="1"/>
  <c r="J115" i="1"/>
  <c r="M115" i="1" s="1"/>
  <c r="G115" i="1"/>
  <c r="K115" i="1" s="1"/>
  <c r="J116" i="1"/>
  <c r="M116" i="1" s="1"/>
  <c r="G116" i="1"/>
  <c r="K116" i="1" s="1"/>
  <c r="J117" i="1"/>
  <c r="M117" i="1" s="1"/>
  <c r="G117" i="1"/>
  <c r="K117" i="1" s="1"/>
  <c r="J118" i="1"/>
  <c r="M118" i="1" s="1"/>
  <c r="G118" i="1"/>
  <c r="K118" i="1" s="1"/>
  <c r="J119" i="1"/>
  <c r="M119" i="1" s="1"/>
  <c r="G119" i="1"/>
  <c r="K119" i="1" s="1"/>
  <c r="J120" i="1"/>
  <c r="M120" i="1" s="1"/>
  <c r="G120" i="1"/>
  <c r="K120" i="1" s="1"/>
  <c r="J121" i="1"/>
  <c r="M121" i="1" s="1"/>
  <c r="G121" i="1"/>
  <c r="K121" i="1" s="1"/>
  <c r="J122" i="1"/>
  <c r="M122" i="1" s="1"/>
  <c r="G122" i="1"/>
  <c r="K122" i="1" s="1"/>
  <c r="J123" i="1"/>
  <c r="M123" i="1" s="1"/>
  <c r="G123" i="1"/>
  <c r="K123" i="1" s="1"/>
  <c r="J124" i="1"/>
  <c r="M124" i="1" s="1"/>
  <c r="G124" i="1"/>
  <c r="K124" i="1" s="1"/>
  <c r="J125" i="1"/>
  <c r="M125" i="1" s="1"/>
  <c r="G125" i="1"/>
  <c r="K125" i="1" s="1"/>
  <c r="J126" i="1"/>
  <c r="M126" i="1" s="1"/>
  <c r="G126" i="1"/>
  <c r="K126" i="1" s="1"/>
  <c r="J127" i="1"/>
  <c r="M127" i="1" s="1"/>
  <c r="G127" i="1"/>
  <c r="K127" i="1" s="1"/>
  <c r="J128" i="1"/>
  <c r="M128" i="1" s="1"/>
  <c r="G128" i="1"/>
  <c r="K128" i="1" s="1"/>
  <c r="J129" i="1"/>
  <c r="M129" i="1" s="1"/>
  <c r="G129" i="1"/>
  <c r="K129" i="1" s="1"/>
  <c r="J130" i="1"/>
  <c r="M130" i="1" s="1"/>
  <c r="G130" i="1"/>
  <c r="K130" i="1" s="1"/>
  <c r="J131" i="1"/>
  <c r="M131" i="1" s="1"/>
  <c r="G131" i="1"/>
  <c r="K131" i="1" s="1"/>
  <c r="J132" i="1"/>
  <c r="M132" i="1" s="1"/>
  <c r="G132" i="1"/>
  <c r="K132" i="1" s="1"/>
  <c r="J133" i="1"/>
  <c r="M133" i="1" s="1"/>
  <c r="G133" i="1"/>
  <c r="K133" i="1" s="1"/>
  <c r="J134" i="1"/>
  <c r="M134" i="1" s="1"/>
  <c r="G134" i="1"/>
  <c r="K134" i="1" s="1"/>
  <c r="J135" i="1"/>
  <c r="M135" i="1" s="1"/>
  <c r="G135" i="1"/>
  <c r="K135" i="1" s="1"/>
  <c r="J136" i="1"/>
  <c r="M136" i="1" s="1"/>
  <c r="G136" i="1"/>
  <c r="K136" i="1" s="1"/>
  <c r="J137" i="1"/>
  <c r="M137" i="1" s="1"/>
  <c r="G137" i="1"/>
  <c r="K137" i="1" s="1"/>
  <c r="J138" i="1"/>
  <c r="M138" i="1" s="1"/>
  <c r="G138" i="1"/>
  <c r="K138" i="1" s="1"/>
  <c r="J139" i="1"/>
  <c r="M139" i="1" s="1"/>
  <c r="G139" i="1"/>
  <c r="K139" i="1" s="1"/>
  <c r="J140" i="1"/>
  <c r="M140" i="1" s="1"/>
  <c r="G140" i="1"/>
  <c r="K140" i="1" s="1"/>
  <c r="J141" i="1"/>
  <c r="M141" i="1" s="1"/>
  <c r="G141" i="1"/>
  <c r="K141" i="1" s="1"/>
  <c r="J142" i="1"/>
  <c r="M142" i="1" s="1"/>
  <c r="G142" i="1"/>
  <c r="K142" i="1" s="1"/>
  <c r="J143" i="1"/>
  <c r="M143" i="1" s="1"/>
  <c r="G143" i="1"/>
  <c r="K143" i="1" s="1"/>
  <c r="J144" i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K145" i="1" s="1"/>
  <c r="J146" i="1"/>
  <c r="M146" i="1" s="1"/>
  <c r="G146" i="1"/>
  <c r="K146" i="1" s="1"/>
  <c r="J147" i="1"/>
  <c r="M147" i="1" s="1"/>
  <c r="G147" i="1"/>
  <c r="K147" i="1" s="1"/>
  <c r="J148" i="1"/>
  <c r="M148" i="1" s="1"/>
  <c r="G148" i="1"/>
  <c r="K148" i="1" s="1"/>
  <c r="J149" i="1"/>
  <c r="M149" i="1" s="1"/>
  <c r="G149" i="1"/>
  <c r="K149" i="1" s="1"/>
  <c r="J150" i="1"/>
  <c r="M150" i="1" s="1"/>
  <c r="G150" i="1"/>
  <c r="K150" i="1" s="1"/>
  <c r="J151" i="1"/>
  <c r="M151" i="1" s="1"/>
  <c r="G151" i="1"/>
  <c r="K151" i="1" s="1"/>
  <c r="J152" i="1"/>
  <c r="M152" i="1" s="1"/>
  <c r="G152" i="1"/>
  <c r="K152" i="1" s="1"/>
  <c r="J153" i="1"/>
  <c r="M153" i="1" s="1"/>
  <c r="G153" i="1"/>
  <c r="K153" i="1" s="1"/>
  <c r="J154" i="1"/>
  <c r="M154" i="1" s="1"/>
  <c r="G154" i="1"/>
  <c r="K154" i="1" s="1"/>
  <c r="J155" i="1"/>
  <c r="M155" i="1" s="1"/>
  <c r="G155" i="1"/>
  <c r="K155" i="1" s="1"/>
  <c r="J156" i="1"/>
  <c r="M156" i="1" s="1"/>
  <c r="G156" i="1"/>
  <c r="K156" i="1" s="1"/>
  <c r="J157" i="1"/>
  <c r="M157" i="1" s="1"/>
  <c r="G157" i="1"/>
  <c r="K157" i="1" s="1"/>
  <c r="J158" i="1"/>
  <c r="M158" i="1" s="1"/>
  <c r="G158" i="1"/>
  <c r="K158" i="1" s="1"/>
  <c r="J159" i="1"/>
  <c r="M159" i="1" s="1"/>
  <c r="G159" i="1"/>
  <c r="K159" i="1" s="1"/>
  <c r="J160" i="1"/>
  <c r="M160" i="1" s="1"/>
  <c r="G160" i="1"/>
  <c r="K160" i="1" s="1"/>
  <c r="J161" i="1"/>
  <c r="M161" i="1" s="1"/>
  <c r="G161" i="1"/>
  <c r="K161" i="1" s="1"/>
  <c r="J162" i="1"/>
  <c r="M162" i="1" s="1"/>
  <c r="G162" i="1"/>
  <c r="K162" i="1" s="1"/>
  <c r="J163" i="1"/>
  <c r="M163" i="1" s="1"/>
  <c r="G163" i="1"/>
  <c r="K163" i="1" s="1"/>
  <c r="J164" i="1"/>
  <c r="M164" i="1" s="1"/>
  <c r="G164" i="1"/>
  <c r="K164" i="1" s="1"/>
  <c r="J165" i="1"/>
  <c r="M165" i="1" s="1"/>
  <c r="G165" i="1"/>
  <c r="K165" i="1" s="1"/>
  <c r="J166" i="1"/>
  <c r="M166" i="1" s="1"/>
  <c r="G166" i="1"/>
  <c r="K166" i="1" s="1"/>
  <c r="J167" i="1"/>
  <c r="M167" i="1" s="1"/>
  <c r="G167" i="1"/>
  <c r="K167" i="1" s="1"/>
  <c r="J168" i="1"/>
  <c r="M168" i="1" s="1"/>
  <c r="G168" i="1"/>
  <c r="K168" i="1" s="1"/>
  <c r="J169" i="1"/>
  <c r="M169" i="1" s="1"/>
  <c r="G169" i="1"/>
  <c r="K169" i="1" s="1"/>
  <c r="J170" i="1"/>
  <c r="M170" i="1" s="1"/>
  <c r="G170" i="1"/>
  <c r="K170" i="1" s="1"/>
  <c r="J171" i="1"/>
  <c r="M171" i="1" s="1"/>
  <c r="G171" i="1"/>
  <c r="K171" i="1" s="1"/>
  <c r="J172" i="1"/>
  <c r="M172" i="1" s="1"/>
  <c r="G172" i="1"/>
  <c r="K172" i="1" s="1"/>
  <c r="J173" i="1"/>
  <c r="M173" i="1" s="1"/>
  <c r="G173" i="1"/>
  <c r="K173" i="1" s="1"/>
  <c r="J174" i="1"/>
  <c r="M174" i="1" s="1"/>
  <c r="G174" i="1"/>
  <c r="K174" i="1" s="1"/>
  <c r="J175" i="1"/>
  <c r="M175" i="1" s="1"/>
  <c r="G175" i="1"/>
  <c r="K175" i="1" s="1"/>
  <c r="J176" i="1"/>
  <c r="M176" i="1" s="1"/>
  <c r="G176" i="1"/>
  <c r="K176" i="1" s="1"/>
  <c r="J177" i="1"/>
  <c r="M177" i="1" s="1"/>
  <c r="G177" i="1"/>
  <c r="K177" i="1" s="1"/>
  <c r="J178" i="1"/>
  <c r="M178" i="1" s="1"/>
  <c r="G178" i="1"/>
  <c r="K178" i="1" s="1"/>
  <c r="J179" i="1"/>
  <c r="M179" i="1" s="1"/>
  <c r="G179" i="1"/>
  <c r="K179" i="1" s="1"/>
  <c r="J180" i="1"/>
  <c r="M180" i="1" s="1"/>
  <c r="G180" i="1"/>
  <c r="K180" i="1" s="1"/>
  <c r="J181" i="1"/>
  <c r="M181" i="1" s="1"/>
  <c r="G181" i="1"/>
  <c r="K181" i="1" s="1"/>
  <c r="J182" i="1"/>
  <c r="M182" i="1" s="1"/>
  <c r="G182" i="1"/>
  <c r="K182" i="1" s="1"/>
  <c r="J183" i="1"/>
  <c r="M183" i="1" s="1"/>
  <c r="G183" i="1"/>
  <c r="K183" i="1" s="1"/>
  <c r="J184" i="1"/>
  <c r="M184" i="1" s="1"/>
  <c r="G184" i="1"/>
  <c r="K184" i="1" s="1"/>
  <c r="J185" i="1"/>
  <c r="M185" i="1" s="1"/>
  <c r="G185" i="1"/>
  <c r="K185" i="1" s="1"/>
  <c r="J186" i="1"/>
  <c r="M186" i="1" s="1"/>
  <c r="G186" i="1"/>
  <c r="K186" i="1" s="1"/>
  <c r="J187" i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<sst xmlns="http://schemas.openxmlformats.org/spreadsheetml/2006/main" count="40" uniqueCount="36">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</sst>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zoomScale="85" zoomScaleNormal="85" workbookViewId="0">
      <selection activeCell="K9" sqref="K9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-0.34921000000000002</v>
      </c>
      <c r="AC3" t="s">
        <v>30</v>
      </c>
    </row>
    <row r="4" spans="1:29" x14ac:dyDescent="0.3">
      <c r="A4">
        <v>0.10686795</v>
      </c>
      <c r="B4">
        <v>0.87688999999999995</v>
      </c>
      <c r="C4">
        <f>A4*B4</f>
        <v>9.3711436675499998E-2</v>
      </c>
      <c r="D4">
        <v>1.66E-2</v>
      </c>
      <c r="E4">
        <v>3.5699999999999998E-3</v>
      </c>
      <c r="F4">
        <f>A4*200</f>
        <v>21.37359</v>
      </c>
      <c r="G4">
        <f>-B4</f>
        <v>-0.87688999999999995</v>
      </c>
      <c r="H4">
        <f t="shared" ref="H4" si="0">-C4*200</f>
        <v>-18.742287335099999</v>
      </c>
      <c r="I4">
        <v>1</v>
      </c>
      <c r="J4">
        <f>LN(F4/1000)</f>
        <v>-3.8455992312473741</v>
      </c>
      <c r="K4">
        <f>((-G4)-$N$2)</f>
        <v>-0.34483515177521751</v>
      </c>
      <c r="L4">
        <v>1</v>
      </c>
      <c r="M4">
        <f>-1*($S$4+($S$5*J4))</f>
        <v>0.33229181637217309</v>
      </c>
      <c r="N4">
        <f>D4*A4</f>
        <v>1.77400797E-3</v>
      </c>
      <c r="O4">
        <f>E4*A4</f>
        <v>3.8151858149999997E-4</v>
      </c>
      <c r="P4">
        <f>-K4-M4-N4-O4</f>
        <v>1.038780885154442E-2</v>
      </c>
      <c r="R4" s="2" t="s">
        <v>16</v>
      </c>
      <c r="S4">
        <v>-0.49423</v>
      </c>
      <c r="V4">
        <v>-6</v>
      </c>
      <c r="W4">
        <f>V4*$S$5+$S$4</f>
        <v>-0.24157000000000001</v>
      </c>
      <c r="Y4">
        <v>0</v>
      </c>
      <c r="Z4">
        <f>$AB$4*Y4+$AB$3</f>
        <v>-0.34921000000000002</v>
      </c>
      <c r="AB4">
        <v>8.7322100000000002</v>
      </c>
      <c r="AC4" t="s">
        <v>31</v>
      </c>
    </row>
    <row r="5" spans="1:29" x14ac:dyDescent="0.3">
      <c r="A5">
        <v>0.1572771</v>
      </c>
      <c r="B5">
        <v>0.84370000000000001</v>
      </c>
      <c r="C5">
        <f t="shared" ref="C5:C68" si="1">A5*B5</f>
        <v>0.13269468927</v>
      </c>
      <c r="D5">
        <v>1.66E-2</v>
      </c>
      <c r="E5">
        <v>3.5699999999999998E-3</v>
      </c>
      <c r="F5">
        <f t="shared" ref="F5:F68" si="2">A5*200</f>
        <v>31.45542</v>
      </c>
      <c r="G5">
        <f t="shared" ref="G5:G68" si="3">-B5</f>
        <v>-0.84370000000000001</v>
      </c>
      <c r="H5">
        <f t="shared" ref="H5:H68" si="4">-C5*200</f>
        <v>-26.538937854</v>
      </c>
      <c r="I5">
        <v>1</v>
      </c>
      <c r="J5">
        <f t="shared" ref="J5:J68" si="5">LN(F5/1000)</f>
        <v>-3.4591839736410845</v>
      </c>
      <c r="K5">
        <f t="shared" ref="K5:K68" si="6">((-G5)-$N$2)</f>
        <v>-0.37802515177521745</v>
      </c>
      <c r="L5">
        <v>1</v>
      </c>
      <c r="M5">
        <f t="shared" ref="M5:M68" si="7">-1*($S$4+($S$5*J5))</f>
        <v>0.34856376286997393</v>
      </c>
      <c r="N5">
        <f t="shared" ref="N5:N6" si="8">D5*A5</f>
        <v>2.6107998600000001E-3</v>
      </c>
      <c r="O5">
        <f>E5*A5</f>
        <v>5.6147924700000003E-4</v>
      </c>
      <c r="P5">
        <f>-K5-M5-N5-O5</f>
        <v>2.6289109798243525E-2</v>
      </c>
      <c r="R5" s="2" t="s">
        <v>17</v>
      </c>
      <c r="S5">
        <v>-4.2110000000000002E-2</v>
      </c>
      <c r="V5">
        <v>-5.9</v>
      </c>
      <c r="W5">
        <f t="shared" ref="W5:W68" si="9">V5*$S$5+$S$4</f>
        <v>-0.24578099999999997</v>
      </c>
      <c r="Y5">
        <v>0.01</v>
      </c>
      <c r="Z5">
        <f t="shared" ref="Z5:Z31" si="10">$AB$4*Y5+$AB$3</f>
        <v>-0.26188790000000001</v>
      </c>
    </row>
    <row r="6" spans="1:29" x14ac:dyDescent="0.3">
      <c r="A6">
        <v>0.20768624999999999</v>
      </c>
      <c r="B6">
        <v>0.82516</v>
      </c>
      <c r="C6">
        <f t="shared" si="1"/>
        <v>0.17137438604999999</v>
      </c>
      <c r="D6">
        <v>1.66E-2</v>
      </c>
      <c r="E6">
        <v>3.5699999999999998E-3</v>
      </c>
      <c r="F6">
        <f t="shared" si="2"/>
        <v>41.53725</v>
      </c>
      <c r="G6">
        <f t="shared" si="3"/>
        <v>-0.82516</v>
      </c>
      <c r="H6">
        <f t="shared" si="4"/>
        <v>-34.27487721</v>
      </c>
      <c r="I6">
        <v>1</v>
      </c>
      <c r="J6">
        <f t="shared" si="5"/>
        <v>-3.1811646639773761</v>
      </c>
      <c r="K6">
        <f t="shared" si="6"/>
        <v>-0.39656515177521745</v>
      </c>
      <c r="L6">
        <v>1</v>
      </c>
      <c r="M6">
        <f t="shared" si="7"/>
        <v>0.36027115599991266</v>
      </c>
      <c r="N6">
        <f t="shared" si="8"/>
        <v>3.4475917499999999E-3</v>
      </c>
      <c r="O6">
        <f t="shared" ref="O6:O69" si="11">E6*A6</f>
        <v>7.4143991249999992E-4</v>
      </c>
      <c r="P6">
        <f t="shared" ref="P6:P69" si="12">-K6-M6-N6-O6</f>
        <v>3.2104964112804786E-2</v>
      </c>
      <c r="V6">
        <v>-5.8</v>
      </c>
      <c r="W6">
        <f t="shared" si="9"/>
        <v>-0.24999199999999999</v>
      </c>
      <c r="Y6">
        <v>0.02</v>
      </c>
      <c r="Z6">
        <f t="shared" si="10"/>
        <v>-0.17456580000000002</v>
      </c>
      <c r="AB6" t="s">
        <v>32</v>
      </c>
    </row>
    <row r="7" spans="1:29" x14ac:dyDescent="0.3">
      <c r="A7">
        <v>0.25860460000000002</v>
      </c>
      <c r="B7">
        <v>0.81210000000000004</v>
      </c>
      <c r="C7">
        <f t="shared" si="1"/>
        <v>0.21001279566000003</v>
      </c>
      <c r="D7">
        <v>1.66E-2</v>
      </c>
      <c r="E7">
        <v>3.5699999999999998E-3</v>
      </c>
      <c r="F7">
        <f t="shared" si="2"/>
        <v>51.720920000000007</v>
      </c>
      <c r="G7">
        <f t="shared" si="3"/>
        <v>-0.81210000000000004</v>
      </c>
      <c r="H7">
        <f t="shared" si="4"/>
        <v>-42.002559132000009</v>
      </c>
      <c r="I7">
        <v>1</v>
      </c>
      <c r="J7">
        <f t="shared" si="5"/>
        <v>-2.9618929371469727</v>
      </c>
      <c r="K7">
        <f t="shared" si="6"/>
        <v>-0.40962515177521741</v>
      </c>
      <c r="L7">
        <v>1</v>
      </c>
      <c r="M7">
        <f t="shared" si="7"/>
        <v>0.369504688416741</v>
      </c>
      <c r="N7">
        <f t="shared" ref="N7:N70" si="13">D7*A7</f>
        <v>4.2928363600000007E-3</v>
      </c>
      <c r="O7">
        <f t="shared" si="11"/>
        <v>9.23218422E-4</v>
      </c>
      <c r="P7">
        <f t="shared" si="12"/>
        <v>3.4904408576476406E-2</v>
      </c>
      <c r="V7">
        <v>-5.7</v>
      </c>
      <c r="W7">
        <f t="shared" si="9"/>
        <v>-0.25420299999999996</v>
      </c>
      <c r="Y7">
        <v>0.03</v>
      </c>
      <c r="Z7">
        <f t="shared" si="10"/>
        <v>-8.7243700000000035E-2</v>
      </c>
      <c r="AB7" t="s">
        <v>33</v>
      </c>
      <c r="AC7">
        <f>-AB3/AB4</f>
        <v>3.9991021745926864E-2</v>
      </c>
    </row>
    <row r="8" spans="1:29" x14ac:dyDescent="0.3">
      <c r="A8">
        <v>0.31105050000000001</v>
      </c>
      <c r="B8">
        <v>0.80140999999999996</v>
      </c>
      <c r="C8">
        <f t="shared" si="1"/>
        <v>0.249278981205</v>
      </c>
      <c r="D8">
        <v>1.66E-2</v>
      </c>
      <c r="E8">
        <v>3.5699999999999998E-3</v>
      </c>
      <c r="F8">
        <f t="shared" si="2"/>
        <v>62.210100000000004</v>
      </c>
      <c r="G8">
        <f t="shared" si="3"/>
        <v>-0.80140999999999996</v>
      </c>
      <c r="H8">
        <f t="shared" si="4"/>
        <v>-49.855796241</v>
      </c>
      <c r="I8">
        <v>1</v>
      </c>
      <c r="J8">
        <f t="shared" si="5"/>
        <v>-2.7772379129978928</v>
      </c>
      <c r="K8">
        <f t="shared" si="6"/>
        <v>-0.4203151517752175</v>
      </c>
      <c r="L8">
        <v>1</v>
      </c>
      <c r="M8">
        <f t="shared" si="7"/>
        <v>0.37728051148365871</v>
      </c>
      <c r="N8">
        <f t="shared" si="13"/>
        <v>5.1634382999999999E-3</v>
      </c>
      <c r="O8">
        <f t="shared" si="11"/>
        <v>1.110450285E-3</v>
      </c>
      <c r="P8">
        <f t="shared" si="12"/>
        <v>3.6760751706558785E-2</v>
      </c>
      <c r="V8">
        <v>-5.6</v>
      </c>
      <c r="W8">
        <f t="shared" si="9"/>
        <v>-0.25841400000000003</v>
      </c>
      <c r="Y8">
        <v>0.04</v>
      </c>
      <c r="Z8">
        <f t="shared" si="10"/>
        <v>7.8399999999978487E-5</v>
      </c>
    </row>
    <row r="9" spans="1:29" x14ac:dyDescent="0.3">
      <c r="A9">
        <v>0.36349634999999997</v>
      </c>
      <c r="B9">
        <v>0.79266999999999999</v>
      </c>
      <c r="C9">
        <f t="shared" si="1"/>
        <v>0.28813265175449998</v>
      </c>
      <c r="D9">
        <v>1.66E-2</v>
      </c>
      <c r="E9">
        <v>3.5699999999999998E-3</v>
      </c>
      <c r="F9">
        <f t="shared" si="2"/>
        <v>72.699269999999999</v>
      </c>
      <c r="G9">
        <f t="shared" si="3"/>
        <v>-0.79266999999999999</v>
      </c>
      <c r="H9">
        <f t="shared" si="4"/>
        <v>-57.626530350899998</v>
      </c>
      <c r="I9">
        <v>1</v>
      </c>
      <c r="J9">
        <f t="shared" si="5"/>
        <v>-2.621423935758552</v>
      </c>
      <c r="K9">
        <f t="shared" si="6"/>
        <v>-0.42905515177521747</v>
      </c>
      <c r="L9">
        <v>1</v>
      </c>
      <c r="M9">
        <f t="shared" si="7"/>
        <v>0.38384183806520739</v>
      </c>
      <c r="N9">
        <f t="shared" si="13"/>
        <v>6.0340394099999998E-3</v>
      </c>
      <c r="O9">
        <f t="shared" si="11"/>
        <v>1.2976819694999998E-3</v>
      </c>
      <c r="P9">
        <f t="shared" si="12"/>
        <v>3.7881592330510083E-2</v>
      </c>
      <c r="V9">
        <v>-5.5</v>
      </c>
      <c r="W9">
        <f t="shared" si="9"/>
        <v>-0.262625</v>
      </c>
      <c r="Y9">
        <v>0.05</v>
      </c>
      <c r="Z9">
        <f t="shared" si="10"/>
        <v>8.7400499999999992E-2</v>
      </c>
      <c r="AB9" t="s">
        <v>35</v>
      </c>
      <c r="AC9">
        <v>3.8800000000000001E-2</v>
      </c>
    </row>
    <row r="10" spans="1:29" x14ac:dyDescent="0.3">
      <c r="A10">
        <v>0.41390549999999998</v>
      </c>
      <c r="B10">
        <v>0.78298999999999996</v>
      </c>
      <c r="C10">
        <f t="shared" si="1"/>
        <v>0.32408386744499995</v>
      </c>
      <c r="D10">
        <v>1.66E-2</v>
      </c>
      <c r="E10">
        <v>3.5699999999999998E-3</v>
      </c>
      <c r="F10">
        <f t="shared" si="2"/>
        <v>82.781099999999995</v>
      </c>
      <c r="G10">
        <f t="shared" si="3"/>
        <v>-0.78298999999999996</v>
      </c>
      <c r="H10">
        <f t="shared" si="4"/>
        <v>-64.816773488999985</v>
      </c>
      <c r="I10">
        <v>1</v>
      </c>
      <c r="J10">
        <f t="shared" si="5"/>
        <v>-2.4915555045159654</v>
      </c>
      <c r="K10">
        <f t="shared" si="6"/>
        <v>-0.43873515177521749</v>
      </c>
      <c r="L10">
        <v>1</v>
      </c>
      <c r="M10">
        <f t="shared" si="7"/>
        <v>0.38931059770483267</v>
      </c>
      <c r="N10">
        <f t="shared" si="13"/>
        <v>6.8708312999999997E-3</v>
      </c>
      <c r="O10">
        <f t="shared" si="11"/>
        <v>1.4776426349999998E-3</v>
      </c>
      <c r="P10">
        <f t="shared" si="12"/>
        <v>4.1076080135384822E-2</v>
      </c>
      <c r="V10">
        <v>-5.4</v>
      </c>
      <c r="W10">
        <f t="shared" si="9"/>
        <v>-0.26683599999999996</v>
      </c>
      <c r="Y10">
        <v>0.06</v>
      </c>
      <c r="Z10">
        <f t="shared" si="10"/>
        <v>0.17472259999999995</v>
      </c>
    </row>
    <row r="11" spans="1:29" x14ac:dyDescent="0.3">
      <c r="A11">
        <v>0.46431460000000002</v>
      </c>
      <c r="B11">
        <v>0.77564</v>
      </c>
      <c r="C11">
        <f t="shared" si="1"/>
        <v>0.360140976344</v>
      </c>
      <c r="D11">
        <v>1.66E-2</v>
      </c>
      <c r="E11">
        <v>3.5699999999999998E-3</v>
      </c>
      <c r="F11">
        <f t="shared" si="2"/>
        <v>92.862920000000003</v>
      </c>
      <c r="G11">
        <f t="shared" si="3"/>
        <v>-0.77564</v>
      </c>
      <c r="H11">
        <f t="shared" si="4"/>
        <v>-72.028195268800005</v>
      </c>
      <c r="I11">
        <v>1</v>
      </c>
      <c r="J11">
        <f t="shared" si="5"/>
        <v>-2.3766308516984491</v>
      </c>
      <c r="K11">
        <f t="shared" si="6"/>
        <v>-0.44608515177521746</v>
      </c>
      <c r="L11">
        <v>1</v>
      </c>
      <c r="M11">
        <f t="shared" si="7"/>
        <v>0.39415007483497833</v>
      </c>
      <c r="N11">
        <f t="shared" si="13"/>
        <v>7.7076223600000002E-3</v>
      </c>
      <c r="O11">
        <f t="shared" si="11"/>
        <v>1.6576031220000001E-3</v>
      </c>
      <c r="P11">
        <f t="shared" si="12"/>
        <v>4.2569851458239133E-2</v>
      </c>
      <c r="V11">
        <v>-5.3</v>
      </c>
      <c r="W11">
        <f t="shared" si="9"/>
        <v>-0.27104700000000004</v>
      </c>
      <c r="Y11">
        <v>7.0000000000000007E-2</v>
      </c>
      <c r="Z11">
        <f t="shared" si="10"/>
        <v>0.26204470000000002</v>
      </c>
      <c r="AB11" t="s">
        <v>34</v>
      </c>
      <c r="AC11">
        <f>AC7-AC9</f>
        <v>1.1910217459268624E-3</v>
      </c>
    </row>
    <row r="12" spans="1:29" x14ac:dyDescent="0.3">
      <c r="A12">
        <v>0.51523295000000002</v>
      </c>
      <c r="B12">
        <v>0.76885999999999999</v>
      </c>
      <c r="C12">
        <f t="shared" si="1"/>
        <v>0.396142005937</v>
      </c>
      <c r="D12">
        <v>1.66E-2</v>
      </c>
      <c r="E12">
        <v>3.5699999999999998E-3</v>
      </c>
      <c r="F12">
        <f t="shared" si="2"/>
        <v>103.04659000000001</v>
      </c>
      <c r="G12">
        <f t="shared" si="3"/>
        <v>-0.76885999999999999</v>
      </c>
      <c r="H12">
        <f t="shared" si="4"/>
        <v>-79.228401187399996</v>
      </c>
      <c r="I12">
        <v>1</v>
      </c>
      <c r="J12">
        <f t="shared" si="5"/>
        <v>-2.2725740629258335</v>
      </c>
      <c r="K12">
        <f t="shared" si="6"/>
        <v>-0.45286515177521747</v>
      </c>
      <c r="L12">
        <v>1</v>
      </c>
      <c r="M12">
        <f t="shared" si="7"/>
        <v>0.39853190621019313</v>
      </c>
      <c r="N12">
        <f t="shared" si="13"/>
        <v>8.5528669699999997E-3</v>
      </c>
      <c r="O12">
        <f t="shared" si="11"/>
        <v>1.8393816315E-3</v>
      </c>
      <c r="P12">
        <f t="shared" si="12"/>
        <v>4.3940996963524333E-2</v>
      </c>
      <c r="V12">
        <v>-5.2</v>
      </c>
      <c r="W12">
        <f t="shared" si="9"/>
        <v>-0.275258</v>
      </c>
      <c r="Y12">
        <v>0.08</v>
      </c>
      <c r="Z12">
        <f t="shared" si="10"/>
        <v>0.34936679999999998</v>
      </c>
      <c r="AC12">
        <f>AC11*3</f>
        <v>3.5730652377805872E-3</v>
      </c>
    </row>
    <row r="13" spans="1:29" x14ac:dyDescent="0.3">
      <c r="A13">
        <v>0.5692064</v>
      </c>
      <c r="B13">
        <v>0.76222999999999996</v>
      </c>
      <c r="C13">
        <f t="shared" si="1"/>
        <v>0.43386619427199996</v>
      </c>
      <c r="D13">
        <v>1.66E-2</v>
      </c>
      <c r="E13">
        <v>3.5699999999999998E-3</v>
      </c>
      <c r="F13">
        <f t="shared" si="2"/>
        <v>113.84128</v>
      </c>
      <c r="G13">
        <f t="shared" si="3"/>
        <v>-0.76222999999999996</v>
      </c>
      <c r="H13">
        <f t="shared" si="4"/>
        <v>-86.773238854399992</v>
      </c>
      <c r="I13">
        <v>1</v>
      </c>
      <c r="J13">
        <f t="shared" si="5"/>
        <v>-2.1729500814127327</v>
      </c>
      <c r="K13">
        <f t="shared" si="6"/>
        <v>-0.45949515177521749</v>
      </c>
      <c r="L13">
        <v>1</v>
      </c>
      <c r="M13">
        <f t="shared" si="7"/>
        <v>0.40272707207170982</v>
      </c>
      <c r="N13">
        <f t="shared" si="13"/>
        <v>9.4488262399999995E-3</v>
      </c>
      <c r="O13">
        <f t="shared" si="11"/>
        <v>2.032066848E-3</v>
      </c>
      <c r="P13">
        <f t="shared" si="12"/>
        <v>4.5287186615507666E-2</v>
      </c>
      <c r="V13">
        <v>-5.0999999999999996</v>
      </c>
      <c r="W13">
        <f t="shared" si="9"/>
        <v>-0.27946900000000002</v>
      </c>
      <c r="Y13">
        <v>0.09</v>
      </c>
      <c r="Z13">
        <f t="shared" si="10"/>
        <v>0.43668889999999994</v>
      </c>
    </row>
    <row r="14" spans="1:29" x14ac:dyDescent="0.3">
      <c r="A14">
        <v>0.62114314999999998</v>
      </c>
      <c r="B14">
        <v>0.75597000000000003</v>
      </c>
      <c r="C14">
        <f t="shared" si="1"/>
        <v>0.4695655871055</v>
      </c>
      <c r="D14">
        <v>1.66E-2</v>
      </c>
      <c r="E14">
        <v>3.5699999999999998E-3</v>
      </c>
      <c r="F14">
        <f t="shared" si="2"/>
        <v>124.22863</v>
      </c>
      <c r="G14">
        <f t="shared" si="3"/>
        <v>-0.75597000000000003</v>
      </c>
      <c r="H14">
        <f t="shared" si="4"/>
        <v>-93.913117421099997</v>
      </c>
      <c r="I14">
        <v>1</v>
      </c>
      <c r="J14">
        <f t="shared" si="5"/>
        <v>-2.085631620749421</v>
      </c>
      <c r="K14">
        <f t="shared" si="6"/>
        <v>-0.46575515177521742</v>
      </c>
      <c r="L14">
        <v>1</v>
      </c>
      <c r="M14">
        <f t="shared" si="7"/>
        <v>0.40640405245024191</v>
      </c>
      <c r="N14">
        <f t="shared" si="13"/>
        <v>1.0310976289999999E-2</v>
      </c>
      <c r="O14">
        <f t="shared" si="11"/>
        <v>2.2174810454999999E-3</v>
      </c>
      <c r="P14">
        <f t="shared" si="12"/>
        <v>4.6822641989475514E-2</v>
      </c>
      <c r="V14">
        <v>-5</v>
      </c>
      <c r="W14">
        <f t="shared" si="9"/>
        <v>-0.28367999999999999</v>
      </c>
      <c r="Y14">
        <v>0.1</v>
      </c>
      <c r="Z14">
        <f t="shared" si="10"/>
        <v>0.524011</v>
      </c>
    </row>
    <row r="15" spans="1:29" x14ac:dyDescent="0.3">
      <c r="A15">
        <v>0.67307985000000004</v>
      </c>
      <c r="B15">
        <v>0.74997999999999998</v>
      </c>
      <c r="C15">
        <f t="shared" si="1"/>
        <v>0.504796425903</v>
      </c>
      <c r="D15">
        <v>1.66E-2</v>
      </c>
      <c r="E15">
        <v>3.5699999999999998E-3</v>
      </c>
      <c r="F15">
        <f t="shared" si="2"/>
        <v>134.61597</v>
      </c>
      <c r="G15">
        <f t="shared" si="3"/>
        <v>-0.74997999999999998</v>
      </c>
      <c r="H15">
        <f t="shared" si="4"/>
        <v>-100.95928518060001</v>
      </c>
      <c r="I15">
        <v>1</v>
      </c>
      <c r="J15">
        <f t="shared" si="5"/>
        <v>-2.0053292209641405</v>
      </c>
      <c r="K15">
        <f t="shared" si="6"/>
        <v>-0.47174515177521747</v>
      </c>
      <c r="L15">
        <v>1</v>
      </c>
      <c r="M15">
        <f t="shared" si="7"/>
        <v>0.40978558650520003</v>
      </c>
      <c r="N15">
        <f t="shared" si="13"/>
        <v>1.1173125510000001E-2</v>
      </c>
      <c r="O15">
        <f t="shared" si="11"/>
        <v>2.4028950644999999E-3</v>
      </c>
      <c r="P15">
        <f t="shared" si="12"/>
        <v>4.838354469551745E-2</v>
      </c>
      <c r="V15">
        <v>-4.9000000000000004</v>
      </c>
      <c r="W15">
        <f t="shared" si="9"/>
        <v>-0.28789100000000001</v>
      </c>
      <c r="Y15">
        <v>0.11</v>
      </c>
      <c r="Z15">
        <f t="shared" si="10"/>
        <v>0.61133309999999996</v>
      </c>
    </row>
    <row r="16" spans="1:29" x14ac:dyDescent="0.3">
      <c r="A16">
        <v>0.72348895000000002</v>
      </c>
      <c r="B16">
        <v>0.74421000000000004</v>
      </c>
      <c r="C16">
        <f t="shared" si="1"/>
        <v>0.53842771147950008</v>
      </c>
      <c r="D16">
        <v>1.66E-2</v>
      </c>
      <c r="E16">
        <v>3.5699999999999998E-3</v>
      </c>
      <c r="F16">
        <f t="shared" si="2"/>
        <v>144.69779</v>
      </c>
      <c r="G16">
        <f t="shared" si="3"/>
        <v>-0.74421000000000004</v>
      </c>
      <c r="H16">
        <f t="shared" si="4"/>
        <v>-107.68554229590002</v>
      </c>
      <c r="I16">
        <v>1</v>
      </c>
      <c r="J16">
        <f t="shared" si="5"/>
        <v>-1.9331079184399085</v>
      </c>
      <c r="K16">
        <f t="shared" si="6"/>
        <v>-0.47751515177521742</v>
      </c>
      <c r="L16">
        <v>1</v>
      </c>
      <c r="M16">
        <f t="shared" si="7"/>
        <v>0.41282682555449546</v>
      </c>
      <c r="N16">
        <f t="shared" si="13"/>
        <v>1.2009916570000001E-2</v>
      </c>
      <c r="O16">
        <f t="shared" si="11"/>
        <v>2.5828555515E-3</v>
      </c>
      <c r="P16">
        <f t="shared" si="12"/>
        <v>5.0095554099221958E-2</v>
      </c>
      <c r="V16">
        <v>-4.8</v>
      </c>
      <c r="W16">
        <f t="shared" si="9"/>
        <v>-0.29210199999999997</v>
      </c>
      <c r="Y16">
        <v>0.12</v>
      </c>
      <c r="Z16">
        <f t="shared" si="10"/>
        <v>0.69865519999999992</v>
      </c>
    </row>
    <row r="17" spans="1:26" x14ac:dyDescent="0.3">
      <c r="A17">
        <v>0.77440714999999993</v>
      </c>
      <c r="B17">
        <v>0.73882999999999999</v>
      </c>
      <c r="C17">
        <f t="shared" si="1"/>
        <v>0.57215523463449991</v>
      </c>
      <c r="D17">
        <v>1.66E-2</v>
      </c>
      <c r="E17">
        <v>3.5699999999999998E-3</v>
      </c>
      <c r="F17">
        <f t="shared" si="2"/>
        <v>154.88142999999999</v>
      </c>
      <c r="G17">
        <f t="shared" si="3"/>
        <v>-0.73882999999999999</v>
      </c>
      <c r="H17">
        <f t="shared" si="4"/>
        <v>-114.43104692689998</v>
      </c>
      <c r="I17">
        <v>1</v>
      </c>
      <c r="J17">
        <f t="shared" si="5"/>
        <v>-1.8650954225419483</v>
      </c>
      <c r="K17">
        <f t="shared" si="6"/>
        <v>-0.48289515177521747</v>
      </c>
      <c r="L17">
        <v>1</v>
      </c>
      <c r="M17">
        <f t="shared" si="7"/>
        <v>0.41569083175675858</v>
      </c>
      <c r="N17">
        <f t="shared" si="13"/>
        <v>1.2855158689999998E-2</v>
      </c>
      <c r="O17">
        <f t="shared" si="11"/>
        <v>2.7646335254999997E-3</v>
      </c>
      <c r="P17">
        <f t="shared" si="12"/>
        <v>5.1584527802958885E-2</v>
      </c>
      <c r="V17">
        <v>-4.7</v>
      </c>
      <c r="W17">
        <f t="shared" si="9"/>
        <v>-0.29631299999999999</v>
      </c>
      <c r="Y17">
        <v>0.13</v>
      </c>
      <c r="Z17">
        <f t="shared" si="10"/>
        <v>0.7859773000000001</v>
      </c>
    </row>
    <row r="18" spans="1:26" x14ac:dyDescent="0.3">
      <c r="A18">
        <v>0.82532555000000007</v>
      </c>
      <c r="B18">
        <v>0.73353999999999997</v>
      </c>
      <c r="C18">
        <f t="shared" si="1"/>
        <v>0.60540930394699999</v>
      </c>
      <c r="D18">
        <v>1.66E-2</v>
      </c>
      <c r="E18">
        <v>3.5699999999999998E-3</v>
      </c>
      <c r="F18">
        <f t="shared" si="2"/>
        <v>165.06511</v>
      </c>
      <c r="G18">
        <f t="shared" si="3"/>
        <v>-0.73353999999999997</v>
      </c>
      <c r="H18">
        <f t="shared" si="4"/>
        <v>-121.0818607894</v>
      </c>
      <c r="I18">
        <v>1</v>
      </c>
      <c r="J18">
        <f t="shared" si="5"/>
        <v>-1.8014152768574461</v>
      </c>
      <c r="K18">
        <f t="shared" si="6"/>
        <v>-0.48818515177521749</v>
      </c>
      <c r="L18">
        <v>1</v>
      </c>
      <c r="M18">
        <f t="shared" si="7"/>
        <v>0.41837240269153297</v>
      </c>
      <c r="N18">
        <f t="shared" si="13"/>
        <v>1.3700404130000001E-2</v>
      </c>
      <c r="O18">
        <f t="shared" si="11"/>
        <v>2.9464122135E-3</v>
      </c>
      <c r="P18">
        <f t="shared" si="12"/>
        <v>5.316593274018451E-2</v>
      </c>
      <c r="V18">
        <v>-4.5999999999999996</v>
      </c>
      <c r="W18">
        <f t="shared" si="9"/>
        <v>-0.30052400000000001</v>
      </c>
      <c r="Y18">
        <v>0.14000000000000001</v>
      </c>
      <c r="Z18">
        <f t="shared" si="10"/>
        <v>0.87329940000000006</v>
      </c>
    </row>
    <row r="19" spans="1:26" x14ac:dyDescent="0.3">
      <c r="A19">
        <v>0.87624390000000008</v>
      </c>
      <c r="B19">
        <v>0.72831999999999997</v>
      </c>
      <c r="C19">
        <f t="shared" si="1"/>
        <v>0.63818595724799998</v>
      </c>
      <c r="D19">
        <v>1.66E-2</v>
      </c>
      <c r="E19">
        <v>3.5699999999999998E-3</v>
      </c>
      <c r="F19">
        <f t="shared" si="2"/>
        <v>175.24878000000001</v>
      </c>
      <c r="G19">
        <f t="shared" si="3"/>
        <v>-0.72831999999999997</v>
      </c>
      <c r="H19">
        <f t="shared" si="4"/>
        <v>-127.6371914496</v>
      </c>
      <c r="I19">
        <v>1</v>
      </c>
      <c r="J19">
        <f t="shared" si="5"/>
        <v>-1.7415487145752635</v>
      </c>
      <c r="K19">
        <f t="shared" si="6"/>
        <v>-0.49340515177521749</v>
      </c>
      <c r="L19">
        <v>1</v>
      </c>
      <c r="M19">
        <f t="shared" si="7"/>
        <v>0.42089338362923567</v>
      </c>
      <c r="N19">
        <f t="shared" si="13"/>
        <v>1.4545648740000002E-2</v>
      </c>
      <c r="O19">
        <f t="shared" si="11"/>
        <v>3.128190723E-3</v>
      </c>
      <c r="P19">
        <f t="shared" si="12"/>
        <v>5.4837928682981811E-2</v>
      </c>
      <c r="V19">
        <v>-4.5000000000000098</v>
      </c>
      <c r="W19">
        <f t="shared" si="9"/>
        <v>-0.30473499999999959</v>
      </c>
      <c r="Y19">
        <v>0.15</v>
      </c>
      <c r="Z19">
        <f t="shared" si="10"/>
        <v>0.96062150000000002</v>
      </c>
    </row>
    <row r="20" spans="1:26" x14ac:dyDescent="0.3">
      <c r="A20">
        <v>0.92919894999999997</v>
      </c>
      <c r="B20">
        <v>0.72363</v>
      </c>
      <c r="C20">
        <f t="shared" si="1"/>
        <v>0.67239623618849997</v>
      </c>
      <c r="D20">
        <v>1.66E-2</v>
      </c>
      <c r="E20">
        <v>3.5699999999999998E-3</v>
      </c>
      <c r="F20">
        <f t="shared" si="2"/>
        <v>185.83978999999999</v>
      </c>
      <c r="G20">
        <f t="shared" si="3"/>
        <v>-0.72363</v>
      </c>
      <c r="H20">
        <f t="shared" si="4"/>
        <v>-134.47924723770001</v>
      </c>
      <c r="I20">
        <v>1</v>
      </c>
      <c r="J20">
        <f t="shared" si="5"/>
        <v>-1.6828703205249265</v>
      </c>
      <c r="K20">
        <f t="shared" si="6"/>
        <v>-0.49809515177521746</v>
      </c>
      <c r="L20">
        <v>1</v>
      </c>
      <c r="M20">
        <f t="shared" si="7"/>
        <v>0.42336433080269537</v>
      </c>
      <c r="N20">
        <f t="shared" si="13"/>
        <v>1.5424702569999999E-2</v>
      </c>
      <c r="O20">
        <f t="shared" si="11"/>
        <v>3.3172402514999996E-3</v>
      </c>
      <c r="P20">
        <f t="shared" si="12"/>
        <v>5.5988878151022096E-2</v>
      </c>
      <c r="V20">
        <v>-4.4000000000000101</v>
      </c>
      <c r="W20">
        <f t="shared" si="9"/>
        <v>-0.30894599999999961</v>
      </c>
      <c r="Y20">
        <v>0.16</v>
      </c>
      <c r="Z20">
        <f t="shared" si="10"/>
        <v>1.0479436</v>
      </c>
    </row>
    <row r="21" spans="1:26" x14ac:dyDescent="0.3">
      <c r="A21">
        <v>0.98317234999999992</v>
      </c>
      <c r="B21">
        <v>0.71830000000000005</v>
      </c>
      <c r="C21">
        <f t="shared" si="1"/>
        <v>0.70621269900499994</v>
      </c>
      <c r="D21">
        <v>1.66E-2</v>
      </c>
      <c r="E21">
        <v>3.5699999999999998E-3</v>
      </c>
      <c r="F21">
        <f t="shared" si="2"/>
        <v>196.63446999999999</v>
      </c>
      <c r="G21">
        <f t="shared" si="3"/>
        <v>-0.71830000000000005</v>
      </c>
      <c r="H21">
        <f t="shared" si="4"/>
        <v>-141.24253980099999</v>
      </c>
      <c r="I21">
        <v>1</v>
      </c>
      <c r="J21">
        <f t="shared" si="5"/>
        <v>-1.6264087560171383</v>
      </c>
      <c r="K21">
        <f t="shared" si="6"/>
        <v>-0.50342515177521741</v>
      </c>
      <c r="L21">
        <v>1</v>
      </c>
      <c r="M21">
        <f t="shared" si="7"/>
        <v>0.4257419272841183</v>
      </c>
      <c r="N21">
        <f t="shared" si="13"/>
        <v>1.6320661009999998E-2</v>
      </c>
      <c r="O21">
        <f t="shared" si="11"/>
        <v>3.5099252894999996E-3</v>
      </c>
      <c r="P21">
        <f t="shared" si="12"/>
        <v>5.7852638191599103E-2</v>
      </c>
      <c r="V21">
        <v>-4.3000000000000096</v>
      </c>
      <c r="W21">
        <f t="shared" si="9"/>
        <v>-0.31315699999999957</v>
      </c>
      <c r="Y21">
        <v>0.17</v>
      </c>
      <c r="Z21">
        <f t="shared" si="10"/>
        <v>1.1352657000000002</v>
      </c>
    </row>
    <row r="22" spans="1:26" x14ac:dyDescent="0.3">
      <c r="A22">
        <v>1.0335814999999999</v>
      </c>
      <c r="B22">
        <v>0.71391000000000004</v>
      </c>
      <c r="C22">
        <f t="shared" si="1"/>
        <v>0.73788416866499995</v>
      </c>
      <c r="D22">
        <v>1.66E-2</v>
      </c>
      <c r="E22">
        <v>3.5699999999999998E-3</v>
      </c>
      <c r="F22">
        <f t="shared" si="2"/>
        <v>206.71629999999999</v>
      </c>
      <c r="G22">
        <f t="shared" si="3"/>
        <v>-0.71391000000000004</v>
      </c>
      <c r="H22">
        <f t="shared" si="4"/>
        <v>-147.576833733</v>
      </c>
      <c r="I22">
        <v>1</v>
      </c>
      <c r="J22">
        <f t="shared" si="5"/>
        <v>-1.5764079571548932</v>
      </c>
      <c r="K22">
        <f t="shared" si="6"/>
        <v>-0.50781515177521741</v>
      </c>
      <c r="L22">
        <v>1</v>
      </c>
      <c r="M22">
        <f t="shared" si="7"/>
        <v>0.42784746092420745</v>
      </c>
      <c r="N22">
        <f t="shared" si="13"/>
        <v>1.7157452899999998E-2</v>
      </c>
      <c r="O22">
        <f t="shared" si="11"/>
        <v>3.6898859549999996E-3</v>
      </c>
      <c r="P22">
        <f t="shared" si="12"/>
        <v>5.912035199600997E-2</v>
      </c>
      <c r="V22">
        <v>-4.2000000000000099</v>
      </c>
      <c r="W22">
        <f t="shared" si="9"/>
        <v>-0.31736799999999954</v>
      </c>
      <c r="Y22">
        <v>0.18</v>
      </c>
      <c r="Z22">
        <f t="shared" si="10"/>
        <v>1.2225877999999999</v>
      </c>
    </row>
    <row r="23" spans="1:26" x14ac:dyDescent="0.3">
      <c r="A23">
        <v>1.0860276</v>
      </c>
      <c r="B23">
        <v>0.70879000000000003</v>
      </c>
      <c r="C23">
        <f t="shared" si="1"/>
        <v>0.76976550260400001</v>
      </c>
      <c r="D23">
        <v>1.66E-2</v>
      </c>
      <c r="E23">
        <v>3.5699999999999998E-3</v>
      </c>
      <c r="F23">
        <f t="shared" si="2"/>
        <v>217.20552000000001</v>
      </c>
      <c r="G23">
        <f t="shared" si="3"/>
        <v>-0.70879000000000003</v>
      </c>
      <c r="H23">
        <f t="shared" si="4"/>
        <v>-153.95310052080001</v>
      </c>
      <c r="I23">
        <v>1</v>
      </c>
      <c r="J23">
        <f t="shared" si="5"/>
        <v>-1.5269112768806552</v>
      </c>
      <c r="K23">
        <f t="shared" si="6"/>
        <v>-0.51293515177521742</v>
      </c>
      <c r="L23">
        <v>1</v>
      </c>
      <c r="M23">
        <f t="shared" si="7"/>
        <v>0.42993176613055561</v>
      </c>
      <c r="N23">
        <f t="shared" si="13"/>
        <v>1.8028058159999999E-2</v>
      </c>
      <c r="O23">
        <f t="shared" si="11"/>
        <v>3.8771185319999998E-3</v>
      </c>
      <c r="P23">
        <f t="shared" si="12"/>
        <v>6.1098208952661812E-2</v>
      </c>
      <c r="V23">
        <v>-4.1000000000000103</v>
      </c>
      <c r="W23">
        <f t="shared" si="9"/>
        <v>-0.32157899999999956</v>
      </c>
      <c r="Y23">
        <v>0.19</v>
      </c>
      <c r="Z23">
        <f t="shared" si="10"/>
        <v>1.3099099000000001</v>
      </c>
    </row>
    <row r="24" spans="1:26" x14ac:dyDescent="0.3">
      <c r="A24">
        <v>1.1374550000000001</v>
      </c>
      <c r="B24">
        <v>0.70411999999999997</v>
      </c>
      <c r="C24">
        <f t="shared" si="1"/>
        <v>0.80090481460000007</v>
      </c>
      <c r="D24">
        <v>1.66E-2</v>
      </c>
      <c r="E24">
        <v>3.5699999999999998E-3</v>
      </c>
      <c r="F24">
        <f t="shared" si="2"/>
        <v>227.49100000000001</v>
      </c>
      <c r="G24">
        <f t="shared" si="3"/>
        <v>-0.70411999999999997</v>
      </c>
      <c r="H24">
        <f t="shared" si="4"/>
        <v>-160.18096292000001</v>
      </c>
      <c r="I24">
        <v>1</v>
      </c>
      <c r="J24">
        <f t="shared" si="5"/>
        <v>-1.4806446018132271</v>
      </c>
      <c r="K24">
        <f t="shared" si="6"/>
        <v>-0.51760515177521749</v>
      </c>
      <c r="L24">
        <v>1</v>
      </c>
      <c r="M24">
        <f t="shared" si="7"/>
        <v>0.43188005581764499</v>
      </c>
      <c r="N24">
        <f t="shared" si="13"/>
        <v>1.8881753000000001E-2</v>
      </c>
      <c r="O24">
        <f t="shared" si="11"/>
        <v>4.0607143500000003E-3</v>
      </c>
      <c r="P24">
        <f t="shared" si="12"/>
        <v>6.2782628607572499E-2</v>
      </c>
      <c r="V24">
        <v>-4.0000000000000098</v>
      </c>
      <c r="W24">
        <f t="shared" si="9"/>
        <v>-0.32578999999999958</v>
      </c>
      <c r="Y24">
        <v>0.2</v>
      </c>
      <c r="Z24">
        <f t="shared" si="10"/>
        <v>1.397232</v>
      </c>
    </row>
    <row r="25" spans="1:26" x14ac:dyDescent="0.3">
      <c r="A25">
        <v>1.1888824</v>
      </c>
      <c r="B25">
        <v>0.69987999999999995</v>
      </c>
      <c r="C25">
        <f t="shared" si="1"/>
        <v>0.83207501411199991</v>
      </c>
      <c r="D25">
        <v>1.66E-2</v>
      </c>
      <c r="E25">
        <v>3.5699999999999998E-3</v>
      </c>
      <c r="F25">
        <f t="shared" si="2"/>
        <v>237.77647999999999</v>
      </c>
      <c r="G25">
        <f t="shared" si="3"/>
        <v>-0.69987999999999995</v>
      </c>
      <c r="H25">
        <f t="shared" si="4"/>
        <v>-166.41500282239997</v>
      </c>
      <c r="I25">
        <v>1</v>
      </c>
      <c r="J25">
        <f t="shared" si="5"/>
        <v>-1.4364242062612791</v>
      </c>
      <c r="K25">
        <f t="shared" si="6"/>
        <v>-0.52184515177521751</v>
      </c>
      <c r="L25">
        <v>1</v>
      </c>
      <c r="M25">
        <f t="shared" si="7"/>
        <v>0.43374217667433757</v>
      </c>
      <c r="N25">
        <f t="shared" si="13"/>
        <v>1.973544784E-2</v>
      </c>
      <c r="O25">
        <f t="shared" si="11"/>
        <v>4.2443101679999996E-3</v>
      </c>
      <c r="P25">
        <f t="shared" si="12"/>
        <v>6.4123217092879936E-2</v>
      </c>
      <c r="V25">
        <v>-3.9000000000000101</v>
      </c>
      <c r="W25">
        <f t="shared" si="9"/>
        <v>-0.33000099999999954</v>
      </c>
      <c r="Y25">
        <v>0.21</v>
      </c>
      <c r="Z25">
        <f t="shared" si="10"/>
        <v>1.4845541</v>
      </c>
    </row>
    <row r="26" spans="1:26" x14ac:dyDescent="0.3">
      <c r="A26">
        <v>1.2403100999999999</v>
      </c>
      <c r="B26">
        <v>0.69550000000000001</v>
      </c>
      <c r="C26">
        <f t="shared" si="1"/>
        <v>0.8626356745499999</v>
      </c>
      <c r="D26">
        <v>1.66E-2</v>
      </c>
      <c r="E26">
        <v>3.5699999999999998E-3</v>
      </c>
      <c r="F26">
        <f t="shared" si="2"/>
        <v>248.06201999999996</v>
      </c>
      <c r="G26">
        <f t="shared" si="3"/>
        <v>-0.69550000000000001</v>
      </c>
      <c r="H26">
        <f t="shared" si="4"/>
        <v>-172.52713490999997</v>
      </c>
      <c r="I26">
        <v>1</v>
      </c>
      <c r="J26">
        <f t="shared" si="5"/>
        <v>-1.3940764834369459</v>
      </c>
      <c r="K26">
        <f t="shared" si="6"/>
        <v>-0.52622515177521745</v>
      </c>
      <c r="L26">
        <v>1</v>
      </c>
      <c r="M26">
        <f t="shared" si="7"/>
        <v>0.43552543928247023</v>
      </c>
      <c r="N26">
        <f t="shared" si="13"/>
        <v>2.0589147659999998E-2</v>
      </c>
      <c r="O26">
        <f t="shared" si="11"/>
        <v>4.4279070569999994E-3</v>
      </c>
      <c r="P26">
        <f t="shared" si="12"/>
        <v>6.5682657775747222E-2</v>
      </c>
      <c r="V26">
        <v>-3.80000000000001</v>
      </c>
      <c r="W26">
        <f t="shared" si="9"/>
        <v>-0.33421199999999956</v>
      </c>
      <c r="Y26">
        <v>0.22</v>
      </c>
      <c r="Z26">
        <f t="shared" si="10"/>
        <v>1.5718761999999999</v>
      </c>
    </row>
    <row r="27" spans="1:26" x14ac:dyDescent="0.3">
      <c r="A27">
        <v>1.2927559</v>
      </c>
      <c r="B27">
        <v>0.69098000000000004</v>
      </c>
      <c r="C27">
        <f t="shared" si="1"/>
        <v>0.89326847178199997</v>
      </c>
      <c r="D27">
        <v>1.66E-2</v>
      </c>
      <c r="E27">
        <v>3.5699999999999998E-3</v>
      </c>
      <c r="F27">
        <f t="shared" si="2"/>
        <v>258.55117999999999</v>
      </c>
      <c r="G27">
        <f t="shared" si="3"/>
        <v>-0.69098000000000004</v>
      </c>
      <c r="H27">
        <f t="shared" si="4"/>
        <v>-178.6536943564</v>
      </c>
      <c r="I27">
        <v>1</v>
      </c>
      <c r="J27">
        <f t="shared" si="5"/>
        <v>-1.3526616162361846</v>
      </c>
      <c r="K27">
        <f t="shared" si="6"/>
        <v>-0.53074515177521742</v>
      </c>
      <c r="L27">
        <v>1</v>
      </c>
      <c r="M27">
        <f t="shared" si="7"/>
        <v>0.43726941934029429</v>
      </c>
      <c r="N27">
        <f t="shared" si="13"/>
        <v>2.1459747939999999E-2</v>
      </c>
      <c r="O27">
        <f t="shared" si="11"/>
        <v>4.6151385629999995E-3</v>
      </c>
      <c r="P27">
        <f t="shared" si="12"/>
        <v>6.7400845931923137E-2</v>
      </c>
      <c r="V27">
        <v>-3.7000000000000099</v>
      </c>
      <c r="W27">
        <f t="shared" si="9"/>
        <v>-0.33842299999999959</v>
      </c>
      <c r="Y27">
        <v>0.23</v>
      </c>
      <c r="Z27">
        <f t="shared" si="10"/>
        <v>1.6591983000000001</v>
      </c>
    </row>
    <row r="28" spans="1:26" x14ac:dyDescent="0.3">
      <c r="A28">
        <v>1.3441835</v>
      </c>
      <c r="B28">
        <v>0.68718000000000001</v>
      </c>
      <c r="C28">
        <f t="shared" si="1"/>
        <v>0.92369601752999997</v>
      </c>
      <c r="D28">
        <v>1.66E-2</v>
      </c>
      <c r="E28">
        <v>3.5699999999999998E-3</v>
      </c>
      <c r="F28">
        <f t="shared" si="2"/>
        <v>268.83670000000001</v>
      </c>
      <c r="G28">
        <f t="shared" si="3"/>
        <v>-0.68718000000000001</v>
      </c>
      <c r="H28">
        <f t="shared" si="4"/>
        <v>-184.739203506</v>
      </c>
      <c r="I28">
        <v>1</v>
      </c>
      <c r="J28">
        <f t="shared" si="5"/>
        <v>-1.3136511469147933</v>
      </c>
      <c r="K28">
        <f t="shared" si="6"/>
        <v>-0.53454515177521744</v>
      </c>
      <c r="L28">
        <v>1</v>
      </c>
      <c r="M28">
        <f t="shared" si="7"/>
        <v>0.43891215020341806</v>
      </c>
      <c r="N28">
        <f t="shared" si="13"/>
        <v>2.2313446099999999E-2</v>
      </c>
      <c r="O28">
        <f t="shared" si="11"/>
        <v>4.7987350949999993E-3</v>
      </c>
      <c r="P28">
        <f t="shared" si="12"/>
        <v>6.852082037679938E-2</v>
      </c>
      <c r="V28">
        <v>-3.6000000000000099</v>
      </c>
      <c r="W28">
        <f t="shared" si="9"/>
        <v>-0.34263399999999955</v>
      </c>
      <c r="Y28">
        <v>0.24</v>
      </c>
      <c r="Z28">
        <f t="shared" si="10"/>
        <v>1.7465203999999999</v>
      </c>
    </row>
    <row r="29" spans="1:26" x14ac:dyDescent="0.3">
      <c r="A29">
        <v>1.3966292999999999</v>
      </c>
      <c r="B29">
        <v>0.68240999999999996</v>
      </c>
      <c r="C29">
        <f t="shared" si="1"/>
        <v>0.95307380061299984</v>
      </c>
      <c r="D29">
        <v>1.66E-2</v>
      </c>
      <c r="E29">
        <v>3.5699999999999998E-3</v>
      </c>
      <c r="F29">
        <f t="shared" si="2"/>
        <v>279.32585999999998</v>
      </c>
      <c r="G29">
        <f t="shared" si="3"/>
        <v>-0.68240999999999996</v>
      </c>
      <c r="H29">
        <f t="shared" si="4"/>
        <v>-190.61476012259996</v>
      </c>
      <c r="I29">
        <v>1</v>
      </c>
      <c r="J29">
        <f t="shared" si="5"/>
        <v>-1.2753762217026741</v>
      </c>
      <c r="K29">
        <f t="shared" si="6"/>
        <v>-0.53931515177521749</v>
      </c>
      <c r="L29">
        <v>1</v>
      </c>
      <c r="M29">
        <f t="shared" si="7"/>
        <v>0.4405239073041004</v>
      </c>
      <c r="N29">
        <f t="shared" si="13"/>
        <v>2.3184046379999997E-2</v>
      </c>
      <c r="O29">
        <f t="shared" si="11"/>
        <v>4.9859666009999994E-3</v>
      </c>
      <c r="P29">
        <f t="shared" si="12"/>
        <v>7.0621231490117106E-2</v>
      </c>
      <c r="V29">
        <v>-3.5000000000000102</v>
      </c>
      <c r="W29">
        <f t="shared" si="9"/>
        <v>-0.34684499999999957</v>
      </c>
      <c r="Y29">
        <v>0.25</v>
      </c>
      <c r="Z29">
        <f t="shared" si="10"/>
        <v>1.8338425</v>
      </c>
    </row>
    <row r="30" spans="1:26" x14ac:dyDescent="0.3">
      <c r="A30">
        <v>1.4495841999999999</v>
      </c>
      <c r="B30">
        <v>0.67834000000000005</v>
      </c>
      <c r="C30">
        <f t="shared" si="1"/>
        <v>0.98331094622799997</v>
      </c>
      <c r="D30">
        <v>1.66E-2</v>
      </c>
      <c r="E30">
        <v>3.5699999999999998E-3</v>
      </c>
      <c r="F30">
        <f t="shared" si="2"/>
        <v>289.91683999999998</v>
      </c>
      <c r="G30">
        <f t="shared" si="3"/>
        <v>-0.67834000000000005</v>
      </c>
      <c r="H30">
        <f t="shared" si="4"/>
        <v>-196.66218924559999</v>
      </c>
      <c r="I30">
        <v>1</v>
      </c>
      <c r="J30">
        <f t="shared" si="5"/>
        <v>-1.2381611557454222</v>
      </c>
      <c r="K30">
        <f t="shared" si="6"/>
        <v>-0.5433851517752174</v>
      </c>
      <c r="L30">
        <v>1</v>
      </c>
      <c r="M30">
        <f t="shared" si="7"/>
        <v>0.44209103373156028</v>
      </c>
      <c r="N30">
        <f t="shared" si="13"/>
        <v>2.4063097719999999E-2</v>
      </c>
      <c r="O30">
        <f t="shared" si="11"/>
        <v>5.1750155939999992E-3</v>
      </c>
      <c r="P30">
        <f t="shared" si="12"/>
        <v>7.2056004729657133E-2</v>
      </c>
      <c r="V30">
        <v>-3.4000000000000101</v>
      </c>
      <c r="W30">
        <f t="shared" si="9"/>
        <v>-0.35105599999999959</v>
      </c>
      <c r="Y30">
        <v>0.26</v>
      </c>
      <c r="Z30">
        <f t="shared" si="10"/>
        <v>1.9211646000000002</v>
      </c>
    </row>
    <row r="31" spans="1:26" x14ac:dyDescent="0.3">
      <c r="A31">
        <v>1.4999935</v>
      </c>
      <c r="B31">
        <v>0.67415999999999998</v>
      </c>
      <c r="C31">
        <f t="shared" si="1"/>
        <v>1.0112356179599999</v>
      </c>
      <c r="D31">
        <v>1.66E-2</v>
      </c>
      <c r="E31">
        <v>3.5699999999999998E-3</v>
      </c>
      <c r="F31">
        <f t="shared" si="2"/>
        <v>299.99869999999999</v>
      </c>
      <c r="G31">
        <f t="shared" si="3"/>
        <v>-0.67415999999999998</v>
      </c>
      <c r="H31">
        <f t="shared" si="4"/>
        <v>-202.24712359199998</v>
      </c>
      <c r="I31">
        <v>1</v>
      </c>
      <c r="J31">
        <f t="shared" si="5"/>
        <v>-1.2039771376686583</v>
      </c>
      <c r="K31">
        <f t="shared" si="6"/>
        <v>-0.54756515177521747</v>
      </c>
      <c r="L31">
        <v>1</v>
      </c>
      <c r="M31">
        <f t="shared" si="7"/>
        <v>0.44353052273277283</v>
      </c>
      <c r="N31">
        <f t="shared" si="13"/>
        <v>2.4899892100000001E-2</v>
      </c>
      <c r="O31">
        <f t="shared" si="11"/>
        <v>5.3549767949999999E-3</v>
      </c>
      <c r="P31">
        <f t="shared" si="12"/>
        <v>7.3779760147444653E-2</v>
      </c>
      <c r="V31">
        <v>-3.30000000000001</v>
      </c>
      <c r="W31">
        <f t="shared" si="9"/>
        <v>-0.35526699999999956</v>
      </c>
      <c r="Y31">
        <v>0.27</v>
      </c>
      <c r="Z31">
        <f t="shared" si="10"/>
        <v>2.0084867000000006</v>
      </c>
    </row>
    <row r="32" spans="1:26" x14ac:dyDescent="0.3">
      <c r="A32">
        <v>1.5514208999999999</v>
      </c>
      <c r="B32">
        <v>0.67057</v>
      </c>
      <c r="C32">
        <f t="shared" si="1"/>
        <v>1.0403363129129999</v>
      </c>
      <c r="D32">
        <v>1.66E-2</v>
      </c>
      <c r="E32">
        <v>3.5699999999999998E-3</v>
      </c>
      <c r="F32">
        <f t="shared" si="2"/>
        <v>310.28417999999999</v>
      </c>
      <c r="G32">
        <f t="shared" si="3"/>
        <v>-0.67057</v>
      </c>
      <c r="H32">
        <f t="shared" si="4"/>
        <v>-208.06726258259997</v>
      </c>
      <c r="I32">
        <v>1</v>
      </c>
      <c r="J32">
        <f t="shared" si="5"/>
        <v>-1.1702666917472309</v>
      </c>
      <c r="K32">
        <f t="shared" si="6"/>
        <v>-0.55115515177521746</v>
      </c>
      <c r="L32">
        <v>1</v>
      </c>
      <c r="M32">
        <f t="shared" si="7"/>
        <v>0.44495006961052408</v>
      </c>
      <c r="N32">
        <f t="shared" si="13"/>
        <v>2.575358694E-2</v>
      </c>
      <c r="O32">
        <f t="shared" si="11"/>
        <v>5.5385726129999991E-3</v>
      </c>
      <c r="P32">
        <f t="shared" si="12"/>
        <v>7.4912922611693369E-2</v>
      </c>
      <c r="V32">
        <v>-3.2000000000000099</v>
      </c>
      <c r="W32">
        <f t="shared" si="9"/>
        <v>-0.35947799999999958</v>
      </c>
    </row>
    <row r="33" spans="1:23" x14ac:dyDescent="0.3">
      <c r="A33">
        <v>1.6043761000000001</v>
      </c>
      <c r="B33">
        <v>0.66646000000000005</v>
      </c>
      <c r="C33">
        <f t="shared" si="1"/>
        <v>1.0692524956060001</v>
      </c>
      <c r="D33">
        <v>1.66E-2</v>
      </c>
      <c r="E33">
        <v>3.5699999999999998E-3</v>
      </c>
      <c r="F33">
        <f t="shared" si="2"/>
        <v>320.87522000000001</v>
      </c>
      <c r="G33">
        <f t="shared" si="3"/>
        <v>-0.66646000000000005</v>
      </c>
      <c r="H33">
        <f t="shared" si="4"/>
        <v>-213.85049912120002</v>
      </c>
      <c r="I33">
        <v>1</v>
      </c>
      <c r="J33">
        <f t="shared" si="5"/>
        <v>-1.136702954165824</v>
      </c>
      <c r="K33">
        <f t="shared" si="6"/>
        <v>-0.5552651517752174</v>
      </c>
      <c r="L33">
        <v>1</v>
      </c>
      <c r="M33">
        <f t="shared" si="7"/>
        <v>0.44636343860007716</v>
      </c>
      <c r="N33">
        <f t="shared" si="13"/>
        <v>2.6632643260000002E-2</v>
      </c>
      <c r="O33">
        <f t="shared" si="11"/>
        <v>5.7276226770000003E-3</v>
      </c>
      <c r="P33">
        <f t="shared" si="12"/>
        <v>7.6541447238140242E-2</v>
      </c>
      <c r="V33">
        <v>-3.1000000000000099</v>
      </c>
      <c r="W33">
        <f t="shared" si="9"/>
        <v>-0.3636889999999996</v>
      </c>
    </row>
    <row r="34" spans="1:23" x14ac:dyDescent="0.3">
      <c r="A34">
        <v>1.6558036</v>
      </c>
      <c r="B34">
        <v>0.66244000000000003</v>
      </c>
      <c r="C34">
        <f t="shared" si="1"/>
        <v>1.0968705367840001</v>
      </c>
      <c r="D34">
        <v>1.66E-2</v>
      </c>
      <c r="E34">
        <v>3.5699999999999998E-3</v>
      </c>
      <c r="F34">
        <f t="shared" si="2"/>
        <v>331.16072000000003</v>
      </c>
      <c r="G34">
        <f t="shared" si="3"/>
        <v>-0.66244000000000003</v>
      </c>
      <c r="H34">
        <f t="shared" si="4"/>
        <v>-219.37410735680004</v>
      </c>
      <c r="I34">
        <v>1</v>
      </c>
      <c r="J34">
        <f t="shared" si="5"/>
        <v>-1.1051514625382703</v>
      </c>
      <c r="K34">
        <f t="shared" si="6"/>
        <v>-0.55928515177521743</v>
      </c>
      <c r="L34">
        <v>1</v>
      </c>
      <c r="M34">
        <f t="shared" si="7"/>
        <v>0.44769207191251342</v>
      </c>
      <c r="N34">
        <f t="shared" si="13"/>
        <v>2.7486339760000002E-2</v>
      </c>
      <c r="O34">
        <f t="shared" si="11"/>
        <v>5.9112188520000003E-3</v>
      </c>
      <c r="P34">
        <f t="shared" si="12"/>
        <v>7.8195521250704003E-2</v>
      </c>
      <c r="V34">
        <v>-3.0000000000000102</v>
      </c>
      <c r="W34">
        <f t="shared" si="9"/>
        <v>-0.36789999999999956</v>
      </c>
    </row>
    <row r="35" spans="1:23" x14ac:dyDescent="0.3">
      <c r="A35">
        <v>1.7067218</v>
      </c>
      <c r="B35">
        <v>0.65849999999999997</v>
      </c>
      <c r="C35">
        <f t="shared" si="1"/>
        <v>1.1238763052999998</v>
      </c>
      <c r="D35">
        <v>1.66E-2</v>
      </c>
      <c r="E35">
        <v>3.5699999999999998E-3</v>
      </c>
      <c r="F35">
        <f t="shared" si="2"/>
        <v>341.34435999999999</v>
      </c>
      <c r="G35">
        <f t="shared" si="3"/>
        <v>-0.65849999999999997</v>
      </c>
      <c r="H35">
        <f t="shared" si="4"/>
        <v>-224.77526105999996</v>
      </c>
      <c r="I35">
        <v>1</v>
      </c>
      <c r="J35">
        <f t="shared" si="5"/>
        <v>-1.0748634578850789</v>
      </c>
      <c r="K35">
        <f t="shared" si="6"/>
        <v>-0.56322515177521748</v>
      </c>
      <c r="L35">
        <v>1</v>
      </c>
      <c r="M35">
        <f t="shared" si="7"/>
        <v>0.44896749978845935</v>
      </c>
      <c r="N35">
        <f t="shared" si="13"/>
        <v>2.8331581879999998E-2</v>
      </c>
      <c r="O35">
        <f t="shared" si="11"/>
        <v>6.0929968259999991E-3</v>
      </c>
      <c r="P35">
        <f t="shared" si="12"/>
        <v>7.9833073280758143E-2</v>
      </c>
      <c r="V35">
        <v>-2.9000000000000101</v>
      </c>
      <c r="W35">
        <f t="shared" si="9"/>
        <v>-0.37211099999999958</v>
      </c>
    </row>
    <row r="36" spans="1:23" x14ac:dyDescent="0.3">
      <c r="A36">
        <v>1.757131</v>
      </c>
      <c r="B36">
        <v>0.65539000000000003</v>
      </c>
      <c r="C36">
        <f t="shared" si="1"/>
        <v>1.1516060860900001</v>
      </c>
      <c r="D36">
        <v>1.66E-2</v>
      </c>
      <c r="E36">
        <v>3.5699999999999998E-3</v>
      </c>
      <c r="F36">
        <f t="shared" si="2"/>
        <v>351.42619999999999</v>
      </c>
      <c r="G36">
        <f t="shared" si="3"/>
        <v>-0.65539000000000003</v>
      </c>
      <c r="H36">
        <f t="shared" si="4"/>
        <v>-230.32121721800002</v>
      </c>
      <c r="I36">
        <v>1</v>
      </c>
      <c r="J36">
        <f t="shared" si="5"/>
        <v>-1.0457555471012892</v>
      </c>
      <c r="K36">
        <f t="shared" si="6"/>
        <v>-0.56633515177521743</v>
      </c>
      <c r="L36">
        <v>1</v>
      </c>
      <c r="M36">
        <f t="shared" si="7"/>
        <v>0.45019323391156474</v>
      </c>
      <c r="N36">
        <f t="shared" si="13"/>
        <v>2.9168374600000001E-2</v>
      </c>
      <c r="O36">
        <f t="shared" si="11"/>
        <v>6.2729576699999999E-3</v>
      </c>
      <c r="P36">
        <f t="shared" si="12"/>
        <v>8.0700585593652688E-2</v>
      </c>
      <c r="V36">
        <v>-2.80000000000001</v>
      </c>
      <c r="W36">
        <f t="shared" si="9"/>
        <v>-0.3763219999999996</v>
      </c>
    </row>
    <row r="37" spans="1:23" x14ac:dyDescent="0.3">
      <c r="A37">
        <v>1.8111044000000001</v>
      </c>
      <c r="B37">
        <v>0.65122999999999998</v>
      </c>
      <c r="C37">
        <f t="shared" si="1"/>
        <v>1.1794455184120001</v>
      </c>
      <c r="D37">
        <v>1.66E-2</v>
      </c>
      <c r="E37">
        <v>3.5699999999999998E-3</v>
      </c>
      <c r="F37">
        <f t="shared" si="2"/>
        <v>362.22088000000002</v>
      </c>
      <c r="G37">
        <f t="shared" si="3"/>
        <v>-0.65122999999999998</v>
      </c>
      <c r="H37">
        <f t="shared" si="4"/>
        <v>-235.88910368240002</v>
      </c>
      <c r="I37">
        <v>1</v>
      </c>
      <c r="J37">
        <f t="shared" si="5"/>
        <v>-1.0155010874859409</v>
      </c>
      <c r="K37">
        <f t="shared" si="6"/>
        <v>-0.57049515177521748</v>
      </c>
      <c r="L37">
        <v>1</v>
      </c>
      <c r="M37">
        <f t="shared" si="7"/>
        <v>0.45146724920596704</v>
      </c>
      <c r="N37">
        <f t="shared" si="13"/>
        <v>3.0064333040000002E-2</v>
      </c>
      <c r="O37">
        <f t="shared" si="11"/>
        <v>6.4656427079999995E-3</v>
      </c>
      <c r="P37">
        <f t="shared" si="12"/>
        <v>8.2497926821250442E-2</v>
      </c>
      <c r="V37">
        <v>-2.7000000000000099</v>
      </c>
      <c r="W37">
        <f t="shared" si="9"/>
        <v>-0.38053299999999957</v>
      </c>
    </row>
    <row r="38" spans="1:23" x14ac:dyDescent="0.3">
      <c r="A38">
        <v>1.8650779</v>
      </c>
      <c r="B38">
        <v>0.64793999999999996</v>
      </c>
      <c r="C38">
        <f t="shared" si="1"/>
        <v>1.2084585745259999</v>
      </c>
      <c r="D38">
        <v>1.66E-2</v>
      </c>
      <c r="E38">
        <v>3.5699999999999998E-3</v>
      </c>
      <c r="F38">
        <f t="shared" si="2"/>
        <v>373.01558</v>
      </c>
      <c r="G38">
        <f t="shared" si="3"/>
        <v>-0.64793999999999996</v>
      </c>
      <c r="H38">
        <f t="shared" si="4"/>
        <v>-241.69171490519997</v>
      </c>
      <c r="I38">
        <v>1</v>
      </c>
      <c r="J38">
        <f t="shared" si="5"/>
        <v>-0.98613509077364281</v>
      </c>
      <c r="K38">
        <f t="shared" si="6"/>
        <v>-0.57378515177521749</v>
      </c>
      <c r="L38">
        <v>1</v>
      </c>
      <c r="M38">
        <f t="shared" si="7"/>
        <v>0.45270385132752189</v>
      </c>
      <c r="N38">
        <f t="shared" si="13"/>
        <v>3.0960293140000001E-2</v>
      </c>
      <c r="O38">
        <f t="shared" si="11"/>
        <v>6.6583281029999998E-3</v>
      </c>
      <c r="P38">
        <f t="shared" si="12"/>
        <v>8.3462679204695606E-2</v>
      </c>
      <c r="V38">
        <v>-2.6000000000000099</v>
      </c>
      <c r="W38">
        <f t="shared" si="9"/>
        <v>-0.38474399999999959</v>
      </c>
    </row>
    <row r="39" spans="1:23" x14ac:dyDescent="0.3">
      <c r="A39">
        <v>1.9159963</v>
      </c>
      <c r="B39">
        <v>0.64393</v>
      </c>
      <c r="C39">
        <f t="shared" si="1"/>
        <v>1.2337674974590001</v>
      </c>
      <c r="D39">
        <v>1.66E-2</v>
      </c>
      <c r="E39">
        <v>3.5699999999999998E-3</v>
      </c>
      <c r="F39">
        <f t="shared" si="2"/>
        <v>383.19925999999998</v>
      </c>
      <c r="G39">
        <f t="shared" si="3"/>
        <v>-0.64393</v>
      </c>
      <c r="H39">
        <f t="shared" si="4"/>
        <v>-246.7534994918</v>
      </c>
      <c r="I39">
        <v>1</v>
      </c>
      <c r="J39">
        <f t="shared" si="5"/>
        <v>-0.95920016399376806</v>
      </c>
      <c r="K39">
        <f t="shared" si="6"/>
        <v>-0.57779515177521745</v>
      </c>
      <c r="L39">
        <v>1</v>
      </c>
      <c r="M39">
        <f t="shared" si="7"/>
        <v>0.45383808109422241</v>
      </c>
      <c r="N39">
        <f t="shared" si="13"/>
        <v>3.1805538580000001E-2</v>
      </c>
      <c r="O39">
        <f t="shared" si="11"/>
        <v>6.8401067909999993E-3</v>
      </c>
      <c r="P39">
        <f t="shared" si="12"/>
        <v>8.531142530999504E-2</v>
      </c>
      <c r="V39">
        <v>-2.5000000000000102</v>
      </c>
      <c r="W39">
        <f t="shared" si="9"/>
        <v>-0.38895499999999955</v>
      </c>
    </row>
    <row r="40" spans="1:23" x14ac:dyDescent="0.3">
      <c r="A40">
        <v>1.9679329999999999</v>
      </c>
      <c r="B40">
        <v>0.64078000000000002</v>
      </c>
      <c r="C40">
        <f t="shared" si="1"/>
        <v>1.2610121077400001</v>
      </c>
      <c r="D40">
        <v>1.66E-2</v>
      </c>
      <c r="E40">
        <v>3.5699999999999998E-3</v>
      </c>
      <c r="F40">
        <f t="shared" si="2"/>
        <v>393.58659999999998</v>
      </c>
      <c r="G40">
        <f t="shared" si="3"/>
        <v>-0.64078000000000002</v>
      </c>
      <c r="H40">
        <f t="shared" si="4"/>
        <v>-252.20242154800002</v>
      </c>
      <c r="I40">
        <v>1</v>
      </c>
      <c r="J40">
        <f t="shared" si="5"/>
        <v>-0.93245415909902041</v>
      </c>
      <c r="K40">
        <f t="shared" si="6"/>
        <v>-0.58094515177521744</v>
      </c>
      <c r="L40">
        <v>1</v>
      </c>
      <c r="M40">
        <f t="shared" si="7"/>
        <v>0.45496435536034024</v>
      </c>
      <c r="N40">
        <f t="shared" si="13"/>
        <v>3.2667687799999998E-2</v>
      </c>
      <c r="O40">
        <f t="shared" si="11"/>
        <v>7.0255208099999997E-3</v>
      </c>
      <c r="P40">
        <f t="shared" si="12"/>
        <v>8.6287587804877192E-2</v>
      </c>
      <c r="V40">
        <v>-2.4000000000000101</v>
      </c>
      <c r="W40">
        <f t="shared" si="9"/>
        <v>-0.39316599999999957</v>
      </c>
    </row>
    <row r="41" spans="1:23" x14ac:dyDescent="0.3">
      <c r="A41">
        <v>2.0198696000000003</v>
      </c>
      <c r="B41">
        <v>0.63705999999999996</v>
      </c>
      <c r="C41">
        <f t="shared" si="1"/>
        <v>1.2867781273760002</v>
      </c>
      <c r="D41">
        <v>1.66E-2</v>
      </c>
      <c r="E41">
        <v>3.5699999999999998E-3</v>
      </c>
      <c r="F41">
        <f t="shared" si="2"/>
        <v>403.97392000000008</v>
      </c>
      <c r="G41">
        <f t="shared" si="3"/>
        <v>-0.63705999999999996</v>
      </c>
      <c r="H41">
        <f t="shared" si="4"/>
        <v>-257.35562547520004</v>
      </c>
      <c r="I41">
        <v>1</v>
      </c>
      <c r="J41">
        <f t="shared" si="5"/>
        <v>-0.90640495756016082</v>
      </c>
      <c r="K41">
        <f t="shared" si="6"/>
        <v>-0.5846651517752175</v>
      </c>
      <c r="L41">
        <v>1</v>
      </c>
      <c r="M41">
        <f t="shared" si="7"/>
        <v>0.45606128723714162</v>
      </c>
      <c r="N41">
        <f t="shared" si="13"/>
        <v>3.3529835360000003E-2</v>
      </c>
      <c r="O41">
        <f t="shared" si="11"/>
        <v>7.2109344720000003E-3</v>
      </c>
      <c r="P41">
        <f t="shared" si="12"/>
        <v>8.7863094706075867E-2</v>
      </c>
      <c r="V41">
        <v>-2.30000000000001</v>
      </c>
      <c r="W41">
        <f t="shared" si="9"/>
        <v>-0.39737699999999959</v>
      </c>
    </row>
    <row r="42" spans="1:23" x14ac:dyDescent="0.3">
      <c r="A42">
        <v>2.0707877999999997</v>
      </c>
      <c r="B42">
        <v>0.63356999999999997</v>
      </c>
      <c r="C42">
        <f t="shared" si="1"/>
        <v>1.3119890264459997</v>
      </c>
      <c r="D42">
        <v>1.66E-2</v>
      </c>
      <c r="E42">
        <v>3.5699999999999998E-3</v>
      </c>
      <c r="F42">
        <f t="shared" si="2"/>
        <v>414.15755999999993</v>
      </c>
      <c r="G42">
        <f t="shared" si="3"/>
        <v>-0.63356999999999997</v>
      </c>
      <c r="H42">
        <f t="shared" si="4"/>
        <v>-262.39780528919994</v>
      </c>
      <c r="I42">
        <v>1</v>
      </c>
      <c r="J42">
        <f t="shared" si="5"/>
        <v>-0.88150879784876657</v>
      </c>
      <c r="K42">
        <f t="shared" si="6"/>
        <v>-0.58815515177521749</v>
      </c>
      <c r="L42">
        <v>1</v>
      </c>
      <c r="M42">
        <f t="shared" si="7"/>
        <v>0.45710966452258844</v>
      </c>
      <c r="N42">
        <f t="shared" si="13"/>
        <v>3.4375077479999995E-2</v>
      </c>
      <c r="O42">
        <f t="shared" si="11"/>
        <v>7.3927124459999983E-3</v>
      </c>
      <c r="P42">
        <f t="shared" si="12"/>
        <v>8.927769732662906E-2</v>
      </c>
      <c r="V42">
        <v>-2.2000000000000099</v>
      </c>
      <c r="W42">
        <f t="shared" si="9"/>
        <v>-0.40158799999999961</v>
      </c>
    </row>
    <row r="43" spans="1:23" x14ac:dyDescent="0.3">
      <c r="A43">
        <v>2.1232338999999998</v>
      </c>
      <c r="B43">
        <v>0.63048999999999999</v>
      </c>
      <c r="C43">
        <f t="shared" si="1"/>
        <v>1.3386777416109998</v>
      </c>
      <c r="D43">
        <v>1.66E-2</v>
      </c>
      <c r="E43">
        <v>3.5699999999999998E-3</v>
      </c>
      <c r="F43">
        <f t="shared" si="2"/>
        <v>424.64677999999998</v>
      </c>
      <c r="G43">
        <f t="shared" si="3"/>
        <v>-0.63048999999999999</v>
      </c>
      <c r="H43">
        <f t="shared" si="4"/>
        <v>-267.73554832219997</v>
      </c>
      <c r="I43">
        <v>1</v>
      </c>
      <c r="J43">
        <f t="shared" si="5"/>
        <v>-0.85649756150004486</v>
      </c>
      <c r="K43">
        <f t="shared" si="6"/>
        <v>-0.59123515177521746</v>
      </c>
      <c r="L43">
        <v>1</v>
      </c>
      <c r="M43">
        <f t="shared" si="7"/>
        <v>0.45816288768523311</v>
      </c>
      <c r="N43">
        <f t="shared" si="13"/>
        <v>3.5245682739999999E-2</v>
      </c>
      <c r="O43">
        <f t="shared" si="11"/>
        <v>7.5799450229999989E-3</v>
      </c>
      <c r="P43">
        <f t="shared" si="12"/>
        <v>9.0246636326984347E-2</v>
      </c>
      <c r="V43">
        <v>-2.1000000000000099</v>
      </c>
      <c r="W43">
        <f t="shared" si="9"/>
        <v>-0.40579899999999958</v>
      </c>
    </row>
    <row r="44" spans="1:23" x14ac:dyDescent="0.3">
      <c r="A44">
        <v>2.1736428000000001</v>
      </c>
      <c r="B44">
        <v>0.62702000000000002</v>
      </c>
      <c r="C44">
        <f t="shared" si="1"/>
        <v>1.3629175084560001</v>
      </c>
      <c r="D44">
        <v>1.66E-2</v>
      </c>
      <c r="E44">
        <v>3.5699999999999998E-3</v>
      </c>
      <c r="F44">
        <f t="shared" si="2"/>
        <v>434.72856000000002</v>
      </c>
      <c r="G44">
        <f t="shared" si="3"/>
        <v>-0.62702000000000002</v>
      </c>
      <c r="H44">
        <f t="shared" si="4"/>
        <v>-272.58350169120001</v>
      </c>
      <c r="I44">
        <v>1</v>
      </c>
      <c r="J44">
        <f t="shared" si="5"/>
        <v>-0.83303344266248103</v>
      </c>
      <c r="K44">
        <f t="shared" si="6"/>
        <v>-0.59470515177521743</v>
      </c>
      <c r="L44">
        <v>1</v>
      </c>
      <c r="M44">
        <f t="shared" si="7"/>
        <v>0.45915096172948294</v>
      </c>
      <c r="N44">
        <f t="shared" si="13"/>
        <v>3.6082470480000003E-2</v>
      </c>
      <c r="O44">
        <f t="shared" si="11"/>
        <v>7.759904796E-3</v>
      </c>
      <c r="P44">
        <f t="shared" si="12"/>
        <v>9.1711814769734487E-2</v>
      </c>
      <c r="V44">
        <v>-2.0000000000000102</v>
      </c>
      <c r="W44">
        <f t="shared" si="9"/>
        <v>-0.41000999999999954</v>
      </c>
    </row>
    <row r="45" spans="1:23" x14ac:dyDescent="0.3">
      <c r="A45">
        <v>2.2245613</v>
      </c>
      <c r="B45">
        <v>0.62377000000000005</v>
      </c>
      <c r="C45">
        <f t="shared" si="1"/>
        <v>1.3876146021010001</v>
      </c>
      <c r="D45">
        <v>1.66E-2</v>
      </c>
      <c r="E45">
        <v>3.5699999999999998E-3</v>
      </c>
      <c r="F45">
        <f t="shared" si="2"/>
        <v>444.91226</v>
      </c>
      <c r="G45">
        <f t="shared" si="3"/>
        <v>-0.62377000000000005</v>
      </c>
      <c r="H45">
        <f t="shared" si="4"/>
        <v>-277.52292042020002</v>
      </c>
      <c r="I45">
        <v>1</v>
      </c>
      <c r="J45">
        <f t="shared" si="5"/>
        <v>-0.80987818479549456</v>
      </c>
      <c r="K45">
        <f t="shared" si="6"/>
        <v>-0.59795515177521741</v>
      </c>
      <c r="L45">
        <v>1</v>
      </c>
      <c r="M45">
        <f t="shared" si="7"/>
        <v>0.46012602963826171</v>
      </c>
      <c r="N45">
        <f t="shared" si="13"/>
        <v>3.6927717579999998E-2</v>
      </c>
      <c r="O45">
        <f t="shared" si="11"/>
        <v>7.9416838410000003E-3</v>
      </c>
      <c r="P45">
        <f t="shared" si="12"/>
        <v>9.2959720715955707E-2</v>
      </c>
      <c r="V45">
        <v>-1.9000000000000099</v>
      </c>
      <c r="W45">
        <f t="shared" si="9"/>
        <v>-0.41422099999999962</v>
      </c>
    </row>
    <row r="46" spans="1:23" x14ac:dyDescent="0.3">
      <c r="A46">
        <v>2.2754797</v>
      </c>
      <c r="B46">
        <v>0.62072000000000005</v>
      </c>
      <c r="C46">
        <f t="shared" si="1"/>
        <v>1.412435759384</v>
      </c>
      <c r="D46">
        <v>1.66E-2</v>
      </c>
      <c r="E46">
        <v>3.5699999999999998E-3</v>
      </c>
      <c r="F46">
        <f t="shared" si="2"/>
        <v>455.09593999999998</v>
      </c>
      <c r="G46">
        <f t="shared" si="3"/>
        <v>-0.62072000000000005</v>
      </c>
      <c r="H46">
        <f t="shared" si="4"/>
        <v>-282.4871518768</v>
      </c>
      <c r="I46">
        <v>1</v>
      </c>
      <c r="J46">
        <f t="shared" si="5"/>
        <v>-0.78724702511557243</v>
      </c>
      <c r="K46">
        <f t="shared" si="6"/>
        <v>-0.60100515177521741</v>
      </c>
      <c r="L46">
        <v>1</v>
      </c>
      <c r="M46">
        <f t="shared" si="7"/>
        <v>0.46107902777238324</v>
      </c>
      <c r="N46">
        <f t="shared" si="13"/>
        <v>3.7772963020000001E-2</v>
      </c>
      <c r="O46">
        <f t="shared" si="11"/>
        <v>8.1234625289999998E-3</v>
      </c>
      <c r="P46">
        <f t="shared" si="12"/>
        <v>9.4029698453834173E-2</v>
      </c>
      <c r="V46">
        <v>-1.80000000000001</v>
      </c>
      <c r="W46">
        <f t="shared" si="9"/>
        <v>-0.41843199999999958</v>
      </c>
    </row>
    <row r="47" spans="1:23" x14ac:dyDescent="0.3">
      <c r="A47">
        <v>2.3269072</v>
      </c>
      <c r="B47">
        <v>0.61743000000000003</v>
      </c>
      <c r="C47">
        <f t="shared" si="1"/>
        <v>1.4367023124960001</v>
      </c>
      <c r="D47">
        <v>1.66E-2</v>
      </c>
      <c r="E47">
        <v>3.5699999999999998E-3</v>
      </c>
      <c r="F47">
        <f t="shared" si="2"/>
        <v>465.38144</v>
      </c>
      <c r="G47">
        <f t="shared" si="3"/>
        <v>-0.61743000000000003</v>
      </c>
      <c r="H47">
        <f t="shared" si="4"/>
        <v>-287.34046249920004</v>
      </c>
      <c r="I47">
        <v>1</v>
      </c>
      <c r="J47">
        <f t="shared" si="5"/>
        <v>-0.76489790858256024</v>
      </c>
      <c r="K47">
        <f t="shared" si="6"/>
        <v>-0.60429515177521742</v>
      </c>
      <c r="L47">
        <v>1</v>
      </c>
      <c r="M47">
        <f t="shared" si="7"/>
        <v>0.46202014906958838</v>
      </c>
      <c r="N47">
        <f t="shared" si="13"/>
        <v>3.8626659520000002E-2</v>
      </c>
      <c r="O47">
        <f t="shared" si="11"/>
        <v>8.3070587039999998E-3</v>
      </c>
      <c r="P47">
        <f t="shared" si="12"/>
        <v>9.5341284481629041E-2</v>
      </c>
      <c r="V47">
        <v>-1.7000000000000199</v>
      </c>
      <c r="W47">
        <f t="shared" si="9"/>
        <v>-0.42264299999999916</v>
      </c>
    </row>
    <row r="48" spans="1:23" x14ac:dyDescent="0.3">
      <c r="A48">
        <v>2.3773163999999998</v>
      </c>
      <c r="B48">
        <v>0.61434</v>
      </c>
      <c r="C48">
        <f t="shared" si="1"/>
        <v>1.4604805571759998</v>
      </c>
      <c r="D48">
        <v>1.66E-2</v>
      </c>
      <c r="E48">
        <v>3.5699999999999998E-3</v>
      </c>
      <c r="F48">
        <f t="shared" si="2"/>
        <v>475.46327999999994</v>
      </c>
      <c r="G48">
        <f t="shared" si="3"/>
        <v>-0.61434</v>
      </c>
      <c r="H48">
        <f t="shared" si="4"/>
        <v>-292.09611143519993</v>
      </c>
      <c r="I48">
        <v>1</v>
      </c>
      <c r="J48">
        <f t="shared" si="5"/>
        <v>-0.74346562395338023</v>
      </c>
      <c r="K48">
        <f t="shared" si="6"/>
        <v>-0.60738515177521746</v>
      </c>
      <c r="L48">
        <v>1</v>
      </c>
      <c r="M48">
        <f t="shared" si="7"/>
        <v>0.46292266257532316</v>
      </c>
      <c r="N48">
        <f t="shared" si="13"/>
        <v>3.9463452239999995E-2</v>
      </c>
      <c r="O48">
        <f t="shared" si="11"/>
        <v>8.487019547999998E-3</v>
      </c>
      <c r="P48">
        <f t="shared" si="12"/>
        <v>9.6512017411894302E-2</v>
      </c>
      <c r="V48">
        <v>-1.6000000000000201</v>
      </c>
      <c r="W48">
        <f t="shared" si="9"/>
        <v>-0.42685399999999918</v>
      </c>
    </row>
    <row r="49" spans="1:23" x14ac:dyDescent="0.3">
      <c r="A49">
        <v>2.4312898000000001</v>
      </c>
      <c r="B49">
        <v>0.61116999999999999</v>
      </c>
      <c r="C49">
        <f t="shared" si="1"/>
        <v>1.485931387066</v>
      </c>
      <c r="D49">
        <v>1.66E-2</v>
      </c>
      <c r="E49">
        <v>3.5699999999999998E-3</v>
      </c>
      <c r="F49">
        <f t="shared" si="2"/>
        <v>486.25796000000003</v>
      </c>
      <c r="G49">
        <f t="shared" si="3"/>
        <v>-0.61116999999999999</v>
      </c>
      <c r="H49">
        <f t="shared" si="4"/>
        <v>-297.1862774132</v>
      </c>
      <c r="I49">
        <v>1</v>
      </c>
      <c r="J49">
        <f t="shared" si="5"/>
        <v>-0.72101601400352222</v>
      </c>
      <c r="K49">
        <f t="shared" si="6"/>
        <v>-0.61055515177521746</v>
      </c>
      <c r="L49">
        <v>1</v>
      </c>
      <c r="M49">
        <f t="shared" si="7"/>
        <v>0.46386801565031166</v>
      </c>
      <c r="N49">
        <f t="shared" si="13"/>
        <v>4.0359410679999999E-2</v>
      </c>
      <c r="O49">
        <f t="shared" si="11"/>
        <v>8.6797045860000002E-3</v>
      </c>
      <c r="P49">
        <f t="shared" si="12"/>
        <v>9.764802085890581E-2</v>
      </c>
      <c r="V49">
        <v>-1.50000000000002</v>
      </c>
      <c r="W49">
        <f t="shared" si="9"/>
        <v>-0.43106499999999914</v>
      </c>
    </row>
    <row r="50" spans="1:23" x14ac:dyDescent="0.3">
      <c r="A50">
        <v>2.4827173</v>
      </c>
      <c r="B50">
        <v>0.60789000000000004</v>
      </c>
      <c r="C50">
        <f t="shared" si="1"/>
        <v>1.5092190194970001</v>
      </c>
      <c r="D50">
        <v>1.66E-2</v>
      </c>
      <c r="E50">
        <v>3.5699999999999998E-3</v>
      </c>
      <c r="F50">
        <f t="shared" si="2"/>
        <v>496.54345999999998</v>
      </c>
      <c r="G50">
        <f t="shared" si="3"/>
        <v>-0.60789000000000004</v>
      </c>
      <c r="H50">
        <f t="shared" si="4"/>
        <v>-301.84380389940003</v>
      </c>
      <c r="I50">
        <v>1</v>
      </c>
      <c r="J50">
        <f t="shared" si="5"/>
        <v>-0.70008426659857181</v>
      </c>
      <c r="K50">
        <f t="shared" si="6"/>
        <v>-0.61383515177521741</v>
      </c>
      <c r="L50">
        <v>1</v>
      </c>
      <c r="M50">
        <f t="shared" si="7"/>
        <v>0.46474945153353414</v>
      </c>
      <c r="N50">
        <f t="shared" si="13"/>
        <v>4.121310718E-2</v>
      </c>
      <c r="O50">
        <f t="shared" si="11"/>
        <v>8.8633007610000002E-3</v>
      </c>
      <c r="P50">
        <f t="shared" si="12"/>
        <v>9.9009292300683269E-2</v>
      </c>
      <c r="V50">
        <v>-1.4000000000000199</v>
      </c>
      <c r="W50">
        <f t="shared" si="9"/>
        <v>-0.43527599999999916</v>
      </c>
    </row>
    <row r="51" spans="1:23" x14ac:dyDescent="0.3">
      <c r="A51">
        <v>2.5346541</v>
      </c>
      <c r="B51">
        <v>0.60506000000000004</v>
      </c>
      <c r="C51">
        <f t="shared" si="1"/>
        <v>1.533617809746</v>
      </c>
      <c r="D51">
        <v>1.66E-2</v>
      </c>
      <c r="E51">
        <v>3.5699999999999998E-3</v>
      </c>
      <c r="F51">
        <f t="shared" si="2"/>
        <v>506.93081999999998</v>
      </c>
      <c r="G51">
        <f t="shared" si="3"/>
        <v>-0.60506000000000004</v>
      </c>
      <c r="H51">
        <f t="shared" si="4"/>
        <v>-306.72356194920002</v>
      </c>
      <c r="I51">
        <v>1</v>
      </c>
      <c r="J51">
        <f t="shared" si="5"/>
        <v>-0.67938073440520363</v>
      </c>
      <c r="K51">
        <f t="shared" si="6"/>
        <v>-0.61666515177521741</v>
      </c>
      <c r="L51">
        <v>1</v>
      </c>
      <c r="M51">
        <f t="shared" si="7"/>
        <v>0.46562127727419689</v>
      </c>
      <c r="N51">
        <f t="shared" si="13"/>
        <v>4.2075258060000002E-2</v>
      </c>
      <c r="O51">
        <f t="shared" si="11"/>
        <v>9.0487151370000005E-3</v>
      </c>
      <c r="P51">
        <f t="shared" si="12"/>
        <v>9.9919901304020509E-2</v>
      </c>
      <c r="V51">
        <v>-1.30000000000002</v>
      </c>
      <c r="W51">
        <f t="shared" si="9"/>
        <v>-0.43948699999999918</v>
      </c>
    </row>
    <row r="52" spans="1:23" x14ac:dyDescent="0.3">
      <c r="A52">
        <v>2.5865906000000001</v>
      </c>
      <c r="B52">
        <v>0.60190999999999995</v>
      </c>
      <c r="C52">
        <f t="shared" si="1"/>
        <v>1.5568947480459998</v>
      </c>
      <c r="D52">
        <v>1.66E-2</v>
      </c>
      <c r="E52">
        <v>3.5699999999999998E-3</v>
      </c>
      <c r="F52">
        <f t="shared" si="2"/>
        <v>517.31812000000002</v>
      </c>
      <c r="G52">
        <f t="shared" si="3"/>
        <v>-0.60190999999999995</v>
      </c>
      <c r="H52">
        <f t="shared" si="4"/>
        <v>-311.37894960919994</v>
      </c>
      <c r="I52">
        <v>1</v>
      </c>
      <c r="J52">
        <f t="shared" si="5"/>
        <v>-0.65909727455597822</v>
      </c>
      <c r="K52">
        <f t="shared" si="6"/>
        <v>-0.61981515177521751</v>
      </c>
      <c r="L52">
        <v>1</v>
      </c>
      <c r="M52">
        <f t="shared" si="7"/>
        <v>0.46647541376844776</v>
      </c>
      <c r="N52">
        <f t="shared" si="13"/>
        <v>4.2937403960000002E-2</v>
      </c>
      <c r="O52">
        <f t="shared" si="11"/>
        <v>9.2341284420000003E-3</v>
      </c>
      <c r="P52">
        <f t="shared" si="12"/>
        <v>0.10116820560476975</v>
      </c>
      <c r="V52">
        <v>-1.2000000000000199</v>
      </c>
      <c r="W52">
        <f t="shared" si="9"/>
        <v>-0.44369799999999915</v>
      </c>
    </row>
    <row r="53" spans="1:23" x14ac:dyDescent="0.3">
      <c r="A53">
        <v>2.637</v>
      </c>
      <c r="B53">
        <v>0.59889000000000003</v>
      </c>
      <c r="C53">
        <f t="shared" si="1"/>
        <v>1.5792729300000001</v>
      </c>
      <c r="D53">
        <v>1.66E-2</v>
      </c>
      <c r="E53">
        <v>3.5699999999999998E-3</v>
      </c>
      <c r="F53">
        <f t="shared" si="2"/>
        <v>527.4</v>
      </c>
      <c r="G53">
        <f t="shared" si="3"/>
        <v>-0.59889000000000003</v>
      </c>
      <c r="H53">
        <f t="shared" si="4"/>
        <v>-315.85458600000004</v>
      </c>
      <c r="I53">
        <v>1</v>
      </c>
      <c r="J53">
        <f t="shared" si="5"/>
        <v>-0.63979600506295076</v>
      </c>
      <c r="K53">
        <f t="shared" si="6"/>
        <v>-0.62283515177521742</v>
      </c>
      <c r="L53">
        <v>1</v>
      </c>
      <c r="M53">
        <f t="shared" si="7"/>
        <v>0.46728819022679913</v>
      </c>
      <c r="N53">
        <f t="shared" si="13"/>
        <v>4.3774199999999999E-2</v>
      </c>
      <c r="O53">
        <f t="shared" si="11"/>
        <v>9.41409E-3</v>
      </c>
      <c r="P53">
        <f t="shared" si="12"/>
        <v>0.1023586715484183</v>
      </c>
      <c r="V53">
        <v>-1.1000000000000201</v>
      </c>
      <c r="W53">
        <f t="shared" si="9"/>
        <v>-0.44790899999999917</v>
      </c>
    </row>
    <row r="54" spans="1:23" x14ac:dyDescent="0.3">
      <c r="A54">
        <v>2.6879180000000003</v>
      </c>
      <c r="B54">
        <v>0.59611000000000003</v>
      </c>
      <c r="C54">
        <f t="shared" si="1"/>
        <v>1.6022947989800003</v>
      </c>
      <c r="D54">
        <v>1.66E-2</v>
      </c>
      <c r="E54">
        <v>3.5699999999999998E-3</v>
      </c>
      <c r="F54">
        <f t="shared" si="2"/>
        <v>537.58360000000005</v>
      </c>
      <c r="G54">
        <f t="shared" si="3"/>
        <v>-0.59611000000000003</v>
      </c>
      <c r="H54">
        <f t="shared" si="4"/>
        <v>-320.45895979600004</v>
      </c>
      <c r="I54">
        <v>1</v>
      </c>
      <c r="J54">
        <f t="shared" si="5"/>
        <v>-0.62067099619089416</v>
      </c>
      <c r="K54">
        <f t="shared" si="6"/>
        <v>-0.62561515177521743</v>
      </c>
      <c r="L54">
        <v>1</v>
      </c>
      <c r="M54">
        <f t="shared" si="7"/>
        <v>0.46809354435040146</v>
      </c>
      <c r="N54">
        <f t="shared" si="13"/>
        <v>4.4619438800000008E-2</v>
      </c>
      <c r="O54">
        <f t="shared" si="11"/>
        <v>9.5958672599999999E-3</v>
      </c>
      <c r="P54">
        <f t="shared" si="12"/>
        <v>0.10330630136481596</v>
      </c>
      <c r="V54">
        <v>-1.00000000000002</v>
      </c>
      <c r="W54">
        <f t="shared" si="9"/>
        <v>-0.45211999999999919</v>
      </c>
    </row>
    <row r="55" spans="1:23" x14ac:dyDescent="0.3">
      <c r="A55">
        <v>2.7398549999999999</v>
      </c>
      <c r="B55">
        <v>0.59292</v>
      </c>
      <c r="C55">
        <f t="shared" si="1"/>
        <v>1.6245148266</v>
      </c>
      <c r="D55">
        <v>1.66E-2</v>
      </c>
      <c r="E55">
        <v>3.5699999999999998E-3</v>
      </c>
      <c r="F55">
        <f t="shared" si="2"/>
        <v>547.971</v>
      </c>
      <c r="G55">
        <f t="shared" si="3"/>
        <v>-0.59292</v>
      </c>
      <c r="H55">
        <f t="shared" si="4"/>
        <v>-324.90296532000002</v>
      </c>
      <c r="I55">
        <v>1</v>
      </c>
      <c r="J55">
        <f t="shared" si="5"/>
        <v>-0.60153291314244794</v>
      </c>
      <c r="K55">
        <f t="shared" si="6"/>
        <v>-0.62880515177521745</v>
      </c>
      <c r="L55">
        <v>1</v>
      </c>
      <c r="M55">
        <f t="shared" si="7"/>
        <v>0.46889944902757152</v>
      </c>
      <c r="N55">
        <f t="shared" si="13"/>
        <v>4.5481593000000001E-2</v>
      </c>
      <c r="O55">
        <f t="shared" si="11"/>
        <v>9.78128235E-3</v>
      </c>
      <c r="P55">
        <f t="shared" si="12"/>
        <v>0.10464282739764592</v>
      </c>
      <c r="V55">
        <v>-0.90000000000002001</v>
      </c>
      <c r="W55">
        <f t="shared" si="9"/>
        <v>-0.45633099999999915</v>
      </c>
    </row>
    <row r="56" spans="1:23" x14ac:dyDescent="0.3">
      <c r="A56">
        <v>2.7928098000000001</v>
      </c>
      <c r="B56">
        <v>0.59004000000000001</v>
      </c>
      <c r="C56">
        <f t="shared" si="1"/>
        <v>1.647869494392</v>
      </c>
      <c r="D56">
        <v>1.66E-2</v>
      </c>
      <c r="E56">
        <v>3.5699999999999998E-3</v>
      </c>
      <c r="F56">
        <f t="shared" si="2"/>
        <v>558.56196</v>
      </c>
      <c r="G56">
        <f t="shared" si="3"/>
        <v>-0.59004000000000001</v>
      </c>
      <c r="H56">
        <f t="shared" si="4"/>
        <v>-329.57389887840003</v>
      </c>
      <c r="I56">
        <v>1</v>
      </c>
      <c r="J56">
        <f t="shared" si="5"/>
        <v>-0.58238972660836519</v>
      </c>
      <c r="K56">
        <f t="shared" si="6"/>
        <v>-0.63168515177521745</v>
      </c>
      <c r="L56">
        <v>1</v>
      </c>
      <c r="M56">
        <f t="shared" si="7"/>
        <v>0.46970556861252172</v>
      </c>
      <c r="N56">
        <f t="shared" si="13"/>
        <v>4.6360642680000001E-2</v>
      </c>
      <c r="O56">
        <f t="shared" si="11"/>
        <v>9.9703309859999999E-3</v>
      </c>
      <c r="P56">
        <f t="shared" si="12"/>
        <v>0.10564860949669572</v>
      </c>
      <c r="V56">
        <v>-0.80000000000002003</v>
      </c>
      <c r="W56">
        <f t="shared" si="9"/>
        <v>-0.46054199999999917</v>
      </c>
    </row>
    <row r="57" spans="1:23" x14ac:dyDescent="0.3">
      <c r="A57">
        <v>2.8442372999999996</v>
      </c>
      <c r="B57">
        <v>0.58697999999999995</v>
      </c>
      <c r="C57">
        <f t="shared" si="1"/>
        <v>1.6695104103539997</v>
      </c>
      <c r="D57">
        <v>1.66E-2</v>
      </c>
      <c r="E57">
        <v>3.5699999999999998E-3</v>
      </c>
      <c r="F57">
        <f t="shared" si="2"/>
        <v>568.84745999999996</v>
      </c>
      <c r="G57">
        <f t="shared" si="3"/>
        <v>-0.58697999999999995</v>
      </c>
      <c r="H57">
        <f t="shared" si="4"/>
        <v>-333.90208207079996</v>
      </c>
      <c r="I57">
        <v>1</v>
      </c>
      <c r="J57">
        <f t="shared" si="5"/>
        <v>-0.56414296515536522</v>
      </c>
      <c r="K57">
        <f t="shared" si="6"/>
        <v>-0.63474515177521751</v>
      </c>
      <c r="L57">
        <v>1</v>
      </c>
      <c r="M57">
        <f t="shared" si="7"/>
        <v>0.47047393973730756</v>
      </c>
      <c r="N57">
        <f t="shared" si="13"/>
        <v>4.7214339179999995E-2</v>
      </c>
      <c r="O57">
        <f t="shared" si="11"/>
        <v>1.0153927160999998E-2</v>
      </c>
      <c r="P57">
        <f t="shared" si="12"/>
        <v>0.10690294569690996</v>
      </c>
      <c r="V57">
        <v>-0.70000000000002005</v>
      </c>
      <c r="W57">
        <f t="shared" si="9"/>
        <v>-0.46475299999999914</v>
      </c>
    </row>
    <row r="58" spans="1:23" x14ac:dyDescent="0.3">
      <c r="A58">
        <v>2.8946462000000004</v>
      </c>
      <c r="B58">
        <v>0.58404</v>
      </c>
      <c r="C58">
        <f t="shared" si="1"/>
        <v>1.6905891666480002</v>
      </c>
      <c r="D58">
        <v>1.66E-2</v>
      </c>
      <c r="E58">
        <v>3.5699999999999998E-3</v>
      </c>
      <c r="F58">
        <f t="shared" si="2"/>
        <v>578.92924000000005</v>
      </c>
      <c r="G58">
        <f t="shared" si="3"/>
        <v>-0.58404</v>
      </c>
      <c r="H58">
        <f t="shared" si="4"/>
        <v>-338.11783332960005</v>
      </c>
      <c r="I58">
        <v>1</v>
      </c>
      <c r="J58">
        <f t="shared" si="5"/>
        <v>-0.54657501958559629</v>
      </c>
      <c r="K58">
        <f t="shared" si="6"/>
        <v>-0.63768515177521745</v>
      </c>
      <c r="L58">
        <v>1</v>
      </c>
      <c r="M58">
        <f t="shared" si="7"/>
        <v>0.47121372592525057</v>
      </c>
      <c r="N58">
        <f t="shared" si="13"/>
        <v>4.8051126920000006E-2</v>
      </c>
      <c r="O58">
        <f t="shared" si="11"/>
        <v>1.0333886934000001E-2</v>
      </c>
      <c r="P58">
        <f t="shared" si="12"/>
        <v>0.10808641199596687</v>
      </c>
      <c r="V58">
        <v>-0.60000000000001996</v>
      </c>
      <c r="W58">
        <f t="shared" si="9"/>
        <v>-0.46896399999999916</v>
      </c>
    </row>
    <row r="59" spans="1:23" x14ac:dyDescent="0.3">
      <c r="A59">
        <v>2.9455646999999998</v>
      </c>
      <c r="B59">
        <v>0.58130999999999999</v>
      </c>
      <c r="C59">
        <f t="shared" si="1"/>
        <v>1.7122862157569998</v>
      </c>
      <c r="D59">
        <v>1.66E-2</v>
      </c>
      <c r="E59">
        <v>3.5699999999999998E-3</v>
      </c>
      <c r="F59">
        <f t="shared" si="2"/>
        <v>589.11293999999998</v>
      </c>
      <c r="G59">
        <f t="shared" si="3"/>
        <v>-0.58130999999999999</v>
      </c>
      <c r="H59">
        <f t="shared" si="4"/>
        <v>-342.45724315139995</v>
      </c>
      <c r="I59">
        <v>1</v>
      </c>
      <c r="J59">
        <f t="shared" si="5"/>
        <v>-0.52913736498533237</v>
      </c>
      <c r="K59">
        <f t="shared" si="6"/>
        <v>-0.64041515177521746</v>
      </c>
      <c r="L59">
        <v>1</v>
      </c>
      <c r="M59">
        <f t="shared" si="7"/>
        <v>0.47194802556046767</v>
      </c>
      <c r="N59">
        <f t="shared" si="13"/>
        <v>4.8896374019999994E-2</v>
      </c>
      <c r="O59">
        <f t="shared" si="11"/>
        <v>1.0515665979E-2</v>
      </c>
      <c r="P59">
        <f t="shared" si="12"/>
        <v>0.1090550862157498</v>
      </c>
      <c r="V59">
        <v>-0.50000000000001998</v>
      </c>
      <c r="W59">
        <f t="shared" si="9"/>
        <v>-0.47317499999999918</v>
      </c>
    </row>
    <row r="60" spans="1:23" x14ac:dyDescent="0.3">
      <c r="A60">
        <v>2.9964832000000001</v>
      </c>
      <c r="B60">
        <v>0.57877000000000001</v>
      </c>
      <c r="C60">
        <f t="shared" si="1"/>
        <v>1.7342745816640002</v>
      </c>
      <c r="D60">
        <v>1.66E-2</v>
      </c>
      <c r="E60">
        <v>3.5699999999999998E-3</v>
      </c>
      <c r="F60">
        <f t="shared" si="2"/>
        <v>599.29664000000002</v>
      </c>
      <c r="G60">
        <f t="shared" si="3"/>
        <v>-0.57877000000000001</v>
      </c>
      <c r="H60">
        <f t="shared" si="4"/>
        <v>-346.85491633280003</v>
      </c>
      <c r="I60">
        <v>1</v>
      </c>
      <c r="J60">
        <f t="shared" si="5"/>
        <v>-0.51199857807467852</v>
      </c>
      <c r="K60">
        <f t="shared" si="6"/>
        <v>-0.64295515177521745</v>
      </c>
      <c r="L60">
        <v>1</v>
      </c>
      <c r="M60">
        <f t="shared" si="7"/>
        <v>0.47266973987727529</v>
      </c>
      <c r="N60">
        <f t="shared" si="13"/>
        <v>4.9741621120000003E-2</v>
      </c>
      <c r="O60">
        <f t="shared" si="11"/>
        <v>1.0697445024E-2</v>
      </c>
      <c r="P60">
        <f t="shared" si="12"/>
        <v>0.10984634575394217</v>
      </c>
      <c r="V60">
        <v>-0.40000000000002001</v>
      </c>
      <c r="W60">
        <f t="shared" si="9"/>
        <v>-0.47738599999999914</v>
      </c>
    </row>
    <row r="61" spans="1:23" x14ac:dyDescent="0.3">
      <c r="A61">
        <v>3.0474014</v>
      </c>
      <c r="B61">
        <v>0.57593000000000005</v>
      </c>
      <c r="C61">
        <f t="shared" si="1"/>
        <v>1.7550898883020001</v>
      </c>
      <c r="D61">
        <v>1.66E-2</v>
      </c>
      <c r="E61">
        <v>3.5699999999999998E-3</v>
      </c>
      <c r="F61">
        <f t="shared" si="2"/>
        <v>609.48027999999999</v>
      </c>
      <c r="G61">
        <f t="shared" si="3"/>
        <v>-0.57593000000000005</v>
      </c>
      <c r="H61">
        <f t="shared" si="4"/>
        <v>-351.01797766039999</v>
      </c>
      <c r="I61">
        <v>1</v>
      </c>
      <c r="J61">
        <f t="shared" si="5"/>
        <v>-0.49514868497306869</v>
      </c>
      <c r="K61">
        <f t="shared" si="6"/>
        <v>-0.6457951517752174</v>
      </c>
      <c r="L61">
        <v>1</v>
      </c>
      <c r="M61">
        <f t="shared" si="7"/>
        <v>0.47337928887578407</v>
      </c>
      <c r="N61">
        <f t="shared" si="13"/>
        <v>5.0586863240000002E-2</v>
      </c>
      <c r="O61">
        <f t="shared" si="11"/>
        <v>1.0879222998E-2</v>
      </c>
      <c r="P61">
        <f t="shared" si="12"/>
        <v>0.11094977666143334</v>
      </c>
      <c r="V61">
        <v>-0.30000000000001997</v>
      </c>
      <c r="W61">
        <f t="shared" si="9"/>
        <v>-0.48159699999999916</v>
      </c>
    </row>
    <row r="62" spans="1:23" x14ac:dyDescent="0.3">
      <c r="A62">
        <v>3.0978105</v>
      </c>
      <c r="B62">
        <v>0.57310000000000005</v>
      </c>
      <c r="C62">
        <f t="shared" si="1"/>
        <v>1.7753551975500002</v>
      </c>
      <c r="D62">
        <v>1.66E-2</v>
      </c>
      <c r="E62">
        <v>3.5699999999999998E-3</v>
      </c>
      <c r="F62">
        <f t="shared" si="2"/>
        <v>619.56209999999999</v>
      </c>
      <c r="G62">
        <f t="shared" si="3"/>
        <v>-0.57310000000000005</v>
      </c>
      <c r="H62">
        <f t="shared" si="4"/>
        <v>-355.07103951000005</v>
      </c>
      <c r="I62">
        <v>1</v>
      </c>
      <c r="J62">
        <f t="shared" si="5"/>
        <v>-0.47874234080609596</v>
      </c>
      <c r="K62">
        <f t="shared" si="6"/>
        <v>-0.6486251517752174</v>
      </c>
      <c r="L62">
        <v>1</v>
      </c>
      <c r="M62">
        <f t="shared" si="7"/>
        <v>0.47407016002865532</v>
      </c>
      <c r="N62">
        <f t="shared" si="13"/>
        <v>5.1423654300000003E-2</v>
      </c>
      <c r="O62">
        <f t="shared" si="11"/>
        <v>1.1059183484999999E-2</v>
      </c>
      <c r="P62">
        <f t="shared" si="12"/>
        <v>0.11207215396156207</v>
      </c>
      <c r="V62">
        <v>-0.20000000000002</v>
      </c>
      <c r="W62">
        <f t="shared" si="9"/>
        <v>-0.48580799999999918</v>
      </c>
    </row>
    <row r="63" spans="1:23" x14ac:dyDescent="0.3">
      <c r="A63">
        <v>3.1512747000000001</v>
      </c>
      <c r="B63">
        <v>0.57030999999999998</v>
      </c>
      <c r="C63">
        <f t="shared" si="1"/>
        <v>1.797203474157</v>
      </c>
      <c r="D63">
        <v>1.66E-2</v>
      </c>
      <c r="E63">
        <v>3.5699999999999998E-3</v>
      </c>
      <c r="F63">
        <f t="shared" si="2"/>
        <v>630.25494000000003</v>
      </c>
      <c r="G63">
        <f t="shared" si="3"/>
        <v>-0.57030999999999998</v>
      </c>
      <c r="H63">
        <f t="shared" si="4"/>
        <v>-359.44069483139998</v>
      </c>
      <c r="I63">
        <v>1</v>
      </c>
      <c r="J63">
        <f t="shared" si="5"/>
        <v>-0.46163087478536546</v>
      </c>
      <c r="K63">
        <f t="shared" si="6"/>
        <v>-0.65141515177521747</v>
      </c>
      <c r="L63">
        <v>1</v>
      </c>
      <c r="M63">
        <f t="shared" si="7"/>
        <v>0.47479072386278826</v>
      </c>
      <c r="N63">
        <f t="shared" si="13"/>
        <v>5.2311160020000004E-2</v>
      </c>
      <c r="O63">
        <f t="shared" si="11"/>
        <v>1.1250050679E-2</v>
      </c>
      <c r="P63">
        <f t="shared" si="12"/>
        <v>0.11306321721342921</v>
      </c>
      <c r="V63">
        <v>-0.10000000000002</v>
      </c>
      <c r="W63">
        <f t="shared" si="9"/>
        <v>-0.49001899999999915</v>
      </c>
    </row>
    <row r="64" spans="1:23" x14ac:dyDescent="0.3">
      <c r="A64">
        <v>3.204739</v>
      </c>
      <c r="B64">
        <v>0.56737000000000004</v>
      </c>
      <c r="C64">
        <f t="shared" si="1"/>
        <v>1.8182727664300002</v>
      </c>
      <c r="D64">
        <v>1.66E-2</v>
      </c>
      <c r="E64">
        <v>3.5699999999999998E-3</v>
      </c>
      <c r="F64">
        <f t="shared" si="2"/>
        <v>640.94780000000003</v>
      </c>
      <c r="G64">
        <f t="shared" si="3"/>
        <v>-0.56737000000000004</v>
      </c>
      <c r="H64">
        <f t="shared" si="4"/>
        <v>-363.65455328600007</v>
      </c>
      <c r="I64">
        <v>1</v>
      </c>
      <c r="J64">
        <f t="shared" si="5"/>
        <v>-0.44480726063490783</v>
      </c>
      <c r="K64">
        <f t="shared" si="6"/>
        <v>-0.65435515177521741</v>
      </c>
      <c r="L64">
        <v>1</v>
      </c>
      <c r="M64">
        <f t="shared" si="7"/>
        <v>0.47549916625466404</v>
      </c>
      <c r="N64">
        <f t="shared" si="13"/>
        <v>5.3198667400000003E-2</v>
      </c>
      <c r="O64">
        <f t="shared" si="11"/>
        <v>1.144091823E-2</v>
      </c>
      <c r="P64">
        <f t="shared" si="12"/>
        <v>0.11421639989055336</v>
      </c>
      <c r="V64">
        <v>-2.0428103653102899E-14</v>
      </c>
      <c r="W64">
        <f t="shared" si="9"/>
        <v>-0.49422999999999917</v>
      </c>
    </row>
    <row r="65" spans="1:23" x14ac:dyDescent="0.3">
      <c r="A65">
        <v>3.2556574999999999</v>
      </c>
      <c r="B65">
        <v>0.56440999999999997</v>
      </c>
      <c r="C65">
        <f t="shared" si="1"/>
        <v>1.8375256495749999</v>
      </c>
      <c r="D65">
        <v>1.66E-2</v>
      </c>
      <c r="E65">
        <v>3.5699999999999998E-3</v>
      </c>
      <c r="F65">
        <f t="shared" si="2"/>
        <v>651.13149999999996</v>
      </c>
      <c r="G65">
        <f t="shared" si="3"/>
        <v>-0.56440999999999997</v>
      </c>
      <c r="H65">
        <f t="shared" si="4"/>
        <v>-367.505129915</v>
      </c>
      <c r="I65">
        <v>1</v>
      </c>
      <c r="J65">
        <f t="shared" si="5"/>
        <v>-0.42904366024439694</v>
      </c>
      <c r="K65">
        <f t="shared" si="6"/>
        <v>-0.65731515177521749</v>
      </c>
      <c r="L65">
        <v>1</v>
      </c>
      <c r="M65">
        <f t="shared" si="7"/>
        <v>0.47616297146710845</v>
      </c>
      <c r="N65">
        <f t="shared" si="13"/>
        <v>5.4043914499999998E-2</v>
      </c>
      <c r="O65">
        <f t="shared" si="11"/>
        <v>1.1622697275E-2</v>
      </c>
      <c r="P65">
        <f t="shared" si="12"/>
        <v>0.11548556853310903</v>
      </c>
      <c r="V65">
        <v>9.9999999999980105E-2</v>
      </c>
      <c r="W65">
        <f t="shared" si="9"/>
        <v>-0.49844099999999919</v>
      </c>
    </row>
    <row r="66" spans="1:23" x14ac:dyDescent="0.3">
      <c r="A66">
        <v>3.3070850000000003</v>
      </c>
      <c r="B66">
        <v>0.56181999999999999</v>
      </c>
      <c r="C66">
        <f t="shared" si="1"/>
        <v>1.8579864947000002</v>
      </c>
      <c r="D66">
        <v>1.66E-2</v>
      </c>
      <c r="E66">
        <v>3.5699999999999998E-3</v>
      </c>
      <c r="F66">
        <f t="shared" si="2"/>
        <v>661.41700000000003</v>
      </c>
      <c r="G66">
        <f t="shared" si="3"/>
        <v>-0.56181999999999999</v>
      </c>
      <c r="H66">
        <f t="shared" si="4"/>
        <v>-371.59729894000003</v>
      </c>
      <c r="I66">
        <v>1</v>
      </c>
      <c r="J66">
        <f t="shared" si="5"/>
        <v>-0.4133707757106348</v>
      </c>
      <c r="K66">
        <f t="shared" si="6"/>
        <v>-0.65990515177521747</v>
      </c>
      <c r="L66">
        <v>1</v>
      </c>
      <c r="M66">
        <f t="shared" si="7"/>
        <v>0.47682295663482516</v>
      </c>
      <c r="N66">
        <f t="shared" si="13"/>
        <v>5.4897611000000006E-2</v>
      </c>
      <c r="O66">
        <f t="shared" si="11"/>
        <v>1.180629345E-2</v>
      </c>
      <c r="P66">
        <f t="shared" si="12"/>
        <v>0.11637829069039229</v>
      </c>
      <c r="V66">
        <v>0.19999999999998</v>
      </c>
      <c r="W66">
        <f t="shared" si="9"/>
        <v>-0.50265199999999921</v>
      </c>
    </row>
    <row r="67" spans="1:23" x14ac:dyDescent="0.3">
      <c r="A67">
        <v>3.3580033999999999</v>
      </c>
      <c r="B67">
        <v>0.55903000000000003</v>
      </c>
      <c r="C67">
        <f t="shared" si="1"/>
        <v>1.8772246407019999</v>
      </c>
      <c r="D67">
        <v>1.66E-2</v>
      </c>
      <c r="E67">
        <v>3.5699999999999998E-3</v>
      </c>
      <c r="F67">
        <f t="shared" si="2"/>
        <v>671.60068000000001</v>
      </c>
      <c r="G67">
        <f t="shared" si="3"/>
        <v>-0.55903000000000003</v>
      </c>
      <c r="H67">
        <f t="shared" si="4"/>
        <v>-375.44492814039995</v>
      </c>
      <c r="I67">
        <v>1</v>
      </c>
      <c r="J67">
        <f t="shared" si="5"/>
        <v>-0.39809134127181889</v>
      </c>
      <c r="K67">
        <f t="shared" si="6"/>
        <v>-0.66269515177521743</v>
      </c>
      <c r="L67">
        <v>1</v>
      </c>
      <c r="M67">
        <f t="shared" si="7"/>
        <v>0.4774663736190437</v>
      </c>
      <c r="N67">
        <f t="shared" si="13"/>
        <v>5.5742856439999995E-2</v>
      </c>
      <c r="O67">
        <f t="shared" si="11"/>
        <v>1.1988072137999999E-2</v>
      </c>
      <c r="P67">
        <f t="shared" si="12"/>
        <v>0.11749784957817373</v>
      </c>
      <c r="V67">
        <v>0.29999999999998</v>
      </c>
      <c r="W67">
        <f t="shared" si="9"/>
        <v>-0.50686299999999918</v>
      </c>
    </row>
    <row r="68" spans="1:23" x14ac:dyDescent="0.3">
      <c r="A68">
        <v>3.4084124000000005</v>
      </c>
      <c r="B68">
        <v>0.55633999999999995</v>
      </c>
      <c r="C68">
        <f t="shared" si="1"/>
        <v>1.896236154616</v>
      </c>
      <c r="D68">
        <v>1.66E-2</v>
      </c>
      <c r="E68">
        <v>3.5699999999999998E-3</v>
      </c>
      <c r="F68">
        <f t="shared" si="2"/>
        <v>681.68248000000006</v>
      </c>
      <c r="G68">
        <f t="shared" si="3"/>
        <v>-0.55633999999999995</v>
      </c>
      <c r="H68">
        <f t="shared" si="4"/>
        <v>-379.24723092319999</v>
      </c>
      <c r="I68">
        <v>1</v>
      </c>
      <c r="J68">
        <f t="shared" si="5"/>
        <v>-0.38319130139840518</v>
      </c>
      <c r="K68">
        <f t="shared" si="6"/>
        <v>-0.66538515177521751</v>
      </c>
      <c r="L68">
        <v>1</v>
      </c>
      <c r="M68">
        <f t="shared" si="7"/>
        <v>0.47809381429811315</v>
      </c>
      <c r="N68">
        <f t="shared" si="13"/>
        <v>5.6579645840000005E-2</v>
      </c>
      <c r="O68">
        <f t="shared" si="11"/>
        <v>1.2168032268000001E-2</v>
      </c>
      <c r="P68">
        <f t="shared" si="12"/>
        <v>0.11854365936910435</v>
      </c>
      <c r="V68">
        <v>0.39999999999997998</v>
      </c>
      <c r="W68">
        <f t="shared" si="9"/>
        <v>-0.51107399999999914</v>
      </c>
    </row>
    <row r="69" spans="1:23" x14ac:dyDescent="0.3">
      <c r="A69">
        <v>3.4613673999999999</v>
      </c>
      <c r="B69">
        <v>0.55359000000000003</v>
      </c>
      <c r="C69">
        <f t="shared" ref="C69:C132" si="14">A69*B69</f>
        <v>1.9161783789660001</v>
      </c>
      <c r="D69">
        <v>1.66E-2</v>
      </c>
      <c r="E69">
        <v>3.5699999999999998E-3</v>
      </c>
      <c r="F69">
        <f t="shared" ref="F69:F132" si="15">A69*200</f>
        <v>692.27347999999995</v>
      </c>
      <c r="G69">
        <f t="shared" ref="G69:G132" si="16">-B69</f>
        <v>-0.55359000000000003</v>
      </c>
      <c r="H69">
        <f t="shared" ref="H69:H132" si="17">-C69*200</f>
        <v>-383.23567579320002</v>
      </c>
      <c r="I69">
        <v>1</v>
      </c>
      <c r="J69">
        <f t="shared" ref="J69:J132" si="18">LN(F69/1000)</f>
        <v>-0.36777419912419373</v>
      </c>
      <c r="K69">
        <f t="shared" ref="K69:K132" si="19">((-G69)-$N$2)</f>
        <v>-0.66813515177521743</v>
      </c>
      <c r="L69">
        <v>1</v>
      </c>
      <c r="M69">
        <f t="shared" ref="M69:M132" si="20">-1*($S$4+($S$5*J69))</f>
        <v>0.47874302847488021</v>
      </c>
      <c r="N69">
        <f t="shared" si="13"/>
        <v>5.7458698839999996E-2</v>
      </c>
      <c r="O69">
        <f t="shared" si="11"/>
        <v>1.2357081617999999E-2</v>
      </c>
      <c r="P69">
        <f t="shared" si="12"/>
        <v>0.11957634284233723</v>
      </c>
      <c r="V69">
        <v>0.49999999999998002</v>
      </c>
      <c r="W69">
        <f t="shared" ref="W69:W132" si="21">V69*$S$5+$S$4</f>
        <v>-0.5152849999999991</v>
      </c>
    </row>
    <row r="70" spans="1:23" x14ac:dyDescent="0.3">
      <c r="A70">
        <v>3.5148315000000001</v>
      </c>
      <c r="B70">
        <v>0.55088999999999999</v>
      </c>
      <c r="C70">
        <f t="shared" si="14"/>
        <v>1.936285525035</v>
      </c>
      <c r="D70">
        <v>1.66E-2</v>
      </c>
      <c r="E70">
        <v>3.5699999999999998E-3</v>
      </c>
      <c r="F70">
        <f t="shared" si="15"/>
        <v>702.96630000000005</v>
      </c>
      <c r="G70">
        <f t="shared" si="16"/>
        <v>-0.55088999999999999</v>
      </c>
      <c r="H70">
        <f t="shared" si="17"/>
        <v>-387.25710500700001</v>
      </c>
      <c r="I70">
        <v>1</v>
      </c>
      <c r="J70">
        <f t="shared" si="18"/>
        <v>-0.35244632573160178</v>
      </c>
      <c r="K70">
        <f t="shared" si="19"/>
        <v>-0.67083515177521746</v>
      </c>
      <c r="L70">
        <v>1</v>
      </c>
      <c r="M70">
        <f t="shared" si="20"/>
        <v>0.47938848522344224</v>
      </c>
      <c r="N70">
        <f t="shared" si="13"/>
        <v>5.8346202900000005E-2</v>
      </c>
      <c r="O70">
        <f t="shared" ref="O70:O133" si="22">E70*A70</f>
        <v>1.2547948454999999E-2</v>
      </c>
      <c r="P70">
        <f t="shared" ref="P70:P133" si="23">-K70-M70-N70-O70</f>
        <v>0.12055251519677522</v>
      </c>
      <c r="V70">
        <v>0.59999999999997999</v>
      </c>
      <c r="W70">
        <f t="shared" si="21"/>
        <v>-0.51949599999999918</v>
      </c>
    </row>
    <row r="71" spans="1:23" x14ac:dyDescent="0.3">
      <c r="A71">
        <v>3.5657502000000001</v>
      </c>
      <c r="B71">
        <v>0.54813000000000001</v>
      </c>
      <c r="C71">
        <f t="shared" si="14"/>
        <v>1.954494657126</v>
      </c>
      <c r="D71">
        <v>1.66E-2</v>
      </c>
      <c r="E71">
        <v>3.5699999999999998E-3</v>
      </c>
      <c r="F71">
        <f t="shared" si="15"/>
        <v>713.15003999999999</v>
      </c>
      <c r="G71">
        <f t="shared" si="16"/>
        <v>-0.54813000000000001</v>
      </c>
      <c r="H71">
        <f t="shared" si="17"/>
        <v>-390.89893142519998</v>
      </c>
      <c r="I71">
        <v>1</v>
      </c>
      <c r="J71">
        <f t="shared" si="18"/>
        <v>-0.3380634459235255</v>
      </c>
      <c r="K71">
        <f t="shared" si="19"/>
        <v>-0.67359515177521745</v>
      </c>
      <c r="L71">
        <v>1</v>
      </c>
      <c r="M71">
        <f t="shared" si="20"/>
        <v>0.47999414829216036</v>
      </c>
      <c r="N71">
        <f t="shared" ref="N71:N134" si="24">D71*A71</f>
        <v>5.9191453320000004E-2</v>
      </c>
      <c r="O71">
        <f t="shared" si="22"/>
        <v>1.2729728213999999E-2</v>
      </c>
      <c r="P71">
        <f t="shared" si="23"/>
        <v>0.12167982194905709</v>
      </c>
      <c r="V71">
        <v>0.69999999999997997</v>
      </c>
      <c r="W71">
        <f t="shared" si="21"/>
        <v>-0.52370699999999915</v>
      </c>
    </row>
    <row r="72" spans="1:23" x14ac:dyDescent="0.3">
      <c r="A72">
        <v>3.6181957999999996</v>
      </c>
      <c r="B72">
        <v>0.54559000000000002</v>
      </c>
      <c r="C72">
        <f t="shared" si="14"/>
        <v>1.9740514465219998</v>
      </c>
      <c r="D72">
        <v>1.66E-2</v>
      </c>
      <c r="E72">
        <v>3.5699999999999998E-3</v>
      </c>
      <c r="F72">
        <f t="shared" si="15"/>
        <v>723.63915999999995</v>
      </c>
      <c r="G72">
        <f t="shared" si="16"/>
        <v>-0.54559000000000002</v>
      </c>
      <c r="H72">
        <f t="shared" si="17"/>
        <v>-394.81028930439999</v>
      </c>
      <c r="I72">
        <v>1</v>
      </c>
      <c r="J72">
        <f t="shared" si="18"/>
        <v>-0.3234624086279374</v>
      </c>
      <c r="K72">
        <f t="shared" si="19"/>
        <v>-0.67613515177521744</v>
      </c>
      <c r="L72">
        <v>1</v>
      </c>
      <c r="M72">
        <f t="shared" si="20"/>
        <v>0.48060899797267753</v>
      </c>
      <c r="N72">
        <f t="shared" si="24"/>
        <v>6.0062050279999994E-2</v>
      </c>
      <c r="O72">
        <f t="shared" si="22"/>
        <v>1.2916959005999998E-2</v>
      </c>
      <c r="P72">
        <f t="shared" si="23"/>
        <v>0.1225471445165399</v>
      </c>
      <c r="V72">
        <v>0.79999999999997995</v>
      </c>
      <c r="W72">
        <f t="shared" si="21"/>
        <v>-0.52791799999999911</v>
      </c>
    </row>
    <row r="73" spans="1:23" x14ac:dyDescent="0.3">
      <c r="A73">
        <v>3.6701326000000001</v>
      </c>
      <c r="B73">
        <v>0.54291</v>
      </c>
      <c r="C73">
        <f t="shared" si="14"/>
        <v>1.9925516898660001</v>
      </c>
      <c r="D73">
        <v>1.66E-2</v>
      </c>
      <c r="E73">
        <v>3.5699999999999998E-3</v>
      </c>
      <c r="F73">
        <f t="shared" si="15"/>
        <v>734.02652</v>
      </c>
      <c r="G73">
        <f t="shared" si="16"/>
        <v>-0.54291</v>
      </c>
      <c r="H73">
        <f t="shared" si="17"/>
        <v>-398.51033797320002</v>
      </c>
      <c r="I73">
        <v>1</v>
      </c>
      <c r="J73">
        <f t="shared" si="18"/>
        <v>-0.309210120230132</v>
      </c>
      <c r="K73">
        <f t="shared" si="19"/>
        <v>-0.67881515177521745</v>
      </c>
      <c r="L73">
        <v>1</v>
      </c>
      <c r="M73">
        <f t="shared" si="20"/>
        <v>0.48120916183710916</v>
      </c>
      <c r="N73">
        <f t="shared" si="24"/>
        <v>6.0924201160000004E-2</v>
      </c>
      <c r="O73">
        <f t="shared" si="22"/>
        <v>1.3102373382E-2</v>
      </c>
      <c r="P73">
        <f t="shared" si="23"/>
        <v>0.1235794153961083</v>
      </c>
      <c r="V73">
        <v>0.89999999999998004</v>
      </c>
      <c r="W73">
        <f t="shared" si="21"/>
        <v>-0.53212899999999919</v>
      </c>
    </row>
    <row r="74" spans="1:23" x14ac:dyDescent="0.3">
      <c r="A74">
        <v>3.7220692999999998</v>
      </c>
      <c r="B74">
        <v>0.54024000000000005</v>
      </c>
      <c r="C74">
        <f t="shared" si="14"/>
        <v>2.0108107186319999</v>
      </c>
      <c r="D74">
        <v>1.66E-2</v>
      </c>
      <c r="E74">
        <v>3.5699999999999998E-3</v>
      </c>
      <c r="F74">
        <f t="shared" si="15"/>
        <v>744.41386</v>
      </c>
      <c r="G74">
        <f t="shared" si="16"/>
        <v>-0.54024000000000005</v>
      </c>
      <c r="H74">
        <f t="shared" si="17"/>
        <v>-402.16214372639996</v>
      </c>
      <c r="I74">
        <v>1</v>
      </c>
      <c r="J74">
        <f t="shared" si="18"/>
        <v>-0.29515813536534208</v>
      </c>
      <c r="K74">
        <f t="shared" si="19"/>
        <v>-0.6814851517752174</v>
      </c>
      <c r="L74">
        <v>1</v>
      </c>
      <c r="M74">
        <f t="shared" si="20"/>
        <v>0.48180089091976547</v>
      </c>
      <c r="N74">
        <f t="shared" si="24"/>
        <v>6.1786350380000001E-2</v>
      </c>
      <c r="O74">
        <f t="shared" si="22"/>
        <v>1.3287787400999999E-2</v>
      </c>
      <c r="P74">
        <f t="shared" si="23"/>
        <v>0.12461012307445193</v>
      </c>
      <c r="V74">
        <v>0.99999999999998002</v>
      </c>
      <c r="W74">
        <f t="shared" si="21"/>
        <v>-0.53633999999999915</v>
      </c>
    </row>
    <row r="75" spans="1:23" x14ac:dyDescent="0.3">
      <c r="A75">
        <v>3.7724785000000001</v>
      </c>
      <c r="B75">
        <v>0.53734000000000004</v>
      </c>
      <c r="C75">
        <f t="shared" si="14"/>
        <v>2.02710359719</v>
      </c>
      <c r="D75">
        <v>1.66E-2</v>
      </c>
      <c r="E75">
        <v>3.5699999999999998E-3</v>
      </c>
      <c r="F75">
        <f t="shared" si="15"/>
        <v>754.49570000000006</v>
      </c>
      <c r="G75">
        <f t="shared" si="16"/>
        <v>-0.53734000000000004</v>
      </c>
      <c r="H75">
        <f t="shared" si="17"/>
        <v>-405.42071943799999</v>
      </c>
      <c r="I75">
        <v>1</v>
      </c>
      <c r="J75">
        <f t="shared" si="18"/>
        <v>-0.28170569992897582</v>
      </c>
      <c r="K75">
        <f t="shared" si="19"/>
        <v>-0.68438515177521742</v>
      </c>
      <c r="L75">
        <v>1</v>
      </c>
      <c r="M75">
        <f t="shared" si="20"/>
        <v>0.4823673729759908</v>
      </c>
      <c r="N75">
        <f t="shared" si="24"/>
        <v>6.2623143100000001E-2</v>
      </c>
      <c r="O75">
        <f t="shared" si="22"/>
        <v>1.3467748244999999E-2</v>
      </c>
      <c r="P75">
        <f t="shared" si="23"/>
        <v>0.12592688745422662</v>
      </c>
      <c r="V75">
        <v>1.0999999999999699</v>
      </c>
      <c r="W75">
        <f t="shared" si="21"/>
        <v>-0.54055099999999878</v>
      </c>
    </row>
    <row r="76" spans="1:23" x14ac:dyDescent="0.3">
      <c r="A76">
        <v>3.823906</v>
      </c>
      <c r="B76">
        <v>0.53513999999999995</v>
      </c>
      <c r="C76">
        <f t="shared" si="14"/>
        <v>2.0463250568399998</v>
      </c>
      <c r="D76">
        <v>1.66E-2</v>
      </c>
      <c r="E76">
        <v>3.5699999999999998E-3</v>
      </c>
      <c r="F76">
        <f t="shared" si="15"/>
        <v>764.78120000000001</v>
      </c>
      <c r="G76">
        <f t="shared" si="16"/>
        <v>-0.53513999999999995</v>
      </c>
      <c r="H76">
        <f t="shared" si="17"/>
        <v>-409.26501136799993</v>
      </c>
      <c r="I76">
        <v>1</v>
      </c>
      <c r="J76">
        <f t="shared" si="18"/>
        <v>-0.26816549913703586</v>
      </c>
      <c r="K76">
        <f t="shared" si="19"/>
        <v>-0.68658515177521751</v>
      </c>
      <c r="L76">
        <v>1</v>
      </c>
      <c r="M76">
        <f t="shared" si="20"/>
        <v>0.48293755083133943</v>
      </c>
      <c r="N76">
        <f t="shared" si="24"/>
        <v>6.3476839600000001E-2</v>
      </c>
      <c r="O76">
        <f t="shared" si="22"/>
        <v>1.3651344419999999E-2</v>
      </c>
      <c r="P76">
        <f t="shared" si="23"/>
        <v>0.12651941692387808</v>
      </c>
      <c r="V76">
        <v>1.19999999999997</v>
      </c>
      <c r="W76">
        <f t="shared" si="21"/>
        <v>-0.54476199999999875</v>
      </c>
    </row>
    <row r="77" spans="1:23" x14ac:dyDescent="0.3">
      <c r="A77">
        <v>3.8743151999999998</v>
      </c>
      <c r="B77">
        <v>0.53239000000000003</v>
      </c>
      <c r="C77">
        <f t="shared" si="14"/>
        <v>2.0626466693280001</v>
      </c>
      <c r="D77">
        <v>1.66E-2</v>
      </c>
      <c r="E77">
        <v>3.5699999999999998E-3</v>
      </c>
      <c r="F77">
        <f t="shared" si="15"/>
        <v>774.86303999999996</v>
      </c>
      <c r="G77">
        <f t="shared" si="16"/>
        <v>-0.53239000000000003</v>
      </c>
      <c r="H77">
        <f t="shared" si="17"/>
        <v>-412.52933386560005</v>
      </c>
      <c r="I77">
        <v>1</v>
      </c>
      <c r="J77">
        <f t="shared" si="18"/>
        <v>-0.2550689878267105</v>
      </c>
      <c r="K77">
        <f t="shared" si="19"/>
        <v>-0.68933515177521743</v>
      </c>
      <c r="L77">
        <v>1</v>
      </c>
      <c r="M77">
        <f t="shared" si="20"/>
        <v>0.48348904492261724</v>
      </c>
      <c r="N77">
        <f t="shared" si="24"/>
        <v>6.4313632319999994E-2</v>
      </c>
      <c r="O77">
        <f t="shared" si="22"/>
        <v>1.3831305263999999E-2</v>
      </c>
      <c r="P77">
        <f t="shared" si="23"/>
        <v>0.1277011692686002</v>
      </c>
      <c r="V77">
        <v>1.2999999999999701</v>
      </c>
      <c r="W77">
        <f t="shared" si="21"/>
        <v>-0.54897299999999871</v>
      </c>
    </row>
    <row r="78" spans="1:23" x14ac:dyDescent="0.3">
      <c r="A78">
        <v>3.9257423999999999</v>
      </c>
      <c r="B78">
        <v>0.52990999999999999</v>
      </c>
      <c r="C78">
        <f t="shared" si="14"/>
        <v>2.0802901551840001</v>
      </c>
      <c r="D78">
        <v>1.66E-2</v>
      </c>
      <c r="E78">
        <v>3.5699999999999998E-3</v>
      </c>
      <c r="F78">
        <f t="shared" si="15"/>
        <v>785.14847999999995</v>
      </c>
      <c r="G78">
        <f t="shared" si="16"/>
        <v>-0.52990999999999999</v>
      </c>
      <c r="H78">
        <f t="shared" si="17"/>
        <v>-416.0580310368</v>
      </c>
      <c r="I78">
        <v>1</v>
      </c>
      <c r="J78">
        <f t="shared" si="18"/>
        <v>-0.24188243258885672</v>
      </c>
      <c r="K78">
        <f t="shared" si="19"/>
        <v>-0.69181515177521746</v>
      </c>
      <c r="L78">
        <v>1</v>
      </c>
      <c r="M78">
        <f t="shared" si="20"/>
        <v>0.48404433076368325</v>
      </c>
      <c r="N78">
        <f t="shared" si="24"/>
        <v>6.5167323839999999E-2</v>
      </c>
      <c r="O78">
        <f t="shared" si="22"/>
        <v>1.4014900367999999E-2</v>
      </c>
      <c r="P78">
        <f t="shared" si="23"/>
        <v>0.12858859680353421</v>
      </c>
      <c r="V78">
        <v>1.3999999999999699</v>
      </c>
      <c r="W78">
        <f t="shared" si="21"/>
        <v>-0.55318399999999879</v>
      </c>
    </row>
    <row r="79" spans="1:23" x14ac:dyDescent="0.3">
      <c r="A79">
        <v>3.9766610999999998</v>
      </c>
      <c r="B79">
        <v>0.52732999999999997</v>
      </c>
      <c r="C79">
        <f t="shared" si="14"/>
        <v>2.0970126978629997</v>
      </c>
      <c r="D79">
        <v>1.66E-2</v>
      </c>
      <c r="E79">
        <v>3.5699999999999998E-3</v>
      </c>
      <c r="F79">
        <f t="shared" si="15"/>
        <v>795.33222000000001</v>
      </c>
      <c r="G79">
        <f t="shared" si="16"/>
        <v>-0.52732999999999997</v>
      </c>
      <c r="H79">
        <f t="shared" si="17"/>
        <v>-419.40253957259995</v>
      </c>
      <c r="I79">
        <v>1</v>
      </c>
      <c r="J79">
        <f t="shared" si="18"/>
        <v>-0.22899536482572044</v>
      </c>
      <c r="K79">
        <f t="shared" si="19"/>
        <v>-0.69439515177521749</v>
      </c>
      <c r="L79">
        <v>1</v>
      </c>
      <c r="M79">
        <f t="shared" si="20"/>
        <v>0.48458700518718889</v>
      </c>
      <c r="N79">
        <f t="shared" si="24"/>
        <v>6.6012574259999998E-2</v>
      </c>
      <c r="O79">
        <f t="shared" si="22"/>
        <v>1.4196680126999999E-2</v>
      </c>
      <c r="P79">
        <f t="shared" si="23"/>
        <v>0.12959889220102858</v>
      </c>
      <c r="V79">
        <v>1.49999999999997</v>
      </c>
      <c r="W79">
        <f t="shared" si="21"/>
        <v>-0.55739499999999875</v>
      </c>
    </row>
    <row r="80" spans="1:23" x14ac:dyDescent="0.3">
      <c r="A80">
        <v>4.0275793000000002</v>
      </c>
      <c r="B80">
        <v>0.52486999999999995</v>
      </c>
      <c r="C80">
        <f t="shared" si="14"/>
        <v>2.1139555471909999</v>
      </c>
      <c r="D80">
        <v>1.66E-2</v>
      </c>
      <c r="E80">
        <v>3.5699999999999998E-3</v>
      </c>
      <c r="F80">
        <f t="shared" si="15"/>
        <v>805.51586000000009</v>
      </c>
      <c r="G80">
        <f t="shared" si="16"/>
        <v>-0.52486999999999995</v>
      </c>
      <c r="H80">
        <f t="shared" si="17"/>
        <v>-422.79110943819995</v>
      </c>
      <c r="I80">
        <v>1</v>
      </c>
      <c r="J80">
        <f t="shared" si="18"/>
        <v>-0.21627238692517833</v>
      </c>
      <c r="K80">
        <f t="shared" si="19"/>
        <v>-0.69685515177521751</v>
      </c>
      <c r="L80">
        <v>1</v>
      </c>
      <c r="M80">
        <f t="shared" si="20"/>
        <v>0.48512276978658075</v>
      </c>
      <c r="N80">
        <f t="shared" si="24"/>
        <v>6.6857816380000004E-2</v>
      </c>
      <c r="O80">
        <f t="shared" si="22"/>
        <v>1.4378458101E-2</v>
      </c>
      <c r="P80">
        <f t="shared" si="23"/>
        <v>0.13049610750763677</v>
      </c>
      <c r="V80">
        <v>1.5999999999999699</v>
      </c>
      <c r="W80">
        <f t="shared" si="21"/>
        <v>-0.56160599999999872</v>
      </c>
    </row>
    <row r="81" spans="1:23" x14ac:dyDescent="0.3">
      <c r="A81">
        <v>4.0779883000000003</v>
      </c>
      <c r="B81">
        <v>0.52259999999999995</v>
      </c>
      <c r="C81">
        <f t="shared" si="14"/>
        <v>2.1311566855800002</v>
      </c>
      <c r="D81">
        <v>1.66E-2</v>
      </c>
      <c r="E81">
        <v>3.5699999999999998E-3</v>
      </c>
      <c r="F81">
        <f t="shared" si="15"/>
        <v>815.59766000000002</v>
      </c>
      <c r="G81">
        <f t="shared" si="16"/>
        <v>-0.52259999999999995</v>
      </c>
      <c r="H81">
        <f t="shared" si="17"/>
        <v>-426.23133711600002</v>
      </c>
      <c r="I81">
        <v>1</v>
      </c>
      <c r="J81">
        <f t="shared" si="18"/>
        <v>-0.20383410933941026</v>
      </c>
      <c r="K81">
        <f t="shared" si="19"/>
        <v>-0.6991251517752175</v>
      </c>
      <c r="L81">
        <v>1</v>
      </c>
      <c r="M81">
        <f t="shared" si="20"/>
        <v>0.48564654565571741</v>
      </c>
      <c r="N81">
        <f t="shared" si="24"/>
        <v>6.769460578E-2</v>
      </c>
      <c r="O81">
        <f t="shared" si="22"/>
        <v>1.4558418231E-2</v>
      </c>
      <c r="P81">
        <f t="shared" si="23"/>
        <v>0.13122558210850011</v>
      </c>
      <c r="V81">
        <v>1.69999999999997</v>
      </c>
      <c r="W81">
        <f t="shared" si="21"/>
        <v>-0.56581699999999868</v>
      </c>
    </row>
    <row r="82" spans="1:23" x14ac:dyDescent="0.3">
      <c r="A82">
        <v>4.1283975000000002</v>
      </c>
      <c r="B82">
        <v>0.52007999999999999</v>
      </c>
      <c r="C82">
        <f t="shared" si="14"/>
        <v>2.1470969717999999</v>
      </c>
      <c r="D82">
        <v>1.66E-2</v>
      </c>
      <c r="E82">
        <v>3.5699999999999998E-3</v>
      </c>
      <c r="F82">
        <f t="shared" si="15"/>
        <v>825.67950000000008</v>
      </c>
      <c r="G82">
        <f t="shared" si="16"/>
        <v>-0.52007999999999999</v>
      </c>
      <c r="H82">
        <f t="shared" si="17"/>
        <v>-429.41939435999996</v>
      </c>
      <c r="I82">
        <v>1</v>
      </c>
      <c r="J82">
        <f t="shared" si="18"/>
        <v>-0.19154859528611901</v>
      </c>
      <c r="K82">
        <f t="shared" si="19"/>
        <v>-0.70164515177521747</v>
      </c>
      <c r="L82">
        <v>1</v>
      </c>
      <c r="M82">
        <f t="shared" si="20"/>
        <v>0.48616388865250154</v>
      </c>
      <c r="N82">
        <f t="shared" si="24"/>
        <v>6.8531398500000007E-2</v>
      </c>
      <c r="O82">
        <f t="shared" si="22"/>
        <v>1.4738379075E-2</v>
      </c>
      <c r="P82">
        <f t="shared" si="23"/>
        <v>0.13221148554771592</v>
      </c>
      <c r="V82">
        <v>1.7999999999999701</v>
      </c>
      <c r="W82">
        <f t="shared" si="21"/>
        <v>-0.57002799999999876</v>
      </c>
    </row>
    <row r="83" spans="1:23" x14ac:dyDescent="0.3">
      <c r="A83">
        <v>4.1838989</v>
      </c>
      <c r="B83">
        <v>0.51732999999999996</v>
      </c>
      <c r="C83">
        <f t="shared" si="14"/>
        <v>2.1644564179369996</v>
      </c>
      <c r="D83">
        <v>1.66E-2</v>
      </c>
      <c r="E83">
        <v>3.5699999999999998E-3</v>
      </c>
      <c r="F83">
        <f t="shared" si="15"/>
        <v>836.77977999999996</v>
      </c>
      <c r="G83">
        <f t="shared" si="16"/>
        <v>-0.51732999999999996</v>
      </c>
      <c r="H83">
        <f t="shared" si="17"/>
        <v>-432.89128358739993</v>
      </c>
      <c r="I83">
        <v>1</v>
      </c>
      <c r="J83">
        <f t="shared" si="18"/>
        <v>-0.17819434944334372</v>
      </c>
      <c r="K83">
        <f t="shared" si="19"/>
        <v>-0.7043951517752175</v>
      </c>
      <c r="L83">
        <v>1</v>
      </c>
      <c r="M83">
        <f t="shared" si="20"/>
        <v>0.4867262359449408</v>
      </c>
      <c r="N83">
        <f t="shared" si="24"/>
        <v>6.9452721740000001E-2</v>
      </c>
      <c r="O83">
        <f t="shared" si="22"/>
        <v>1.4936519072999999E-2</v>
      </c>
      <c r="P83">
        <f t="shared" si="23"/>
        <v>0.13327967501727669</v>
      </c>
      <c r="V83">
        <v>1.8999999999999699</v>
      </c>
      <c r="W83">
        <f t="shared" si="21"/>
        <v>-0.57423899999999872</v>
      </c>
    </row>
    <row r="84" spans="1:23" x14ac:dyDescent="0.3">
      <c r="A84">
        <v>4.2383812999999995</v>
      </c>
      <c r="B84">
        <v>0.51451999999999998</v>
      </c>
      <c r="C84">
        <f t="shared" si="14"/>
        <v>2.1807319464759995</v>
      </c>
      <c r="D84">
        <v>1.66E-2</v>
      </c>
      <c r="E84">
        <v>3.5699999999999998E-3</v>
      </c>
      <c r="F84">
        <f t="shared" si="15"/>
        <v>847.67625999999984</v>
      </c>
      <c r="G84">
        <f t="shared" si="16"/>
        <v>-0.51451999999999998</v>
      </c>
      <c r="H84">
        <f t="shared" si="17"/>
        <v>-436.14638929519992</v>
      </c>
      <c r="I84">
        <v>1</v>
      </c>
      <c r="J84">
        <f t="shared" si="18"/>
        <v>-0.16525648495044554</v>
      </c>
      <c r="K84">
        <f t="shared" si="19"/>
        <v>-0.70720515177521748</v>
      </c>
      <c r="L84">
        <v>1</v>
      </c>
      <c r="M84">
        <f t="shared" si="20"/>
        <v>0.48727104941873672</v>
      </c>
      <c r="N84">
        <f t="shared" si="24"/>
        <v>7.0357129579999997E-2</v>
      </c>
      <c r="O84">
        <f t="shared" si="22"/>
        <v>1.5131021240999997E-2</v>
      </c>
      <c r="P84">
        <f t="shared" si="23"/>
        <v>0.13444595153548075</v>
      </c>
      <c r="V84">
        <v>1.99999999999997</v>
      </c>
      <c r="W84">
        <f t="shared" si="21"/>
        <v>-0.5784499999999988</v>
      </c>
    </row>
    <row r="85" spans="1:23" x14ac:dyDescent="0.3">
      <c r="A85">
        <v>4.2923549999999997</v>
      </c>
      <c r="B85">
        <v>0.51215999999999995</v>
      </c>
      <c r="C85">
        <f t="shared" si="14"/>
        <v>2.1983725367999996</v>
      </c>
      <c r="D85">
        <v>1.66E-2</v>
      </c>
      <c r="E85">
        <v>3.5699999999999998E-3</v>
      </c>
      <c r="F85">
        <f t="shared" si="15"/>
        <v>858.47099999999989</v>
      </c>
      <c r="G85">
        <f t="shared" si="16"/>
        <v>-0.51215999999999995</v>
      </c>
      <c r="H85">
        <f t="shared" si="17"/>
        <v>-439.67450735999989</v>
      </c>
      <c r="I85">
        <v>1</v>
      </c>
      <c r="J85">
        <f t="shared" si="18"/>
        <v>-0.152602379063732</v>
      </c>
      <c r="K85">
        <f t="shared" si="19"/>
        <v>-0.70956515177521751</v>
      </c>
      <c r="L85">
        <v>1</v>
      </c>
      <c r="M85">
        <f t="shared" si="20"/>
        <v>0.48780391381762622</v>
      </c>
      <c r="N85">
        <f t="shared" si="24"/>
        <v>7.125309299999999E-2</v>
      </c>
      <c r="O85">
        <f t="shared" si="22"/>
        <v>1.5323707349999998E-2</v>
      </c>
      <c r="P85">
        <f t="shared" si="23"/>
        <v>0.1351844376075913</v>
      </c>
      <c r="V85">
        <v>2.0999999999999699</v>
      </c>
      <c r="W85">
        <f t="shared" si="21"/>
        <v>-0.58266099999999876</v>
      </c>
    </row>
    <row r="86" spans="1:23" x14ac:dyDescent="0.3">
      <c r="A86">
        <v>4.3448007999999998</v>
      </c>
      <c r="B86">
        <v>0.50948000000000004</v>
      </c>
      <c r="C86">
        <f t="shared" si="14"/>
        <v>2.2135891115840001</v>
      </c>
      <c r="D86">
        <v>1.66E-2</v>
      </c>
      <c r="E86">
        <v>3.5699999999999998E-3</v>
      </c>
      <c r="F86">
        <f t="shared" si="15"/>
        <v>868.96015999999997</v>
      </c>
      <c r="G86">
        <f t="shared" si="16"/>
        <v>-0.50948000000000004</v>
      </c>
      <c r="H86">
        <f t="shared" si="17"/>
        <v>-442.71782231680004</v>
      </c>
      <c r="I86">
        <v>1</v>
      </c>
      <c r="J86">
        <f t="shared" si="18"/>
        <v>-0.14045800056746569</v>
      </c>
      <c r="K86">
        <f t="shared" si="19"/>
        <v>-0.71224515177521741</v>
      </c>
      <c r="L86">
        <v>1</v>
      </c>
      <c r="M86">
        <f t="shared" si="20"/>
        <v>0.48831531359610403</v>
      </c>
      <c r="N86">
        <f t="shared" si="24"/>
        <v>7.2123693279999998E-2</v>
      </c>
      <c r="O86">
        <f t="shared" si="22"/>
        <v>1.5510938855999998E-2</v>
      </c>
      <c r="P86">
        <f t="shared" si="23"/>
        <v>0.13629520604311338</v>
      </c>
      <c r="V86">
        <v>2.19999999999997</v>
      </c>
      <c r="W86">
        <f t="shared" si="21"/>
        <v>-0.58687199999999873</v>
      </c>
    </row>
    <row r="87" spans="1:23" x14ac:dyDescent="0.3">
      <c r="A87">
        <v>4.3957188</v>
      </c>
      <c r="B87">
        <v>0.50705999999999996</v>
      </c>
      <c r="C87">
        <f t="shared" si="14"/>
        <v>2.2288931747279999</v>
      </c>
      <c r="D87">
        <v>1.66E-2</v>
      </c>
      <c r="E87">
        <v>3.5699999999999998E-3</v>
      </c>
      <c r="F87">
        <f t="shared" si="15"/>
        <v>879.14376000000004</v>
      </c>
      <c r="G87">
        <f t="shared" si="16"/>
        <v>-0.50705999999999996</v>
      </c>
      <c r="H87">
        <f t="shared" si="17"/>
        <v>-445.77863494559995</v>
      </c>
      <c r="I87">
        <v>1</v>
      </c>
      <c r="J87">
        <f t="shared" si="18"/>
        <v>-0.12880684518166485</v>
      </c>
      <c r="K87">
        <f t="shared" si="19"/>
        <v>-0.7146651517752175</v>
      </c>
      <c r="L87">
        <v>1</v>
      </c>
      <c r="M87">
        <f t="shared" si="20"/>
        <v>0.48880594374940012</v>
      </c>
      <c r="N87">
        <f t="shared" si="24"/>
        <v>7.2968932080000007E-2</v>
      </c>
      <c r="O87">
        <f t="shared" si="22"/>
        <v>1.5692716116E-2</v>
      </c>
      <c r="P87">
        <f t="shared" si="23"/>
        <v>0.13719755982981738</v>
      </c>
      <c r="V87">
        <v>2.2999999999999701</v>
      </c>
      <c r="W87">
        <f t="shared" si="21"/>
        <v>-0.59108299999999869</v>
      </c>
    </row>
    <row r="88" spans="1:23" x14ac:dyDescent="0.3">
      <c r="A88">
        <v>4.4476557999999997</v>
      </c>
      <c r="B88">
        <v>0.50458000000000003</v>
      </c>
      <c r="C88">
        <f t="shared" si="14"/>
        <v>2.244198163564</v>
      </c>
      <c r="D88">
        <v>1.66E-2</v>
      </c>
      <c r="E88">
        <v>3.5699999999999998E-3</v>
      </c>
      <c r="F88">
        <f t="shared" si="15"/>
        <v>889.53116</v>
      </c>
      <c r="G88">
        <f t="shared" si="16"/>
        <v>-0.50458000000000003</v>
      </c>
      <c r="H88">
        <f t="shared" si="17"/>
        <v>-448.83963271279998</v>
      </c>
      <c r="I88">
        <v>1</v>
      </c>
      <c r="J88">
        <f t="shared" si="18"/>
        <v>-0.11706074157357037</v>
      </c>
      <c r="K88">
        <f t="shared" si="19"/>
        <v>-0.71714515177521743</v>
      </c>
      <c r="L88">
        <v>1</v>
      </c>
      <c r="M88">
        <f t="shared" si="20"/>
        <v>0.48930057217233697</v>
      </c>
      <c r="N88">
        <f t="shared" si="24"/>
        <v>7.383108628E-2</v>
      </c>
      <c r="O88">
        <f t="shared" si="22"/>
        <v>1.5878131205999998E-2</v>
      </c>
      <c r="P88">
        <f t="shared" si="23"/>
        <v>0.13813536211688043</v>
      </c>
      <c r="V88">
        <v>2.3999999999999702</v>
      </c>
      <c r="W88">
        <f t="shared" si="21"/>
        <v>-0.59529399999999877</v>
      </c>
    </row>
    <row r="89" spans="1:23" x14ac:dyDescent="0.3">
      <c r="A89">
        <v>4.4995922999999998</v>
      </c>
      <c r="B89">
        <v>0.50238000000000005</v>
      </c>
      <c r="C89">
        <f t="shared" si="14"/>
        <v>2.2605051796739999</v>
      </c>
      <c r="D89">
        <v>1.66E-2</v>
      </c>
      <c r="E89">
        <v>3.5699999999999998E-3</v>
      </c>
      <c r="F89">
        <f t="shared" si="15"/>
        <v>899.91845999999998</v>
      </c>
      <c r="G89">
        <f t="shared" si="16"/>
        <v>-0.50238000000000005</v>
      </c>
      <c r="H89">
        <f t="shared" si="17"/>
        <v>-452.1010359348</v>
      </c>
      <c r="I89">
        <v>1</v>
      </c>
      <c r="J89">
        <f t="shared" si="18"/>
        <v>-0.10545111976225424</v>
      </c>
      <c r="K89">
        <f t="shared" si="19"/>
        <v>-0.71934515177521741</v>
      </c>
      <c r="L89">
        <v>1</v>
      </c>
      <c r="M89">
        <f t="shared" si="20"/>
        <v>0.48978945334681145</v>
      </c>
      <c r="N89">
        <f t="shared" si="24"/>
        <v>7.4693232179999999E-2</v>
      </c>
      <c r="O89">
        <f t="shared" si="22"/>
        <v>1.6063544510999998E-2</v>
      </c>
      <c r="P89">
        <f t="shared" si="23"/>
        <v>0.13879892173740593</v>
      </c>
      <c r="V89">
        <v>2.4999999999999698</v>
      </c>
      <c r="W89">
        <f t="shared" si="21"/>
        <v>-0.59950499999999873</v>
      </c>
    </row>
    <row r="90" spans="1:23" x14ac:dyDescent="0.3">
      <c r="A90">
        <v>4.5535658999999997</v>
      </c>
      <c r="B90">
        <v>0.49975999999999998</v>
      </c>
      <c r="C90">
        <f t="shared" si="14"/>
        <v>2.2756900941839997</v>
      </c>
      <c r="D90">
        <v>1.66E-2</v>
      </c>
      <c r="E90">
        <v>3.5699999999999998E-3</v>
      </c>
      <c r="F90">
        <f t="shared" si="15"/>
        <v>910.71317999999997</v>
      </c>
      <c r="G90">
        <f t="shared" si="16"/>
        <v>-0.49975999999999998</v>
      </c>
      <c r="H90">
        <f t="shared" si="17"/>
        <v>-455.13801883679992</v>
      </c>
      <c r="I90">
        <v>1</v>
      </c>
      <c r="J90">
        <f t="shared" si="18"/>
        <v>-9.3527272129207556E-2</v>
      </c>
      <c r="K90">
        <f t="shared" si="19"/>
        <v>-0.72196515177521747</v>
      </c>
      <c r="L90">
        <v>1</v>
      </c>
      <c r="M90">
        <f t="shared" si="20"/>
        <v>0.49029156657063905</v>
      </c>
      <c r="N90">
        <f t="shared" si="24"/>
        <v>7.5589193939999993E-2</v>
      </c>
      <c r="O90">
        <f t="shared" si="22"/>
        <v>1.6256230262999997E-2</v>
      </c>
      <c r="P90">
        <f t="shared" si="23"/>
        <v>0.13982816100157844</v>
      </c>
      <c r="V90">
        <v>2.5999999999999699</v>
      </c>
      <c r="W90">
        <f t="shared" si="21"/>
        <v>-0.6037159999999987</v>
      </c>
    </row>
    <row r="91" spans="1:23" x14ac:dyDescent="0.3">
      <c r="A91">
        <v>4.6044839</v>
      </c>
      <c r="B91">
        <v>0.49714999999999998</v>
      </c>
      <c r="C91">
        <f t="shared" si="14"/>
        <v>2.2891191708849998</v>
      </c>
      <c r="D91">
        <v>1.66E-2</v>
      </c>
      <c r="E91">
        <v>3.5699999999999998E-3</v>
      </c>
      <c r="F91">
        <f t="shared" si="15"/>
        <v>920.89678000000004</v>
      </c>
      <c r="G91">
        <f t="shared" si="16"/>
        <v>-0.49714999999999998</v>
      </c>
      <c r="H91">
        <f t="shared" si="17"/>
        <v>-457.82383417699998</v>
      </c>
      <c r="I91">
        <v>1</v>
      </c>
      <c r="J91">
        <f t="shared" si="18"/>
        <v>-8.2407322840361841E-2</v>
      </c>
      <c r="K91">
        <f t="shared" si="19"/>
        <v>-0.72457515177521747</v>
      </c>
      <c r="L91">
        <v>1</v>
      </c>
      <c r="M91">
        <f t="shared" si="20"/>
        <v>0.49075982763519238</v>
      </c>
      <c r="N91">
        <f t="shared" si="24"/>
        <v>7.6434432740000002E-2</v>
      </c>
      <c r="O91">
        <f t="shared" si="22"/>
        <v>1.6438007522999998E-2</v>
      </c>
      <c r="P91">
        <f t="shared" si="23"/>
        <v>0.14094288387702508</v>
      </c>
      <c r="V91">
        <v>2.69999999999997</v>
      </c>
      <c r="W91">
        <f t="shared" si="21"/>
        <v>-0.60792699999999877</v>
      </c>
    </row>
    <row r="92" spans="1:23" x14ac:dyDescent="0.3">
      <c r="A92">
        <v>4.6589668</v>
      </c>
      <c r="B92">
        <v>0.49481999999999998</v>
      </c>
      <c r="C92">
        <f t="shared" si="14"/>
        <v>2.3053499519759999</v>
      </c>
      <c r="D92">
        <v>1.66E-2</v>
      </c>
      <c r="E92">
        <v>3.5699999999999998E-3</v>
      </c>
      <c r="F92">
        <f t="shared" si="15"/>
        <v>931.79336000000001</v>
      </c>
      <c r="G92">
        <f t="shared" si="16"/>
        <v>-0.49481999999999998</v>
      </c>
      <c r="H92">
        <f t="shared" si="17"/>
        <v>-461.06999039519997</v>
      </c>
      <c r="I92">
        <v>1</v>
      </c>
      <c r="J92">
        <f t="shared" si="18"/>
        <v>-7.0644205617532957E-2</v>
      </c>
      <c r="K92">
        <f t="shared" si="19"/>
        <v>-0.72690515177521742</v>
      </c>
      <c r="L92">
        <v>1</v>
      </c>
      <c r="M92">
        <f t="shared" si="20"/>
        <v>0.49125517250144568</v>
      </c>
      <c r="N92">
        <f t="shared" si="24"/>
        <v>7.7338848880000005E-2</v>
      </c>
      <c r="O92">
        <f t="shared" si="22"/>
        <v>1.6632511475999999E-2</v>
      </c>
      <c r="P92">
        <f t="shared" si="23"/>
        <v>0.14167861891777173</v>
      </c>
      <c r="V92">
        <v>2.7999999999999701</v>
      </c>
      <c r="W92">
        <f t="shared" si="21"/>
        <v>-0.61213799999999874</v>
      </c>
    </row>
    <row r="93" spans="1:23" x14ac:dyDescent="0.3">
      <c r="A93">
        <v>4.7093759999999998</v>
      </c>
      <c r="B93">
        <v>0.49230000000000002</v>
      </c>
      <c r="C93">
        <f t="shared" si="14"/>
        <v>2.3184258047999999</v>
      </c>
      <c r="D93">
        <v>1.66E-2</v>
      </c>
      <c r="E93">
        <v>3.5699999999999998E-3</v>
      </c>
      <c r="F93">
        <f t="shared" si="15"/>
        <v>941.87519999999995</v>
      </c>
      <c r="G93">
        <f t="shared" si="16"/>
        <v>-0.49230000000000002</v>
      </c>
      <c r="H93">
        <f t="shared" si="17"/>
        <v>-463.68516095999996</v>
      </c>
      <c r="I93">
        <v>1</v>
      </c>
      <c r="J93">
        <f t="shared" si="18"/>
        <v>-5.9882497258997663E-2</v>
      </c>
      <c r="K93">
        <f t="shared" si="19"/>
        <v>-0.7294251517752175</v>
      </c>
      <c r="L93">
        <v>1</v>
      </c>
      <c r="M93">
        <f t="shared" si="20"/>
        <v>0.49170834804042363</v>
      </c>
      <c r="N93">
        <f t="shared" si="24"/>
        <v>7.8175641599999998E-2</v>
      </c>
      <c r="O93">
        <f t="shared" si="22"/>
        <v>1.6812472319999997E-2</v>
      </c>
      <c r="P93">
        <f t="shared" si="23"/>
        <v>0.14272868981479386</v>
      </c>
      <c r="V93">
        <v>2.8999999999999702</v>
      </c>
      <c r="W93">
        <f t="shared" si="21"/>
        <v>-0.6163489999999987</v>
      </c>
    </row>
    <row r="94" spans="1:23" x14ac:dyDescent="0.3">
      <c r="A94">
        <v>4.7602944000000003</v>
      </c>
      <c r="B94">
        <v>0.49008000000000002</v>
      </c>
      <c r="C94">
        <f t="shared" si="14"/>
        <v>2.332925079552</v>
      </c>
      <c r="D94">
        <v>1.66E-2</v>
      </c>
      <c r="E94">
        <v>3.5699999999999998E-3</v>
      </c>
      <c r="F94">
        <f t="shared" si="15"/>
        <v>952.05888000000004</v>
      </c>
      <c r="G94">
        <f t="shared" si="16"/>
        <v>-0.49008000000000002</v>
      </c>
      <c r="H94">
        <f t="shared" si="17"/>
        <v>-466.58501591039999</v>
      </c>
      <c r="I94">
        <v>1</v>
      </c>
      <c r="J94">
        <f t="shared" si="18"/>
        <v>-4.9128397363830317E-2</v>
      </c>
      <c r="K94">
        <f t="shared" si="19"/>
        <v>-0.73164515177521738</v>
      </c>
      <c r="L94">
        <v>1</v>
      </c>
      <c r="M94">
        <f t="shared" si="20"/>
        <v>0.49216120318700912</v>
      </c>
      <c r="N94">
        <f t="shared" si="24"/>
        <v>7.9020887040000001E-2</v>
      </c>
      <c r="O94">
        <f t="shared" si="22"/>
        <v>1.6994251007999998E-2</v>
      </c>
      <c r="P94">
        <f t="shared" si="23"/>
        <v>0.14346881054020827</v>
      </c>
      <c r="V94">
        <v>2.9999999999999698</v>
      </c>
      <c r="W94">
        <f t="shared" si="21"/>
        <v>-0.62055999999999867</v>
      </c>
    </row>
    <row r="95" spans="1:23" x14ac:dyDescent="0.3">
      <c r="A95">
        <v>4.8107031000000005</v>
      </c>
      <c r="B95">
        <v>0.48762</v>
      </c>
      <c r="C95">
        <f t="shared" si="14"/>
        <v>2.3457950456220003</v>
      </c>
      <c r="D95">
        <v>1.66E-2</v>
      </c>
      <c r="E95">
        <v>3.5699999999999998E-3</v>
      </c>
      <c r="F95">
        <f t="shared" si="15"/>
        <v>962.14062000000013</v>
      </c>
      <c r="G95">
        <f t="shared" si="16"/>
        <v>-0.48762</v>
      </c>
      <c r="H95">
        <f t="shared" si="17"/>
        <v>-469.15900912440003</v>
      </c>
      <c r="I95">
        <v>1</v>
      </c>
      <c r="J95">
        <f t="shared" si="18"/>
        <v>-3.8594664362726946E-2</v>
      </c>
      <c r="K95">
        <f t="shared" si="19"/>
        <v>-0.73410515177521751</v>
      </c>
      <c r="L95">
        <v>1</v>
      </c>
      <c r="M95">
        <f t="shared" si="20"/>
        <v>0.49260477868368557</v>
      </c>
      <c r="N95">
        <f t="shared" si="24"/>
        <v>7.9857671460000001E-2</v>
      </c>
      <c r="O95">
        <f t="shared" si="22"/>
        <v>1.7174210067000002E-2</v>
      </c>
      <c r="P95">
        <f t="shared" si="23"/>
        <v>0.14446849156453193</v>
      </c>
      <c r="V95">
        <v>3.0999999999999699</v>
      </c>
      <c r="W95">
        <f t="shared" si="21"/>
        <v>-0.62477099999999874</v>
      </c>
    </row>
    <row r="96" spans="1:23" x14ac:dyDescent="0.3">
      <c r="A96">
        <v>4.8611122999999994</v>
      </c>
      <c r="B96">
        <v>0.48515999999999998</v>
      </c>
      <c r="C96">
        <f t="shared" si="14"/>
        <v>2.3584172434679997</v>
      </c>
      <c r="D96">
        <v>1.66E-2</v>
      </c>
      <c r="E96">
        <v>3.5699999999999998E-3</v>
      </c>
      <c r="F96">
        <f t="shared" si="15"/>
        <v>972.22245999999984</v>
      </c>
      <c r="G96">
        <f t="shared" si="16"/>
        <v>-0.48515999999999998</v>
      </c>
      <c r="H96">
        <f t="shared" si="17"/>
        <v>-471.68344869359993</v>
      </c>
      <c r="I96">
        <v>1</v>
      </c>
      <c r="J96">
        <f t="shared" si="18"/>
        <v>-2.8170632395297875E-2</v>
      </c>
      <c r="K96">
        <f t="shared" si="19"/>
        <v>-0.73656515177521742</v>
      </c>
      <c r="L96">
        <v>1</v>
      </c>
      <c r="M96">
        <f t="shared" si="20"/>
        <v>0.49304373466983403</v>
      </c>
      <c r="N96">
        <f t="shared" si="24"/>
        <v>8.0694464179999995E-2</v>
      </c>
      <c r="O96">
        <f t="shared" si="22"/>
        <v>1.7354170910999996E-2</v>
      </c>
      <c r="P96">
        <f t="shared" si="23"/>
        <v>0.14547278201438341</v>
      </c>
      <c r="V96">
        <v>3.19999999999997</v>
      </c>
      <c r="W96">
        <f t="shared" si="21"/>
        <v>-0.62898199999999871</v>
      </c>
    </row>
    <row r="97" spans="1:23" x14ac:dyDescent="0.3">
      <c r="A97">
        <v>4.9115215000000001</v>
      </c>
      <c r="B97">
        <v>0.48293999999999998</v>
      </c>
      <c r="C97">
        <f t="shared" si="14"/>
        <v>2.3719701932100001</v>
      </c>
      <c r="D97">
        <v>1.66E-2</v>
      </c>
      <c r="E97">
        <v>3.5699999999999998E-3</v>
      </c>
      <c r="F97">
        <f t="shared" si="15"/>
        <v>982.30430000000001</v>
      </c>
      <c r="G97">
        <f t="shared" si="16"/>
        <v>-0.48293999999999998</v>
      </c>
      <c r="H97">
        <f t="shared" si="17"/>
        <v>-474.39403864200006</v>
      </c>
      <c r="I97">
        <v>1</v>
      </c>
      <c r="J97">
        <f t="shared" si="18"/>
        <v>-1.7854140829473116E-2</v>
      </c>
      <c r="K97">
        <f t="shared" si="19"/>
        <v>-0.73878515177521753</v>
      </c>
      <c r="L97">
        <v>1</v>
      </c>
      <c r="M97">
        <f t="shared" si="20"/>
        <v>0.49347816212967088</v>
      </c>
      <c r="N97">
        <f t="shared" si="24"/>
        <v>8.1531256900000001E-2</v>
      </c>
      <c r="O97">
        <f t="shared" si="22"/>
        <v>1.7534131754999998E-2</v>
      </c>
      <c r="P97">
        <f t="shared" si="23"/>
        <v>0.14624160099054664</v>
      </c>
      <c r="V97">
        <v>3.2999999999999701</v>
      </c>
      <c r="W97">
        <f t="shared" si="21"/>
        <v>-0.63319299999999878</v>
      </c>
    </row>
    <row r="98" spans="1:23" x14ac:dyDescent="0.3">
      <c r="A98">
        <v>4.9654951000000001</v>
      </c>
      <c r="B98">
        <v>0.48065000000000002</v>
      </c>
      <c r="C98">
        <f t="shared" si="14"/>
        <v>2.3866652198150002</v>
      </c>
      <c r="D98">
        <v>1.66E-2</v>
      </c>
      <c r="E98">
        <v>3.5699999999999998E-3</v>
      </c>
      <c r="F98">
        <f t="shared" si="15"/>
        <v>993.09902</v>
      </c>
      <c r="G98">
        <f t="shared" si="16"/>
        <v>-0.48065000000000002</v>
      </c>
      <c r="H98">
        <f t="shared" si="17"/>
        <v>-477.33304396300002</v>
      </c>
      <c r="I98">
        <v>1</v>
      </c>
      <c r="J98">
        <f t="shared" si="18"/>
        <v>-6.9249018822931099E-3</v>
      </c>
      <c r="K98">
        <f t="shared" si="19"/>
        <v>-0.74107515177521743</v>
      </c>
      <c r="L98">
        <v>1</v>
      </c>
      <c r="M98">
        <f t="shared" si="20"/>
        <v>0.49393839238173665</v>
      </c>
      <c r="N98">
        <f t="shared" si="24"/>
        <v>8.2427218659999996E-2</v>
      </c>
      <c r="O98">
        <f t="shared" si="22"/>
        <v>1.7726817507E-2</v>
      </c>
      <c r="P98">
        <f t="shared" si="23"/>
        <v>0.14698272322648079</v>
      </c>
      <c r="V98">
        <v>3.3999999999999702</v>
      </c>
      <c r="W98">
        <f t="shared" si="21"/>
        <v>-0.63740399999999875</v>
      </c>
    </row>
    <row r="99" spans="1:23" x14ac:dyDescent="0.3">
      <c r="A99">
        <v>5.0159038000000002</v>
      </c>
      <c r="B99">
        <v>0.47806999999999999</v>
      </c>
      <c r="C99">
        <f t="shared" si="14"/>
        <v>2.3979531296659999</v>
      </c>
      <c r="D99">
        <v>1.66E-2</v>
      </c>
      <c r="E99">
        <v>3.5699999999999998E-3</v>
      </c>
      <c r="F99">
        <f t="shared" si="15"/>
        <v>1003.1807600000001</v>
      </c>
      <c r="G99">
        <f t="shared" si="16"/>
        <v>-0.47806999999999999</v>
      </c>
      <c r="H99">
        <f t="shared" si="17"/>
        <v>-479.59062593319999</v>
      </c>
      <c r="I99">
        <v>1</v>
      </c>
      <c r="J99">
        <f t="shared" si="18"/>
        <v>3.1757120842178022E-3</v>
      </c>
      <c r="K99">
        <f t="shared" si="19"/>
        <v>-0.74365515177521746</v>
      </c>
      <c r="L99">
        <v>1</v>
      </c>
      <c r="M99">
        <f t="shared" si="20"/>
        <v>0.49436372923586641</v>
      </c>
      <c r="N99">
        <f t="shared" si="24"/>
        <v>8.326400308000001E-2</v>
      </c>
      <c r="O99">
        <f t="shared" si="22"/>
        <v>1.7906776566E-2</v>
      </c>
      <c r="P99">
        <f t="shared" si="23"/>
        <v>0.14812064289335103</v>
      </c>
      <c r="V99">
        <v>3.4999999999999698</v>
      </c>
      <c r="W99">
        <f t="shared" si="21"/>
        <v>-0.64161499999999871</v>
      </c>
    </row>
    <row r="100" spans="1:23" x14ac:dyDescent="0.3">
      <c r="A100">
        <v>5.0683501</v>
      </c>
      <c r="B100">
        <v>0.47595999999999999</v>
      </c>
      <c r="C100">
        <f t="shared" si="14"/>
        <v>2.4123319135959997</v>
      </c>
      <c r="D100">
        <v>1.66E-2</v>
      </c>
      <c r="E100">
        <v>3.5699999999999998E-3</v>
      </c>
      <c r="F100">
        <f t="shared" si="15"/>
        <v>1013.67002</v>
      </c>
      <c r="G100">
        <f t="shared" si="16"/>
        <v>-0.47595999999999999</v>
      </c>
      <c r="H100">
        <f t="shared" si="17"/>
        <v>-482.46638271919994</v>
      </c>
      <c r="I100">
        <v>1</v>
      </c>
      <c r="J100">
        <f t="shared" si="18"/>
        <v>1.357742814397421E-2</v>
      </c>
      <c r="K100">
        <f t="shared" si="19"/>
        <v>-0.74576515177521752</v>
      </c>
      <c r="L100">
        <v>1</v>
      </c>
      <c r="M100">
        <f t="shared" si="20"/>
        <v>0.49480174549914274</v>
      </c>
      <c r="N100">
        <f t="shared" si="24"/>
        <v>8.4134611659999997E-2</v>
      </c>
      <c r="O100">
        <f t="shared" si="22"/>
        <v>1.8094009857E-2</v>
      </c>
      <c r="P100">
        <f t="shared" si="23"/>
        <v>0.14873478475907478</v>
      </c>
      <c r="V100">
        <v>3.5999999999999699</v>
      </c>
      <c r="W100">
        <f t="shared" si="21"/>
        <v>-0.64582599999999868</v>
      </c>
    </row>
    <row r="101" spans="1:23" x14ac:dyDescent="0.3">
      <c r="A101">
        <v>5.1187592999999998</v>
      </c>
      <c r="B101">
        <v>0.47350999999999999</v>
      </c>
      <c r="C101">
        <f t="shared" si="14"/>
        <v>2.4237837161429998</v>
      </c>
      <c r="D101">
        <v>1.66E-2</v>
      </c>
      <c r="E101">
        <v>3.5699999999999998E-3</v>
      </c>
      <c r="F101">
        <f t="shared" si="15"/>
        <v>1023.75186</v>
      </c>
      <c r="G101">
        <f t="shared" si="16"/>
        <v>-0.47350999999999999</v>
      </c>
      <c r="H101">
        <f t="shared" si="17"/>
        <v>-484.75674322859999</v>
      </c>
      <c r="I101">
        <v>1</v>
      </c>
      <c r="J101">
        <f t="shared" si="18"/>
        <v>2.3474173033308468E-2</v>
      </c>
      <c r="K101">
        <f t="shared" si="19"/>
        <v>-0.74821515177521747</v>
      </c>
      <c r="L101">
        <v>1</v>
      </c>
      <c r="M101">
        <f t="shared" si="20"/>
        <v>0.49521849742643265</v>
      </c>
      <c r="N101">
        <f t="shared" si="24"/>
        <v>8.4971404380000004E-2</v>
      </c>
      <c r="O101">
        <f t="shared" si="22"/>
        <v>1.8273970700999998E-2</v>
      </c>
      <c r="P101">
        <f t="shared" si="23"/>
        <v>0.14975127926778481</v>
      </c>
      <c r="V101">
        <v>3.69999999999997</v>
      </c>
      <c r="W101">
        <f t="shared" si="21"/>
        <v>-0.65003699999999875</v>
      </c>
    </row>
    <row r="102" spans="1:23" x14ac:dyDescent="0.3">
      <c r="A102">
        <v>5.1706957999999998</v>
      </c>
      <c r="B102">
        <v>0.47138999999999998</v>
      </c>
      <c r="C102">
        <f t="shared" si="14"/>
        <v>2.437414293162</v>
      </c>
      <c r="D102">
        <v>1.66E-2</v>
      </c>
      <c r="E102">
        <v>3.5699999999999998E-3</v>
      </c>
      <c r="F102">
        <f t="shared" si="15"/>
        <v>1034.1391599999999</v>
      </c>
      <c r="G102">
        <f t="shared" si="16"/>
        <v>-0.47138999999999998</v>
      </c>
      <c r="H102">
        <f t="shared" si="17"/>
        <v>-487.4828586324</v>
      </c>
      <c r="I102">
        <v>1</v>
      </c>
      <c r="J102">
        <f t="shared" si="18"/>
        <v>3.356935116986965E-2</v>
      </c>
      <c r="K102">
        <f t="shared" si="19"/>
        <v>-0.75033515177521748</v>
      </c>
      <c r="L102">
        <v>1</v>
      </c>
      <c r="M102">
        <f t="shared" si="20"/>
        <v>0.4956436053777632</v>
      </c>
      <c r="N102">
        <f t="shared" si="24"/>
        <v>8.5833550280000004E-2</v>
      </c>
      <c r="O102">
        <f t="shared" si="22"/>
        <v>1.8459384005999998E-2</v>
      </c>
      <c r="P102">
        <f t="shared" si="23"/>
        <v>0.15039861211145428</v>
      </c>
      <c r="V102">
        <v>3.7999999999999701</v>
      </c>
      <c r="W102">
        <f t="shared" si="21"/>
        <v>-0.65424799999999872</v>
      </c>
    </row>
    <row r="103" spans="1:23" x14ac:dyDescent="0.3">
      <c r="A103">
        <v>5.2226322999999999</v>
      </c>
      <c r="B103">
        <v>0.46884999999999999</v>
      </c>
      <c r="C103">
        <f t="shared" si="14"/>
        <v>2.4486311538550001</v>
      </c>
      <c r="D103">
        <v>1.66E-2</v>
      </c>
      <c r="E103">
        <v>3.5699999999999998E-3</v>
      </c>
      <c r="F103">
        <f t="shared" si="15"/>
        <v>1044.52646</v>
      </c>
      <c r="G103">
        <f t="shared" si="16"/>
        <v>-0.46884999999999999</v>
      </c>
      <c r="H103">
        <f t="shared" si="17"/>
        <v>-489.72623077100002</v>
      </c>
      <c r="I103">
        <v>1</v>
      </c>
      <c r="J103">
        <f t="shared" si="18"/>
        <v>4.356363438868547E-2</v>
      </c>
      <c r="K103">
        <f t="shared" si="19"/>
        <v>-0.75287515177521747</v>
      </c>
      <c r="L103">
        <v>1</v>
      </c>
      <c r="M103">
        <f t="shared" si="20"/>
        <v>0.49606446464410753</v>
      </c>
      <c r="N103">
        <f t="shared" si="24"/>
        <v>8.6695696180000004E-2</v>
      </c>
      <c r="O103">
        <f t="shared" si="22"/>
        <v>1.8644797310999998E-2</v>
      </c>
      <c r="P103">
        <f t="shared" si="23"/>
        <v>0.15147019364010994</v>
      </c>
      <c r="V103">
        <v>3.8999999999999599</v>
      </c>
      <c r="W103">
        <f t="shared" si="21"/>
        <v>-0.65845899999999835</v>
      </c>
    </row>
    <row r="104" spans="1:23" x14ac:dyDescent="0.3">
      <c r="A104">
        <v>5.2796610999999993</v>
      </c>
      <c r="B104">
        <v>0.46657999999999999</v>
      </c>
      <c r="C104">
        <f t="shared" si="14"/>
        <v>2.4633842760379996</v>
      </c>
      <c r="D104">
        <v>1.66E-2</v>
      </c>
      <c r="E104">
        <v>3.5699999999999998E-3</v>
      </c>
      <c r="F104">
        <f t="shared" si="15"/>
        <v>1055.9322199999999</v>
      </c>
      <c r="G104">
        <f t="shared" si="16"/>
        <v>-0.46657999999999999</v>
      </c>
      <c r="H104">
        <f t="shared" si="17"/>
        <v>-492.67685520759994</v>
      </c>
      <c r="I104">
        <v>1</v>
      </c>
      <c r="J104">
        <f t="shared" si="18"/>
        <v>5.4423997618024834E-2</v>
      </c>
      <c r="K104">
        <f t="shared" si="19"/>
        <v>-0.75514515177521746</v>
      </c>
      <c r="L104">
        <v>1</v>
      </c>
      <c r="M104">
        <f t="shared" si="20"/>
        <v>0.49652179453969503</v>
      </c>
      <c r="N104">
        <f t="shared" si="24"/>
        <v>8.7642374259999989E-2</v>
      </c>
      <c r="O104">
        <f t="shared" si="22"/>
        <v>1.8848390126999997E-2</v>
      </c>
      <c r="P104">
        <f t="shared" si="23"/>
        <v>0.15213259284852246</v>
      </c>
      <c r="V104">
        <v>3.99999999999996</v>
      </c>
      <c r="W104">
        <f t="shared" si="21"/>
        <v>-0.66266999999999832</v>
      </c>
    </row>
    <row r="105" spans="1:23" x14ac:dyDescent="0.3">
      <c r="A105">
        <v>5.3300703</v>
      </c>
      <c r="B105">
        <v>0.46407999999999999</v>
      </c>
      <c r="C105">
        <f t="shared" si="14"/>
        <v>2.4735790248240002</v>
      </c>
      <c r="D105">
        <v>1.66E-2</v>
      </c>
      <c r="E105">
        <v>3.5699999999999998E-3</v>
      </c>
      <c r="F105">
        <f t="shared" si="15"/>
        <v>1066.01406</v>
      </c>
      <c r="G105">
        <f t="shared" si="16"/>
        <v>-0.46407999999999999</v>
      </c>
      <c r="H105">
        <f t="shared" si="17"/>
        <v>-494.71580496480004</v>
      </c>
      <c r="I105">
        <v>1</v>
      </c>
      <c r="J105">
        <f t="shared" si="18"/>
        <v>6.3926515150105473E-2</v>
      </c>
      <c r="K105">
        <f t="shared" si="19"/>
        <v>-0.75764515177521741</v>
      </c>
      <c r="L105">
        <v>1</v>
      </c>
      <c r="M105">
        <f t="shared" si="20"/>
        <v>0.49692194555297092</v>
      </c>
      <c r="N105">
        <f t="shared" si="24"/>
        <v>8.8479166979999996E-2</v>
      </c>
      <c r="O105">
        <f t="shared" si="22"/>
        <v>1.9028350970999999E-2</v>
      </c>
      <c r="P105">
        <f t="shared" si="23"/>
        <v>0.15321568827124649</v>
      </c>
      <c r="V105">
        <v>4.0999999999999996</v>
      </c>
      <c r="W105">
        <f t="shared" si="21"/>
        <v>-0.66688100000000006</v>
      </c>
    </row>
    <row r="106" spans="1:23" x14ac:dyDescent="0.3">
      <c r="A106">
        <v>5.3820068000000001</v>
      </c>
      <c r="B106">
        <v>0.46174999999999999</v>
      </c>
      <c r="C106">
        <f t="shared" si="14"/>
        <v>2.4851416399000001</v>
      </c>
      <c r="D106">
        <v>1.66E-2</v>
      </c>
      <c r="E106">
        <v>3.5699999999999998E-3</v>
      </c>
      <c r="F106">
        <f t="shared" si="15"/>
        <v>1076.4013600000001</v>
      </c>
      <c r="G106">
        <f t="shared" si="16"/>
        <v>-0.46174999999999999</v>
      </c>
      <c r="H106">
        <f t="shared" si="17"/>
        <v>-497.02832798000003</v>
      </c>
      <c r="I106">
        <v>1</v>
      </c>
      <c r="J106">
        <f t="shared" si="18"/>
        <v>7.3623403340644183E-2</v>
      </c>
      <c r="K106">
        <f t="shared" si="19"/>
        <v>-0.75997515177521746</v>
      </c>
      <c r="L106">
        <v>1</v>
      </c>
      <c r="M106">
        <f t="shared" si="20"/>
        <v>0.49733028151467451</v>
      </c>
      <c r="N106">
        <f t="shared" si="24"/>
        <v>8.9341312879999996E-2</v>
      </c>
      <c r="O106">
        <f t="shared" si="22"/>
        <v>1.9213764275999998E-2</v>
      </c>
      <c r="P106">
        <f t="shared" si="23"/>
        <v>0.15408979310454296</v>
      </c>
      <c r="V106">
        <v>4.2</v>
      </c>
      <c r="W106">
        <f t="shared" si="21"/>
        <v>-0.67109200000000002</v>
      </c>
    </row>
    <row r="107" spans="1:23" x14ac:dyDescent="0.3">
      <c r="A107">
        <v>5.4334346000000009</v>
      </c>
      <c r="B107">
        <v>0.45955000000000001</v>
      </c>
      <c r="C107">
        <f t="shared" si="14"/>
        <v>2.4969348704300005</v>
      </c>
      <c r="D107">
        <v>1.66E-2</v>
      </c>
      <c r="E107">
        <v>3.5699999999999998E-3</v>
      </c>
      <c r="F107">
        <f t="shared" si="15"/>
        <v>1086.6869200000001</v>
      </c>
      <c r="G107">
        <f t="shared" si="16"/>
        <v>-0.45955000000000001</v>
      </c>
      <c r="H107">
        <f t="shared" si="17"/>
        <v>-499.38697408600012</v>
      </c>
      <c r="I107">
        <v>1</v>
      </c>
      <c r="J107">
        <f t="shared" si="18"/>
        <v>8.3133544573630355E-2</v>
      </c>
      <c r="K107">
        <f t="shared" si="19"/>
        <v>-0.76217515177521744</v>
      </c>
      <c r="L107">
        <v>1</v>
      </c>
      <c r="M107">
        <f t="shared" si="20"/>
        <v>0.49773075356199559</v>
      </c>
      <c r="N107">
        <f t="shared" si="24"/>
        <v>9.019501436000002E-2</v>
      </c>
      <c r="O107">
        <f t="shared" si="22"/>
        <v>1.9397361522000001E-2</v>
      </c>
      <c r="P107">
        <f t="shared" si="23"/>
        <v>0.15485202233122183</v>
      </c>
      <c r="V107">
        <v>4.3</v>
      </c>
      <c r="W107">
        <f t="shared" si="21"/>
        <v>-0.67530299999999999</v>
      </c>
    </row>
    <row r="108" spans="1:23" x14ac:dyDescent="0.3">
      <c r="A108">
        <v>5.4848618</v>
      </c>
      <c r="B108">
        <v>0.45738000000000001</v>
      </c>
      <c r="C108">
        <f t="shared" si="14"/>
        <v>2.5086660900840001</v>
      </c>
      <c r="D108">
        <v>1.66E-2</v>
      </c>
      <c r="E108">
        <v>3.5699999999999998E-3</v>
      </c>
      <c r="F108">
        <f t="shared" si="15"/>
        <v>1096.97236</v>
      </c>
      <c r="G108">
        <f t="shared" si="16"/>
        <v>-0.45738000000000001</v>
      </c>
      <c r="H108">
        <f t="shared" si="17"/>
        <v>-501.73321801680004</v>
      </c>
      <c r="I108">
        <v>1</v>
      </c>
      <c r="J108">
        <f t="shared" si="18"/>
        <v>9.255398498660794E-2</v>
      </c>
      <c r="K108">
        <f t="shared" si="19"/>
        <v>-0.76434515177521745</v>
      </c>
      <c r="L108">
        <v>1</v>
      </c>
      <c r="M108">
        <f t="shared" si="20"/>
        <v>0.49812744830778605</v>
      </c>
      <c r="N108">
        <f t="shared" si="24"/>
        <v>9.1048705879999997E-2</v>
      </c>
      <c r="O108">
        <f t="shared" si="22"/>
        <v>1.9580956625999998E-2</v>
      </c>
      <c r="P108">
        <f t="shared" si="23"/>
        <v>0.15558804096143142</v>
      </c>
      <c r="V108">
        <v>4.4000000000000004</v>
      </c>
      <c r="W108">
        <f t="shared" si="21"/>
        <v>-0.67951400000000006</v>
      </c>
    </row>
    <row r="109" spans="1:23" x14ac:dyDescent="0.3">
      <c r="A109">
        <v>5.5362895999999999</v>
      </c>
      <c r="B109">
        <v>0.45496999999999999</v>
      </c>
      <c r="C109">
        <f t="shared" si="14"/>
        <v>2.5188456793119998</v>
      </c>
      <c r="D109">
        <v>1.66E-2</v>
      </c>
      <c r="E109">
        <v>3.5699999999999998E-3</v>
      </c>
      <c r="F109">
        <f t="shared" si="15"/>
        <v>1107.25792</v>
      </c>
      <c r="G109">
        <f t="shared" si="16"/>
        <v>-0.45496999999999999</v>
      </c>
      <c r="H109">
        <f t="shared" si="17"/>
        <v>-503.76913586239993</v>
      </c>
      <c r="I109">
        <v>1</v>
      </c>
      <c r="J109">
        <f t="shared" si="18"/>
        <v>0.10188661665176428</v>
      </c>
      <c r="K109">
        <f t="shared" si="19"/>
        <v>-0.76675515177521747</v>
      </c>
      <c r="L109">
        <v>1</v>
      </c>
      <c r="M109">
        <f t="shared" si="20"/>
        <v>0.49852044542720581</v>
      </c>
      <c r="N109">
        <f t="shared" si="24"/>
        <v>9.1902407359999994E-2</v>
      </c>
      <c r="O109">
        <f t="shared" si="22"/>
        <v>1.9764553871999997E-2</v>
      </c>
      <c r="P109">
        <f t="shared" si="23"/>
        <v>0.15656774511601168</v>
      </c>
      <c r="V109">
        <v>4.5</v>
      </c>
      <c r="W109">
        <f t="shared" si="21"/>
        <v>-0.68372500000000003</v>
      </c>
    </row>
    <row r="110" spans="1:23" x14ac:dyDescent="0.3">
      <c r="A110">
        <v>5.5872080000000004</v>
      </c>
      <c r="B110">
        <v>0.45268000000000003</v>
      </c>
      <c r="C110">
        <f t="shared" si="14"/>
        <v>2.5292173174400001</v>
      </c>
      <c r="D110">
        <v>1.66E-2</v>
      </c>
      <c r="E110">
        <v>3.5699999999999998E-3</v>
      </c>
      <c r="F110">
        <f t="shared" si="15"/>
        <v>1117.4416000000001</v>
      </c>
      <c r="G110">
        <f t="shared" si="16"/>
        <v>-0.45268000000000003</v>
      </c>
      <c r="H110">
        <f t="shared" si="17"/>
        <v>-505.843463488</v>
      </c>
      <c r="I110">
        <v>1</v>
      </c>
      <c r="J110">
        <f t="shared" si="18"/>
        <v>0.11104178663218124</v>
      </c>
      <c r="K110">
        <f t="shared" si="19"/>
        <v>-0.76904515177521748</v>
      </c>
      <c r="L110">
        <v>1</v>
      </c>
      <c r="M110">
        <f t="shared" si="20"/>
        <v>0.49890596963508116</v>
      </c>
      <c r="N110">
        <f t="shared" si="24"/>
        <v>9.2747652800000011E-2</v>
      </c>
      <c r="O110">
        <f t="shared" si="22"/>
        <v>1.9946332560000002E-2</v>
      </c>
      <c r="P110">
        <f t="shared" si="23"/>
        <v>0.1574451967801363</v>
      </c>
      <c r="V110">
        <v>4.5999999999999996</v>
      </c>
      <c r="W110">
        <f t="shared" si="21"/>
        <v>-0.68793599999999999</v>
      </c>
    </row>
    <row r="111" spans="1:23" x14ac:dyDescent="0.3">
      <c r="A111">
        <v>5.6381264999999994</v>
      </c>
      <c r="B111">
        <v>0.45051999999999998</v>
      </c>
      <c r="C111">
        <f t="shared" si="14"/>
        <v>2.5400887507799994</v>
      </c>
      <c r="D111">
        <v>1.66E-2</v>
      </c>
      <c r="E111">
        <v>3.5699999999999998E-3</v>
      </c>
      <c r="F111">
        <f t="shared" si="15"/>
        <v>1127.6252999999999</v>
      </c>
      <c r="G111">
        <f t="shared" si="16"/>
        <v>-0.45051999999999998</v>
      </c>
      <c r="H111">
        <f t="shared" si="17"/>
        <v>-508.01775015599986</v>
      </c>
      <c r="I111">
        <v>1</v>
      </c>
      <c r="J111">
        <f t="shared" si="18"/>
        <v>0.12011391704052315</v>
      </c>
      <c r="K111">
        <f t="shared" si="19"/>
        <v>-0.77120515177521742</v>
      </c>
      <c r="L111">
        <v>1</v>
      </c>
      <c r="M111">
        <f t="shared" si="20"/>
        <v>0.49928799704657645</v>
      </c>
      <c r="N111">
        <f t="shared" si="24"/>
        <v>9.3592899899999984E-2</v>
      </c>
      <c r="O111">
        <f t="shared" si="22"/>
        <v>2.0128111604999995E-2</v>
      </c>
      <c r="P111">
        <f t="shared" si="23"/>
        <v>0.15819614322364101</v>
      </c>
      <c r="V111">
        <v>4.7</v>
      </c>
      <c r="W111">
        <f t="shared" si="21"/>
        <v>-0.69214700000000007</v>
      </c>
    </row>
    <row r="112" spans="1:23" x14ac:dyDescent="0.3">
      <c r="A112">
        <v>5.6890444000000002</v>
      </c>
      <c r="B112">
        <v>0.44833000000000001</v>
      </c>
      <c r="C112">
        <f t="shared" si="14"/>
        <v>2.5505692758520002</v>
      </c>
      <c r="D112">
        <v>1.66E-2</v>
      </c>
      <c r="E112">
        <v>3.5699999999999998E-3</v>
      </c>
      <c r="F112">
        <f t="shared" si="15"/>
        <v>1137.80888</v>
      </c>
      <c r="G112">
        <f t="shared" si="16"/>
        <v>-0.44833000000000001</v>
      </c>
      <c r="H112">
        <f t="shared" si="17"/>
        <v>-510.11385517040003</v>
      </c>
      <c r="I112">
        <v>1</v>
      </c>
      <c r="J112">
        <f t="shared" si="18"/>
        <v>0.12910437783902254</v>
      </c>
      <c r="K112">
        <f t="shared" si="19"/>
        <v>-0.77339515177521745</v>
      </c>
      <c r="L112">
        <v>1</v>
      </c>
      <c r="M112">
        <f t="shared" si="20"/>
        <v>0.49966658535080122</v>
      </c>
      <c r="N112">
        <f t="shared" si="24"/>
        <v>9.4438137040000009E-2</v>
      </c>
      <c r="O112">
        <f t="shared" si="22"/>
        <v>2.0309888508000001E-2</v>
      </c>
      <c r="P112">
        <f t="shared" si="23"/>
        <v>0.15898054087641622</v>
      </c>
      <c r="V112">
        <v>4.8</v>
      </c>
      <c r="W112">
        <f t="shared" si="21"/>
        <v>-0.69635800000000003</v>
      </c>
    </row>
    <row r="113" spans="1:23" x14ac:dyDescent="0.3">
      <c r="A113">
        <v>5.7430181000000005</v>
      </c>
      <c r="B113">
        <v>0.44618999999999998</v>
      </c>
      <c r="C113">
        <f t="shared" si="14"/>
        <v>2.5624772460390002</v>
      </c>
      <c r="D113">
        <v>1.66E-2</v>
      </c>
      <c r="E113">
        <v>3.5699999999999998E-3</v>
      </c>
      <c r="F113">
        <f t="shared" si="15"/>
        <v>1148.6036200000001</v>
      </c>
      <c r="G113">
        <f t="shared" si="16"/>
        <v>-0.44618999999999998</v>
      </c>
      <c r="H113">
        <f t="shared" si="17"/>
        <v>-512.49544920779999</v>
      </c>
      <c r="I113">
        <v>1</v>
      </c>
      <c r="J113">
        <f t="shared" si="18"/>
        <v>0.1385469611059866</v>
      </c>
      <c r="K113">
        <f t="shared" si="19"/>
        <v>-0.77553515177521748</v>
      </c>
      <c r="L113">
        <v>1</v>
      </c>
      <c r="M113">
        <f t="shared" si="20"/>
        <v>0.50006421253217315</v>
      </c>
      <c r="N113">
        <f t="shared" si="24"/>
        <v>9.5334100460000015E-2</v>
      </c>
      <c r="O113">
        <f t="shared" si="22"/>
        <v>2.0502574617000002E-2</v>
      </c>
      <c r="P113">
        <f t="shared" si="23"/>
        <v>0.15963426416604432</v>
      </c>
      <c r="V113">
        <v>4.9000000000000004</v>
      </c>
      <c r="W113">
        <f t="shared" si="21"/>
        <v>-0.700569</v>
      </c>
    </row>
    <row r="114" spans="1:23" x14ac:dyDescent="0.3">
      <c r="A114">
        <v>5.7959731000000003</v>
      </c>
      <c r="B114">
        <v>0.44378000000000001</v>
      </c>
      <c r="C114">
        <f t="shared" si="14"/>
        <v>2.5721369423180001</v>
      </c>
      <c r="D114">
        <v>1.66E-2</v>
      </c>
      <c r="E114">
        <v>3.5699999999999998E-3</v>
      </c>
      <c r="F114">
        <f t="shared" si="15"/>
        <v>1159.19462</v>
      </c>
      <c r="G114">
        <f t="shared" si="16"/>
        <v>-0.44378000000000001</v>
      </c>
      <c r="H114">
        <f t="shared" si="17"/>
        <v>-514.42738846359998</v>
      </c>
      <c r="I114">
        <v>1</v>
      </c>
      <c r="J114">
        <f t="shared" si="18"/>
        <v>0.1477254708817505</v>
      </c>
      <c r="K114">
        <f t="shared" si="19"/>
        <v>-0.77794515177521739</v>
      </c>
      <c r="L114">
        <v>1</v>
      </c>
      <c r="M114">
        <f t="shared" si="20"/>
        <v>0.50045071957883047</v>
      </c>
      <c r="N114">
        <f t="shared" si="24"/>
        <v>9.6213153460000006E-2</v>
      </c>
      <c r="O114">
        <f t="shared" si="22"/>
        <v>2.0691623967E-2</v>
      </c>
      <c r="P114">
        <f t="shared" si="23"/>
        <v>0.16058965476938691</v>
      </c>
      <c r="V114">
        <v>5</v>
      </c>
      <c r="W114">
        <f t="shared" si="21"/>
        <v>-0.70477999999999996</v>
      </c>
    </row>
    <row r="115" spans="1:23" x14ac:dyDescent="0.3">
      <c r="A115">
        <v>5.8494375000000005</v>
      </c>
      <c r="B115">
        <v>0.44140000000000001</v>
      </c>
      <c r="C115">
        <f t="shared" si="14"/>
        <v>2.5819417125000004</v>
      </c>
      <c r="D115">
        <v>1.66E-2</v>
      </c>
      <c r="E115">
        <v>3.5699999999999998E-3</v>
      </c>
      <c r="F115">
        <f t="shared" si="15"/>
        <v>1169.8875</v>
      </c>
      <c r="G115">
        <f t="shared" si="16"/>
        <v>-0.44140000000000001</v>
      </c>
      <c r="H115">
        <f t="shared" si="17"/>
        <v>-516.38834250000002</v>
      </c>
      <c r="I115">
        <v>1</v>
      </c>
      <c r="J115">
        <f t="shared" si="18"/>
        <v>0.15690759034043347</v>
      </c>
      <c r="K115">
        <f t="shared" si="19"/>
        <v>-0.78032515177521744</v>
      </c>
      <c r="L115">
        <v>1</v>
      </c>
      <c r="M115">
        <f t="shared" si="20"/>
        <v>0.50083737862923561</v>
      </c>
      <c r="N115">
        <f t="shared" si="24"/>
        <v>9.7100662500000004E-2</v>
      </c>
      <c r="O115">
        <f t="shared" si="22"/>
        <v>2.0882491874999999E-2</v>
      </c>
      <c r="P115">
        <f t="shared" si="23"/>
        <v>0.16150461877098185</v>
      </c>
      <c r="V115">
        <v>5.0999999999999996</v>
      </c>
      <c r="W115">
        <f t="shared" si="21"/>
        <v>-0.70899099999999993</v>
      </c>
    </row>
    <row r="116" spans="1:23" x14ac:dyDescent="0.3">
      <c r="A116">
        <v>5.9003554999999999</v>
      </c>
      <c r="B116">
        <v>0.43930000000000002</v>
      </c>
      <c r="C116">
        <f t="shared" si="14"/>
        <v>2.5920261711500001</v>
      </c>
      <c r="D116">
        <v>1.66E-2</v>
      </c>
      <c r="E116">
        <v>3.5699999999999998E-3</v>
      </c>
      <c r="F116">
        <f t="shared" si="15"/>
        <v>1180.0710999999999</v>
      </c>
      <c r="G116">
        <f t="shared" si="16"/>
        <v>-0.43930000000000002</v>
      </c>
      <c r="H116">
        <f t="shared" si="17"/>
        <v>-518.40523423000002</v>
      </c>
      <c r="I116">
        <v>1</v>
      </c>
      <c r="J116">
        <f t="shared" si="18"/>
        <v>0.16557469089964783</v>
      </c>
      <c r="K116">
        <f t="shared" si="19"/>
        <v>-0.78242515177521743</v>
      </c>
      <c r="L116">
        <v>1</v>
      </c>
      <c r="M116">
        <f t="shared" si="20"/>
        <v>0.50120235023378412</v>
      </c>
      <c r="N116">
        <f t="shared" si="24"/>
        <v>9.7945901299999999E-2</v>
      </c>
      <c r="O116">
        <f t="shared" si="22"/>
        <v>2.1064269134999997E-2</v>
      </c>
      <c r="P116">
        <f t="shared" si="23"/>
        <v>0.1622126311064333</v>
      </c>
      <c r="V116">
        <v>5.2</v>
      </c>
      <c r="W116">
        <f t="shared" si="21"/>
        <v>-0.713202</v>
      </c>
    </row>
    <row r="117" spans="1:23" x14ac:dyDescent="0.3">
      <c r="A117">
        <v>5.9512739000000003</v>
      </c>
      <c r="B117">
        <v>0.43702000000000002</v>
      </c>
      <c r="C117">
        <f t="shared" si="14"/>
        <v>2.6008257197780003</v>
      </c>
      <c r="D117">
        <v>1.66E-2</v>
      </c>
      <c r="E117">
        <v>3.5699999999999998E-3</v>
      </c>
      <c r="F117">
        <f t="shared" si="15"/>
        <v>1190.25478</v>
      </c>
      <c r="G117">
        <f t="shared" si="16"/>
        <v>-0.43702000000000002</v>
      </c>
      <c r="H117">
        <f t="shared" si="17"/>
        <v>-520.1651439556</v>
      </c>
      <c r="I117">
        <v>1</v>
      </c>
      <c r="J117">
        <f t="shared" si="18"/>
        <v>0.17416738504746018</v>
      </c>
      <c r="K117">
        <f t="shared" si="19"/>
        <v>-0.78470515177521749</v>
      </c>
      <c r="L117">
        <v>1</v>
      </c>
      <c r="M117">
        <f t="shared" si="20"/>
        <v>0.50156418858434859</v>
      </c>
      <c r="N117">
        <f t="shared" si="24"/>
        <v>9.8791146740000002E-2</v>
      </c>
      <c r="O117">
        <f t="shared" si="22"/>
        <v>2.1246047822999999E-2</v>
      </c>
      <c r="P117">
        <f t="shared" si="23"/>
        <v>0.16310376862786891</v>
      </c>
      <c r="V117">
        <v>5.3</v>
      </c>
      <c r="W117">
        <f t="shared" si="21"/>
        <v>-0.71741299999999997</v>
      </c>
    </row>
    <row r="118" spans="1:23" x14ac:dyDescent="0.3">
      <c r="A118">
        <v>6.0016831000000002</v>
      </c>
      <c r="B118">
        <v>0.43512000000000001</v>
      </c>
      <c r="C118">
        <f t="shared" si="14"/>
        <v>2.6114523504720002</v>
      </c>
      <c r="D118">
        <v>1.66E-2</v>
      </c>
      <c r="E118">
        <v>3.5699999999999998E-3</v>
      </c>
      <c r="F118">
        <f t="shared" si="15"/>
        <v>1200.33662</v>
      </c>
      <c r="G118">
        <f t="shared" si="16"/>
        <v>-0.43512000000000001</v>
      </c>
      <c r="H118">
        <f t="shared" si="17"/>
        <v>-522.29047009440001</v>
      </c>
      <c r="I118">
        <v>1</v>
      </c>
      <c r="J118">
        <f t="shared" si="18"/>
        <v>0.18260203412317758</v>
      </c>
      <c r="K118">
        <f t="shared" si="19"/>
        <v>-0.7866051517752175</v>
      </c>
      <c r="L118">
        <v>1</v>
      </c>
      <c r="M118">
        <f t="shared" si="20"/>
        <v>0.50191937165692702</v>
      </c>
      <c r="N118">
        <f t="shared" si="24"/>
        <v>9.9627939460000009E-2</v>
      </c>
      <c r="O118">
        <f t="shared" si="22"/>
        <v>2.1426008667E-2</v>
      </c>
      <c r="P118">
        <f t="shared" si="23"/>
        <v>0.16363183199129047</v>
      </c>
      <c r="V118">
        <v>5.4</v>
      </c>
      <c r="W118">
        <f t="shared" si="21"/>
        <v>-0.72162400000000004</v>
      </c>
    </row>
    <row r="119" spans="1:23" x14ac:dyDescent="0.3">
      <c r="A119">
        <v>6.0520917999999995</v>
      </c>
      <c r="B119">
        <v>0.43287999999999999</v>
      </c>
      <c r="C119">
        <f t="shared" si="14"/>
        <v>2.6198294983839996</v>
      </c>
      <c r="D119">
        <v>1.66E-2</v>
      </c>
      <c r="E119">
        <v>3.5699999999999998E-3</v>
      </c>
      <c r="F119">
        <f t="shared" si="15"/>
        <v>1210.4183599999999</v>
      </c>
      <c r="G119">
        <f t="shared" si="16"/>
        <v>-0.43287999999999999</v>
      </c>
      <c r="H119">
        <f t="shared" si="17"/>
        <v>-523.96589967679995</v>
      </c>
      <c r="I119">
        <v>1</v>
      </c>
      <c r="J119">
        <f t="shared" si="18"/>
        <v>0.19096605191629365</v>
      </c>
      <c r="K119">
        <f t="shared" si="19"/>
        <v>-0.78884515177521752</v>
      </c>
      <c r="L119">
        <v>1</v>
      </c>
      <c r="M119">
        <f t="shared" si="20"/>
        <v>0.50227158044619513</v>
      </c>
      <c r="N119">
        <f t="shared" si="24"/>
        <v>0.10046472388</v>
      </c>
      <c r="O119">
        <f t="shared" si="22"/>
        <v>2.1605967725999996E-2</v>
      </c>
      <c r="P119">
        <f t="shared" si="23"/>
        <v>0.16450287972302241</v>
      </c>
      <c r="V119">
        <v>5.5</v>
      </c>
      <c r="W119">
        <f t="shared" si="21"/>
        <v>-0.72583500000000001</v>
      </c>
    </row>
    <row r="120" spans="1:23" x14ac:dyDescent="0.3">
      <c r="A120">
        <v>6.1045381000000001</v>
      </c>
      <c r="B120">
        <v>0.43064999999999998</v>
      </c>
      <c r="C120">
        <f t="shared" si="14"/>
        <v>2.6289193327649998</v>
      </c>
      <c r="D120">
        <v>1.66E-2</v>
      </c>
      <c r="E120">
        <v>3.5699999999999998E-3</v>
      </c>
      <c r="F120">
        <f t="shared" si="15"/>
        <v>1220.90762</v>
      </c>
      <c r="G120">
        <f t="shared" si="16"/>
        <v>-0.43064999999999998</v>
      </c>
      <c r="H120">
        <f t="shared" si="17"/>
        <v>-525.78386655299994</v>
      </c>
      <c r="I120">
        <v>1</v>
      </c>
      <c r="J120">
        <f t="shared" si="18"/>
        <v>0.19959453297059943</v>
      </c>
      <c r="K120">
        <f t="shared" si="19"/>
        <v>-0.79107515177521748</v>
      </c>
      <c r="L120">
        <v>1</v>
      </c>
      <c r="M120">
        <f t="shared" si="20"/>
        <v>0.50263492578339197</v>
      </c>
      <c r="N120">
        <f t="shared" si="24"/>
        <v>0.10133533246</v>
      </c>
      <c r="O120">
        <f t="shared" si="22"/>
        <v>2.1793201017E-2</v>
      </c>
      <c r="P120">
        <f t="shared" si="23"/>
        <v>0.16531169251482553</v>
      </c>
      <c r="V120">
        <v>5.6</v>
      </c>
      <c r="W120">
        <f t="shared" si="21"/>
        <v>-0.73004599999999997</v>
      </c>
    </row>
    <row r="121" spans="1:23" x14ac:dyDescent="0.3">
      <c r="A121">
        <v>6.1549468000000003</v>
      </c>
      <c r="B121">
        <v>0.42845</v>
      </c>
      <c r="C121">
        <f t="shared" si="14"/>
        <v>2.6370869564600001</v>
      </c>
      <c r="D121">
        <v>1.66E-2</v>
      </c>
      <c r="E121">
        <v>3.5699999999999998E-3</v>
      </c>
      <c r="F121">
        <f t="shared" si="15"/>
        <v>1230.98936</v>
      </c>
      <c r="G121">
        <f t="shared" si="16"/>
        <v>-0.42845</v>
      </c>
      <c r="H121">
        <f t="shared" si="17"/>
        <v>-527.41739129200005</v>
      </c>
      <c r="I121">
        <v>1</v>
      </c>
      <c r="J121">
        <f t="shared" si="18"/>
        <v>0.20781820378559598</v>
      </c>
      <c r="K121">
        <f t="shared" si="19"/>
        <v>-0.79327515177521746</v>
      </c>
      <c r="L121">
        <v>1</v>
      </c>
      <c r="M121">
        <f t="shared" si="20"/>
        <v>0.50298122456141148</v>
      </c>
      <c r="N121">
        <f t="shared" si="24"/>
        <v>0.10217211688000001</v>
      </c>
      <c r="O121">
        <f t="shared" si="22"/>
        <v>2.1973160076E-2</v>
      </c>
      <c r="P121">
        <f t="shared" si="23"/>
        <v>0.16614865025780598</v>
      </c>
      <c r="V121">
        <v>5.7</v>
      </c>
      <c r="W121">
        <f t="shared" si="21"/>
        <v>-0.73425700000000005</v>
      </c>
    </row>
    <row r="122" spans="1:23" x14ac:dyDescent="0.3">
      <c r="A122">
        <v>6.2058651999999999</v>
      </c>
      <c r="B122">
        <v>0.42621999999999999</v>
      </c>
      <c r="C122">
        <f t="shared" si="14"/>
        <v>2.645063865544</v>
      </c>
      <c r="D122">
        <v>1.66E-2</v>
      </c>
      <c r="E122">
        <v>3.5699999999999998E-3</v>
      </c>
      <c r="F122">
        <f t="shared" si="15"/>
        <v>1241.1730399999999</v>
      </c>
      <c r="G122">
        <f t="shared" si="16"/>
        <v>-0.42621999999999999</v>
      </c>
      <c r="H122">
        <f t="shared" si="17"/>
        <v>-529.01277310880005</v>
      </c>
      <c r="I122">
        <v>1</v>
      </c>
      <c r="J122">
        <f t="shared" si="18"/>
        <v>0.21605693244094215</v>
      </c>
      <c r="K122">
        <f t="shared" si="19"/>
        <v>-0.79550515177521741</v>
      </c>
      <c r="L122">
        <v>1</v>
      </c>
      <c r="M122">
        <f t="shared" si="20"/>
        <v>0.50332815742508807</v>
      </c>
      <c r="N122">
        <f t="shared" si="24"/>
        <v>0.10301736232</v>
      </c>
      <c r="O122">
        <f t="shared" si="22"/>
        <v>2.2154938763999998E-2</v>
      </c>
      <c r="P122">
        <f t="shared" si="23"/>
        <v>0.16700469326612935</v>
      </c>
      <c r="V122">
        <v>5.8</v>
      </c>
      <c r="W122">
        <f t="shared" si="21"/>
        <v>-0.73846800000000001</v>
      </c>
    </row>
    <row r="123" spans="1:23" x14ac:dyDescent="0.3">
      <c r="A123">
        <v>6.2572929999999998</v>
      </c>
      <c r="B123">
        <v>0.42371999999999999</v>
      </c>
      <c r="C123">
        <f t="shared" si="14"/>
        <v>2.65134018996</v>
      </c>
      <c r="D123">
        <v>1.66E-2</v>
      </c>
      <c r="E123">
        <v>3.5699999999999998E-3</v>
      </c>
      <c r="F123">
        <f t="shared" si="15"/>
        <v>1251.4585999999999</v>
      </c>
      <c r="G123">
        <f t="shared" si="16"/>
        <v>-0.42371999999999999</v>
      </c>
      <c r="H123">
        <f t="shared" si="17"/>
        <v>-530.26803799200002</v>
      </c>
      <c r="I123">
        <v>1</v>
      </c>
      <c r="J123">
        <f t="shared" si="18"/>
        <v>0.22430975103889081</v>
      </c>
      <c r="K123">
        <f t="shared" si="19"/>
        <v>-0.79800515177521747</v>
      </c>
      <c r="L123">
        <v>1</v>
      </c>
      <c r="M123">
        <f t="shared" si="20"/>
        <v>0.5036756836162477</v>
      </c>
      <c r="N123">
        <f t="shared" si="24"/>
        <v>0.1038710638</v>
      </c>
      <c r="O123">
        <f t="shared" si="22"/>
        <v>2.2338536009999996E-2</v>
      </c>
      <c r="P123">
        <f t="shared" si="23"/>
        <v>0.16811986834896978</v>
      </c>
      <c r="V123">
        <v>5.9</v>
      </c>
      <c r="W123">
        <f t="shared" si="21"/>
        <v>-0.74267900000000009</v>
      </c>
    </row>
    <row r="124" spans="1:23" x14ac:dyDescent="0.3">
      <c r="A124">
        <v>6.3077021000000002</v>
      </c>
      <c r="B124">
        <v>0.42166999999999999</v>
      </c>
      <c r="C124">
        <f t="shared" si="14"/>
        <v>2.6597687445070002</v>
      </c>
      <c r="D124">
        <v>1.66E-2</v>
      </c>
      <c r="E124">
        <v>3.5699999999999998E-3</v>
      </c>
      <c r="F124">
        <f t="shared" si="15"/>
        <v>1261.54042</v>
      </c>
      <c r="G124">
        <f t="shared" si="16"/>
        <v>-0.42166999999999999</v>
      </c>
      <c r="H124">
        <f t="shared" si="17"/>
        <v>-531.95374890139999</v>
      </c>
      <c r="I124">
        <v>1</v>
      </c>
      <c r="J124">
        <f t="shared" si="18"/>
        <v>0.23233352980643535</v>
      </c>
      <c r="K124">
        <f t="shared" si="19"/>
        <v>-0.80005515177521747</v>
      </c>
      <c r="L124">
        <v>1</v>
      </c>
      <c r="M124">
        <f t="shared" si="20"/>
        <v>0.50401356494014904</v>
      </c>
      <c r="N124">
        <f t="shared" si="24"/>
        <v>0.10470785486</v>
      </c>
      <c r="O124">
        <f t="shared" si="22"/>
        <v>2.2518496496999999E-2</v>
      </c>
      <c r="P124">
        <f t="shared" si="23"/>
        <v>0.16881523547806843</v>
      </c>
      <c r="V124">
        <v>6</v>
      </c>
      <c r="W124">
        <f t="shared" si="21"/>
        <v>-0.74689000000000005</v>
      </c>
    </row>
    <row r="125" spans="1:23" x14ac:dyDescent="0.3">
      <c r="A125">
        <v>6.3596387000000005</v>
      </c>
      <c r="B125">
        <v>0.41975000000000001</v>
      </c>
      <c r="C125">
        <f t="shared" si="14"/>
        <v>2.6694583443250002</v>
      </c>
      <c r="D125">
        <v>1.66E-2</v>
      </c>
      <c r="E125">
        <v>3.5699999999999998E-3</v>
      </c>
      <c r="F125">
        <f t="shared" si="15"/>
        <v>1271.9277400000001</v>
      </c>
      <c r="G125">
        <f t="shared" si="16"/>
        <v>-0.41975000000000001</v>
      </c>
      <c r="H125">
        <f t="shared" si="17"/>
        <v>-533.89166886500004</v>
      </c>
      <c r="I125">
        <v>1</v>
      </c>
      <c r="J125">
        <f t="shared" si="18"/>
        <v>0.24053365512818436</v>
      </c>
      <c r="K125">
        <f t="shared" si="19"/>
        <v>-0.80197515177521739</v>
      </c>
      <c r="L125">
        <v>1</v>
      </c>
      <c r="M125">
        <f t="shared" si="20"/>
        <v>0.5043588722174478</v>
      </c>
      <c r="N125">
        <f t="shared" si="24"/>
        <v>0.10557000242</v>
      </c>
      <c r="O125">
        <f t="shared" si="22"/>
        <v>2.2703910159000001E-2</v>
      </c>
      <c r="P125">
        <f t="shared" si="23"/>
        <v>0.16934236697876959</v>
      </c>
      <c r="V125">
        <v>6.1</v>
      </c>
      <c r="W125">
        <f t="shared" si="21"/>
        <v>-0.75110100000000002</v>
      </c>
    </row>
    <row r="126" spans="1:23" x14ac:dyDescent="0.3">
      <c r="A126">
        <v>6.4105565999999996</v>
      </c>
      <c r="B126">
        <v>0.41765000000000002</v>
      </c>
      <c r="C126">
        <f t="shared" si="14"/>
        <v>2.6773689639899998</v>
      </c>
      <c r="D126">
        <v>1.66E-2</v>
      </c>
      <c r="E126">
        <v>3.5699999999999998E-3</v>
      </c>
      <c r="F126">
        <f t="shared" si="15"/>
        <v>1282.11132</v>
      </c>
      <c r="G126">
        <f t="shared" si="16"/>
        <v>-0.41765000000000002</v>
      </c>
      <c r="H126">
        <f t="shared" si="17"/>
        <v>-535.47379279799998</v>
      </c>
      <c r="I126">
        <v>1</v>
      </c>
      <c r="J126">
        <f t="shared" si="18"/>
        <v>0.24850818780202819</v>
      </c>
      <c r="K126">
        <f t="shared" si="19"/>
        <v>-0.80407515177521738</v>
      </c>
      <c r="L126">
        <v>1</v>
      </c>
      <c r="M126">
        <f t="shared" si="20"/>
        <v>0.50469467978834337</v>
      </c>
      <c r="N126">
        <f t="shared" si="24"/>
        <v>0.10641523956</v>
      </c>
      <c r="O126">
        <f t="shared" si="22"/>
        <v>2.2885687061999997E-2</v>
      </c>
      <c r="P126">
        <f t="shared" si="23"/>
        <v>0.17007954536487402</v>
      </c>
      <c r="V126">
        <v>6.2</v>
      </c>
      <c r="W126">
        <f t="shared" si="21"/>
        <v>-0.75531199999999998</v>
      </c>
    </row>
    <row r="127" spans="1:23" x14ac:dyDescent="0.3">
      <c r="A127">
        <v>6.4619849</v>
      </c>
      <c r="B127">
        <v>0.41520000000000001</v>
      </c>
      <c r="C127">
        <f t="shared" si="14"/>
        <v>2.68301613048</v>
      </c>
      <c r="D127">
        <v>1.66E-2</v>
      </c>
      <c r="E127">
        <v>3.5699999999999998E-3</v>
      </c>
      <c r="F127">
        <f t="shared" si="15"/>
        <v>1292.39698</v>
      </c>
      <c r="G127">
        <f t="shared" si="16"/>
        <v>-0.41520000000000001</v>
      </c>
      <c r="H127">
        <f t="shared" si="17"/>
        <v>-536.60322609599996</v>
      </c>
      <c r="I127">
        <v>1</v>
      </c>
      <c r="J127">
        <f t="shared" si="18"/>
        <v>0.25649861822762382</v>
      </c>
      <c r="K127">
        <f t="shared" si="19"/>
        <v>-0.80652515177521744</v>
      </c>
      <c r="L127">
        <v>1</v>
      </c>
      <c r="M127">
        <f t="shared" si="20"/>
        <v>0.50503115681356525</v>
      </c>
      <c r="N127">
        <f t="shared" si="24"/>
        <v>0.10726894934</v>
      </c>
      <c r="O127">
        <f t="shared" si="22"/>
        <v>2.3069286092999998E-2</v>
      </c>
      <c r="P127">
        <f t="shared" si="23"/>
        <v>0.1711557595286522</v>
      </c>
      <c r="V127">
        <v>6.3</v>
      </c>
      <c r="W127">
        <f t="shared" si="21"/>
        <v>-0.75952299999999995</v>
      </c>
    </row>
    <row r="128" spans="1:23" x14ac:dyDescent="0.3">
      <c r="A128">
        <v>6.5149395000000005</v>
      </c>
      <c r="B128">
        <v>0.41299000000000002</v>
      </c>
      <c r="C128">
        <f t="shared" si="14"/>
        <v>2.6906048641050004</v>
      </c>
      <c r="D128">
        <v>1.66E-2</v>
      </c>
      <c r="E128">
        <v>3.5699999999999998E-3</v>
      </c>
      <c r="F128">
        <f t="shared" si="15"/>
        <v>1302.9879000000001</v>
      </c>
      <c r="G128">
        <f t="shared" si="16"/>
        <v>-0.41299000000000002</v>
      </c>
      <c r="H128">
        <f t="shared" si="17"/>
        <v>-538.12097282100012</v>
      </c>
      <c r="I128">
        <v>1</v>
      </c>
      <c r="J128">
        <f t="shared" si="18"/>
        <v>0.26466001183711924</v>
      </c>
      <c r="K128">
        <f t="shared" si="19"/>
        <v>-0.80873515177521749</v>
      </c>
      <c r="L128">
        <v>1</v>
      </c>
      <c r="M128">
        <f t="shared" si="20"/>
        <v>0.5053748330984611</v>
      </c>
      <c r="N128">
        <f t="shared" si="24"/>
        <v>0.10814799570000001</v>
      </c>
      <c r="O128">
        <f t="shared" si="22"/>
        <v>2.3258334015E-2</v>
      </c>
      <c r="P128">
        <f t="shared" si="23"/>
        <v>0.1719539889617564</v>
      </c>
      <c r="V128">
        <v>6.4</v>
      </c>
      <c r="W128">
        <f t="shared" si="21"/>
        <v>-0.76373400000000002</v>
      </c>
    </row>
    <row r="129" spans="1:23" x14ac:dyDescent="0.3">
      <c r="A129">
        <v>6.5653486000000001</v>
      </c>
      <c r="B129">
        <v>0.41082999999999997</v>
      </c>
      <c r="C129">
        <f t="shared" si="14"/>
        <v>2.6972421653379999</v>
      </c>
      <c r="D129">
        <v>1.66E-2</v>
      </c>
      <c r="E129">
        <v>3.5699999999999998E-3</v>
      </c>
      <c r="F129">
        <f t="shared" si="15"/>
        <v>1313.06972</v>
      </c>
      <c r="G129">
        <f t="shared" si="16"/>
        <v>-0.41082999999999997</v>
      </c>
      <c r="H129">
        <f t="shared" si="17"/>
        <v>-539.44843306759992</v>
      </c>
      <c r="I129">
        <v>1</v>
      </c>
      <c r="J129">
        <f t="shared" si="18"/>
        <v>0.27236769368243169</v>
      </c>
      <c r="K129">
        <f t="shared" si="19"/>
        <v>-0.81089515177521743</v>
      </c>
      <c r="L129">
        <v>1</v>
      </c>
      <c r="M129">
        <f t="shared" si="20"/>
        <v>0.50569940358096721</v>
      </c>
      <c r="N129">
        <f t="shared" si="24"/>
        <v>0.10898478676000001</v>
      </c>
      <c r="O129">
        <f t="shared" si="22"/>
        <v>2.3438294501999999E-2</v>
      </c>
      <c r="P129">
        <f t="shared" si="23"/>
        <v>0.17277266693225021</v>
      </c>
      <c r="V129">
        <v>6.5</v>
      </c>
      <c r="W129">
        <f t="shared" si="21"/>
        <v>-0.76794499999999999</v>
      </c>
    </row>
    <row r="130" spans="1:23" x14ac:dyDescent="0.3">
      <c r="A130">
        <v>6.6172852000000004</v>
      </c>
      <c r="B130">
        <v>0.40875</v>
      </c>
      <c r="C130">
        <f t="shared" si="14"/>
        <v>2.7048153255000003</v>
      </c>
      <c r="D130">
        <v>1.66E-2</v>
      </c>
      <c r="E130">
        <v>3.5699999999999998E-3</v>
      </c>
      <c r="F130">
        <f t="shared" si="15"/>
        <v>1323.45704</v>
      </c>
      <c r="G130">
        <f t="shared" si="16"/>
        <v>-0.40875</v>
      </c>
      <c r="H130">
        <f t="shared" si="17"/>
        <v>-540.96306509999999</v>
      </c>
      <c r="I130">
        <v>1</v>
      </c>
      <c r="J130">
        <f t="shared" si="18"/>
        <v>0.28024728277021521</v>
      </c>
      <c r="K130">
        <f t="shared" si="19"/>
        <v>-0.81297515177521751</v>
      </c>
      <c r="L130">
        <v>1</v>
      </c>
      <c r="M130">
        <f t="shared" si="20"/>
        <v>0.5060312130774538</v>
      </c>
      <c r="N130">
        <f t="shared" si="24"/>
        <v>0.10984693432000001</v>
      </c>
      <c r="O130">
        <f t="shared" si="22"/>
        <v>2.3623708164000001E-2</v>
      </c>
      <c r="P130">
        <f t="shared" si="23"/>
        <v>0.1734732962137637</v>
      </c>
      <c r="V130">
        <v>6.6</v>
      </c>
      <c r="W130">
        <f t="shared" si="21"/>
        <v>-0.77215600000000006</v>
      </c>
    </row>
    <row r="131" spans="1:23" x14ac:dyDescent="0.3">
      <c r="A131">
        <v>6.6687129000000001</v>
      </c>
      <c r="B131">
        <v>0.40653</v>
      </c>
      <c r="C131">
        <f t="shared" si="14"/>
        <v>2.7110318552370001</v>
      </c>
      <c r="D131">
        <v>1.66E-2</v>
      </c>
      <c r="E131">
        <v>3.5699999999999998E-3</v>
      </c>
      <c r="F131">
        <f t="shared" si="15"/>
        <v>1333.7425800000001</v>
      </c>
      <c r="G131">
        <f t="shared" si="16"/>
        <v>-0.40653</v>
      </c>
      <c r="H131">
        <f t="shared" si="17"/>
        <v>-542.20637104740001</v>
      </c>
      <c r="I131">
        <v>1</v>
      </c>
      <c r="J131">
        <f t="shared" si="18"/>
        <v>0.28798896035687027</v>
      </c>
      <c r="K131">
        <f t="shared" si="19"/>
        <v>-0.8151951517752174</v>
      </c>
      <c r="L131">
        <v>1</v>
      </c>
      <c r="M131">
        <f t="shared" si="20"/>
        <v>0.50635721512062781</v>
      </c>
      <c r="N131">
        <f t="shared" si="24"/>
        <v>0.11070063414</v>
      </c>
      <c r="O131">
        <f t="shared" si="22"/>
        <v>2.3807305052999998E-2</v>
      </c>
      <c r="P131">
        <f t="shared" si="23"/>
        <v>0.17432999746158959</v>
      </c>
      <c r="V131">
        <v>6.7</v>
      </c>
      <c r="W131">
        <f t="shared" si="21"/>
        <v>-0.77636700000000003</v>
      </c>
    </row>
    <row r="132" spans="1:23" x14ac:dyDescent="0.3">
      <c r="A132">
        <v>6.7196312999999996</v>
      </c>
      <c r="B132">
        <v>0.40461000000000003</v>
      </c>
      <c r="C132">
        <f t="shared" si="14"/>
        <v>2.7188300202929998</v>
      </c>
      <c r="D132">
        <v>1.66E-2</v>
      </c>
      <c r="E132">
        <v>3.5699999999999998E-3</v>
      </c>
      <c r="F132">
        <f t="shared" si="15"/>
        <v>1343.92626</v>
      </c>
      <c r="G132">
        <f t="shared" si="16"/>
        <v>-0.40461000000000003</v>
      </c>
      <c r="H132">
        <f t="shared" si="17"/>
        <v>-543.76600405859995</v>
      </c>
      <c r="I132">
        <v>1</v>
      </c>
      <c r="J132">
        <f t="shared" si="18"/>
        <v>0.29559537452433121</v>
      </c>
      <c r="K132">
        <f t="shared" si="19"/>
        <v>-0.81711515177521743</v>
      </c>
      <c r="L132">
        <v>1</v>
      </c>
      <c r="M132">
        <f t="shared" si="20"/>
        <v>0.50667752122121956</v>
      </c>
      <c r="N132">
        <f t="shared" si="24"/>
        <v>0.11154587957999999</v>
      </c>
      <c r="O132">
        <f t="shared" si="22"/>
        <v>2.3989083740999999E-2</v>
      </c>
      <c r="P132">
        <f t="shared" si="23"/>
        <v>0.17490266723299785</v>
      </c>
      <c r="V132">
        <v>6.8</v>
      </c>
      <c r="W132">
        <f t="shared" si="21"/>
        <v>-0.78057799999999999</v>
      </c>
    </row>
    <row r="133" spans="1:23" x14ac:dyDescent="0.3">
      <c r="A133">
        <v>6.7746230000000001</v>
      </c>
      <c r="B133">
        <v>0.40233000000000002</v>
      </c>
      <c r="C133">
        <f t="shared" ref="C133:C196" si="25">A133*B133</f>
        <v>2.72563407159</v>
      </c>
      <c r="D133">
        <v>1.66E-2</v>
      </c>
      <c r="E133">
        <v>3.5699999999999998E-3</v>
      </c>
      <c r="F133">
        <f t="shared" ref="F133:F196" si="26">A133*200</f>
        <v>1354.9246000000001</v>
      </c>
      <c r="G133">
        <f t="shared" ref="G133:G144" si="27">-B133</f>
        <v>-0.40233000000000002</v>
      </c>
      <c r="H133">
        <f t="shared" ref="H133:H196" si="28">-C133*200</f>
        <v>-545.12681431800002</v>
      </c>
      <c r="I133">
        <v>1</v>
      </c>
      <c r="J133">
        <f t="shared" ref="J133:J196" si="29">LN(F133/1000)</f>
        <v>0.30374580702692422</v>
      </c>
      <c r="K133">
        <f t="shared" ref="K133:K187" si="30">((-G133)-$N$2)</f>
        <v>-0.81939515177521738</v>
      </c>
      <c r="L133">
        <v>1</v>
      </c>
      <c r="M133">
        <f t="shared" ref="M133:M196" si="31">-1*($S$4+($S$5*J133))</f>
        <v>0.50702073593390373</v>
      </c>
      <c r="N133">
        <f t="shared" si="24"/>
        <v>0.1124587418</v>
      </c>
      <c r="O133">
        <f t="shared" si="22"/>
        <v>2.4185404109999999E-2</v>
      </c>
      <c r="P133">
        <f t="shared" si="23"/>
        <v>0.17573026993131366</v>
      </c>
      <c r="V133">
        <v>6.9</v>
      </c>
      <c r="W133">
        <f t="shared" ref="W133:W139" si="32">V133*$S$5+$S$4</f>
        <v>-0.78478899999999996</v>
      </c>
    </row>
    <row r="134" spans="1:23" x14ac:dyDescent="0.3">
      <c r="A134">
        <v>6.8275775999999997</v>
      </c>
      <c r="B134">
        <v>0.39990999999999999</v>
      </c>
      <c r="C134">
        <f t="shared" si="25"/>
        <v>2.7304165580159996</v>
      </c>
      <c r="D134">
        <v>1.66E-2</v>
      </c>
      <c r="E134">
        <v>3.5699999999999998E-3</v>
      </c>
      <c r="F134">
        <f t="shared" si="26"/>
        <v>1365.5155199999999</v>
      </c>
      <c r="G134">
        <f t="shared" si="27"/>
        <v>-0.39990999999999999</v>
      </c>
      <c r="H134">
        <f t="shared" si="28"/>
        <v>-546.08331160319995</v>
      </c>
      <c r="I134">
        <v>1</v>
      </c>
      <c r="J134">
        <f t="shared" si="29"/>
        <v>0.31153202766710564</v>
      </c>
      <c r="K134">
        <f t="shared" si="30"/>
        <v>-0.82181515177521747</v>
      </c>
      <c r="L134">
        <v>1</v>
      </c>
      <c r="M134">
        <f t="shared" si="31"/>
        <v>0.50734861368506179</v>
      </c>
      <c r="N134">
        <f t="shared" si="24"/>
        <v>0.11333778815999999</v>
      </c>
      <c r="O134">
        <f t="shared" ref="O134:O144" si="33">E134*A134</f>
        <v>2.4374452031999998E-2</v>
      </c>
      <c r="P134">
        <f t="shared" ref="P134:P144" si="34">-K134-M134-N134-O134</f>
        <v>0.17675429789815567</v>
      </c>
      <c r="V134">
        <v>7</v>
      </c>
      <c r="W134">
        <f t="shared" si="32"/>
        <v>-0.78900000000000003</v>
      </c>
    </row>
    <row r="135" spans="1:23" x14ac:dyDescent="0.3">
      <c r="A135">
        <v>6.8784966000000001</v>
      </c>
      <c r="B135">
        <v>0.39774999999999999</v>
      </c>
      <c r="C135">
        <f t="shared" si="25"/>
        <v>2.7359220226500001</v>
      </c>
      <c r="D135">
        <v>1.66E-2</v>
      </c>
      <c r="E135">
        <v>3.5699999999999998E-3</v>
      </c>
      <c r="F135">
        <f t="shared" si="26"/>
        <v>1375.6993199999999</v>
      </c>
      <c r="G135">
        <f t="shared" si="27"/>
        <v>-0.39774999999999999</v>
      </c>
      <c r="H135">
        <f t="shared" si="28"/>
        <v>-547.18440453000005</v>
      </c>
      <c r="I135">
        <v>1</v>
      </c>
      <c r="J135">
        <f t="shared" si="29"/>
        <v>0.31896219819087651</v>
      </c>
      <c r="K135">
        <f t="shared" si="30"/>
        <v>-0.82397515177521741</v>
      </c>
      <c r="L135">
        <v>1</v>
      </c>
      <c r="M135">
        <f t="shared" si="31"/>
        <v>0.50766149816581785</v>
      </c>
      <c r="N135">
        <f t="shared" ref="N135:N144" si="35">D135*A135</f>
        <v>0.11418304356</v>
      </c>
      <c r="O135">
        <f t="shared" si="33"/>
        <v>2.4556232862E-2</v>
      </c>
      <c r="P135">
        <f t="shared" si="34"/>
        <v>0.17757437718739955</v>
      </c>
      <c r="V135">
        <v>7.1</v>
      </c>
      <c r="W135">
        <f t="shared" si="32"/>
        <v>-0.793211</v>
      </c>
    </row>
    <row r="136" spans="1:23" x14ac:dyDescent="0.3">
      <c r="A136">
        <v>6.9345063000000007</v>
      </c>
      <c r="B136">
        <v>0.39562999999999998</v>
      </c>
      <c r="C136">
        <f t="shared" si="25"/>
        <v>2.7434987274689999</v>
      </c>
      <c r="D136">
        <v>1.66E-2</v>
      </c>
      <c r="E136">
        <v>3.5699999999999998E-3</v>
      </c>
      <c r="F136">
        <f t="shared" si="26"/>
        <v>1386.9012600000001</v>
      </c>
      <c r="G136">
        <f t="shared" si="27"/>
        <v>-0.39562999999999998</v>
      </c>
      <c r="H136">
        <f t="shared" si="28"/>
        <v>-548.69974549380004</v>
      </c>
      <c r="I136">
        <v>1</v>
      </c>
      <c r="J136">
        <f t="shared" si="29"/>
        <v>0.3270719491807132</v>
      </c>
      <c r="K136">
        <f t="shared" si="30"/>
        <v>-0.82609515177521753</v>
      </c>
      <c r="L136">
        <v>1</v>
      </c>
      <c r="M136">
        <f t="shared" si="31"/>
        <v>0.50800299977999985</v>
      </c>
      <c r="N136">
        <f t="shared" si="35"/>
        <v>0.11511280458000002</v>
      </c>
      <c r="O136">
        <f t="shared" si="33"/>
        <v>2.4756187491E-2</v>
      </c>
      <c r="P136">
        <f t="shared" si="34"/>
        <v>0.17822315992421767</v>
      </c>
      <c r="V136">
        <v>7.2</v>
      </c>
      <c r="W136">
        <f t="shared" si="32"/>
        <v>-0.79742200000000008</v>
      </c>
    </row>
    <row r="137" spans="1:23" x14ac:dyDescent="0.3">
      <c r="A137">
        <v>6.9849154999999996</v>
      </c>
      <c r="B137">
        <v>0.39344000000000001</v>
      </c>
      <c r="C137">
        <f t="shared" si="25"/>
        <v>2.7481451543199999</v>
      </c>
      <c r="D137">
        <v>1.66E-2</v>
      </c>
      <c r="E137">
        <v>3.5699999999999998E-3</v>
      </c>
      <c r="F137">
        <f t="shared" si="26"/>
        <v>1396.9830999999999</v>
      </c>
      <c r="G137">
        <f t="shared" si="27"/>
        <v>-0.39344000000000001</v>
      </c>
      <c r="H137">
        <f t="shared" si="28"/>
        <v>-549.62903086400001</v>
      </c>
      <c r="I137">
        <v>1</v>
      </c>
      <c r="J137">
        <f t="shared" si="29"/>
        <v>0.33431498285018374</v>
      </c>
      <c r="K137">
        <f t="shared" si="30"/>
        <v>-0.82828515177521744</v>
      </c>
      <c r="L137">
        <v>1</v>
      </c>
      <c r="M137">
        <f t="shared" si="31"/>
        <v>0.50830800392782127</v>
      </c>
      <c r="N137">
        <f t="shared" si="35"/>
        <v>0.1159495973</v>
      </c>
      <c r="O137">
        <f t="shared" si="33"/>
        <v>2.4936148334999998E-2</v>
      </c>
      <c r="P137">
        <f t="shared" si="34"/>
        <v>0.17909140221239619</v>
      </c>
      <c r="V137">
        <v>7.3</v>
      </c>
      <c r="W137">
        <f t="shared" si="32"/>
        <v>-0.80163300000000004</v>
      </c>
    </row>
    <row r="138" spans="1:23" x14ac:dyDescent="0.3">
      <c r="A138">
        <v>7.0358339999999995</v>
      </c>
      <c r="B138">
        <v>0.39122000000000001</v>
      </c>
      <c r="C138">
        <f t="shared" si="25"/>
        <v>2.7525589774799997</v>
      </c>
      <c r="D138">
        <v>1.66E-2</v>
      </c>
      <c r="E138">
        <v>3.5699999999999998E-3</v>
      </c>
      <c r="F138">
        <f t="shared" si="26"/>
        <v>1407.1668</v>
      </c>
      <c r="G138">
        <f t="shared" si="27"/>
        <v>-0.39122000000000001</v>
      </c>
      <c r="H138">
        <f t="shared" si="28"/>
        <v>-550.51179549599988</v>
      </c>
      <c r="I138">
        <v>1</v>
      </c>
      <c r="J138">
        <f t="shared" si="29"/>
        <v>0.34157832121235321</v>
      </c>
      <c r="K138">
        <f t="shared" si="30"/>
        <v>-0.83050515177521744</v>
      </c>
      <c r="L138">
        <v>1</v>
      </c>
      <c r="M138">
        <f t="shared" si="31"/>
        <v>0.50861386310625223</v>
      </c>
      <c r="N138">
        <f t="shared" si="35"/>
        <v>0.11679484439999999</v>
      </c>
      <c r="O138">
        <f t="shared" si="33"/>
        <v>2.5117927379999998E-2</v>
      </c>
      <c r="P138">
        <f t="shared" si="34"/>
        <v>0.17997851688896524</v>
      </c>
      <c r="V138">
        <v>7.4</v>
      </c>
      <c r="W138">
        <f t="shared" si="32"/>
        <v>-0.805844</v>
      </c>
    </row>
    <row r="139" spans="1:23" x14ac:dyDescent="0.3">
      <c r="A139">
        <v>7.0862432000000002</v>
      </c>
      <c r="B139">
        <v>0.38906000000000002</v>
      </c>
      <c r="C139">
        <f t="shared" si="25"/>
        <v>2.7569737793920002</v>
      </c>
      <c r="D139">
        <v>1.66E-2</v>
      </c>
      <c r="E139">
        <v>3.5699999999999998E-3</v>
      </c>
      <c r="F139">
        <f t="shared" si="26"/>
        <v>1417.24864</v>
      </c>
      <c r="G139">
        <f t="shared" si="27"/>
        <v>-0.38906000000000002</v>
      </c>
      <c r="H139">
        <f t="shared" si="28"/>
        <v>-551.39475587840002</v>
      </c>
      <c r="I139">
        <v>1</v>
      </c>
      <c r="J139">
        <f t="shared" si="29"/>
        <v>0.348717414616947</v>
      </c>
      <c r="K139">
        <f t="shared" si="30"/>
        <v>-0.83266515177521749</v>
      </c>
      <c r="L139">
        <v>1</v>
      </c>
      <c r="M139">
        <f t="shared" si="31"/>
        <v>0.50891449032951963</v>
      </c>
      <c r="N139">
        <f t="shared" si="35"/>
        <v>0.11763163712000001</v>
      </c>
      <c r="O139">
        <f t="shared" si="33"/>
        <v>2.5297888224E-2</v>
      </c>
      <c r="P139">
        <f t="shared" si="34"/>
        <v>0.18082113610169784</v>
      </c>
      <c r="V139">
        <v>7.5</v>
      </c>
      <c r="W139">
        <f t="shared" si="32"/>
        <v>-0.81005499999999997</v>
      </c>
    </row>
    <row r="140" spans="1:23" x14ac:dyDescent="0.3">
      <c r="A140">
        <v>7.1376698999999997</v>
      </c>
      <c r="B140">
        <v>0.38714999999999999</v>
      </c>
      <c r="C140">
        <f t="shared" si="25"/>
        <v>2.7633489017849997</v>
      </c>
      <c r="D140">
        <v>1.66E-2</v>
      </c>
      <c r="E140">
        <v>3.5699999999999998E-3</v>
      </c>
      <c r="F140">
        <f t="shared" si="26"/>
        <v>1427.5339799999999</v>
      </c>
      <c r="G140">
        <f t="shared" si="27"/>
        <v>-0.38714999999999999</v>
      </c>
      <c r="H140">
        <f t="shared" si="28"/>
        <v>-552.66978035699992</v>
      </c>
      <c r="I140">
        <v>1</v>
      </c>
      <c r="J140">
        <f t="shared" si="29"/>
        <v>0.35594846611761066</v>
      </c>
      <c r="K140">
        <f t="shared" si="30"/>
        <v>-0.83457515177521746</v>
      </c>
      <c r="L140">
        <v>1</v>
      </c>
      <c r="M140">
        <f t="shared" si="31"/>
        <v>0.50921898990821257</v>
      </c>
      <c r="N140">
        <f t="shared" si="35"/>
        <v>0.11848532033999999</v>
      </c>
      <c r="O140">
        <f t="shared" si="33"/>
        <v>2.5481481542999996E-2</v>
      </c>
      <c r="P140">
        <f t="shared" si="34"/>
        <v>0.18138935998400491</v>
      </c>
    </row>
    <row r="141" spans="1:23" x14ac:dyDescent="0.3">
      <c r="A141">
        <v>7.1901162000000003</v>
      </c>
      <c r="B141">
        <v>0.38473000000000002</v>
      </c>
      <c r="C141">
        <f t="shared" si="25"/>
        <v>2.7662534056260002</v>
      </c>
      <c r="D141">
        <v>1.66E-2</v>
      </c>
      <c r="E141">
        <v>3.5699999999999998E-3</v>
      </c>
      <c r="F141">
        <f t="shared" si="26"/>
        <v>1438.02324</v>
      </c>
      <c r="G141">
        <f t="shared" si="27"/>
        <v>-0.38473000000000002</v>
      </c>
      <c r="H141">
        <f t="shared" si="28"/>
        <v>-553.2506811252</v>
      </c>
      <c r="I141">
        <v>1</v>
      </c>
      <c r="J141">
        <f t="shared" si="29"/>
        <v>0.36326942050344968</v>
      </c>
      <c r="K141">
        <f t="shared" si="30"/>
        <v>-0.83699515177521744</v>
      </c>
      <c r="L141">
        <v>1</v>
      </c>
      <c r="M141">
        <f t="shared" si="31"/>
        <v>0.50952727529740027</v>
      </c>
      <c r="N141">
        <f t="shared" si="35"/>
        <v>0.11935592892000001</v>
      </c>
      <c r="O141">
        <f t="shared" si="33"/>
        <v>2.5668714834E-2</v>
      </c>
      <c r="P141">
        <f t="shared" si="34"/>
        <v>0.18244323272381716</v>
      </c>
    </row>
    <row r="142" spans="1:23" x14ac:dyDescent="0.3">
      <c r="A142">
        <v>7.2405258999999997</v>
      </c>
      <c r="B142">
        <v>0.38257000000000002</v>
      </c>
      <c r="C142">
        <f t="shared" si="25"/>
        <v>2.770007993563</v>
      </c>
      <c r="D142">
        <v>1.66E-2</v>
      </c>
      <c r="E142">
        <v>3.5699999999999998E-3</v>
      </c>
      <c r="F142">
        <f t="shared" si="26"/>
        <v>1448.10518</v>
      </c>
      <c r="G142">
        <f t="shared" si="27"/>
        <v>-0.38257000000000002</v>
      </c>
      <c r="H142">
        <f t="shared" si="28"/>
        <v>-554.00159871259996</v>
      </c>
      <c r="I142">
        <v>1</v>
      </c>
      <c r="J142">
        <f t="shared" si="29"/>
        <v>0.37025592944705099</v>
      </c>
      <c r="K142">
        <f t="shared" si="30"/>
        <v>-0.83915515177521738</v>
      </c>
      <c r="L142">
        <v>1</v>
      </c>
      <c r="M142">
        <f t="shared" si="31"/>
        <v>0.50982147718901527</v>
      </c>
      <c r="N142">
        <f t="shared" si="35"/>
        <v>0.12019272993999999</v>
      </c>
      <c r="O142">
        <f t="shared" si="33"/>
        <v>2.5848677462999996E-2</v>
      </c>
      <c r="P142">
        <f t="shared" si="34"/>
        <v>0.18329226718320213</v>
      </c>
    </row>
    <row r="143" spans="1:23" x14ac:dyDescent="0.3">
      <c r="A143">
        <v>7.2955175999999993</v>
      </c>
      <c r="B143">
        <v>0.38035999999999998</v>
      </c>
      <c r="C143">
        <f t="shared" si="25"/>
        <v>2.7749230743359994</v>
      </c>
      <c r="D143">
        <v>1.66E-2</v>
      </c>
      <c r="E143">
        <v>3.5699999999999998E-3</v>
      </c>
      <c r="F143">
        <f t="shared" si="26"/>
        <v>1459.1035199999999</v>
      </c>
      <c r="G143">
        <f t="shared" si="27"/>
        <v>-0.38035999999999998</v>
      </c>
      <c r="H143">
        <f t="shared" si="28"/>
        <v>-554.98461486719987</v>
      </c>
      <c r="I143">
        <v>1</v>
      </c>
      <c r="J143">
        <f t="shared" si="29"/>
        <v>0.37782221973095809</v>
      </c>
      <c r="K143">
        <f t="shared" si="30"/>
        <v>-0.84136515177521742</v>
      </c>
      <c r="L143">
        <v>1</v>
      </c>
      <c r="M143">
        <f t="shared" si="31"/>
        <v>0.51014009367287061</v>
      </c>
      <c r="N143">
        <f t="shared" si="35"/>
        <v>0.12110559215999998</v>
      </c>
      <c r="O143">
        <f t="shared" si="33"/>
        <v>2.6044997831999997E-2</v>
      </c>
      <c r="P143">
        <f t="shared" si="34"/>
        <v>0.18407446811034683</v>
      </c>
    </row>
    <row r="144" spans="1:23" x14ac:dyDescent="0.3">
      <c r="A144">
        <v>7.3459262999999995</v>
      </c>
      <c r="B144">
        <v>0.37824000000000002</v>
      </c>
      <c r="C144">
        <f t="shared" si="25"/>
        <v>2.7785231637119998</v>
      </c>
      <c r="D144">
        <v>1.66E-2</v>
      </c>
      <c r="E144">
        <v>3.5699999999999998E-3</v>
      </c>
      <c r="F144">
        <f t="shared" si="26"/>
        <v>1469.18526</v>
      </c>
      <c r="G144">
        <f t="shared" si="27"/>
        <v>-0.37824000000000002</v>
      </c>
      <c r="H144">
        <f t="shared" si="28"/>
        <v>-555.70463274240001</v>
      </c>
      <c r="I144">
        <v>1</v>
      </c>
      <c r="J144">
        <f t="shared" si="29"/>
        <v>0.3847080022422063</v>
      </c>
      <c r="K144">
        <f t="shared" si="30"/>
        <v>-0.84348515177521743</v>
      </c>
      <c r="L144">
        <v>1</v>
      </c>
      <c r="M144">
        <f t="shared" si="31"/>
        <v>0.51043005397441932</v>
      </c>
      <c r="N144">
        <f t="shared" si="35"/>
        <v>0.12194237658</v>
      </c>
      <c r="O144">
        <f t="shared" si="33"/>
        <v>2.6224956890999997E-2</v>
      </c>
      <c r="P144">
        <f t="shared" si="34"/>
        <v>0.18488776432979812</v>
      </c>
    </row>
    <row r="145" spans="1:16" x14ac:dyDescent="0.3">
      <c r="A145">
        <v>7.3978633</v>
      </c>
      <c r="B145">
        <v>0.37615999999999999</v>
      </c>
      <c r="C145">
        <f t="shared" si="25"/>
        <v>2.7827802589280002</v>
      </c>
      <c r="D145">
        <v>1.66E-2</v>
      </c>
      <c r="E145">
        <v>3.5699999999999998E-3</v>
      </c>
      <c r="F145">
        <f t="shared" si="26"/>
        <v>1479.57266</v>
      </c>
      <c r="G145">
        <f t="shared" ref="G145:G187" si="36">-B145</f>
        <v>-0.37615999999999999</v>
      </c>
      <c r="H145">
        <f t="shared" si="28"/>
        <v>-556.55605178560006</v>
      </c>
      <c r="I145">
        <v>1</v>
      </c>
      <c r="J145">
        <f t="shared" si="29"/>
        <v>0.39175330283842408</v>
      </c>
      <c r="K145">
        <f t="shared" si="30"/>
        <v>-0.84556515177521741</v>
      </c>
      <c r="L145">
        <v>1</v>
      </c>
      <c r="M145">
        <f t="shared" si="31"/>
        <v>0.51072673158252602</v>
      </c>
      <c r="N145">
        <f t="shared" ref="N145:N187" si="37">D145*A145</f>
        <v>0.12280453078</v>
      </c>
      <c r="O145">
        <f t="shared" ref="O145:O187" si="38">E145*A145</f>
        <v>2.6410371980999998E-2</v>
      </c>
      <c r="P145">
        <f t="shared" ref="P145:P187" si="39">-K145-M145-N145-O145</f>
        <v>0.18562351743169139</v>
      </c>
    </row>
    <row r="146" spans="1:16" x14ac:dyDescent="0.3">
      <c r="A146">
        <v>7.4492905</v>
      </c>
      <c r="B146">
        <v>0.37385000000000002</v>
      </c>
      <c r="C146">
        <f t="shared" si="25"/>
        <v>2.7849172534250002</v>
      </c>
      <c r="D146">
        <v>1.66E-2</v>
      </c>
      <c r="E146">
        <v>3.5699999999999998E-3</v>
      </c>
      <c r="F146">
        <f t="shared" si="26"/>
        <v>1489.8580999999999</v>
      </c>
      <c r="G146">
        <f t="shared" si="36"/>
        <v>-0.37385000000000002</v>
      </c>
      <c r="H146">
        <f t="shared" si="28"/>
        <v>-556.98345068499998</v>
      </c>
      <c r="I146">
        <v>1</v>
      </c>
      <c r="J146">
        <f t="shared" si="29"/>
        <v>0.3986808805229079</v>
      </c>
      <c r="K146">
        <f t="shared" si="30"/>
        <v>-0.84787515177521744</v>
      </c>
      <c r="L146">
        <v>1</v>
      </c>
      <c r="M146">
        <f t="shared" si="31"/>
        <v>0.51101845187881967</v>
      </c>
      <c r="N146">
        <f t="shared" si="37"/>
        <v>0.1236582223</v>
      </c>
      <c r="O146">
        <f t="shared" si="38"/>
        <v>2.6593967085E-2</v>
      </c>
      <c r="P146">
        <f t="shared" si="39"/>
        <v>0.18660451051139776</v>
      </c>
    </row>
    <row r="147" spans="1:16" x14ac:dyDescent="0.3">
      <c r="A147">
        <v>7.5022460999999998</v>
      </c>
      <c r="B147">
        <v>0.37173</v>
      </c>
      <c r="C147">
        <f t="shared" si="25"/>
        <v>2.7888099427529998</v>
      </c>
      <c r="D147">
        <v>1.66E-2</v>
      </c>
      <c r="E147">
        <v>3.5699999999999998E-3</v>
      </c>
      <c r="F147">
        <f t="shared" si="26"/>
        <v>1500.44922</v>
      </c>
      <c r="G147">
        <f t="shared" si="36"/>
        <v>-0.37173</v>
      </c>
      <c r="H147">
        <f t="shared" si="28"/>
        <v>-557.76198855059999</v>
      </c>
      <c r="I147">
        <v>1</v>
      </c>
      <c r="J147">
        <f t="shared" si="29"/>
        <v>0.40576454327298039</v>
      </c>
      <c r="K147">
        <f t="shared" si="30"/>
        <v>-0.84999515177521745</v>
      </c>
      <c r="L147">
        <v>1</v>
      </c>
      <c r="M147">
        <f t="shared" si="31"/>
        <v>0.51131674491722523</v>
      </c>
      <c r="N147">
        <f t="shared" si="37"/>
        <v>0.12453728525999999</v>
      </c>
      <c r="O147">
        <f t="shared" si="38"/>
        <v>2.6783018576999999E-2</v>
      </c>
      <c r="P147">
        <f t="shared" si="39"/>
        <v>0.18735810302099223</v>
      </c>
    </row>
    <row r="148" spans="1:16" x14ac:dyDescent="0.3">
      <c r="A148">
        <v>7.5531641</v>
      </c>
      <c r="B148">
        <v>0.36958999999999997</v>
      </c>
      <c r="C148">
        <f t="shared" si="25"/>
        <v>2.7915739197189997</v>
      </c>
      <c r="D148">
        <v>1.66E-2</v>
      </c>
      <c r="E148">
        <v>3.5699999999999998E-3</v>
      </c>
      <c r="F148">
        <f t="shared" si="26"/>
        <v>1510.63282</v>
      </c>
      <c r="G148">
        <f t="shared" si="36"/>
        <v>-0.36958999999999997</v>
      </c>
      <c r="H148">
        <f t="shared" si="28"/>
        <v>-558.31478394379997</v>
      </c>
      <c r="I148">
        <v>1</v>
      </c>
      <c r="J148">
        <f t="shared" si="29"/>
        <v>0.41252864912749915</v>
      </c>
      <c r="K148">
        <f t="shared" si="30"/>
        <v>-0.85213515177521748</v>
      </c>
      <c r="L148">
        <v>1</v>
      </c>
      <c r="M148">
        <f t="shared" si="31"/>
        <v>0.51160158141475898</v>
      </c>
      <c r="N148">
        <f t="shared" si="37"/>
        <v>0.12538252406</v>
      </c>
      <c r="O148">
        <f t="shared" si="38"/>
        <v>2.6964795837E-2</v>
      </c>
      <c r="P148">
        <f t="shared" si="39"/>
        <v>0.18818625046345849</v>
      </c>
    </row>
    <row r="149" spans="1:16" x14ac:dyDescent="0.3">
      <c r="A149">
        <v>7.6040824999999996</v>
      </c>
      <c r="B149">
        <v>0.36741000000000001</v>
      </c>
      <c r="C149">
        <f t="shared" si="25"/>
        <v>2.793815951325</v>
      </c>
      <c r="D149">
        <v>1.66E-2</v>
      </c>
      <c r="E149">
        <v>3.5699999999999998E-3</v>
      </c>
      <c r="F149">
        <f t="shared" si="26"/>
        <v>1520.8164999999999</v>
      </c>
      <c r="G149">
        <f t="shared" si="36"/>
        <v>-0.36741000000000001</v>
      </c>
      <c r="H149">
        <f t="shared" si="28"/>
        <v>-558.76319026500005</v>
      </c>
      <c r="I149">
        <v>1</v>
      </c>
      <c r="J149">
        <f t="shared" si="29"/>
        <v>0.41924736168609328</v>
      </c>
      <c r="K149">
        <f t="shared" si="30"/>
        <v>-0.85431515177521744</v>
      </c>
      <c r="L149">
        <v>1</v>
      </c>
      <c r="M149">
        <f t="shared" si="31"/>
        <v>0.51188450640060135</v>
      </c>
      <c r="N149">
        <f t="shared" si="37"/>
        <v>0.1262277695</v>
      </c>
      <c r="O149">
        <f t="shared" si="38"/>
        <v>2.7146574524999998E-2</v>
      </c>
      <c r="P149">
        <f t="shared" si="39"/>
        <v>0.1890563013496161</v>
      </c>
    </row>
    <row r="150" spans="1:16" x14ac:dyDescent="0.3">
      <c r="A150">
        <v>7.6550009999999995</v>
      </c>
      <c r="B150">
        <v>0.36514000000000002</v>
      </c>
      <c r="C150">
        <f t="shared" si="25"/>
        <v>2.7951470651400001</v>
      </c>
      <c r="D150">
        <v>1.66E-2</v>
      </c>
      <c r="E150">
        <v>3.5699999999999998E-3</v>
      </c>
      <c r="F150">
        <f t="shared" si="26"/>
        <v>1531.0001999999999</v>
      </c>
      <c r="G150">
        <f t="shared" si="36"/>
        <v>-0.36514000000000002</v>
      </c>
      <c r="H150">
        <f t="shared" si="28"/>
        <v>-559.02941302800002</v>
      </c>
      <c r="I150">
        <v>1</v>
      </c>
      <c r="J150">
        <f t="shared" si="29"/>
        <v>0.42592124730911102</v>
      </c>
      <c r="K150">
        <f t="shared" si="30"/>
        <v>-0.85658515177521743</v>
      </c>
      <c r="L150">
        <v>1</v>
      </c>
      <c r="M150">
        <f t="shared" si="31"/>
        <v>0.51216554372418666</v>
      </c>
      <c r="N150">
        <f t="shared" si="37"/>
        <v>0.1270730166</v>
      </c>
      <c r="O150">
        <f t="shared" si="38"/>
        <v>2.7328353569999998E-2</v>
      </c>
      <c r="P150">
        <f t="shared" si="39"/>
        <v>0.19001823788103078</v>
      </c>
    </row>
    <row r="151" spans="1:16" x14ac:dyDescent="0.3">
      <c r="A151">
        <v>7.7074463</v>
      </c>
      <c r="B151">
        <v>0.36299999999999999</v>
      </c>
      <c r="C151">
        <f t="shared" si="25"/>
        <v>2.7978030068999997</v>
      </c>
      <c r="D151">
        <v>1.66E-2</v>
      </c>
      <c r="E151">
        <v>3.5699999999999998E-3</v>
      </c>
      <c r="F151">
        <f t="shared" si="26"/>
        <v>1541.4892600000001</v>
      </c>
      <c r="G151">
        <f t="shared" si="36"/>
        <v>-0.36299999999999999</v>
      </c>
      <c r="H151">
        <f t="shared" si="28"/>
        <v>-559.56060137999998</v>
      </c>
      <c r="I151">
        <v>1</v>
      </c>
      <c r="J151">
        <f t="shared" si="29"/>
        <v>0.43274900108009512</v>
      </c>
      <c r="K151">
        <f t="shared" si="30"/>
        <v>-0.85872515177521747</v>
      </c>
      <c r="L151">
        <v>1</v>
      </c>
      <c r="M151">
        <f t="shared" si="31"/>
        <v>0.51245306043548278</v>
      </c>
      <c r="N151">
        <f t="shared" si="37"/>
        <v>0.12794360858000001</v>
      </c>
      <c r="O151">
        <f t="shared" si="38"/>
        <v>2.7515583290999998E-2</v>
      </c>
      <c r="P151">
        <f t="shared" si="39"/>
        <v>0.1908128994687347</v>
      </c>
    </row>
    <row r="152" spans="1:16" x14ac:dyDescent="0.3">
      <c r="A152">
        <v>7.7578560000000003</v>
      </c>
      <c r="B152">
        <v>0.36073</v>
      </c>
      <c r="C152">
        <f t="shared" si="25"/>
        <v>2.7984913948800001</v>
      </c>
      <c r="D152">
        <v>1.66E-2</v>
      </c>
      <c r="E152">
        <v>3.5699999999999998E-3</v>
      </c>
      <c r="F152">
        <f t="shared" si="26"/>
        <v>1551.5712000000001</v>
      </c>
      <c r="G152">
        <f t="shared" si="36"/>
        <v>-0.36073</v>
      </c>
      <c r="H152">
        <f t="shared" si="28"/>
        <v>-559.69827897599998</v>
      </c>
      <c r="I152">
        <v>1</v>
      </c>
      <c r="J152">
        <f t="shared" si="29"/>
        <v>0.43926809492648988</v>
      </c>
      <c r="K152">
        <f t="shared" si="30"/>
        <v>-0.86099515177521746</v>
      </c>
      <c r="L152">
        <v>1</v>
      </c>
      <c r="M152">
        <f t="shared" si="31"/>
        <v>0.51272757947735448</v>
      </c>
      <c r="N152">
        <f t="shared" si="37"/>
        <v>0.12878040960000001</v>
      </c>
      <c r="O152">
        <f t="shared" si="38"/>
        <v>2.7695545919999998E-2</v>
      </c>
      <c r="P152">
        <f t="shared" si="39"/>
        <v>0.19179161677786297</v>
      </c>
    </row>
    <row r="153" spans="1:16" x14ac:dyDescent="0.3">
      <c r="A153">
        <v>7.8103021999999998</v>
      </c>
      <c r="B153">
        <v>0.35854999999999998</v>
      </c>
      <c r="C153">
        <f t="shared" si="25"/>
        <v>2.8003838538099997</v>
      </c>
      <c r="D153">
        <v>1.66E-2</v>
      </c>
      <c r="E153">
        <v>3.5699999999999998E-3</v>
      </c>
      <c r="F153">
        <f t="shared" si="26"/>
        <v>1562.06044</v>
      </c>
      <c r="G153">
        <f t="shared" si="36"/>
        <v>-0.35854999999999998</v>
      </c>
      <c r="H153">
        <f t="shared" si="28"/>
        <v>-560.07677076199991</v>
      </c>
      <c r="I153">
        <v>1</v>
      </c>
      <c r="J153">
        <f t="shared" si="29"/>
        <v>0.44600574465097564</v>
      </c>
      <c r="K153">
        <f t="shared" si="30"/>
        <v>-0.86317515177521753</v>
      </c>
      <c r="L153">
        <v>1</v>
      </c>
      <c r="M153">
        <f t="shared" si="31"/>
        <v>0.51301130190725264</v>
      </c>
      <c r="N153">
        <f t="shared" si="37"/>
        <v>0.12965101652</v>
      </c>
      <c r="O153">
        <f t="shared" si="38"/>
        <v>2.7882778853999996E-2</v>
      </c>
      <c r="P153">
        <f t="shared" si="39"/>
        <v>0.19263005449396489</v>
      </c>
    </row>
    <row r="154" spans="1:16" x14ac:dyDescent="0.3">
      <c r="A154">
        <v>7.8632563000000006</v>
      </c>
      <c r="B154">
        <v>0.35624</v>
      </c>
      <c r="C154">
        <f t="shared" si="25"/>
        <v>2.8012064243120003</v>
      </c>
      <c r="D154">
        <v>1.66E-2</v>
      </c>
      <c r="E154">
        <v>3.5699999999999998E-3</v>
      </c>
      <c r="F154">
        <f t="shared" si="26"/>
        <v>1572.6512600000001</v>
      </c>
      <c r="G154">
        <f t="shared" si="36"/>
        <v>-0.35624</v>
      </c>
      <c r="H154">
        <f t="shared" si="28"/>
        <v>-560.24128486240011</v>
      </c>
      <c r="I154">
        <v>1</v>
      </c>
      <c r="J154">
        <f t="shared" si="29"/>
        <v>0.45276289574543649</v>
      </c>
      <c r="K154">
        <f t="shared" si="30"/>
        <v>-0.86548515177521745</v>
      </c>
      <c r="L154">
        <v>1</v>
      </c>
      <c r="M154">
        <f t="shared" si="31"/>
        <v>0.51329584553984031</v>
      </c>
      <c r="N154">
        <f t="shared" si="37"/>
        <v>0.13053005458</v>
      </c>
      <c r="O154">
        <f t="shared" si="38"/>
        <v>2.8071824991E-2</v>
      </c>
      <c r="P154">
        <f t="shared" si="39"/>
        <v>0.19358742666437714</v>
      </c>
    </row>
    <row r="155" spans="1:16" x14ac:dyDescent="0.3">
      <c r="A155">
        <v>7.9146846000000002</v>
      </c>
      <c r="B155">
        <v>0.35427999999999998</v>
      </c>
      <c r="C155">
        <f t="shared" si="25"/>
        <v>2.8040144600880001</v>
      </c>
      <c r="D155">
        <v>1.66E-2</v>
      </c>
      <c r="E155">
        <v>3.5699999999999998E-3</v>
      </c>
      <c r="F155">
        <f t="shared" si="26"/>
        <v>1582.9369200000001</v>
      </c>
      <c r="G155">
        <f t="shared" si="36"/>
        <v>-0.35427999999999998</v>
      </c>
      <c r="H155">
        <f t="shared" si="28"/>
        <v>-560.80289201760002</v>
      </c>
      <c r="I155">
        <v>1</v>
      </c>
      <c r="J155">
        <f t="shared" si="29"/>
        <v>0.45928193171577242</v>
      </c>
      <c r="K155">
        <f t="shared" si="30"/>
        <v>-0.86744515177521753</v>
      </c>
      <c r="L155">
        <v>1</v>
      </c>
      <c r="M155">
        <f t="shared" si="31"/>
        <v>0.51357036214455121</v>
      </c>
      <c r="N155">
        <f t="shared" si="37"/>
        <v>0.13138376436000002</v>
      </c>
      <c r="O155">
        <f t="shared" si="38"/>
        <v>2.8255424022E-2</v>
      </c>
      <c r="P155">
        <f t="shared" si="39"/>
        <v>0.19423560124866629</v>
      </c>
    </row>
    <row r="156" spans="1:16" x14ac:dyDescent="0.3">
      <c r="A156">
        <v>7.9717124000000004</v>
      </c>
      <c r="B156">
        <v>0.35177999999999998</v>
      </c>
      <c r="C156">
        <f t="shared" si="25"/>
        <v>2.8042889880719999</v>
      </c>
      <c r="D156">
        <v>1.66E-2</v>
      </c>
      <c r="E156">
        <v>3.5699999999999998E-3</v>
      </c>
      <c r="F156">
        <f t="shared" si="26"/>
        <v>1594.34248</v>
      </c>
      <c r="G156">
        <f t="shared" si="36"/>
        <v>-0.35177999999999998</v>
      </c>
      <c r="H156">
        <f t="shared" si="28"/>
        <v>-560.85779761439994</v>
      </c>
      <c r="I156">
        <v>1</v>
      </c>
      <c r="J156">
        <f t="shared" si="29"/>
        <v>0.46646141299874955</v>
      </c>
      <c r="K156">
        <f t="shared" si="30"/>
        <v>-0.86994515177521747</v>
      </c>
      <c r="L156">
        <v>1</v>
      </c>
      <c r="M156">
        <f t="shared" si="31"/>
        <v>0.51387269010137737</v>
      </c>
      <c r="N156">
        <f t="shared" si="37"/>
        <v>0.13233042584000002</v>
      </c>
      <c r="O156">
        <f t="shared" si="38"/>
        <v>2.8459013267999999E-2</v>
      </c>
      <c r="P156">
        <f t="shared" si="39"/>
        <v>0.1952830225658401</v>
      </c>
    </row>
    <row r="157" spans="1:16" x14ac:dyDescent="0.3">
      <c r="A157">
        <v>8.0236488999999995</v>
      </c>
      <c r="B157">
        <v>0.34966000000000003</v>
      </c>
      <c r="C157">
        <f t="shared" si="25"/>
        <v>2.8055490743739999</v>
      </c>
      <c r="D157">
        <v>1.66E-2</v>
      </c>
      <c r="E157">
        <v>3.5699999999999998E-3</v>
      </c>
      <c r="F157">
        <f t="shared" si="26"/>
        <v>1604.7297799999999</v>
      </c>
      <c r="G157">
        <f t="shared" si="36"/>
        <v>-0.34966000000000003</v>
      </c>
      <c r="H157">
        <f t="shared" si="28"/>
        <v>-561.10981487480001</v>
      </c>
      <c r="I157">
        <v>1</v>
      </c>
      <c r="J157">
        <f t="shared" si="29"/>
        <v>0.47295538103689611</v>
      </c>
      <c r="K157">
        <f t="shared" si="30"/>
        <v>-0.87206515177521737</v>
      </c>
      <c r="L157">
        <v>1</v>
      </c>
      <c r="M157">
        <f t="shared" si="31"/>
        <v>0.51414615109546369</v>
      </c>
      <c r="N157">
        <f t="shared" si="37"/>
        <v>0.13319257173999999</v>
      </c>
      <c r="O157">
        <f t="shared" si="38"/>
        <v>2.8644426572999995E-2</v>
      </c>
      <c r="P157">
        <f t="shared" si="39"/>
        <v>0.19608200236675372</v>
      </c>
    </row>
    <row r="158" spans="1:16" x14ac:dyDescent="0.3">
      <c r="A158">
        <v>8.074058599999999</v>
      </c>
      <c r="B158">
        <v>0.34731000000000001</v>
      </c>
      <c r="C158">
        <f t="shared" si="25"/>
        <v>2.8042012923659998</v>
      </c>
      <c r="D158">
        <v>1.66E-2</v>
      </c>
      <c r="E158">
        <v>3.5699999999999998E-3</v>
      </c>
      <c r="F158">
        <f t="shared" si="26"/>
        <v>1614.8117199999997</v>
      </c>
      <c r="G158">
        <f t="shared" si="36"/>
        <v>-0.34731000000000001</v>
      </c>
      <c r="H158">
        <f t="shared" si="28"/>
        <v>-560.84025847319992</v>
      </c>
      <c r="I158">
        <v>1</v>
      </c>
      <c r="J158">
        <f t="shared" si="29"/>
        <v>0.47921836783506133</v>
      </c>
      <c r="K158">
        <f t="shared" si="30"/>
        <v>-0.87441515177521745</v>
      </c>
      <c r="L158">
        <v>1</v>
      </c>
      <c r="M158">
        <f t="shared" si="31"/>
        <v>0.51440988546953448</v>
      </c>
      <c r="N158">
        <f t="shared" si="37"/>
        <v>0.13402937275999999</v>
      </c>
      <c r="O158">
        <f t="shared" si="38"/>
        <v>2.8824389201999995E-2</v>
      </c>
      <c r="P158">
        <f t="shared" si="39"/>
        <v>0.19715150434368298</v>
      </c>
    </row>
    <row r="159" spans="1:16" x14ac:dyDescent="0.3">
      <c r="A159">
        <v>8.1244672999999992</v>
      </c>
      <c r="B159">
        <v>0.34525</v>
      </c>
      <c r="C159">
        <f t="shared" si="25"/>
        <v>2.8049723353249996</v>
      </c>
      <c r="D159">
        <v>1.66E-2</v>
      </c>
      <c r="E159">
        <v>3.5699999999999998E-3</v>
      </c>
      <c r="F159">
        <f t="shared" si="26"/>
        <v>1624.8934599999998</v>
      </c>
      <c r="G159">
        <f t="shared" si="36"/>
        <v>-0.34525</v>
      </c>
      <c r="H159">
        <f t="shared" si="28"/>
        <v>-560.99446706499987</v>
      </c>
      <c r="I159">
        <v>1</v>
      </c>
      <c r="J159">
        <f t="shared" si="29"/>
        <v>0.48544225055542511</v>
      </c>
      <c r="K159">
        <f t="shared" si="30"/>
        <v>-0.8764751517752174</v>
      </c>
      <c r="L159">
        <v>1</v>
      </c>
      <c r="M159">
        <f t="shared" si="31"/>
        <v>0.51467197317088897</v>
      </c>
      <c r="N159">
        <f t="shared" si="37"/>
        <v>0.13486615718</v>
      </c>
      <c r="O159">
        <f t="shared" si="38"/>
        <v>2.9004348260999995E-2</v>
      </c>
      <c r="P159">
        <f t="shared" si="39"/>
        <v>0.19793267316332844</v>
      </c>
    </row>
    <row r="160" spans="1:16" x14ac:dyDescent="0.3">
      <c r="A160">
        <v>8.1753862000000002</v>
      </c>
      <c r="B160">
        <v>0.34305000000000002</v>
      </c>
      <c r="C160">
        <f t="shared" si="25"/>
        <v>2.8045662359100003</v>
      </c>
      <c r="D160">
        <v>1.66E-2</v>
      </c>
      <c r="E160">
        <v>3.5699999999999998E-3</v>
      </c>
      <c r="F160">
        <f t="shared" si="26"/>
        <v>1635.0772400000001</v>
      </c>
      <c r="G160">
        <f t="shared" si="36"/>
        <v>-0.34305000000000002</v>
      </c>
      <c r="H160">
        <f t="shared" si="28"/>
        <v>-560.91324718200008</v>
      </c>
      <c r="I160">
        <v>1</v>
      </c>
      <c r="J160">
        <f t="shared" si="29"/>
        <v>0.49169004482358197</v>
      </c>
      <c r="K160">
        <f t="shared" si="30"/>
        <v>-0.87867515177521738</v>
      </c>
      <c r="L160">
        <v>1</v>
      </c>
      <c r="M160">
        <f t="shared" si="31"/>
        <v>0.51493506778752107</v>
      </c>
      <c r="N160">
        <f t="shared" si="37"/>
        <v>0.13571141092</v>
      </c>
      <c r="O160">
        <f t="shared" si="38"/>
        <v>2.9186128733999998E-2</v>
      </c>
      <c r="P160">
        <f t="shared" si="39"/>
        <v>0.1988425443336963</v>
      </c>
    </row>
    <row r="161" spans="1:16" x14ac:dyDescent="0.3">
      <c r="A161">
        <v>8.2263047</v>
      </c>
      <c r="B161">
        <v>0.34087000000000001</v>
      </c>
      <c r="C161">
        <f t="shared" si="25"/>
        <v>2.804100483089</v>
      </c>
      <c r="D161">
        <v>1.66E-2</v>
      </c>
      <c r="E161">
        <v>3.5699999999999998E-3</v>
      </c>
      <c r="F161">
        <f t="shared" si="26"/>
        <v>1645.2609400000001</v>
      </c>
      <c r="G161">
        <f t="shared" si="36"/>
        <v>-0.34087000000000001</v>
      </c>
      <c r="H161">
        <f t="shared" si="28"/>
        <v>-560.8200966178</v>
      </c>
      <c r="I161">
        <v>1</v>
      </c>
      <c r="J161">
        <f t="shared" si="29"/>
        <v>0.49789899777735719</v>
      </c>
      <c r="K161">
        <f t="shared" si="30"/>
        <v>-0.88085515177521745</v>
      </c>
      <c r="L161">
        <v>1</v>
      </c>
      <c r="M161">
        <f t="shared" si="31"/>
        <v>0.51519652679640449</v>
      </c>
      <c r="N161">
        <f t="shared" si="37"/>
        <v>0.13655665802</v>
      </c>
      <c r="O161">
        <f t="shared" si="38"/>
        <v>2.9367907778999999E-2</v>
      </c>
      <c r="P161">
        <f t="shared" si="39"/>
        <v>0.19973405917981296</v>
      </c>
    </row>
    <row r="162" spans="1:16" x14ac:dyDescent="0.3">
      <c r="A162">
        <v>8.2772226999999994</v>
      </c>
      <c r="B162">
        <v>0.33864</v>
      </c>
      <c r="C162">
        <f t="shared" si="25"/>
        <v>2.8029986951279997</v>
      </c>
      <c r="D162">
        <v>1.66E-2</v>
      </c>
      <c r="E162">
        <v>3.5699999999999998E-3</v>
      </c>
      <c r="F162">
        <f t="shared" si="26"/>
        <v>1655.44454</v>
      </c>
      <c r="G162">
        <f t="shared" si="36"/>
        <v>-0.33864</v>
      </c>
      <c r="H162">
        <f t="shared" si="28"/>
        <v>-560.59973902559989</v>
      </c>
      <c r="I162">
        <v>1</v>
      </c>
      <c r="J162">
        <f t="shared" si="29"/>
        <v>0.50406957699097588</v>
      </c>
      <c r="K162">
        <f t="shared" si="30"/>
        <v>-0.8830851517752174</v>
      </c>
      <c r="L162">
        <v>1</v>
      </c>
      <c r="M162">
        <f t="shared" si="31"/>
        <v>0.51545636988708998</v>
      </c>
      <c r="N162">
        <f t="shared" si="37"/>
        <v>0.13740189681999998</v>
      </c>
      <c r="O162">
        <f t="shared" si="38"/>
        <v>2.9549685038999997E-2</v>
      </c>
      <c r="P162">
        <f t="shared" si="39"/>
        <v>0.20067720002912745</v>
      </c>
    </row>
    <row r="163" spans="1:16" x14ac:dyDescent="0.3">
      <c r="A163">
        <v>8.3281416000000004</v>
      </c>
      <c r="B163">
        <v>0.33656000000000003</v>
      </c>
      <c r="C163">
        <f t="shared" si="25"/>
        <v>2.8029193368960001</v>
      </c>
      <c r="D163">
        <v>1.66E-2</v>
      </c>
      <c r="E163">
        <v>3.5699999999999998E-3</v>
      </c>
      <c r="F163">
        <f t="shared" si="26"/>
        <v>1665.62832</v>
      </c>
      <c r="G163">
        <f t="shared" si="36"/>
        <v>-0.33656000000000003</v>
      </c>
      <c r="H163">
        <f t="shared" si="28"/>
        <v>-560.5838673792</v>
      </c>
      <c r="I163">
        <v>1</v>
      </c>
      <c r="J163">
        <f t="shared" si="29"/>
        <v>0.51020242161586438</v>
      </c>
      <c r="K163">
        <f t="shared" si="30"/>
        <v>-0.88516515177521748</v>
      </c>
      <c r="L163">
        <v>1</v>
      </c>
      <c r="M163">
        <f t="shared" si="31"/>
        <v>0.51571462397424406</v>
      </c>
      <c r="N163">
        <f t="shared" si="37"/>
        <v>0.13824715056</v>
      </c>
      <c r="O163">
        <f t="shared" si="38"/>
        <v>2.9731465512E-2</v>
      </c>
      <c r="P163">
        <f t="shared" si="39"/>
        <v>0.20147191172897341</v>
      </c>
    </row>
    <row r="164" spans="1:16" x14ac:dyDescent="0.3">
      <c r="A164">
        <v>8.3805879000000001</v>
      </c>
      <c r="B164">
        <v>0.33417000000000002</v>
      </c>
      <c r="C164">
        <f t="shared" si="25"/>
        <v>2.8005410585430002</v>
      </c>
      <c r="D164">
        <v>1.66E-2</v>
      </c>
      <c r="E164">
        <v>3.5699999999999998E-3</v>
      </c>
      <c r="F164">
        <f t="shared" si="26"/>
        <v>1676.1175800000001</v>
      </c>
      <c r="G164">
        <f t="shared" si="36"/>
        <v>-0.33417000000000002</v>
      </c>
      <c r="H164">
        <f t="shared" si="28"/>
        <v>-560.10821170860004</v>
      </c>
      <c r="I164">
        <v>1</v>
      </c>
      <c r="J164">
        <f t="shared" si="29"/>
        <v>0.5164801547304001</v>
      </c>
      <c r="K164">
        <f t="shared" si="30"/>
        <v>-0.88755515177521738</v>
      </c>
      <c r="L164">
        <v>1</v>
      </c>
      <c r="M164">
        <f t="shared" si="31"/>
        <v>0.51597897931569714</v>
      </c>
      <c r="N164">
        <f t="shared" si="37"/>
        <v>0.13911775913999999</v>
      </c>
      <c r="O164">
        <f t="shared" si="38"/>
        <v>2.9918698803E-2</v>
      </c>
      <c r="P164">
        <f t="shared" si="39"/>
        <v>0.20253971451652025</v>
      </c>
    </row>
    <row r="165" spans="1:16" x14ac:dyDescent="0.3">
      <c r="A165">
        <v>8.4365977000000001</v>
      </c>
      <c r="B165">
        <v>0.33200000000000002</v>
      </c>
      <c r="C165">
        <f t="shared" si="25"/>
        <v>2.8009504364</v>
      </c>
      <c r="D165">
        <v>1.66E-2</v>
      </c>
      <c r="E165">
        <v>3.5699999999999998E-3</v>
      </c>
      <c r="F165">
        <f t="shared" si="26"/>
        <v>1687.31954</v>
      </c>
      <c r="G165">
        <f t="shared" si="36"/>
        <v>-0.33200000000000002</v>
      </c>
      <c r="H165">
        <f t="shared" si="28"/>
        <v>-560.19008727999994</v>
      </c>
      <c r="I165">
        <v>1</v>
      </c>
      <c r="J165">
        <f t="shared" si="29"/>
        <v>0.52314119878687837</v>
      </c>
      <c r="K165">
        <f t="shared" si="30"/>
        <v>-0.88972515177521738</v>
      </c>
      <c r="L165">
        <v>1</v>
      </c>
      <c r="M165">
        <f t="shared" si="31"/>
        <v>0.51625947588091547</v>
      </c>
      <c r="N165">
        <f t="shared" si="37"/>
        <v>0.14004752181999999</v>
      </c>
      <c r="O165">
        <f t="shared" si="38"/>
        <v>3.0118653788999999E-2</v>
      </c>
      <c r="P165">
        <f t="shared" si="39"/>
        <v>0.20329950028530192</v>
      </c>
    </row>
    <row r="166" spans="1:16" x14ac:dyDescent="0.3">
      <c r="A166">
        <v>8.4870067999999996</v>
      </c>
      <c r="B166">
        <v>0.32973999999999998</v>
      </c>
      <c r="C166">
        <f t="shared" si="25"/>
        <v>2.7985056222319997</v>
      </c>
      <c r="D166">
        <v>1.66E-2</v>
      </c>
      <c r="E166">
        <v>3.5699999999999998E-3</v>
      </c>
      <c r="F166">
        <f t="shared" si="26"/>
        <v>1697.4013599999998</v>
      </c>
      <c r="G166">
        <f t="shared" si="36"/>
        <v>-0.32973999999999998</v>
      </c>
      <c r="H166">
        <f t="shared" si="28"/>
        <v>-559.70112444639994</v>
      </c>
      <c r="I166">
        <v>1</v>
      </c>
      <c r="J166">
        <f t="shared" si="29"/>
        <v>0.52909846977852193</v>
      </c>
      <c r="K166">
        <f t="shared" si="30"/>
        <v>-0.89198515177521753</v>
      </c>
      <c r="L166">
        <v>1</v>
      </c>
      <c r="M166">
        <f t="shared" si="31"/>
        <v>0.51651033656237355</v>
      </c>
      <c r="N166">
        <f t="shared" si="37"/>
        <v>0.14088431288</v>
      </c>
      <c r="O166">
        <f t="shared" si="38"/>
        <v>3.0298614275999999E-2</v>
      </c>
      <c r="P166">
        <f t="shared" si="39"/>
        <v>0.20429188805684398</v>
      </c>
    </row>
    <row r="167" spans="1:16" x14ac:dyDescent="0.3">
      <c r="A167">
        <v>8.5430175999999989</v>
      </c>
      <c r="B167">
        <v>0.32726</v>
      </c>
      <c r="C167">
        <f t="shared" si="25"/>
        <v>2.7957879397759995</v>
      </c>
      <c r="D167">
        <v>1.66E-2</v>
      </c>
      <c r="E167">
        <v>3.5699999999999998E-3</v>
      </c>
      <c r="F167">
        <f t="shared" si="26"/>
        <v>1708.6035199999997</v>
      </c>
      <c r="G167">
        <f t="shared" si="36"/>
        <v>-0.32726</v>
      </c>
      <c r="H167">
        <f t="shared" si="28"/>
        <v>-559.15758795519992</v>
      </c>
      <c r="I167">
        <v>1</v>
      </c>
      <c r="J167">
        <f t="shared" si="29"/>
        <v>0.53567638189947675</v>
      </c>
      <c r="K167">
        <f t="shared" si="30"/>
        <v>-0.89446515177521746</v>
      </c>
      <c r="L167">
        <v>1</v>
      </c>
      <c r="M167">
        <f t="shared" si="31"/>
        <v>0.51678733244178698</v>
      </c>
      <c r="N167">
        <f t="shared" si="37"/>
        <v>0.14181409215999999</v>
      </c>
      <c r="O167">
        <f t="shared" si="38"/>
        <v>3.0498572831999995E-2</v>
      </c>
      <c r="P167">
        <f t="shared" si="39"/>
        <v>0.20536515434143049</v>
      </c>
    </row>
    <row r="168" spans="1:16" x14ac:dyDescent="0.3">
      <c r="A168">
        <v>8.5944453000000003</v>
      </c>
      <c r="B168">
        <v>0.32490999999999998</v>
      </c>
      <c r="C168">
        <f t="shared" si="25"/>
        <v>2.7924212224230001</v>
      </c>
      <c r="D168">
        <v>1.66E-2</v>
      </c>
      <c r="E168">
        <v>3.5699999999999998E-3</v>
      </c>
      <c r="F168">
        <f t="shared" si="26"/>
        <v>1718.88906</v>
      </c>
      <c r="G168">
        <f t="shared" si="36"/>
        <v>-0.32490999999999998</v>
      </c>
      <c r="H168">
        <f t="shared" si="28"/>
        <v>-558.48424448460003</v>
      </c>
      <c r="I168">
        <v>1</v>
      </c>
      <c r="J168">
        <f t="shared" si="29"/>
        <v>0.54167818679626167</v>
      </c>
      <c r="K168">
        <f t="shared" si="30"/>
        <v>-0.89681515177521742</v>
      </c>
      <c r="L168">
        <v>1</v>
      </c>
      <c r="M168">
        <f t="shared" si="31"/>
        <v>0.5170400684459906</v>
      </c>
      <c r="N168">
        <f t="shared" si="37"/>
        <v>0.14266779198000001</v>
      </c>
      <c r="O168">
        <f t="shared" si="38"/>
        <v>3.0682169720999998E-2</v>
      </c>
      <c r="P168">
        <f t="shared" si="39"/>
        <v>0.20642512162822682</v>
      </c>
    </row>
    <row r="169" spans="1:16" x14ac:dyDescent="0.3">
      <c r="A169">
        <v>8.6448535</v>
      </c>
      <c r="B169">
        <v>0.32272000000000001</v>
      </c>
      <c r="C169">
        <f t="shared" si="25"/>
        <v>2.7898671215199999</v>
      </c>
      <c r="D169">
        <v>1.66E-2</v>
      </c>
      <c r="E169">
        <v>3.5699999999999998E-3</v>
      </c>
      <c r="F169">
        <f t="shared" si="26"/>
        <v>1728.9707000000001</v>
      </c>
      <c r="G169">
        <f t="shared" si="36"/>
        <v>-0.32272000000000001</v>
      </c>
      <c r="H169">
        <f t="shared" si="28"/>
        <v>-557.97342430399999</v>
      </c>
      <c r="I169">
        <v>1</v>
      </c>
      <c r="J169">
        <f t="shared" si="29"/>
        <v>0.54752626034588181</v>
      </c>
      <c r="K169">
        <f t="shared" si="30"/>
        <v>-0.89900515177521745</v>
      </c>
      <c r="L169">
        <v>1</v>
      </c>
      <c r="M169">
        <f t="shared" si="31"/>
        <v>0.51728633082316511</v>
      </c>
      <c r="N169">
        <f t="shared" si="37"/>
        <v>0.14350456810000001</v>
      </c>
      <c r="O169">
        <f t="shared" si="38"/>
        <v>3.0862126994999999E-2</v>
      </c>
      <c r="P169">
        <f t="shared" si="39"/>
        <v>0.20735212585705234</v>
      </c>
    </row>
    <row r="170" spans="1:16" x14ac:dyDescent="0.3">
      <c r="A170">
        <v>8.6962813000000008</v>
      </c>
      <c r="B170">
        <v>0.32057999999999998</v>
      </c>
      <c r="C170">
        <f t="shared" si="25"/>
        <v>2.7878538591540001</v>
      </c>
      <c r="D170">
        <v>1.66E-2</v>
      </c>
      <c r="E170">
        <v>3.5699999999999998E-3</v>
      </c>
      <c r="F170">
        <f t="shared" si="26"/>
        <v>1739.2562600000001</v>
      </c>
      <c r="G170">
        <f t="shared" si="36"/>
        <v>-0.32057999999999998</v>
      </c>
      <c r="H170">
        <f t="shared" si="28"/>
        <v>-557.57077183080003</v>
      </c>
      <c r="I170">
        <v>1</v>
      </c>
      <c r="J170">
        <f t="shared" si="29"/>
        <v>0.55345758506768783</v>
      </c>
      <c r="K170">
        <f t="shared" si="30"/>
        <v>-0.90114515177521748</v>
      </c>
      <c r="L170">
        <v>1</v>
      </c>
      <c r="M170">
        <f t="shared" si="31"/>
        <v>0.51753609890720031</v>
      </c>
      <c r="N170">
        <f t="shared" si="37"/>
        <v>0.14435826958</v>
      </c>
      <c r="O170">
        <f t="shared" si="38"/>
        <v>3.1045724241000001E-2</v>
      </c>
      <c r="P170">
        <f t="shared" si="39"/>
        <v>0.20820505904701717</v>
      </c>
    </row>
    <row r="171" spans="1:16" x14ac:dyDescent="0.3">
      <c r="A171">
        <v>8.748217799999999</v>
      </c>
      <c r="B171">
        <v>0.31803999999999999</v>
      </c>
      <c r="C171">
        <f t="shared" si="25"/>
        <v>2.7822831891119995</v>
      </c>
      <c r="D171">
        <v>1.66E-2</v>
      </c>
      <c r="E171">
        <v>3.5699999999999998E-3</v>
      </c>
      <c r="F171">
        <f t="shared" si="26"/>
        <v>1749.6435599999998</v>
      </c>
      <c r="G171">
        <f t="shared" si="36"/>
        <v>-0.31803999999999999</v>
      </c>
      <c r="H171">
        <f t="shared" si="28"/>
        <v>-556.4566378223999</v>
      </c>
      <c r="I171">
        <v>1</v>
      </c>
      <c r="J171">
        <f t="shared" si="29"/>
        <v>0.55941208718983437</v>
      </c>
      <c r="K171">
        <f t="shared" si="30"/>
        <v>-0.90368515177521747</v>
      </c>
      <c r="L171">
        <v>1</v>
      </c>
      <c r="M171">
        <f t="shared" si="31"/>
        <v>0.51778684299156397</v>
      </c>
      <c r="N171">
        <f t="shared" si="37"/>
        <v>0.14522041547999998</v>
      </c>
      <c r="O171">
        <f t="shared" si="38"/>
        <v>3.1231137545999994E-2</v>
      </c>
      <c r="P171">
        <f t="shared" si="39"/>
        <v>0.20944675575765354</v>
      </c>
    </row>
    <row r="172" spans="1:16" x14ac:dyDescent="0.3">
      <c r="A172">
        <v>8.7996455000000005</v>
      </c>
      <c r="B172">
        <v>0.31584000000000001</v>
      </c>
      <c r="C172">
        <f t="shared" si="25"/>
        <v>2.7792800347200002</v>
      </c>
      <c r="D172">
        <v>1.66E-2</v>
      </c>
      <c r="E172">
        <v>3.5699999999999998E-3</v>
      </c>
      <c r="F172">
        <f t="shared" si="26"/>
        <v>1759.9291000000001</v>
      </c>
      <c r="G172">
        <f t="shared" si="36"/>
        <v>-0.31584000000000001</v>
      </c>
      <c r="H172">
        <f t="shared" si="28"/>
        <v>-555.856006944</v>
      </c>
      <c r="I172">
        <v>1</v>
      </c>
      <c r="J172">
        <f t="shared" si="29"/>
        <v>0.56527352414772558</v>
      </c>
      <c r="K172">
        <f t="shared" si="30"/>
        <v>-0.90588515177521745</v>
      </c>
      <c r="L172">
        <v>1</v>
      </c>
      <c r="M172">
        <f t="shared" si="31"/>
        <v>0.51803366810186069</v>
      </c>
      <c r="N172">
        <f t="shared" si="37"/>
        <v>0.1460741153</v>
      </c>
      <c r="O172">
        <f t="shared" si="38"/>
        <v>3.1414734435000001E-2</v>
      </c>
      <c r="P172">
        <f t="shared" si="39"/>
        <v>0.21036263393835675</v>
      </c>
    </row>
    <row r="173" spans="1:16" x14ac:dyDescent="0.3">
      <c r="A173">
        <v>8.8515820000000005</v>
      </c>
      <c r="B173">
        <v>0.31340000000000001</v>
      </c>
      <c r="C173">
        <f t="shared" si="25"/>
        <v>2.7740857988000003</v>
      </c>
      <c r="D173">
        <v>1.66E-2</v>
      </c>
      <c r="E173">
        <v>3.5699999999999998E-3</v>
      </c>
      <c r="F173">
        <f t="shared" si="26"/>
        <v>1770.3164000000002</v>
      </c>
      <c r="G173">
        <f t="shared" si="36"/>
        <v>-0.31340000000000001</v>
      </c>
      <c r="H173">
        <f t="shared" si="28"/>
        <v>-554.8171597600001</v>
      </c>
      <c r="I173">
        <v>1</v>
      </c>
      <c r="J173">
        <f t="shared" si="29"/>
        <v>0.5711582876727449</v>
      </c>
      <c r="K173">
        <f t="shared" si="30"/>
        <v>-0.90832515177521744</v>
      </c>
      <c r="L173">
        <v>1</v>
      </c>
      <c r="M173">
        <f t="shared" si="31"/>
        <v>0.51828147549389925</v>
      </c>
      <c r="N173">
        <f t="shared" si="37"/>
        <v>0.1469362612</v>
      </c>
      <c r="O173">
        <f t="shared" si="38"/>
        <v>3.1600147740000001E-2</v>
      </c>
      <c r="P173">
        <f t="shared" si="39"/>
        <v>0.21150726734131819</v>
      </c>
    </row>
    <row r="174" spans="1:16" x14ac:dyDescent="0.3">
      <c r="A174">
        <v>8.9065741999999997</v>
      </c>
      <c r="B174">
        <v>0.31136999999999998</v>
      </c>
      <c r="C174">
        <f t="shared" si="25"/>
        <v>2.7732400086539997</v>
      </c>
      <c r="D174">
        <v>1.66E-2</v>
      </c>
      <c r="E174">
        <v>3.5699999999999998E-3</v>
      </c>
      <c r="F174">
        <f t="shared" si="26"/>
        <v>1781.31484</v>
      </c>
      <c r="G174">
        <f t="shared" si="36"/>
        <v>-0.31136999999999998</v>
      </c>
      <c r="H174">
        <f t="shared" si="28"/>
        <v>-554.64800173079993</v>
      </c>
      <c r="I174">
        <v>1</v>
      </c>
      <c r="J174">
        <f t="shared" si="29"/>
        <v>0.57735176577581737</v>
      </c>
      <c r="K174">
        <f t="shared" si="30"/>
        <v>-0.91035515177521753</v>
      </c>
      <c r="L174">
        <v>1</v>
      </c>
      <c r="M174">
        <f t="shared" si="31"/>
        <v>0.51854228285681969</v>
      </c>
      <c r="N174">
        <f t="shared" si="37"/>
        <v>0.14784913172</v>
      </c>
      <c r="O174">
        <f t="shared" si="38"/>
        <v>3.1796469894E-2</v>
      </c>
      <c r="P174">
        <f t="shared" si="39"/>
        <v>0.21216726730439783</v>
      </c>
    </row>
    <row r="175" spans="1:16" x14ac:dyDescent="0.3">
      <c r="A175">
        <v>8.9610565999999992</v>
      </c>
      <c r="B175">
        <v>0.30874000000000001</v>
      </c>
      <c r="C175">
        <f t="shared" si="25"/>
        <v>2.7666366146839998</v>
      </c>
      <c r="D175">
        <v>1.66E-2</v>
      </c>
      <c r="E175">
        <v>3.5699999999999998E-3</v>
      </c>
      <c r="F175">
        <f t="shared" si="26"/>
        <v>1792.2113199999999</v>
      </c>
      <c r="G175">
        <f t="shared" si="36"/>
        <v>-0.30874000000000001</v>
      </c>
      <c r="H175">
        <f t="shared" si="28"/>
        <v>-553.32732293679999</v>
      </c>
      <c r="I175">
        <v>1</v>
      </c>
      <c r="J175">
        <f t="shared" si="29"/>
        <v>0.58345023170738053</v>
      </c>
      <c r="K175">
        <f t="shared" si="30"/>
        <v>-0.91298515177521744</v>
      </c>
      <c r="L175">
        <v>1</v>
      </c>
      <c r="M175">
        <f t="shared" si="31"/>
        <v>0.51879908925719775</v>
      </c>
      <c r="N175">
        <f t="shared" si="37"/>
        <v>0.14875353955999998</v>
      </c>
      <c r="O175">
        <f t="shared" si="38"/>
        <v>3.1990972061999995E-2</v>
      </c>
      <c r="P175">
        <f t="shared" si="39"/>
        <v>0.21344155089601971</v>
      </c>
    </row>
    <row r="176" spans="1:16" x14ac:dyDescent="0.3">
      <c r="A176">
        <v>9.0114657999999999</v>
      </c>
      <c r="B176">
        <v>0.30647000000000002</v>
      </c>
      <c r="C176">
        <f t="shared" si="25"/>
        <v>2.7617439237260002</v>
      </c>
      <c r="D176">
        <v>1.66E-2</v>
      </c>
      <c r="E176">
        <v>3.5699999999999998E-3</v>
      </c>
      <c r="F176">
        <f t="shared" si="26"/>
        <v>1802.2931599999999</v>
      </c>
      <c r="G176">
        <f t="shared" si="36"/>
        <v>-0.30647000000000002</v>
      </c>
      <c r="H176">
        <f t="shared" si="28"/>
        <v>-552.34878474520008</v>
      </c>
      <c r="I176">
        <v>1</v>
      </c>
      <c r="J176">
        <f t="shared" si="29"/>
        <v>0.58905983185877986</v>
      </c>
      <c r="K176">
        <f t="shared" si="30"/>
        <v>-0.91525515177521743</v>
      </c>
      <c r="L176">
        <v>1</v>
      </c>
      <c r="M176">
        <f t="shared" si="31"/>
        <v>0.51903530951957322</v>
      </c>
      <c r="N176">
        <f t="shared" si="37"/>
        <v>0.14959033227999999</v>
      </c>
      <c r="O176">
        <f t="shared" si="38"/>
        <v>3.2170932905999997E-2</v>
      </c>
      <c r="P176">
        <f t="shared" si="39"/>
        <v>0.21445857706964422</v>
      </c>
    </row>
    <row r="177" spans="1:16" x14ac:dyDescent="0.3">
      <c r="A177">
        <v>9.0623837999999992</v>
      </c>
      <c r="B177">
        <v>0.30421999999999999</v>
      </c>
      <c r="C177">
        <f t="shared" si="25"/>
        <v>2.7569583996359999</v>
      </c>
      <c r="D177">
        <v>1.66E-2</v>
      </c>
      <c r="E177">
        <v>3.5699999999999998E-3</v>
      </c>
      <c r="F177">
        <f t="shared" si="26"/>
        <v>1812.4767599999998</v>
      </c>
      <c r="G177">
        <f t="shared" si="36"/>
        <v>-0.30421999999999999</v>
      </c>
      <c r="H177">
        <f t="shared" si="28"/>
        <v>-551.39167992720002</v>
      </c>
      <c r="I177">
        <v>1</v>
      </c>
      <c r="J177">
        <f t="shared" si="29"/>
        <v>0.59469428559552373</v>
      </c>
      <c r="K177">
        <f t="shared" si="30"/>
        <v>-0.91750515177521752</v>
      </c>
      <c r="L177">
        <v>1</v>
      </c>
      <c r="M177">
        <f t="shared" si="31"/>
        <v>0.51927257636642754</v>
      </c>
      <c r="N177">
        <f t="shared" si="37"/>
        <v>0.15043557108</v>
      </c>
      <c r="O177">
        <f t="shared" si="38"/>
        <v>3.2352710165999998E-2</v>
      </c>
      <c r="P177">
        <f t="shared" si="39"/>
        <v>0.21544429416278998</v>
      </c>
    </row>
    <row r="178" spans="1:16" x14ac:dyDescent="0.3">
      <c r="A178">
        <v>9.115339800000001</v>
      </c>
      <c r="B178">
        <v>0.30208000000000002</v>
      </c>
      <c r="C178">
        <f t="shared" si="25"/>
        <v>2.7535618467840006</v>
      </c>
      <c r="D178">
        <v>1.66E-2</v>
      </c>
      <c r="E178">
        <v>3.5699999999999998E-3</v>
      </c>
      <c r="F178">
        <f t="shared" si="26"/>
        <v>1823.0679600000003</v>
      </c>
      <c r="G178">
        <f t="shared" si="36"/>
        <v>-0.30208000000000002</v>
      </c>
      <c r="H178">
        <f t="shared" si="28"/>
        <v>-550.71236935680008</v>
      </c>
      <c r="I178">
        <v>1</v>
      </c>
      <c r="J178">
        <f t="shared" si="29"/>
        <v>0.60052077421176697</v>
      </c>
      <c r="K178">
        <f t="shared" si="30"/>
        <v>-0.91964515177521744</v>
      </c>
      <c r="L178">
        <v>1</v>
      </c>
      <c r="M178">
        <f t="shared" si="31"/>
        <v>0.51951792980205747</v>
      </c>
      <c r="N178">
        <f t="shared" si="37"/>
        <v>0.15131464068000003</v>
      </c>
      <c r="O178">
        <f t="shared" si="38"/>
        <v>3.2541763086E-2</v>
      </c>
      <c r="P178">
        <f t="shared" si="39"/>
        <v>0.21627081820715993</v>
      </c>
    </row>
    <row r="179" spans="1:16" x14ac:dyDescent="0.3">
      <c r="A179">
        <v>9.1693125000000002</v>
      </c>
      <c r="B179">
        <v>0.29958000000000001</v>
      </c>
      <c r="C179">
        <f t="shared" si="25"/>
        <v>2.7469426387500002</v>
      </c>
      <c r="D179">
        <v>1.66E-2</v>
      </c>
      <c r="E179">
        <v>3.5699999999999998E-3</v>
      </c>
      <c r="F179">
        <f t="shared" si="26"/>
        <v>1833.8625</v>
      </c>
      <c r="G179">
        <f t="shared" si="36"/>
        <v>-0.29958000000000001</v>
      </c>
      <c r="H179">
        <f t="shared" si="28"/>
        <v>-549.38852775000009</v>
      </c>
      <c r="I179">
        <v>1</v>
      </c>
      <c r="J179">
        <f t="shared" si="29"/>
        <v>0.60642439828649042</v>
      </c>
      <c r="K179">
        <f t="shared" si="30"/>
        <v>-0.9221451517752175</v>
      </c>
      <c r="L179">
        <v>1</v>
      </c>
      <c r="M179">
        <f t="shared" si="31"/>
        <v>0.51976653141184415</v>
      </c>
      <c r="N179">
        <f t="shared" si="37"/>
        <v>0.15221058749999999</v>
      </c>
      <c r="O179">
        <f t="shared" si="38"/>
        <v>3.2734445624999997E-2</v>
      </c>
      <c r="P179">
        <f t="shared" si="39"/>
        <v>0.21743358723837336</v>
      </c>
    </row>
    <row r="180" spans="1:16" x14ac:dyDescent="0.3">
      <c r="A180">
        <v>9.2197217000000009</v>
      </c>
      <c r="B180">
        <v>0.29719000000000001</v>
      </c>
      <c r="C180">
        <f t="shared" si="25"/>
        <v>2.7400090920230005</v>
      </c>
      <c r="D180">
        <v>1.66E-2</v>
      </c>
      <c r="E180">
        <v>3.5699999999999998E-3</v>
      </c>
      <c r="F180">
        <f t="shared" si="26"/>
        <v>1843.9443400000002</v>
      </c>
      <c r="G180">
        <f t="shared" si="36"/>
        <v>-0.29719000000000001</v>
      </c>
      <c r="H180">
        <f t="shared" si="28"/>
        <v>-548.00181840460004</v>
      </c>
      <c r="I180">
        <v>1</v>
      </c>
      <c r="J180">
        <f t="shared" si="29"/>
        <v>0.61190694029706583</v>
      </c>
      <c r="K180">
        <f t="shared" si="30"/>
        <v>-0.92453515177521739</v>
      </c>
      <c r="L180">
        <v>1</v>
      </c>
      <c r="M180">
        <f t="shared" si="31"/>
        <v>0.51999740125590943</v>
      </c>
      <c r="N180">
        <f t="shared" si="37"/>
        <v>0.15304738022000003</v>
      </c>
      <c r="O180">
        <f t="shared" si="38"/>
        <v>3.2914406468999999E-2</v>
      </c>
      <c r="P180">
        <f t="shared" si="39"/>
        <v>0.21857596383030792</v>
      </c>
    </row>
    <row r="181" spans="1:16" x14ac:dyDescent="0.3">
      <c r="A181">
        <v>9.2706395999999991</v>
      </c>
      <c r="B181">
        <v>0.29500999999999999</v>
      </c>
      <c r="C181">
        <f t="shared" si="25"/>
        <v>2.7349313883959998</v>
      </c>
      <c r="D181">
        <v>1.66E-2</v>
      </c>
      <c r="E181">
        <v>3.5699999999999998E-3</v>
      </c>
      <c r="F181">
        <f t="shared" si="26"/>
        <v>1854.1279199999999</v>
      </c>
      <c r="G181">
        <f t="shared" si="36"/>
        <v>-0.29500999999999999</v>
      </c>
      <c r="H181">
        <f t="shared" si="28"/>
        <v>-546.98627767919993</v>
      </c>
      <c r="I181">
        <v>1</v>
      </c>
      <c r="J181">
        <f t="shared" si="29"/>
        <v>0.6174144615272501</v>
      </c>
      <c r="K181">
        <f t="shared" si="30"/>
        <v>-0.92671515177521746</v>
      </c>
      <c r="L181">
        <v>1</v>
      </c>
      <c r="M181">
        <f t="shared" si="31"/>
        <v>0.52022932297491253</v>
      </c>
      <c r="N181">
        <f t="shared" si="37"/>
        <v>0.15389261735999998</v>
      </c>
      <c r="O181">
        <f t="shared" si="38"/>
        <v>3.3096183371999995E-2</v>
      </c>
      <c r="P181">
        <f t="shared" si="39"/>
        <v>0.21949702806830496</v>
      </c>
    </row>
    <row r="182" spans="1:16" x14ac:dyDescent="0.3">
      <c r="A182">
        <v>9.3215585999999995</v>
      </c>
      <c r="B182">
        <v>0.29270000000000002</v>
      </c>
      <c r="C182">
        <f t="shared" si="25"/>
        <v>2.7284202022200001</v>
      </c>
      <c r="D182">
        <v>1.66E-2</v>
      </c>
      <c r="E182">
        <v>3.5699999999999998E-3</v>
      </c>
      <c r="F182">
        <f t="shared" si="26"/>
        <v>1864.3117199999999</v>
      </c>
      <c r="G182">
        <f t="shared" si="36"/>
        <v>-0.29270000000000002</v>
      </c>
      <c r="H182">
        <f t="shared" si="28"/>
        <v>-545.68404044400006</v>
      </c>
      <c r="I182">
        <v>1</v>
      </c>
      <c r="J182">
        <f t="shared" si="29"/>
        <v>0.6228919340413841</v>
      </c>
      <c r="K182">
        <f t="shared" si="30"/>
        <v>-0.92902515177521749</v>
      </c>
      <c r="L182">
        <v>1</v>
      </c>
      <c r="M182">
        <f t="shared" si="31"/>
        <v>0.52045997934248267</v>
      </c>
      <c r="N182">
        <f t="shared" si="37"/>
        <v>0.15473787276000001</v>
      </c>
      <c r="O182">
        <f t="shared" si="38"/>
        <v>3.3277964201999993E-2</v>
      </c>
      <c r="P182">
        <f t="shared" si="39"/>
        <v>0.22054933547073483</v>
      </c>
    </row>
    <row r="183" spans="1:16" x14ac:dyDescent="0.3">
      <c r="A183">
        <v>9.3760410000000007</v>
      </c>
      <c r="B183">
        <v>0.29024</v>
      </c>
      <c r="C183">
        <f t="shared" si="25"/>
        <v>2.7213021398400001</v>
      </c>
      <c r="D183">
        <v>1.66E-2</v>
      </c>
      <c r="E183">
        <v>3.5699999999999998E-3</v>
      </c>
      <c r="F183">
        <f t="shared" si="26"/>
        <v>1875.2082</v>
      </c>
      <c r="G183">
        <f t="shared" si="36"/>
        <v>-0.29024</v>
      </c>
      <c r="H183">
        <f t="shared" si="28"/>
        <v>-544.26042796800004</v>
      </c>
      <c r="I183">
        <v>1</v>
      </c>
      <c r="J183">
        <f t="shared" si="29"/>
        <v>0.62871969325788968</v>
      </c>
      <c r="K183">
        <f t="shared" si="30"/>
        <v>-0.9314851517752174</v>
      </c>
      <c r="L183">
        <v>1</v>
      </c>
      <c r="M183">
        <f t="shared" si="31"/>
        <v>0.52070538628308971</v>
      </c>
      <c r="N183">
        <f t="shared" si="37"/>
        <v>0.15564228060000002</v>
      </c>
      <c r="O183">
        <f t="shared" si="38"/>
        <v>3.3472466370000002E-2</v>
      </c>
      <c r="P183">
        <f t="shared" si="39"/>
        <v>0.22166501852212767</v>
      </c>
    </row>
    <row r="184" spans="1:16" x14ac:dyDescent="0.3">
      <c r="A184">
        <v>9.4289961000000009</v>
      </c>
      <c r="B184">
        <v>0.28774</v>
      </c>
      <c r="C184">
        <f t="shared" si="25"/>
        <v>2.713099337814</v>
      </c>
      <c r="D184">
        <v>1.66E-2</v>
      </c>
      <c r="E184">
        <v>3.5699999999999998E-3</v>
      </c>
      <c r="F184">
        <f t="shared" si="26"/>
        <v>1885.7992200000001</v>
      </c>
      <c r="G184">
        <f t="shared" si="36"/>
        <v>-0.28774</v>
      </c>
      <c r="H184">
        <f t="shared" si="28"/>
        <v>-542.61986756279998</v>
      </c>
      <c r="I184">
        <v>1</v>
      </c>
      <c r="J184">
        <f t="shared" si="29"/>
        <v>0.63435172043179144</v>
      </c>
      <c r="K184">
        <f t="shared" si="30"/>
        <v>-0.93398515177521746</v>
      </c>
      <c r="L184">
        <v>1</v>
      </c>
      <c r="M184">
        <f t="shared" si="31"/>
        <v>0.52094255094738273</v>
      </c>
      <c r="N184">
        <f t="shared" si="37"/>
        <v>0.15652133526000001</v>
      </c>
      <c r="O184">
        <f t="shared" si="38"/>
        <v>3.3661516076999999E-2</v>
      </c>
      <c r="P184">
        <f t="shared" si="39"/>
        <v>0.22285974949083473</v>
      </c>
    </row>
    <row r="185" spans="1:16" x14ac:dyDescent="0.3">
      <c r="A185">
        <v>9.4799141000000002</v>
      </c>
      <c r="B185">
        <v>0.28555999999999998</v>
      </c>
      <c r="C185">
        <f t="shared" si="25"/>
        <v>2.7070842703959999</v>
      </c>
      <c r="D185">
        <v>1.66E-2</v>
      </c>
      <c r="E185">
        <v>3.5699999999999998E-3</v>
      </c>
      <c r="F185">
        <f t="shared" si="26"/>
        <v>1895.9828199999999</v>
      </c>
      <c r="G185">
        <f t="shared" si="36"/>
        <v>-0.28555999999999998</v>
      </c>
      <c r="H185">
        <f t="shared" si="28"/>
        <v>-541.41685407919999</v>
      </c>
      <c r="I185">
        <v>1</v>
      </c>
      <c r="J185">
        <f t="shared" si="29"/>
        <v>0.63973734261034265</v>
      </c>
      <c r="K185">
        <f t="shared" si="30"/>
        <v>-0.93616515177521742</v>
      </c>
      <c r="L185">
        <v>1</v>
      </c>
      <c r="M185">
        <f t="shared" si="31"/>
        <v>0.52116933949732158</v>
      </c>
      <c r="N185">
        <f t="shared" si="37"/>
        <v>0.15736657406000001</v>
      </c>
      <c r="O185">
        <f t="shared" si="38"/>
        <v>3.3843293337000001E-2</v>
      </c>
      <c r="P185">
        <f t="shared" si="39"/>
        <v>0.22378594488089584</v>
      </c>
    </row>
    <row r="186" spans="1:16" x14ac:dyDescent="0.3">
      <c r="A186">
        <v>9.5303231999999998</v>
      </c>
      <c r="B186">
        <v>0.28304000000000001</v>
      </c>
      <c r="C186">
        <f t="shared" si="25"/>
        <v>2.6974626785280003</v>
      </c>
      <c r="D186">
        <v>1.66E-2</v>
      </c>
      <c r="E186">
        <v>3.5699999999999998E-3</v>
      </c>
      <c r="F186">
        <f t="shared" si="26"/>
        <v>1906.0646400000001</v>
      </c>
      <c r="G186">
        <f t="shared" si="36"/>
        <v>-0.28304000000000001</v>
      </c>
      <c r="H186">
        <f t="shared" si="28"/>
        <v>-539.49253570560006</v>
      </c>
      <c r="I186">
        <v>1</v>
      </c>
      <c r="J186">
        <f t="shared" si="29"/>
        <v>0.64504071861287382</v>
      </c>
      <c r="K186">
        <f t="shared" si="30"/>
        <v>-0.9386851517752175</v>
      </c>
      <c r="L186">
        <v>1</v>
      </c>
      <c r="M186">
        <f t="shared" si="31"/>
        <v>0.52139266466078815</v>
      </c>
      <c r="N186">
        <f t="shared" si="37"/>
        <v>0.15820336511999999</v>
      </c>
      <c r="O186">
        <f t="shared" si="38"/>
        <v>3.4023253823999997E-2</v>
      </c>
      <c r="P186">
        <f t="shared" si="39"/>
        <v>0.22506586817042934</v>
      </c>
    </row>
    <row r="187" spans="1:16" x14ac:dyDescent="0.3">
      <c r="A187">
        <v>9.5848066000000003</v>
      </c>
      <c r="B187">
        <v>0.28083000000000002</v>
      </c>
      <c r="C187">
        <f t="shared" si="25"/>
        <v>2.6917012374780005</v>
      </c>
      <c r="D187">
        <v>1.66E-2</v>
      </c>
      <c r="E187">
        <v>3.5699999999999998E-3</v>
      </c>
      <c r="F187">
        <f t="shared" si="26"/>
        <v>1916.9613200000001</v>
      </c>
      <c r="G187">
        <f t="shared" si="36"/>
        <v>-0.28083000000000002</v>
      </c>
      <c r="H187">
        <f t="shared" si="28"/>
        <v>-538.34024749560012</v>
      </c>
      <c r="I187">
        <v>1</v>
      </c>
      <c r="J187">
        <f t="shared" si="29"/>
        <v>0.65074128649948282</v>
      </c>
      <c r="K187">
        <f t="shared" si="30"/>
        <v>-0.94089515177521743</v>
      </c>
      <c r="L187">
        <v>1</v>
      </c>
      <c r="M187">
        <f t="shared" si="31"/>
        <v>0.5216327155744932</v>
      </c>
      <c r="N187">
        <f t="shared" si="37"/>
        <v>0.15910778956000002</v>
      </c>
      <c r="O187">
        <f t="shared" si="38"/>
        <v>3.4217759562000002E-2</v>
      </c>
      <c r="P187">
        <f t="shared" si="39"/>
        <v>0.22593688707872417</v>
      </c>
    </row>
    <row r="188" spans="1:16" x14ac:dyDescent="0.3">
      <c r="A188">
        <v>9.6352148</v>
      </c>
      <c r="B188">
        <v>0.27811999999999998</v>
      </c>
      <c r="C188">
        <f t="shared" si="25"/>
        <v>2.6797459401759998</v>
      </c>
      <c r="D188">
        <v>1.66E-2</v>
      </c>
      <c r="E188">
        <v>3.5699999999999998E-3</v>
      </c>
      <c r="F188">
        <f t="shared" si="26"/>
        <v>1927.04296</v>
      </c>
      <c r="G188">
        <f t="shared" ref="G188:G211" si="40">-B188</f>
        <v>-0.27811999999999998</v>
      </c>
      <c r="H188">
        <f t="shared" si="28"/>
        <v>-535.9491880352</v>
      </c>
      <c r="I188">
        <v>1</v>
      </c>
      <c r="J188">
        <f t="shared" si="29"/>
        <v>0.65598668290453765</v>
      </c>
      <c r="K188">
        <f t="shared" ref="K188:K211" si="41">((-G188)-$N$2)</f>
        <v>-0.94360515177521753</v>
      </c>
      <c r="L188">
        <v>1</v>
      </c>
      <c r="M188">
        <f t="shared" si="31"/>
        <v>0.52185359921711005</v>
      </c>
      <c r="N188">
        <f t="shared" ref="N188:N211" si="42">D188*A188</f>
        <v>0.15994456568000001</v>
      </c>
      <c r="O188">
        <f t="shared" ref="O188:O211" si="43">E188*A188</f>
        <v>3.4397716836E-2</v>
      </c>
      <c r="P188">
        <f t="shared" ref="P188:P211" si="44">-K188-M188-N188-O188</f>
        <v>0.22740927004210743</v>
      </c>
    </row>
    <row r="189" spans="1:16" x14ac:dyDescent="0.3">
      <c r="A189">
        <v>9.687152300000001</v>
      </c>
      <c r="B189">
        <v>0.27585999999999999</v>
      </c>
      <c r="C189">
        <f t="shared" si="25"/>
        <v>2.6722978334780003</v>
      </c>
      <c r="D189">
        <v>1.66E-2</v>
      </c>
      <c r="E189">
        <v>3.5699999999999998E-3</v>
      </c>
      <c r="F189">
        <f t="shared" si="26"/>
        <v>1937.4304600000003</v>
      </c>
      <c r="G189">
        <f t="shared" si="40"/>
        <v>-0.27585999999999999</v>
      </c>
      <c r="H189">
        <f t="shared" si="28"/>
        <v>-534.45956669560007</v>
      </c>
      <c r="I189">
        <v>1</v>
      </c>
      <c r="J189">
        <f t="shared" si="29"/>
        <v>0.66136258998834263</v>
      </c>
      <c r="K189">
        <f t="shared" si="41"/>
        <v>-0.94586515177521746</v>
      </c>
      <c r="L189">
        <v>1</v>
      </c>
      <c r="M189">
        <f t="shared" si="31"/>
        <v>0.52207997866440914</v>
      </c>
      <c r="N189">
        <f t="shared" si="42"/>
        <v>0.16080672818000002</v>
      </c>
      <c r="O189">
        <f t="shared" si="43"/>
        <v>3.4583133711000004E-2</v>
      </c>
      <c r="P189">
        <f t="shared" si="44"/>
        <v>0.2283953112198083</v>
      </c>
    </row>
    <row r="190" spans="1:16" x14ac:dyDescent="0.3">
      <c r="A190">
        <v>9.7380703000000004</v>
      </c>
      <c r="B190">
        <v>0.27349000000000001</v>
      </c>
      <c r="C190">
        <f t="shared" si="25"/>
        <v>2.6632648463470003</v>
      </c>
      <c r="D190">
        <v>1.66E-2</v>
      </c>
      <c r="E190">
        <v>3.5699999999999998E-3</v>
      </c>
      <c r="F190">
        <f t="shared" si="26"/>
        <v>1947.6140600000001</v>
      </c>
      <c r="G190">
        <f t="shared" si="40"/>
        <v>-0.27349000000000001</v>
      </c>
      <c r="H190">
        <f t="shared" si="28"/>
        <v>-532.65296926940005</v>
      </c>
      <c r="I190">
        <v>1</v>
      </c>
      <c r="J190">
        <f t="shared" si="29"/>
        <v>0.66660506444185841</v>
      </c>
      <c r="K190">
        <f t="shared" si="41"/>
        <v>-0.94823515177521744</v>
      </c>
      <c r="L190">
        <v>1</v>
      </c>
      <c r="M190">
        <f t="shared" si="31"/>
        <v>0.52230073926364662</v>
      </c>
      <c r="N190">
        <f t="shared" si="42"/>
        <v>0.16165196698000001</v>
      </c>
      <c r="O190">
        <f t="shared" si="43"/>
        <v>3.4764910970999999E-2</v>
      </c>
      <c r="P190">
        <f t="shared" si="44"/>
        <v>0.22951753456057084</v>
      </c>
    </row>
    <row r="191" spans="1:16" x14ac:dyDescent="0.3">
      <c r="A191">
        <v>9.7910254000000005</v>
      </c>
      <c r="B191">
        <v>0.27122000000000002</v>
      </c>
      <c r="C191">
        <f t="shared" si="25"/>
        <v>2.6555219089880002</v>
      </c>
      <c r="D191">
        <v>1.66E-2</v>
      </c>
      <c r="E191">
        <v>3.5699999999999998E-3</v>
      </c>
      <c r="F191">
        <f t="shared" si="26"/>
        <v>1958.2050800000002</v>
      </c>
      <c r="G191">
        <f t="shared" si="40"/>
        <v>-0.27122000000000002</v>
      </c>
      <c r="H191">
        <f t="shared" si="28"/>
        <v>-531.10438179760001</v>
      </c>
      <c r="I191">
        <v>1</v>
      </c>
      <c r="J191">
        <f t="shared" si="29"/>
        <v>0.67202827815364985</v>
      </c>
      <c r="K191">
        <f t="shared" si="41"/>
        <v>-0.95050515177521744</v>
      </c>
      <c r="L191">
        <v>1</v>
      </c>
      <c r="M191">
        <f t="shared" si="31"/>
        <v>0.5225291107930502</v>
      </c>
      <c r="N191">
        <f t="shared" si="42"/>
        <v>0.16253102164000002</v>
      </c>
      <c r="O191">
        <f t="shared" si="43"/>
        <v>3.4953960678000003E-2</v>
      </c>
      <c r="P191">
        <f t="shared" si="44"/>
        <v>0.23049105866416725</v>
      </c>
    </row>
    <row r="192" spans="1:16" x14ac:dyDescent="0.3">
      <c r="A192">
        <v>9.8429628999999998</v>
      </c>
      <c r="B192">
        <v>0.26852999999999999</v>
      </c>
      <c r="C192">
        <f t="shared" si="25"/>
        <v>2.643130827537</v>
      </c>
      <c r="D192">
        <v>1.66E-2</v>
      </c>
      <c r="E192">
        <v>3.5699999999999998E-3</v>
      </c>
      <c r="F192">
        <f t="shared" si="26"/>
        <v>1968.59258</v>
      </c>
      <c r="G192">
        <f t="shared" si="40"/>
        <v>-0.26852999999999999</v>
      </c>
      <c r="H192">
        <f t="shared" si="28"/>
        <v>-528.62616550739995</v>
      </c>
      <c r="I192">
        <v>1</v>
      </c>
      <c r="J192">
        <f t="shared" si="29"/>
        <v>0.67731886102980632</v>
      </c>
      <c r="K192">
        <f t="shared" si="41"/>
        <v>-0.95319515177521752</v>
      </c>
      <c r="L192">
        <v>1</v>
      </c>
      <c r="M192">
        <f t="shared" si="31"/>
        <v>0.52275189723796511</v>
      </c>
      <c r="N192">
        <f t="shared" si="42"/>
        <v>0.16339318414000001</v>
      </c>
      <c r="O192">
        <f t="shared" si="43"/>
        <v>3.5139377552999999E-2</v>
      </c>
      <c r="P192">
        <f t="shared" si="44"/>
        <v>0.23191069284425236</v>
      </c>
    </row>
    <row r="193" spans="1:16" x14ac:dyDescent="0.3">
      <c r="A193">
        <v>9.8943896000000002</v>
      </c>
      <c r="B193">
        <v>0.26634999999999998</v>
      </c>
      <c r="C193">
        <f t="shared" si="25"/>
        <v>2.6353706699599999</v>
      </c>
      <c r="D193">
        <v>1.66E-2</v>
      </c>
      <c r="E193">
        <v>3.5699999999999998E-3</v>
      </c>
      <c r="F193">
        <f t="shared" si="26"/>
        <v>1978.8779200000001</v>
      </c>
      <c r="G193">
        <f t="shared" si="40"/>
        <v>-0.26634999999999998</v>
      </c>
      <c r="H193">
        <f t="shared" si="28"/>
        <v>-527.07413399199993</v>
      </c>
      <c r="I193">
        <v>1</v>
      </c>
      <c r="J193">
        <f t="shared" si="29"/>
        <v>0.68252997699659179</v>
      </c>
      <c r="K193">
        <f t="shared" si="41"/>
        <v>-0.95537515177521748</v>
      </c>
      <c r="L193">
        <v>1</v>
      </c>
      <c r="M193">
        <f t="shared" si="31"/>
        <v>0.5229713373313265</v>
      </c>
      <c r="N193">
        <f t="shared" si="42"/>
        <v>0.16424686735999999</v>
      </c>
      <c r="O193">
        <f t="shared" si="43"/>
        <v>3.5322970872000002E-2</v>
      </c>
      <c r="P193">
        <f t="shared" si="44"/>
        <v>0.23283397621189098</v>
      </c>
    </row>
    <row r="194" spans="1:16" x14ac:dyDescent="0.3">
      <c r="A194">
        <v>9.9458164</v>
      </c>
      <c r="B194">
        <v>0.26401999999999998</v>
      </c>
      <c r="C194">
        <f t="shared" si="25"/>
        <v>2.6258944459279996</v>
      </c>
      <c r="D194">
        <v>1.66E-2</v>
      </c>
      <c r="E194">
        <v>3.5699999999999998E-3</v>
      </c>
      <c r="F194">
        <f t="shared" si="26"/>
        <v>1989.16328</v>
      </c>
      <c r="G194">
        <f t="shared" si="40"/>
        <v>-0.26401999999999998</v>
      </c>
      <c r="H194">
        <f t="shared" si="28"/>
        <v>-525.17888918559993</v>
      </c>
      <c r="I194">
        <v>1</v>
      </c>
      <c r="J194">
        <f t="shared" si="29"/>
        <v>0.68771408800578016</v>
      </c>
      <c r="K194">
        <f t="shared" si="41"/>
        <v>-0.95770515177521753</v>
      </c>
      <c r="L194">
        <v>1</v>
      </c>
      <c r="M194">
        <f t="shared" si="31"/>
        <v>0.5231896402459234</v>
      </c>
      <c r="N194">
        <f t="shared" si="42"/>
        <v>0.16510055224</v>
      </c>
      <c r="O194">
        <f t="shared" si="43"/>
        <v>3.5506564547999997E-2</v>
      </c>
      <c r="P194">
        <f t="shared" si="44"/>
        <v>0.23390839474129416</v>
      </c>
    </row>
    <row r="195" spans="1:16" x14ac:dyDescent="0.3">
      <c r="A195">
        <v>9.9967354000000004</v>
      </c>
      <c r="B195">
        <v>0.26150000000000001</v>
      </c>
      <c r="C195">
        <f t="shared" si="25"/>
        <v>2.6141463071000004</v>
      </c>
      <c r="D195">
        <v>1.66E-2</v>
      </c>
      <c r="E195">
        <v>3.5699999999999998E-3</v>
      </c>
      <c r="F195">
        <f t="shared" si="26"/>
        <v>1999.34708</v>
      </c>
      <c r="G195">
        <f t="shared" si="40"/>
        <v>-0.26150000000000001</v>
      </c>
      <c r="H195">
        <f t="shared" si="28"/>
        <v>-522.82926142000008</v>
      </c>
      <c r="I195">
        <v>1</v>
      </c>
      <c r="J195">
        <f t="shared" si="29"/>
        <v>0.69282066726027902</v>
      </c>
      <c r="K195">
        <f t="shared" si="41"/>
        <v>-0.96022515177521739</v>
      </c>
      <c r="L195">
        <v>1</v>
      </c>
      <c r="M195">
        <f t="shared" si="31"/>
        <v>0.52340467829833037</v>
      </c>
      <c r="N195">
        <f t="shared" si="42"/>
        <v>0.16594580764</v>
      </c>
      <c r="O195">
        <f t="shared" si="43"/>
        <v>3.5688345378000003E-2</v>
      </c>
      <c r="P195">
        <f t="shared" si="44"/>
        <v>0.23518632045888702</v>
      </c>
    </row>
    <row r="196" spans="1:16" x14ac:dyDescent="0.3">
      <c r="A196">
        <v>10.051727</v>
      </c>
      <c r="B196">
        <v>0.25901999999999997</v>
      </c>
      <c r="C196">
        <f t="shared" si="25"/>
        <v>2.6035983275399994</v>
      </c>
      <c r="D196">
        <v>1.66E-2</v>
      </c>
      <c r="E196">
        <v>3.5699999999999998E-3</v>
      </c>
      <c r="F196">
        <f t="shared" si="26"/>
        <v>2010.3453999999999</v>
      </c>
      <c r="G196">
        <f t="shared" si="40"/>
        <v>-0.25901999999999997</v>
      </c>
      <c r="H196">
        <f t="shared" si="28"/>
        <v>-520.71966550799993</v>
      </c>
      <c r="I196">
        <v>1</v>
      </c>
      <c r="J196">
        <f t="shared" si="29"/>
        <v>0.69830654810406589</v>
      </c>
      <c r="K196">
        <f t="shared" si="41"/>
        <v>-0.96270515177521743</v>
      </c>
      <c r="L196">
        <v>1</v>
      </c>
      <c r="M196">
        <f t="shared" si="31"/>
        <v>0.52363568874066224</v>
      </c>
      <c r="N196">
        <f t="shared" si="42"/>
        <v>0.1668586682</v>
      </c>
      <c r="O196">
        <f t="shared" si="43"/>
        <v>3.5884665389999994E-2</v>
      </c>
      <c r="P196">
        <f t="shared" si="44"/>
        <v>0.23632612944455519</v>
      </c>
    </row>
    <row r="197" spans="1:16" x14ac:dyDescent="0.3">
      <c r="A197">
        <v>10.102646</v>
      </c>
      <c r="B197">
        <v>0.25664999999999999</v>
      </c>
      <c r="C197">
        <f t="shared" ref="C197:C211" si="45">A197*B197</f>
        <v>2.5928440958999999</v>
      </c>
      <c r="D197">
        <v>1.66E-2</v>
      </c>
      <c r="E197">
        <v>3.5699999999999998E-3</v>
      </c>
      <c r="F197">
        <f t="shared" ref="F197:F260" si="46">A197*200</f>
        <v>2020.5291999999999</v>
      </c>
      <c r="G197">
        <f t="shared" si="40"/>
        <v>-0.25664999999999999</v>
      </c>
      <c r="H197">
        <f t="shared" ref="H197:H211" si="47">-C197*200</f>
        <v>-518.56881917999999</v>
      </c>
      <c r="I197">
        <v>1</v>
      </c>
      <c r="J197">
        <f t="shared" ref="J197:J260" si="48">LN(F197/1000)</f>
        <v>0.70335945730031346</v>
      </c>
      <c r="K197">
        <f t="shared" si="41"/>
        <v>-0.96507515177521741</v>
      </c>
      <c r="L197">
        <v>1</v>
      </c>
      <c r="M197">
        <f t="shared" ref="M197:M260" si="49">-1*($S$4+($S$5*J197))</f>
        <v>0.52384846674691621</v>
      </c>
      <c r="N197">
        <f t="shared" si="42"/>
        <v>0.1677039236</v>
      </c>
      <c r="O197">
        <f t="shared" si="43"/>
        <v>3.6066446219999999E-2</v>
      </c>
      <c r="P197">
        <f t="shared" si="44"/>
        <v>0.23745631520830124</v>
      </c>
    </row>
    <row r="198" spans="1:16" x14ac:dyDescent="0.3">
      <c r="A198">
        <v>10.153055</v>
      </c>
      <c r="B198">
        <v>0.25430999999999998</v>
      </c>
      <c r="C198">
        <f t="shared" si="45"/>
        <v>2.5820234170499998</v>
      </c>
      <c r="D198">
        <v>1.66E-2</v>
      </c>
      <c r="E198">
        <v>3.5699999999999998E-3</v>
      </c>
      <c r="F198">
        <f t="shared" si="46"/>
        <v>2030.6110000000001</v>
      </c>
      <c r="G198">
        <f t="shared" si="40"/>
        <v>-0.25430999999999998</v>
      </c>
      <c r="H198">
        <f t="shared" si="47"/>
        <v>-516.40468340999996</v>
      </c>
      <c r="I198">
        <v>1</v>
      </c>
      <c r="J198">
        <f t="shared" si="48"/>
        <v>0.70833673298840594</v>
      </c>
      <c r="K198">
        <f t="shared" si="41"/>
        <v>-0.96741515177521742</v>
      </c>
      <c r="L198">
        <v>1</v>
      </c>
      <c r="M198">
        <f t="shared" si="49"/>
        <v>0.52405805982614173</v>
      </c>
      <c r="N198">
        <f t="shared" si="42"/>
        <v>0.16854071300000001</v>
      </c>
      <c r="O198">
        <f t="shared" si="43"/>
        <v>3.6246406349999996E-2</v>
      </c>
      <c r="P198">
        <f t="shared" si="44"/>
        <v>0.2385699725990757</v>
      </c>
    </row>
    <row r="199" spans="1:16" x14ac:dyDescent="0.3">
      <c r="A199">
        <v>10.203463000000001</v>
      </c>
      <c r="B199">
        <v>0.25179000000000001</v>
      </c>
      <c r="C199">
        <f t="shared" si="45"/>
        <v>2.5691299487700006</v>
      </c>
      <c r="D199">
        <v>1.66E-2</v>
      </c>
      <c r="E199">
        <v>3.5699999999999998E-3</v>
      </c>
      <c r="F199">
        <f t="shared" si="46"/>
        <v>2040.6926000000003</v>
      </c>
      <c r="G199">
        <f t="shared" si="40"/>
        <v>-0.25179000000000001</v>
      </c>
      <c r="H199">
        <f t="shared" si="47"/>
        <v>-513.82598975400015</v>
      </c>
      <c r="I199">
        <v>1</v>
      </c>
      <c r="J199">
        <f t="shared" si="48"/>
        <v>0.71328926003963466</v>
      </c>
      <c r="K199">
        <f t="shared" si="41"/>
        <v>-0.9699351517752175</v>
      </c>
      <c r="L199">
        <v>1</v>
      </c>
      <c r="M199">
        <f t="shared" si="49"/>
        <v>0.52426661074026903</v>
      </c>
      <c r="N199">
        <f t="shared" si="42"/>
        <v>0.16937748580000003</v>
      </c>
      <c r="O199">
        <f t="shared" si="43"/>
        <v>3.6426362910000003E-2</v>
      </c>
      <c r="P199">
        <f t="shared" si="44"/>
        <v>0.23986469232494845</v>
      </c>
    </row>
    <row r="200" spans="1:16" x14ac:dyDescent="0.3">
      <c r="A200">
        <v>10.208047000000001</v>
      </c>
      <c r="B200">
        <v>0.25144</v>
      </c>
      <c r="C200">
        <f t="shared" si="45"/>
        <v>2.5667113376800001</v>
      </c>
      <c r="D200">
        <v>1.66E-2</v>
      </c>
      <c r="E200">
        <v>3.5699999999999998E-3</v>
      </c>
      <c r="F200">
        <f t="shared" si="46"/>
        <v>2041.6094000000001</v>
      </c>
      <c r="G200">
        <f t="shared" si="40"/>
        <v>-0.25144</v>
      </c>
      <c r="H200">
        <f t="shared" si="47"/>
        <v>-513.34226753600001</v>
      </c>
      <c r="I200">
        <v>1</v>
      </c>
      <c r="J200">
        <f t="shared" si="48"/>
        <v>0.71373841838970919</v>
      </c>
      <c r="K200">
        <f t="shared" si="41"/>
        <v>-0.97028515177521746</v>
      </c>
      <c r="L200">
        <v>1</v>
      </c>
      <c r="M200">
        <f t="shared" si="49"/>
        <v>0.52428552479839063</v>
      </c>
      <c r="N200">
        <f t="shared" si="42"/>
        <v>0.16945358020000001</v>
      </c>
      <c r="O200">
        <f t="shared" si="43"/>
        <v>3.6442727789999997E-2</v>
      </c>
      <c r="P200">
        <f t="shared" si="44"/>
        <v>0.24010331898682682</v>
      </c>
    </row>
    <row r="201" spans="1:16" x14ac:dyDescent="0.3">
      <c r="C201">
        <f t="shared" si="45"/>
        <v>0</v>
      </c>
      <c r="D201">
        <v>1.66E-2</v>
      </c>
      <c r="E201">
        <v>3.5699999999999998E-3</v>
      </c>
      <c r="F201">
        <f t="shared" si="46"/>
        <v>0</v>
      </c>
      <c r="G201">
        <f t="shared" si="40"/>
        <v>0</v>
      </c>
      <c r="H201">
        <f t="shared" si="47"/>
        <v>0</v>
      </c>
      <c r="I201">
        <v>1</v>
      </c>
      <c r="J201" t="e">
        <f t="shared" si="48"/>
        <v>#NUM!</v>
      </c>
      <c r="K201">
        <f t="shared" si="41"/>
        <v>-1.2217251517752175</v>
      </c>
      <c r="L201">
        <v>1</v>
      </c>
      <c r="M201" t="e">
        <f t="shared" si="49"/>
        <v>#NUM!</v>
      </c>
      <c r="N201">
        <f t="shared" si="42"/>
        <v>0</v>
      </c>
      <c r="O201">
        <f t="shared" si="43"/>
        <v>0</v>
      </c>
      <c r="P201" t="e">
        <f t="shared" si="44"/>
        <v>#NUM!</v>
      </c>
    </row>
    <row r="202" spans="1:16" x14ac:dyDescent="0.3">
      <c r="C202">
        <f t="shared" si="45"/>
        <v>0</v>
      </c>
      <c r="D202">
        <v>1.66E-2</v>
      </c>
      <c r="E202">
        <v>3.5699999999999998E-3</v>
      </c>
      <c r="F202">
        <f t="shared" si="46"/>
        <v>0</v>
      </c>
      <c r="G202">
        <f t="shared" si="40"/>
        <v>0</v>
      </c>
      <c r="H202">
        <f t="shared" si="47"/>
        <v>0</v>
      </c>
      <c r="I202">
        <v>1</v>
      </c>
      <c r="J202" t="e">
        <f t="shared" si="48"/>
        <v>#NUM!</v>
      </c>
      <c r="K202">
        <f t="shared" si="41"/>
        <v>-1.2217251517752175</v>
      </c>
      <c r="L202">
        <v>1</v>
      </c>
      <c r="M202" t="e">
        <f t="shared" si="49"/>
        <v>#NUM!</v>
      </c>
      <c r="N202">
        <f t="shared" si="42"/>
        <v>0</v>
      </c>
      <c r="O202">
        <f t="shared" si="43"/>
        <v>0</v>
      </c>
      <c r="P202" t="e">
        <f t="shared" si="44"/>
        <v>#NUM!</v>
      </c>
    </row>
    <row r="203" spans="1:16" x14ac:dyDescent="0.3">
      <c r="C203">
        <f t="shared" si="45"/>
        <v>0</v>
      </c>
      <c r="D203">
        <v>1.66E-2</v>
      </c>
      <c r="E203">
        <v>3.5699999999999998E-3</v>
      </c>
      <c r="F203">
        <f t="shared" si="46"/>
        <v>0</v>
      </c>
      <c r="G203">
        <f t="shared" si="40"/>
        <v>0</v>
      </c>
      <c r="H203">
        <f t="shared" si="47"/>
        <v>0</v>
      </c>
      <c r="I203">
        <v>1</v>
      </c>
      <c r="J203" t="e">
        <f t="shared" si="48"/>
        <v>#NUM!</v>
      </c>
      <c r="K203">
        <f t="shared" si="41"/>
        <v>-1.2217251517752175</v>
      </c>
      <c r="L203">
        <v>1</v>
      </c>
      <c r="M203" t="e">
        <f t="shared" si="49"/>
        <v>#NUM!</v>
      </c>
      <c r="N203">
        <f t="shared" si="42"/>
        <v>0</v>
      </c>
      <c r="O203">
        <f t="shared" si="43"/>
        <v>0</v>
      </c>
      <c r="P203" t="e">
        <f t="shared" si="44"/>
        <v>#NUM!</v>
      </c>
    </row>
    <row r="204" spans="1:16" x14ac:dyDescent="0.3">
      <c r="C204">
        <f t="shared" si="45"/>
        <v>0</v>
      </c>
      <c r="D204">
        <v>1.66E-2</v>
      </c>
      <c r="E204">
        <v>3.5699999999999998E-3</v>
      </c>
      <c r="F204">
        <f t="shared" si="46"/>
        <v>0</v>
      </c>
      <c r="G204">
        <f t="shared" si="40"/>
        <v>0</v>
      </c>
      <c r="H204">
        <f t="shared" si="47"/>
        <v>0</v>
      </c>
      <c r="I204">
        <v>1</v>
      </c>
      <c r="J204" t="e">
        <f t="shared" si="48"/>
        <v>#NUM!</v>
      </c>
      <c r="K204">
        <f t="shared" si="41"/>
        <v>-1.2217251517752175</v>
      </c>
      <c r="L204">
        <v>1</v>
      </c>
      <c r="M204" t="e">
        <f t="shared" si="49"/>
        <v>#NUM!</v>
      </c>
      <c r="N204">
        <f t="shared" si="42"/>
        <v>0</v>
      </c>
      <c r="O204">
        <f t="shared" si="43"/>
        <v>0</v>
      </c>
      <c r="P204" t="e">
        <f t="shared" si="44"/>
        <v>#NUM!</v>
      </c>
    </row>
    <row r="205" spans="1:16" x14ac:dyDescent="0.3">
      <c r="C205">
        <f t="shared" si="45"/>
        <v>0</v>
      </c>
      <c r="D205">
        <v>1.66E-2</v>
      </c>
      <c r="E205">
        <v>3.5699999999999998E-3</v>
      </c>
      <c r="F205">
        <f t="shared" si="46"/>
        <v>0</v>
      </c>
      <c r="G205">
        <f t="shared" si="40"/>
        <v>0</v>
      </c>
      <c r="H205">
        <f t="shared" si="47"/>
        <v>0</v>
      </c>
      <c r="I205">
        <v>1</v>
      </c>
      <c r="J205" t="e">
        <f t="shared" si="48"/>
        <v>#NUM!</v>
      </c>
      <c r="K205">
        <f t="shared" si="41"/>
        <v>-1.2217251517752175</v>
      </c>
      <c r="L205">
        <v>1</v>
      </c>
      <c r="M205" t="e">
        <f t="shared" si="49"/>
        <v>#NUM!</v>
      </c>
      <c r="N205">
        <f t="shared" si="42"/>
        <v>0</v>
      </c>
      <c r="O205">
        <f t="shared" si="43"/>
        <v>0</v>
      </c>
      <c r="P205" t="e">
        <f t="shared" si="44"/>
        <v>#NUM!</v>
      </c>
    </row>
    <row r="206" spans="1:16" x14ac:dyDescent="0.3">
      <c r="C206">
        <f t="shared" si="45"/>
        <v>0</v>
      </c>
      <c r="D206">
        <v>1.66E-2</v>
      </c>
      <c r="E206">
        <v>3.5699999999999998E-3</v>
      </c>
      <c r="F206">
        <f t="shared" si="46"/>
        <v>0</v>
      </c>
      <c r="G206">
        <f t="shared" si="40"/>
        <v>0</v>
      </c>
      <c r="H206">
        <f t="shared" si="47"/>
        <v>0</v>
      </c>
      <c r="I206">
        <v>1</v>
      </c>
      <c r="J206" t="e">
        <f t="shared" si="48"/>
        <v>#NUM!</v>
      </c>
      <c r="K206">
        <f t="shared" si="41"/>
        <v>-1.2217251517752175</v>
      </c>
      <c r="L206">
        <v>1</v>
      </c>
      <c r="M206" t="e">
        <f t="shared" si="49"/>
        <v>#NUM!</v>
      </c>
      <c r="N206">
        <f t="shared" si="42"/>
        <v>0</v>
      </c>
      <c r="O206">
        <f t="shared" si="43"/>
        <v>0</v>
      </c>
      <c r="P206" t="e">
        <f t="shared" si="44"/>
        <v>#NUM!</v>
      </c>
    </row>
    <row r="207" spans="1:16" x14ac:dyDescent="0.3">
      <c r="C207">
        <f t="shared" si="45"/>
        <v>0</v>
      </c>
      <c r="D207">
        <v>1.66E-2</v>
      </c>
      <c r="E207">
        <v>3.5699999999999998E-3</v>
      </c>
      <c r="F207">
        <f t="shared" si="46"/>
        <v>0</v>
      </c>
      <c r="G207">
        <f t="shared" si="40"/>
        <v>0</v>
      </c>
      <c r="H207">
        <f t="shared" si="47"/>
        <v>0</v>
      </c>
      <c r="I207">
        <v>1</v>
      </c>
      <c r="J207" t="e">
        <f t="shared" si="48"/>
        <v>#NUM!</v>
      </c>
      <c r="K207">
        <f t="shared" si="41"/>
        <v>-1.2217251517752175</v>
      </c>
      <c r="L207">
        <v>1</v>
      </c>
      <c r="M207" t="e">
        <f t="shared" si="49"/>
        <v>#NUM!</v>
      </c>
      <c r="N207">
        <f t="shared" si="42"/>
        <v>0</v>
      </c>
      <c r="O207">
        <f t="shared" si="43"/>
        <v>0</v>
      </c>
      <c r="P207" t="e">
        <f t="shared" si="44"/>
        <v>#NUM!</v>
      </c>
    </row>
    <row r="208" spans="1:16" x14ac:dyDescent="0.3">
      <c r="C208">
        <f t="shared" si="45"/>
        <v>0</v>
      </c>
      <c r="D208">
        <v>1.66E-2</v>
      </c>
      <c r="E208">
        <v>3.5699999999999998E-3</v>
      </c>
      <c r="F208">
        <f t="shared" si="46"/>
        <v>0</v>
      </c>
      <c r="G208">
        <f t="shared" si="40"/>
        <v>0</v>
      </c>
      <c r="H208">
        <f t="shared" si="47"/>
        <v>0</v>
      </c>
      <c r="I208">
        <v>1</v>
      </c>
      <c r="J208" t="e">
        <f t="shared" si="48"/>
        <v>#NUM!</v>
      </c>
      <c r="K208">
        <f t="shared" si="41"/>
        <v>-1.2217251517752175</v>
      </c>
      <c r="L208">
        <v>1</v>
      </c>
      <c r="M208" t="e">
        <f t="shared" si="49"/>
        <v>#NUM!</v>
      </c>
      <c r="N208">
        <f t="shared" si="42"/>
        <v>0</v>
      </c>
      <c r="O208">
        <f t="shared" si="43"/>
        <v>0</v>
      </c>
      <c r="P208" t="e">
        <f t="shared" si="44"/>
        <v>#NUM!</v>
      </c>
    </row>
    <row r="209" spans="3:16" x14ac:dyDescent="0.3">
      <c r="C209">
        <f t="shared" si="45"/>
        <v>0</v>
      </c>
      <c r="D209">
        <v>1.66E-2</v>
      </c>
      <c r="E209">
        <v>3.5699999999999998E-3</v>
      </c>
      <c r="F209">
        <f t="shared" si="46"/>
        <v>0</v>
      </c>
      <c r="G209">
        <f t="shared" si="40"/>
        <v>0</v>
      </c>
      <c r="H209">
        <f t="shared" si="47"/>
        <v>0</v>
      </c>
      <c r="I209">
        <v>1</v>
      </c>
      <c r="J209" t="e">
        <f t="shared" si="48"/>
        <v>#NUM!</v>
      </c>
      <c r="K209">
        <f t="shared" si="41"/>
        <v>-1.2217251517752175</v>
      </c>
      <c r="L209">
        <v>1</v>
      </c>
      <c r="M209" t="e">
        <f t="shared" si="49"/>
        <v>#NUM!</v>
      </c>
      <c r="N209">
        <f t="shared" si="42"/>
        <v>0</v>
      </c>
      <c r="O209">
        <f t="shared" si="43"/>
        <v>0</v>
      </c>
      <c r="P209" t="e">
        <f t="shared" si="44"/>
        <v>#NUM!</v>
      </c>
    </row>
    <row r="210" spans="3:16" x14ac:dyDescent="0.3">
      <c r="C210">
        <f t="shared" si="45"/>
        <v>0</v>
      </c>
      <c r="D210">
        <v>1.66E-2</v>
      </c>
      <c r="E210">
        <v>3.5699999999999998E-3</v>
      </c>
      <c r="F210">
        <f t="shared" si="46"/>
        <v>0</v>
      </c>
      <c r="G210">
        <f t="shared" si="40"/>
        <v>0</v>
      </c>
      <c r="H210">
        <f t="shared" si="47"/>
        <v>0</v>
      </c>
      <c r="I210">
        <v>1</v>
      </c>
      <c r="J210" t="e">
        <f t="shared" si="48"/>
        <v>#NUM!</v>
      </c>
      <c r="K210">
        <f t="shared" si="41"/>
        <v>-1.2217251517752175</v>
      </c>
      <c r="L210">
        <v>1</v>
      </c>
      <c r="M210" t="e">
        <f t="shared" si="49"/>
        <v>#NUM!</v>
      </c>
      <c r="N210">
        <f t="shared" si="42"/>
        <v>0</v>
      </c>
      <c r="O210">
        <f t="shared" si="43"/>
        <v>0</v>
      </c>
      <c r="P210" t="e">
        <f t="shared" si="44"/>
        <v>#NUM!</v>
      </c>
    </row>
    <row r="211" spans="3:16" x14ac:dyDescent="0.3">
      <c r="C211">
        <f t="shared" si="45"/>
        <v>0</v>
      </c>
      <c r="D211">
        <v>1.66E-2</v>
      </c>
      <c r="E211">
        <v>3.5699999999999998E-3</v>
      </c>
      <c r="F211">
        <f t="shared" si="46"/>
        <v>0</v>
      </c>
      <c r="G211">
        <f t="shared" si="40"/>
        <v>0</v>
      </c>
      <c r="H211">
        <f t="shared" si="47"/>
        <v>0</v>
      </c>
      <c r="I211">
        <v>1</v>
      </c>
      <c r="J211" t="e">
        <f t="shared" si="48"/>
        <v>#NUM!</v>
      </c>
      <c r="K211">
        <f t="shared" si="41"/>
        <v>-1.2217251517752175</v>
      </c>
      <c r="L211">
        <v>1</v>
      </c>
      <c r="M211" t="e">
        <f t="shared" si="49"/>
        <v>#NUM!</v>
      </c>
      <c r="N211">
        <f t="shared" si="42"/>
        <v>0</v>
      </c>
      <c r="O211">
        <f t="shared" si="43"/>
        <v>0</v>
      </c>
      <c r="P211" t="e">
        <f t="shared" si="44"/>
        <v>#NUM!</v>
      </c>
    </row>
    <row r="212" spans="3:16" x14ac:dyDescent="0.3">
      <c r="C212">
        <f t="shared" ref="C212:C275" si="50">A212*B212</f>
        <v>0</v>
      </c>
      <c r="D212">
        <v>1.66E-2</v>
      </c>
      <c r="E212">
        <v>3.5699999999999998E-3</v>
      </c>
      <c r="F212">
        <f t="shared" si="46"/>
        <v>0</v>
      </c>
      <c r="G212">
        <f t="shared" ref="G212:G275" si="51">-B212</f>
        <v>0</v>
      </c>
      <c r="H212">
        <f t="shared" ref="H212:H275" si="52">-C212*200</f>
        <v>0</v>
      </c>
      <c r="I212">
        <v>1</v>
      </c>
      <c r="J212" t="e">
        <f t="shared" si="48"/>
        <v>#NUM!</v>
      </c>
      <c r="K212">
        <f t="shared" ref="K212:K275" si="53">((-G212)-$N$2)</f>
        <v>-1.2217251517752175</v>
      </c>
      <c r="L212">
        <v>1</v>
      </c>
      <c r="M212" t="e">
        <f t="shared" si="49"/>
        <v>#NUM!</v>
      </c>
      <c r="N212">
        <f t="shared" ref="N212:N275" si="54">D212*A212</f>
        <v>0</v>
      </c>
      <c r="O212">
        <f t="shared" ref="O212:O275" si="55">E212*A212</f>
        <v>0</v>
      </c>
      <c r="P212" t="e">
        <f t="shared" ref="P212:P275" si="56">-K212-M212-N212-O212</f>
        <v>#NUM!</v>
      </c>
    </row>
    <row r="213" spans="3:16" x14ac:dyDescent="0.3">
      <c r="C213">
        <f t="shared" si="50"/>
        <v>0</v>
      </c>
      <c r="D213">
        <v>1.66E-2</v>
      </c>
      <c r="E213">
        <v>3.5699999999999998E-3</v>
      </c>
      <c r="F213">
        <f t="shared" si="46"/>
        <v>0</v>
      </c>
      <c r="G213">
        <f t="shared" si="51"/>
        <v>0</v>
      </c>
      <c r="H213">
        <f t="shared" si="52"/>
        <v>0</v>
      </c>
      <c r="I213">
        <v>1</v>
      </c>
      <c r="J213" t="e">
        <f t="shared" si="48"/>
        <v>#NUM!</v>
      </c>
      <c r="K213">
        <f t="shared" si="53"/>
        <v>-1.2217251517752175</v>
      </c>
      <c r="L213">
        <v>1</v>
      </c>
      <c r="M213" t="e">
        <f t="shared" si="49"/>
        <v>#NUM!</v>
      </c>
      <c r="N213">
        <f t="shared" si="54"/>
        <v>0</v>
      </c>
      <c r="O213">
        <f t="shared" si="55"/>
        <v>0</v>
      </c>
      <c r="P213" t="e">
        <f t="shared" si="56"/>
        <v>#NUM!</v>
      </c>
    </row>
    <row r="214" spans="3:16" x14ac:dyDescent="0.3">
      <c r="C214">
        <f t="shared" si="50"/>
        <v>0</v>
      </c>
      <c r="D214">
        <v>1.66E-2</v>
      </c>
      <c r="E214">
        <v>3.5699999999999998E-3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-1.2217251517752175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3:16" x14ac:dyDescent="0.3">
      <c r="C215">
        <f t="shared" si="50"/>
        <v>0</v>
      </c>
      <c r="D215">
        <v>1.66E-2</v>
      </c>
      <c r="E215">
        <v>3.5699999999999998E-3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-1.2217251517752175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3:16" x14ac:dyDescent="0.3">
      <c r="C216">
        <f t="shared" si="50"/>
        <v>0</v>
      </c>
      <c r="D216">
        <v>1.66E-2</v>
      </c>
      <c r="E216">
        <v>3.5699999999999998E-3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-1.2217251517752175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3:16" x14ac:dyDescent="0.3">
      <c r="C217">
        <f t="shared" si="50"/>
        <v>0</v>
      </c>
      <c r="D217">
        <v>1.66E-2</v>
      </c>
      <c r="E217">
        <v>3.5699999999999998E-3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-1.2217251517752175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3:16" x14ac:dyDescent="0.3">
      <c r="C218">
        <f t="shared" si="50"/>
        <v>0</v>
      </c>
      <c r="D218">
        <v>1.66E-2</v>
      </c>
      <c r="E218">
        <v>3.5699999999999998E-3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-1.2217251517752175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3:16" x14ac:dyDescent="0.3">
      <c r="C219">
        <f t="shared" si="50"/>
        <v>0</v>
      </c>
      <c r="D219">
        <v>1.66E-2</v>
      </c>
      <c r="E219">
        <v>3.5699999999999998E-3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-1.2217251517752175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3:16" x14ac:dyDescent="0.3">
      <c r="C220">
        <f t="shared" si="50"/>
        <v>0</v>
      </c>
      <c r="D220">
        <v>1.66E-2</v>
      </c>
      <c r="E220">
        <v>3.5699999999999998E-3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-1.2217251517752175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3:16" x14ac:dyDescent="0.3">
      <c r="C221">
        <f t="shared" si="50"/>
        <v>0</v>
      </c>
      <c r="D221">
        <v>1.66E-2</v>
      </c>
      <c r="E221">
        <v>3.5699999999999998E-3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-1.2217251517752175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3:16" x14ac:dyDescent="0.3">
      <c r="C222">
        <f t="shared" si="50"/>
        <v>0</v>
      </c>
      <c r="D222">
        <v>1.66E-2</v>
      </c>
      <c r="E222">
        <v>3.5699999999999998E-3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-1.2217251517752175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3:16" x14ac:dyDescent="0.3">
      <c r="C223">
        <f t="shared" si="50"/>
        <v>0</v>
      </c>
      <c r="D223">
        <v>1.66E-2</v>
      </c>
      <c r="E223">
        <v>3.5699999999999998E-3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-1.2217251517752175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3:16" x14ac:dyDescent="0.3">
      <c r="C224">
        <f t="shared" si="50"/>
        <v>0</v>
      </c>
      <c r="D224">
        <v>1.66E-2</v>
      </c>
      <c r="E224">
        <v>3.5699999999999998E-3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-1.2217251517752175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 x14ac:dyDescent="0.3">
      <c r="C225">
        <f t="shared" si="50"/>
        <v>0</v>
      </c>
      <c r="D225">
        <v>1.66E-2</v>
      </c>
      <c r="E225">
        <v>3.5699999999999998E-3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-1.2217251517752175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 x14ac:dyDescent="0.3">
      <c r="C226">
        <f t="shared" si="50"/>
        <v>0</v>
      </c>
      <c r="D226">
        <v>1.66E-2</v>
      </c>
      <c r="E226">
        <v>3.5699999999999998E-3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-1.2217251517752175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 x14ac:dyDescent="0.3">
      <c r="C227">
        <f t="shared" si="50"/>
        <v>0</v>
      </c>
      <c r="D227">
        <v>1.66E-2</v>
      </c>
      <c r="E227">
        <v>3.5699999999999998E-3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-1.2217251517752175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 x14ac:dyDescent="0.3">
      <c r="C228">
        <f t="shared" si="50"/>
        <v>0</v>
      </c>
      <c r="D228">
        <v>1.66E-2</v>
      </c>
      <c r="E228">
        <v>3.5699999999999998E-3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-1.2217251517752175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 x14ac:dyDescent="0.3">
      <c r="C229">
        <f t="shared" si="50"/>
        <v>0</v>
      </c>
      <c r="D229">
        <v>1.66E-2</v>
      </c>
      <c r="E229">
        <v>3.5699999999999998E-3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-1.2217251517752175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 x14ac:dyDescent="0.3">
      <c r="C230">
        <f t="shared" si="50"/>
        <v>0</v>
      </c>
      <c r="D230">
        <v>1.66E-2</v>
      </c>
      <c r="E230">
        <v>3.5699999999999998E-3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-1.2217251517752175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 x14ac:dyDescent="0.3">
      <c r="C231">
        <f t="shared" si="50"/>
        <v>0</v>
      </c>
      <c r="D231">
        <v>1.66E-2</v>
      </c>
      <c r="E231">
        <v>3.5699999999999998E-3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-1.2217251517752175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 x14ac:dyDescent="0.3">
      <c r="C232">
        <f t="shared" si="50"/>
        <v>0</v>
      </c>
      <c r="D232">
        <v>1.66E-2</v>
      </c>
      <c r="E232">
        <v>3.5699999999999998E-3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-1.2217251517752175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 x14ac:dyDescent="0.3">
      <c r="C233">
        <f t="shared" si="50"/>
        <v>0</v>
      </c>
      <c r="D233">
        <v>1.66E-2</v>
      </c>
      <c r="E233">
        <v>3.5699999999999998E-3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-1.2217251517752175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 x14ac:dyDescent="0.3">
      <c r="C234">
        <f t="shared" si="50"/>
        <v>0</v>
      </c>
      <c r="D234">
        <v>1.66E-2</v>
      </c>
      <c r="E234">
        <v>3.5699999999999998E-3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-1.2217251517752175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 x14ac:dyDescent="0.3">
      <c r="C235">
        <f t="shared" si="50"/>
        <v>0</v>
      </c>
      <c r="D235">
        <v>1.66E-2</v>
      </c>
      <c r="E235">
        <v>3.5699999999999998E-3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 x14ac:dyDescent="0.3">
      <c r="C236">
        <f t="shared" si="50"/>
        <v>0</v>
      </c>
      <c r="D236">
        <v>1.66E-2</v>
      </c>
      <c r="E236">
        <v>3.5699999999999998E-3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 x14ac:dyDescent="0.3">
      <c r="C237">
        <f t="shared" si="50"/>
        <v>0</v>
      </c>
      <c r="D237">
        <v>1.66E-2</v>
      </c>
      <c r="E237">
        <v>3.5699999999999998E-3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 x14ac:dyDescent="0.3">
      <c r="C238">
        <f t="shared" si="50"/>
        <v>0</v>
      </c>
      <c r="D238">
        <v>1.66E-2</v>
      </c>
      <c r="E238">
        <v>3.5699999999999998E-3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 x14ac:dyDescent="0.3">
      <c r="C239">
        <f t="shared" si="50"/>
        <v>0</v>
      </c>
      <c r="D239">
        <v>1.66E-2</v>
      </c>
      <c r="E239">
        <v>3.5699999999999998E-3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 x14ac:dyDescent="0.3">
      <c r="C240">
        <f t="shared" si="50"/>
        <v>0</v>
      </c>
      <c r="D240">
        <v>1.66E-2</v>
      </c>
      <c r="E240">
        <v>3.5699999999999998E-3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1.66E-2</v>
      </c>
      <c r="E241">
        <v>3.5699999999999998E-3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1.66E-2</v>
      </c>
      <c r="E242">
        <v>3.5699999999999998E-3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1.66E-2</v>
      </c>
      <c r="E243">
        <v>3.5699999999999998E-3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1.66E-2</v>
      </c>
      <c r="E244">
        <v>3.5699999999999998E-3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1.66E-2</v>
      </c>
      <c r="E245">
        <v>3.5699999999999998E-3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1.66E-2</v>
      </c>
      <c r="E246">
        <v>3.5699999999999998E-3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1.66E-2</v>
      </c>
      <c r="E247">
        <v>3.5699999999999998E-3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1.66E-2</v>
      </c>
      <c r="E248">
        <v>3.5699999999999998E-3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1.66E-2</v>
      </c>
      <c r="E249">
        <v>3.5699999999999998E-3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1.66E-2</v>
      </c>
      <c r="E250">
        <v>3.5699999999999998E-3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1.66E-2</v>
      </c>
      <c r="E251">
        <v>3.5699999999999998E-3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1.66E-2</v>
      </c>
      <c r="E252">
        <v>3.5699999999999998E-3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1.66E-2</v>
      </c>
      <c r="E253">
        <v>3.5699999999999998E-3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1.66E-2</v>
      </c>
      <c r="E254">
        <v>3.5699999999999998E-3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1.66E-2</v>
      </c>
      <c r="E255">
        <v>3.5699999999999998E-3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1.66E-2</v>
      </c>
      <c r="E256">
        <v>3.5699999999999998E-3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1.66E-2</v>
      </c>
      <c r="E257">
        <v>3.5699999999999998E-3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1.66E-2</v>
      </c>
      <c r="E258">
        <v>3.5699999999999998E-3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1.66E-2</v>
      </c>
      <c r="E259">
        <v>3.5699999999999998E-3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1.66E-2</v>
      </c>
      <c r="E260">
        <v>3.5699999999999998E-3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1.66E-2</v>
      </c>
      <c r="E261">
        <v>3.5699999999999998E-3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1.66E-2</v>
      </c>
      <c r="E262">
        <v>3.5699999999999998E-3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1.66E-2</v>
      </c>
      <c r="E263">
        <v>3.5699999999999998E-3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1.66E-2</v>
      </c>
      <c r="E264">
        <v>3.5699999999999998E-3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1.66E-2</v>
      </c>
      <c r="E265">
        <v>3.5699999999999998E-3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1.66E-2</v>
      </c>
      <c r="E266">
        <v>3.5699999999999998E-3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1.66E-2</v>
      </c>
      <c r="E267">
        <v>3.5699999999999998E-3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1.66E-2</v>
      </c>
      <c r="E268">
        <v>3.5699999999999998E-3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1.66E-2</v>
      </c>
      <c r="E269">
        <v>3.5699999999999998E-3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1.66E-2</v>
      </c>
      <c r="E270">
        <v>3.5699999999999998E-3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1.66E-2</v>
      </c>
      <c r="E271">
        <v>3.5699999999999998E-3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1.66E-2</v>
      </c>
      <c r="E272">
        <v>3.5699999999999998E-3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1.66E-2</v>
      </c>
      <c r="E273">
        <v>3.5699999999999998E-3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1.66E-2</v>
      </c>
      <c r="E274">
        <v>3.5699999999999998E-3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1.66E-2</v>
      </c>
      <c r="E275">
        <v>3.5699999999999998E-3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1.66E-2</v>
      </c>
      <c r="E276">
        <v>3.5699999999999998E-3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1.66E-2</v>
      </c>
      <c r="E277">
        <v>3.5699999999999998E-3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1.66E-2</v>
      </c>
      <c r="E278">
        <v>3.5699999999999998E-3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1.66E-2</v>
      </c>
      <c r="E279">
        <v>3.5699999999999998E-3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1.66E-2</v>
      </c>
      <c r="E280">
        <v>3.5699999999999998E-3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1.66E-2</v>
      </c>
      <c r="E281">
        <v>3.5699999999999998E-3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1.66E-2</v>
      </c>
      <c r="E282">
        <v>3.5699999999999998E-3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1.66E-2</v>
      </c>
      <c r="E283">
        <v>3.5699999999999998E-3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1.66E-2</v>
      </c>
      <c r="E284">
        <v>3.5699999999999998E-3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1.66E-2</v>
      </c>
      <c r="E285">
        <v>3.5699999999999998E-3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1.66E-2</v>
      </c>
      <c r="E286">
        <v>3.5699999999999998E-3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1.66E-2</v>
      </c>
      <c r="E287">
        <v>3.5699999999999998E-3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1.66E-2</v>
      </c>
      <c r="E288">
        <v>3.5699999999999998E-3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1.66E-2</v>
      </c>
      <c r="E289">
        <v>3.5699999999999998E-3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1.66E-2</v>
      </c>
      <c r="E290">
        <v>3.5699999999999998E-3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1.66E-2</v>
      </c>
      <c r="E291">
        <v>3.5699999999999998E-3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1.66E-2</v>
      </c>
      <c r="E292">
        <v>3.5699999999999998E-3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1.66E-2</v>
      </c>
      <c r="E293">
        <v>3.5699999999999998E-3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1.66E-2</v>
      </c>
      <c r="E294">
        <v>3.5699999999999998E-3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1.66E-2</v>
      </c>
      <c r="E295">
        <v>3.5699999999999998E-3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1.66E-2</v>
      </c>
      <c r="E296">
        <v>3.5699999999999998E-3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1.66E-2</v>
      </c>
      <c r="E297">
        <v>3.5699999999999998E-3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1.66E-2</v>
      </c>
      <c r="E298">
        <v>3.5699999999999998E-3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1.66E-2</v>
      </c>
      <c r="E299">
        <v>3.5699999999999998E-3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1.66E-2</v>
      </c>
      <c r="E300">
        <v>3.5699999999999998E-3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1.66E-2</v>
      </c>
      <c r="E301">
        <v>3.5699999999999998E-3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1.66E-2</v>
      </c>
      <c r="E302">
        <v>3.5699999999999998E-3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1.66E-2</v>
      </c>
      <c r="E303">
        <v>3.5699999999999998E-3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2026-04-20T02:24:20Z</dcterms:modified>
</cp:coreProperties>
</file>