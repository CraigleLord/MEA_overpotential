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75k\"/>
    </mc:Choice>
  </mc:AlternateContent>
  <xr:revisionPtr revIDLastSave="0" documentId="13_ncr:1_{894CA1D6-E689-49CE-8B13-BBCD03382042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<sst xmlns="http://schemas.openxmlformats.org/spreadsheetml/2006/main" count="40" uniqueCount="36">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</sst>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140" zoomScale="85" zoomScaleNormal="85" workbookViewId="0">
      <selection activeCell="F147" sqref="F147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-0.32316</v>
      </c>
      <c r="AC3" t="s">
        <v>30</v>
      </c>
    </row>
    <row r="4" spans="1:29" x14ac:dyDescent="0.3">
      <c r="A4">
        <v>5.0857799999999995E-2</v>
      </c>
      <c r="B4">
        <v>0.76802999999999999</v>
      </c>
      <c r="C4">
        <f>A4*B4</f>
        <v>3.9060316133999996E-2</v>
      </c>
      <c r="D4">
        <v>1.66E-2</v>
      </c>
      <c r="E4">
        <v>2.8E-3</v>
      </c>
      <c r="F4">
        <f>A4*200</f>
        <v>10.171559999999999</v>
      </c>
      <c r="G4">
        <f>-B4</f>
        <v>-0.76802999999999999</v>
      </c>
      <c r="H4">
        <f t="shared" ref="H4" si="0">-C4*200</f>
        <v>-7.8120632267999994</v>
      </c>
      <c r="I4">
        <v>1</v>
      </c>
      <c r="J4">
        <f>LN(F4/1000)</f>
        <v>-4.5881596883546854</v>
      </c>
      <c r="K4">
        <f>((-G4)-$N$2)</f>
        <v>-0.45369515177521746</v>
      </c>
      <c r="L4">
        <v>1</v>
      </c>
      <c r="M4">
        <f>-1*($S$4+($S$5*J4))</f>
        <v>0.418721359301785</v>
      </c>
      <c r="N4">
        <f>D4*A4</f>
        <v>8.4423947999999992E-4</v>
      </c>
      <c r="O4">
        <f>E4*A4</f>
        <v>1.4240183999999999E-4</v>
      </c>
      <c r="P4">
        <f>-K4-M4-N4-O4</f>
        <v>3.3987151153432461E-2</v>
      </c>
      <c r="R4" s="2" t="s">
        <v>16</v>
      </c>
      <c r="S4">
        <v>-0.64400000000000002</v>
      </c>
      <c r="V4">
        <v>-6</v>
      </c>
      <c r="W4">
        <f>V4*$S$5+$S$4</f>
        <v>-0.34940000000000004</v>
      </c>
      <c r="Y4">
        <v>0</v>
      </c>
      <c r="Z4">
        <f>$AB$4*Y4+$AB$3</f>
        <v>-0.32316</v>
      </c>
      <c r="AB4">
        <v>8.3026900000000001</v>
      </c>
      <c r="AC4" t="s">
        <v>31</v>
      </c>
    </row>
    <row r="5" spans="1:29" x14ac:dyDescent="0.3">
      <c r="A5">
        <v>0.10177609999999999</v>
      </c>
      <c r="B5">
        <v>0.75724999999999998</v>
      </c>
      <c r="C5">
        <f t="shared" ref="C5:C68" si="1">A5*B5</f>
        <v>7.7069951724999988E-2</v>
      </c>
      <c r="D5">
        <v>1.66E-2</v>
      </c>
      <c r="E5">
        <v>2.8E-3</v>
      </c>
      <c r="F5">
        <f t="shared" ref="F5:F68" si="2">A5*200</f>
        <v>20.355219999999999</v>
      </c>
      <c r="G5">
        <f t="shared" ref="G5:G68" si="3">-B5</f>
        <v>-0.75724999999999998</v>
      </c>
      <c r="H5">
        <f t="shared" ref="H5:H68" si="4">-C5*200</f>
        <v>-15.413990344999998</v>
      </c>
      <c r="I5">
        <v>1</v>
      </c>
      <c r="J5">
        <f t="shared" ref="J5:J68" si="5">LN(F5/1000)</f>
        <v>-3.894417888930358</v>
      </c>
      <c r="K5">
        <f t="shared" ref="K5:K68" si="6">((-G5)-$N$2)</f>
        <v>-0.46447515177521748</v>
      </c>
      <c r="L5">
        <v>1</v>
      </c>
      <c r="M5">
        <f t="shared" ref="M5:M68" si="7">-1*($S$4+($S$5*J5))</f>
        <v>0.45278408165351947</v>
      </c>
      <c r="N5">
        <f t="shared" ref="N5:N6" si="8">D5*A5</f>
        <v>1.6894832599999999E-3</v>
      </c>
      <c r="O5">
        <f>E5*A5</f>
        <v>2.8497308E-4</v>
      </c>
      <c r="P5">
        <f>-K5-M5-N5-O5</f>
        <v>9.7166137816980108E-3</v>
      </c>
      <c r="R5" s="2" t="s">
        <v>17</v>
      </c>
      <c r="S5">
        <v>-4.9099999999999998E-2</v>
      </c>
      <c r="V5">
        <v>-5.9</v>
      </c>
      <c r="W5">
        <f t="shared" ref="W5:W68" si="9">V5*$S$5+$S$4</f>
        <v>-0.35431000000000001</v>
      </c>
      <c r="Y5">
        <v>0.01</v>
      </c>
      <c r="Z5">
        <f t="shared" ref="Z5:Z31" si="10">$AB$4*Y5+$AB$3</f>
        <v>-0.24013309999999999</v>
      </c>
    </row>
    <row r="6" spans="1:29" x14ac:dyDescent="0.3">
      <c r="A6">
        <v>0.15625875</v>
      </c>
      <c r="B6">
        <v>0.74443000000000004</v>
      </c>
      <c r="C6">
        <f t="shared" si="1"/>
        <v>0.11632370126250001</v>
      </c>
      <c r="D6">
        <v>1.66E-2</v>
      </c>
      <c r="E6">
        <v>2.8E-3</v>
      </c>
      <c r="F6">
        <f t="shared" si="2"/>
        <v>31.251750000000001</v>
      </c>
      <c r="G6">
        <f t="shared" si="3"/>
        <v>-0.74443000000000004</v>
      </c>
      <c r="H6">
        <f t="shared" si="4"/>
        <v>-23.264740252500001</v>
      </c>
      <c r="I6">
        <v>1</v>
      </c>
      <c r="J6">
        <f t="shared" si="5"/>
        <v>-3.465679904367668</v>
      </c>
      <c r="K6">
        <f t="shared" si="6"/>
        <v>-0.47729515177521742</v>
      </c>
      <c r="L6">
        <v>1</v>
      </c>
      <c r="M6">
        <f t="shared" si="7"/>
        <v>0.47383511669554756</v>
      </c>
      <c r="N6">
        <f t="shared" si="8"/>
        <v>2.59389525E-3</v>
      </c>
      <c r="O6">
        <f t="shared" ref="O6:O69" si="11">E6*A6</f>
        <v>4.3752450000000002E-4</v>
      </c>
      <c r="P6">
        <f t="shared" ref="P6:P69" si="12">-K6-M6-N6-O6</f>
        <v>4.2861532966985422E-4</v>
      </c>
      <c r="V6">
        <v>-5.8</v>
      </c>
      <c r="W6">
        <f t="shared" si="9"/>
        <v>-0.35922000000000004</v>
      </c>
      <c r="Y6">
        <v>0.02</v>
      </c>
      <c r="Z6">
        <f t="shared" si="10"/>
        <v>-0.1571062</v>
      </c>
      <c r="AB6" t="s">
        <v>32</v>
      </c>
    </row>
    <row r="7" spans="1:29" x14ac:dyDescent="0.3">
      <c r="A7">
        <v>0.20768624999999999</v>
      </c>
      <c r="B7">
        <v>0.73309000000000002</v>
      </c>
      <c r="C7">
        <f t="shared" si="1"/>
        <v>0.15225271301249999</v>
      </c>
      <c r="D7">
        <v>1.66E-2</v>
      </c>
      <c r="E7">
        <v>2.8E-3</v>
      </c>
      <c r="F7">
        <f t="shared" si="2"/>
        <v>41.53725</v>
      </c>
      <c r="G7">
        <f t="shared" si="3"/>
        <v>-0.73309000000000002</v>
      </c>
      <c r="H7">
        <f t="shared" si="4"/>
        <v>-30.450542602499997</v>
      </c>
      <c r="I7">
        <v>1</v>
      </c>
      <c r="J7">
        <f t="shared" si="5"/>
        <v>-3.1811646639773761</v>
      </c>
      <c r="K7">
        <f t="shared" si="6"/>
        <v>-0.48863515177521744</v>
      </c>
      <c r="L7">
        <v>1</v>
      </c>
      <c r="M7">
        <f t="shared" si="7"/>
        <v>0.48780481499871087</v>
      </c>
      <c r="N7">
        <f t="shared" ref="N7:N70" si="13">D7*A7</f>
        <v>3.4475917499999999E-3</v>
      </c>
      <c r="O7">
        <f t="shared" si="11"/>
        <v>5.8152149999999994E-4</v>
      </c>
      <c r="P7">
        <f t="shared" si="12"/>
        <v>-3.1987764734934315E-3</v>
      </c>
      <c r="V7">
        <v>-5.7</v>
      </c>
      <c r="W7">
        <f t="shared" si="9"/>
        <v>-0.36413000000000001</v>
      </c>
      <c r="Y7">
        <v>0.03</v>
      </c>
      <c r="Z7">
        <f t="shared" si="10"/>
        <v>-7.4079300000000015E-2</v>
      </c>
      <c r="AB7" t="s">
        <v>33</v>
      </c>
      <c r="AC7">
        <f>-AB3/AB4</f>
        <v>3.8922325174130315E-2</v>
      </c>
    </row>
    <row r="8" spans="1:29" x14ac:dyDescent="0.3">
      <c r="A8">
        <v>0.25860460000000002</v>
      </c>
      <c r="B8">
        <v>0.72392999999999996</v>
      </c>
      <c r="C8">
        <f t="shared" si="1"/>
        <v>0.18721162807800001</v>
      </c>
      <c r="D8">
        <v>1.66E-2</v>
      </c>
      <c r="E8">
        <v>2.8E-3</v>
      </c>
      <c r="F8">
        <f t="shared" si="2"/>
        <v>51.720920000000007</v>
      </c>
      <c r="G8">
        <f t="shared" si="3"/>
        <v>-0.72392999999999996</v>
      </c>
      <c r="H8">
        <f t="shared" si="4"/>
        <v>-37.442325615600005</v>
      </c>
      <c r="I8">
        <v>1</v>
      </c>
      <c r="J8">
        <f t="shared" si="5"/>
        <v>-2.9618929371469727</v>
      </c>
      <c r="K8">
        <f t="shared" si="6"/>
        <v>-0.49779515177521749</v>
      </c>
      <c r="L8">
        <v>1</v>
      </c>
      <c r="M8">
        <f t="shared" si="7"/>
        <v>0.49857105678608366</v>
      </c>
      <c r="N8">
        <f t="shared" si="13"/>
        <v>4.2928363600000007E-3</v>
      </c>
      <c r="O8">
        <f t="shared" si="11"/>
        <v>7.2409288000000003E-4</v>
      </c>
      <c r="P8">
        <f t="shared" si="12"/>
        <v>-5.7928342508661631E-3</v>
      </c>
      <c r="V8">
        <v>-5.6</v>
      </c>
      <c r="W8">
        <f t="shared" si="9"/>
        <v>-0.36904000000000003</v>
      </c>
      <c r="Y8">
        <v>0.04</v>
      </c>
      <c r="Z8">
        <f t="shared" si="10"/>
        <v>8.9476E-3</v>
      </c>
    </row>
    <row r="9" spans="1:29" x14ac:dyDescent="0.3">
      <c r="A9">
        <v>0.30901375000000003</v>
      </c>
      <c r="B9">
        <v>0.71421000000000001</v>
      </c>
      <c r="C9">
        <f t="shared" si="1"/>
        <v>0.22070071038750003</v>
      </c>
      <c r="D9">
        <v>1.66E-2</v>
      </c>
      <c r="E9">
        <v>2.8E-3</v>
      </c>
      <c r="F9">
        <f t="shared" si="2"/>
        <v>61.802750000000003</v>
      </c>
      <c r="G9">
        <f t="shared" si="3"/>
        <v>-0.71421000000000001</v>
      </c>
      <c r="H9">
        <f t="shared" si="4"/>
        <v>-44.140142077500002</v>
      </c>
      <c r="I9">
        <v>1</v>
      </c>
      <c r="J9">
        <f t="shared" si="5"/>
        <v>-2.7838074171266385</v>
      </c>
      <c r="K9">
        <f t="shared" si="6"/>
        <v>-0.50751515177521744</v>
      </c>
      <c r="L9">
        <v>1</v>
      </c>
      <c r="M9">
        <f t="shared" si="7"/>
        <v>0.50731505581908209</v>
      </c>
      <c r="N9">
        <f t="shared" si="13"/>
        <v>5.1296282500000005E-3</v>
      </c>
      <c r="O9">
        <f t="shared" si="11"/>
        <v>8.6523850000000012E-4</v>
      </c>
      <c r="P9">
        <f t="shared" si="12"/>
        <v>-5.7947707938646523E-3</v>
      </c>
      <c r="V9">
        <v>-5.5</v>
      </c>
      <c r="W9">
        <f t="shared" si="9"/>
        <v>-0.37395</v>
      </c>
      <c r="Y9">
        <v>0.05</v>
      </c>
      <c r="Z9">
        <f t="shared" si="10"/>
        <v>9.1974500000000015E-2</v>
      </c>
      <c r="AB9" t="s">
        <v>35</v>
      </c>
      <c r="AC9">
        <v>3.7990000000000003E-2</v>
      </c>
    </row>
    <row r="10" spans="1:29" x14ac:dyDescent="0.3">
      <c r="A10">
        <v>0.36044124999999999</v>
      </c>
      <c r="B10">
        <v>0.70623000000000002</v>
      </c>
      <c r="C10">
        <f t="shared" si="1"/>
        <v>0.2545544239875</v>
      </c>
      <c r="D10">
        <v>1.66E-2</v>
      </c>
      <c r="E10">
        <v>2.8E-3</v>
      </c>
      <c r="F10">
        <f t="shared" si="2"/>
        <v>72.088250000000002</v>
      </c>
      <c r="G10">
        <f t="shared" si="3"/>
        <v>-0.70623000000000002</v>
      </c>
      <c r="H10">
        <f t="shared" si="4"/>
        <v>-50.910884797500003</v>
      </c>
      <c r="I10">
        <v>1</v>
      </c>
      <c r="J10">
        <f t="shared" si="5"/>
        <v>-2.6298642160718386</v>
      </c>
      <c r="K10">
        <f t="shared" si="6"/>
        <v>-0.51549515177521743</v>
      </c>
      <c r="L10">
        <v>1</v>
      </c>
      <c r="M10">
        <f t="shared" si="7"/>
        <v>0.51487366699087278</v>
      </c>
      <c r="N10">
        <f t="shared" si="13"/>
        <v>5.9833247499999995E-3</v>
      </c>
      <c r="O10">
        <f t="shared" si="11"/>
        <v>1.0092355E-3</v>
      </c>
      <c r="P10">
        <f t="shared" si="12"/>
        <v>-6.3710754656553497E-3</v>
      </c>
      <c r="V10">
        <v>-5.4</v>
      </c>
      <c r="W10">
        <f t="shared" si="9"/>
        <v>-0.37886000000000003</v>
      </c>
      <c r="Y10">
        <v>0.06</v>
      </c>
      <c r="Z10">
        <f t="shared" si="10"/>
        <v>0.17500139999999997</v>
      </c>
    </row>
    <row r="11" spans="1:29" x14ac:dyDescent="0.3">
      <c r="A11">
        <v>0.41237794999999999</v>
      </c>
      <c r="B11">
        <v>0.69835999999999998</v>
      </c>
      <c r="C11">
        <f t="shared" si="1"/>
        <v>0.28798826516199999</v>
      </c>
      <c r="D11">
        <v>1.66E-2</v>
      </c>
      <c r="E11">
        <v>2.8E-3</v>
      </c>
      <c r="F11">
        <f t="shared" si="2"/>
        <v>82.475589999999997</v>
      </c>
      <c r="G11">
        <f t="shared" si="3"/>
        <v>-0.69835999999999998</v>
      </c>
      <c r="H11">
        <f t="shared" si="4"/>
        <v>-57.597653032399997</v>
      </c>
      <c r="I11">
        <v>1</v>
      </c>
      <c r="J11">
        <f t="shared" si="5"/>
        <v>-2.4952529082101451</v>
      </c>
      <c r="K11">
        <f t="shared" si="6"/>
        <v>-0.52336515177521747</v>
      </c>
      <c r="L11">
        <v>1</v>
      </c>
      <c r="M11">
        <f t="shared" si="7"/>
        <v>0.52148308220688189</v>
      </c>
      <c r="N11">
        <f t="shared" si="13"/>
        <v>6.8454739699999999E-3</v>
      </c>
      <c r="O11">
        <f t="shared" si="11"/>
        <v>1.1546582600000001E-3</v>
      </c>
      <c r="P11">
        <f t="shared" si="12"/>
        <v>-6.118062661664413E-3</v>
      </c>
      <c r="V11">
        <v>-5.3</v>
      </c>
      <c r="W11">
        <f t="shared" si="9"/>
        <v>-0.38377000000000006</v>
      </c>
      <c r="Y11">
        <v>7.0000000000000007E-2</v>
      </c>
      <c r="Z11">
        <f t="shared" si="10"/>
        <v>0.2580283000000001</v>
      </c>
      <c r="AB11" t="s">
        <v>34</v>
      </c>
      <c r="AC11">
        <f>AC7-AC9</f>
        <v>9.3232517413031207E-4</v>
      </c>
    </row>
    <row r="12" spans="1:29" x14ac:dyDescent="0.3">
      <c r="A12">
        <v>0.46329625000000002</v>
      </c>
      <c r="B12">
        <v>0.69064999999999999</v>
      </c>
      <c r="C12">
        <f t="shared" si="1"/>
        <v>0.31997555506250003</v>
      </c>
      <c r="D12">
        <v>1.66E-2</v>
      </c>
      <c r="E12">
        <v>2.8E-3</v>
      </c>
      <c r="F12">
        <f t="shared" si="2"/>
        <v>92.65925</v>
      </c>
      <c r="G12">
        <f t="shared" si="3"/>
        <v>-0.69064999999999999</v>
      </c>
      <c r="H12">
        <f t="shared" si="4"/>
        <v>-63.995111012500004</v>
      </c>
      <c r="I12">
        <v>1</v>
      </c>
      <c r="J12">
        <f t="shared" si="5"/>
        <v>-2.3788264931338818</v>
      </c>
      <c r="K12">
        <f t="shared" si="6"/>
        <v>-0.53107515177521747</v>
      </c>
      <c r="L12">
        <v>1</v>
      </c>
      <c r="M12">
        <f t="shared" si="7"/>
        <v>0.52719961918712643</v>
      </c>
      <c r="N12">
        <f t="shared" si="13"/>
        <v>7.6907177500000002E-3</v>
      </c>
      <c r="O12">
        <f t="shared" si="11"/>
        <v>1.2972295E-3</v>
      </c>
      <c r="P12">
        <f t="shared" si="12"/>
        <v>-5.1124146619089652E-3</v>
      </c>
      <c r="V12">
        <v>-5.2</v>
      </c>
      <c r="W12">
        <f t="shared" si="9"/>
        <v>-0.38868000000000003</v>
      </c>
      <c r="Y12">
        <v>0.08</v>
      </c>
      <c r="Z12">
        <f t="shared" si="10"/>
        <v>0.3410552</v>
      </c>
      <c r="AC12">
        <f>AC11*3</f>
        <v>2.7969755223909362E-3</v>
      </c>
    </row>
    <row r="13" spans="1:29" x14ac:dyDescent="0.3">
      <c r="A13">
        <v>0.51421460000000008</v>
      </c>
      <c r="B13">
        <v>0.68374000000000001</v>
      </c>
      <c r="C13">
        <f t="shared" si="1"/>
        <v>0.35158909060400007</v>
      </c>
      <c r="D13">
        <v>1.66E-2</v>
      </c>
      <c r="E13">
        <v>2.8E-3</v>
      </c>
      <c r="F13">
        <f t="shared" si="2"/>
        <v>102.84292000000002</v>
      </c>
      <c r="G13">
        <f t="shared" si="3"/>
        <v>-0.68374000000000001</v>
      </c>
      <c r="H13">
        <f t="shared" si="4"/>
        <v>-70.317818120800013</v>
      </c>
      <c r="I13">
        <v>1</v>
      </c>
      <c r="J13">
        <f t="shared" si="5"/>
        <v>-2.2745525033663805</v>
      </c>
      <c r="K13">
        <f t="shared" si="6"/>
        <v>-0.53798515177521744</v>
      </c>
      <c r="L13">
        <v>1</v>
      </c>
      <c r="M13">
        <f t="shared" si="7"/>
        <v>0.53231947208471075</v>
      </c>
      <c r="N13">
        <f t="shared" si="13"/>
        <v>8.5359623600000014E-3</v>
      </c>
      <c r="O13">
        <f t="shared" si="11"/>
        <v>1.4398008800000001E-3</v>
      </c>
      <c r="P13">
        <f t="shared" si="12"/>
        <v>-4.3100835494933147E-3</v>
      </c>
      <c r="V13">
        <v>-5.0999999999999996</v>
      </c>
      <c r="W13">
        <f t="shared" si="9"/>
        <v>-0.39359000000000005</v>
      </c>
      <c r="Y13">
        <v>0.09</v>
      </c>
      <c r="Z13">
        <f t="shared" si="10"/>
        <v>0.42408210000000002</v>
      </c>
    </row>
    <row r="14" spans="1:29" x14ac:dyDescent="0.3">
      <c r="A14">
        <v>0.56462380000000001</v>
      </c>
      <c r="B14">
        <v>0.67766999999999999</v>
      </c>
      <c r="C14">
        <f t="shared" si="1"/>
        <v>0.382628610546</v>
      </c>
      <c r="D14">
        <v>1.66E-2</v>
      </c>
      <c r="E14">
        <v>2.8E-3</v>
      </c>
      <c r="F14">
        <f t="shared" si="2"/>
        <v>112.92476000000001</v>
      </c>
      <c r="G14">
        <f t="shared" si="3"/>
        <v>-0.67766999999999999</v>
      </c>
      <c r="H14">
        <f t="shared" si="4"/>
        <v>-76.525722109200004</v>
      </c>
      <c r="I14">
        <v>1</v>
      </c>
      <c r="J14">
        <f t="shared" si="5"/>
        <v>-2.181033522748133</v>
      </c>
      <c r="K14">
        <f t="shared" si="6"/>
        <v>-0.54405515177521746</v>
      </c>
      <c r="L14">
        <v>1</v>
      </c>
      <c r="M14">
        <f t="shared" si="7"/>
        <v>0.53691125403306672</v>
      </c>
      <c r="N14">
        <f t="shared" si="13"/>
        <v>9.3727550799999997E-3</v>
      </c>
      <c r="O14">
        <f t="shared" si="11"/>
        <v>1.58094664E-3</v>
      </c>
      <c r="P14">
        <f t="shared" si="12"/>
        <v>-3.8098039778492595E-3</v>
      </c>
      <c r="V14">
        <v>-5</v>
      </c>
      <c r="W14">
        <f t="shared" si="9"/>
        <v>-0.39850000000000002</v>
      </c>
      <c r="Y14">
        <v>0.1</v>
      </c>
      <c r="Z14">
        <f t="shared" si="10"/>
        <v>0.50710900000000003</v>
      </c>
    </row>
    <row r="15" spans="1:29" x14ac:dyDescent="0.3">
      <c r="A15">
        <v>0.61503295000000002</v>
      </c>
      <c r="B15">
        <v>0.67100000000000004</v>
      </c>
      <c r="C15">
        <f t="shared" si="1"/>
        <v>0.41268710945000003</v>
      </c>
      <c r="D15">
        <v>1.66E-2</v>
      </c>
      <c r="E15">
        <v>2.8E-3</v>
      </c>
      <c r="F15">
        <f t="shared" si="2"/>
        <v>123.00659</v>
      </c>
      <c r="G15">
        <f t="shared" si="3"/>
        <v>-0.67100000000000004</v>
      </c>
      <c r="H15">
        <f t="shared" si="4"/>
        <v>-82.537421890000005</v>
      </c>
      <c r="I15">
        <v>1</v>
      </c>
      <c r="J15">
        <f t="shared" si="5"/>
        <v>-2.0955173478091562</v>
      </c>
      <c r="K15">
        <f t="shared" si="6"/>
        <v>-0.55072515177521741</v>
      </c>
      <c r="L15">
        <v>1</v>
      </c>
      <c r="M15">
        <f t="shared" si="7"/>
        <v>0.5411100982225705</v>
      </c>
      <c r="N15">
        <f t="shared" si="13"/>
        <v>1.020954697E-2</v>
      </c>
      <c r="O15">
        <f t="shared" si="11"/>
        <v>1.72209226E-3</v>
      </c>
      <c r="P15">
        <f t="shared" si="12"/>
        <v>-2.3165856773530876E-3</v>
      </c>
      <c r="V15">
        <v>-4.9000000000000004</v>
      </c>
      <c r="W15">
        <f t="shared" si="9"/>
        <v>-0.40341000000000005</v>
      </c>
      <c r="Y15">
        <v>0.11</v>
      </c>
      <c r="Z15">
        <f t="shared" si="10"/>
        <v>0.59013590000000005</v>
      </c>
    </row>
    <row r="16" spans="1:29" x14ac:dyDescent="0.3">
      <c r="A16">
        <v>0.66544210000000004</v>
      </c>
      <c r="B16">
        <v>0.66532999999999998</v>
      </c>
      <c r="C16">
        <f t="shared" si="1"/>
        <v>0.44273859239300001</v>
      </c>
      <c r="D16">
        <v>1.66E-2</v>
      </c>
      <c r="E16">
        <v>2.8E-3</v>
      </c>
      <c r="F16">
        <f t="shared" si="2"/>
        <v>133.08842000000001</v>
      </c>
      <c r="G16">
        <f t="shared" si="3"/>
        <v>-0.66532999999999998</v>
      </c>
      <c r="H16">
        <f t="shared" si="4"/>
        <v>-88.547718478600004</v>
      </c>
      <c r="I16">
        <v>1</v>
      </c>
      <c r="J16">
        <f t="shared" si="5"/>
        <v>-2.016741559619931</v>
      </c>
      <c r="K16">
        <f t="shared" si="6"/>
        <v>-0.55639515177521748</v>
      </c>
      <c r="L16">
        <v>1</v>
      </c>
      <c r="M16">
        <f t="shared" si="7"/>
        <v>0.5449779894226614</v>
      </c>
      <c r="N16">
        <f t="shared" si="13"/>
        <v>1.1046338860000001E-2</v>
      </c>
      <c r="O16">
        <f t="shared" si="11"/>
        <v>1.8632378800000002E-3</v>
      </c>
      <c r="P16">
        <f t="shared" si="12"/>
        <v>-1.4924143874439251E-3</v>
      </c>
      <c r="V16">
        <v>-4.8</v>
      </c>
      <c r="W16">
        <f t="shared" si="9"/>
        <v>-0.40832000000000002</v>
      </c>
      <c r="Y16">
        <v>0.12</v>
      </c>
      <c r="Z16">
        <f t="shared" si="10"/>
        <v>0.67316279999999995</v>
      </c>
    </row>
    <row r="17" spans="1:26" x14ac:dyDescent="0.3">
      <c r="A17">
        <v>0.71686954999999997</v>
      </c>
      <c r="B17">
        <v>0.65939000000000003</v>
      </c>
      <c r="C17">
        <f t="shared" si="1"/>
        <v>0.47269661257450002</v>
      </c>
      <c r="D17">
        <v>1.66E-2</v>
      </c>
      <c r="E17">
        <v>2.8E-3</v>
      </c>
      <c r="F17">
        <f t="shared" si="2"/>
        <v>143.37391</v>
      </c>
      <c r="G17">
        <f t="shared" si="3"/>
        <v>-0.65939000000000003</v>
      </c>
      <c r="H17">
        <f t="shared" si="4"/>
        <v>-94.539322514900007</v>
      </c>
      <c r="I17">
        <v>1</v>
      </c>
      <c r="J17">
        <f t="shared" si="5"/>
        <v>-1.9422993060026519</v>
      </c>
      <c r="K17">
        <f t="shared" si="6"/>
        <v>-0.56233515177521742</v>
      </c>
      <c r="L17">
        <v>1</v>
      </c>
      <c r="M17">
        <f t="shared" si="7"/>
        <v>0.54863310407526977</v>
      </c>
      <c r="N17">
        <f t="shared" si="13"/>
        <v>1.1900034529999999E-2</v>
      </c>
      <c r="O17">
        <f t="shared" si="11"/>
        <v>2.0072347399999997E-3</v>
      </c>
      <c r="P17">
        <f t="shared" si="12"/>
        <v>-2.0522157005234843E-4</v>
      </c>
      <c r="V17">
        <v>-4.7</v>
      </c>
      <c r="W17">
        <f t="shared" si="9"/>
        <v>-0.41322999999999999</v>
      </c>
      <c r="Y17">
        <v>0.13</v>
      </c>
      <c r="Z17">
        <f t="shared" si="10"/>
        <v>0.75618970000000008</v>
      </c>
    </row>
    <row r="18" spans="1:26" x14ac:dyDescent="0.3">
      <c r="A18">
        <v>0.76982465</v>
      </c>
      <c r="B18">
        <v>0.65412999999999999</v>
      </c>
      <c r="C18">
        <f t="shared" si="1"/>
        <v>0.50356539830449998</v>
      </c>
      <c r="D18">
        <v>1.66E-2</v>
      </c>
      <c r="E18">
        <v>2.8E-3</v>
      </c>
      <c r="F18">
        <f t="shared" si="2"/>
        <v>153.96493000000001</v>
      </c>
      <c r="G18">
        <f t="shared" si="3"/>
        <v>-0.65412999999999999</v>
      </c>
      <c r="H18">
        <f t="shared" si="4"/>
        <v>-100.71307966089999</v>
      </c>
      <c r="I18">
        <v>1</v>
      </c>
      <c r="J18">
        <f t="shared" si="5"/>
        <v>-1.8710304297750278</v>
      </c>
      <c r="K18">
        <f t="shared" si="6"/>
        <v>-0.56759515177521747</v>
      </c>
      <c r="L18">
        <v>1</v>
      </c>
      <c r="M18">
        <f t="shared" si="7"/>
        <v>0.55213240589804613</v>
      </c>
      <c r="N18">
        <f t="shared" si="13"/>
        <v>1.2779089190000001E-2</v>
      </c>
      <c r="O18">
        <f t="shared" si="11"/>
        <v>2.1555090199999998E-3</v>
      </c>
      <c r="P18">
        <f t="shared" si="12"/>
        <v>5.2814766717133518E-4</v>
      </c>
      <c r="V18">
        <v>-4.5999999999999996</v>
      </c>
      <c r="W18">
        <f t="shared" si="9"/>
        <v>-0.41814000000000007</v>
      </c>
      <c r="Y18">
        <v>0.14000000000000001</v>
      </c>
      <c r="Z18">
        <f t="shared" si="10"/>
        <v>0.8392166000000002</v>
      </c>
    </row>
    <row r="19" spans="1:26" x14ac:dyDescent="0.3">
      <c r="A19">
        <v>0.82023369999999995</v>
      </c>
      <c r="B19">
        <v>0.64844999999999997</v>
      </c>
      <c r="C19">
        <f t="shared" si="1"/>
        <v>0.53188054276499996</v>
      </c>
      <c r="D19">
        <v>1.66E-2</v>
      </c>
      <c r="E19">
        <v>2.8E-3</v>
      </c>
      <c r="F19">
        <f t="shared" si="2"/>
        <v>164.04674</v>
      </c>
      <c r="G19">
        <f t="shared" si="3"/>
        <v>-0.64844999999999997</v>
      </c>
      <c r="H19">
        <f t="shared" si="4"/>
        <v>-106.37610855299999</v>
      </c>
      <c r="I19">
        <v>1</v>
      </c>
      <c r="J19">
        <f t="shared" si="5"/>
        <v>-1.807603891762724</v>
      </c>
      <c r="K19">
        <f t="shared" si="6"/>
        <v>-0.57327515177521748</v>
      </c>
      <c r="L19">
        <v>1</v>
      </c>
      <c r="M19">
        <f t="shared" si="7"/>
        <v>0.5552466489144503</v>
      </c>
      <c r="N19">
        <f t="shared" si="13"/>
        <v>1.3615879419999999E-2</v>
      </c>
      <c r="O19">
        <f t="shared" si="11"/>
        <v>2.2966543599999998E-3</v>
      </c>
      <c r="P19">
        <f t="shared" si="12"/>
        <v>2.1159690807671825E-3</v>
      </c>
      <c r="V19">
        <v>-4.5000000000000098</v>
      </c>
      <c r="W19">
        <f t="shared" si="9"/>
        <v>-0.42304999999999954</v>
      </c>
      <c r="Y19">
        <v>0.15</v>
      </c>
      <c r="Z19">
        <f t="shared" si="10"/>
        <v>0.92224349999999988</v>
      </c>
    </row>
    <row r="20" spans="1:26" x14ac:dyDescent="0.3">
      <c r="A20">
        <v>0.87267970000000006</v>
      </c>
      <c r="B20">
        <v>0.64341000000000004</v>
      </c>
      <c r="C20">
        <f t="shared" si="1"/>
        <v>0.56149084577700004</v>
      </c>
      <c r="D20">
        <v>1.66E-2</v>
      </c>
      <c r="E20">
        <v>2.8E-3</v>
      </c>
      <c r="F20">
        <f t="shared" si="2"/>
        <v>174.53594000000001</v>
      </c>
      <c r="G20">
        <f t="shared" si="3"/>
        <v>-0.64341000000000004</v>
      </c>
      <c r="H20">
        <f t="shared" si="4"/>
        <v>-112.2981691554</v>
      </c>
      <c r="I20">
        <v>1</v>
      </c>
      <c r="J20">
        <f t="shared" si="5"/>
        <v>-1.7456245986610939</v>
      </c>
      <c r="K20">
        <f t="shared" si="6"/>
        <v>-0.57831515177521742</v>
      </c>
      <c r="L20">
        <v>1</v>
      </c>
      <c r="M20">
        <f t="shared" si="7"/>
        <v>0.55828983220574036</v>
      </c>
      <c r="N20">
        <f t="shared" si="13"/>
        <v>1.4486483020000001E-2</v>
      </c>
      <c r="O20">
        <f t="shared" si="11"/>
        <v>2.4435031600000003E-3</v>
      </c>
      <c r="P20">
        <f t="shared" si="12"/>
        <v>3.0953333894770609E-3</v>
      </c>
      <c r="V20">
        <v>-4.4000000000000101</v>
      </c>
      <c r="W20">
        <f t="shared" si="9"/>
        <v>-0.42795999999999956</v>
      </c>
      <c r="Y20">
        <v>0.16</v>
      </c>
      <c r="Z20">
        <f t="shared" si="10"/>
        <v>1.0052704000000001</v>
      </c>
    </row>
    <row r="21" spans="1:26" x14ac:dyDescent="0.3">
      <c r="A21">
        <v>0.92359790000000008</v>
      </c>
      <c r="B21">
        <v>0.63827999999999996</v>
      </c>
      <c r="C21">
        <f t="shared" si="1"/>
        <v>0.58951406761199998</v>
      </c>
      <c r="D21">
        <v>1.66E-2</v>
      </c>
      <c r="E21">
        <v>2.8E-3</v>
      </c>
      <c r="F21">
        <f t="shared" si="2"/>
        <v>184.71958000000001</v>
      </c>
      <c r="G21">
        <f t="shared" si="3"/>
        <v>-0.63827999999999996</v>
      </c>
      <c r="H21">
        <f t="shared" si="4"/>
        <v>-117.9028135224</v>
      </c>
      <c r="I21">
        <v>1</v>
      </c>
      <c r="J21">
        <f t="shared" si="5"/>
        <v>-1.6889163876500455</v>
      </c>
      <c r="K21">
        <f t="shared" si="6"/>
        <v>-0.5834451517752175</v>
      </c>
      <c r="L21">
        <v>1</v>
      </c>
      <c r="M21">
        <f t="shared" si="7"/>
        <v>0.56107420536638275</v>
      </c>
      <c r="N21">
        <f t="shared" si="13"/>
        <v>1.5331725140000002E-2</v>
      </c>
      <c r="O21">
        <f t="shared" si="11"/>
        <v>2.5860741200000002E-3</v>
      </c>
      <c r="P21">
        <f t="shared" si="12"/>
        <v>4.4531471488347442E-3</v>
      </c>
      <c r="V21">
        <v>-4.3000000000000096</v>
      </c>
      <c r="W21">
        <f t="shared" si="9"/>
        <v>-0.43286999999999953</v>
      </c>
      <c r="Y21">
        <v>0.17</v>
      </c>
      <c r="Z21">
        <f t="shared" si="10"/>
        <v>1.0882973000000002</v>
      </c>
    </row>
    <row r="22" spans="1:26" x14ac:dyDescent="0.3">
      <c r="A22">
        <v>0.97451625000000008</v>
      </c>
      <c r="B22">
        <v>0.63351999999999997</v>
      </c>
      <c r="C22">
        <f t="shared" si="1"/>
        <v>0.61737553470000006</v>
      </c>
      <c r="D22">
        <v>1.66E-2</v>
      </c>
      <c r="E22">
        <v>2.8E-3</v>
      </c>
      <c r="F22">
        <f t="shared" si="2"/>
        <v>194.90325000000001</v>
      </c>
      <c r="G22">
        <f t="shared" si="3"/>
        <v>-0.63351999999999997</v>
      </c>
      <c r="H22">
        <f t="shared" si="4"/>
        <v>-123.47510694000002</v>
      </c>
      <c r="I22">
        <v>1</v>
      </c>
      <c r="J22">
        <f t="shared" si="5"/>
        <v>-1.6352519973895911</v>
      </c>
      <c r="K22">
        <f t="shared" si="6"/>
        <v>-0.58820515177521748</v>
      </c>
      <c r="L22">
        <v>1</v>
      </c>
      <c r="M22">
        <f t="shared" si="7"/>
        <v>0.5637091269281711</v>
      </c>
      <c r="N22">
        <f t="shared" si="13"/>
        <v>1.6176969750000002E-2</v>
      </c>
      <c r="O22">
        <f t="shared" si="11"/>
        <v>2.7286455000000002E-3</v>
      </c>
      <c r="P22">
        <f t="shared" si="12"/>
        <v>5.5904095970463804E-3</v>
      </c>
      <c r="V22">
        <v>-4.2000000000000099</v>
      </c>
      <c r="W22">
        <f t="shared" si="9"/>
        <v>-0.4377799999999995</v>
      </c>
      <c r="Y22">
        <v>0.18</v>
      </c>
      <c r="Z22">
        <f t="shared" si="10"/>
        <v>1.1713241999999999</v>
      </c>
    </row>
    <row r="23" spans="1:26" x14ac:dyDescent="0.3">
      <c r="A23">
        <v>1.0254346999999999</v>
      </c>
      <c r="B23">
        <v>0.62860000000000005</v>
      </c>
      <c r="C23">
        <f t="shared" si="1"/>
        <v>0.64458825241999995</v>
      </c>
      <c r="D23">
        <v>1.66E-2</v>
      </c>
      <c r="E23">
        <v>2.8E-3</v>
      </c>
      <c r="F23">
        <f t="shared" si="2"/>
        <v>205.08693999999997</v>
      </c>
      <c r="G23">
        <f t="shared" si="3"/>
        <v>-0.62860000000000005</v>
      </c>
      <c r="H23">
        <f t="shared" si="4"/>
        <v>-128.91765048399998</v>
      </c>
      <c r="I23">
        <v>1</v>
      </c>
      <c r="J23">
        <f t="shared" si="5"/>
        <v>-1.5843212921867063</v>
      </c>
      <c r="K23">
        <f t="shared" si="6"/>
        <v>-0.59312515177521741</v>
      </c>
      <c r="L23">
        <v>1</v>
      </c>
      <c r="M23">
        <f t="shared" si="7"/>
        <v>0.56620982455363278</v>
      </c>
      <c r="N23">
        <f t="shared" si="13"/>
        <v>1.7022216019999998E-2</v>
      </c>
      <c r="O23">
        <f t="shared" si="11"/>
        <v>2.8712171599999999E-3</v>
      </c>
      <c r="P23">
        <f t="shared" si="12"/>
        <v>7.0218940415846306E-3</v>
      </c>
      <c r="V23">
        <v>-4.1000000000000103</v>
      </c>
      <c r="W23">
        <f t="shared" si="9"/>
        <v>-0.44268999999999953</v>
      </c>
      <c r="Y23">
        <v>0.19</v>
      </c>
      <c r="Z23">
        <f t="shared" si="10"/>
        <v>1.2543511000000001</v>
      </c>
    </row>
    <row r="24" spans="1:26" x14ac:dyDescent="0.3">
      <c r="A24">
        <v>1.0783898000000001</v>
      </c>
      <c r="B24">
        <v>0.62361</v>
      </c>
      <c r="C24">
        <f t="shared" si="1"/>
        <v>0.672494663178</v>
      </c>
      <c r="D24">
        <v>1.66E-2</v>
      </c>
      <c r="E24">
        <v>2.8E-3</v>
      </c>
      <c r="F24">
        <f t="shared" si="2"/>
        <v>215.67796000000001</v>
      </c>
      <c r="G24">
        <f t="shared" si="3"/>
        <v>-0.62361</v>
      </c>
      <c r="H24">
        <f t="shared" si="4"/>
        <v>-134.4989326356</v>
      </c>
      <c r="I24">
        <v>1</v>
      </c>
      <c r="J24">
        <f t="shared" si="5"/>
        <v>-1.5339689097598996</v>
      </c>
      <c r="K24">
        <f t="shared" si="6"/>
        <v>-0.59811515177521746</v>
      </c>
      <c r="L24">
        <v>1</v>
      </c>
      <c r="M24">
        <f t="shared" si="7"/>
        <v>0.56868212653078898</v>
      </c>
      <c r="N24">
        <f t="shared" si="13"/>
        <v>1.7901270680000001E-2</v>
      </c>
      <c r="O24">
        <f t="shared" si="11"/>
        <v>3.01949144E-3</v>
      </c>
      <c r="P24">
        <f t="shared" si="12"/>
        <v>8.512263124428477E-3</v>
      </c>
      <c r="V24">
        <v>-4.0000000000000098</v>
      </c>
      <c r="W24">
        <f t="shared" si="9"/>
        <v>-0.44759999999999955</v>
      </c>
      <c r="Y24">
        <v>0.2</v>
      </c>
      <c r="Z24">
        <f t="shared" si="10"/>
        <v>1.3373780000000002</v>
      </c>
    </row>
    <row r="25" spans="1:26" x14ac:dyDescent="0.3">
      <c r="A25">
        <v>1.1287990000000001</v>
      </c>
      <c r="B25">
        <v>0.61931999999999998</v>
      </c>
      <c r="C25">
        <f t="shared" si="1"/>
        <v>0.6990877966800001</v>
      </c>
      <c r="D25">
        <v>1.66E-2</v>
      </c>
      <c r="E25">
        <v>2.8E-3</v>
      </c>
      <c r="F25">
        <f t="shared" si="2"/>
        <v>225.75980000000001</v>
      </c>
      <c r="G25">
        <f t="shared" si="3"/>
        <v>-0.61931999999999998</v>
      </c>
      <c r="H25">
        <f t="shared" si="4"/>
        <v>-139.81755933600002</v>
      </c>
      <c r="I25">
        <v>1</v>
      </c>
      <c r="J25">
        <f t="shared" si="5"/>
        <v>-1.4882836767745529</v>
      </c>
      <c r="K25">
        <f t="shared" si="6"/>
        <v>-0.60240515177521747</v>
      </c>
      <c r="L25">
        <v>1</v>
      </c>
      <c r="M25">
        <f t="shared" si="7"/>
        <v>0.57092527147036942</v>
      </c>
      <c r="N25">
        <f t="shared" si="13"/>
        <v>1.8738063400000001E-2</v>
      </c>
      <c r="O25">
        <f t="shared" si="11"/>
        <v>3.1606372000000001E-3</v>
      </c>
      <c r="P25">
        <f t="shared" si="12"/>
        <v>9.5811797048480501E-3</v>
      </c>
      <c r="V25">
        <v>-3.9000000000000101</v>
      </c>
      <c r="W25">
        <f t="shared" si="9"/>
        <v>-0.45250999999999952</v>
      </c>
      <c r="Y25">
        <v>0.21</v>
      </c>
      <c r="Z25">
        <f t="shared" si="10"/>
        <v>1.4204048999999999</v>
      </c>
    </row>
    <row r="26" spans="1:26" x14ac:dyDescent="0.3">
      <c r="A26">
        <v>1.1797172</v>
      </c>
      <c r="B26">
        <v>0.61489000000000005</v>
      </c>
      <c r="C26">
        <f t="shared" si="1"/>
        <v>0.72539630910800001</v>
      </c>
      <c r="D26">
        <v>1.66E-2</v>
      </c>
      <c r="E26">
        <v>2.8E-3</v>
      </c>
      <c r="F26">
        <f t="shared" si="2"/>
        <v>235.94344000000001</v>
      </c>
      <c r="G26">
        <f t="shared" si="3"/>
        <v>-0.61489000000000005</v>
      </c>
      <c r="H26">
        <f t="shared" si="4"/>
        <v>-145.0792618216</v>
      </c>
      <c r="I26">
        <v>1</v>
      </c>
      <c r="J26">
        <f t="shared" si="5"/>
        <v>-1.4441631636967669</v>
      </c>
      <c r="K26">
        <f t="shared" si="6"/>
        <v>-0.60683515177521741</v>
      </c>
      <c r="L26">
        <v>1</v>
      </c>
      <c r="M26">
        <f t="shared" si="7"/>
        <v>0.57309158866248877</v>
      </c>
      <c r="N26">
        <f t="shared" si="13"/>
        <v>1.958330552E-2</v>
      </c>
      <c r="O26">
        <f t="shared" si="11"/>
        <v>3.30320816E-3</v>
      </c>
      <c r="P26">
        <f t="shared" si="12"/>
        <v>1.0857049432728636E-2</v>
      </c>
      <c r="V26">
        <v>-3.80000000000001</v>
      </c>
      <c r="W26">
        <f t="shared" si="9"/>
        <v>-0.45741999999999949</v>
      </c>
      <c r="Y26">
        <v>0.22</v>
      </c>
      <c r="Z26">
        <f t="shared" si="10"/>
        <v>1.5034318</v>
      </c>
    </row>
    <row r="27" spans="1:26" x14ac:dyDescent="0.3">
      <c r="A27">
        <v>1.2306355</v>
      </c>
      <c r="B27">
        <v>0.61040000000000005</v>
      </c>
      <c r="C27">
        <f t="shared" si="1"/>
        <v>0.75117990920000011</v>
      </c>
      <c r="D27">
        <v>1.66E-2</v>
      </c>
      <c r="E27">
        <v>2.8E-3</v>
      </c>
      <c r="F27">
        <f t="shared" si="2"/>
        <v>246.12709999999998</v>
      </c>
      <c r="G27">
        <f t="shared" si="3"/>
        <v>-0.61040000000000005</v>
      </c>
      <c r="H27">
        <f t="shared" si="4"/>
        <v>-150.23598184000002</v>
      </c>
      <c r="I27">
        <v>1</v>
      </c>
      <c r="J27">
        <f t="shared" si="5"/>
        <v>-1.4019072098093739</v>
      </c>
      <c r="K27">
        <f t="shared" si="6"/>
        <v>-0.6113251517752174</v>
      </c>
      <c r="L27">
        <v>1</v>
      </c>
      <c r="M27">
        <f t="shared" si="7"/>
        <v>0.57516635599835975</v>
      </c>
      <c r="N27">
        <f t="shared" si="13"/>
        <v>2.0428549300000001E-2</v>
      </c>
      <c r="O27">
        <f t="shared" si="11"/>
        <v>3.4457794000000001E-3</v>
      </c>
      <c r="P27">
        <f t="shared" si="12"/>
        <v>1.2284467076857654E-2</v>
      </c>
      <c r="V27">
        <v>-3.7000000000000099</v>
      </c>
      <c r="W27">
        <f t="shared" si="9"/>
        <v>-0.46232999999999957</v>
      </c>
      <c r="Y27">
        <v>0.23</v>
      </c>
      <c r="Z27">
        <f t="shared" si="10"/>
        <v>1.5864587000000001</v>
      </c>
    </row>
    <row r="28" spans="1:26" x14ac:dyDescent="0.3">
      <c r="A28">
        <v>1.2810446</v>
      </c>
      <c r="B28">
        <v>0.60604999999999998</v>
      </c>
      <c r="C28">
        <f t="shared" si="1"/>
        <v>0.77637707982999993</v>
      </c>
      <c r="D28">
        <v>1.66E-2</v>
      </c>
      <c r="E28">
        <v>2.8E-3</v>
      </c>
      <c r="F28">
        <f t="shared" si="2"/>
        <v>256.20891999999998</v>
      </c>
      <c r="G28">
        <f t="shared" si="3"/>
        <v>-0.60604999999999998</v>
      </c>
      <c r="H28">
        <f t="shared" si="4"/>
        <v>-155.275415966</v>
      </c>
      <c r="I28">
        <v>1</v>
      </c>
      <c r="J28">
        <f t="shared" si="5"/>
        <v>-1.3617620735760148</v>
      </c>
      <c r="K28">
        <f t="shared" si="6"/>
        <v>-0.61567515177521748</v>
      </c>
      <c r="L28">
        <v>1</v>
      </c>
      <c r="M28">
        <f t="shared" si="7"/>
        <v>0.57713748218741767</v>
      </c>
      <c r="N28">
        <f t="shared" si="13"/>
        <v>2.1265340359999999E-2</v>
      </c>
      <c r="O28">
        <f t="shared" si="11"/>
        <v>3.58692488E-3</v>
      </c>
      <c r="P28">
        <f t="shared" si="12"/>
        <v>1.3685404347799806E-2</v>
      </c>
      <c r="V28">
        <v>-3.6000000000000099</v>
      </c>
      <c r="W28">
        <f t="shared" si="9"/>
        <v>-0.46723999999999954</v>
      </c>
      <c r="Y28">
        <v>0.24</v>
      </c>
      <c r="Z28">
        <f t="shared" si="10"/>
        <v>1.6694855999999998</v>
      </c>
    </row>
    <row r="29" spans="1:26" x14ac:dyDescent="0.3">
      <c r="A29">
        <v>1.3314538999999999</v>
      </c>
      <c r="B29">
        <v>0.60190999999999995</v>
      </c>
      <c r="C29">
        <f t="shared" si="1"/>
        <v>0.80141541694899987</v>
      </c>
      <c r="D29">
        <v>1.66E-2</v>
      </c>
      <c r="E29">
        <v>2.8E-3</v>
      </c>
      <c r="F29">
        <f t="shared" si="2"/>
        <v>266.29077999999998</v>
      </c>
      <c r="G29">
        <f t="shared" si="3"/>
        <v>-0.60190999999999995</v>
      </c>
      <c r="H29">
        <f t="shared" si="4"/>
        <v>-160.28308338979997</v>
      </c>
      <c r="I29">
        <v>1</v>
      </c>
      <c r="J29">
        <f t="shared" si="5"/>
        <v>-1.32316640936771</v>
      </c>
      <c r="K29">
        <f t="shared" si="6"/>
        <v>-0.61981515177521751</v>
      </c>
      <c r="L29">
        <v>1</v>
      </c>
      <c r="M29">
        <f t="shared" si="7"/>
        <v>0.57903252930004545</v>
      </c>
      <c r="N29">
        <f t="shared" si="13"/>
        <v>2.2102134739999998E-2</v>
      </c>
      <c r="O29">
        <f t="shared" si="11"/>
        <v>3.7280709199999994E-3</v>
      </c>
      <c r="P29">
        <f t="shared" si="12"/>
        <v>1.4952416815172061E-2</v>
      </c>
      <c r="V29">
        <v>-3.5000000000000102</v>
      </c>
      <c r="W29">
        <f t="shared" si="9"/>
        <v>-0.47214999999999951</v>
      </c>
      <c r="Y29">
        <v>0.25</v>
      </c>
      <c r="Z29">
        <f t="shared" si="10"/>
        <v>1.7525124999999999</v>
      </c>
    </row>
    <row r="30" spans="1:26" x14ac:dyDescent="0.3">
      <c r="A30">
        <v>1.3828813</v>
      </c>
      <c r="B30">
        <v>0.59792000000000001</v>
      </c>
      <c r="C30">
        <f t="shared" si="1"/>
        <v>0.82685238689600005</v>
      </c>
      <c r="D30">
        <v>1.66E-2</v>
      </c>
      <c r="E30">
        <v>2.8E-3</v>
      </c>
      <c r="F30">
        <f t="shared" si="2"/>
        <v>276.57625999999999</v>
      </c>
      <c r="G30">
        <f t="shared" si="3"/>
        <v>-0.59792000000000001</v>
      </c>
      <c r="H30">
        <f t="shared" si="4"/>
        <v>-165.3704773792</v>
      </c>
      <c r="I30">
        <v>1</v>
      </c>
      <c r="J30">
        <f t="shared" si="5"/>
        <v>-1.2852686913452449</v>
      </c>
      <c r="K30">
        <f t="shared" si="6"/>
        <v>-0.62380515177521745</v>
      </c>
      <c r="L30">
        <v>1</v>
      </c>
      <c r="M30">
        <f t="shared" si="7"/>
        <v>0.58089330725494848</v>
      </c>
      <c r="N30">
        <f t="shared" si="13"/>
        <v>2.295582958E-2</v>
      </c>
      <c r="O30">
        <f t="shared" si="11"/>
        <v>3.8720676399999999E-3</v>
      </c>
      <c r="P30">
        <f t="shared" si="12"/>
        <v>1.6083947300268971E-2</v>
      </c>
      <c r="V30">
        <v>-3.4000000000000101</v>
      </c>
      <c r="W30">
        <f t="shared" si="9"/>
        <v>-0.47705999999999954</v>
      </c>
      <c r="Y30">
        <v>0.26</v>
      </c>
      <c r="Z30">
        <f t="shared" si="10"/>
        <v>1.8355394</v>
      </c>
    </row>
    <row r="31" spans="1:26" x14ac:dyDescent="0.3">
      <c r="A31">
        <v>1.4337996999999998</v>
      </c>
      <c r="B31">
        <v>0.59375</v>
      </c>
      <c r="C31">
        <f t="shared" si="1"/>
        <v>0.85131857187499982</v>
      </c>
      <c r="D31">
        <v>1.66E-2</v>
      </c>
      <c r="E31">
        <v>2.8E-3</v>
      </c>
      <c r="F31">
        <f t="shared" si="2"/>
        <v>286.75993999999997</v>
      </c>
      <c r="G31">
        <f t="shared" si="3"/>
        <v>-0.59375</v>
      </c>
      <c r="H31">
        <f t="shared" si="4"/>
        <v>-170.26371437499995</v>
      </c>
      <c r="I31">
        <v>1</v>
      </c>
      <c r="J31">
        <f t="shared" si="5"/>
        <v>-1.2491098592316903</v>
      </c>
      <c r="K31">
        <f t="shared" si="6"/>
        <v>-0.62797515177521745</v>
      </c>
      <c r="L31">
        <v>1</v>
      </c>
      <c r="M31">
        <f t="shared" si="7"/>
        <v>0.58266870591172404</v>
      </c>
      <c r="N31">
        <f t="shared" si="13"/>
        <v>2.3801075019999996E-2</v>
      </c>
      <c r="O31">
        <f t="shared" si="11"/>
        <v>4.0146391599999998E-3</v>
      </c>
      <c r="P31">
        <f t="shared" si="12"/>
        <v>1.7490731683493421E-2</v>
      </c>
      <c r="V31">
        <v>-3.30000000000001</v>
      </c>
      <c r="W31">
        <f t="shared" si="9"/>
        <v>-0.48196999999999957</v>
      </c>
      <c r="Y31">
        <v>0.27</v>
      </c>
      <c r="Z31">
        <f t="shared" si="10"/>
        <v>1.9185663000000002</v>
      </c>
    </row>
    <row r="32" spans="1:26" x14ac:dyDescent="0.3">
      <c r="A32">
        <v>1.4847178999999999</v>
      </c>
      <c r="B32">
        <v>0.58972999999999998</v>
      </c>
      <c r="C32">
        <f t="shared" si="1"/>
        <v>0.87558268716699994</v>
      </c>
      <c r="D32">
        <v>1.66E-2</v>
      </c>
      <c r="E32">
        <v>2.8E-3</v>
      </c>
      <c r="F32">
        <f t="shared" si="2"/>
        <v>296.94358</v>
      </c>
      <c r="G32">
        <f t="shared" si="3"/>
        <v>-0.58972999999999998</v>
      </c>
      <c r="H32">
        <f t="shared" si="4"/>
        <v>-175.1165374334</v>
      </c>
      <c r="I32">
        <v>1</v>
      </c>
      <c r="J32">
        <f t="shared" si="5"/>
        <v>-1.2142131245552925</v>
      </c>
      <c r="K32">
        <f t="shared" si="6"/>
        <v>-0.63199515177521748</v>
      </c>
      <c r="L32">
        <v>1</v>
      </c>
      <c r="M32">
        <f t="shared" si="7"/>
        <v>0.58438213558433516</v>
      </c>
      <c r="N32">
        <f t="shared" si="13"/>
        <v>2.4646317139999999E-2</v>
      </c>
      <c r="O32">
        <f t="shared" si="11"/>
        <v>4.1572101200000001E-3</v>
      </c>
      <c r="P32">
        <f t="shared" si="12"/>
        <v>1.8809488930882318E-2</v>
      </c>
      <c r="V32">
        <v>-3.2000000000000099</v>
      </c>
      <c r="W32">
        <f t="shared" si="9"/>
        <v>-0.48687999999999954</v>
      </c>
    </row>
    <row r="33" spans="1:23" x14ac:dyDescent="0.3">
      <c r="A33">
        <v>1.5386913999999998</v>
      </c>
      <c r="B33">
        <v>0.58577000000000001</v>
      </c>
      <c r="C33">
        <f t="shared" si="1"/>
        <v>0.90131926137799989</v>
      </c>
      <c r="D33">
        <v>1.66E-2</v>
      </c>
      <c r="E33">
        <v>2.8E-3</v>
      </c>
      <c r="F33">
        <f t="shared" si="2"/>
        <v>307.73827999999997</v>
      </c>
      <c r="G33">
        <f t="shared" si="3"/>
        <v>-0.58577000000000001</v>
      </c>
      <c r="H33">
        <f t="shared" si="4"/>
        <v>-180.26385227559999</v>
      </c>
      <c r="I33">
        <v>1</v>
      </c>
      <c r="J33">
        <f t="shared" si="5"/>
        <v>-1.1785055975022085</v>
      </c>
      <c r="K33">
        <f t="shared" si="6"/>
        <v>-0.63595515177521744</v>
      </c>
      <c r="L33">
        <v>1</v>
      </c>
      <c r="M33">
        <f t="shared" si="7"/>
        <v>0.58613537516264158</v>
      </c>
      <c r="N33">
        <f t="shared" si="13"/>
        <v>2.5542277239999998E-2</v>
      </c>
      <c r="O33">
        <f t="shared" si="11"/>
        <v>4.3083359199999997E-3</v>
      </c>
      <c r="P33">
        <f t="shared" si="12"/>
        <v>1.9969163452575864E-2</v>
      </c>
      <c r="V33">
        <v>-3.1000000000000099</v>
      </c>
      <c r="W33">
        <f t="shared" si="9"/>
        <v>-0.49178999999999951</v>
      </c>
    </row>
    <row r="34" spans="1:23" x14ac:dyDescent="0.3">
      <c r="A34">
        <v>1.5901189</v>
      </c>
      <c r="B34">
        <v>0.58176000000000005</v>
      </c>
      <c r="C34">
        <f t="shared" si="1"/>
        <v>0.92506757126400008</v>
      </c>
      <c r="D34">
        <v>1.66E-2</v>
      </c>
      <c r="E34">
        <v>2.8E-3</v>
      </c>
      <c r="F34">
        <f t="shared" si="2"/>
        <v>318.02377999999999</v>
      </c>
      <c r="G34">
        <f t="shared" si="3"/>
        <v>-0.58176000000000005</v>
      </c>
      <c r="H34">
        <f t="shared" si="4"/>
        <v>-185.01351425280001</v>
      </c>
      <c r="I34">
        <v>1</v>
      </c>
      <c r="J34">
        <f t="shared" si="5"/>
        <v>-1.1456291191236219</v>
      </c>
      <c r="K34">
        <f t="shared" si="6"/>
        <v>-0.6399651517752174</v>
      </c>
      <c r="L34">
        <v>1</v>
      </c>
      <c r="M34">
        <f t="shared" si="7"/>
        <v>0.58774961025103023</v>
      </c>
      <c r="N34">
        <f t="shared" si="13"/>
        <v>2.6395973740000002E-2</v>
      </c>
      <c r="O34">
        <f t="shared" si="11"/>
        <v>4.4523329199999996E-3</v>
      </c>
      <c r="P34">
        <f t="shared" si="12"/>
        <v>2.1367234864187169E-2</v>
      </c>
      <c r="V34">
        <v>-3.0000000000000102</v>
      </c>
      <c r="W34">
        <f t="shared" si="9"/>
        <v>-0.49669999999999953</v>
      </c>
    </row>
    <row r="35" spans="1:23" x14ac:dyDescent="0.3">
      <c r="A35">
        <v>1.6410372000000002</v>
      </c>
      <c r="B35">
        <v>0.57764000000000004</v>
      </c>
      <c r="C35">
        <f t="shared" si="1"/>
        <v>0.94792872820800023</v>
      </c>
      <c r="D35">
        <v>1.66E-2</v>
      </c>
      <c r="E35">
        <v>2.8E-3</v>
      </c>
      <c r="F35">
        <f t="shared" si="2"/>
        <v>328.20744000000002</v>
      </c>
      <c r="G35">
        <f t="shared" si="3"/>
        <v>-0.57764000000000004</v>
      </c>
      <c r="H35">
        <f t="shared" si="4"/>
        <v>-189.58574564160006</v>
      </c>
      <c r="I35">
        <v>1</v>
      </c>
      <c r="J35">
        <f t="shared" si="5"/>
        <v>-1.114109431478882</v>
      </c>
      <c r="K35">
        <f t="shared" si="6"/>
        <v>-0.64408515177521741</v>
      </c>
      <c r="L35">
        <v>1</v>
      </c>
      <c r="M35">
        <f t="shared" si="7"/>
        <v>0.58929722691438691</v>
      </c>
      <c r="N35">
        <f t="shared" si="13"/>
        <v>2.7241217520000003E-2</v>
      </c>
      <c r="O35">
        <f t="shared" si="11"/>
        <v>4.5949041600000006E-3</v>
      </c>
      <c r="P35">
        <f t="shared" si="12"/>
        <v>2.2951803180830503E-2</v>
      </c>
      <c r="V35">
        <v>-2.9000000000000101</v>
      </c>
      <c r="W35">
        <f t="shared" si="9"/>
        <v>-0.50160999999999956</v>
      </c>
    </row>
    <row r="36" spans="1:23" x14ac:dyDescent="0.3">
      <c r="A36">
        <v>1.6924646999999999</v>
      </c>
      <c r="B36">
        <v>0.57430000000000003</v>
      </c>
      <c r="C36">
        <f t="shared" si="1"/>
        <v>0.97198247720999997</v>
      </c>
      <c r="D36">
        <v>1.66E-2</v>
      </c>
      <c r="E36">
        <v>2.8E-3</v>
      </c>
      <c r="F36">
        <f t="shared" si="2"/>
        <v>338.49293999999998</v>
      </c>
      <c r="G36">
        <f t="shared" si="3"/>
        <v>-0.57430000000000003</v>
      </c>
      <c r="H36">
        <f t="shared" si="4"/>
        <v>-194.396495442</v>
      </c>
      <c r="I36">
        <v>1</v>
      </c>
      <c r="J36">
        <f t="shared" si="5"/>
        <v>-1.083252043568139</v>
      </c>
      <c r="K36">
        <f t="shared" si="6"/>
        <v>-0.64742515177521742</v>
      </c>
      <c r="L36">
        <v>1</v>
      </c>
      <c r="M36">
        <f t="shared" si="7"/>
        <v>0.59081232466080436</v>
      </c>
      <c r="N36">
        <f t="shared" si="13"/>
        <v>2.809491402E-2</v>
      </c>
      <c r="O36">
        <f t="shared" si="11"/>
        <v>4.7389011599999996E-3</v>
      </c>
      <c r="P36">
        <f t="shared" si="12"/>
        <v>2.3779011934413067E-2</v>
      </c>
      <c r="V36">
        <v>-2.80000000000001</v>
      </c>
      <c r="W36">
        <f t="shared" si="9"/>
        <v>-0.50651999999999953</v>
      </c>
    </row>
    <row r="37" spans="1:23" x14ac:dyDescent="0.3">
      <c r="A37">
        <v>1.7428739</v>
      </c>
      <c r="B37">
        <v>0.57060999999999995</v>
      </c>
      <c r="C37">
        <f t="shared" si="1"/>
        <v>0.99450127607899985</v>
      </c>
      <c r="D37">
        <v>1.66E-2</v>
      </c>
      <c r="E37">
        <v>2.8E-3</v>
      </c>
      <c r="F37">
        <f t="shared" si="2"/>
        <v>348.57477999999998</v>
      </c>
      <c r="G37">
        <f t="shared" si="3"/>
        <v>-0.57060999999999995</v>
      </c>
      <c r="H37">
        <f t="shared" si="4"/>
        <v>-198.90025521579997</v>
      </c>
      <c r="I37">
        <v>1</v>
      </c>
      <c r="J37">
        <f t="shared" si="5"/>
        <v>-1.0539024950423259</v>
      </c>
      <c r="K37">
        <f t="shared" si="6"/>
        <v>-0.6511151517752175</v>
      </c>
      <c r="L37">
        <v>1</v>
      </c>
      <c r="M37">
        <f t="shared" si="7"/>
        <v>0.59225338749342182</v>
      </c>
      <c r="N37">
        <f t="shared" si="13"/>
        <v>2.893170674E-2</v>
      </c>
      <c r="O37">
        <f t="shared" si="11"/>
        <v>4.8800469199999997E-3</v>
      </c>
      <c r="P37">
        <f t="shared" si="12"/>
        <v>2.5050010621795682E-2</v>
      </c>
      <c r="V37">
        <v>-2.7000000000000099</v>
      </c>
      <c r="W37">
        <f t="shared" si="9"/>
        <v>-0.5114299999999995</v>
      </c>
    </row>
    <row r="38" spans="1:23" x14ac:dyDescent="0.3">
      <c r="A38">
        <v>1.7937921000000001</v>
      </c>
      <c r="B38">
        <v>0.56686999999999999</v>
      </c>
      <c r="C38">
        <f t="shared" si="1"/>
        <v>1.016846927727</v>
      </c>
      <c r="D38">
        <v>1.66E-2</v>
      </c>
      <c r="E38">
        <v>2.8E-3</v>
      </c>
      <c r="F38">
        <f t="shared" si="2"/>
        <v>358.75842</v>
      </c>
      <c r="G38">
        <f t="shared" si="3"/>
        <v>-0.56686999999999999</v>
      </c>
      <c r="H38">
        <f t="shared" si="4"/>
        <v>-203.36938554540001</v>
      </c>
      <c r="I38">
        <v>1</v>
      </c>
      <c r="J38">
        <f t="shared" si="5"/>
        <v>-1.0251060418004561</v>
      </c>
      <c r="K38">
        <f t="shared" si="6"/>
        <v>-0.65485515177521747</v>
      </c>
      <c r="L38">
        <v>1</v>
      </c>
      <c r="M38">
        <f t="shared" si="7"/>
        <v>0.5936672933475976</v>
      </c>
      <c r="N38">
        <f t="shared" si="13"/>
        <v>2.9776948860000003E-2</v>
      </c>
      <c r="O38">
        <f t="shared" si="11"/>
        <v>5.02261788E-3</v>
      </c>
      <c r="P38">
        <f t="shared" si="12"/>
        <v>2.6388291687619869E-2</v>
      </c>
      <c r="V38">
        <v>-2.6000000000000099</v>
      </c>
      <c r="W38">
        <f t="shared" si="9"/>
        <v>-0.51633999999999958</v>
      </c>
    </row>
    <row r="39" spans="1:23" x14ac:dyDescent="0.3">
      <c r="A39">
        <v>1.8462379999999998</v>
      </c>
      <c r="B39">
        <v>0.56337999999999999</v>
      </c>
      <c r="C39">
        <f t="shared" si="1"/>
        <v>1.0401335644399998</v>
      </c>
      <c r="D39">
        <v>1.66E-2</v>
      </c>
      <c r="E39">
        <v>2.8E-3</v>
      </c>
      <c r="F39">
        <f t="shared" si="2"/>
        <v>369.24759999999998</v>
      </c>
      <c r="G39">
        <f t="shared" si="3"/>
        <v>-0.56337999999999999</v>
      </c>
      <c r="H39">
        <f t="shared" si="4"/>
        <v>-208.02671288799996</v>
      </c>
      <c r="I39">
        <v>1</v>
      </c>
      <c r="J39">
        <f t="shared" si="5"/>
        <v>-0.99628785725324687</v>
      </c>
      <c r="K39">
        <f t="shared" si="6"/>
        <v>-0.65834515177521746</v>
      </c>
      <c r="L39">
        <v>1</v>
      </c>
      <c r="M39">
        <f t="shared" si="7"/>
        <v>0.59508226620886562</v>
      </c>
      <c r="N39">
        <f t="shared" si="13"/>
        <v>3.0647550799999996E-2</v>
      </c>
      <c r="O39">
        <f t="shared" si="11"/>
        <v>5.1694663999999994E-3</v>
      </c>
      <c r="P39">
        <f t="shared" si="12"/>
        <v>2.7445868366351853E-2</v>
      </c>
      <c r="V39">
        <v>-2.5000000000000102</v>
      </c>
      <c r="W39">
        <f t="shared" si="9"/>
        <v>-0.52124999999999955</v>
      </c>
    </row>
    <row r="40" spans="1:23" x14ac:dyDescent="0.3">
      <c r="A40">
        <v>1.8971565000000001</v>
      </c>
      <c r="B40">
        <v>0.55947999999999998</v>
      </c>
      <c r="C40">
        <f t="shared" si="1"/>
        <v>1.06142111862</v>
      </c>
      <c r="D40">
        <v>1.66E-2</v>
      </c>
      <c r="E40">
        <v>2.8E-3</v>
      </c>
      <c r="F40">
        <f t="shared" si="2"/>
        <v>379.43130000000002</v>
      </c>
      <c r="G40">
        <f t="shared" si="3"/>
        <v>-0.55947999999999998</v>
      </c>
      <c r="H40">
        <f t="shared" si="4"/>
        <v>-212.28422372399999</v>
      </c>
      <c r="I40">
        <v>1</v>
      </c>
      <c r="J40">
        <f t="shared" si="5"/>
        <v>-0.96908172620192257</v>
      </c>
      <c r="K40">
        <f t="shared" si="6"/>
        <v>-0.66224515177521748</v>
      </c>
      <c r="L40">
        <v>1</v>
      </c>
      <c r="M40">
        <f t="shared" si="7"/>
        <v>0.59641808724348566</v>
      </c>
      <c r="N40">
        <f t="shared" si="13"/>
        <v>3.1492797900000001E-2</v>
      </c>
      <c r="O40">
        <f t="shared" si="11"/>
        <v>5.3120381999999999E-3</v>
      </c>
      <c r="P40">
        <f t="shared" si="12"/>
        <v>2.9022228431731814E-2</v>
      </c>
      <c r="V40">
        <v>-2.4000000000000101</v>
      </c>
      <c r="W40">
        <f t="shared" si="9"/>
        <v>-0.52615999999999952</v>
      </c>
    </row>
    <row r="41" spans="1:23" x14ac:dyDescent="0.3">
      <c r="A41">
        <v>1.9485837000000001</v>
      </c>
      <c r="B41">
        <v>0.55591000000000002</v>
      </c>
      <c r="C41">
        <f t="shared" si="1"/>
        <v>1.083237164667</v>
      </c>
      <c r="D41">
        <v>1.66E-2</v>
      </c>
      <c r="E41">
        <v>2.8E-3</v>
      </c>
      <c r="F41">
        <f t="shared" si="2"/>
        <v>389.71674000000002</v>
      </c>
      <c r="G41">
        <f t="shared" si="3"/>
        <v>-0.55591000000000002</v>
      </c>
      <c r="H41">
        <f t="shared" si="4"/>
        <v>-216.64743293340001</v>
      </c>
      <c r="I41">
        <v>1</v>
      </c>
      <c r="J41">
        <f t="shared" si="5"/>
        <v>-0.94233511143996884</v>
      </c>
      <c r="K41">
        <f t="shared" si="6"/>
        <v>-0.66581515177521744</v>
      </c>
      <c r="L41">
        <v>1</v>
      </c>
      <c r="M41">
        <f t="shared" si="7"/>
        <v>0.59773134602829758</v>
      </c>
      <c r="N41">
        <f t="shared" si="13"/>
        <v>3.2346489420000006E-2</v>
      </c>
      <c r="O41">
        <f t="shared" si="11"/>
        <v>5.4560343600000005E-3</v>
      </c>
      <c r="P41">
        <f t="shared" si="12"/>
        <v>3.028128196691985E-2</v>
      </c>
      <c r="V41">
        <v>-2.30000000000001</v>
      </c>
      <c r="W41">
        <f t="shared" si="9"/>
        <v>-0.53106999999999949</v>
      </c>
    </row>
    <row r="42" spans="1:23" x14ac:dyDescent="0.3">
      <c r="A42">
        <v>1.9989929000000002</v>
      </c>
      <c r="B42">
        <v>0.55237999999999998</v>
      </c>
      <c r="C42">
        <f t="shared" si="1"/>
        <v>1.104203698102</v>
      </c>
      <c r="D42">
        <v>1.66E-2</v>
      </c>
      <c r="E42">
        <v>2.8E-3</v>
      </c>
      <c r="F42">
        <f t="shared" si="2"/>
        <v>399.79858000000002</v>
      </c>
      <c r="G42">
        <f t="shared" si="3"/>
        <v>-0.55237999999999998</v>
      </c>
      <c r="H42">
        <f t="shared" si="4"/>
        <v>-220.8407396204</v>
      </c>
      <c r="I42">
        <v>1</v>
      </c>
      <c r="J42">
        <f t="shared" si="5"/>
        <v>-0.91679440869803286</v>
      </c>
      <c r="K42">
        <f t="shared" si="6"/>
        <v>-0.66934515177521747</v>
      </c>
      <c r="L42">
        <v>1</v>
      </c>
      <c r="M42">
        <f t="shared" si="7"/>
        <v>0.59898539453292665</v>
      </c>
      <c r="N42">
        <f t="shared" si="13"/>
        <v>3.3183282140000006E-2</v>
      </c>
      <c r="O42">
        <f t="shared" si="11"/>
        <v>5.5971801200000006E-3</v>
      </c>
      <c r="P42">
        <f t="shared" si="12"/>
        <v>3.1579294982290812E-2</v>
      </c>
      <c r="V42">
        <v>-2.2000000000000099</v>
      </c>
      <c r="W42">
        <f t="shared" si="9"/>
        <v>-0.53597999999999957</v>
      </c>
    </row>
    <row r="43" spans="1:23" x14ac:dyDescent="0.3">
      <c r="A43">
        <v>2.0504207000000001</v>
      </c>
      <c r="B43">
        <v>0.54873000000000005</v>
      </c>
      <c r="C43">
        <f t="shared" si="1"/>
        <v>1.1251273507110002</v>
      </c>
      <c r="D43">
        <v>1.66E-2</v>
      </c>
      <c r="E43">
        <v>2.8E-3</v>
      </c>
      <c r="F43">
        <f t="shared" si="2"/>
        <v>410.08414000000005</v>
      </c>
      <c r="G43">
        <f t="shared" si="3"/>
        <v>-0.54873000000000005</v>
      </c>
      <c r="H43">
        <f t="shared" si="4"/>
        <v>-225.02547014220005</v>
      </c>
      <c r="I43">
        <v>1</v>
      </c>
      <c r="J43">
        <f t="shared" si="5"/>
        <v>-0.89139292082623189</v>
      </c>
      <c r="K43">
        <f t="shared" si="6"/>
        <v>-0.6729951517752174</v>
      </c>
      <c r="L43">
        <v>1</v>
      </c>
      <c r="M43">
        <f t="shared" si="7"/>
        <v>0.60023260758743202</v>
      </c>
      <c r="N43">
        <f t="shared" si="13"/>
        <v>3.4036983620000003E-2</v>
      </c>
      <c r="O43">
        <f t="shared" si="11"/>
        <v>5.7411779600000006E-3</v>
      </c>
      <c r="P43">
        <f t="shared" si="12"/>
        <v>3.2984382607785377E-2</v>
      </c>
      <c r="V43">
        <v>-2.1000000000000099</v>
      </c>
      <c r="W43">
        <f t="shared" si="9"/>
        <v>-0.54088999999999954</v>
      </c>
    </row>
    <row r="44" spans="1:23" x14ac:dyDescent="0.3">
      <c r="A44">
        <v>2.1028666999999999</v>
      </c>
      <c r="B44">
        <v>0.54547000000000001</v>
      </c>
      <c r="C44">
        <f t="shared" si="1"/>
        <v>1.1470506988489999</v>
      </c>
      <c r="D44">
        <v>1.66E-2</v>
      </c>
      <c r="E44">
        <v>2.8E-3</v>
      </c>
      <c r="F44">
        <f t="shared" si="2"/>
        <v>420.57333999999997</v>
      </c>
      <c r="G44">
        <f t="shared" si="3"/>
        <v>-0.54547000000000001</v>
      </c>
      <c r="H44">
        <f t="shared" si="4"/>
        <v>-229.41013976979997</v>
      </c>
      <c r="I44">
        <v>1</v>
      </c>
      <c r="J44">
        <f t="shared" si="5"/>
        <v>-0.86613640336205477</v>
      </c>
      <c r="K44">
        <f t="shared" si="6"/>
        <v>-0.67625515177521744</v>
      </c>
      <c r="L44">
        <v>1</v>
      </c>
      <c r="M44">
        <f t="shared" si="7"/>
        <v>0.60147270259492314</v>
      </c>
      <c r="N44">
        <f t="shared" si="13"/>
        <v>3.4907587220000001E-2</v>
      </c>
      <c r="O44">
        <f t="shared" si="11"/>
        <v>5.8880267599999998E-3</v>
      </c>
      <c r="P44">
        <f t="shared" si="12"/>
        <v>3.3986835200294309E-2</v>
      </c>
      <c r="V44">
        <v>-2.0000000000000102</v>
      </c>
      <c r="W44">
        <f t="shared" si="9"/>
        <v>-0.54579999999999951</v>
      </c>
    </row>
    <row r="45" spans="1:23" x14ac:dyDescent="0.3">
      <c r="A45">
        <v>2.1542941999999998</v>
      </c>
      <c r="B45">
        <v>0.54200999999999999</v>
      </c>
      <c r="C45">
        <f t="shared" si="1"/>
        <v>1.1676489993419998</v>
      </c>
      <c r="D45">
        <v>1.66E-2</v>
      </c>
      <c r="E45">
        <v>2.8E-3</v>
      </c>
      <c r="F45">
        <f t="shared" si="2"/>
        <v>430.85883999999999</v>
      </c>
      <c r="G45">
        <f t="shared" si="3"/>
        <v>-0.54200999999999999</v>
      </c>
      <c r="H45">
        <f t="shared" si="4"/>
        <v>-233.52979986839998</v>
      </c>
      <c r="I45">
        <v>1</v>
      </c>
      <c r="J45">
        <f t="shared" si="5"/>
        <v>-0.84197475992531912</v>
      </c>
      <c r="K45">
        <f t="shared" si="6"/>
        <v>-0.67971515177521746</v>
      </c>
      <c r="L45">
        <v>1</v>
      </c>
      <c r="M45">
        <f t="shared" si="7"/>
        <v>0.60265903928766684</v>
      </c>
      <c r="N45">
        <f t="shared" si="13"/>
        <v>3.5761283719999995E-2</v>
      </c>
      <c r="O45">
        <f t="shared" si="11"/>
        <v>6.0320237599999996E-3</v>
      </c>
      <c r="P45">
        <f t="shared" si="12"/>
        <v>3.5262805007550628E-2</v>
      </c>
      <c r="V45">
        <v>-1.9000000000000099</v>
      </c>
      <c r="W45">
        <f t="shared" si="9"/>
        <v>-0.55070999999999959</v>
      </c>
    </row>
    <row r="46" spans="1:23" x14ac:dyDescent="0.3">
      <c r="A46">
        <v>2.2057216999999998</v>
      </c>
      <c r="B46">
        <v>0.53881999999999997</v>
      </c>
      <c r="C46">
        <f t="shared" si="1"/>
        <v>1.1884869663939999</v>
      </c>
      <c r="D46">
        <v>1.66E-2</v>
      </c>
      <c r="E46">
        <v>2.8E-3</v>
      </c>
      <c r="F46">
        <f t="shared" si="2"/>
        <v>441.14433999999994</v>
      </c>
      <c r="G46">
        <f t="shared" si="3"/>
        <v>-0.53881999999999997</v>
      </c>
      <c r="H46">
        <f t="shared" si="4"/>
        <v>-237.69739327879998</v>
      </c>
      <c r="I46">
        <v>1</v>
      </c>
      <c r="J46">
        <f t="shared" si="5"/>
        <v>-0.81838315549946938</v>
      </c>
      <c r="K46">
        <f t="shared" si="6"/>
        <v>-0.68290515177521749</v>
      </c>
      <c r="L46">
        <v>1</v>
      </c>
      <c r="M46">
        <f t="shared" si="7"/>
        <v>0.60381738706497612</v>
      </c>
      <c r="N46">
        <f t="shared" si="13"/>
        <v>3.6614980219999996E-2</v>
      </c>
      <c r="O46">
        <f t="shared" si="11"/>
        <v>6.1760207599999995E-3</v>
      </c>
      <c r="P46">
        <f t="shared" si="12"/>
        <v>3.6296763730241377E-2</v>
      </c>
      <c r="V46">
        <v>-1.80000000000001</v>
      </c>
      <c r="W46">
        <f t="shared" si="9"/>
        <v>-0.55561999999999956</v>
      </c>
    </row>
    <row r="47" spans="1:23" x14ac:dyDescent="0.3">
      <c r="A47">
        <v>2.2602042999999998</v>
      </c>
      <c r="B47">
        <v>0.53515999999999997</v>
      </c>
      <c r="C47">
        <f t="shared" si="1"/>
        <v>1.2095709331879998</v>
      </c>
      <c r="D47">
        <v>1.66E-2</v>
      </c>
      <c r="E47">
        <v>2.8E-3</v>
      </c>
      <c r="F47">
        <f t="shared" si="2"/>
        <v>452.04085999999995</v>
      </c>
      <c r="G47">
        <f t="shared" si="3"/>
        <v>-0.53515999999999997</v>
      </c>
      <c r="H47">
        <f t="shared" si="4"/>
        <v>-241.91418663759995</v>
      </c>
      <c r="I47">
        <v>1</v>
      </c>
      <c r="J47">
        <f t="shared" si="5"/>
        <v>-0.79398270500549128</v>
      </c>
      <c r="K47">
        <f t="shared" si="6"/>
        <v>-0.68656515177521749</v>
      </c>
      <c r="L47">
        <v>1</v>
      </c>
      <c r="M47">
        <f t="shared" si="7"/>
        <v>0.60501544918423045</v>
      </c>
      <c r="N47">
        <f t="shared" si="13"/>
        <v>3.7519391379999996E-2</v>
      </c>
      <c r="O47">
        <f t="shared" si="11"/>
        <v>6.3285720399999992E-3</v>
      </c>
      <c r="P47">
        <f t="shared" si="12"/>
        <v>3.7701739170987042E-2</v>
      </c>
      <c r="V47">
        <v>-1.7000000000000199</v>
      </c>
      <c r="W47">
        <f t="shared" si="9"/>
        <v>-0.56052999999999908</v>
      </c>
    </row>
    <row r="48" spans="1:23" x14ac:dyDescent="0.3">
      <c r="A48">
        <v>2.3126500999999999</v>
      </c>
      <c r="B48">
        <v>0.53154999999999997</v>
      </c>
      <c r="C48">
        <f t="shared" si="1"/>
        <v>1.2292891606549998</v>
      </c>
      <c r="D48">
        <v>1.66E-2</v>
      </c>
      <c r="E48">
        <v>2.8E-3</v>
      </c>
      <c r="F48">
        <f t="shared" si="2"/>
        <v>462.53001999999998</v>
      </c>
      <c r="G48">
        <f t="shared" si="3"/>
        <v>-0.53154999999999997</v>
      </c>
      <c r="H48">
        <f t="shared" si="4"/>
        <v>-245.85783213099995</v>
      </c>
      <c r="I48">
        <v>1</v>
      </c>
      <c r="J48">
        <f t="shared" si="5"/>
        <v>-0.77104381602798922</v>
      </c>
      <c r="K48">
        <f t="shared" si="6"/>
        <v>-0.69017515177521749</v>
      </c>
      <c r="L48">
        <v>1</v>
      </c>
      <c r="M48">
        <f t="shared" si="7"/>
        <v>0.60614174863302572</v>
      </c>
      <c r="N48">
        <f t="shared" si="13"/>
        <v>3.8389991659999997E-2</v>
      </c>
      <c r="O48">
        <f t="shared" si="11"/>
        <v>6.4754202799999997E-3</v>
      </c>
      <c r="P48">
        <f t="shared" si="12"/>
        <v>3.9167991202191769E-2</v>
      </c>
      <c r="V48">
        <v>-1.6000000000000201</v>
      </c>
      <c r="W48">
        <f t="shared" si="9"/>
        <v>-0.56543999999999905</v>
      </c>
    </row>
    <row r="49" spans="1:23" x14ac:dyDescent="0.3">
      <c r="A49">
        <v>2.3666235000000002</v>
      </c>
      <c r="B49">
        <v>0.52805999999999997</v>
      </c>
      <c r="C49">
        <f t="shared" si="1"/>
        <v>1.2497192054100001</v>
      </c>
      <c r="D49">
        <v>1.66E-2</v>
      </c>
      <c r="E49">
        <v>2.8E-3</v>
      </c>
      <c r="F49">
        <f t="shared" si="2"/>
        <v>473.32470000000006</v>
      </c>
      <c r="G49">
        <f t="shared" si="3"/>
        <v>-0.52805999999999997</v>
      </c>
      <c r="H49">
        <f t="shared" si="4"/>
        <v>-249.94384108200003</v>
      </c>
      <c r="I49">
        <v>1</v>
      </c>
      <c r="J49">
        <f t="shared" si="5"/>
        <v>-0.7479736566579005</v>
      </c>
      <c r="K49">
        <f t="shared" si="6"/>
        <v>-0.69366515177521748</v>
      </c>
      <c r="L49">
        <v>1</v>
      </c>
      <c r="M49">
        <f t="shared" si="7"/>
        <v>0.60727449345809714</v>
      </c>
      <c r="N49">
        <f t="shared" si="13"/>
        <v>3.9285950100000001E-2</v>
      </c>
      <c r="O49">
        <f t="shared" si="11"/>
        <v>6.6265458000000005E-3</v>
      </c>
      <c r="P49">
        <f t="shared" si="12"/>
        <v>4.0478162417120336E-2</v>
      </c>
      <c r="V49">
        <v>-1.50000000000002</v>
      </c>
      <c r="W49">
        <f t="shared" si="9"/>
        <v>-0.57034999999999902</v>
      </c>
    </row>
    <row r="50" spans="1:23" x14ac:dyDescent="0.3">
      <c r="A50">
        <v>2.4170327</v>
      </c>
      <c r="B50">
        <v>0.52500000000000002</v>
      </c>
      <c r="C50">
        <f t="shared" si="1"/>
        <v>1.2689421675000001</v>
      </c>
      <c r="D50">
        <v>1.66E-2</v>
      </c>
      <c r="E50">
        <v>2.8E-3</v>
      </c>
      <c r="F50">
        <f t="shared" si="2"/>
        <v>483.40654000000001</v>
      </c>
      <c r="G50">
        <f t="shared" si="3"/>
        <v>-0.52500000000000002</v>
      </c>
      <c r="H50">
        <f t="shared" si="4"/>
        <v>-253.78843350000002</v>
      </c>
      <c r="I50">
        <v>1</v>
      </c>
      <c r="J50">
        <f t="shared" si="5"/>
        <v>-0.72689728163588219</v>
      </c>
      <c r="K50">
        <f t="shared" si="6"/>
        <v>-0.69672515177521743</v>
      </c>
      <c r="L50">
        <v>1</v>
      </c>
      <c r="M50">
        <f t="shared" si="7"/>
        <v>0.6083093434716782</v>
      </c>
      <c r="N50">
        <f t="shared" si="13"/>
        <v>4.0122742820000001E-2</v>
      </c>
      <c r="O50">
        <f t="shared" si="11"/>
        <v>6.7676915599999997E-3</v>
      </c>
      <c r="P50">
        <f t="shared" si="12"/>
        <v>4.1525373923539236E-2</v>
      </c>
      <c r="V50">
        <v>-1.4000000000000199</v>
      </c>
      <c r="W50">
        <f t="shared" si="9"/>
        <v>-0.57525999999999899</v>
      </c>
    </row>
    <row r="51" spans="1:23" x14ac:dyDescent="0.3">
      <c r="A51">
        <v>2.4684602</v>
      </c>
      <c r="B51">
        <v>0.52171999999999996</v>
      </c>
      <c r="C51">
        <f t="shared" si="1"/>
        <v>1.287845055544</v>
      </c>
      <c r="D51">
        <v>1.66E-2</v>
      </c>
      <c r="E51">
        <v>2.8E-3</v>
      </c>
      <c r="F51">
        <f t="shared" si="2"/>
        <v>493.69204000000002</v>
      </c>
      <c r="G51">
        <f t="shared" si="3"/>
        <v>-0.52171999999999996</v>
      </c>
      <c r="H51">
        <f t="shared" si="4"/>
        <v>-257.5690111088</v>
      </c>
      <c r="I51">
        <v>1</v>
      </c>
      <c r="J51">
        <f t="shared" si="5"/>
        <v>-0.7058433569990108</v>
      </c>
      <c r="K51">
        <f t="shared" si="6"/>
        <v>-0.70000515177521749</v>
      </c>
      <c r="L51">
        <v>1</v>
      </c>
      <c r="M51">
        <f t="shared" si="7"/>
        <v>0.60934309117134855</v>
      </c>
      <c r="N51">
        <f t="shared" si="13"/>
        <v>4.0976439320000002E-2</v>
      </c>
      <c r="O51">
        <f t="shared" si="11"/>
        <v>6.9116885599999995E-3</v>
      </c>
      <c r="P51">
        <f t="shared" si="12"/>
        <v>4.2773932723868945E-2</v>
      </c>
      <c r="V51">
        <v>-1.30000000000002</v>
      </c>
      <c r="W51">
        <f t="shared" si="9"/>
        <v>-0.58016999999999908</v>
      </c>
    </row>
    <row r="52" spans="1:23" x14ac:dyDescent="0.3">
      <c r="A52">
        <v>2.5188690999999999</v>
      </c>
      <c r="B52">
        <v>0.51846999999999999</v>
      </c>
      <c r="C52">
        <f t="shared" si="1"/>
        <v>1.305958062277</v>
      </c>
      <c r="D52">
        <v>1.66E-2</v>
      </c>
      <c r="E52">
        <v>2.8E-3</v>
      </c>
      <c r="F52">
        <f t="shared" si="2"/>
        <v>503.77382</v>
      </c>
      <c r="G52">
        <f t="shared" si="3"/>
        <v>-0.51846999999999999</v>
      </c>
      <c r="H52">
        <f t="shared" si="4"/>
        <v>-261.19161245539999</v>
      </c>
      <c r="I52">
        <v>1</v>
      </c>
      <c r="J52">
        <f t="shared" si="5"/>
        <v>-0.68562788147936016</v>
      </c>
      <c r="K52">
        <f t="shared" si="6"/>
        <v>-0.70325515177521747</v>
      </c>
      <c r="L52">
        <v>1</v>
      </c>
      <c r="M52">
        <f t="shared" si="7"/>
        <v>0.61033567101936348</v>
      </c>
      <c r="N52">
        <f t="shared" si="13"/>
        <v>4.1813227059999999E-2</v>
      </c>
      <c r="O52">
        <f t="shared" si="11"/>
        <v>7.0528334799999995E-3</v>
      </c>
      <c r="P52">
        <f t="shared" si="12"/>
        <v>4.405342021585399E-2</v>
      </c>
      <c r="V52">
        <v>-1.2000000000000199</v>
      </c>
      <c r="W52">
        <f t="shared" si="9"/>
        <v>-0.58507999999999905</v>
      </c>
    </row>
    <row r="53" spans="1:23" x14ac:dyDescent="0.3">
      <c r="A53">
        <v>2.5718242</v>
      </c>
      <c r="B53">
        <v>0.51509000000000005</v>
      </c>
      <c r="C53">
        <f t="shared" si="1"/>
        <v>1.3247209271780001</v>
      </c>
      <c r="D53">
        <v>1.66E-2</v>
      </c>
      <c r="E53">
        <v>2.8E-3</v>
      </c>
      <c r="F53">
        <f t="shared" si="2"/>
        <v>514.36483999999996</v>
      </c>
      <c r="G53">
        <f t="shared" si="3"/>
        <v>-0.51509000000000005</v>
      </c>
      <c r="H53">
        <f t="shared" si="4"/>
        <v>-264.94418543559999</v>
      </c>
      <c r="I53">
        <v>1</v>
      </c>
      <c r="J53">
        <f t="shared" si="5"/>
        <v>-0.66482245987224564</v>
      </c>
      <c r="K53">
        <f t="shared" si="6"/>
        <v>-0.70663515177521741</v>
      </c>
      <c r="L53">
        <v>1</v>
      </c>
      <c r="M53">
        <f t="shared" si="7"/>
        <v>0.61135721722027281</v>
      </c>
      <c r="N53">
        <f t="shared" si="13"/>
        <v>4.2692281720000003E-2</v>
      </c>
      <c r="O53">
        <f t="shared" si="11"/>
        <v>7.2011077599999996E-3</v>
      </c>
      <c r="P53">
        <f t="shared" si="12"/>
        <v>4.5384545074944597E-2</v>
      </c>
      <c r="V53">
        <v>-1.1000000000000201</v>
      </c>
      <c r="W53">
        <f t="shared" si="9"/>
        <v>-0.58998999999999902</v>
      </c>
    </row>
    <row r="54" spans="1:23" x14ac:dyDescent="0.3">
      <c r="A54">
        <v>2.6247795000000003</v>
      </c>
      <c r="B54">
        <v>0.51185999999999998</v>
      </c>
      <c r="C54">
        <f t="shared" si="1"/>
        <v>1.34351963487</v>
      </c>
      <c r="D54">
        <v>1.66E-2</v>
      </c>
      <c r="E54">
        <v>2.8E-3</v>
      </c>
      <c r="F54">
        <f t="shared" si="2"/>
        <v>524.95590000000004</v>
      </c>
      <c r="G54">
        <f t="shared" si="3"/>
        <v>-0.51185999999999998</v>
      </c>
      <c r="H54">
        <f t="shared" si="4"/>
        <v>-268.70392697400001</v>
      </c>
      <c r="I54">
        <v>1</v>
      </c>
      <c r="J54">
        <f t="shared" si="5"/>
        <v>-0.64444101991871083</v>
      </c>
      <c r="K54">
        <f t="shared" si="6"/>
        <v>-0.70986515177521747</v>
      </c>
      <c r="L54">
        <v>1</v>
      </c>
      <c r="M54">
        <f t="shared" si="7"/>
        <v>0.61235794592199133</v>
      </c>
      <c r="N54">
        <f t="shared" si="13"/>
        <v>4.3571339700000003E-2</v>
      </c>
      <c r="O54">
        <f t="shared" si="11"/>
        <v>7.3493826000000009E-3</v>
      </c>
      <c r="P54">
        <f t="shared" si="12"/>
        <v>4.6586483553226136E-2</v>
      </c>
      <c r="V54">
        <v>-1.00000000000002</v>
      </c>
      <c r="W54">
        <f t="shared" si="9"/>
        <v>-0.5948999999999991</v>
      </c>
    </row>
    <row r="55" spans="1:23" x14ac:dyDescent="0.3">
      <c r="A55">
        <v>2.6756975000000001</v>
      </c>
      <c r="B55">
        <v>0.50839000000000001</v>
      </c>
      <c r="C55">
        <f t="shared" si="1"/>
        <v>1.360297852025</v>
      </c>
      <c r="D55">
        <v>1.66E-2</v>
      </c>
      <c r="E55">
        <v>2.8E-3</v>
      </c>
      <c r="F55">
        <f t="shared" si="2"/>
        <v>535.1395</v>
      </c>
      <c r="G55">
        <f t="shared" si="3"/>
        <v>-0.50839000000000001</v>
      </c>
      <c r="H55">
        <f t="shared" si="4"/>
        <v>-272.05957040499999</v>
      </c>
      <c r="I55">
        <v>1</v>
      </c>
      <c r="J55">
        <f t="shared" si="5"/>
        <v>-0.62522781841134289</v>
      </c>
      <c r="K55">
        <f t="shared" si="6"/>
        <v>-0.71333515177521745</v>
      </c>
      <c r="L55">
        <v>1</v>
      </c>
      <c r="M55">
        <f t="shared" si="7"/>
        <v>0.61330131411600308</v>
      </c>
      <c r="N55">
        <f t="shared" si="13"/>
        <v>4.4416578500000005E-2</v>
      </c>
      <c r="O55">
        <f t="shared" si="11"/>
        <v>7.491953E-3</v>
      </c>
      <c r="P55">
        <f t="shared" si="12"/>
        <v>4.8125306159214357E-2</v>
      </c>
      <c r="V55">
        <v>-0.90000000000002001</v>
      </c>
      <c r="W55">
        <f t="shared" si="9"/>
        <v>-0.59980999999999907</v>
      </c>
    </row>
    <row r="56" spans="1:23" x14ac:dyDescent="0.3">
      <c r="A56">
        <v>2.7261067000000003</v>
      </c>
      <c r="B56">
        <v>0.50544999999999995</v>
      </c>
      <c r="C56">
        <f t="shared" si="1"/>
        <v>1.377910631515</v>
      </c>
      <c r="D56">
        <v>1.66E-2</v>
      </c>
      <c r="E56">
        <v>2.8E-3</v>
      </c>
      <c r="F56">
        <f t="shared" si="2"/>
        <v>545.22134000000005</v>
      </c>
      <c r="G56">
        <f t="shared" si="3"/>
        <v>-0.50544999999999995</v>
      </c>
      <c r="H56">
        <f t="shared" si="4"/>
        <v>-275.582126303</v>
      </c>
      <c r="I56">
        <v>1</v>
      </c>
      <c r="J56">
        <f t="shared" si="5"/>
        <v>-0.60656343832635862</v>
      </c>
      <c r="K56">
        <f t="shared" si="6"/>
        <v>-0.7162751517752175</v>
      </c>
      <c r="L56">
        <v>1</v>
      </c>
      <c r="M56">
        <f t="shared" si="7"/>
        <v>0.61421773517817579</v>
      </c>
      <c r="N56">
        <f t="shared" si="13"/>
        <v>4.5253371220000005E-2</v>
      </c>
      <c r="O56">
        <f t="shared" si="11"/>
        <v>7.6330987600000009E-3</v>
      </c>
      <c r="P56">
        <f t="shared" si="12"/>
        <v>4.9170946617041703E-2</v>
      </c>
      <c r="V56">
        <v>-0.80000000000002003</v>
      </c>
      <c r="W56">
        <f t="shared" si="9"/>
        <v>-0.60471999999999904</v>
      </c>
    </row>
    <row r="57" spans="1:23" x14ac:dyDescent="0.3">
      <c r="A57">
        <v>2.7765159000000001</v>
      </c>
      <c r="B57">
        <v>0.50207000000000002</v>
      </c>
      <c r="C57">
        <f t="shared" si="1"/>
        <v>1.3940053379130002</v>
      </c>
      <c r="D57">
        <v>1.66E-2</v>
      </c>
      <c r="E57">
        <v>2.8E-3</v>
      </c>
      <c r="F57">
        <f t="shared" si="2"/>
        <v>555.30318</v>
      </c>
      <c r="G57">
        <f t="shared" si="3"/>
        <v>-0.50207000000000002</v>
      </c>
      <c r="H57">
        <f t="shared" si="4"/>
        <v>-278.80106758260001</v>
      </c>
      <c r="I57">
        <v>1</v>
      </c>
      <c r="J57">
        <f t="shared" si="5"/>
        <v>-0.58824104411672085</v>
      </c>
      <c r="K57">
        <f t="shared" si="6"/>
        <v>-0.71965515177521744</v>
      </c>
      <c r="L57">
        <v>1</v>
      </c>
      <c r="M57">
        <f t="shared" si="7"/>
        <v>0.61511736473386902</v>
      </c>
      <c r="N57">
        <f t="shared" si="13"/>
        <v>4.6090163940000005E-2</v>
      </c>
      <c r="O57">
        <f t="shared" si="11"/>
        <v>7.7742445200000001E-3</v>
      </c>
      <c r="P57">
        <f t="shared" si="12"/>
        <v>5.0673378581348412E-2</v>
      </c>
      <c r="V57">
        <v>-0.70000000000002005</v>
      </c>
      <c r="W57">
        <f t="shared" si="9"/>
        <v>-0.60962999999999901</v>
      </c>
    </row>
    <row r="58" spans="1:23" x14ac:dyDescent="0.3">
      <c r="A58">
        <v>2.8279433999999997</v>
      </c>
      <c r="B58">
        <v>0.49904999999999999</v>
      </c>
      <c r="C58">
        <f t="shared" si="1"/>
        <v>1.4112851537699997</v>
      </c>
      <c r="D58">
        <v>1.66E-2</v>
      </c>
      <c r="E58">
        <v>2.8E-3</v>
      </c>
      <c r="F58">
        <f t="shared" si="2"/>
        <v>565.58867999999995</v>
      </c>
      <c r="G58">
        <f t="shared" si="3"/>
        <v>-0.49904999999999999</v>
      </c>
      <c r="H58">
        <f t="shared" si="4"/>
        <v>-282.25703075399997</v>
      </c>
      <c r="I58">
        <v>1</v>
      </c>
      <c r="J58">
        <f t="shared" si="5"/>
        <v>-0.5698881787443314</v>
      </c>
      <c r="K58">
        <f t="shared" si="6"/>
        <v>-0.72267515177521746</v>
      </c>
      <c r="L58">
        <v>1</v>
      </c>
      <c r="M58">
        <f t="shared" si="7"/>
        <v>0.61601849042365331</v>
      </c>
      <c r="N58">
        <f t="shared" si="13"/>
        <v>4.6943860439999992E-2</v>
      </c>
      <c r="O58">
        <f t="shared" si="11"/>
        <v>7.9182415199999991E-3</v>
      </c>
      <c r="P58">
        <f t="shared" si="12"/>
        <v>5.179455939156416E-2</v>
      </c>
      <c r="V58">
        <v>-0.60000000000001996</v>
      </c>
      <c r="W58">
        <f t="shared" si="9"/>
        <v>-0.61453999999999909</v>
      </c>
    </row>
    <row r="59" spans="1:23" x14ac:dyDescent="0.3">
      <c r="A59">
        <v>2.8788618000000001</v>
      </c>
      <c r="B59">
        <v>0.49608999999999998</v>
      </c>
      <c r="C59">
        <f t="shared" si="1"/>
        <v>1.428174550362</v>
      </c>
      <c r="D59">
        <v>1.66E-2</v>
      </c>
      <c r="E59">
        <v>2.8E-3</v>
      </c>
      <c r="F59">
        <f t="shared" si="2"/>
        <v>575.77236000000005</v>
      </c>
      <c r="G59">
        <f t="shared" si="3"/>
        <v>-0.49608999999999998</v>
      </c>
      <c r="H59">
        <f t="shared" si="4"/>
        <v>-285.63491007240003</v>
      </c>
      <c r="I59">
        <v>1</v>
      </c>
      <c r="J59">
        <f t="shared" si="5"/>
        <v>-0.5520429047349743</v>
      </c>
      <c r="K59">
        <f t="shared" si="6"/>
        <v>-0.72563515177521754</v>
      </c>
      <c r="L59">
        <v>1</v>
      </c>
      <c r="M59">
        <f t="shared" si="7"/>
        <v>0.61689469337751279</v>
      </c>
      <c r="N59">
        <f t="shared" si="13"/>
        <v>4.7789105880000002E-2</v>
      </c>
      <c r="O59">
        <f t="shared" si="11"/>
        <v>8.0608130399999998E-3</v>
      </c>
      <c r="P59">
        <f t="shared" si="12"/>
        <v>5.2890539477704737E-2</v>
      </c>
      <c r="V59">
        <v>-0.50000000000001998</v>
      </c>
      <c r="W59">
        <f t="shared" si="9"/>
        <v>-0.61944999999999906</v>
      </c>
    </row>
    <row r="60" spans="1:23" x14ac:dyDescent="0.3">
      <c r="A60">
        <v>2.929271</v>
      </c>
      <c r="B60">
        <v>0.49320999999999998</v>
      </c>
      <c r="C60">
        <f t="shared" si="1"/>
        <v>1.4447457499099998</v>
      </c>
      <c r="D60">
        <v>1.66E-2</v>
      </c>
      <c r="E60">
        <v>2.8E-3</v>
      </c>
      <c r="F60">
        <f t="shared" si="2"/>
        <v>585.85419999999999</v>
      </c>
      <c r="G60">
        <f t="shared" si="3"/>
        <v>-0.49320999999999998</v>
      </c>
      <c r="H60">
        <f t="shared" si="4"/>
        <v>-288.94914998199994</v>
      </c>
      <c r="I60">
        <v>1</v>
      </c>
      <c r="J60">
        <f t="shared" si="5"/>
        <v>-0.53468432582308889</v>
      </c>
      <c r="K60">
        <f t="shared" si="6"/>
        <v>-0.72851515177521753</v>
      </c>
      <c r="L60">
        <v>1</v>
      </c>
      <c r="M60">
        <f t="shared" si="7"/>
        <v>0.61774699960208634</v>
      </c>
      <c r="N60">
        <f t="shared" si="13"/>
        <v>4.8625898600000002E-2</v>
      </c>
      <c r="O60">
        <f t="shared" si="11"/>
        <v>8.2019587999999991E-3</v>
      </c>
      <c r="P60">
        <f t="shared" si="12"/>
        <v>5.3940294773131184E-2</v>
      </c>
      <c r="V60">
        <v>-0.40000000000002001</v>
      </c>
      <c r="W60">
        <f t="shared" si="9"/>
        <v>-0.62435999999999903</v>
      </c>
    </row>
    <row r="61" spans="1:23" x14ac:dyDescent="0.3">
      <c r="A61">
        <v>2.9796802000000002</v>
      </c>
      <c r="B61">
        <v>0.49014000000000002</v>
      </c>
      <c r="C61">
        <f t="shared" si="1"/>
        <v>1.4604604532280001</v>
      </c>
      <c r="D61">
        <v>1.66E-2</v>
      </c>
      <c r="E61">
        <v>2.8E-3</v>
      </c>
      <c r="F61">
        <f t="shared" si="2"/>
        <v>595.93604000000005</v>
      </c>
      <c r="G61">
        <f t="shared" si="3"/>
        <v>-0.49014000000000002</v>
      </c>
      <c r="H61">
        <f t="shared" si="4"/>
        <v>-292.09209064560002</v>
      </c>
      <c r="I61">
        <v>1</v>
      </c>
      <c r="J61">
        <f t="shared" si="5"/>
        <v>-0.51762193311174232</v>
      </c>
      <c r="K61">
        <f t="shared" si="6"/>
        <v>-0.73158515177521743</v>
      </c>
      <c r="L61">
        <v>1</v>
      </c>
      <c r="M61">
        <f t="shared" si="7"/>
        <v>0.61858476308421351</v>
      </c>
      <c r="N61">
        <f t="shared" si="13"/>
        <v>4.9462691320000002E-2</v>
      </c>
      <c r="O61">
        <f t="shared" si="11"/>
        <v>8.34310456E-3</v>
      </c>
      <c r="P61">
        <f t="shared" si="12"/>
        <v>5.5194592811003924E-2</v>
      </c>
      <c r="V61">
        <v>-0.30000000000001997</v>
      </c>
      <c r="W61">
        <f t="shared" si="9"/>
        <v>-0.629269999999999</v>
      </c>
    </row>
    <row r="62" spans="1:23" x14ac:dyDescent="0.3">
      <c r="A62">
        <v>3.0356903999999996</v>
      </c>
      <c r="B62">
        <v>0.48692999999999997</v>
      </c>
      <c r="C62">
        <f t="shared" si="1"/>
        <v>1.4781687264719998</v>
      </c>
      <c r="D62">
        <v>1.66E-2</v>
      </c>
      <c r="E62">
        <v>2.8E-3</v>
      </c>
      <c r="F62">
        <f t="shared" si="2"/>
        <v>607.13807999999995</v>
      </c>
      <c r="G62">
        <f t="shared" si="3"/>
        <v>-0.48692999999999997</v>
      </c>
      <c r="H62">
        <f t="shared" si="4"/>
        <v>-295.63374529439994</v>
      </c>
      <c r="I62">
        <v>1</v>
      </c>
      <c r="J62">
        <f t="shared" si="5"/>
        <v>-0.49899903438523685</v>
      </c>
      <c r="K62">
        <f t="shared" si="6"/>
        <v>-0.73479515177521748</v>
      </c>
      <c r="L62">
        <v>1</v>
      </c>
      <c r="M62">
        <f t="shared" si="7"/>
        <v>0.61949914741168488</v>
      </c>
      <c r="N62">
        <f t="shared" si="13"/>
        <v>5.0392460639999991E-2</v>
      </c>
      <c r="O62">
        <f t="shared" si="11"/>
        <v>8.499933119999999E-3</v>
      </c>
      <c r="P62">
        <f t="shared" si="12"/>
        <v>5.6403610603532606E-2</v>
      </c>
      <c r="V62">
        <v>-0.20000000000002</v>
      </c>
      <c r="W62">
        <f t="shared" si="9"/>
        <v>-0.63417999999999908</v>
      </c>
    </row>
    <row r="63" spans="1:23" x14ac:dyDescent="0.3">
      <c r="A63">
        <v>3.0886453</v>
      </c>
      <c r="B63">
        <v>0.48359000000000002</v>
      </c>
      <c r="C63">
        <f t="shared" si="1"/>
        <v>1.4936379806270002</v>
      </c>
      <c r="D63">
        <v>1.66E-2</v>
      </c>
      <c r="E63">
        <v>2.8E-3</v>
      </c>
      <c r="F63">
        <f t="shared" si="2"/>
        <v>617.72906</v>
      </c>
      <c r="G63">
        <f t="shared" si="3"/>
        <v>-0.48359000000000002</v>
      </c>
      <c r="H63">
        <f t="shared" si="4"/>
        <v>-298.72759612540005</v>
      </c>
      <c r="I63">
        <v>1</v>
      </c>
      <c r="J63">
        <f t="shared" si="5"/>
        <v>-0.48170533189554909</v>
      </c>
      <c r="K63">
        <f t="shared" si="6"/>
        <v>-0.73813515177521749</v>
      </c>
      <c r="L63">
        <v>1</v>
      </c>
      <c r="M63">
        <f t="shared" si="7"/>
        <v>0.62034826820392852</v>
      </c>
      <c r="N63">
        <f t="shared" si="13"/>
        <v>5.1271511980000004E-2</v>
      </c>
      <c r="O63">
        <f t="shared" si="11"/>
        <v>8.6482068400000004E-3</v>
      </c>
      <c r="P63">
        <f t="shared" si="12"/>
        <v>5.7867164751288967E-2</v>
      </c>
      <c r="V63">
        <v>-0.10000000000002</v>
      </c>
      <c r="W63">
        <f t="shared" si="9"/>
        <v>-0.63908999999999905</v>
      </c>
    </row>
    <row r="64" spans="1:23" x14ac:dyDescent="0.3">
      <c r="A64">
        <v>3.1421093999999998</v>
      </c>
      <c r="B64">
        <v>0.48037999999999997</v>
      </c>
      <c r="C64">
        <f t="shared" si="1"/>
        <v>1.5094065135719998</v>
      </c>
      <c r="D64">
        <v>1.66E-2</v>
      </c>
      <c r="E64">
        <v>2.8E-3</v>
      </c>
      <c r="F64">
        <f t="shared" si="2"/>
        <v>628.42187999999999</v>
      </c>
      <c r="G64">
        <f t="shared" si="3"/>
        <v>-0.48037999999999997</v>
      </c>
      <c r="H64">
        <f t="shared" si="4"/>
        <v>-301.88130271439996</v>
      </c>
      <c r="I64">
        <v>1</v>
      </c>
      <c r="J64">
        <f t="shared" si="5"/>
        <v>-0.46454355461993657</v>
      </c>
      <c r="K64">
        <f t="shared" si="6"/>
        <v>-0.74134515177521743</v>
      </c>
      <c r="L64">
        <v>1</v>
      </c>
      <c r="M64">
        <f t="shared" si="7"/>
        <v>0.62119091146816108</v>
      </c>
      <c r="N64">
        <f t="shared" si="13"/>
        <v>5.2159016039999999E-2</v>
      </c>
      <c r="O64">
        <f t="shared" si="11"/>
        <v>8.7979063199999999E-3</v>
      </c>
      <c r="P64">
        <f t="shared" si="12"/>
        <v>5.9197317947056342E-2</v>
      </c>
      <c r="V64">
        <v>-2.0428103653102899E-14</v>
      </c>
      <c r="W64">
        <f t="shared" si="9"/>
        <v>-0.64399999999999902</v>
      </c>
    </row>
    <row r="65" spans="1:23" x14ac:dyDescent="0.3">
      <c r="A65">
        <v>3.1925186000000001</v>
      </c>
      <c r="B65">
        <v>0.47719</v>
      </c>
      <c r="C65">
        <f t="shared" si="1"/>
        <v>1.5234379507340001</v>
      </c>
      <c r="D65">
        <v>1.66E-2</v>
      </c>
      <c r="E65">
        <v>2.8E-3</v>
      </c>
      <c r="F65">
        <f t="shared" si="2"/>
        <v>638.50372000000004</v>
      </c>
      <c r="G65">
        <f t="shared" si="3"/>
        <v>-0.47719</v>
      </c>
      <c r="H65">
        <f t="shared" si="4"/>
        <v>-304.68759014680001</v>
      </c>
      <c r="I65">
        <v>1</v>
      </c>
      <c r="J65">
        <f t="shared" si="5"/>
        <v>-0.44862777737146414</v>
      </c>
      <c r="K65">
        <f t="shared" si="6"/>
        <v>-0.74453515177521745</v>
      </c>
      <c r="L65">
        <v>1</v>
      </c>
      <c r="M65">
        <f t="shared" si="7"/>
        <v>0.62197237613106116</v>
      </c>
      <c r="N65">
        <f t="shared" si="13"/>
        <v>5.2995808759999999E-2</v>
      </c>
      <c r="O65">
        <f t="shared" si="11"/>
        <v>8.9390520800000008E-3</v>
      </c>
      <c r="P65">
        <f t="shared" si="12"/>
        <v>6.0627914804156295E-2</v>
      </c>
      <c r="V65">
        <v>9.9999999999980105E-2</v>
      </c>
      <c r="W65">
        <f t="shared" si="9"/>
        <v>-0.64890999999999899</v>
      </c>
    </row>
    <row r="66" spans="1:23" x14ac:dyDescent="0.3">
      <c r="A66">
        <v>3.2439463000000002</v>
      </c>
      <c r="B66">
        <v>0.47431000000000001</v>
      </c>
      <c r="C66">
        <f t="shared" si="1"/>
        <v>1.5386361695530002</v>
      </c>
      <c r="D66">
        <v>1.66E-2</v>
      </c>
      <c r="E66">
        <v>2.8E-3</v>
      </c>
      <c r="F66">
        <f t="shared" si="2"/>
        <v>648.78926000000001</v>
      </c>
      <c r="G66">
        <f t="shared" si="3"/>
        <v>-0.47431000000000001</v>
      </c>
      <c r="H66">
        <f t="shared" si="4"/>
        <v>-307.72723391060003</v>
      </c>
      <c r="I66">
        <v>1</v>
      </c>
      <c r="J66">
        <f t="shared" si="5"/>
        <v>-0.43264732995543137</v>
      </c>
      <c r="K66">
        <f t="shared" si="6"/>
        <v>-0.74741515177521745</v>
      </c>
      <c r="L66">
        <v>1</v>
      </c>
      <c r="M66">
        <f t="shared" si="7"/>
        <v>0.62275701609918832</v>
      </c>
      <c r="N66">
        <f t="shared" si="13"/>
        <v>5.3849508580000004E-2</v>
      </c>
      <c r="O66">
        <f t="shared" si="11"/>
        <v>9.0830496400000002E-3</v>
      </c>
      <c r="P66">
        <f t="shared" si="12"/>
        <v>6.1725577456029114E-2</v>
      </c>
      <c r="V66">
        <v>0.19999999999998</v>
      </c>
      <c r="W66">
        <f t="shared" si="9"/>
        <v>-0.65381999999999907</v>
      </c>
    </row>
    <row r="67" spans="1:23" x14ac:dyDescent="0.3">
      <c r="A67">
        <v>3.2943555</v>
      </c>
      <c r="B67">
        <v>0.47155999999999998</v>
      </c>
      <c r="C67">
        <f t="shared" si="1"/>
        <v>1.55348627958</v>
      </c>
      <c r="D67">
        <v>1.66E-2</v>
      </c>
      <c r="E67">
        <v>2.8E-3</v>
      </c>
      <c r="F67">
        <f t="shared" si="2"/>
        <v>658.87109999999996</v>
      </c>
      <c r="G67">
        <f t="shared" si="3"/>
        <v>-0.47155999999999998</v>
      </c>
      <c r="H67">
        <f t="shared" si="4"/>
        <v>-310.69725591600002</v>
      </c>
      <c r="I67">
        <v>1</v>
      </c>
      <c r="J67">
        <f t="shared" si="5"/>
        <v>-0.41722736300470581</v>
      </c>
      <c r="K67">
        <f t="shared" si="6"/>
        <v>-0.75016515177521748</v>
      </c>
      <c r="L67">
        <v>1</v>
      </c>
      <c r="M67">
        <f t="shared" si="7"/>
        <v>0.62351413647646892</v>
      </c>
      <c r="N67">
        <f t="shared" si="13"/>
        <v>5.4686301300000004E-2</v>
      </c>
      <c r="O67">
        <f t="shared" si="11"/>
        <v>9.2241953999999994E-3</v>
      </c>
      <c r="P67">
        <f t="shared" si="12"/>
        <v>6.274051859874856E-2</v>
      </c>
      <c r="V67">
        <v>0.29999999999998</v>
      </c>
      <c r="W67">
        <f t="shared" si="9"/>
        <v>-0.65872999999999904</v>
      </c>
    </row>
    <row r="68" spans="1:23" x14ac:dyDescent="0.3">
      <c r="A68">
        <v>3.3447645999999995</v>
      </c>
      <c r="B68">
        <v>0.46849000000000002</v>
      </c>
      <c r="C68">
        <f t="shared" si="1"/>
        <v>1.5669887674539997</v>
      </c>
      <c r="D68">
        <v>1.66E-2</v>
      </c>
      <c r="E68">
        <v>2.8E-3</v>
      </c>
      <c r="F68">
        <f t="shared" si="2"/>
        <v>668.95291999999995</v>
      </c>
      <c r="G68">
        <f t="shared" si="3"/>
        <v>-0.46849000000000002</v>
      </c>
      <c r="H68">
        <f t="shared" si="4"/>
        <v>-313.39775349079997</v>
      </c>
      <c r="I68">
        <v>1</v>
      </c>
      <c r="J68">
        <f t="shared" si="5"/>
        <v>-0.40204159502233083</v>
      </c>
      <c r="K68">
        <f t="shared" si="6"/>
        <v>-0.75323515177521738</v>
      </c>
      <c r="L68">
        <v>1</v>
      </c>
      <c r="M68">
        <f t="shared" si="7"/>
        <v>0.62425975768440356</v>
      </c>
      <c r="N68">
        <f t="shared" si="13"/>
        <v>5.5523092359999991E-2</v>
      </c>
      <c r="O68">
        <f t="shared" si="11"/>
        <v>9.365340879999998E-3</v>
      </c>
      <c r="P68">
        <f t="shared" si="12"/>
        <v>6.4086960850813821E-2</v>
      </c>
      <c r="V68">
        <v>0.39999999999997998</v>
      </c>
      <c r="W68">
        <f t="shared" si="9"/>
        <v>-0.66363999999999901</v>
      </c>
    </row>
    <row r="69" spans="1:23" x14ac:dyDescent="0.3">
      <c r="A69">
        <v>3.3956826000000002</v>
      </c>
      <c r="B69">
        <v>0.46550999999999998</v>
      </c>
      <c r="C69">
        <f t="shared" ref="C69:C132" si="14">A69*B69</f>
        <v>1.5807242071259999</v>
      </c>
      <c r="D69">
        <v>1.66E-2</v>
      </c>
      <c r="E69">
        <v>2.8E-3</v>
      </c>
      <c r="F69">
        <f t="shared" ref="F69:F132" si="15">A69*200</f>
        <v>679.13652000000002</v>
      </c>
      <c r="G69">
        <f t="shared" ref="G69:G132" si="16">-B69</f>
        <v>-0.46550999999999998</v>
      </c>
      <c r="H69">
        <f t="shared" ref="H69:H132" si="17">-C69*200</f>
        <v>-316.14484142519996</v>
      </c>
      <c r="I69">
        <v>1</v>
      </c>
      <c r="J69">
        <f t="shared" ref="J69:J132" si="18">LN(F69/1000)</f>
        <v>-0.38693311125045471</v>
      </c>
      <c r="K69">
        <f t="shared" ref="K69:K132" si="19">((-G69)-$N$2)</f>
        <v>-0.75621515177521748</v>
      </c>
      <c r="L69">
        <v>1</v>
      </c>
      <c r="M69">
        <f t="shared" ref="M69:M132" si="20">-1*($S$4+($S$5*J69))</f>
        <v>0.62500158423760266</v>
      </c>
      <c r="N69">
        <f t="shared" si="13"/>
        <v>5.6368331160000007E-2</v>
      </c>
      <c r="O69">
        <f t="shared" si="11"/>
        <v>9.5079112799999997E-3</v>
      </c>
      <c r="P69">
        <f t="shared" si="12"/>
        <v>6.5337325097614807E-2</v>
      </c>
      <c r="V69">
        <v>0.49999999999998002</v>
      </c>
      <c r="W69">
        <f t="shared" ref="W69:W132" si="21">V69*$S$5+$S$4</f>
        <v>-0.66854999999999909</v>
      </c>
    </row>
    <row r="70" spans="1:23" x14ac:dyDescent="0.3">
      <c r="A70">
        <v>3.4486379</v>
      </c>
      <c r="B70">
        <v>0.4627</v>
      </c>
      <c r="C70">
        <f t="shared" si="14"/>
        <v>1.5956847563300001</v>
      </c>
      <c r="D70">
        <v>1.66E-2</v>
      </c>
      <c r="E70">
        <v>2.8E-3</v>
      </c>
      <c r="F70">
        <f t="shared" si="15"/>
        <v>689.72757999999999</v>
      </c>
      <c r="G70">
        <f t="shared" si="16"/>
        <v>-0.4627</v>
      </c>
      <c r="H70">
        <f t="shared" si="17"/>
        <v>-319.13695126600004</v>
      </c>
      <c r="I70">
        <v>1</v>
      </c>
      <c r="J70">
        <f t="shared" si="18"/>
        <v>-0.37145857094365231</v>
      </c>
      <c r="K70">
        <f t="shared" si="19"/>
        <v>-0.75902515177521745</v>
      </c>
      <c r="L70">
        <v>1</v>
      </c>
      <c r="M70">
        <f t="shared" si="20"/>
        <v>0.62576138416666671</v>
      </c>
      <c r="N70">
        <f t="shared" si="13"/>
        <v>5.724738914E-2</v>
      </c>
      <c r="O70">
        <f t="shared" ref="O70:O133" si="22">E70*A70</f>
        <v>9.6561861200000002E-3</v>
      </c>
      <c r="P70">
        <f t="shared" ref="P70:P133" si="23">-K70-M70-N70-O70</f>
        <v>6.6360192348550756E-2</v>
      </c>
      <c r="V70">
        <v>0.59999999999997999</v>
      </c>
      <c r="W70">
        <f t="shared" si="21"/>
        <v>-0.67345999999999906</v>
      </c>
    </row>
    <row r="71" spans="1:23" x14ac:dyDescent="0.3">
      <c r="A71">
        <v>3.4995558999999998</v>
      </c>
      <c r="B71">
        <v>0.45956999999999998</v>
      </c>
      <c r="C71">
        <f t="shared" si="14"/>
        <v>1.6082909049629999</v>
      </c>
      <c r="D71">
        <v>1.66E-2</v>
      </c>
      <c r="E71">
        <v>2.8E-3</v>
      </c>
      <c r="F71">
        <f t="shared" si="15"/>
        <v>699.91117999999994</v>
      </c>
      <c r="G71">
        <f t="shared" si="16"/>
        <v>-0.45956999999999998</v>
      </c>
      <c r="H71">
        <f t="shared" si="17"/>
        <v>-321.65818099259997</v>
      </c>
      <c r="I71">
        <v>1</v>
      </c>
      <c r="J71">
        <f t="shared" si="18"/>
        <v>-0.35680183770369139</v>
      </c>
      <c r="K71">
        <f t="shared" si="19"/>
        <v>-0.76215515177521742</v>
      </c>
      <c r="L71">
        <v>1</v>
      </c>
      <c r="M71">
        <f t="shared" si="20"/>
        <v>0.62648102976874875</v>
      </c>
      <c r="N71">
        <f t="shared" ref="N71:N134" si="24">D71*A71</f>
        <v>5.8092627939999995E-2</v>
      </c>
      <c r="O71">
        <f t="shared" si="22"/>
        <v>9.7987565200000001E-3</v>
      </c>
      <c r="P71">
        <f t="shared" si="23"/>
        <v>6.7782737546468658E-2</v>
      </c>
      <c r="V71">
        <v>0.69999999999997997</v>
      </c>
      <c r="W71">
        <f t="shared" si="21"/>
        <v>-0.67836999999999903</v>
      </c>
    </row>
    <row r="72" spans="1:23" x14ac:dyDescent="0.3">
      <c r="A72">
        <v>3.5504744000000001</v>
      </c>
      <c r="B72">
        <v>0.45682</v>
      </c>
      <c r="C72">
        <f t="shared" si="14"/>
        <v>1.6219277154080001</v>
      </c>
      <c r="D72">
        <v>1.66E-2</v>
      </c>
      <c r="E72">
        <v>2.8E-3</v>
      </c>
      <c r="F72">
        <f t="shared" si="15"/>
        <v>710.09487999999999</v>
      </c>
      <c r="G72">
        <f t="shared" si="16"/>
        <v>-0.45682</v>
      </c>
      <c r="H72">
        <f t="shared" si="17"/>
        <v>-324.38554308160002</v>
      </c>
      <c r="I72">
        <v>1</v>
      </c>
      <c r="J72">
        <f t="shared" si="18"/>
        <v>-0.3423566840721603</v>
      </c>
      <c r="K72">
        <f t="shared" si="19"/>
        <v>-0.76490515177521745</v>
      </c>
      <c r="L72">
        <v>1</v>
      </c>
      <c r="M72">
        <f t="shared" si="20"/>
        <v>0.62719028681205691</v>
      </c>
      <c r="N72">
        <f t="shared" si="24"/>
        <v>5.8937875040000004E-2</v>
      </c>
      <c r="O72">
        <f t="shared" si="22"/>
        <v>9.9413283199999997E-3</v>
      </c>
      <c r="P72">
        <f t="shared" si="23"/>
        <v>6.8835661603160542E-2</v>
      </c>
      <c r="V72">
        <v>0.79999999999997995</v>
      </c>
      <c r="W72">
        <f t="shared" si="21"/>
        <v>-0.683279999999999</v>
      </c>
    </row>
    <row r="73" spans="1:23" x14ac:dyDescent="0.3">
      <c r="A73">
        <v>3.6054662999999998</v>
      </c>
      <c r="B73">
        <v>0.45367000000000002</v>
      </c>
      <c r="C73">
        <f t="shared" si="14"/>
        <v>1.6356918963209999</v>
      </c>
      <c r="D73">
        <v>1.66E-2</v>
      </c>
      <c r="E73">
        <v>2.8E-3</v>
      </c>
      <c r="F73">
        <f t="shared" si="15"/>
        <v>721.09325999999999</v>
      </c>
      <c r="G73">
        <f t="shared" si="16"/>
        <v>-0.45367000000000002</v>
      </c>
      <c r="H73">
        <f t="shared" si="17"/>
        <v>-327.13837926419995</v>
      </c>
      <c r="I73">
        <v>1</v>
      </c>
      <c r="J73">
        <f t="shared" si="18"/>
        <v>-0.32698680193433521</v>
      </c>
      <c r="K73">
        <f t="shared" si="19"/>
        <v>-0.76805515177521744</v>
      </c>
      <c r="L73">
        <v>1</v>
      </c>
      <c r="M73">
        <f t="shared" si="20"/>
        <v>0.62794494802502421</v>
      </c>
      <c r="N73">
        <f t="shared" si="24"/>
        <v>5.9850740579999999E-2</v>
      </c>
      <c r="O73">
        <f t="shared" si="22"/>
        <v>1.009530564E-2</v>
      </c>
      <c r="P73">
        <f t="shared" si="23"/>
        <v>7.0164157530193227E-2</v>
      </c>
      <c r="V73">
        <v>0.89999999999998004</v>
      </c>
      <c r="W73">
        <f t="shared" si="21"/>
        <v>-0.68818999999999908</v>
      </c>
    </row>
    <row r="74" spans="1:23" x14ac:dyDescent="0.3">
      <c r="A74">
        <v>3.6594396999999996</v>
      </c>
      <c r="B74">
        <v>0.45091999999999999</v>
      </c>
      <c r="C74">
        <f t="shared" si="14"/>
        <v>1.6501145495239997</v>
      </c>
      <c r="D74">
        <v>1.66E-2</v>
      </c>
      <c r="E74">
        <v>2.8E-3</v>
      </c>
      <c r="F74">
        <f t="shared" si="15"/>
        <v>731.88793999999996</v>
      </c>
      <c r="G74">
        <f t="shared" si="16"/>
        <v>-0.45091999999999999</v>
      </c>
      <c r="H74">
        <f t="shared" si="17"/>
        <v>-330.02290990479992</v>
      </c>
      <c r="I74">
        <v>1</v>
      </c>
      <c r="J74">
        <f t="shared" si="18"/>
        <v>-0.31212786417159655</v>
      </c>
      <c r="K74">
        <f t="shared" si="19"/>
        <v>-0.77080515177521747</v>
      </c>
      <c r="L74">
        <v>1</v>
      </c>
      <c r="M74">
        <f t="shared" si="20"/>
        <v>0.62867452186917461</v>
      </c>
      <c r="N74">
        <f t="shared" si="24"/>
        <v>6.0746699019999996E-2</v>
      </c>
      <c r="O74">
        <f t="shared" si="22"/>
        <v>1.024643116E-2</v>
      </c>
      <c r="P74">
        <f t="shared" si="23"/>
        <v>7.1137499726042872E-2</v>
      </c>
      <c r="V74">
        <v>0.99999999999998002</v>
      </c>
      <c r="W74">
        <f t="shared" si="21"/>
        <v>-0.69309999999999905</v>
      </c>
    </row>
    <row r="75" spans="1:23" x14ac:dyDescent="0.3">
      <c r="A75">
        <v>3.7098488999999999</v>
      </c>
      <c r="B75">
        <v>0.44780999999999999</v>
      </c>
      <c r="C75">
        <f t="shared" si="14"/>
        <v>1.6613074359089999</v>
      </c>
      <c r="D75">
        <v>1.66E-2</v>
      </c>
      <c r="E75">
        <v>2.8E-3</v>
      </c>
      <c r="F75">
        <f t="shared" si="15"/>
        <v>741.96978000000001</v>
      </c>
      <c r="G75">
        <f t="shared" si="16"/>
        <v>-0.44780999999999999</v>
      </c>
      <c r="H75">
        <f t="shared" si="17"/>
        <v>-332.26148718179996</v>
      </c>
      <c r="I75">
        <v>1</v>
      </c>
      <c r="J75">
        <f t="shared" si="18"/>
        <v>-0.29844676440695767</v>
      </c>
      <c r="K75">
        <f t="shared" si="19"/>
        <v>-0.77391515177521741</v>
      </c>
      <c r="L75">
        <v>1</v>
      </c>
      <c r="M75">
        <f t="shared" si="20"/>
        <v>0.62934626386761838</v>
      </c>
      <c r="N75">
        <f t="shared" si="24"/>
        <v>6.1583491739999996E-2</v>
      </c>
      <c r="O75">
        <f t="shared" si="22"/>
        <v>1.0387576919999999E-2</v>
      </c>
      <c r="P75">
        <f t="shared" si="23"/>
        <v>7.2597819247599032E-2</v>
      </c>
      <c r="V75">
        <v>1.0999999999999699</v>
      </c>
      <c r="W75">
        <f t="shared" si="21"/>
        <v>-0.69800999999999858</v>
      </c>
    </row>
    <row r="76" spans="1:23" x14ac:dyDescent="0.3">
      <c r="A76">
        <v>3.7602580999999997</v>
      </c>
      <c r="B76">
        <v>0.44485000000000002</v>
      </c>
      <c r="C76">
        <f t="shared" si="14"/>
        <v>1.672750815785</v>
      </c>
      <c r="D76">
        <v>1.66E-2</v>
      </c>
      <c r="E76">
        <v>2.8E-3</v>
      </c>
      <c r="F76">
        <f t="shared" si="15"/>
        <v>752.05161999999996</v>
      </c>
      <c r="G76">
        <f t="shared" si="16"/>
        <v>-0.44485000000000002</v>
      </c>
      <c r="H76">
        <f t="shared" si="17"/>
        <v>-334.55016315699999</v>
      </c>
      <c r="I76">
        <v>1</v>
      </c>
      <c r="J76">
        <f t="shared" si="18"/>
        <v>-0.28495031377114133</v>
      </c>
      <c r="K76">
        <f t="shared" si="19"/>
        <v>-0.77687515177521749</v>
      </c>
      <c r="L76">
        <v>1</v>
      </c>
      <c r="M76">
        <f t="shared" si="20"/>
        <v>0.63000893959383697</v>
      </c>
      <c r="N76">
        <f t="shared" si="24"/>
        <v>6.2420284459999996E-2</v>
      </c>
      <c r="O76">
        <f t="shared" si="22"/>
        <v>1.052872268E-2</v>
      </c>
      <c r="P76">
        <f t="shared" si="23"/>
        <v>7.391720504138051E-2</v>
      </c>
      <c r="V76">
        <v>1.19999999999997</v>
      </c>
      <c r="W76">
        <f t="shared" si="21"/>
        <v>-0.70291999999999855</v>
      </c>
    </row>
    <row r="77" spans="1:23" x14ac:dyDescent="0.3">
      <c r="A77">
        <v>3.8111763000000001</v>
      </c>
      <c r="B77">
        <v>0.44202000000000002</v>
      </c>
      <c r="C77">
        <f t="shared" si="14"/>
        <v>1.684616148126</v>
      </c>
      <c r="D77">
        <v>1.66E-2</v>
      </c>
      <c r="E77">
        <v>2.8E-3</v>
      </c>
      <c r="F77">
        <f t="shared" si="15"/>
        <v>762.23526000000004</v>
      </c>
      <c r="G77">
        <f t="shared" si="16"/>
        <v>-0.44202000000000002</v>
      </c>
      <c r="H77">
        <f t="shared" si="17"/>
        <v>-336.92322962520001</v>
      </c>
      <c r="I77">
        <v>1</v>
      </c>
      <c r="J77">
        <f t="shared" si="18"/>
        <v>-0.27150003078844531</v>
      </c>
      <c r="K77">
        <f t="shared" si="19"/>
        <v>-0.77970515177521738</v>
      </c>
      <c r="L77">
        <v>1</v>
      </c>
      <c r="M77">
        <f t="shared" si="20"/>
        <v>0.63066934848828737</v>
      </c>
      <c r="N77">
        <f t="shared" si="24"/>
        <v>6.3265526579999995E-2</v>
      </c>
      <c r="O77">
        <f t="shared" si="22"/>
        <v>1.0671293639999999E-2</v>
      </c>
      <c r="P77">
        <f t="shared" si="23"/>
        <v>7.5098983066930011E-2</v>
      </c>
      <c r="V77">
        <v>1.2999999999999701</v>
      </c>
      <c r="W77">
        <f t="shared" si="21"/>
        <v>-0.70782999999999852</v>
      </c>
    </row>
    <row r="78" spans="1:23" x14ac:dyDescent="0.3">
      <c r="A78">
        <v>3.8631130000000002</v>
      </c>
      <c r="B78">
        <v>0.43915999999999999</v>
      </c>
      <c r="C78">
        <f t="shared" si="14"/>
        <v>1.6965247050800001</v>
      </c>
      <c r="D78">
        <v>1.66E-2</v>
      </c>
      <c r="E78">
        <v>2.8E-3</v>
      </c>
      <c r="F78">
        <f t="shared" si="15"/>
        <v>772.62260000000003</v>
      </c>
      <c r="G78">
        <f t="shared" si="16"/>
        <v>-0.43915999999999999</v>
      </c>
      <c r="H78">
        <f t="shared" si="17"/>
        <v>-339.30494101600004</v>
      </c>
      <c r="I78">
        <v>1</v>
      </c>
      <c r="J78">
        <f t="shared" si="18"/>
        <v>-0.25796457730100414</v>
      </c>
      <c r="K78">
        <f t="shared" si="19"/>
        <v>-0.78256515177521746</v>
      </c>
      <c r="L78">
        <v>1</v>
      </c>
      <c r="M78">
        <f t="shared" si="20"/>
        <v>0.63133393925452075</v>
      </c>
      <c r="N78">
        <f t="shared" si="24"/>
        <v>6.4127675800000006E-2</v>
      </c>
      <c r="O78">
        <f t="shared" si="22"/>
        <v>1.0816716400000001E-2</v>
      </c>
      <c r="P78">
        <f t="shared" si="23"/>
        <v>7.628682032069671E-2</v>
      </c>
      <c r="V78">
        <v>1.3999999999999699</v>
      </c>
      <c r="W78">
        <f t="shared" si="21"/>
        <v>-0.7127399999999986</v>
      </c>
    </row>
    <row r="79" spans="1:23" x14ac:dyDescent="0.3">
      <c r="A79">
        <v>3.9150495999999997</v>
      </c>
      <c r="B79">
        <v>0.43656</v>
      </c>
      <c r="C79">
        <f t="shared" si="14"/>
        <v>1.7091540533759999</v>
      </c>
      <c r="D79">
        <v>1.66E-2</v>
      </c>
      <c r="E79">
        <v>2.8E-3</v>
      </c>
      <c r="F79">
        <f t="shared" si="15"/>
        <v>783.00991999999997</v>
      </c>
      <c r="G79">
        <f t="shared" si="16"/>
        <v>-0.43656</v>
      </c>
      <c r="H79">
        <f t="shared" si="17"/>
        <v>-341.83081067519998</v>
      </c>
      <c r="I79">
        <v>1</v>
      </c>
      <c r="J79">
        <f t="shared" si="18"/>
        <v>-0.24460991385064287</v>
      </c>
      <c r="K79">
        <f t="shared" si="19"/>
        <v>-0.7851651517752174</v>
      </c>
      <c r="L79">
        <v>1</v>
      </c>
      <c r="M79">
        <f t="shared" si="20"/>
        <v>0.6319896532299335</v>
      </c>
      <c r="N79">
        <f t="shared" si="24"/>
        <v>6.498982335999999E-2</v>
      </c>
      <c r="O79">
        <f t="shared" si="22"/>
        <v>1.096213888E-2</v>
      </c>
      <c r="P79">
        <f t="shared" si="23"/>
        <v>7.7223536305283905E-2</v>
      </c>
      <c r="V79">
        <v>1.49999999999997</v>
      </c>
      <c r="W79">
        <f t="shared" si="21"/>
        <v>-0.71764999999999857</v>
      </c>
    </row>
    <row r="80" spans="1:23" x14ac:dyDescent="0.3">
      <c r="A80">
        <v>3.9654586999999997</v>
      </c>
      <c r="B80">
        <v>0.43354999999999999</v>
      </c>
      <c r="C80">
        <f t="shared" si="14"/>
        <v>1.7192246193849998</v>
      </c>
      <c r="D80">
        <v>1.66E-2</v>
      </c>
      <c r="E80">
        <v>2.8E-3</v>
      </c>
      <c r="F80">
        <f t="shared" si="15"/>
        <v>793.09173999999996</v>
      </c>
      <c r="G80">
        <f t="shared" si="16"/>
        <v>-0.43354999999999999</v>
      </c>
      <c r="H80">
        <f t="shared" si="17"/>
        <v>-343.84492387699999</v>
      </c>
      <c r="I80">
        <v>1</v>
      </c>
      <c r="J80">
        <f t="shared" si="18"/>
        <v>-0.23181637677498845</v>
      </c>
      <c r="K80">
        <f t="shared" si="19"/>
        <v>-0.78817515177521746</v>
      </c>
      <c r="L80">
        <v>1</v>
      </c>
      <c r="M80">
        <f t="shared" si="20"/>
        <v>0.63261781590034805</v>
      </c>
      <c r="N80">
        <f t="shared" si="24"/>
        <v>6.5826614419999999E-2</v>
      </c>
      <c r="O80">
        <f t="shared" si="22"/>
        <v>1.1103284359999998E-2</v>
      </c>
      <c r="P80">
        <f t="shared" si="23"/>
        <v>7.8627437094869426E-2</v>
      </c>
      <c r="V80">
        <v>1.5999999999999699</v>
      </c>
      <c r="W80">
        <f t="shared" si="21"/>
        <v>-0.72255999999999854</v>
      </c>
    </row>
    <row r="81" spans="1:23" x14ac:dyDescent="0.3">
      <c r="A81">
        <v>4.0163773999999997</v>
      </c>
      <c r="B81">
        <v>0.43086999999999998</v>
      </c>
      <c r="C81">
        <f t="shared" si="14"/>
        <v>1.7305365303379998</v>
      </c>
      <c r="D81">
        <v>1.66E-2</v>
      </c>
      <c r="E81">
        <v>2.8E-3</v>
      </c>
      <c r="F81">
        <f t="shared" si="15"/>
        <v>803.2754799999999</v>
      </c>
      <c r="G81">
        <f t="shared" si="16"/>
        <v>-0.43086999999999998</v>
      </c>
      <c r="H81">
        <f t="shared" si="17"/>
        <v>-346.10730606759995</v>
      </c>
      <c r="I81">
        <v>1</v>
      </c>
      <c r="J81">
        <f t="shared" si="18"/>
        <v>-0.21905756035637619</v>
      </c>
      <c r="K81">
        <f t="shared" si="19"/>
        <v>-0.79085515177521748</v>
      </c>
      <c r="L81">
        <v>1</v>
      </c>
      <c r="M81">
        <f t="shared" si="20"/>
        <v>0.63324427378650194</v>
      </c>
      <c r="N81">
        <f t="shared" si="24"/>
        <v>6.6671864839999997E-2</v>
      </c>
      <c r="O81">
        <f t="shared" si="22"/>
        <v>1.1245856719999999E-2</v>
      </c>
      <c r="P81">
        <f t="shared" si="23"/>
        <v>7.9693156428715536E-2</v>
      </c>
      <c r="V81">
        <v>1.69999999999997</v>
      </c>
      <c r="W81">
        <f t="shared" si="21"/>
        <v>-0.72746999999999851</v>
      </c>
    </row>
    <row r="82" spans="1:23" x14ac:dyDescent="0.3">
      <c r="A82">
        <v>4.0667865999999995</v>
      </c>
      <c r="B82">
        <v>0.42792999999999998</v>
      </c>
      <c r="C82">
        <f t="shared" si="14"/>
        <v>1.7402999897379996</v>
      </c>
      <c r="D82">
        <v>1.66E-2</v>
      </c>
      <c r="E82">
        <v>2.8E-3</v>
      </c>
      <c r="F82">
        <f t="shared" si="15"/>
        <v>813.35731999999985</v>
      </c>
      <c r="G82">
        <f t="shared" si="16"/>
        <v>-0.42792999999999998</v>
      </c>
      <c r="H82">
        <f t="shared" si="17"/>
        <v>-348.05999794759992</v>
      </c>
      <c r="I82">
        <v>1</v>
      </c>
      <c r="J82">
        <f t="shared" si="18"/>
        <v>-0.20658475799459539</v>
      </c>
      <c r="K82">
        <f t="shared" si="19"/>
        <v>-0.79379515177521753</v>
      </c>
      <c r="L82">
        <v>1</v>
      </c>
      <c r="M82">
        <f t="shared" si="20"/>
        <v>0.63385668838246534</v>
      </c>
      <c r="N82">
        <f t="shared" si="24"/>
        <v>6.7508657559999991E-2</v>
      </c>
      <c r="O82">
        <f t="shared" si="22"/>
        <v>1.1387002479999998E-2</v>
      </c>
      <c r="P82">
        <f t="shared" si="23"/>
        <v>8.1042803352752213E-2</v>
      </c>
      <c r="V82">
        <v>1.7999999999999701</v>
      </c>
      <c r="W82">
        <f t="shared" si="21"/>
        <v>-0.73237999999999859</v>
      </c>
    </row>
    <row r="83" spans="1:23" x14ac:dyDescent="0.3">
      <c r="A83">
        <v>4.1192324000000005</v>
      </c>
      <c r="B83">
        <v>0.42538999999999999</v>
      </c>
      <c r="C83">
        <f t="shared" si="14"/>
        <v>1.7522802706360001</v>
      </c>
      <c r="D83">
        <v>1.66E-2</v>
      </c>
      <c r="E83">
        <v>2.8E-3</v>
      </c>
      <c r="F83">
        <f t="shared" si="15"/>
        <v>823.84648000000004</v>
      </c>
      <c r="G83">
        <f t="shared" si="16"/>
        <v>-0.42538999999999999</v>
      </c>
      <c r="H83">
        <f t="shared" si="17"/>
        <v>-350.45605412720005</v>
      </c>
      <c r="I83">
        <v>1</v>
      </c>
      <c r="J83">
        <f t="shared" si="18"/>
        <v>-0.19377107711026764</v>
      </c>
      <c r="K83">
        <f t="shared" si="19"/>
        <v>-0.79633515177521752</v>
      </c>
      <c r="L83">
        <v>1</v>
      </c>
      <c r="M83">
        <f t="shared" si="20"/>
        <v>0.63448584011388587</v>
      </c>
      <c r="N83">
        <f t="shared" si="24"/>
        <v>6.8379257840000013E-2</v>
      </c>
      <c r="O83">
        <f t="shared" si="22"/>
        <v>1.1533850720000001E-2</v>
      </c>
      <c r="P83">
        <f t="shared" si="23"/>
        <v>8.1936203101331637E-2</v>
      </c>
      <c r="V83">
        <v>1.8999999999999699</v>
      </c>
      <c r="W83">
        <f t="shared" si="21"/>
        <v>-0.73728999999999856</v>
      </c>
    </row>
    <row r="84" spans="1:23" x14ac:dyDescent="0.3">
      <c r="A84">
        <v>4.1721874999999997</v>
      </c>
      <c r="B84">
        <v>0.42280000000000001</v>
      </c>
      <c r="C84">
        <f t="shared" si="14"/>
        <v>1.764000875</v>
      </c>
      <c r="D84">
        <v>1.66E-2</v>
      </c>
      <c r="E84">
        <v>2.8E-3</v>
      </c>
      <c r="F84">
        <f t="shared" si="15"/>
        <v>834.4375</v>
      </c>
      <c r="G84">
        <f t="shared" si="16"/>
        <v>-0.42280000000000001</v>
      </c>
      <c r="H84">
        <f t="shared" si="17"/>
        <v>-352.80017500000002</v>
      </c>
      <c r="I84">
        <v>1</v>
      </c>
      <c r="J84">
        <f t="shared" si="18"/>
        <v>-0.18099743383182326</v>
      </c>
      <c r="K84">
        <f t="shared" si="19"/>
        <v>-0.79892515177521739</v>
      </c>
      <c r="L84">
        <v>1</v>
      </c>
      <c r="M84">
        <f t="shared" si="20"/>
        <v>0.63511302599885755</v>
      </c>
      <c r="N84">
        <f t="shared" si="24"/>
        <v>6.9258312500000002E-2</v>
      </c>
      <c r="O84">
        <f t="shared" si="22"/>
        <v>1.1682125E-2</v>
      </c>
      <c r="P84">
        <f t="shared" si="23"/>
        <v>8.2871688276359837E-2</v>
      </c>
      <c r="V84">
        <v>1.99999999999997</v>
      </c>
      <c r="W84">
        <f t="shared" si="21"/>
        <v>-0.74219999999999853</v>
      </c>
    </row>
    <row r="85" spans="1:23" x14ac:dyDescent="0.3">
      <c r="A85">
        <v>4.2225967000000004</v>
      </c>
      <c r="B85">
        <v>0.4194</v>
      </c>
      <c r="C85">
        <f t="shared" si="14"/>
        <v>1.7709570559800001</v>
      </c>
      <c r="D85">
        <v>1.66E-2</v>
      </c>
      <c r="E85">
        <v>2.8E-3</v>
      </c>
      <c r="F85">
        <f t="shared" si="15"/>
        <v>844.51934000000006</v>
      </c>
      <c r="G85">
        <f t="shared" si="16"/>
        <v>-0.4194</v>
      </c>
      <c r="H85">
        <f t="shared" si="17"/>
        <v>-354.19141119599999</v>
      </c>
      <c r="I85">
        <v>1</v>
      </c>
      <c r="J85">
        <f t="shared" si="18"/>
        <v>-0.16898764187158297</v>
      </c>
      <c r="K85">
        <f t="shared" si="19"/>
        <v>-0.80232515177521746</v>
      </c>
      <c r="L85">
        <v>1</v>
      </c>
      <c r="M85">
        <f t="shared" si="20"/>
        <v>0.63570270678410534</v>
      </c>
      <c r="N85">
        <f t="shared" si="24"/>
        <v>7.0095105220000009E-2</v>
      </c>
      <c r="O85">
        <f t="shared" si="22"/>
        <v>1.1823270760000001E-2</v>
      </c>
      <c r="P85">
        <f t="shared" si="23"/>
        <v>8.4704069011112104E-2</v>
      </c>
      <c r="V85">
        <v>2.0999999999999699</v>
      </c>
      <c r="W85">
        <f t="shared" si="21"/>
        <v>-0.7471099999999985</v>
      </c>
    </row>
    <row r="86" spans="1:23" x14ac:dyDescent="0.3">
      <c r="A86">
        <v>4.2735151</v>
      </c>
      <c r="B86">
        <v>0.41694999999999999</v>
      </c>
      <c r="C86">
        <f t="shared" si="14"/>
        <v>1.7818421209449999</v>
      </c>
      <c r="D86">
        <v>1.66E-2</v>
      </c>
      <c r="E86">
        <v>2.8E-3</v>
      </c>
      <c r="F86">
        <f t="shared" si="15"/>
        <v>854.70302000000004</v>
      </c>
      <c r="G86">
        <f t="shared" si="16"/>
        <v>-0.41694999999999999</v>
      </c>
      <c r="H86">
        <f t="shared" si="17"/>
        <v>-356.368424189</v>
      </c>
      <c r="I86">
        <v>1</v>
      </c>
      <c r="J86">
        <f t="shared" si="18"/>
        <v>-0.15700121541287371</v>
      </c>
      <c r="K86">
        <f t="shared" si="19"/>
        <v>-0.80477515177521752</v>
      </c>
      <c r="L86">
        <v>1</v>
      </c>
      <c r="M86">
        <f t="shared" si="20"/>
        <v>0.63629124032322792</v>
      </c>
      <c r="N86">
        <f t="shared" si="24"/>
        <v>7.0940350659999998E-2</v>
      </c>
      <c r="O86">
        <f t="shared" si="22"/>
        <v>1.196584228E-2</v>
      </c>
      <c r="P86">
        <f t="shared" si="23"/>
        <v>8.5577718511989601E-2</v>
      </c>
      <c r="V86">
        <v>2.19999999999997</v>
      </c>
      <c r="W86">
        <f t="shared" si="21"/>
        <v>-0.75201999999999858</v>
      </c>
    </row>
    <row r="87" spans="1:23" x14ac:dyDescent="0.3">
      <c r="A87">
        <v>4.3239242999999998</v>
      </c>
      <c r="B87">
        <v>0.41426000000000002</v>
      </c>
      <c r="C87">
        <f t="shared" si="14"/>
        <v>1.7912288805180001</v>
      </c>
      <c r="D87">
        <v>1.66E-2</v>
      </c>
      <c r="E87">
        <v>2.8E-3</v>
      </c>
      <c r="F87">
        <f t="shared" si="15"/>
        <v>864.78485999999998</v>
      </c>
      <c r="G87">
        <f t="shared" si="16"/>
        <v>-0.41426000000000002</v>
      </c>
      <c r="H87">
        <f t="shared" si="17"/>
        <v>-358.24577610360001</v>
      </c>
      <c r="I87">
        <v>1</v>
      </c>
      <c r="J87">
        <f t="shared" si="18"/>
        <v>-0.14527451974840713</v>
      </c>
      <c r="K87">
        <f t="shared" si="19"/>
        <v>-0.80746515177521738</v>
      </c>
      <c r="L87">
        <v>1</v>
      </c>
      <c r="M87">
        <f t="shared" si="20"/>
        <v>0.6368670210803532</v>
      </c>
      <c r="N87">
        <f t="shared" si="24"/>
        <v>7.1777143379999991E-2</v>
      </c>
      <c r="O87">
        <f t="shared" si="22"/>
        <v>1.2106988039999999E-2</v>
      </c>
      <c r="P87">
        <f t="shared" si="23"/>
        <v>8.6713999274864187E-2</v>
      </c>
      <c r="V87">
        <v>2.2999999999999701</v>
      </c>
      <c r="W87">
        <f t="shared" si="21"/>
        <v>-0.75692999999999855</v>
      </c>
    </row>
    <row r="88" spans="1:23" x14ac:dyDescent="0.3">
      <c r="A88">
        <v>4.3773881999999995</v>
      </c>
      <c r="B88">
        <v>0.41139999999999999</v>
      </c>
      <c r="C88">
        <f t="shared" si="14"/>
        <v>1.8008575054799998</v>
      </c>
      <c r="D88">
        <v>1.66E-2</v>
      </c>
      <c r="E88">
        <v>2.8E-3</v>
      </c>
      <c r="F88">
        <f t="shared" si="15"/>
        <v>875.47763999999995</v>
      </c>
      <c r="G88">
        <f t="shared" si="16"/>
        <v>-0.41139999999999999</v>
      </c>
      <c r="H88">
        <f t="shared" si="17"/>
        <v>-360.17150109599993</v>
      </c>
      <c r="I88">
        <v>1</v>
      </c>
      <c r="J88">
        <f t="shared" si="18"/>
        <v>-0.13298566727397884</v>
      </c>
      <c r="K88">
        <f t="shared" si="19"/>
        <v>-0.81032515177521747</v>
      </c>
      <c r="L88">
        <v>1</v>
      </c>
      <c r="M88">
        <f t="shared" si="20"/>
        <v>0.6374704037368476</v>
      </c>
      <c r="N88">
        <f t="shared" si="24"/>
        <v>7.2664644119999997E-2</v>
      </c>
      <c r="O88">
        <f t="shared" si="22"/>
        <v>1.2256686959999999E-2</v>
      </c>
      <c r="P88">
        <f t="shared" si="23"/>
        <v>8.793341695836987E-2</v>
      </c>
      <c r="V88">
        <v>2.3999999999999702</v>
      </c>
      <c r="W88">
        <f t="shared" si="21"/>
        <v>-0.76183999999999852</v>
      </c>
    </row>
    <row r="89" spans="1:23" x14ac:dyDescent="0.3">
      <c r="A89">
        <v>4.4313623</v>
      </c>
      <c r="B89">
        <v>0.40866999999999998</v>
      </c>
      <c r="C89">
        <f t="shared" si="14"/>
        <v>1.8109648311409998</v>
      </c>
      <c r="D89">
        <v>1.66E-2</v>
      </c>
      <c r="E89">
        <v>2.8E-3</v>
      </c>
      <c r="F89">
        <f t="shared" si="15"/>
        <v>886.27246000000002</v>
      </c>
      <c r="G89">
        <f t="shared" si="16"/>
        <v>-0.40866999999999998</v>
      </c>
      <c r="H89">
        <f t="shared" si="17"/>
        <v>-362.19296622819996</v>
      </c>
      <c r="I89">
        <v>1</v>
      </c>
      <c r="J89">
        <f t="shared" si="18"/>
        <v>-0.12073085872067323</v>
      </c>
      <c r="K89">
        <f t="shared" si="19"/>
        <v>-0.81305515177521748</v>
      </c>
      <c r="L89">
        <v>1</v>
      </c>
      <c r="M89">
        <f t="shared" si="20"/>
        <v>0.63807211483681492</v>
      </c>
      <c r="N89">
        <f t="shared" si="24"/>
        <v>7.3560614179999997E-2</v>
      </c>
      <c r="O89">
        <f t="shared" si="22"/>
        <v>1.240781444E-2</v>
      </c>
      <c r="P89">
        <f t="shared" si="23"/>
        <v>8.9014608318402563E-2</v>
      </c>
      <c r="V89">
        <v>2.4999999999999698</v>
      </c>
      <c r="W89">
        <f t="shared" si="21"/>
        <v>-0.76674999999999849</v>
      </c>
    </row>
    <row r="90" spans="1:23" x14ac:dyDescent="0.3">
      <c r="A90">
        <v>4.4817710000000002</v>
      </c>
      <c r="B90">
        <v>0.40571000000000002</v>
      </c>
      <c r="C90">
        <f t="shared" si="14"/>
        <v>1.8182993124100002</v>
      </c>
      <c r="D90">
        <v>1.66E-2</v>
      </c>
      <c r="E90">
        <v>2.8E-3</v>
      </c>
      <c r="F90">
        <f t="shared" si="15"/>
        <v>896.35419999999999</v>
      </c>
      <c r="G90">
        <f t="shared" si="16"/>
        <v>-0.40571000000000002</v>
      </c>
      <c r="H90">
        <f t="shared" si="17"/>
        <v>-363.65986248200005</v>
      </c>
      <c r="I90">
        <v>1</v>
      </c>
      <c r="J90">
        <f t="shared" si="18"/>
        <v>-0.10941963162260694</v>
      </c>
      <c r="K90">
        <f t="shared" si="19"/>
        <v>-0.81601515177521744</v>
      </c>
      <c r="L90">
        <v>1</v>
      </c>
      <c r="M90">
        <f t="shared" si="20"/>
        <v>0.63862749608733005</v>
      </c>
      <c r="N90">
        <f t="shared" si="24"/>
        <v>7.4397398599999998E-2</v>
      </c>
      <c r="O90">
        <f t="shared" si="22"/>
        <v>1.2548958800000001E-2</v>
      </c>
      <c r="P90">
        <f t="shared" si="23"/>
        <v>9.0441298287887398E-2</v>
      </c>
      <c r="V90">
        <v>2.5999999999999699</v>
      </c>
      <c r="W90">
        <f t="shared" si="21"/>
        <v>-0.77165999999999857</v>
      </c>
    </row>
    <row r="91" spans="1:23" x14ac:dyDescent="0.3">
      <c r="A91">
        <v>4.5326895</v>
      </c>
      <c r="B91">
        <v>0.40283999999999998</v>
      </c>
      <c r="C91">
        <f t="shared" si="14"/>
        <v>1.8259486381799999</v>
      </c>
      <c r="D91">
        <v>1.66E-2</v>
      </c>
      <c r="E91">
        <v>2.8E-3</v>
      </c>
      <c r="F91">
        <f t="shared" si="15"/>
        <v>906.53790000000004</v>
      </c>
      <c r="G91">
        <f t="shared" si="16"/>
        <v>-0.40283999999999998</v>
      </c>
      <c r="H91">
        <f t="shared" si="17"/>
        <v>-365.18972763599999</v>
      </c>
      <c r="I91">
        <v>1</v>
      </c>
      <c r="J91">
        <f t="shared" si="18"/>
        <v>-9.812244050511483E-2</v>
      </c>
      <c r="K91">
        <f t="shared" si="19"/>
        <v>-0.81888515177521748</v>
      </c>
      <c r="L91">
        <v>1</v>
      </c>
      <c r="M91">
        <f t="shared" si="20"/>
        <v>0.63918218817119887</v>
      </c>
      <c r="N91">
        <f t="shared" si="24"/>
        <v>7.5242645699999999E-2</v>
      </c>
      <c r="O91">
        <f t="shared" si="22"/>
        <v>1.2691530600000001E-2</v>
      </c>
      <c r="P91">
        <f t="shared" si="23"/>
        <v>9.1768787304018606E-2</v>
      </c>
      <c r="V91">
        <v>2.69999999999997</v>
      </c>
      <c r="W91">
        <f t="shared" si="21"/>
        <v>-0.77656999999999854</v>
      </c>
    </row>
    <row r="92" spans="1:23" x14ac:dyDescent="0.3">
      <c r="A92">
        <v>4.5846260000000001</v>
      </c>
      <c r="B92">
        <v>0.40029999999999999</v>
      </c>
      <c r="C92">
        <f t="shared" si="14"/>
        <v>1.8352257878</v>
      </c>
      <c r="D92">
        <v>1.66E-2</v>
      </c>
      <c r="E92">
        <v>2.8E-3</v>
      </c>
      <c r="F92">
        <f t="shared" si="15"/>
        <v>916.92520000000002</v>
      </c>
      <c r="G92">
        <f t="shared" si="16"/>
        <v>-0.40029999999999999</v>
      </c>
      <c r="H92">
        <f t="shared" si="17"/>
        <v>-367.04515756000001</v>
      </c>
      <c r="I92">
        <v>1</v>
      </c>
      <c r="J92">
        <f t="shared" si="18"/>
        <v>-8.6729380390772048E-2</v>
      </c>
      <c r="K92">
        <f t="shared" si="19"/>
        <v>-0.82142515177521747</v>
      </c>
      <c r="L92">
        <v>1</v>
      </c>
      <c r="M92">
        <f t="shared" si="20"/>
        <v>0.63974158742281306</v>
      </c>
      <c r="N92">
        <f t="shared" si="24"/>
        <v>7.6104791599999999E-2</v>
      </c>
      <c r="O92">
        <f t="shared" si="22"/>
        <v>1.2836952800000001E-2</v>
      </c>
      <c r="P92">
        <f t="shared" si="23"/>
        <v>9.2741819952404408E-2</v>
      </c>
      <c r="V92">
        <v>2.7999999999999701</v>
      </c>
      <c r="W92">
        <f t="shared" si="21"/>
        <v>-0.78147999999999851</v>
      </c>
    </row>
    <row r="93" spans="1:23" x14ac:dyDescent="0.3">
      <c r="A93">
        <v>4.6350351999999999</v>
      </c>
      <c r="B93">
        <v>0.39774999999999999</v>
      </c>
      <c r="C93">
        <f t="shared" si="14"/>
        <v>1.8435852507999999</v>
      </c>
      <c r="D93">
        <v>1.66E-2</v>
      </c>
      <c r="E93">
        <v>2.8E-3</v>
      </c>
      <c r="F93">
        <f t="shared" si="15"/>
        <v>927.00703999999996</v>
      </c>
      <c r="G93">
        <f t="shared" si="16"/>
        <v>-0.39774999999999999</v>
      </c>
      <c r="H93">
        <f t="shared" si="17"/>
        <v>-368.71705015999999</v>
      </c>
      <c r="I93">
        <v>1</v>
      </c>
      <c r="J93">
        <f t="shared" si="18"/>
        <v>-7.5794119054612114E-2</v>
      </c>
      <c r="K93">
        <f t="shared" si="19"/>
        <v>-0.82397515177521741</v>
      </c>
      <c r="L93">
        <v>1</v>
      </c>
      <c r="M93">
        <f t="shared" si="20"/>
        <v>0.64027850875441861</v>
      </c>
      <c r="N93">
        <f t="shared" si="24"/>
        <v>7.6941584320000006E-2</v>
      </c>
      <c r="O93">
        <f t="shared" si="22"/>
        <v>1.297809856E-2</v>
      </c>
      <c r="P93">
        <f t="shared" si="23"/>
        <v>9.3776960140798796E-2</v>
      </c>
      <c r="V93">
        <v>2.8999999999999702</v>
      </c>
      <c r="W93">
        <f t="shared" si="21"/>
        <v>-0.78638999999999859</v>
      </c>
    </row>
    <row r="94" spans="1:23" x14ac:dyDescent="0.3">
      <c r="A94">
        <v>4.6859536000000004</v>
      </c>
      <c r="B94">
        <v>0.39489999999999997</v>
      </c>
      <c r="C94">
        <f t="shared" si="14"/>
        <v>1.85048307664</v>
      </c>
      <c r="D94">
        <v>1.66E-2</v>
      </c>
      <c r="E94">
        <v>2.8E-3</v>
      </c>
      <c r="F94">
        <f t="shared" si="15"/>
        <v>937.19072000000006</v>
      </c>
      <c r="G94">
        <f t="shared" si="16"/>
        <v>-0.39489999999999997</v>
      </c>
      <c r="H94">
        <f t="shared" si="17"/>
        <v>-370.09661532799998</v>
      </c>
      <c r="I94">
        <v>1</v>
      </c>
      <c r="J94">
        <f t="shared" si="18"/>
        <v>-6.4868474232773865E-2</v>
      </c>
      <c r="K94">
        <f t="shared" si="19"/>
        <v>-0.82682515177521743</v>
      </c>
      <c r="L94">
        <v>1</v>
      </c>
      <c r="M94">
        <f t="shared" si="20"/>
        <v>0.64081495791517085</v>
      </c>
      <c r="N94">
        <f t="shared" si="24"/>
        <v>7.7786829760000009E-2</v>
      </c>
      <c r="O94">
        <f t="shared" si="22"/>
        <v>1.3120670080000001E-2</v>
      </c>
      <c r="P94">
        <f t="shared" si="23"/>
        <v>9.5102694020046563E-2</v>
      </c>
      <c r="V94">
        <v>2.9999999999999698</v>
      </c>
      <c r="W94">
        <f t="shared" si="21"/>
        <v>-0.79129999999999856</v>
      </c>
    </row>
    <row r="95" spans="1:23" x14ac:dyDescent="0.3">
      <c r="A95">
        <v>4.7363628000000002</v>
      </c>
      <c r="B95">
        <v>0.39241999999999999</v>
      </c>
      <c r="C95">
        <f t="shared" si="14"/>
        <v>1.858643489976</v>
      </c>
      <c r="D95">
        <v>1.66E-2</v>
      </c>
      <c r="E95">
        <v>2.8E-3</v>
      </c>
      <c r="F95">
        <f t="shared" si="15"/>
        <v>947.27256</v>
      </c>
      <c r="G95">
        <f t="shared" si="16"/>
        <v>-0.39241999999999999</v>
      </c>
      <c r="H95">
        <f t="shared" si="17"/>
        <v>-371.72869799520004</v>
      </c>
      <c r="I95">
        <v>1</v>
      </c>
      <c r="J95">
        <f t="shared" si="18"/>
        <v>-5.4168413056658517E-2</v>
      </c>
      <c r="K95">
        <f t="shared" si="19"/>
        <v>-0.82930515177521746</v>
      </c>
      <c r="L95">
        <v>1</v>
      </c>
      <c r="M95">
        <f t="shared" si="20"/>
        <v>0.64134033091891807</v>
      </c>
      <c r="N95">
        <f t="shared" si="24"/>
        <v>7.8623622480000002E-2</v>
      </c>
      <c r="O95">
        <f t="shared" si="22"/>
        <v>1.326181584E-2</v>
      </c>
      <c r="P95">
        <f t="shared" si="23"/>
        <v>9.6079382536299399E-2</v>
      </c>
      <c r="V95">
        <v>3.0999999999999699</v>
      </c>
      <c r="W95">
        <f t="shared" si="21"/>
        <v>-0.79620999999999853</v>
      </c>
    </row>
    <row r="96" spans="1:23" x14ac:dyDescent="0.3">
      <c r="A96">
        <v>4.786772</v>
      </c>
      <c r="B96">
        <v>0.38962999999999998</v>
      </c>
      <c r="C96">
        <f t="shared" si="14"/>
        <v>1.8650699743599999</v>
      </c>
      <c r="D96">
        <v>1.66E-2</v>
      </c>
      <c r="E96">
        <v>2.8E-3</v>
      </c>
      <c r="F96">
        <f t="shared" si="15"/>
        <v>957.35440000000006</v>
      </c>
      <c r="G96">
        <f t="shared" si="16"/>
        <v>-0.38962999999999998</v>
      </c>
      <c r="H96">
        <f t="shared" si="17"/>
        <v>-373.01399487199996</v>
      </c>
      <c r="I96">
        <v>1</v>
      </c>
      <c r="J96">
        <f t="shared" si="18"/>
        <v>-4.3581632153220279E-2</v>
      </c>
      <c r="K96">
        <f t="shared" si="19"/>
        <v>-0.83209515177521753</v>
      </c>
      <c r="L96">
        <v>1</v>
      </c>
      <c r="M96">
        <f t="shared" si="20"/>
        <v>0.64186014186127693</v>
      </c>
      <c r="N96">
        <f t="shared" si="24"/>
        <v>7.9460415199999995E-2</v>
      </c>
      <c r="O96">
        <f t="shared" si="22"/>
        <v>1.3402961600000001E-2</v>
      </c>
      <c r="P96">
        <f t="shared" si="23"/>
        <v>9.7371633113940606E-2</v>
      </c>
      <c r="V96">
        <v>3.19999999999997</v>
      </c>
      <c r="W96">
        <f t="shared" si="21"/>
        <v>-0.8011199999999985</v>
      </c>
    </row>
    <row r="97" spans="1:23" x14ac:dyDescent="0.3">
      <c r="A97">
        <v>4.8381992</v>
      </c>
      <c r="B97">
        <v>0.38712999999999997</v>
      </c>
      <c r="C97">
        <f t="shared" si="14"/>
        <v>1.873012056296</v>
      </c>
      <c r="D97">
        <v>1.66E-2</v>
      </c>
      <c r="E97">
        <v>2.8E-3</v>
      </c>
      <c r="F97">
        <f t="shared" si="15"/>
        <v>967.63984000000005</v>
      </c>
      <c r="G97">
        <f t="shared" si="16"/>
        <v>-0.38712999999999997</v>
      </c>
      <c r="H97">
        <f t="shared" si="17"/>
        <v>-374.60241125919998</v>
      </c>
      <c r="I97">
        <v>1</v>
      </c>
      <c r="J97">
        <f t="shared" si="18"/>
        <v>-3.2895327055033272E-2</v>
      </c>
      <c r="K97">
        <f t="shared" si="19"/>
        <v>-0.83459515177521748</v>
      </c>
      <c r="L97">
        <v>1</v>
      </c>
      <c r="M97">
        <f t="shared" si="20"/>
        <v>0.64238483944159785</v>
      </c>
      <c r="N97">
        <f t="shared" si="24"/>
        <v>8.031410672E-2</v>
      </c>
      <c r="O97">
        <f t="shared" si="22"/>
        <v>1.3546957760000001E-2</v>
      </c>
      <c r="P97">
        <f t="shared" si="23"/>
        <v>9.834924785361962E-2</v>
      </c>
      <c r="V97">
        <v>3.2999999999999701</v>
      </c>
      <c r="W97">
        <f t="shared" si="21"/>
        <v>-0.80602999999999858</v>
      </c>
    </row>
    <row r="98" spans="1:23" x14ac:dyDescent="0.3">
      <c r="A98">
        <v>4.8896269999999999</v>
      </c>
      <c r="B98">
        <v>0.38452999999999998</v>
      </c>
      <c r="C98">
        <f t="shared" si="14"/>
        <v>1.8802082703099998</v>
      </c>
      <c r="D98">
        <v>1.66E-2</v>
      </c>
      <c r="E98">
        <v>2.8E-3</v>
      </c>
      <c r="F98">
        <f t="shared" si="15"/>
        <v>977.92539999999997</v>
      </c>
      <c r="G98">
        <f t="shared" si="16"/>
        <v>-0.38452999999999998</v>
      </c>
      <c r="H98">
        <f t="shared" si="17"/>
        <v>-376.04165406199996</v>
      </c>
      <c r="I98">
        <v>1</v>
      </c>
      <c r="J98">
        <f t="shared" si="18"/>
        <v>-2.2321889975252817E-2</v>
      </c>
      <c r="K98">
        <f t="shared" si="19"/>
        <v>-0.83719515177521742</v>
      </c>
      <c r="L98">
        <v>1</v>
      </c>
      <c r="M98">
        <f t="shared" si="20"/>
        <v>0.64290399520221508</v>
      </c>
      <c r="N98">
        <f t="shared" si="24"/>
        <v>8.1167808199999997E-2</v>
      </c>
      <c r="O98">
        <f t="shared" si="22"/>
        <v>1.3690955600000001E-2</v>
      </c>
      <c r="P98">
        <f t="shared" si="23"/>
        <v>9.9432392773002337E-2</v>
      </c>
      <c r="V98">
        <v>3.3999999999999702</v>
      </c>
      <c r="W98">
        <f t="shared" si="21"/>
        <v>-0.81093999999999855</v>
      </c>
    </row>
    <row r="99" spans="1:23" x14ac:dyDescent="0.3">
      <c r="A99">
        <v>4.9410542</v>
      </c>
      <c r="B99">
        <v>0.38173000000000001</v>
      </c>
      <c r="C99">
        <f t="shared" si="14"/>
        <v>1.886148619766</v>
      </c>
      <c r="D99">
        <v>1.66E-2</v>
      </c>
      <c r="E99">
        <v>2.8E-3</v>
      </c>
      <c r="F99">
        <f t="shared" si="15"/>
        <v>988.21083999999996</v>
      </c>
      <c r="G99">
        <f t="shared" si="16"/>
        <v>-0.38173000000000001</v>
      </c>
      <c r="H99">
        <f t="shared" si="17"/>
        <v>-377.22972395319999</v>
      </c>
      <c r="I99">
        <v>1</v>
      </c>
      <c r="J99">
        <f t="shared" si="18"/>
        <v>-1.1859203191266611E-2</v>
      </c>
      <c r="K99">
        <f t="shared" si="19"/>
        <v>-0.83999515177521744</v>
      </c>
      <c r="L99">
        <v>1</v>
      </c>
      <c r="M99">
        <f t="shared" si="20"/>
        <v>0.64341771312330887</v>
      </c>
      <c r="N99">
        <f t="shared" si="24"/>
        <v>8.2021499720000002E-2</v>
      </c>
      <c r="O99">
        <f t="shared" si="22"/>
        <v>1.383495176E-2</v>
      </c>
      <c r="P99">
        <f t="shared" si="23"/>
        <v>0.10072098717190857</v>
      </c>
      <c r="V99">
        <v>3.4999999999999698</v>
      </c>
      <c r="W99">
        <f t="shared" si="21"/>
        <v>-0.81584999999999852</v>
      </c>
    </row>
    <row r="100" spans="1:23" x14ac:dyDescent="0.3">
      <c r="A100">
        <v>4.9929912000000005</v>
      </c>
      <c r="B100">
        <v>0.37903999999999999</v>
      </c>
      <c r="C100">
        <f t="shared" si="14"/>
        <v>1.8925433844480002</v>
      </c>
      <c r="D100">
        <v>1.66E-2</v>
      </c>
      <c r="E100">
        <v>2.8E-3</v>
      </c>
      <c r="F100">
        <f t="shared" si="15"/>
        <v>998.59824000000015</v>
      </c>
      <c r="G100">
        <f t="shared" si="16"/>
        <v>-0.37903999999999999</v>
      </c>
      <c r="H100">
        <f t="shared" si="17"/>
        <v>-378.50867688960005</v>
      </c>
      <c r="I100">
        <v>1</v>
      </c>
      <c r="J100">
        <f t="shared" si="18"/>
        <v>-1.4027433846355347E-3</v>
      </c>
      <c r="K100">
        <f t="shared" si="19"/>
        <v>-0.84268515177521741</v>
      </c>
      <c r="L100">
        <v>1</v>
      </c>
      <c r="M100">
        <f t="shared" si="20"/>
        <v>0.64393112529981444</v>
      </c>
      <c r="N100">
        <f t="shared" si="24"/>
        <v>8.2883653920000008E-2</v>
      </c>
      <c r="O100">
        <f t="shared" si="22"/>
        <v>1.3980375360000002E-2</v>
      </c>
      <c r="P100">
        <f t="shared" si="23"/>
        <v>0.10188999719540295</v>
      </c>
      <c r="V100">
        <v>3.5999999999999699</v>
      </c>
      <c r="W100">
        <f t="shared" si="21"/>
        <v>-0.82075999999999849</v>
      </c>
    </row>
    <row r="101" spans="1:23" x14ac:dyDescent="0.3">
      <c r="A101">
        <v>5.0444184999999999</v>
      </c>
      <c r="B101">
        <v>0.37620999999999999</v>
      </c>
      <c r="C101">
        <f t="shared" si="14"/>
        <v>1.8977606838849999</v>
      </c>
      <c r="D101">
        <v>1.66E-2</v>
      </c>
      <c r="E101">
        <v>2.8E-3</v>
      </c>
      <c r="F101">
        <f t="shared" si="15"/>
        <v>1008.8837</v>
      </c>
      <c r="G101">
        <f t="shared" si="16"/>
        <v>-0.37620999999999999</v>
      </c>
      <c r="H101">
        <f t="shared" si="17"/>
        <v>-379.55213677699999</v>
      </c>
      <c r="I101">
        <v>1</v>
      </c>
      <c r="J101">
        <f t="shared" si="18"/>
        <v>8.8444720919501618E-3</v>
      </c>
      <c r="K101">
        <f t="shared" si="19"/>
        <v>-0.84551515177521752</v>
      </c>
      <c r="L101">
        <v>1</v>
      </c>
      <c r="M101">
        <f t="shared" si="20"/>
        <v>0.64443426357971478</v>
      </c>
      <c r="N101">
        <f t="shared" si="24"/>
        <v>8.3737347099999998E-2</v>
      </c>
      <c r="O101">
        <f t="shared" si="22"/>
        <v>1.41243718E-2</v>
      </c>
      <c r="P101">
        <f t="shared" si="23"/>
        <v>0.10321916929550273</v>
      </c>
      <c r="V101">
        <v>3.69999999999997</v>
      </c>
      <c r="W101">
        <f t="shared" si="21"/>
        <v>-0.82566999999999857</v>
      </c>
    </row>
    <row r="102" spans="1:23" x14ac:dyDescent="0.3">
      <c r="A102">
        <v>5.0948275999999995</v>
      </c>
      <c r="B102">
        <v>0.37367</v>
      </c>
      <c r="C102">
        <f t="shared" si="14"/>
        <v>1.9037842292919998</v>
      </c>
      <c r="D102">
        <v>1.66E-2</v>
      </c>
      <c r="E102">
        <v>2.8E-3</v>
      </c>
      <c r="F102">
        <f t="shared" si="15"/>
        <v>1018.9655199999999</v>
      </c>
      <c r="G102">
        <f t="shared" si="16"/>
        <v>-0.37367</v>
      </c>
      <c r="H102">
        <f t="shared" si="17"/>
        <v>-380.75684585839997</v>
      </c>
      <c r="I102">
        <v>1</v>
      </c>
      <c r="J102">
        <f t="shared" si="18"/>
        <v>1.8787916572908826E-2</v>
      </c>
      <c r="K102">
        <f t="shared" si="19"/>
        <v>-0.84805515177521751</v>
      </c>
      <c r="L102">
        <v>1</v>
      </c>
      <c r="M102">
        <f t="shared" si="20"/>
        <v>0.64492248670372987</v>
      </c>
      <c r="N102">
        <f t="shared" si="24"/>
        <v>8.4574138159999993E-2</v>
      </c>
      <c r="O102">
        <f t="shared" si="22"/>
        <v>1.4265517279999999E-2</v>
      </c>
      <c r="P102">
        <f t="shared" si="23"/>
        <v>0.10429300963148765</v>
      </c>
      <c r="V102">
        <v>3.7999999999999701</v>
      </c>
      <c r="W102">
        <f t="shared" si="21"/>
        <v>-0.83057999999999854</v>
      </c>
    </row>
    <row r="103" spans="1:23" x14ac:dyDescent="0.3">
      <c r="A103">
        <v>5.1452363000000005</v>
      </c>
      <c r="B103">
        <v>0.371</v>
      </c>
      <c r="C103">
        <f t="shared" si="14"/>
        <v>1.9088826673000001</v>
      </c>
      <c r="D103">
        <v>1.66E-2</v>
      </c>
      <c r="E103">
        <v>2.8E-3</v>
      </c>
      <c r="F103">
        <f t="shared" si="15"/>
        <v>1029.0472600000001</v>
      </c>
      <c r="G103">
        <f t="shared" si="16"/>
        <v>-0.371</v>
      </c>
      <c r="H103">
        <f t="shared" si="17"/>
        <v>-381.77653346</v>
      </c>
      <c r="I103">
        <v>1</v>
      </c>
      <c r="J103">
        <f t="shared" si="18"/>
        <v>2.8633383882770268E-2</v>
      </c>
      <c r="K103">
        <f t="shared" si="19"/>
        <v>-0.85072515177521746</v>
      </c>
      <c r="L103">
        <v>1</v>
      </c>
      <c r="M103">
        <f t="shared" si="20"/>
        <v>0.64540589914864399</v>
      </c>
      <c r="N103">
        <f t="shared" si="24"/>
        <v>8.5410922580000007E-2</v>
      </c>
      <c r="O103">
        <f t="shared" si="22"/>
        <v>1.4406661640000002E-2</v>
      </c>
      <c r="P103">
        <f t="shared" si="23"/>
        <v>0.10550166840657346</v>
      </c>
      <c r="V103">
        <v>3.8999999999999599</v>
      </c>
      <c r="W103">
        <f t="shared" si="21"/>
        <v>-0.83548999999999807</v>
      </c>
    </row>
    <row r="104" spans="1:23" x14ac:dyDescent="0.3">
      <c r="A104">
        <v>5.1961548000000004</v>
      </c>
      <c r="B104">
        <v>0.36867</v>
      </c>
      <c r="C104">
        <f t="shared" si="14"/>
        <v>1.915666390116</v>
      </c>
      <c r="D104">
        <v>1.66E-2</v>
      </c>
      <c r="E104">
        <v>2.8E-3</v>
      </c>
      <c r="F104">
        <f t="shared" si="15"/>
        <v>1039.2309600000001</v>
      </c>
      <c r="G104">
        <f t="shared" si="16"/>
        <v>-0.36867</v>
      </c>
      <c r="H104">
        <f t="shared" si="17"/>
        <v>-383.13327802320003</v>
      </c>
      <c r="I104">
        <v>1</v>
      </c>
      <c r="J104">
        <f t="shared" si="18"/>
        <v>3.8480978078281547E-2</v>
      </c>
      <c r="K104">
        <f t="shared" si="19"/>
        <v>-0.8530551517752174</v>
      </c>
      <c r="L104">
        <v>1</v>
      </c>
      <c r="M104">
        <f t="shared" si="20"/>
        <v>0.64588941602364369</v>
      </c>
      <c r="N104">
        <f t="shared" si="24"/>
        <v>8.6256169680000008E-2</v>
      </c>
      <c r="O104">
        <f t="shared" si="22"/>
        <v>1.4549233440000002E-2</v>
      </c>
      <c r="P104">
        <f t="shared" si="23"/>
        <v>0.1063603326315737</v>
      </c>
      <c r="V104">
        <v>3.99999999999996</v>
      </c>
      <c r="W104">
        <f t="shared" si="21"/>
        <v>-0.84039999999999804</v>
      </c>
    </row>
    <row r="105" spans="1:23" x14ac:dyDescent="0.3">
      <c r="A105">
        <v>5.2465639999999993</v>
      </c>
      <c r="B105">
        <v>0.36620000000000003</v>
      </c>
      <c r="C105">
        <f t="shared" si="14"/>
        <v>1.9212917368</v>
      </c>
      <c r="D105">
        <v>1.66E-2</v>
      </c>
      <c r="E105">
        <v>2.8E-3</v>
      </c>
      <c r="F105">
        <f t="shared" si="15"/>
        <v>1049.3127999999999</v>
      </c>
      <c r="G105">
        <f t="shared" si="16"/>
        <v>-0.36620000000000003</v>
      </c>
      <c r="H105">
        <f t="shared" si="17"/>
        <v>-384.25834736000002</v>
      </c>
      <c r="I105">
        <v>1</v>
      </c>
      <c r="J105">
        <f t="shared" si="18"/>
        <v>4.8135473715921889E-2</v>
      </c>
      <c r="K105">
        <f t="shared" si="19"/>
        <v>-0.85552515177521737</v>
      </c>
      <c r="L105">
        <v>1</v>
      </c>
      <c r="M105">
        <f t="shared" si="20"/>
        <v>0.64636345175945176</v>
      </c>
      <c r="N105">
        <f t="shared" si="24"/>
        <v>8.7092962399999987E-2</v>
      </c>
      <c r="O105">
        <f t="shared" si="22"/>
        <v>1.4690379199999997E-2</v>
      </c>
      <c r="P105">
        <f t="shared" si="23"/>
        <v>0.10737835841576564</v>
      </c>
      <c r="V105">
        <v>4.0999999999999996</v>
      </c>
      <c r="W105">
        <f t="shared" si="21"/>
        <v>-0.84531000000000001</v>
      </c>
    </row>
    <row r="106" spans="1:23" x14ac:dyDescent="0.3">
      <c r="A106">
        <v>5.2990098000000003</v>
      </c>
      <c r="B106">
        <v>0.36363000000000001</v>
      </c>
      <c r="C106">
        <f t="shared" si="14"/>
        <v>1.9268789335740002</v>
      </c>
      <c r="D106">
        <v>1.66E-2</v>
      </c>
      <c r="E106">
        <v>2.8E-3</v>
      </c>
      <c r="F106">
        <f t="shared" si="15"/>
        <v>1059.80196</v>
      </c>
      <c r="G106">
        <f t="shared" si="16"/>
        <v>-0.36363000000000001</v>
      </c>
      <c r="H106">
        <f t="shared" si="17"/>
        <v>-385.37578671480003</v>
      </c>
      <c r="I106">
        <v>1</v>
      </c>
      <c r="J106">
        <f t="shared" si="18"/>
        <v>5.8082060480362657E-2</v>
      </c>
      <c r="K106">
        <f t="shared" si="19"/>
        <v>-0.85809515177521745</v>
      </c>
      <c r="L106">
        <v>1</v>
      </c>
      <c r="M106">
        <f t="shared" si="20"/>
        <v>0.64685182916958583</v>
      </c>
      <c r="N106">
        <f t="shared" si="24"/>
        <v>8.796356268000001E-2</v>
      </c>
      <c r="O106">
        <f t="shared" si="22"/>
        <v>1.4837227440000001E-2</v>
      </c>
      <c r="P106">
        <f t="shared" si="23"/>
        <v>0.1084425324856316</v>
      </c>
      <c r="V106">
        <v>4.2</v>
      </c>
      <c r="W106">
        <f t="shared" si="21"/>
        <v>-0.85021999999999998</v>
      </c>
    </row>
    <row r="107" spans="1:23" x14ac:dyDescent="0.3">
      <c r="A107">
        <v>5.3545106999999996</v>
      </c>
      <c r="B107">
        <v>0.36098999999999998</v>
      </c>
      <c r="C107">
        <f t="shared" si="14"/>
        <v>1.9329248175929998</v>
      </c>
      <c r="D107">
        <v>1.66E-2</v>
      </c>
      <c r="E107">
        <v>2.8E-3</v>
      </c>
      <c r="F107">
        <f t="shared" si="15"/>
        <v>1070.9021399999999</v>
      </c>
      <c r="G107">
        <f t="shared" si="16"/>
        <v>-0.36098999999999998</v>
      </c>
      <c r="H107">
        <f t="shared" si="17"/>
        <v>-386.58496351859998</v>
      </c>
      <c r="I107">
        <v>1</v>
      </c>
      <c r="J107">
        <f t="shared" si="18"/>
        <v>6.8501414741866287E-2</v>
      </c>
      <c r="K107">
        <f t="shared" si="19"/>
        <v>-0.86073515177521753</v>
      </c>
      <c r="L107">
        <v>1</v>
      </c>
      <c r="M107">
        <f t="shared" si="20"/>
        <v>0.6473634194638257</v>
      </c>
      <c r="N107">
        <f t="shared" si="24"/>
        <v>8.8884877619999997E-2</v>
      </c>
      <c r="O107">
        <f t="shared" si="22"/>
        <v>1.4992629959999998E-2</v>
      </c>
      <c r="P107">
        <f t="shared" si="23"/>
        <v>0.10949422473139184</v>
      </c>
      <c r="V107">
        <v>4.3</v>
      </c>
      <c r="W107">
        <f t="shared" si="21"/>
        <v>-0.85512999999999995</v>
      </c>
    </row>
    <row r="108" spans="1:23" x14ac:dyDescent="0.3">
      <c r="A108">
        <v>5.4049204</v>
      </c>
      <c r="B108">
        <v>0.35843000000000003</v>
      </c>
      <c r="C108">
        <f t="shared" si="14"/>
        <v>1.937285618972</v>
      </c>
      <c r="D108">
        <v>1.66E-2</v>
      </c>
      <c r="E108">
        <v>2.8E-3</v>
      </c>
      <c r="F108">
        <f t="shared" si="15"/>
        <v>1080.9840799999999</v>
      </c>
      <c r="G108">
        <f t="shared" si="16"/>
        <v>-0.35843000000000003</v>
      </c>
      <c r="H108">
        <f t="shared" si="17"/>
        <v>-387.45712379439999</v>
      </c>
      <c r="I108">
        <v>1</v>
      </c>
      <c r="J108">
        <f t="shared" si="18"/>
        <v>7.7871811444093428E-2</v>
      </c>
      <c r="K108">
        <f t="shared" si="19"/>
        <v>-0.86329515177521743</v>
      </c>
      <c r="L108">
        <v>1</v>
      </c>
      <c r="M108">
        <f t="shared" si="20"/>
        <v>0.64782350594190496</v>
      </c>
      <c r="N108">
        <f t="shared" si="24"/>
        <v>8.9721678639999997E-2</v>
      </c>
      <c r="O108">
        <f t="shared" si="22"/>
        <v>1.5133777120000001E-2</v>
      </c>
      <c r="P108">
        <f t="shared" si="23"/>
        <v>0.11061619007331247</v>
      </c>
      <c r="V108">
        <v>4.4000000000000004</v>
      </c>
      <c r="W108">
        <f t="shared" si="21"/>
        <v>-0.86004000000000003</v>
      </c>
    </row>
    <row r="109" spans="1:23" x14ac:dyDescent="0.3">
      <c r="A109">
        <v>5.3529839000000008</v>
      </c>
      <c r="B109">
        <v>0.35959999999999998</v>
      </c>
      <c r="C109">
        <f t="shared" si="14"/>
        <v>1.9249330104400002</v>
      </c>
      <c r="D109">
        <v>1.66E-2</v>
      </c>
      <c r="E109">
        <v>2.8E-3</v>
      </c>
      <c r="F109">
        <f t="shared" si="15"/>
        <v>1070.5967800000001</v>
      </c>
      <c r="G109">
        <f t="shared" si="16"/>
        <v>-0.35959999999999998</v>
      </c>
      <c r="H109">
        <f t="shared" si="17"/>
        <v>-384.98660208800004</v>
      </c>
      <c r="I109">
        <v>1</v>
      </c>
      <c r="J109">
        <f t="shared" si="18"/>
        <v>6.8216231313364378E-2</v>
      </c>
      <c r="K109">
        <f t="shared" si="19"/>
        <v>-0.86212515177521754</v>
      </c>
      <c r="L109">
        <v>1</v>
      </c>
      <c r="M109">
        <f t="shared" si="20"/>
        <v>0.64734941695748616</v>
      </c>
      <c r="N109">
        <f t="shared" si="24"/>
        <v>8.8859532740000011E-2</v>
      </c>
      <c r="O109">
        <f t="shared" si="22"/>
        <v>1.4988354920000002E-2</v>
      </c>
      <c r="P109">
        <f t="shared" si="23"/>
        <v>0.11092784715773135</v>
      </c>
      <c r="V109">
        <v>4.5</v>
      </c>
      <c r="W109">
        <f t="shared" si="21"/>
        <v>-0.86495</v>
      </c>
    </row>
    <row r="110" spans="1:23" x14ac:dyDescent="0.3">
      <c r="A110">
        <v>5.4049204</v>
      </c>
      <c r="B110">
        <v>0.35815000000000002</v>
      </c>
      <c r="C110">
        <f t="shared" si="14"/>
        <v>1.93577224126</v>
      </c>
      <c r="D110">
        <v>1.66E-2</v>
      </c>
      <c r="E110">
        <v>2.8E-3</v>
      </c>
      <c r="F110">
        <f t="shared" si="15"/>
        <v>1080.9840799999999</v>
      </c>
      <c r="G110">
        <f t="shared" si="16"/>
        <v>-0.35815000000000002</v>
      </c>
      <c r="H110">
        <f t="shared" si="17"/>
        <v>-387.15444825200001</v>
      </c>
      <c r="I110">
        <v>1</v>
      </c>
      <c r="J110">
        <f t="shared" si="18"/>
        <v>7.7871811444093428E-2</v>
      </c>
      <c r="K110">
        <f t="shared" si="19"/>
        <v>-0.86357515177521749</v>
      </c>
      <c r="L110">
        <v>1</v>
      </c>
      <c r="M110">
        <f t="shared" si="20"/>
        <v>0.64782350594190496</v>
      </c>
      <c r="N110">
        <f t="shared" si="24"/>
        <v>8.9721678639999997E-2</v>
      </c>
      <c r="O110">
        <f t="shared" si="22"/>
        <v>1.5133777120000001E-2</v>
      </c>
      <c r="P110">
        <f t="shared" si="23"/>
        <v>0.11089619007331253</v>
      </c>
      <c r="V110">
        <v>4.5999999999999996</v>
      </c>
      <c r="W110">
        <f t="shared" si="21"/>
        <v>-0.86985999999999997</v>
      </c>
    </row>
    <row r="111" spans="1:23" x14ac:dyDescent="0.3">
      <c r="A111">
        <v>5.3540020000000004</v>
      </c>
      <c r="B111">
        <v>0.35887000000000002</v>
      </c>
      <c r="C111">
        <f t="shared" si="14"/>
        <v>1.9213906977400002</v>
      </c>
      <c r="D111">
        <v>1.66E-2</v>
      </c>
      <c r="E111">
        <v>2.8E-3</v>
      </c>
      <c r="F111">
        <f t="shared" si="15"/>
        <v>1070.8004000000001</v>
      </c>
      <c r="G111">
        <f t="shared" si="16"/>
        <v>-0.35887000000000002</v>
      </c>
      <c r="H111">
        <f t="shared" si="17"/>
        <v>-384.27813954800001</v>
      </c>
      <c r="I111">
        <v>1</v>
      </c>
      <c r="J111">
        <f t="shared" si="18"/>
        <v>6.840640621647473E-2</v>
      </c>
      <c r="K111">
        <f t="shared" si="19"/>
        <v>-0.86285515177521743</v>
      </c>
      <c r="L111">
        <v>1</v>
      </c>
      <c r="M111">
        <f t="shared" si="20"/>
        <v>0.64735875454522895</v>
      </c>
      <c r="N111">
        <f t="shared" si="24"/>
        <v>8.8876433200000007E-2</v>
      </c>
      <c r="O111">
        <f t="shared" si="22"/>
        <v>1.4991205600000002E-2</v>
      </c>
      <c r="P111">
        <f t="shared" si="23"/>
        <v>0.11162875842998848</v>
      </c>
      <c r="V111">
        <v>4.7</v>
      </c>
      <c r="W111">
        <f t="shared" si="21"/>
        <v>-0.87477000000000005</v>
      </c>
    </row>
    <row r="112" spans="1:23" x14ac:dyDescent="0.3">
      <c r="A112">
        <v>5.4171401000000001</v>
      </c>
      <c r="B112">
        <v>0.35780000000000001</v>
      </c>
      <c r="C112">
        <f t="shared" si="14"/>
        <v>1.9382527277800001</v>
      </c>
      <c r="D112">
        <v>1.66E-2</v>
      </c>
      <c r="E112">
        <v>2.8E-3</v>
      </c>
      <c r="F112">
        <f t="shared" si="15"/>
        <v>1083.4280200000001</v>
      </c>
      <c r="G112">
        <f t="shared" si="16"/>
        <v>-0.35780000000000001</v>
      </c>
      <c r="H112">
        <f t="shared" si="17"/>
        <v>-387.650545556</v>
      </c>
      <c r="I112">
        <v>1</v>
      </c>
      <c r="J112">
        <f t="shared" si="18"/>
        <v>8.0130106931033271E-2</v>
      </c>
      <c r="K112">
        <f t="shared" si="19"/>
        <v>-0.86392515177521745</v>
      </c>
      <c r="L112">
        <v>1</v>
      </c>
      <c r="M112">
        <f t="shared" si="20"/>
        <v>0.6479343882503138</v>
      </c>
      <c r="N112">
        <f t="shared" si="24"/>
        <v>8.9924525660000004E-2</v>
      </c>
      <c r="O112">
        <f t="shared" si="22"/>
        <v>1.5167992280000001E-2</v>
      </c>
      <c r="P112">
        <f t="shared" si="23"/>
        <v>0.11089824558490365</v>
      </c>
      <c r="V112">
        <v>4.8</v>
      </c>
      <c r="W112">
        <f t="shared" si="21"/>
        <v>-0.87968000000000002</v>
      </c>
    </row>
    <row r="113" spans="1:23" x14ac:dyDescent="0.3">
      <c r="A113">
        <v>5.3534927000000003</v>
      </c>
      <c r="B113">
        <v>0.35870000000000002</v>
      </c>
      <c r="C113">
        <f t="shared" si="14"/>
        <v>1.9202978314900003</v>
      </c>
      <c r="D113">
        <v>1.66E-2</v>
      </c>
      <c r="E113">
        <v>2.8E-3</v>
      </c>
      <c r="F113">
        <f t="shared" si="15"/>
        <v>1070.6985400000001</v>
      </c>
      <c r="G113">
        <f t="shared" si="16"/>
        <v>-0.35870000000000002</v>
      </c>
      <c r="H113">
        <f t="shared" si="17"/>
        <v>-384.05956629800005</v>
      </c>
      <c r="I113">
        <v>1</v>
      </c>
      <c r="J113">
        <f t="shared" si="18"/>
        <v>6.8311276587247269E-2</v>
      </c>
      <c r="K113">
        <f t="shared" si="19"/>
        <v>-0.86302515177521744</v>
      </c>
      <c r="L113">
        <v>1</v>
      </c>
      <c r="M113">
        <f t="shared" si="20"/>
        <v>0.6473540836804339</v>
      </c>
      <c r="N113">
        <f t="shared" si="24"/>
        <v>8.8867978820000013E-2</v>
      </c>
      <c r="O113">
        <f t="shared" si="22"/>
        <v>1.4989779560000001E-2</v>
      </c>
      <c r="P113">
        <f t="shared" si="23"/>
        <v>0.11181330971478351</v>
      </c>
      <c r="V113">
        <v>4.9000000000000004</v>
      </c>
      <c r="W113">
        <f t="shared" si="21"/>
        <v>-0.88458999999999999</v>
      </c>
    </row>
    <row r="114" spans="1:23" x14ac:dyDescent="0.3">
      <c r="A114">
        <v>5.4054291999999995</v>
      </c>
      <c r="B114">
        <v>0.35799999999999998</v>
      </c>
      <c r="C114">
        <f t="shared" si="14"/>
        <v>1.9351436535999997</v>
      </c>
      <c r="D114">
        <v>1.66E-2</v>
      </c>
      <c r="E114">
        <v>2.8E-3</v>
      </c>
      <c r="F114">
        <f t="shared" si="15"/>
        <v>1081.08584</v>
      </c>
      <c r="G114">
        <f t="shared" si="16"/>
        <v>-0.35799999999999998</v>
      </c>
      <c r="H114">
        <f t="shared" si="17"/>
        <v>-387.02873071999994</v>
      </c>
      <c r="I114">
        <v>1</v>
      </c>
      <c r="J114">
        <f t="shared" si="18"/>
        <v>7.7965943460022946E-2</v>
      </c>
      <c r="K114">
        <f t="shared" si="19"/>
        <v>-0.86372515177521747</v>
      </c>
      <c r="L114">
        <v>1</v>
      </c>
      <c r="M114">
        <f t="shared" si="20"/>
        <v>0.6478281278238871</v>
      </c>
      <c r="N114">
        <f t="shared" si="24"/>
        <v>8.9730124719999999E-2</v>
      </c>
      <c r="O114">
        <f t="shared" si="22"/>
        <v>1.5135201759999998E-2</v>
      </c>
      <c r="P114">
        <f t="shared" si="23"/>
        <v>0.11103169747133038</v>
      </c>
      <c r="V114">
        <v>5</v>
      </c>
      <c r="W114">
        <f t="shared" si="21"/>
        <v>-0.88949999999999996</v>
      </c>
    </row>
    <row r="115" spans="1:23" x14ac:dyDescent="0.3">
      <c r="A115">
        <v>5.4583843000000005</v>
      </c>
      <c r="B115">
        <v>0.35609000000000002</v>
      </c>
      <c r="C115">
        <f t="shared" si="14"/>
        <v>1.9436760653870002</v>
      </c>
      <c r="D115">
        <v>1.66E-2</v>
      </c>
      <c r="E115">
        <v>2.8E-3</v>
      </c>
      <c r="F115">
        <f t="shared" si="15"/>
        <v>1091.67686</v>
      </c>
      <c r="G115">
        <f t="shared" si="16"/>
        <v>-0.35609000000000002</v>
      </c>
      <c r="H115">
        <f t="shared" si="17"/>
        <v>-388.73521307740003</v>
      </c>
      <c r="I115">
        <v>1</v>
      </c>
      <c r="J115">
        <f t="shared" si="18"/>
        <v>8.7714917780092383E-2</v>
      </c>
      <c r="K115">
        <f t="shared" si="19"/>
        <v>-0.86563515177521744</v>
      </c>
      <c r="L115">
        <v>1</v>
      </c>
      <c r="M115">
        <f t="shared" si="20"/>
        <v>0.64830680246300254</v>
      </c>
      <c r="N115">
        <f t="shared" si="24"/>
        <v>9.0609179380000016E-2</v>
      </c>
      <c r="O115">
        <f t="shared" si="22"/>
        <v>1.5283476040000001E-2</v>
      </c>
      <c r="P115">
        <f t="shared" si="23"/>
        <v>0.11143569389221489</v>
      </c>
      <c r="V115">
        <v>5.0999999999999996</v>
      </c>
      <c r="W115">
        <f t="shared" si="21"/>
        <v>-0.89440999999999993</v>
      </c>
    </row>
    <row r="116" spans="1:23" x14ac:dyDescent="0.3">
      <c r="A116">
        <v>5.3998280999999997</v>
      </c>
      <c r="B116">
        <v>0.35731000000000002</v>
      </c>
      <c r="C116">
        <f t="shared" si="14"/>
        <v>1.9294125784109999</v>
      </c>
      <c r="D116">
        <v>1.66E-2</v>
      </c>
      <c r="E116">
        <v>2.8E-3</v>
      </c>
      <c r="F116">
        <f t="shared" si="15"/>
        <v>1079.9656199999999</v>
      </c>
      <c r="G116">
        <f t="shared" si="16"/>
        <v>-0.35731000000000002</v>
      </c>
      <c r="H116">
        <f t="shared" si="17"/>
        <v>-385.88251568219999</v>
      </c>
      <c r="I116">
        <v>1</v>
      </c>
      <c r="J116">
        <f t="shared" si="18"/>
        <v>7.6929207296103544E-2</v>
      </c>
      <c r="K116">
        <f t="shared" si="19"/>
        <v>-0.86441515177521744</v>
      </c>
      <c r="L116">
        <v>1</v>
      </c>
      <c r="M116">
        <f t="shared" si="20"/>
        <v>0.64777722407823868</v>
      </c>
      <c r="N116">
        <f t="shared" si="24"/>
        <v>8.9637146459999997E-2</v>
      </c>
      <c r="O116">
        <f t="shared" si="22"/>
        <v>1.5119518679999999E-2</v>
      </c>
      <c r="P116">
        <f t="shared" si="23"/>
        <v>0.11188126255697878</v>
      </c>
      <c r="V116">
        <v>5.2</v>
      </c>
      <c r="W116">
        <f t="shared" si="21"/>
        <v>-0.89932000000000001</v>
      </c>
    </row>
    <row r="117" spans="1:23" x14ac:dyDescent="0.3">
      <c r="A117">
        <v>5.4629668000000002</v>
      </c>
      <c r="B117">
        <v>0.35576000000000002</v>
      </c>
      <c r="C117">
        <f t="shared" si="14"/>
        <v>1.9435050687680002</v>
      </c>
      <c r="D117">
        <v>1.66E-2</v>
      </c>
      <c r="E117">
        <v>2.8E-3</v>
      </c>
      <c r="F117">
        <f t="shared" si="15"/>
        <v>1092.5933600000001</v>
      </c>
      <c r="G117">
        <f t="shared" si="16"/>
        <v>-0.35576000000000002</v>
      </c>
      <c r="H117">
        <f t="shared" si="17"/>
        <v>-388.70101375360002</v>
      </c>
      <c r="I117">
        <v>1</v>
      </c>
      <c r="J117">
        <f t="shared" si="18"/>
        <v>8.8554099714079917E-2</v>
      </c>
      <c r="K117">
        <f t="shared" si="19"/>
        <v>-0.86596515177521738</v>
      </c>
      <c r="L117">
        <v>1</v>
      </c>
      <c r="M117">
        <f t="shared" si="20"/>
        <v>0.64834800629596134</v>
      </c>
      <c r="N117">
        <f t="shared" si="24"/>
        <v>9.068524888E-2</v>
      </c>
      <c r="O117">
        <f t="shared" si="22"/>
        <v>1.529630704E-2</v>
      </c>
      <c r="P117">
        <f t="shared" si="23"/>
        <v>0.11163558955925602</v>
      </c>
      <c r="V117">
        <v>5.3</v>
      </c>
      <c r="W117">
        <f t="shared" si="21"/>
        <v>-0.90422999999999998</v>
      </c>
    </row>
    <row r="118" spans="1:23" x14ac:dyDescent="0.3">
      <c r="A118">
        <v>5.4074657999999998</v>
      </c>
      <c r="B118">
        <v>0.35688999999999999</v>
      </c>
      <c r="C118">
        <f t="shared" si="14"/>
        <v>1.9298704693619999</v>
      </c>
      <c r="D118">
        <v>1.66E-2</v>
      </c>
      <c r="E118">
        <v>2.8E-3</v>
      </c>
      <c r="F118">
        <f t="shared" si="15"/>
        <v>1081.49316</v>
      </c>
      <c r="G118">
        <f t="shared" si="16"/>
        <v>-0.35688999999999999</v>
      </c>
      <c r="H118">
        <f t="shared" si="17"/>
        <v>-385.97409387239998</v>
      </c>
      <c r="I118">
        <v>1</v>
      </c>
      <c r="J118">
        <f t="shared" si="18"/>
        <v>7.8342641841739141E-2</v>
      </c>
      <c r="K118">
        <f t="shared" si="19"/>
        <v>-0.86483515177521753</v>
      </c>
      <c r="L118">
        <v>1</v>
      </c>
      <c r="M118">
        <f t="shared" si="20"/>
        <v>0.64784662371442936</v>
      </c>
      <c r="N118">
        <f t="shared" si="24"/>
        <v>8.976393228E-2</v>
      </c>
      <c r="O118">
        <f t="shared" si="22"/>
        <v>1.5140904239999999E-2</v>
      </c>
      <c r="P118">
        <f t="shared" si="23"/>
        <v>0.11208369154078815</v>
      </c>
      <c r="V118">
        <v>5.4</v>
      </c>
      <c r="W118">
        <f t="shared" si="21"/>
        <v>-0.90914000000000006</v>
      </c>
    </row>
    <row r="119" spans="1:23" x14ac:dyDescent="0.3">
      <c r="A119">
        <v>5.4685684000000006</v>
      </c>
      <c r="B119">
        <v>0.35566999999999999</v>
      </c>
      <c r="C119">
        <f t="shared" si="14"/>
        <v>1.9450057228280002</v>
      </c>
      <c r="D119">
        <v>1.66E-2</v>
      </c>
      <c r="E119">
        <v>2.8E-3</v>
      </c>
      <c r="F119">
        <f t="shared" si="15"/>
        <v>1093.7136800000001</v>
      </c>
      <c r="G119">
        <f t="shared" si="16"/>
        <v>-0.35566999999999999</v>
      </c>
      <c r="H119">
        <f t="shared" si="17"/>
        <v>-389.00114456560004</v>
      </c>
      <c r="I119">
        <v>1</v>
      </c>
      <c r="J119">
        <f t="shared" si="18"/>
        <v>8.9578951281184413E-2</v>
      </c>
      <c r="K119">
        <f t="shared" si="19"/>
        <v>-0.86605515177521752</v>
      </c>
      <c r="L119">
        <v>1</v>
      </c>
      <c r="M119">
        <f t="shared" si="20"/>
        <v>0.64839832650790619</v>
      </c>
      <c r="N119">
        <f t="shared" si="24"/>
        <v>9.0778235440000007E-2</v>
      </c>
      <c r="O119">
        <f t="shared" si="22"/>
        <v>1.5311991520000002E-2</v>
      </c>
      <c r="P119">
        <f t="shared" si="23"/>
        <v>0.11156659830731132</v>
      </c>
      <c r="V119">
        <v>5.5</v>
      </c>
      <c r="W119">
        <f t="shared" si="21"/>
        <v>-0.91405000000000003</v>
      </c>
    </row>
    <row r="120" spans="1:23" x14ac:dyDescent="0.3">
      <c r="A120">
        <v>5.4130669000000005</v>
      </c>
      <c r="B120">
        <v>0.35670000000000002</v>
      </c>
      <c r="C120">
        <f t="shared" si="14"/>
        <v>1.9308409632300003</v>
      </c>
      <c r="D120">
        <v>1.66E-2</v>
      </c>
      <c r="E120">
        <v>2.8E-3</v>
      </c>
      <c r="F120">
        <f t="shared" si="15"/>
        <v>1082.61338</v>
      </c>
      <c r="G120">
        <f t="shared" si="16"/>
        <v>-0.35670000000000002</v>
      </c>
      <c r="H120">
        <f t="shared" si="17"/>
        <v>-386.16819264600008</v>
      </c>
      <c r="I120">
        <v>1</v>
      </c>
      <c r="J120">
        <f t="shared" si="18"/>
        <v>7.9377914439781691E-2</v>
      </c>
      <c r="K120">
        <f t="shared" si="19"/>
        <v>-0.86502515177521744</v>
      </c>
      <c r="L120">
        <v>1</v>
      </c>
      <c r="M120">
        <f t="shared" si="20"/>
        <v>0.64789745559899325</v>
      </c>
      <c r="N120">
        <f t="shared" si="24"/>
        <v>8.9856910540000015E-2</v>
      </c>
      <c r="O120">
        <f t="shared" si="22"/>
        <v>1.5156587320000001E-2</v>
      </c>
      <c r="P120">
        <f t="shared" si="23"/>
        <v>0.11211419831622418</v>
      </c>
      <c r="V120">
        <v>5.6</v>
      </c>
      <c r="W120">
        <f t="shared" si="21"/>
        <v>-0.91896</v>
      </c>
    </row>
    <row r="121" spans="1:23" x14ac:dyDescent="0.3">
      <c r="A121">
        <v>5.4639854000000003</v>
      </c>
      <c r="B121">
        <v>0.35563</v>
      </c>
      <c r="C121">
        <f t="shared" si="14"/>
        <v>1.9431571278020001</v>
      </c>
      <c r="D121">
        <v>1.66E-2</v>
      </c>
      <c r="E121">
        <v>2.8E-3</v>
      </c>
      <c r="F121">
        <f t="shared" si="15"/>
        <v>1092.7970800000001</v>
      </c>
      <c r="G121">
        <f t="shared" si="16"/>
        <v>-0.35563</v>
      </c>
      <c r="H121">
        <f t="shared" si="17"/>
        <v>-388.63142556040003</v>
      </c>
      <c r="I121">
        <v>1</v>
      </c>
      <c r="J121">
        <f t="shared" si="18"/>
        <v>8.8740537795679558E-2</v>
      </c>
      <c r="K121">
        <f t="shared" si="19"/>
        <v>-0.86609515177521745</v>
      </c>
      <c r="L121">
        <v>1</v>
      </c>
      <c r="M121">
        <f t="shared" si="20"/>
        <v>0.64835716040576785</v>
      </c>
      <c r="N121">
        <f t="shared" si="24"/>
        <v>9.0702157640000003E-2</v>
      </c>
      <c r="O121">
        <f t="shared" si="22"/>
        <v>1.5299159120000001E-2</v>
      </c>
      <c r="P121">
        <f t="shared" si="23"/>
        <v>0.1117366746094496</v>
      </c>
      <c r="V121">
        <v>5.7</v>
      </c>
      <c r="W121">
        <f t="shared" si="21"/>
        <v>-0.92386999999999997</v>
      </c>
    </row>
    <row r="122" spans="1:23" x14ac:dyDescent="0.3">
      <c r="A122">
        <v>5.4039013999999996</v>
      </c>
      <c r="B122">
        <v>0.35668</v>
      </c>
      <c r="C122">
        <f t="shared" si="14"/>
        <v>1.9274635513519998</v>
      </c>
      <c r="D122">
        <v>1.66E-2</v>
      </c>
      <c r="E122">
        <v>2.8E-3</v>
      </c>
      <c r="F122">
        <f t="shared" si="15"/>
        <v>1080.7802799999999</v>
      </c>
      <c r="G122">
        <f t="shared" si="16"/>
        <v>-0.35668</v>
      </c>
      <c r="H122">
        <f t="shared" si="17"/>
        <v>-385.49271027039993</v>
      </c>
      <c r="I122">
        <v>1</v>
      </c>
      <c r="J122">
        <f t="shared" si="18"/>
        <v>7.7683261753502958E-2</v>
      </c>
      <c r="K122">
        <f t="shared" si="19"/>
        <v>-0.86504515177521746</v>
      </c>
      <c r="L122">
        <v>1</v>
      </c>
      <c r="M122">
        <f t="shared" si="20"/>
        <v>0.64781424815209698</v>
      </c>
      <c r="N122">
        <f t="shared" si="24"/>
        <v>8.9704763239999999E-2</v>
      </c>
      <c r="O122">
        <f t="shared" si="22"/>
        <v>1.5130923919999999E-2</v>
      </c>
      <c r="P122">
        <f t="shared" si="23"/>
        <v>0.11239521646312049</v>
      </c>
      <c r="V122">
        <v>5.8</v>
      </c>
      <c r="W122">
        <f t="shared" si="21"/>
        <v>-0.92877999999999994</v>
      </c>
    </row>
    <row r="123" spans="1:23" x14ac:dyDescent="0.3">
      <c r="A123">
        <v>5.4772240999999999</v>
      </c>
      <c r="B123">
        <v>0.35522999999999999</v>
      </c>
      <c r="C123">
        <f t="shared" si="14"/>
        <v>1.945674317043</v>
      </c>
      <c r="D123">
        <v>1.66E-2</v>
      </c>
      <c r="E123">
        <v>2.8E-3</v>
      </c>
      <c r="F123">
        <f t="shared" si="15"/>
        <v>1095.4448199999999</v>
      </c>
      <c r="G123">
        <f t="shared" si="16"/>
        <v>-0.35522999999999999</v>
      </c>
      <c r="H123">
        <f t="shared" si="17"/>
        <v>-389.13486340859998</v>
      </c>
      <c r="I123">
        <v>1</v>
      </c>
      <c r="J123">
        <f t="shared" si="18"/>
        <v>9.1160509090584943E-2</v>
      </c>
      <c r="K123">
        <f t="shared" si="19"/>
        <v>-0.86649515177521752</v>
      </c>
      <c r="L123">
        <v>1</v>
      </c>
      <c r="M123">
        <f t="shared" si="20"/>
        <v>0.64847598099634773</v>
      </c>
      <c r="N123">
        <f t="shared" si="24"/>
        <v>9.0921920059999994E-2</v>
      </c>
      <c r="O123">
        <f t="shared" si="22"/>
        <v>1.5336227479999999E-2</v>
      </c>
      <c r="P123">
        <f t="shared" si="23"/>
        <v>0.1117610232388698</v>
      </c>
      <c r="V123">
        <v>5.9</v>
      </c>
      <c r="W123">
        <f t="shared" si="21"/>
        <v>-0.93369000000000002</v>
      </c>
    </row>
    <row r="124" spans="1:23" x14ac:dyDescent="0.3">
      <c r="A124">
        <v>5.4257968999999999</v>
      </c>
      <c r="B124">
        <v>0.35604999999999998</v>
      </c>
      <c r="C124">
        <f t="shared" si="14"/>
        <v>1.9318549862449998</v>
      </c>
      <c r="D124">
        <v>1.66E-2</v>
      </c>
      <c r="E124">
        <v>2.8E-3</v>
      </c>
      <c r="F124">
        <f t="shared" si="15"/>
        <v>1085.1593800000001</v>
      </c>
      <c r="G124">
        <f t="shared" si="16"/>
        <v>-0.35604999999999998</v>
      </c>
      <c r="H124">
        <f t="shared" si="17"/>
        <v>-386.37099724899997</v>
      </c>
      <c r="I124">
        <v>1</v>
      </c>
      <c r="J124">
        <f t="shared" si="18"/>
        <v>8.1726870213771036E-2</v>
      </c>
      <c r="K124">
        <f t="shared" si="19"/>
        <v>-0.86567515177521748</v>
      </c>
      <c r="L124">
        <v>1</v>
      </c>
      <c r="M124">
        <f t="shared" si="20"/>
        <v>0.64801278932749617</v>
      </c>
      <c r="N124">
        <f t="shared" si="24"/>
        <v>9.0068228540000003E-2</v>
      </c>
      <c r="O124">
        <f t="shared" si="22"/>
        <v>1.5192231319999999E-2</v>
      </c>
      <c r="P124">
        <f t="shared" si="23"/>
        <v>0.11240190258772129</v>
      </c>
      <c r="V124">
        <v>6</v>
      </c>
      <c r="W124">
        <f t="shared" si="21"/>
        <v>-0.93859999999999999</v>
      </c>
    </row>
    <row r="125" spans="1:23" x14ac:dyDescent="0.3">
      <c r="A125">
        <v>5.4767152999999995</v>
      </c>
      <c r="B125">
        <v>0.35469000000000001</v>
      </c>
      <c r="C125">
        <f t="shared" si="14"/>
        <v>1.942536149757</v>
      </c>
      <c r="D125">
        <v>1.66E-2</v>
      </c>
      <c r="E125">
        <v>2.8E-3</v>
      </c>
      <c r="F125">
        <f t="shared" si="15"/>
        <v>1095.3430599999999</v>
      </c>
      <c r="G125">
        <f t="shared" si="16"/>
        <v>-0.35469000000000001</v>
      </c>
      <c r="H125">
        <f t="shared" si="17"/>
        <v>-388.50722995140001</v>
      </c>
      <c r="I125">
        <v>1</v>
      </c>
      <c r="J125">
        <f t="shared" si="18"/>
        <v>9.1067611004921487E-2</v>
      </c>
      <c r="K125">
        <f t="shared" si="19"/>
        <v>-0.86703515177521751</v>
      </c>
      <c r="L125">
        <v>1</v>
      </c>
      <c r="M125">
        <f t="shared" si="20"/>
        <v>0.64847141970034161</v>
      </c>
      <c r="N125">
        <f t="shared" si="24"/>
        <v>9.0913473979999992E-2</v>
      </c>
      <c r="O125">
        <f t="shared" si="22"/>
        <v>1.5334802839999998E-2</v>
      </c>
      <c r="P125">
        <f t="shared" si="23"/>
        <v>0.11231545525487591</v>
      </c>
      <c r="V125">
        <v>6.1</v>
      </c>
      <c r="W125">
        <f t="shared" si="21"/>
        <v>-0.94350999999999996</v>
      </c>
    </row>
    <row r="126" spans="1:23" x14ac:dyDescent="0.3">
      <c r="A126">
        <v>5.5276332999999997</v>
      </c>
      <c r="B126">
        <v>0.35193999999999998</v>
      </c>
      <c r="C126">
        <f t="shared" si="14"/>
        <v>1.9453952636019998</v>
      </c>
      <c r="D126">
        <v>1.66E-2</v>
      </c>
      <c r="E126">
        <v>2.8E-3</v>
      </c>
      <c r="F126">
        <f t="shared" si="15"/>
        <v>1105.52666</v>
      </c>
      <c r="G126">
        <f t="shared" si="16"/>
        <v>-0.35193999999999998</v>
      </c>
      <c r="H126">
        <f t="shared" si="17"/>
        <v>-389.07905272039994</v>
      </c>
      <c r="I126">
        <v>1</v>
      </c>
      <c r="J126">
        <f t="shared" si="18"/>
        <v>0.10032183680929586</v>
      </c>
      <c r="K126">
        <f t="shared" si="19"/>
        <v>-0.86978515177521754</v>
      </c>
      <c r="L126">
        <v>1</v>
      </c>
      <c r="M126">
        <f t="shared" si="20"/>
        <v>0.64892580218733642</v>
      </c>
      <c r="N126">
        <f t="shared" si="24"/>
        <v>9.1758712780000001E-2</v>
      </c>
      <c r="O126">
        <f t="shared" si="22"/>
        <v>1.547737324E-2</v>
      </c>
      <c r="P126">
        <f t="shared" si="23"/>
        <v>0.11362326356788112</v>
      </c>
      <c r="V126">
        <v>6.2</v>
      </c>
      <c r="W126">
        <f t="shared" si="21"/>
        <v>-0.94842000000000004</v>
      </c>
    </row>
    <row r="127" spans="1:23" x14ac:dyDescent="0.3">
      <c r="A127">
        <v>5.5831347999999998</v>
      </c>
      <c r="B127">
        <v>0.35004999999999997</v>
      </c>
      <c r="C127">
        <f t="shared" si="14"/>
        <v>1.9543763367399998</v>
      </c>
      <c r="D127">
        <v>1.66E-2</v>
      </c>
      <c r="E127">
        <v>2.8E-3</v>
      </c>
      <c r="F127">
        <f t="shared" si="15"/>
        <v>1116.6269600000001</v>
      </c>
      <c r="G127">
        <f t="shared" si="16"/>
        <v>-0.35004999999999997</v>
      </c>
      <c r="H127">
        <f t="shared" si="17"/>
        <v>-390.87526734799997</v>
      </c>
      <c r="I127">
        <v>1</v>
      </c>
      <c r="J127">
        <f t="shared" si="18"/>
        <v>0.1103124983277021</v>
      </c>
      <c r="K127">
        <f t="shared" si="19"/>
        <v>-0.87167515177521748</v>
      </c>
      <c r="L127">
        <v>1</v>
      </c>
      <c r="M127">
        <f t="shared" si="20"/>
        <v>0.64941634366789014</v>
      </c>
      <c r="N127">
        <f t="shared" si="24"/>
        <v>9.2680037679999994E-2</v>
      </c>
      <c r="O127">
        <f t="shared" si="22"/>
        <v>1.5632777439999999E-2</v>
      </c>
      <c r="P127">
        <f t="shared" si="23"/>
        <v>0.11394599298732735</v>
      </c>
      <c r="V127">
        <v>6.3</v>
      </c>
      <c r="W127">
        <f t="shared" si="21"/>
        <v>-0.95333000000000001</v>
      </c>
    </row>
    <row r="128" spans="1:23" x14ac:dyDescent="0.3">
      <c r="A128">
        <v>5.5215228999999999</v>
      </c>
      <c r="B128">
        <v>0.35121999999999998</v>
      </c>
      <c r="C128">
        <f t="shared" si="14"/>
        <v>1.9392692729379999</v>
      </c>
      <c r="D128">
        <v>1.66E-2</v>
      </c>
      <c r="E128">
        <v>2.8E-3</v>
      </c>
      <c r="F128">
        <f t="shared" si="15"/>
        <v>1104.30458</v>
      </c>
      <c r="G128">
        <f t="shared" si="16"/>
        <v>-0.35121999999999998</v>
      </c>
      <c r="H128">
        <f t="shared" si="17"/>
        <v>-387.85385458759998</v>
      </c>
      <c r="I128">
        <v>1</v>
      </c>
      <c r="J128">
        <f t="shared" si="18"/>
        <v>9.9215797486054857E-2</v>
      </c>
      <c r="K128">
        <f t="shared" si="19"/>
        <v>-0.87050515177521748</v>
      </c>
      <c r="L128">
        <v>1</v>
      </c>
      <c r="M128">
        <f t="shared" si="20"/>
        <v>0.64887149565656532</v>
      </c>
      <c r="N128">
        <f t="shared" si="24"/>
        <v>9.1657280140000005E-2</v>
      </c>
      <c r="O128">
        <f t="shared" si="22"/>
        <v>1.5460264119999999E-2</v>
      </c>
      <c r="P128">
        <f t="shared" si="23"/>
        <v>0.11451611185865214</v>
      </c>
      <c r="V128">
        <v>6.4</v>
      </c>
      <c r="W128">
        <f t="shared" si="21"/>
        <v>-0.95823999999999998</v>
      </c>
    </row>
    <row r="129" spans="1:23" x14ac:dyDescent="0.3">
      <c r="A129">
        <v>5.5780425000000005</v>
      </c>
      <c r="B129">
        <v>0.3503</v>
      </c>
      <c r="C129">
        <f t="shared" si="14"/>
        <v>1.9539882877500001</v>
      </c>
      <c r="D129">
        <v>1.66E-2</v>
      </c>
      <c r="E129">
        <v>2.8E-3</v>
      </c>
      <c r="F129">
        <f t="shared" si="15"/>
        <v>1115.6085</v>
      </c>
      <c r="G129">
        <f t="shared" si="16"/>
        <v>-0.3503</v>
      </c>
      <c r="H129">
        <f t="shared" si="17"/>
        <v>-390.79765755</v>
      </c>
      <c r="I129">
        <v>1</v>
      </c>
      <c r="J129">
        <f t="shared" si="18"/>
        <v>0.10939999596052857</v>
      </c>
      <c r="K129">
        <f t="shared" si="19"/>
        <v>-0.8714251517752174</v>
      </c>
      <c r="L129">
        <v>1</v>
      </c>
      <c r="M129">
        <f t="shared" si="20"/>
        <v>0.64937153980166196</v>
      </c>
      <c r="N129">
        <f t="shared" si="24"/>
        <v>9.2595505500000008E-2</v>
      </c>
      <c r="O129">
        <f t="shared" si="22"/>
        <v>1.5618519000000001E-2</v>
      </c>
      <c r="P129">
        <f t="shared" si="23"/>
        <v>0.11383958747355544</v>
      </c>
      <c r="V129">
        <v>6.5</v>
      </c>
      <c r="W129">
        <f t="shared" si="21"/>
        <v>-0.96314999999999995</v>
      </c>
    </row>
    <row r="130" spans="1:23" x14ac:dyDescent="0.3">
      <c r="A130">
        <v>5.5235595999999996</v>
      </c>
      <c r="B130">
        <v>0.35070000000000001</v>
      </c>
      <c r="C130">
        <f t="shared" si="14"/>
        <v>1.93711235172</v>
      </c>
      <c r="D130">
        <v>1.66E-2</v>
      </c>
      <c r="E130">
        <v>2.8E-3</v>
      </c>
      <c r="F130">
        <f t="shared" si="15"/>
        <v>1104.71192</v>
      </c>
      <c r="G130">
        <f t="shared" si="16"/>
        <v>-0.35070000000000001</v>
      </c>
      <c r="H130">
        <f t="shared" si="17"/>
        <v>-387.42247034399998</v>
      </c>
      <c r="I130">
        <v>1</v>
      </c>
      <c r="J130">
        <f t="shared" si="18"/>
        <v>9.9584595097676948E-2</v>
      </c>
      <c r="K130">
        <f t="shared" si="19"/>
        <v>-0.87102515177521744</v>
      </c>
      <c r="L130">
        <v>1</v>
      </c>
      <c r="M130">
        <f t="shared" si="20"/>
        <v>0.64888960361929593</v>
      </c>
      <c r="N130">
        <f t="shared" si="24"/>
        <v>9.1691089359999992E-2</v>
      </c>
      <c r="O130">
        <f t="shared" si="22"/>
        <v>1.5465966879999999E-2</v>
      </c>
      <c r="P130">
        <f t="shared" si="23"/>
        <v>0.11497849191592154</v>
      </c>
      <c r="V130">
        <v>6.6</v>
      </c>
      <c r="W130">
        <f t="shared" si="21"/>
        <v>-0.96805999999999992</v>
      </c>
    </row>
    <row r="131" spans="1:23" x14ac:dyDescent="0.3">
      <c r="A131">
        <v>5.5938270999999995</v>
      </c>
      <c r="B131">
        <v>0.34952</v>
      </c>
      <c r="C131">
        <f t="shared" si="14"/>
        <v>1.9551544479919998</v>
      </c>
      <c r="D131">
        <v>1.66E-2</v>
      </c>
      <c r="E131">
        <v>2.8E-3</v>
      </c>
      <c r="F131">
        <f t="shared" si="15"/>
        <v>1118.7654199999999</v>
      </c>
      <c r="G131">
        <f t="shared" si="16"/>
        <v>-0.34952</v>
      </c>
      <c r="H131">
        <f t="shared" si="17"/>
        <v>-391.03088959839994</v>
      </c>
      <c r="I131">
        <v>1</v>
      </c>
      <c r="J131">
        <f t="shared" si="18"/>
        <v>0.11222577375216347</v>
      </c>
      <c r="K131">
        <f t="shared" si="19"/>
        <v>-0.8722051517752174</v>
      </c>
      <c r="L131">
        <v>1</v>
      </c>
      <c r="M131">
        <f t="shared" si="20"/>
        <v>0.64951028549123124</v>
      </c>
      <c r="N131">
        <f t="shared" si="24"/>
        <v>9.2857529859999996E-2</v>
      </c>
      <c r="O131">
        <f t="shared" si="22"/>
        <v>1.5662715879999997E-2</v>
      </c>
      <c r="P131">
        <f t="shared" si="23"/>
        <v>0.11417462054398615</v>
      </c>
      <c r="V131">
        <v>6.7</v>
      </c>
      <c r="W131">
        <f t="shared" si="21"/>
        <v>-0.97297</v>
      </c>
    </row>
    <row r="132" spans="1:23" x14ac:dyDescent="0.3">
      <c r="A132">
        <v>5.5398540000000001</v>
      </c>
      <c r="B132">
        <v>0.35013</v>
      </c>
      <c r="C132">
        <f t="shared" si="14"/>
        <v>1.9396690810199999</v>
      </c>
      <c r="D132">
        <v>1.66E-2</v>
      </c>
      <c r="E132">
        <v>2.8E-3</v>
      </c>
      <c r="F132">
        <f t="shared" si="15"/>
        <v>1107.9708000000001</v>
      </c>
      <c r="G132">
        <f t="shared" si="16"/>
        <v>-0.35013</v>
      </c>
      <c r="H132">
        <f t="shared" si="17"/>
        <v>-387.93381620399998</v>
      </c>
      <c r="I132">
        <v>1</v>
      </c>
      <c r="J132">
        <f t="shared" si="18"/>
        <v>0.10253023418721124</v>
      </c>
      <c r="K132">
        <f t="shared" si="19"/>
        <v>-0.8715951517752174</v>
      </c>
      <c r="L132">
        <v>1</v>
      </c>
      <c r="M132">
        <f t="shared" si="20"/>
        <v>0.6490342344985921</v>
      </c>
      <c r="N132">
        <f t="shared" si="24"/>
        <v>9.1961576400000009E-2</v>
      </c>
      <c r="O132">
        <f t="shared" si="22"/>
        <v>1.5511591200000001E-2</v>
      </c>
      <c r="P132">
        <f t="shared" si="23"/>
        <v>0.11508774967662527</v>
      </c>
      <c r="V132">
        <v>6.8</v>
      </c>
      <c r="W132">
        <f t="shared" si="21"/>
        <v>-0.97787999999999997</v>
      </c>
    </row>
    <row r="133" spans="1:23" x14ac:dyDescent="0.3">
      <c r="A133">
        <v>5.4828251999999997</v>
      </c>
      <c r="B133">
        <v>0.35192000000000001</v>
      </c>
      <c r="C133">
        <f t="shared" ref="C133:C196" si="25">A133*B133</f>
        <v>1.9295158443839999</v>
      </c>
      <c r="D133">
        <v>1.66E-2</v>
      </c>
      <c r="E133">
        <v>2.8E-3</v>
      </c>
      <c r="F133">
        <f t="shared" ref="F133:F196" si="26">A133*200</f>
        <v>1096.56504</v>
      </c>
      <c r="G133">
        <f t="shared" ref="G133:G144" si="27">-B133</f>
        <v>-0.35192000000000001</v>
      </c>
      <c r="H133">
        <f t="shared" ref="H133:H196" si="28">-C133*200</f>
        <v>-385.90316887680001</v>
      </c>
      <c r="I133">
        <v>1</v>
      </c>
      <c r="J133">
        <f t="shared" ref="J133:J196" si="29">LN(F133/1000)</f>
        <v>9.2182603122153095E-2</v>
      </c>
      <c r="K133">
        <f t="shared" ref="K133:K187" si="30">((-G133)-$N$2)</f>
        <v>-0.86980515177521744</v>
      </c>
      <c r="L133">
        <v>1</v>
      </c>
      <c r="M133">
        <f t="shared" ref="M133:M196" si="31">-1*($S$4+($S$5*J133))</f>
        <v>0.64852616581329769</v>
      </c>
      <c r="N133">
        <f t="shared" si="24"/>
        <v>9.1014898319999996E-2</v>
      </c>
      <c r="O133">
        <f t="shared" si="22"/>
        <v>1.5351910559999999E-2</v>
      </c>
      <c r="P133">
        <f t="shared" si="23"/>
        <v>0.11491217708191977</v>
      </c>
      <c r="V133">
        <v>6.9</v>
      </c>
      <c r="W133">
        <f t="shared" ref="W133:W139" si="32">V133*$S$5+$S$4</f>
        <v>-0.98279000000000005</v>
      </c>
    </row>
    <row r="134" spans="1:23" x14ac:dyDescent="0.3">
      <c r="A134">
        <v>5.6528920999999999</v>
      </c>
      <c r="B134">
        <v>0.34861999999999999</v>
      </c>
      <c r="C134">
        <f t="shared" si="25"/>
        <v>1.9707112439019998</v>
      </c>
      <c r="D134">
        <v>1.66E-2</v>
      </c>
      <c r="E134">
        <v>2.8E-3</v>
      </c>
      <c r="F134">
        <f t="shared" si="26"/>
        <v>1130.5784200000001</v>
      </c>
      <c r="G134">
        <f t="shared" si="27"/>
        <v>-0.34861999999999999</v>
      </c>
      <c r="H134">
        <f t="shared" si="28"/>
        <v>-394.14224878039994</v>
      </c>
      <c r="I134">
        <v>1</v>
      </c>
      <c r="J134">
        <f t="shared" si="29"/>
        <v>0.12272937786655944</v>
      </c>
      <c r="K134">
        <f t="shared" si="30"/>
        <v>-0.87310515177521753</v>
      </c>
      <c r="L134">
        <v>1</v>
      </c>
      <c r="M134">
        <f t="shared" si="31"/>
        <v>0.65002601245324809</v>
      </c>
      <c r="N134">
        <f t="shared" si="24"/>
        <v>9.3838008860000002E-2</v>
      </c>
      <c r="O134">
        <f t="shared" ref="O134:O144" si="33">E134*A134</f>
        <v>1.5828097879999999E-2</v>
      </c>
      <c r="P134">
        <f t="shared" ref="P134:P144" si="34">-K134-M134-N134-O134</f>
        <v>0.11341303258196944</v>
      </c>
      <c r="V134">
        <v>7</v>
      </c>
      <c r="W134">
        <f t="shared" si="32"/>
        <v>-0.98770000000000002</v>
      </c>
    </row>
    <row r="135" spans="1:23" x14ac:dyDescent="0.3">
      <c r="A135">
        <v>5.6024833999999997</v>
      </c>
      <c r="B135">
        <v>0.34810000000000002</v>
      </c>
      <c r="C135">
        <f t="shared" si="25"/>
        <v>1.9502244715399999</v>
      </c>
      <c r="D135">
        <v>1.66E-2</v>
      </c>
      <c r="E135">
        <v>2.8E-3</v>
      </c>
      <c r="F135">
        <f t="shared" si="26"/>
        <v>1120.49668</v>
      </c>
      <c r="G135">
        <f t="shared" si="27"/>
        <v>-0.34810000000000002</v>
      </c>
      <c r="H135">
        <f t="shared" si="28"/>
        <v>-390.04489430799998</v>
      </c>
      <c r="I135">
        <v>1</v>
      </c>
      <c r="J135">
        <f t="shared" si="29"/>
        <v>0.11377205129149211</v>
      </c>
      <c r="K135">
        <f t="shared" si="30"/>
        <v>-0.87362515177521738</v>
      </c>
      <c r="L135">
        <v>1</v>
      </c>
      <c r="M135">
        <f t="shared" si="31"/>
        <v>0.64958620771841225</v>
      </c>
      <c r="N135">
        <f t="shared" ref="N135:N144" si="35">D135*A135</f>
        <v>9.3001224440000002E-2</v>
      </c>
      <c r="O135">
        <f t="shared" si="33"/>
        <v>1.5686953519999998E-2</v>
      </c>
      <c r="P135">
        <f t="shared" si="34"/>
        <v>0.11535076609680514</v>
      </c>
      <c r="V135">
        <v>7.1</v>
      </c>
      <c r="W135">
        <f t="shared" si="32"/>
        <v>-0.99260999999999999</v>
      </c>
    </row>
    <row r="136" spans="1:23" x14ac:dyDescent="0.3">
      <c r="A136">
        <v>5.4599121000000004</v>
      </c>
      <c r="B136">
        <v>0.35131000000000001</v>
      </c>
      <c r="C136">
        <f t="shared" si="25"/>
        <v>1.9181217198510001</v>
      </c>
      <c r="D136">
        <v>1.66E-2</v>
      </c>
      <c r="E136">
        <v>2.8E-3</v>
      </c>
      <c r="F136">
        <f t="shared" si="26"/>
        <v>1091.98242</v>
      </c>
      <c r="G136">
        <f t="shared" si="27"/>
        <v>-0.35131000000000001</v>
      </c>
      <c r="H136">
        <f t="shared" si="28"/>
        <v>-383.62434397020002</v>
      </c>
      <c r="I136">
        <v>1</v>
      </c>
      <c r="J136">
        <f t="shared" si="29"/>
        <v>8.7994778292025816E-2</v>
      </c>
      <c r="K136">
        <f t="shared" si="30"/>
        <v>-0.87041515177521744</v>
      </c>
      <c r="L136">
        <v>1</v>
      </c>
      <c r="M136">
        <f t="shared" si="31"/>
        <v>0.64832054361413849</v>
      </c>
      <c r="N136">
        <f t="shared" si="35"/>
        <v>9.0634540860000001E-2</v>
      </c>
      <c r="O136">
        <f t="shared" si="33"/>
        <v>1.5287753880000001E-2</v>
      </c>
      <c r="P136">
        <f t="shared" si="34"/>
        <v>0.11617231342107895</v>
      </c>
      <c r="V136">
        <v>7.2</v>
      </c>
      <c r="W136">
        <f t="shared" si="32"/>
        <v>-0.99751999999999996</v>
      </c>
    </row>
    <row r="137" spans="1:23" x14ac:dyDescent="0.3">
      <c r="A137">
        <v>5.6243784000000003</v>
      </c>
      <c r="B137">
        <v>0.34927000000000002</v>
      </c>
      <c r="C137">
        <f t="shared" si="25"/>
        <v>1.9644266437680002</v>
      </c>
      <c r="D137">
        <v>1.66E-2</v>
      </c>
      <c r="E137">
        <v>2.8E-3</v>
      </c>
      <c r="F137">
        <f t="shared" si="26"/>
        <v>1124.8756800000001</v>
      </c>
      <c r="G137">
        <f t="shared" si="27"/>
        <v>-0.34927000000000002</v>
      </c>
      <c r="H137">
        <f t="shared" si="28"/>
        <v>-392.88532875360005</v>
      </c>
      <c r="I137">
        <v>1</v>
      </c>
      <c r="J137">
        <f t="shared" si="29"/>
        <v>0.11767252288340538</v>
      </c>
      <c r="K137">
        <f t="shared" si="30"/>
        <v>-0.87245515177521749</v>
      </c>
      <c r="L137">
        <v>1</v>
      </c>
      <c r="M137">
        <f t="shared" si="31"/>
        <v>0.64977772087357522</v>
      </c>
      <c r="N137">
        <f t="shared" si="35"/>
        <v>9.336468144E-2</v>
      </c>
      <c r="O137">
        <f t="shared" si="33"/>
        <v>1.5748259520000002E-2</v>
      </c>
      <c r="P137">
        <f t="shared" si="34"/>
        <v>0.11356448994164228</v>
      </c>
      <c r="V137">
        <v>7.3</v>
      </c>
      <c r="W137">
        <f t="shared" si="32"/>
        <v>-1.0024299999999999</v>
      </c>
    </row>
    <row r="138" spans="1:23" x14ac:dyDescent="0.3">
      <c r="A138">
        <v>5.5739692000000005</v>
      </c>
      <c r="B138">
        <v>0.34870000000000001</v>
      </c>
      <c r="C138">
        <f t="shared" si="25"/>
        <v>1.9436430600400003</v>
      </c>
      <c r="D138">
        <v>1.66E-2</v>
      </c>
      <c r="E138">
        <v>2.8E-3</v>
      </c>
      <c r="F138">
        <f t="shared" si="26"/>
        <v>1114.79384</v>
      </c>
      <c r="G138">
        <f t="shared" si="27"/>
        <v>-0.34870000000000001</v>
      </c>
      <c r="H138">
        <f t="shared" si="28"/>
        <v>-388.72861200800008</v>
      </c>
      <c r="I138">
        <v>1</v>
      </c>
      <c r="J138">
        <f t="shared" si="29"/>
        <v>0.10866949095556376</v>
      </c>
      <c r="K138">
        <f t="shared" si="30"/>
        <v>-0.87302515177521745</v>
      </c>
      <c r="L138">
        <v>1</v>
      </c>
      <c r="M138">
        <f t="shared" si="31"/>
        <v>0.64933567200591824</v>
      </c>
      <c r="N138">
        <f t="shared" si="35"/>
        <v>9.2527888720000007E-2</v>
      </c>
      <c r="O138">
        <f t="shared" si="33"/>
        <v>1.5607113760000001E-2</v>
      </c>
      <c r="P138">
        <f t="shared" si="34"/>
        <v>0.1155544772892992</v>
      </c>
      <c r="V138">
        <v>7.4</v>
      </c>
      <c r="W138">
        <f t="shared" si="32"/>
        <v>-1.0073400000000001</v>
      </c>
    </row>
    <row r="139" spans="1:23" x14ac:dyDescent="0.3">
      <c r="A139">
        <v>5.4802787999999998</v>
      </c>
      <c r="B139">
        <v>0.35087000000000002</v>
      </c>
      <c r="C139">
        <f t="shared" si="25"/>
        <v>1.922865422556</v>
      </c>
      <c r="D139">
        <v>1.66E-2</v>
      </c>
      <c r="E139">
        <v>2.8E-3</v>
      </c>
      <c r="F139">
        <f t="shared" si="26"/>
        <v>1096.05576</v>
      </c>
      <c r="G139">
        <f t="shared" si="27"/>
        <v>-0.35087000000000002</v>
      </c>
      <c r="H139">
        <f t="shared" si="28"/>
        <v>-384.57308451120002</v>
      </c>
      <c r="I139">
        <v>1</v>
      </c>
      <c r="J139">
        <f t="shared" si="29"/>
        <v>9.171806314409725E-2</v>
      </c>
      <c r="K139">
        <f t="shared" si="30"/>
        <v>-0.87085515177521744</v>
      </c>
      <c r="L139">
        <v>1</v>
      </c>
      <c r="M139">
        <f t="shared" si="31"/>
        <v>0.64850335690037519</v>
      </c>
      <c r="N139">
        <f t="shared" si="35"/>
        <v>9.0972628079999993E-2</v>
      </c>
      <c r="O139">
        <f t="shared" si="33"/>
        <v>1.534478064E-2</v>
      </c>
      <c r="P139">
        <f t="shared" si="34"/>
        <v>0.11603438615484224</v>
      </c>
      <c r="V139">
        <v>7.5</v>
      </c>
      <c r="W139">
        <f t="shared" si="32"/>
        <v>-1.0122499999999999</v>
      </c>
    </row>
    <row r="140" spans="1:23" x14ac:dyDescent="0.3">
      <c r="A140">
        <v>5.5373081000000006</v>
      </c>
      <c r="B140">
        <v>0.35099000000000002</v>
      </c>
      <c r="C140">
        <f t="shared" si="25"/>
        <v>1.9435397700190002</v>
      </c>
      <c r="D140">
        <v>1.66E-2</v>
      </c>
      <c r="E140">
        <v>2.8E-3</v>
      </c>
      <c r="F140">
        <f t="shared" si="26"/>
        <v>1107.46162</v>
      </c>
      <c r="G140">
        <f t="shared" si="27"/>
        <v>-0.35099000000000002</v>
      </c>
      <c r="H140">
        <f t="shared" si="28"/>
        <v>-388.70795400380007</v>
      </c>
      <c r="I140">
        <v>1</v>
      </c>
      <c r="J140">
        <f t="shared" si="29"/>
        <v>0.1020705677091287</v>
      </c>
      <c r="K140">
        <f t="shared" si="30"/>
        <v>-0.87073515177521743</v>
      </c>
      <c r="L140">
        <v>1</v>
      </c>
      <c r="M140">
        <f t="shared" si="31"/>
        <v>0.64901166487451822</v>
      </c>
      <c r="N140">
        <f t="shared" si="35"/>
        <v>9.1919314460000012E-2</v>
      </c>
      <c r="O140">
        <f t="shared" si="33"/>
        <v>1.5504462680000001E-2</v>
      </c>
      <c r="P140">
        <f t="shared" si="34"/>
        <v>0.1142997097606992</v>
      </c>
    </row>
    <row r="141" spans="1:23" x14ac:dyDescent="0.3">
      <c r="A141">
        <v>5.5928090999999993</v>
      </c>
      <c r="B141">
        <v>0.34916000000000003</v>
      </c>
      <c r="C141">
        <f t="shared" si="25"/>
        <v>1.9527852253559999</v>
      </c>
      <c r="D141">
        <v>1.66E-2</v>
      </c>
      <c r="E141">
        <v>2.8E-3</v>
      </c>
      <c r="F141">
        <f t="shared" si="26"/>
        <v>1118.5618199999999</v>
      </c>
      <c r="G141">
        <f t="shared" si="27"/>
        <v>-0.34916000000000003</v>
      </c>
      <c r="H141">
        <f t="shared" si="28"/>
        <v>-390.55704507119998</v>
      </c>
      <c r="I141">
        <v>1</v>
      </c>
      <c r="J141">
        <f t="shared" si="29"/>
        <v>0.1120437708721895</v>
      </c>
      <c r="K141">
        <f t="shared" si="30"/>
        <v>-0.87256515177521743</v>
      </c>
      <c r="L141">
        <v>1</v>
      </c>
      <c r="M141">
        <f t="shared" si="31"/>
        <v>0.64950134914982449</v>
      </c>
      <c r="N141">
        <f t="shared" si="35"/>
        <v>9.2840631059999984E-2</v>
      </c>
      <c r="O141">
        <f t="shared" si="33"/>
        <v>1.5659865479999997E-2</v>
      </c>
      <c r="P141">
        <f t="shared" si="34"/>
        <v>0.11456330608539296</v>
      </c>
    </row>
    <row r="142" spans="1:23" x14ac:dyDescent="0.3">
      <c r="A142">
        <v>5.6437270999999996</v>
      </c>
      <c r="B142">
        <v>0.34601999999999999</v>
      </c>
      <c r="C142">
        <f t="shared" si="25"/>
        <v>1.9528424511419997</v>
      </c>
      <c r="D142">
        <v>1.66E-2</v>
      </c>
      <c r="E142">
        <v>2.8E-3</v>
      </c>
      <c r="F142">
        <f t="shared" si="26"/>
        <v>1128.74542</v>
      </c>
      <c r="G142">
        <f t="shared" si="27"/>
        <v>-0.34601999999999999</v>
      </c>
      <c r="H142">
        <f t="shared" si="28"/>
        <v>-390.56849022839992</v>
      </c>
      <c r="I142">
        <v>1</v>
      </c>
      <c r="J142">
        <f t="shared" si="29"/>
        <v>0.12110676815500107</v>
      </c>
      <c r="K142">
        <f t="shared" si="30"/>
        <v>-0.87570515177521746</v>
      </c>
      <c r="L142">
        <v>1</v>
      </c>
      <c r="M142">
        <f t="shared" si="31"/>
        <v>0.64994634231641057</v>
      </c>
      <c r="N142">
        <f t="shared" si="35"/>
        <v>9.3685869859999993E-2</v>
      </c>
      <c r="O142">
        <f t="shared" si="33"/>
        <v>1.580243588E-2</v>
      </c>
      <c r="P142">
        <f t="shared" si="34"/>
        <v>0.1162705037188069</v>
      </c>
    </row>
    <row r="143" spans="1:23" x14ac:dyDescent="0.3">
      <c r="A143">
        <v>5.6956641000000001</v>
      </c>
      <c r="B143">
        <v>0.34358</v>
      </c>
      <c r="C143">
        <f t="shared" si="25"/>
        <v>1.956916271478</v>
      </c>
      <c r="D143">
        <v>1.66E-2</v>
      </c>
      <c r="E143">
        <v>2.8E-3</v>
      </c>
      <c r="F143">
        <f t="shared" si="26"/>
        <v>1139.13282</v>
      </c>
      <c r="G143">
        <f t="shared" si="27"/>
        <v>-0.34358</v>
      </c>
      <c r="H143">
        <f t="shared" si="28"/>
        <v>-391.38325429560001</v>
      </c>
      <c r="I143">
        <v>1</v>
      </c>
      <c r="J143">
        <f t="shared" si="29"/>
        <v>0.130267288728839</v>
      </c>
      <c r="K143">
        <f t="shared" si="30"/>
        <v>-0.87814515177521746</v>
      </c>
      <c r="L143">
        <v>1</v>
      </c>
      <c r="M143">
        <f t="shared" si="31"/>
        <v>0.65039612387658596</v>
      </c>
      <c r="N143">
        <f t="shared" si="35"/>
        <v>9.4548024059999999E-2</v>
      </c>
      <c r="O143">
        <f t="shared" si="33"/>
        <v>1.594785948E-2</v>
      </c>
      <c r="P143">
        <f t="shared" si="34"/>
        <v>0.11725314435863149</v>
      </c>
    </row>
    <row r="144" spans="1:23" x14ac:dyDescent="0.3">
      <c r="A144">
        <v>5.7465824999999997</v>
      </c>
      <c r="B144">
        <v>0.34083000000000002</v>
      </c>
      <c r="C144">
        <f t="shared" si="25"/>
        <v>1.958607713475</v>
      </c>
      <c r="D144">
        <v>1.66E-2</v>
      </c>
      <c r="E144">
        <v>2.8E-3</v>
      </c>
      <c r="F144">
        <f t="shared" si="26"/>
        <v>1149.3164999999999</v>
      </c>
      <c r="G144">
        <f t="shared" si="27"/>
        <v>-0.34083000000000002</v>
      </c>
      <c r="H144">
        <f t="shared" si="28"/>
        <v>-391.72154269499998</v>
      </c>
      <c r="I144">
        <v>1</v>
      </c>
      <c r="J144">
        <f t="shared" si="29"/>
        <v>0.13916741785438688</v>
      </c>
      <c r="K144">
        <f t="shared" si="30"/>
        <v>-0.88089515177521749</v>
      </c>
      <c r="L144">
        <v>1</v>
      </c>
      <c r="M144">
        <f t="shared" si="31"/>
        <v>0.65083312021665041</v>
      </c>
      <c r="N144">
        <f t="shared" si="35"/>
        <v>9.5393269500000002E-2</v>
      </c>
      <c r="O144">
        <f t="shared" si="33"/>
        <v>1.6090430999999999E-2</v>
      </c>
      <c r="P144">
        <f t="shared" si="34"/>
        <v>0.11857833105856709</v>
      </c>
    </row>
    <row r="145" spans="1:16" x14ac:dyDescent="0.3">
      <c r="A145">
        <v>5.7990278000000002</v>
      </c>
      <c r="B145">
        <v>0.33806000000000003</v>
      </c>
      <c r="C145">
        <f t="shared" si="25"/>
        <v>1.9604193380680002</v>
      </c>
      <c r="D145">
        <v>1.66E-2</v>
      </c>
      <c r="E145">
        <v>2.8E-3</v>
      </c>
      <c r="F145">
        <f t="shared" si="26"/>
        <v>1159.80556</v>
      </c>
      <c r="G145">
        <f t="shared" ref="G145:G187" si="36">-B145</f>
        <v>-0.33806000000000003</v>
      </c>
      <c r="H145">
        <f t="shared" si="28"/>
        <v>-392.08386761360003</v>
      </c>
      <c r="I145">
        <v>1</v>
      </c>
      <c r="J145">
        <f t="shared" si="29"/>
        <v>0.14825237037870034</v>
      </c>
      <c r="K145">
        <f t="shared" si="30"/>
        <v>-0.88366515177521743</v>
      </c>
      <c r="L145">
        <v>1</v>
      </c>
      <c r="M145">
        <f t="shared" si="31"/>
        <v>0.6512791913855942</v>
      </c>
      <c r="N145">
        <f t="shared" ref="N145:N187" si="37">D145*A145</f>
        <v>9.6263861480000004E-2</v>
      </c>
      <c r="O145">
        <f t="shared" ref="O145:O187" si="38">E145*A145</f>
        <v>1.6237277840000001E-2</v>
      </c>
      <c r="P145">
        <f t="shared" ref="P145:P187" si="39">-K145-M145-N145-O145</f>
        <v>0.11988482106962323</v>
      </c>
    </row>
    <row r="146" spans="1:16" x14ac:dyDescent="0.3">
      <c r="A146">
        <v>5.8499463</v>
      </c>
      <c r="B146">
        <v>0.33511999999999997</v>
      </c>
      <c r="C146">
        <f t="shared" si="25"/>
        <v>1.9604340040559998</v>
      </c>
      <c r="D146">
        <v>1.66E-2</v>
      </c>
      <c r="E146">
        <v>2.8E-3</v>
      </c>
      <c r="F146">
        <f t="shared" si="26"/>
        <v>1169.9892600000001</v>
      </c>
      <c r="G146">
        <f t="shared" si="36"/>
        <v>-0.33511999999999997</v>
      </c>
      <c r="H146">
        <f t="shared" si="28"/>
        <v>-392.08680081119996</v>
      </c>
      <c r="I146">
        <v>1</v>
      </c>
      <c r="J146">
        <f t="shared" si="29"/>
        <v>0.15699456928035363</v>
      </c>
      <c r="K146">
        <f t="shared" si="30"/>
        <v>-0.88660515177521748</v>
      </c>
      <c r="L146">
        <v>1</v>
      </c>
      <c r="M146">
        <f t="shared" si="31"/>
        <v>0.65170843335166539</v>
      </c>
      <c r="N146">
        <f t="shared" si="37"/>
        <v>9.7109108580000006E-2</v>
      </c>
      <c r="O146">
        <f t="shared" si="38"/>
        <v>1.6379849639999999E-2</v>
      </c>
      <c r="P146">
        <f t="shared" si="39"/>
        <v>0.1214077602035521</v>
      </c>
    </row>
    <row r="147" spans="1:16" x14ac:dyDescent="0.3">
      <c r="A147">
        <v>5.9003554999999999</v>
      </c>
      <c r="B147">
        <v>0.33273999999999998</v>
      </c>
      <c r="C147">
        <f t="shared" si="25"/>
        <v>1.9632842890699997</v>
      </c>
      <c r="D147">
        <v>1.66E-2</v>
      </c>
      <c r="E147">
        <v>2.8E-3</v>
      </c>
      <c r="F147">
        <f t="shared" si="26"/>
        <v>1180.0710999999999</v>
      </c>
      <c r="G147">
        <f t="shared" si="36"/>
        <v>-0.33273999999999998</v>
      </c>
      <c r="H147">
        <f t="shared" si="28"/>
        <v>-392.65685781399998</v>
      </c>
      <c r="I147">
        <v>1</v>
      </c>
      <c r="J147">
        <f t="shared" si="29"/>
        <v>0.16557469089964783</v>
      </c>
      <c r="K147">
        <f t="shared" si="30"/>
        <v>-0.88898515177521742</v>
      </c>
      <c r="L147">
        <v>1</v>
      </c>
      <c r="M147">
        <f t="shared" si="31"/>
        <v>0.65212971732317271</v>
      </c>
      <c r="N147">
        <f t="shared" si="37"/>
        <v>9.7945901299999999E-2</v>
      </c>
      <c r="O147">
        <f t="shared" si="38"/>
        <v>1.6520995399999999E-2</v>
      </c>
      <c r="P147">
        <f t="shared" si="39"/>
        <v>0.12238853775204471</v>
      </c>
    </row>
    <row r="148" spans="1:16" x14ac:dyDescent="0.3">
      <c r="A148">
        <v>5.9721504000000003</v>
      </c>
      <c r="B148">
        <v>0.33091999999999999</v>
      </c>
      <c r="C148">
        <f t="shared" si="25"/>
        <v>1.9763040103680001</v>
      </c>
      <c r="D148">
        <v>1.66E-2</v>
      </c>
      <c r="E148">
        <v>2.8E-3</v>
      </c>
      <c r="F148">
        <f t="shared" si="26"/>
        <v>1194.4300800000001</v>
      </c>
      <c r="G148">
        <f t="shared" si="36"/>
        <v>-0.33091999999999999</v>
      </c>
      <c r="H148">
        <f t="shared" si="28"/>
        <v>-395.26080207360002</v>
      </c>
      <c r="I148">
        <v>1</v>
      </c>
      <c r="J148">
        <f t="shared" si="29"/>
        <v>0.17766915111862736</v>
      </c>
      <c r="K148">
        <f t="shared" si="30"/>
        <v>-0.89080515177521746</v>
      </c>
      <c r="L148">
        <v>1</v>
      </c>
      <c r="M148">
        <f t="shared" si="31"/>
        <v>0.65272355531992465</v>
      </c>
      <c r="N148">
        <f t="shared" si="37"/>
        <v>9.9137696640000009E-2</v>
      </c>
      <c r="O148">
        <f t="shared" si="38"/>
        <v>1.672202112E-2</v>
      </c>
      <c r="P148">
        <f t="shared" si="39"/>
        <v>0.12222187869529282</v>
      </c>
    </row>
    <row r="149" spans="1:16" x14ac:dyDescent="0.3">
      <c r="A149">
        <v>5.9064652999999998</v>
      </c>
      <c r="B149">
        <v>0.33128000000000002</v>
      </c>
      <c r="C149">
        <f t="shared" si="25"/>
        <v>1.956693824584</v>
      </c>
      <c r="D149">
        <v>1.66E-2</v>
      </c>
      <c r="E149">
        <v>2.8E-3</v>
      </c>
      <c r="F149">
        <f t="shared" si="26"/>
        <v>1181.29306</v>
      </c>
      <c r="G149">
        <f t="shared" si="36"/>
        <v>-0.33128000000000002</v>
      </c>
      <c r="H149">
        <f t="shared" si="28"/>
        <v>-391.33876491680002</v>
      </c>
      <c r="I149">
        <v>1</v>
      </c>
      <c r="J149">
        <f t="shared" si="29"/>
        <v>0.16660965207147718</v>
      </c>
      <c r="K149">
        <f t="shared" si="30"/>
        <v>-0.89044515177521744</v>
      </c>
      <c r="L149">
        <v>1</v>
      </c>
      <c r="M149">
        <f t="shared" si="31"/>
        <v>0.65218053391670949</v>
      </c>
      <c r="N149">
        <f t="shared" si="37"/>
        <v>9.8047323980000003E-2</v>
      </c>
      <c r="O149">
        <f t="shared" si="38"/>
        <v>1.6538102839999999E-2</v>
      </c>
      <c r="P149">
        <f t="shared" si="39"/>
        <v>0.12367919103850795</v>
      </c>
    </row>
    <row r="150" spans="1:16" x14ac:dyDescent="0.3">
      <c r="A150">
        <v>5.9578936000000002</v>
      </c>
      <c r="B150">
        <v>0.32969999999999999</v>
      </c>
      <c r="C150">
        <f t="shared" si="25"/>
        <v>1.96431751992</v>
      </c>
      <c r="D150">
        <v>1.66E-2</v>
      </c>
      <c r="E150">
        <v>2.8E-3</v>
      </c>
      <c r="F150">
        <f t="shared" si="26"/>
        <v>1191.57872</v>
      </c>
      <c r="G150">
        <f t="shared" si="36"/>
        <v>-0.32969999999999999</v>
      </c>
      <c r="H150">
        <f t="shared" si="28"/>
        <v>-392.86350398400003</v>
      </c>
      <c r="I150">
        <v>1</v>
      </c>
      <c r="J150">
        <f t="shared" si="29"/>
        <v>0.17527908335580256</v>
      </c>
      <c r="K150">
        <f t="shared" si="30"/>
        <v>-0.89202515177521746</v>
      </c>
      <c r="L150">
        <v>1</v>
      </c>
      <c r="M150">
        <f t="shared" si="31"/>
        <v>0.65260620299276995</v>
      </c>
      <c r="N150">
        <f t="shared" si="37"/>
        <v>9.8901033760000007E-2</v>
      </c>
      <c r="O150">
        <f t="shared" si="38"/>
        <v>1.668210208E-2</v>
      </c>
      <c r="P150">
        <f t="shared" si="39"/>
        <v>0.12383581294244751</v>
      </c>
    </row>
    <row r="151" spans="1:16" x14ac:dyDescent="0.3">
      <c r="A151">
        <v>6.0103389000000007</v>
      </c>
      <c r="B151">
        <v>0.32707999999999998</v>
      </c>
      <c r="C151">
        <f t="shared" si="25"/>
        <v>1.9658616474120001</v>
      </c>
      <c r="D151">
        <v>1.66E-2</v>
      </c>
      <c r="E151">
        <v>2.8E-3</v>
      </c>
      <c r="F151">
        <f t="shared" si="26"/>
        <v>1202.0677800000001</v>
      </c>
      <c r="G151">
        <f t="shared" si="36"/>
        <v>-0.32707999999999998</v>
      </c>
      <c r="H151">
        <f t="shared" si="28"/>
        <v>-393.17232948240002</v>
      </c>
      <c r="I151">
        <v>1</v>
      </c>
      <c r="J151">
        <f t="shared" si="29"/>
        <v>0.18404322387427779</v>
      </c>
      <c r="K151">
        <f t="shared" si="30"/>
        <v>-0.89464515177521742</v>
      </c>
      <c r="L151">
        <v>1</v>
      </c>
      <c r="M151">
        <f t="shared" si="31"/>
        <v>0.65303652229222708</v>
      </c>
      <c r="N151">
        <f t="shared" si="37"/>
        <v>9.9771625740000008E-2</v>
      </c>
      <c r="O151">
        <f t="shared" si="38"/>
        <v>1.6828948920000003E-2</v>
      </c>
      <c r="P151">
        <f t="shared" si="39"/>
        <v>0.12500805482299032</v>
      </c>
    </row>
    <row r="152" spans="1:16" x14ac:dyDescent="0.3">
      <c r="A152">
        <v>6.0607484999999999</v>
      </c>
      <c r="B152">
        <v>0.32449</v>
      </c>
      <c r="C152">
        <f t="shared" si="25"/>
        <v>1.966652280765</v>
      </c>
      <c r="D152">
        <v>1.66E-2</v>
      </c>
      <c r="E152">
        <v>2.8E-3</v>
      </c>
      <c r="F152">
        <f t="shared" si="26"/>
        <v>1212.1496999999999</v>
      </c>
      <c r="G152">
        <f t="shared" si="36"/>
        <v>-0.32449</v>
      </c>
      <c r="H152">
        <f t="shared" si="28"/>
        <v>-393.330456153</v>
      </c>
      <c r="I152">
        <v>1</v>
      </c>
      <c r="J152">
        <f t="shared" si="29"/>
        <v>0.19239539487127655</v>
      </c>
      <c r="K152">
        <f t="shared" si="30"/>
        <v>-0.89723515177521751</v>
      </c>
      <c r="L152">
        <v>1</v>
      </c>
      <c r="M152">
        <f t="shared" si="31"/>
        <v>0.65344661388817971</v>
      </c>
      <c r="N152">
        <f t="shared" si="37"/>
        <v>0.1006084251</v>
      </c>
      <c r="O152">
        <f t="shared" si="38"/>
        <v>1.6970095799999998E-2</v>
      </c>
      <c r="P152">
        <f t="shared" si="39"/>
        <v>0.12621001698703779</v>
      </c>
    </row>
    <row r="153" spans="1:16" x14ac:dyDescent="0.3">
      <c r="A153">
        <v>6.1111572000000001</v>
      </c>
      <c r="B153">
        <v>0.32189000000000001</v>
      </c>
      <c r="C153">
        <f t="shared" si="25"/>
        <v>1.9671203911080002</v>
      </c>
      <c r="D153">
        <v>1.66E-2</v>
      </c>
      <c r="E153">
        <v>2.8E-3</v>
      </c>
      <c r="F153">
        <f t="shared" si="26"/>
        <v>1222.23144</v>
      </c>
      <c r="G153">
        <f t="shared" si="36"/>
        <v>-0.32189000000000001</v>
      </c>
      <c r="H153">
        <f t="shared" si="28"/>
        <v>-393.42407822160004</v>
      </c>
      <c r="I153">
        <v>1</v>
      </c>
      <c r="J153">
        <f t="shared" si="29"/>
        <v>0.20067823725189365</v>
      </c>
      <c r="K153">
        <f t="shared" si="30"/>
        <v>-0.89983515177521745</v>
      </c>
      <c r="L153">
        <v>1</v>
      </c>
      <c r="M153">
        <f t="shared" si="31"/>
        <v>0.65385330144906795</v>
      </c>
      <c r="N153">
        <f t="shared" si="37"/>
        <v>0.10144520952</v>
      </c>
      <c r="O153">
        <f t="shared" si="38"/>
        <v>1.7111240159999999E-2</v>
      </c>
      <c r="P153">
        <f t="shared" si="39"/>
        <v>0.12742540064614949</v>
      </c>
    </row>
    <row r="154" spans="1:16" x14ac:dyDescent="0.3">
      <c r="A154">
        <v>6.1620756999999999</v>
      </c>
      <c r="B154">
        <v>0.31927</v>
      </c>
      <c r="C154">
        <f t="shared" si="25"/>
        <v>1.9673659087389999</v>
      </c>
      <c r="D154">
        <v>1.66E-2</v>
      </c>
      <c r="E154">
        <v>2.8E-3</v>
      </c>
      <c r="F154">
        <f t="shared" si="26"/>
        <v>1232.4151400000001</v>
      </c>
      <c r="G154">
        <f t="shared" si="36"/>
        <v>-0.31927</v>
      </c>
      <c r="H154">
        <f t="shared" si="28"/>
        <v>-393.47318174779997</v>
      </c>
      <c r="I154">
        <v>1</v>
      </c>
      <c r="J154">
        <f t="shared" si="29"/>
        <v>0.20897577263732778</v>
      </c>
      <c r="K154">
        <f t="shared" si="30"/>
        <v>-0.90245515177521751</v>
      </c>
      <c r="L154">
        <v>1</v>
      </c>
      <c r="M154">
        <f t="shared" si="31"/>
        <v>0.65426071043649281</v>
      </c>
      <c r="N154">
        <f t="shared" si="37"/>
        <v>0.10229045662</v>
      </c>
      <c r="O154">
        <f t="shared" si="38"/>
        <v>1.725381196E-2</v>
      </c>
      <c r="P154">
        <f t="shared" si="39"/>
        <v>0.1286501727587247</v>
      </c>
    </row>
    <row r="155" spans="1:16" x14ac:dyDescent="0.3">
      <c r="A155">
        <v>6.2129940999999995</v>
      </c>
      <c r="B155">
        <v>0.31663999999999998</v>
      </c>
      <c r="C155">
        <f t="shared" si="25"/>
        <v>1.9672824518239997</v>
      </c>
      <c r="D155">
        <v>1.66E-2</v>
      </c>
      <c r="E155">
        <v>2.8E-3</v>
      </c>
      <c r="F155">
        <f t="shared" si="26"/>
        <v>1242.5988199999999</v>
      </c>
      <c r="G155">
        <f t="shared" si="36"/>
        <v>-0.31663999999999998</v>
      </c>
      <c r="H155">
        <f t="shared" si="28"/>
        <v>-393.45649036479995</v>
      </c>
      <c r="I155">
        <v>1</v>
      </c>
      <c r="J155">
        <f t="shared" si="29"/>
        <v>0.2172050090252447</v>
      </c>
      <c r="K155">
        <f t="shared" si="30"/>
        <v>-0.90508515177521742</v>
      </c>
      <c r="L155">
        <v>1</v>
      </c>
      <c r="M155">
        <f t="shared" si="31"/>
        <v>0.65466476594313949</v>
      </c>
      <c r="N155">
        <f t="shared" si="37"/>
        <v>0.10313570205999999</v>
      </c>
      <c r="O155">
        <f t="shared" si="38"/>
        <v>1.7396383479999999E-2</v>
      </c>
      <c r="P155">
        <f t="shared" si="39"/>
        <v>0.12988830029207793</v>
      </c>
    </row>
    <row r="156" spans="1:16" x14ac:dyDescent="0.3">
      <c r="A156">
        <v>6.2664584999999997</v>
      </c>
      <c r="B156">
        <v>0.31408000000000003</v>
      </c>
      <c r="C156">
        <f t="shared" si="25"/>
        <v>1.9681692856800002</v>
      </c>
      <c r="D156">
        <v>1.66E-2</v>
      </c>
      <c r="E156">
        <v>2.8E-3</v>
      </c>
      <c r="F156">
        <f t="shared" si="26"/>
        <v>1253.2917</v>
      </c>
      <c r="G156">
        <f t="shared" si="36"/>
        <v>-0.31408000000000003</v>
      </c>
      <c r="H156">
        <f t="shared" si="28"/>
        <v>-393.63385713600002</v>
      </c>
      <c r="I156">
        <v>1</v>
      </c>
      <c r="J156">
        <f t="shared" si="29"/>
        <v>0.22577345009685418</v>
      </c>
      <c r="K156">
        <f t="shared" si="30"/>
        <v>-0.90764515177521743</v>
      </c>
      <c r="L156">
        <v>1</v>
      </c>
      <c r="M156">
        <f t="shared" si="31"/>
        <v>0.65508547639975556</v>
      </c>
      <c r="N156">
        <f t="shared" si="37"/>
        <v>0.1040232111</v>
      </c>
      <c r="O156">
        <f t="shared" si="38"/>
        <v>1.7546083799999997E-2</v>
      </c>
      <c r="P156">
        <f t="shared" si="39"/>
        <v>0.13099038047546185</v>
      </c>
    </row>
    <row r="157" spans="1:16" x14ac:dyDescent="0.3">
      <c r="A157">
        <v>6.3168677000000004</v>
      </c>
      <c r="B157">
        <v>0.31145</v>
      </c>
      <c r="C157">
        <f t="shared" si="25"/>
        <v>1.9673884451650001</v>
      </c>
      <c r="D157">
        <v>1.66E-2</v>
      </c>
      <c r="E157">
        <v>2.8E-3</v>
      </c>
      <c r="F157">
        <f t="shared" si="26"/>
        <v>1263.37354</v>
      </c>
      <c r="G157">
        <f t="shared" si="36"/>
        <v>-0.31145</v>
      </c>
      <c r="H157">
        <f t="shared" si="28"/>
        <v>-393.47768903300005</v>
      </c>
      <c r="I157">
        <v>1</v>
      </c>
      <c r="J157">
        <f t="shared" si="29"/>
        <v>0.23378555577731333</v>
      </c>
      <c r="K157">
        <f t="shared" si="30"/>
        <v>-0.91027515177521745</v>
      </c>
      <c r="L157">
        <v>1</v>
      </c>
      <c r="M157">
        <f t="shared" si="31"/>
        <v>0.65547887078866607</v>
      </c>
      <c r="N157">
        <f t="shared" si="37"/>
        <v>0.10486000382000001</v>
      </c>
      <c r="O157">
        <f t="shared" si="38"/>
        <v>1.768722956E-2</v>
      </c>
      <c r="P157">
        <f t="shared" si="39"/>
        <v>0.1322490476065514</v>
      </c>
    </row>
    <row r="158" spans="1:16" x14ac:dyDescent="0.3">
      <c r="A158">
        <v>6.3693124999999995</v>
      </c>
      <c r="B158">
        <v>0.30845</v>
      </c>
      <c r="C158">
        <f t="shared" si="25"/>
        <v>1.9646144406249999</v>
      </c>
      <c r="D158">
        <v>1.66E-2</v>
      </c>
      <c r="E158">
        <v>2.8E-3</v>
      </c>
      <c r="F158">
        <f t="shared" si="26"/>
        <v>1273.8625</v>
      </c>
      <c r="G158">
        <f t="shared" si="36"/>
        <v>-0.30845</v>
      </c>
      <c r="H158">
        <f t="shared" si="28"/>
        <v>-392.92288812499999</v>
      </c>
      <c r="I158">
        <v>1</v>
      </c>
      <c r="J158">
        <f t="shared" si="29"/>
        <v>0.24205362353884965</v>
      </c>
      <c r="K158">
        <f t="shared" si="30"/>
        <v>-0.91327515177521745</v>
      </c>
      <c r="L158">
        <v>1</v>
      </c>
      <c r="M158">
        <f t="shared" si="31"/>
        <v>0.6558848329157575</v>
      </c>
      <c r="N158">
        <f t="shared" si="37"/>
        <v>0.10573058749999999</v>
      </c>
      <c r="O158">
        <f t="shared" si="38"/>
        <v>1.7834074999999998E-2</v>
      </c>
      <c r="P158">
        <f t="shared" si="39"/>
        <v>0.13382565635945998</v>
      </c>
    </row>
    <row r="159" spans="1:16" x14ac:dyDescent="0.3">
      <c r="A159">
        <v>6.4227768999999997</v>
      </c>
      <c r="B159">
        <v>0.30582999999999999</v>
      </c>
      <c r="C159">
        <f t="shared" si="25"/>
        <v>1.9642778593269998</v>
      </c>
      <c r="D159">
        <v>1.66E-2</v>
      </c>
      <c r="E159">
        <v>2.8E-3</v>
      </c>
      <c r="F159">
        <f t="shared" si="26"/>
        <v>1284.55538</v>
      </c>
      <c r="G159">
        <f t="shared" si="36"/>
        <v>-0.30582999999999999</v>
      </c>
      <c r="H159">
        <f t="shared" si="28"/>
        <v>-392.85557186539995</v>
      </c>
      <c r="I159">
        <v>1</v>
      </c>
      <c r="J159">
        <f t="shared" si="29"/>
        <v>0.25041265069057755</v>
      </c>
      <c r="K159">
        <f t="shared" si="30"/>
        <v>-0.91589515177521741</v>
      </c>
      <c r="L159">
        <v>1</v>
      </c>
      <c r="M159">
        <f t="shared" si="31"/>
        <v>0.65629526114890735</v>
      </c>
      <c r="N159">
        <f t="shared" si="37"/>
        <v>0.10661809654</v>
      </c>
      <c r="O159">
        <f t="shared" si="38"/>
        <v>1.7983775319999999E-2</v>
      </c>
      <c r="P159">
        <f t="shared" si="39"/>
        <v>0.13499801876631007</v>
      </c>
    </row>
    <row r="160" spans="1:16" x14ac:dyDescent="0.3">
      <c r="A160">
        <v>6.4742051000000007</v>
      </c>
      <c r="B160">
        <v>0.30280000000000001</v>
      </c>
      <c r="C160">
        <f t="shared" si="25"/>
        <v>1.9603893042800002</v>
      </c>
      <c r="D160">
        <v>1.66E-2</v>
      </c>
      <c r="E160">
        <v>2.8E-3</v>
      </c>
      <c r="F160">
        <f t="shared" si="26"/>
        <v>1294.8410200000001</v>
      </c>
      <c r="G160">
        <f t="shared" si="36"/>
        <v>-0.30280000000000001</v>
      </c>
      <c r="H160">
        <f t="shared" si="28"/>
        <v>-392.07786085600003</v>
      </c>
      <c r="I160">
        <v>1</v>
      </c>
      <c r="J160">
        <f t="shared" si="29"/>
        <v>0.25838792313656117</v>
      </c>
      <c r="K160">
        <f t="shared" si="30"/>
        <v>-0.9189251517752175</v>
      </c>
      <c r="L160">
        <v>1</v>
      </c>
      <c r="M160">
        <f t="shared" si="31"/>
        <v>0.65668684702600522</v>
      </c>
      <c r="N160">
        <f t="shared" si="37"/>
        <v>0.10747180466000002</v>
      </c>
      <c r="O160">
        <f t="shared" si="38"/>
        <v>1.8127774280000002E-2</v>
      </c>
      <c r="P160">
        <f t="shared" si="39"/>
        <v>0.13663872580921227</v>
      </c>
    </row>
    <row r="161" spans="1:16" x14ac:dyDescent="0.3">
      <c r="A161">
        <v>6.5256322999999998</v>
      </c>
      <c r="B161">
        <v>0.30032999999999999</v>
      </c>
      <c r="C161">
        <f t="shared" si="25"/>
        <v>1.9598431486589998</v>
      </c>
      <c r="D161">
        <v>1.66E-2</v>
      </c>
      <c r="E161">
        <v>2.8E-3</v>
      </c>
      <c r="F161">
        <f t="shared" si="26"/>
        <v>1305.12646</v>
      </c>
      <c r="G161">
        <f t="shared" si="36"/>
        <v>-0.30032999999999999</v>
      </c>
      <c r="H161">
        <f t="shared" si="28"/>
        <v>-391.96862973179998</v>
      </c>
      <c r="I161">
        <v>1</v>
      </c>
      <c r="J161">
        <f t="shared" si="29"/>
        <v>0.26629994029430593</v>
      </c>
      <c r="K161">
        <f t="shared" si="30"/>
        <v>-0.92139515177521747</v>
      </c>
      <c r="L161">
        <v>1</v>
      </c>
      <c r="M161">
        <f t="shared" si="31"/>
        <v>0.6570753270684504</v>
      </c>
      <c r="N161">
        <f t="shared" si="37"/>
        <v>0.10832549617999999</v>
      </c>
      <c r="O161">
        <f t="shared" si="38"/>
        <v>1.8271770439999998E-2</v>
      </c>
      <c r="P161">
        <f t="shared" si="39"/>
        <v>0.13772255808676709</v>
      </c>
    </row>
    <row r="162" spans="1:16" x14ac:dyDescent="0.3">
      <c r="A162">
        <v>6.5770600999999997</v>
      </c>
      <c r="B162">
        <v>0.29759000000000002</v>
      </c>
      <c r="C162">
        <f t="shared" si="25"/>
        <v>1.9572673151590001</v>
      </c>
      <c r="D162">
        <v>1.66E-2</v>
      </c>
      <c r="E162">
        <v>2.8E-3</v>
      </c>
      <c r="F162">
        <f t="shared" si="26"/>
        <v>1315.41202</v>
      </c>
      <c r="G162">
        <f t="shared" si="36"/>
        <v>-0.29759000000000002</v>
      </c>
      <c r="H162">
        <f t="shared" si="28"/>
        <v>-391.45346303180003</v>
      </c>
      <c r="I162">
        <v>1</v>
      </c>
      <c r="J162">
        <f t="shared" si="29"/>
        <v>0.27414993974818297</v>
      </c>
      <c r="K162">
        <f t="shared" si="30"/>
        <v>-0.92413515177521743</v>
      </c>
      <c r="L162">
        <v>1</v>
      </c>
      <c r="M162">
        <f t="shared" si="31"/>
        <v>0.65746076204163584</v>
      </c>
      <c r="N162">
        <f t="shared" si="37"/>
        <v>0.10917919765999999</v>
      </c>
      <c r="O162">
        <f t="shared" si="38"/>
        <v>1.8415768279999998E-2</v>
      </c>
      <c r="P162">
        <f t="shared" si="39"/>
        <v>0.1390794237935816</v>
      </c>
    </row>
    <row r="163" spans="1:16" x14ac:dyDescent="0.3">
      <c r="A163">
        <v>6.6274687999999999</v>
      </c>
      <c r="B163">
        <v>0.29468</v>
      </c>
      <c r="C163">
        <f t="shared" si="25"/>
        <v>1.952982505984</v>
      </c>
      <c r="D163">
        <v>1.66E-2</v>
      </c>
      <c r="E163">
        <v>2.8E-3</v>
      </c>
      <c r="F163">
        <f t="shared" si="26"/>
        <v>1325.4937600000001</v>
      </c>
      <c r="G163">
        <f t="shared" si="36"/>
        <v>-0.29468</v>
      </c>
      <c r="H163">
        <f t="shared" si="28"/>
        <v>-390.59650119679998</v>
      </c>
      <c r="I163">
        <v>1</v>
      </c>
      <c r="J163">
        <f t="shared" si="29"/>
        <v>0.28178503907837443</v>
      </c>
      <c r="K163">
        <f t="shared" si="30"/>
        <v>-0.9270451517752174</v>
      </c>
      <c r="L163">
        <v>1</v>
      </c>
      <c r="M163">
        <f t="shared" si="31"/>
        <v>0.65783564541874817</v>
      </c>
      <c r="N163">
        <f t="shared" si="37"/>
        <v>0.11001598208</v>
      </c>
      <c r="O163">
        <f t="shared" si="38"/>
        <v>1.8556912639999999E-2</v>
      </c>
      <c r="P163">
        <f t="shared" si="39"/>
        <v>0.14063661163646921</v>
      </c>
    </row>
    <row r="164" spans="1:16" x14ac:dyDescent="0.3">
      <c r="A164">
        <v>6.6967178000000001</v>
      </c>
      <c r="B164">
        <v>0.29154999999999998</v>
      </c>
      <c r="C164">
        <f t="shared" si="25"/>
        <v>1.9524280745899998</v>
      </c>
      <c r="D164">
        <v>1.66E-2</v>
      </c>
      <c r="E164">
        <v>2.8E-3</v>
      </c>
      <c r="F164">
        <f t="shared" si="26"/>
        <v>1339.34356</v>
      </c>
      <c r="G164">
        <f t="shared" si="36"/>
        <v>-0.29154999999999998</v>
      </c>
      <c r="H164">
        <f t="shared" si="28"/>
        <v>-390.48561491799995</v>
      </c>
      <c r="I164">
        <v>1</v>
      </c>
      <c r="J164">
        <f t="shared" si="29"/>
        <v>0.29217961333510339</v>
      </c>
      <c r="K164">
        <f t="shared" si="30"/>
        <v>-0.93017515177521748</v>
      </c>
      <c r="L164">
        <v>1</v>
      </c>
      <c r="M164">
        <f t="shared" si="31"/>
        <v>0.65834601901475365</v>
      </c>
      <c r="N164">
        <f t="shared" si="37"/>
        <v>0.11116551548</v>
      </c>
      <c r="O164">
        <f t="shared" si="38"/>
        <v>1.875080984E-2</v>
      </c>
      <c r="P164">
        <f t="shared" si="39"/>
        <v>0.14191280744046383</v>
      </c>
    </row>
    <row r="165" spans="1:16" x14ac:dyDescent="0.3">
      <c r="A165">
        <v>6.7471270000000008</v>
      </c>
      <c r="B165">
        <v>0.28860999999999998</v>
      </c>
      <c r="C165">
        <f t="shared" si="25"/>
        <v>1.94728832347</v>
      </c>
      <c r="D165">
        <v>1.66E-2</v>
      </c>
      <c r="E165">
        <v>2.8E-3</v>
      </c>
      <c r="F165">
        <f t="shared" si="26"/>
        <v>1349.4254000000001</v>
      </c>
      <c r="G165">
        <f t="shared" si="36"/>
        <v>-0.28860999999999998</v>
      </c>
      <c r="H165">
        <f t="shared" si="28"/>
        <v>-389.45766469400002</v>
      </c>
      <c r="I165">
        <v>1</v>
      </c>
      <c r="J165">
        <f t="shared" si="29"/>
        <v>0.29967887221470707</v>
      </c>
      <c r="K165">
        <f t="shared" si="30"/>
        <v>-0.93311515177521742</v>
      </c>
      <c r="L165">
        <v>1</v>
      </c>
      <c r="M165">
        <f t="shared" si="31"/>
        <v>0.65871423262574214</v>
      </c>
      <c r="N165">
        <f t="shared" si="37"/>
        <v>0.11200230820000001</v>
      </c>
      <c r="O165">
        <f t="shared" si="38"/>
        <v>1.8891955600000003E-2</v>
      </c>
      <c r="P165">
        <f t="shared" si="39"/>
        <v>0.14350665534947527</v>
      </c>
    </row>
    <row r="166" spans="1:16" x14ac:dyDescent="0.3">
      <c r="A166">
        <v>6.7985541999999999</v>
      </c>
      <c r="B166">
        <v>0.28582000000000002</v>
      </c>
      <c r="C166">
        <f t="shared" si="25"/>
        <v>1.9431627614440001</v>
      </c>
      <c r="D166">
        <v>1.66E-2</v>
      </c>
      <c r="E166">
        <v>2.8E-3</v>
      </c>
      <c r="F166">
        <f t="shared" si="26"/>
        <v>1359.71084</v>
      </c>
      <c r="G166">
        <f t="shared" si="36"/>
        <v>-0.28582000000000002</v>
      </c>
      <c r="H166">
        <f t="shared" si="28"/>
        <v>-388.63255228880001</v>
      </c>
      <c r="I166">
        <v>1</v>
      </c>
      <c r="J166">
        <f t="shared" si="29"/>
        <v>0.30727205949456549</v>
      </c>
      <c r="K166">
        <f t="shared" si="30"/>
        <v>-0.93590515177521749</v>
      </c>
      <c r="L166">
        <v>1</v>
      </c>
      <c r="M166">
        <f t="shared" si="31"/>
        <v>0.65908705812118318</v>
      </c>
      <c r="N166">
        <f t="shared" si="37"/>
        <v>0.11285599972</v>
      </c>
      <c r="O166">
        <f t="shared" si="38"/>
        <v>1.9035951759999999E-2</v>
      </c>
      <c r="P166">
        <f t="shared" si="39"/>
        <v>0.14492614217403432</v>
      </c>
    </row>
    <row r="167" spans="1:16" x14ac:dyDescent="0.3">
      <c r="A167">
        <v>6.8576201000000001</v>
      </c>
      <c r="B167">
        <v>0.28325</v>
      </c>
      <c r="C167">
        <f t="shared" si="25"/>
        <v>1.942420893325</v>
      </c>
      <c r="D167">
        <v>1.66E-2</v>
      </c>
      <c r="E167">
        <v>2.8E-3</v>
      </c>
      <c r="F167">
        <f t="shared" si="26"/>
        <v>1371.5240200000001</v>
      </c>
      <c r="G167">
        <f t="shared" si="36"/>
        <v>-0.28325</v>
      </c>
      <c r="H167">
        <f t="shared" si="28"/>
        <v>-388.484178665</v>
      </c>
      <c r="I167">
        <v>1</v>
      </c>
      <c r="J167">
        <f t="shared" si="29"/>
        <v>0.31592254491332133</v>
      </c>
      <c r="K167">
        <f t="shared" si="30"/>
        <v>-0.93847515177521745</v>
      </c>
      <c r="L167">
        <v>1</v>
      </c>
      <c r="M167">
        <f t="shared" si="31"/>
        <v>0.65951179695524409</v>
      </c>
      <c r="N167">
        <f t="shared" si="37"/>
        <v>0.11383649366</v>
      </c>
      <c r="O167">
        <f t="shared" si="38"/>
        <v>1.9201336280000002E-2</v>
      </c>
      <c r="P167">
        <f t="shared" si="39"/>
        <v>0.14592552487997337</v>
      </c>
    </row>
    <row r="168" spans="1:16" x14ac:dyDescent="0.3">
      <c r="A168">
        <v>6.9110844999999994</v>
      </c>
      <c r="B168">
        <v>0.28005999999999998</v>
      </c>
      <c r="C168">
        <f t="shared" si="25"/>
        <v>1.9355183250699997</v>
      </c>
      <c r="D168">
        <v>1.66E-2</v>
      </c>
      <c r="E168">
        <v>2.8E-3</v>
      </c>
      <c r="F168">
        <f t="shared" si="26"/>
        <v>1382.2168999999999</v>
      </c>
      <c r="G168">
        <f t="shared" si="36"/>
        <v>-0.28005999999999998</v>
      </c>
      <c r="H168">
        <f t="shared" si="28"/>
        <v>-387.10366501399994</v>
      </c>
      <c r="I168">
        <v>1</v>
      </c>
      <c r="J168">
        <f t="shared" si="29"/>
        <v>0.32368865948508574</v>
      </c>
      <c r="K168">
        <f t="shared" si="30"/>
        <v>-0.94166515177521748</v>
      </c>
      <c r="L168">
        <v>1</v>
      </c>
      <c r="M168">
        <f t="shared" si="31"/>
        <v>0.65989311318071775</v>
      </c>
      <c r="N168">
        <f t="shared" si="37"/>
        <v>0.11472400269999999</v>
      </c>
      <c r="O168">
        <f t="shared" si="38"/>
        <v>1.93510366E-2</v>
      </c>
      <c r="P168">
        <f t="shared" si="39"/>
        <v>0.14769699929449973</v>
      </c>
    </row>
    <row r="169" spans="1:16" x14ac:dyDescent="0.3">
      <c r="A169">
        <v>6.9650575999999997</v>
      </c>
      <c r="B169">
        <v>0.27721000000000001</v>
      </c>
      <c r="C169">
        <f t="shared" si="25"/>
        <v>1.930783617296</v>
      </c>
      <c r="D169">
        <v>1.66E-2</v>
      </c>
      <c r="E169">
        <v>2.8E-3</v>
      </c>
      <c r="F169">
        <f t="shared" si="26"/>
        <v>1393.01152</v>
      </c>
      <c r="G169">
        <f t="shared" si="36"/>
        <v>-0.27721000000000001</v>
      </c>
      <c r="H169">
        <f t="shared" si="28"/>
        <v>-386.15672345920001</v>
      </c>
      <c r="I169">
        <v>1</v>
      </c>
      <c r="J169">
        <f t="shared" si="29"/>
        <v>0.33146796468450673</v>
      </c>
      <c r="K169">
        <f t="shared" si="30"/>
        <v>-0.9445151517752175</v>
      </c>
      <c r="L169">
        <v>1</v>
      </c>
      <c r="M169">
        <f t="shared" si="31"/>
        <v>0.6602750770660093</v>
      </c>
      <c r="N169">
        <f t="shared" si="37"/>
        <v>0.11561995616</v>
      </c>
      <c r="O169">
        <f t="shared" si="38"/>
        <v>1.9502161279999999E-2</v>
      </c>
      <c r="P169">
        <f t="shared" si="39"/>
        <v>0.14911795726920823</v>
      </c>
    </row>
    <row r="170" spans="1:16" x14ac:dyDescent="0.3">
      <c r="A170">
        <v>7.0190308000000003</v>
      </c>
      <c r="B170">
        <v>0.27433000000000002</v>
      </c>
      <c r="C170">
        <f t="shared" si="25"/>
        <v>1.9255307193640003</v>
      </c>
      <c r="D170">
        <v>1.66E-2</v>
      </c>
      <c r="E170">
        <v>2.8E-3</v>
      </c>
      <c r="F170">
        <f t="shared" si="26"/>
        <v>1403.8061600000001</v>
      </c>
      <c r="G170">
        <f t="shared" si="36"/>
        <v>-0.27433000000000002</v>
      </c>
      <c r="H170">
        <f t="shared" si="28"/>
        <v>-385.10614387280009</v>
      </c>
      <c r="I170">
        <v>1</v>
      </c>
      <c r="J170">
        <f t="shared" si="29"/>
        <v>0.3391872333940279</v>
      </c>
      <c r="K170">
        <f t="shared" si="30"/>
        <v>-0.94739515177521749</v>
      </c>
      <c r="L170">
        <v>1</v>
      </c>
      <c r="M170">
        <f t="shared" si="31"/>
        <v>0.66065409315964674</v>
      </c>
      <c r="N170">
        <f t="shared" si="37"/>
        <v>0.11651591128000001</v>
      </c>
      <c r="O170">
        <f t="shared" si="38"/>
        <v>1.9653286240000001E-2</v>
      </c>
      <c r="P170">
        <f t="shared" si="39"/>
        <v>0.15057186109557075</v>
      </c>
    </row>
    <row r="171" spans="1:16" x14ac:dyDescent="0.3">
      <c r="A171">
        <v>7.0724955999999999</v>
      </c>
      <c r="B171">
        <v>0.27110000000000001</v>
      </c>
      <c r="C171">
        <f t="shared" si="25"/>
        <v>1.91735355716</v>
      </c>
      <c r="D171">
        <v>1.66E-2</v>
      </c>
      <c r="E171">
        <v>2.8E-3</v>
      </c>
      <c r="F171">
        <f t="shared" si="26"/>
        <v>1414.4991199999999</v>
      </c>
      <c r="G171">
        <f t="shared" si="36"/>
        <v>-0.27110000000000001</v>
      </c>
      <c r="H171">
        <f t="shared" si="28"/>
        <v>-383.47071143199997</v>
      </c>
      <c r="I171">
        <v>1</v>
      </c>
      <c r="J171">
        <f t="shared" si="29"/>
        <v>0.34677548963133081</v>
      </c>
      <c r="K171">
        <f t="shared" si="30"/>
        <v>-0.95062515177521745</v>
      </c>
      <c r="L171">
        <v>1</v>
      </c>
      <c r="M171">
        <f t="shared" si="31"/>
        <v>0.66102667654089831</v>
      </c>
      <c r="N171">
        <f t="shared" si="37"/>
        <v>0.11740342696</v>
      </c>
      <c r="O171">
        <f t="shared" si="38"/>
        <v>1.9802987679999998E-2</v>
      </c>
      <c r="P171">
        <f t="shared" si="39"/>
        <v>0.15239206059431915</v>
      </c>
    </row>
    <row r="172" spans="1:16" x14ac:dyDescent="0.3">
      <c r="A172">
        <v>7.1254502000000004</v>
      </c>
      <c r="B172">
        <v>0.26852999999999999</v>
      </c>
      <c r="C172">
        <f t="shared" si="25"/>
        <v>1.9133971422060001</v>
      </c>
      <c r="D172">
        <v>1.66E-2</v>
      </c>
      <c r="E172">
        <v>2.8E-3</v>
      </c>
      <c r="F172">
        <f t="shared" si="26"/>
        <v>1425.09004</v>
      </c>
      <c r="G172">
        <f t="shared" si="36"/>
        <v>-0.26852999999999999</v>
      </c>
      <c r="H172">
        <f t="shared" si="28"/>
        <v>-382.6794284412</v>
      </c>
      <c r="I172">
        <v>1</v>
      </c>
      <c r="J172">
        <f t="shared" si="29"/>
        <v>0.35423499768937711</v>
      </c>
      <c r="K172">
        <f t="shared" si="30"/>
        <v>-0.95319515177521752</v>
      </c>
      <c r="L172">
        <v>1</v>
      </c>
      <c r="M172">
        <f t="shared" si="31"/>
        <v>0.66139293838654845</v>
      </c>
      <c r="N172">
        <f t="shared" si="37"/>
        <v>0.11828247332000001</v>
      </c>
      <c r="O172">
        <f t="shared" si="38"/>
        <v>1.995126056E-2</v>
      </c>
      <c r="P172">
        <f t="shared" si="39"/>
        <v>0.15356847950866906</v>
      </c>
    </row>
    <row r="173" spans="1:16" x14ac:dyDescent="0.3">
      <c r="A173">
        <v>7.1784058000000002</v>
      </c>
      <c r="B173">
        <v>0.26573999999999998</v>
      </c>
      <c r="C173">
        <f t="shared" si="25"/>
        <v>1.9075895572919999</v>
      </c>
      <c r="D173">
        <v>1.66E-2</v>
      </c>
      <c r="E173">
        <v>2.8E-3</v>
      </c>
      <c r="F173">
        <f t="shared" si="26"/>
        <v>1435.6811600000001</v>
      </c>
      <c r="G173">
        <f t="shared" si="36"/>
        <v>-0.26573999999999998</v>
      </c>
      <c r="H173">
        <f t="shared" si="28"/>
        <v>-381.51791145839996</v>
      </c>
      <c r="I173">
        <v>1</v>
      </c>
      <c r="J173">
        <f t="shared" si="29"/>
        <v>0.36163941254677823</v>
      </c>
      <c r="K173">
        <f t="shared" si="30"/>
        <v>-0.95598515177521748</v>
      </c>
      <c r="L173">
        <v>1</v>
      </c>
      <c r="M173">
        <f t="shared" si="31"/>
        <v>0.66175649515604684</v>
      </c>
      <c r="N173">
        <f t="shared" si="37"/>
        <v>0.11916153628000001</v>
      </c>
      <c r="O173">
        <f t="shared" si="38"/>
        <v>2.009953624E-2</v>
      </c>
      <c r="P173">
        <f t="shared" si="39"/>
        <v>0.15496758409917064</v>
      </c>
    </row>
    <row r="174" spans="1:16" x14ac:dyDescent="0.3">
      <c r="A174">
        <v>7.2308506000000001</v>
      </c>
      <c r="B174">
        <v>0.26289000000000001</v>
      </c>
      <c r="C174">
        <f t="shared" si="25"/>
        <v>1.900918314234</v>
      </c>
      <c r="D174">
        <v>1.66E-2</v>
      </c>
      <c r="E174">
        <v>2.8E-3</v>
      </c>
      <c r="F174">
        <f t="shared" si="26"/>
        <v>1446.17012</v>
      </c>
      <c r="G174">
        <f t="shared" si="36"/>
        <v>-0.26289000000000001</v>
      </c>
      <c r="H174">
        <f t="shared" si="28"/>
        <v>-380.18366284680002</v>
      </c>
      <c r="I174">
        <v>1</v>
      </c>
      <c r="J174">
        <f t="shared" si="29"/>
        <v>0.36891876550253938</v>
      </c>
      <c r="K174">
        <f t="shared" si="30"/>
        <v>-0.95883515177521739</v>
      </c>
      <c r="L174">
        <v>1</v>
      </c>
      <c r="M174">
        <f t="shared" si="31"/>
        <v>0.6621139113861747</v>
      </c>
      <c r="N174">
        <f t="shared" si="37"/>
        <v>0.12003211996</v>
      </c>
      <c r="O174">
        <f t="shared" si="38"/>
        <v>2.0246381680000002E-2</v>
      </c>
      <c r="P174">
        <f t="shared" si="39"/>
        <v>0.15644273874904266</v>
      </c>
    </row>
    <row r="175" spans="1:16" x14ac:dyDescent="0.3">
      <c r="A175">
        <v>7.2817695000000002</v>
      </c>
      <c r="B175">
        <v>0.25988</v>
      </c>
      <c r="C175">
        <f t="shared" si="25"/>
        <v>1.8923862576600001</v>
      </c>
      <c r="D175">
        <v>1.66E-2</v>
      </c>
      <c r="E175">
        <v>2.8E-3</v>
      </c>
      <c r="F175">
        <f t="shared" si="26"/>
        <v>1456.3539000000001</v>
      </c>
      <c r="G175">
        <f t="shared" si="36"/>
        <v>-0.25988</v>
      </c>
      <c r="H175">
        <f t="shared" si="28"/>
        <v>-378.47725153200003</v>
      </c>
      <c r="I175">
        <v>1</v>
      </c>
      <c r="J175">
        <f t="shared" si="29"/>
        <v>0.37593598342623691</v>
      </c>
      <c r="K175">
        <f t="shared" si="30"/>
        <v>-0.96184515177521746</v>
      </c>
      <c r="L175">
        <v>1</v>
      </c>
      <c r="M175">
        <f t="shared" si="31"/>
        <v>0.66245845678622828</v>
      </c>
      <c r="N175">
        <f t="shared" si="37"/>
        <v>0.1208773737</v>
      </c>
      <c r="O175">
        <f t="shared" si="38"/>
        <v>2.0388954600000002E-2</v>
      </c>
      <c r="P175">
        <f t="shared" si="39"/>
        <v>0.15812036668898916</v>
      </c>
    </row>
    <row r="176" spans="1:16" x14ac:dyDescent="0.3">
      <c r="A176">
        <v>7.332688000000001</v>
      </c>
      <c r="B176">
        <v>0.25735999999999998</v>
      </c>
      <c r="C176">
        <f t="shared" si="25"/>
        <v>1.8871405836800001</v>
      </c>
      <c r="D176">
        <v>1.66E-2</v>
      </c>
      <c r="E176">
        <v>2.8E-3</v>
      </c>
      <c r="F176">
        <f t="shared" si="26"/>
        <v>1466.5376000000001</v>
      </c>
      <c r="G176">
        <f t="shared" si="36"/>
        <v>-0.25735999999999998</v>
      </c>
      <c r="H176">
        <f t="shared" si="28"/>
        <v>-377.42811673600005</v>
      </c>
      <c r="I176">
        <v>1</v>
      </c>
      <c r="J176">
        <f t="shared" si="29"/>
        <v>0.38290424838387871</v>
      </c>
      <c r="K176">
        <f t="shared" si="30"/>
        <v>-0.96436515177521742</v>
      </c>
      <c r="L176">
        <v>1</v>
      </c>
      <c r="M176">
        <f t="shared" si="31"/>
        <v>0.66280059859564844</v>
      </c>
      <c r="N176">
        <f t="shared" si="37"/>
        <v>0.12172262080000001</v>
      </c>
      <c r="O176">
        <f t="shared" si="38"/>
        <v>2.0531526400000003E-2</v>
      </c>
      <c r="P176">
        <f t="shared" si="39"/>
        <v>0.15931040597956897</v>
      </c>
    </row>
    <row r="177" spans="1:16" x14ac:dyDescent="0.3">
      <c r="A177">
        <v>7.3851338000000002</v>
      </c>
      <c r="B177">
        <v>0.25451000000000001</v>
      </c>
      <c r="C177">
        <f t="shared" si="25"/>
        <v>1.8795904034380002</v>
      </c>
      <c r="D177">
        <v>1.66E-2</v>
      </c>
      <c r="E177">
        <v>2.8E-3</v>
      </c>
      <c r="F177">
        <f t="shared" si="26"/>
        <v>1477.02676</v>
      </c>
      <c r="G177">
        <f t="shared" si="36"/>
        <v>-0.25451000000000001</v>
      </c>
      <c r="H177">
        <f t="shared" si="28"/>
        <v>-375.91808068760002</v>
      </c>
      <c r="I177">
        <v>1</v>
      </c>
      <c r="J177">
        <f t="shared" si="29"/>
        <v>0.39003112119148153</v>
      </c>
      <c r="K177">
        <f t="shared" si="30"/>
        <v>-0.96721515177521744</v>
      </c>
      <c r="L177">
        <v>1</v>
      </c>
      <c r="M177">
        <f t="shared" si="31"/>
        <v>0.66315052805050179</v>
      </c>
      <c r="N177">
        <f t="shared" si="37"/>
        <v>0.12259322108000001</v>
      </c>
      <c r="O177">
        <f t="shared" si="38"/>
        <v>2.067837464E-2</v>
      </c>
      <c r="P177">
        <f t="shared" si="39"/>
        <v>0.16079302800471565</v>
      </c>
    </row>
    <row r="178" spans="1:16" x14ac:dyDescent="0.3">
      <c r="A178">
        <v>7.4370703000000002</v>
      </c>
      <c r="B178">
        <v>0.25192999999999999</v>
      </c>
      <c r="C178">
        <f t="shared" si="25"/>
        <v>1.8736211206789999</v>
      </c>
      <c r="D178">
        <v>1.66E-2</v>
      </c>
      <c r="E178">
        <v>2.8E-3</v>
      </c>
      <c r="F178">
        <f t="shared" si="26"/>
        <v>1487.4140600000001</v>
      </c>
      <c r="G178">
        <f t="shared" si="36"/>
        <v>-0.25192999999999999</v>
      </c>
      <c r="H178">
        <f t="shared" si="28"/>
        <v>-374.7242241358</v>
      </c>
      <c r="I178">
        <v>1</v>
      </c>
      <c r="J178">
        <f t="shared" si="29"/>
        <v>0.39703908197870441</v>
      </c>
      <c r="K178">
        <f t="shared" si="30"/>
        <v>-0.96979515177521747</v>
      </c>
      <c r="L178">
        <v>1</v>
      </c>
      <c r="M178">
        <f t="shared" si="31"/>
        <v>0.66349461892515438</v>
      </c>
      <c r="N178">
        <f t="shared" si="37"/>
        <v>0.12345536698000001</v>
      </c>
      <c r="O178">
        <f t="shared" si="38"/>
        <v>2.0823796840000002E-2</v>
      </c>
      <c r="P178">
        <f t="shared" si="39"/>
        <v>0.16202136903006309</v>
      </c>
    </row>
    <row r="179" spans="1:16" x14ac:dyDescent="0.3">
      <c r="A179">
        <v>7.4385981000000001</v>
      </c>
      <c r="B179">
        <v>0.25172</v>
      </c>
      <c r="C179">
        <f t="shared" si="25"/>
        <v>1.8724439137319999</v>
      </c>
      <c r="D179">
        <v>1.66E-2</v>
      </c>
      <c r="E179">
        <v>2.8E-3</v>
      </c>
      <c r="F179">
        <f t="shared" si="26"/>
        <v>1487.7196200000001</v>
      </c>
      <c r="G179">
        <f t="shared" si="36"/>
        <v>-0.25172</v>
      </c>
      <c r="H179">
        <f t="shared" si="28"/>
        <v>-374.48878274639998</v>
      </c>
      <c r="I179">
        <v>1</v>
      </c>
      <c r="J179">
        <f t="shared" si="29"/>
        <v>0.39724449123686878</v>
      </c>
      <c r="K179">
        <f t="shared" si="30"/>
        <v>-0.97000515177521751</v>
      </c>
      <c r="L179">
        <v>1</v>
      </c>
      <c r="M179">
        <f t="shared" si="31"/>
        <v>0.66350470451973032</v>
      </c>
      <c r="N179">
        <f t="shared" si="37"/>
        <v>0.12348072846000001</v>
      </c>
      <c r="O179">
        <f t="shared" si="38"/>
        <v>2.0828074679999999E-2</v>
      </c>
      <c r="P179">
        <f t="shared" si="39"/>
        <v>0.16219164411548717</v>
      </c>
    </row>
    <row r="180" spans="1:16" x14ac:dyDescent="0.3">
      <c r="C180">
        <f t="shared" si="25"/>
        <v>0</v>
      </c>
      <c r="D180">
        <v>1.66E-2</v>
      </c>
      <c r="E180">
        <v>2.8E-3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1:16" x14ac:dyDescent="0.3">
      <c r="C181">
        <f t="shared" si="25"/>
        <v>0</v>
      </c>
      <c r="D181">
        <v>1.66E-2</v>
      </c>
      <c r="E181">
        <v>2.8E-3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1:16" x14ac:dyDescent="0.3">
      <c r="C182">
        <f t="shared" si="25"/>
        <v>0</v>
      </c>
      <c r="D182">
        <v>1.66E-2</v>
      </c>
      <c r="E182">
        <v>2.8E-3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1:16" x14ac:dyDescent="0.3">
      <c r="C183">
        <f t="shared" si="25"/>
        <v>0</v>
      </c>
      <c r="D183">
        <v>1.66E-2</v>
      </c>
      <c r="E183">
        <v>2.8E-3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1:16" x14ac:dyDescent="0.3">
      <c r="C184">
        <f t="shared" si="25"/>
        <v>0</v>
      </c>
      <c r="D184">
        <v>1.66E-2</v>
      </c>
      <c r="E184">
        <v>2.8E-3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1:16" x14ac:dyDescent="0.3">
      <c r="C185">
        <f t="shared" si="25"/>
        <v>0</v>
      </c>
      <c r="D185">
        <v>1.66E-2</v>
      </c>
      <c r="E185">
        <v>2.8E-3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1:16" x14ac:dyDescent="0.3">
      <c r="C186">
        <f t="shared" si="25"/>
        <v>0</v>
      </c>
      <c r="D186">
        <v>1.66E-2</v>
      </c>
      <c r="E186">
        <v>2.8E-3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1:16" x14ac:dyDescent="0.3">
      <c r="C187">
        <f t="shared" si="25"/>
        <v>0</v>
      </c>
      <c r="D187">
        <v>1.66E-2</v>
      </c>
      <c r="E187">
        <v>2.8E-3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1:16" x14ac:dyDescent="0.3">
      <c r="C188">
        <f t="shared" si="25"/>
        <v>0</v>
      </c>
      <c r="D188">
        <v>1.66E-2</v>
      </c>
      <c r="E188">
        <v>2.8E-3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1:16" x14ac:dyDescent="0.3">
      <c r="C189">
        <f t="shared" si="25"/>
        <v>0</v>
      </c>
      <c r="D189">
        <v>1.66E-2</v>
      </c>
      <c r="E189">
        <v>2.8E-3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1:16" x14ac:dyDescent="0.3">
      <c r="C190">
        <f t="shared" si="25"/>
        <v>0</v>
      </c>
      <c r="D190">
        <v>1.66E-2</v>
      </c>
      <c r="E190">
        <v>2.8E-3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1:16" x14ac:dyDescent="0.3">
      <c r="C191">
        <f t="shared" si="25"/>
        <v>0</v>
      </c>
      <c r="D191">
        <v>1.66E-2</v>
      </c>
      <c r="E191">
        <v>2.8E-3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1:16" x14ac:dyDescent="0.3">
      <c r="C192">
        <f t="shared" si="25"/>
        <v>0</v>
      </c>
      <c r="D192">
        <v>1.66E-2</v>
      </c>
      <c r="E192">
        <v>2.8E-3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1.66E-2</v>
      </c>
      <c r="E193">
        <v>2.8E-3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1.66E-2</v>
      </c>
      <c r="E194">
        <v>2.8E-3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1.66E-2</v>
      </c>
      <c r="E195">
        <v>2.8E-3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1.66E-2</v>
      </c>
      <c r="E196">
        <v>2.8E-3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1.66E-2</v>
      </c>
      <c r="E197">
        <v>2.8E-3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1.66E-2</v>
      </c>
      <c r="E198">
        <v>2.8E-3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1.66E-2</v>
      </c>
      <c r="E199">
        <v>2.8E-3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1.66E-2</v>
      </c>
      <c r="E200">
        <v>2.8E-3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1.66E-2</v>
      </c>
      <c r="E201">
        <v>2.8E-3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1.66E-2</v>
      </c>
      <c r="E202">
        <v>2.8E-3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1.66E-2</v>
      </c>
      <c r="E203">
        <v>2.8E-3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1.66E-2</v>
      </c>
      <c r="E204">
        <v>2.8E-3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1.66E-2</v>
      </c>
      <c r="E205">
        <v>2.8E-3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1.66E-2</v>
      </c>
      <c r="E206">
        <v>2.8E-3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1.66E-2</v>
      </c>
      <c r="E207">
        <v>2.8E-3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1.66E-2</v>
      </c>
      <c r="E208">
        <v>2.8E-3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1.66E-2</v>
      </c>
      <c r="E209">
        <v>2.8E-3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1.66E-2</v>
      </c>
      <c r="E210">
        <v>2.8E-3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1.66E-2</v>
      </c>
      <c r="E211">
        <v>2.8E-3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1.66E-2</v>
      </c>
      <c r="E212">
        <v>2.8E-3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1.66E-2</v>
      </c>
      <c r="E213">
        <v>2.8E-3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1.66E-2</v>
      </c>
      <c r="E214">
        <v>2.8E-3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1.66E-2</v>
      </c>
      <c r="E215">
        <v>2.8E-3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1.66E-2</v>
      </c>
      <c r="E216">
        <v>2.8E-3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1.66E-2</v>
      </c>
      <c r="E217">
        <v>2.8E-3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1.66E-2</v>
      </c>
      <c r="E218">
        <v>2.8E-3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1.66E-2</v>
      </c>
      <c r="E219">
        <v>2.8E-3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1.66E-2</v>
      </c>
      <c r="E220">
        <v>2.8E-3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1.66E-2</v>
      </c>
      <c r="E221">
        <v>2.8E-3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1.66E-2</v>
      </c>
      <c r="E222">
        <v>2.8E-3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1.66E-2</v>
      </c>
      <c r="E223">
        <v>2.8E-3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1.66E-2</v>
      </c>
      <c r="E224">
        <v>2.8E-3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1.66E-2</v>
      </c>
      <c r="E225">
        <v>2.8E-3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1.66E-2</v>
      </c>
      <c r="E226">
        <v>2.8E-3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1.66E-2</v>
      </c>
      <c r="E227">
        <v>2.8E-3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1.66E-2</v>
      </c>
      <c r="E228">
        <v>2.8E-3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1.66E-2</v>
      </c>
      <c r="E229">
        <v>2.8E-3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1.66E-2</v>
      </c>
      <c r="E230">
        <v>2.8E-3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1.66E-2</v>
      </c>
      <c r="E231">
        <v>2.8E-3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1.66E-2</v>
      </c>
      <c r="E232">
        <v>2.8E-3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1.66E-2</v>
      </c>
      <c r="E233">
        <v>2.8E-3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1.66E-2</v>
      </c>
      <c r="E234">
        <v>2.8E-3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1.66E-2</v>
      </c>
      <c r="E235">
        <v>2.8E-3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1.66E-2</v>
      </c>
      <c r="E236">
        <v>2.8E-3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1.66E-2</v>
      </c>
      <c r="E237">
        <v>2.8E-3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1.66E-2</v>
      </c>
      <c r="E238">
        <v>2.8E-3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1.66E-2</v>
      </c>
      <c r="E239">
        <v>2.8E-3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1.66E-2</v>
      </c>
      <c r="E240">
        <v>2.8E-3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1.66E-2</v>
      </c>
      <c r="E241">
        <v>2.8E-3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1.66E-2</v>
      </c>
      <c r="E242">
        <v>2.8E-3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1.66E-2</v>
      </c>
      <c r="E243">
        <v>2.8E-3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1.66E-2</v>
      </c>
      <c r="E244">
        <v>2.8E-3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1.66E-2</v>
      </c>
      <c r="E245">
        <v>2.8E-3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1.66E-2</v>
      </c>
      <c r="E246">
        <v>2.8E-3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1.66E-2</v>
      </c>
      <c r="E247">
        <v>2.8E-3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1.66E-2</v>
      </c>
      <c r="E248">
        <v>2.8E-3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1.66E-2</v>
      </c>
      <c r="E249">
        <v>2.8E-3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1.66E-2</v>
      </c>
      <c r="E250">
        <v>2.8E-3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1.66E-2</v>
      </c>
      <c r="E251">
        <v>2.8E-3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1.66E-2</v>
      </c>
      <c r="E252">
        <v>2.8E-3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1.66E-2</v>
      </c>
      <c r="E253">
        <v>2.8E-3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1.66E-2</v>
      </c>
      <c r="E254">
        <v>2.8E-3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1.66E-2</v>
      </c>
      <c r="E255">
        <v>2.8E-3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1.66E-2</v>
      </c>
      <c r="E256">
        <v>2.8E-3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1.66E-2</v>
      </c>
      <c r="E257">
        <v>2.8E-3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1.66E-2</v>
      </c>
      <c r="E258">
        <v>2.8E-3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1.66E-2</v>
      </c>
      <c r="E259">
        <v>2.8E-3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1.66E-2</v>
      </c>
      <c r="E260">
        <v>2.8E-3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1.66E-2</v>
      </c>
      <c r="E261">
        <v>2.8E-3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1.66E-2</v>
      </c>
      <c r="E262">
        <v>2.8E-3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1.66E-2</v>
      </c>
      <c r="E263">
        <v>2.8E-3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1.66E-2</v>
      </c>
      <c r="E264">
        <v>2.8E-3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1.66E-2</v>
      </c>
      <c r="E265">
        <v>2.8E-3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1.66E-2</v>
      </c>
      <c r="E266">
        <v>2.8E-3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1.66E-2</v>
      </c>
      <c r="E267">
        <v>2.8E-3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1.66E-2</v>
      </c>
      <c r="E268">
        <v>2.8E-3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1.66E-2</v>
      </c>
      <c r="E269">
        <v>2.8E-3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1.66E-2</v>
      </c>
      <c r="E270">
        <v>2.8E-3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1.66E-2</v>
      </c>
      <c r="E271">
        <v>2.8E-3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1.66E-2</v>
      </c>
      <c r="E272">
        <v>2.8E-3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1.66E-2</v>
      </c>
      <c r="E273">
        <v>2.8E-3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1.66E-2</v>
      </c>
      <c r="E274">
        <v>2.8E-3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1.66E-2</v>
      </c>
      <c r="E275">
        <v>2.8E-3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1.66E-2</v>
      </c>
      <c r="E276">
        <v>2.8E-3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1.66E-2</v>
      </c>
      <c r="E277">
        <v>2.8E-3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1.66E-2</v>
      </c>
      <c r="E278">
        <v>2.8E-3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1.66E-2</v>
      </c>
      <c r="E279">
        <v>2.8E-3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1.66E-2</v>
      </c>
      <c r="E280">
        <v>2.8E-3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1.66E-2</v>
      </c>
      <c r="E281">
        <v>2.8E-3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1.66E-2</v>
      </c>
      <c r="E282">
        <v>2.8E-3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1.66E-2</v>
      </c>
      <c r="E283">
        <v>2.8E-3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1.66E-2</v>
      </c>
      <c r="E284">
        <v>2.8E-3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1.66E-2</v>
      </c>
      <c r="E285">
        <v>2.8E-3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1.66E-2</v>
      </c>
      <c r="E286">
        <v>2.8E-3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1.66E-2</v>
      </c>
      <c r="E287">
        <v>2.8E-3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1.66E-2</v>
      </c>
      <c r="E288">
        <v>2.8E-3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1.66E-2</v>
      </c>
      <c r="E289">
        <v>2.8E-3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1.66E-2</v>
      </c>
      <c r="E290">
        <v>2.8E-3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1.66E-2</v>
      </c>
      <c r="E291">
        <v>2.8E-3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1.66E-2</v>
      </c>
      <c r="E292">
        <v>2.8E-3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1.66E-2</v>
      </c>
      <c r="E293">
        <v>2.8E-3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1.66E-2</v>
      </c>
      <c r="E294">
        <v>2.8E-3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1.66E-2</v>
      </c>
      <c r="E295">
        <v>2.8E-3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1.66E-2</v>
      </c>
      <c r="E296">
        <v>2.8E-3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1.66E-2</v>
      </c>
      <c r="E297">
        <v>2.8E-3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1.66E-2</v>
      </c>
      <c r="E298">
        <v>2.8E-3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1.66E-2</v>
      </c>
      <c r="E299">
        <v>2.8E-3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1.66E-2</v>
      </c>
      <c r="E300">
        <v>2.8E-3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1.66E-2</v>
      </c>
      <c r="E301">
        <v>2.8E-3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1.66E-2</v>
      </c>
      <c r="E302">
        <v>2.8E-3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1.66E-2</v>
      </c>
      <c r="E303">
        <v>2.8E-3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2026-03-24T13:23:28Z</dcterms:modified>
</cp:coreProperties>
</file>