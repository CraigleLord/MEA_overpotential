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75k\"/>
    </mc:Choice>
  </mc:AlternateContent>
  <xr:revisionPtr revIDLastSave="0" documentId="13_ncr:1_{AE4ABF83-F2FE-46EA-B174-CCD5262F84F5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<sst xmlns="http://schemas.openxmlformats.org/spreadsheetml/2006/main" count="40" uniqueCount="36">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</sst>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G103" zoomScale="85" zoomScaleNormal="85" workbookViewId="0">
      <selection activeCell="S109" sqref="S109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-0.55458700000000005</v>
      </c>
      <c r="AC3" t="s">
        <v>30</v>
      </c>
    </row>
    <row r="4" spans="1:29" x14ac:dyDescent="0.3">
      <c r="A4">
        <v>6.6000000000000003E-2</v>
      </c>
      <c r="B4">
        <v>0.84599999999999997</v>
      </c>
      <c r="C4">
        <f>A4*B4</f>
        <v>5.5836000000000004E-2</v>
      </c>
      <c r="D4">
        <v>1.6799999999999999E-2</v>
      </c>
      <c r="E4" s="1">
        <v>1.7100000000000001E-2</v>
      </c>
      <c r="F4">
        <f>A4*200</f>
        <v>13.200000000000001</v>
      </c>
      <c r="G4">
        <f>-B4</f>
        <v>-0.84599999999999997</v>
      </c>
      <c r="H4">
        <f t="shared" ref="H4" si="0">-C4*200</f>
        <v>-11.167200000000001</v>
      </c>
      <c r="I4">
        <v>1</v>
      </c>
      <c r="J4">
        <f>LN(F4/1000)</f>
        <v>-4.3275384493898121</v>
      </c>
      <c r="K4">
        <f>((-G4)-$N$2)</f>
        <v>-0.37572515177521748</v>
      </c>
      <c r="L4">
        <v>1</v>
      </c>
      <c r="M4">
        <f>-1*($S$4+($S$5*J4))</f>
        <v>0.35513104202282819</v>
      </c>
      <c r="N4">
        <f>D4*A4</f>
        <v>1.1088000000000001E-3</v>
      </c>
      <c r="O4">
        <f>E4*A4</f>
        <v>1.1286E-3</v>
      </c>
      <c r="P4">
        <f>-K4-M4-N4-O4</f>
        <v>1.8356709752389289E-2</v>
      </c>
      <c r="R4" s="2" t="s">
        <v>16</v>
      </c>
      <c r="S4">
        <v>-0.52766999999999997</v>
      </c>
      <c r="V4">
        <v>-6</v>
      </c>
      <c r="W4">
        <f>V4*$S$5+$S$4</f>
        <v>-0.28844999999999998</v>
      </c>
      <c r="Y4">
        <v>0</v>
      </c>
      <c r="Z4">
        <f>$AB$4*Y4+$AB$3</f>
        <v>-0.55458700000000005</v>
      </c>
      <c r="AB4">
        <v>14.55242</v>
      </c>
      <c r="AC4" t="s">
        <v>31</v>
      </c>
    </row>
    <row r="5" spans="1:29" x14ac:dyDescent="0.3">
      <c r="A5">
        <v>0.11699999999999999</v>
      </c>
      <c r="B5">
        <v>0.83699999999999997</v>
      </c>
      <c r="C5">
        <f t="shared" ref="C5:C68" si="1">A5*B5</f>
        <v>9.7928999999999988E-2</v>
      </c>
      <c r="D5">
        <v>1.6799999999999999E-2</v>
      </c>
      <c r="E5" s="1">
        <v>1.7100000000000001E-2</v>
      </c>
      <c r="F5">
        <f t="shared" ref="F5:F68" si="2">A5*200</f>
        <v>23.4</v>
      </c>
      <c r="G5">
        <f t="shared" ref="G5:G68" si="3">-B5</f>
        <v>-0.83699999999999997</v>
      </c>
      <c r="H5">
        <f t="shared" ref="H5:H68" si="4">-C5*200</f>
        <v>-19.585799999999999</v>
      </c>
      <c r="I5">
        <v>1</v>
      </c>
      <c r="J5">
        <f t="shared" ref="J5:J68" si="5">LN(F5/1000)</f>
        <v>-3.7550192566184815</v>
      </c>
      <c r="K5">
        <f t="shared" ref="K5:K68" si="6">((-G5)-$N$2)</f>
        <v>-0.38472515177521749</v>
      </c>
      <c r="L5">
        <v>1</v>
      </c>
      <c r="M5">
        <f t="shared" ref="M5:M68" si="7">-1*($S$4+($S$5*J5))</f>
        <v>0.37795738223862108</v>
      </c>
      <c r="N5">
        <f t="shared" ref="N5:N6" si="8">D5*A5</f>
        <v>1.9655999999999996E-3</v>
      </c>
      <c r="O5">
        <f>E5*A5</f>
        <v>2.0006999999999998E-3</v>
      </c>
      <c r="P5">
        <f>-K5-M5-N5-O5</f>
        <v>2.8014695365964136E-3</v>
      </c>
      <c r="R5" s="2" t="s">
        <v>17</v>
      </c>
      <c r="S5">
        <v>-3.9870000000000003E-2</v>
      </c>
      <c r="V5">
        <v>-5.9</v>
      </c>
      <c r="W5">
        <f t="shared" ref="W5:W68" si="9">V5*$S$5+$S$4</f>
        <v>-0.29243699999999995</v>
      </c>
      <c r="Y5">
        <v>0.01</v>
      </c>
      <c r="Z5">
        <f t="shared" ref="Z5:Z31" si="10">$AB$4*Y5+$AB$3</f>
        <v>-0.40906280000000006</v>
      </c>
    </row>
    <row r="6" spans="1:29" x14ac:dyDescent="0.3">
      <c r="A6">
        <v>0.16800000000000001</v>
      </c>
      <c r="B6">
        <v>0.82799999999999996</v>
      </c>
      <c r="C6">
        <f t="shared" si="1"/>
        <v>0.13910400000000001</v>
      </c>
      <c r="D6">
        <v>1.6799999999999999E-2</v>
      </c>
      <c r="E6" s="1">
        <v>1.7100000000000001E-2</v>
      </c>
      <c r="F6">
        <f t="shared" si="2"/>
        <v>33.6</v>
      </c>
      <c r="G6">
        <f t="shared" si="3"/>
        <v>-0.82799999999999996</v>
      </c>
      <c r="H6">
        <f t="shared" si="4"/>
        <v>-27.820800000000002</v>
      </c>
      <c r="I6">
        <v>1</v>
      </c>
      <c r="J6">
        <f t="shared" si="5"/>
        <v>-3.3932292120129786</v>
      </c>
      <c r="K6">
        <f t="shared" si="6"/>
        <v>-0.3937251517752175</v>
      </c>
      <c r="L6">
        <v>1</v>
      </c>
      <c r="M6">
        <f t="shared" si="7"/>
        <v>0.39238195131704251</v>
      </c>
      <c r="N6">
        <f t="shared" si="8"/>
        <v>2.8224000000000001E-3</v>
      </c>
      <c r="O6">
        <f t="shared" ref="O6:O69" si="11">E6*A6</f>
        <v>2.8728000000000004E-3</v>
      </c>
      <c r="P6">
        <f t="shared" ref="P6:P69" si="12">-K6-M6-N6-O6</f>
        <v>-4.3519995418250142E-3</v>
      </c>
      <c r="V6">
        <v>-5.8</v>
      </c>
      <c r="W6">
        <f t="shared" si="9"/>
        <v>-0.29642399999999997</v>
      </c>
      <c r="Y6">
        <v>0.02</v>
      </c>
      <c r="Z6">
        <f t="shared" si="10"/>
        <v>-0.26353860000000007</v>
      </c>
      <c r="AB6" t="s">
        <v>32</v>
      </c>
    </row>
    <row r="7" spans="1:29" x14ac:dyDescent="0.3">
      <c r="A7">
        <v>0.22</v>
      </c>
      <c r="B7">
        <v>0.81799999999999995</v>
      </c>
      <c r="C7">
        <f t="shared" si="1"/>
        <v>0.17995999999999998</v>
      </c>
      <c r="D7">
        <v>1.6799999999999999E-2</v>
      </c>
      <c r="E7" s="1">
        <v>1.7100000000000001E-2</v>
      </c>
      <c r="F7">
        <f t="shared" si="2"/>
        <v>44</v>
      </c>
      <c r="G7">
        <f t="shared" si="3"/>
        <v>-0.81799999999999995</v>
      </c>
      <c r="H7">
        <f t="shared" si="4"/>
        <v>-35.991999999999997</v>
      </c>
      <c r="I7">
        <v>1</v>
      </c>
      <c r="J7">
        <f t="shared" si="5"/>
        <v>-3.1235656450638758</v>
      </c>
      <c r="K7">
        <f t="shared" si="6"/>
        <v>-0.40372515177521751</v>
      </c>
      <c r="L7">
        <v>1</v>
      </c>
      <c r="M7">
        <f t="shared" si="7"/>
        <v>0.40313343773130322</v>
      </c>
      <c r="N7">
        <f t="shared" ref="N7:N70" si="13">D7*A7</f>
        <v>3.6959999999999996E-3</v>
      </c>
      <c r="O7">
        <f t="shared" si="11"/>
        <v>3.7620000000000002E-3</v>
      </c>
      <c r="P7">
        <f t="shared" si="12"/>
        <v>-6.8662859560857173E-3</v>
      </c>
      <c r="V7">
        <v>-5.7</v>
      </c>
      <c r="W7">
        <f t="shared" si="9"/>
        <v>-0.30041099999999998</v>
      </c>
      <c r="Y7">
        <v>0.03</v>
      </c>
      <c r="Z7">
        <f t="shared" si="10"/>
        <v>-0.11801440000000007</v>
      </c>
      <c r="AB7" t="s">
        <v>33</v>
      </c>
      <c r="AC7">
        <f>-AB3/AB4</f>
        <v>3.8109606512181482E-2</v>
      </c>
    </row>
    <row r="8" spans="1:29" x14ac:dyDescent="0.3">
      <c r="A8">
        <v>0.27300000000000002</v>
      </c>
      <c r="B8">
        <v>0.81100000000000005</v>
      </c>
      <c r="C8">
        <f t="shared" si="1"/>
        <v>0.22140300000000004</v>
      </c>
      <c r="D8">
        <v>1.6799999999999999E-2</v>
      </c>
      <c r="E8" s="1">
        <v>1.7100000000000001E-2</v>
      </c>
      <c r="F8">
        <f t="shared" si="2"/>
        <v>54.6</v>
      </c>
      <c r="G8">
        <f t="shared" si="3"/>
        <v>-0.81100000000000005</v>
      </c>
      <c r="H8">
        <f t="shared" si="4"/>
        <v>-44.280600000000007</v>
      </c>
      <c r="I8">
        <v>1</v>
      </c>
      <c r="J8">
        <f t="shared" si="5"/>
        <v>-2.9077213962312776</v>
      </c>
      <c r="K8">
        <f t="shared" si="6"/>
        <v>-0.4107251517752174</v>
      </c>
      <c r="L8">
        <v>1</v>
      </c>
      <c r="M8">
        <f t="shared" si="7"/>
        <v>0.41173914793225891</v>
      </c>
      <c r="N8">
        <f t="shared" si="13"/>
        <v>4.5864E-3</v>
      </c>
      <c r="O8">
        <f t="shared" si="11"/>
        <v>4.6683000000000002E-3</v>
      </c>
      <c r="P8">
        <f t="shared" si="12"/>
        <v>-1.0268696157041509E-2</v>
      </c>
      <c r="V8">
        <v>-5.6</v>
      </c>
      <c r="W8">
        <f t="shared" si="9"/>
        <v>-0.30439799999999995</v>
      </c>
      <c r="Y8">
        <v>0.04</v>
      </c>
      <c r="Z8">
        <f t="shared" si="10"/>
        <v>2.7509799999999918E-2</v>
      </c>
    </row>
    <row r="9" spans="1:29" x14ac:dyDescent="0.3">
      <c r="A9">
        <v>0.32400000000000001</v>
      </c>
      <c r="B9">
        <v>0.80300000000000005</v>
      </c>
      <c r="C9">
        <f t="shared" si="1"/>
        <v>0.26017200000000001</v>
      </c>
      <c r="D9">
        <v>1.6799999999999999E-2</v>
      </c>
      <c r="E9" s="1">
        <v>1.7100000000000001E-2</v>
      </c>
      <c r="F9">
        <f t="shared" si="2"/>
        <v>64.8</v>
      </c>
      <c r="G9">
        <f t="shared" si="3"/>
        <v>-0.80300000000000005</v>
      </c>
      <c r="H9">
        <f t="shared" si="4"/>
        <v>-52.034400000000005</v>
      </c>
      <c r="I9">
        <v>1</v>
      </c>
      <c r="J9">
        <f t="shared" si="5"/>
        <v>-2.7364496756239083</v>
      </c>
      <c r="K9">
        <f t="shared" si="6"/>
        <v>-0.41872515177521741</v>
      </c>
      <c r="L9">
        <v>1</v>
      </c>
      <c r="M9">
        <f t="shared" si="7"/>
        <v>0.41856775143287472</v>
      </c>
      <c r="N9">
        <f t="shared" si="13"/>
        <v>5.4431999999999996E-3</v>
      </c>
      <c r="O9">
        <f t="shared" si="11"/>
        <v>5.5404E-3</v>
      </c>
      <c r="P9">
        <f t="shared" si="12"/>
        <v>-1.0826199657657316E-2</v>
      </c>
      <c r="V9">
        <v>-5.5</v>
      </c>
      <c r="W9">
        <f t="shared" si="9"/>
        <v>-0.30838499999999996</v>
      </c>
      <c r="Y9">
        <v>0.05</v>
      </c>
      <c r="Z9">
        <f t="shared" si="10"/>
        <v>0.17303400000000002</v>
      </c>
      <c r="AB9" t="s">
        <v>35</v>
      </c>
      <c r="AC9">
        <v>3.2379999999999999E-2</v>
      </c>
    </row>
    <row r="10" spans="1:29" x14ac:dyDescent="0.3">
      <c r="A10">
        <v>0.375</v>
      </c>
      <c r="B10">
        <v>0.79700000000000004</v>
      </c>
      <c r="C10">
        <f t="shared" si="1"/>
        <v>0.298875</v>
      </c>
      <c r="D10">
        <v>1.6799999999999999E-2</v>
      </c>
      <c r="E10" s="1">
        <v>1.7100000000000001E-2</v>
      </c>
      <c r="F10">
        <f t="shared" si="2"/>
        <v>75</v>
      </c>
      <c r="G10">
        <f t="shared" si="3"/>
        <v>-0.79700000000000004</v>
      </c>
      <c r="H10">
        <f t="shared" si="4"/>
        <v>-59.774999999999999</v>
      </c>
      <c r="I10">
        <v>1</v>
      </c>
      <c r="J10">
        <f t="shared" si="5"/>
        <v>-2.5902671654458267</v>
      </c>
      <c r="K10">
        <f t="shared" si="6"/>
        <v>-0.42472515177521741</v>
      </c>
      <c r="L10">
        <v>1</v>
      </c>
      <c r="M10">
        <f t="shared" si="7"/>
        <v>0.42439604811367487</v>
      </c>
      <c r="N10">
        <f t="shared" si="13"/>
        <v>6.3E-3</v>
      </c>
      <c r="O10">
        <f t="shared" si="11"/>
        <v>6.4124999999999998E-3</v>
      </c>
      <c r="P10">
        <f t="shared" si="12"/>
        <v>-1.238339633845746E-2</v>
      </c>
      <c r="V10">
        <v>-5.4</v>
      </c>
      <c r="W10">
        <f t="shared" si="9"/>
        <v>-0.31237199999999998</v>
      </c>
      <c r="Y10">
        <v>0.06</v>
      </c>
      <c r="Z10">
        <f t="shared" si="10"/>
        <v>0.3185581999999999</v>
      </c>
    </row>
    <row r="11" spans="1:29" x14ac:dyDescent="0.3">
      <c r="A11">
        <v>0.42599999999999999</v>
      </c>
      <c r="B11">
        <v>0.79100000000000004</v>
      </c>
      <c r="C11">
        <f t="shared" si="1"/>
        <v>0.33696599999999999</v>
      </c>
      <c r="D11">
        <v>1.6799999999999999E-2</v>
      </c>
      <c r="E11" s="1">
        <v>1.7100000000000001E-2</v>
      </c>
      <c r="F11">
        <f t="shared" si="2"/>
        <v>85.2</v>
      </c>
      <c r="G11">
        <f t="shared" si="3"/>
        <v>-0.79100000000000004</v>
      </c>
      <c r="H11">
        <f t="shared" si="4"/>
        <v>-67.393199999999993</v>
      </c>
      <c r="I11">
        <v>1</v>
      </c>
      <c r="J11">
        <f t="shared" si="5"/>
        <v>-2.4627538451468669</v>
      </c>
      <c r="K11">
        <f t="shared" si="6"/>
        <v>-0.43072515177521742</v>
      </c>
      <c r="L11">
        <v>1</v>
      </c>
      <c r="M11">
        <f t="shared" si="7"/>
        <v>0.4294800041939944</v>
      </c>
      <c r="N11">
        <f t="shared" si="13"/>
        <v>7.1567999999999996E-3</v>
      </c>
      <c r="O11">
        <f t="shared" si="11"/>
        <v>7.2846000000000004E-3</v>
      </c>
      <c r="P11">
        <f t="shared" si="12"/>
        <v>-1.3196252418776984E-2</v>
      </c>
      <c r="V11">
        <v>-5.3</v>
      </c>
      <c r="W11">
        <f t="shared" si="9"/>
        <v>-0.31635899999999995</v>
      </c>
      <c r="Y11">
        <v>7.0000000000000007E-2</v>
      </c>
      <c r="Z11">
        <f t="shared" si="10"/>
        <v>0.46408240000000001</v>
      </c>
      <c r="AB11" t="s">
        <v>34</v>
      </c>
      <c r="AC11">
        <f>AC7-AC9</f>
        <v>5.7296065121814829E-3</v>
      </c>
    </row>
    <row r="12" spans="1:29" x14ac:dyDescent="0.3">
      <c r="A12">
        <v>0.47899999999999998</v>
      </c>
      <c r="B12">
        <v>0.78500000000000003</v>
      </c>
      <c r="C12">
        <f t="shared" si="1"/>
        <v>0.37601499999999999</v>
      </c>
      <c r="D12">
        <v>1.6799999999999999E-2</v>
      </c>
      <c r="E12" s="1">
        <v>1.7100000000000001E-2</v>
      </c>
      <c r="F12">
        <f t="shared" si="2"/>
        <v>95.8</v>
      </c>
      <c r="G12">
        <f t="shared" si="3"/>
        <v>-0.78500000000000003</v>
      </c>
      <c r="H12">
        <f t="shared" si="4"/>
        <v>-75.203000000000003</v>
      </c>
      <c r="I12">
        <v>1</v>
      </c>
      <c r="J12">
        <f t="shared" si="5"/>
        <v>-2.3454925940053224</v>
      </c>
      <c r="K12">
        <f t="shared" si="6"/>
        <v>-0.43672515177521742</v>
      </c>
      <c r="L12">
        <v>1</v>
      </c>
      <c r="M12">
        <f t="shared" si="7"/>
        <v>0.43415521027700776</v>
      </c>
      <c r="N12">
        <f t="shared" si="13"/>
        <v>8.0471999999999991E-3</v>
      </c>
      <c r="O12">
        <f t="shared" si="11"/>
        <v>8.1908999999999992E-3</v>
      </c>
      <c r="P12">
        <f t="shared" si="12"/>
        <v>-1.3668158501790338E-2</v>
      </c>
      <c r="V12">
        <v>-5.2</v>
      </c>
      <c r="W12">
        <f t="shared" si="9"/>
        <v>-0.32034599999999996</v>
      </c>
      <c r="Y12">
        <v>0.08</v>
      </c>
      <c r="Z12">
        <f t="shared" si="10"/>
        <v>0.60960659999999989</v>
      </c>
      <c r="AC12">
        <f>AC11*3</f>
        <v>1.7188819536544449E-2</v>
      </c>
    </row>
    <row r="13" spans="1:29" x14ac:dyDescent="0.3">
      <c r="A13">
        <v>0.53500000000000003</v>
      </c>
      <c r="B13">
        <v>0.77900000000000003</v>
      </c>
      <c r="C13">
        <f t="shared" si="1"/>
        <v>0.41676500000000005</v>
      </c>
      <c r="D13">
        <v>1.6799999999999999E-2</v>
      </c>
      <c r="E13" s="1">
        <v>1.7100000000000001E-2</v>
      </c>
      <c r="F13">
        <f t="shared" si="2"/>
        <v>107</v>
      </c>
      <c r="G13">
        <f t="shared" si="3"/>
        <v>-0.77900000000000003</v>
      </c>
      <c r="H13">
        <f t="shared" si="4"/>
        <v>-83.353000000000009</v>
      </c>
      <c r="I13">
        <v>1</v>
      </c>
      <c r="J13">
        <f t="shared" si="5"/>
        <v>-2.234926444520231</v>
      </c>
      <c r="K13">
        <f t="shared" si="6"/>
        <v>-0.44272515177521743</v>
      </c>
      <c r="L13">
        <v>1</v>
      </c>
      <c r="M13">
        <f t="shared" si="7"/>
        <v>0.43856348265697837</v>
      </c>
      <c r="N13">
        <f t="shared" si="13"/>
        <v>8.9879999999999995E-3</v>
      </c>
      <c r="O13">
        <f t="shared" si="11"/>
        <v>9.1485000000000004E-3</v>
      </c>
      <c r="P13">
        <f t="shared" si="12"/>
        <v>-1.3974830881760936E-2</v>
      </c>
      <c r="V13">
        <v>-5.0999999999999996</v>
      </c>
      <c r="W13">
        <f t="shared" si="9"/>
        <v>-0.32433299999999998</v>
      </c>
      <c r="Y13">
        <v>0.09</v>
      </c>
      <c r="Z13">
        <f t="shared" si="10"/>
        <v>0.75513079999999977</v>
      </c>
    </row>
    <row r="14" spans="1:29" x14ac:dyDescent="0.3">
      <c r="A14">
        <v>0.59</v>
      </c>
      <c r="B14">
        <v>0.77400000000000002</v>
      </c>
      <c r="C14">
        <f t="shared" si="1"/>
        <v>0.45666000000000001</v>
      </c>
      <c r="D14">
        <v>1.6799999999999999E-2</v>
      </c>
      <c r="E14" s="1">
        <v>1.7100000000000001E-2</v>
      </c>
      <c r="F14">
        <f t="shared" si="2"/>
        <v>118</v>
      </c>
      <c r="G14">
        <f t="shared" si="3"/>
        <v>-0.77400000000000002</v>
      </c>
      <c r="H14">
        <f t="shared" si="4"/>
        <v>-91.332000000000008</v>
      </c>
      <c r="I14">
        <v>1</v>
      </c>
      <c r="J14">
        <f t="shared" si="5"/>
        <v>-2.1370706545164722</v>
      </c>
      <c r="K14">
        <f t="shared" si="6"/>
        <v>-0.44772515177521743</v>
      </c>
      <c r="L14">
        <v>1</v>
      </c>
      <c r="M14">
        <f t="shared" si="7"/>
        <v>0.44246499300442821</v>
      </c>
      <c r="N14">
        <f t="shared" si="13"/>
        <v>9.9119999999999989E-3</v>
      </c>
      <c r="O14">
        <f t="shared" si="11"/>
        <v>1.0088999999999999E-2</v>
      </c>
      <c r="P14">
        <f t="shared" si="12"/>
        <v>-1.4740841229210773E-2</v>
      </c>
      <c r="V14">
        <v>-5</v>
      </c>
      <c r="W14">
        <f t="shared" si="9"/>
        <v>-0.32831999999999995</v>
      </c>
      <c r="Y14">
        <v>0.1</v>
      </c>
      <c r="Z14">
        <f t="shared" si="10"/>
        <v>0.90065500000000009</v>
      </c>
    </row>
    <row r="15" spans="1:29" x14ac:dyDescent="0.3">
      <c r="A15">
        <v>0.64</v>
      </c>
      <c r="B15">
        <v>0.76800000000000002</v>
      </c>
      <c r="C15">
        <f t="shared" si="1"/>
        <v>0.49152000000000001</v>
      </c>
      <c r="D15">
        <v>1.6799999999999999E-2</v>
      </c>
      <c r="E15" s="1">
        <v>1.7100000000000001E-2</v>
      </c>
      <c r="F15">
        <f t="shared" si="2"/>
        <v>128</v>
      </c>
      <c r="G15">
        <f t="shared" si="3"/>
        <v>-0.76800000000000002</v>
      </c>
      <c r="H15">
        <f t="shared" si="4"/>
        <v>-98.304000000000002</v>
      </c>
      <c r="I15">
        <v>1</v>
      </c>
      <c r="J15">
        <f t="shared" si="5"/>
        <v>-2.0557250150625199</v>
      </c>
      <c r="K15">
        <f t="shared" si="6"/>
        <v>-0.45372515177521744</v>
      </c>
      <c r="L15">
        <v>1</v>
      </c>
      <c r="M15">
        <f t="shared" si="7"/>
        <v>0.44570824364945727</v>
      </c>
      <c r="N15">
        <f t="shared" si="13"/>
        <v>1.0751999999999999E-2</v>
      </c>
      <c r="O15">
        <f t="shared" si="11"/>
        <v>1.0944000000000001E-2</v>
      </c>
      <c r="P15">
        <f t="shared" si="12"/>
        <v>-1.3679091874239831E-2</v>
      </c>
      <c r="V15">
        <v>-4.9000000000000004</v>
      </c>
      <c r="W15">
        <f t="shared" si="9"/>
        <v>-0.33230699999999991</v>
      </c>
      <c r="Y15">
        <v>0.11</v>
      </c>
      <c r="Z15">
        <f t="shared" si="10"/>
        <v>1.0461792000000001</v>
      </c>
    </row>
    <row r="16" spans="1:29" x14ac:dyDescent="0.3">
      <c r="A16">
        <v>0.69</v>
      </c>
      <c r="B16">
        <v>0.76400000000000001</v>
      </c>
      <c r="C16">
        <f t="shared" si="1"/>
        <v>0.52715999999999996</v>
      </c>
      <c r="D16">
        <v>1.6799999999999999E-2</v>
      </c>
      <c r="E16" s="1">
        <v>1.7100000000000001E-2</v>
      </c>
      <c r="F16">
        <f t="shared" si="2"/>
        <v>138</v>
      </c>
      <c r="G16">
        <f t="shared" si="3"/>
        <v>-0.76400000000000001</v>
      </c>
      <c r="H16">
        <f t="shared" si="4"/>
        <v>-105.43199999999999</v>
      </c>
      <c r="I16">
        <v>1</v>
      </c>
      <c r="J16">
        <f t="shared" si="5"/>
        <v>-1.9805015938249322</v>
      </c>
      <c r="K16">
        <f t="shared" si="6"/>
        <v>-0.45772515177521744</v>
      </c>
      <c r="L16">
        <v>1</v>
      </c>
      <c r="M16">
        <f t="shared" si="7"/>
        <v>0.44870740145419991</v>
      </c>
      <c r="N16">
        <f t="shared" si="13"/>
        <v>1.1591999999999998E-2</v>
      </c>
      <c r="O16">
        <f t="shared" si="11"/>
        <v>1.1798999999999999E-2</v>
      </c>
      <c r="P16">
        <f t="shared" si="12"/>
        <v>-1.437324967898246E-2</v>
      </c>
      <c r="V16">
        <v>-4.8</v>
      </c>
      <c r="W16">
        <f t="shared" si="9"/>
        <v>-0.33629399999999998</v>
      </c>
      <c r="Y16">
        <v>0.12</v>
      </c>
      <c r="Z16">
        <f t="shared" si="10"/>
        <v>1.1917033999999997</v>
      </c>
    </row>
    <row r="17" spans="1:26" x14ac:dyDescent="0.3">
      <c r="A17">
        <v>0.745</v>
      </c>
      <c r="B17">
        <v>0.75900000000000001</v>
      </c>
      <c r="C17">
        <f t="shared" si="1"/>
        <v>0.56545500000000004</v>
      </c>
      <c r="D17">
        <v>1.6799999999999999E-2</v>
      </c>
      <c r="E17" s="1">
        <v>1.7100000000000001E-2</v>
      </c>
      <c r="F17">
        <f t="shared" si="2"/>
        <v>149</v>
      </c>
      <c r="G17">
        <f t="shared" si="3"/>
        <v>-0.75900000000000001</v>
      </c>
      <c r="H17">
        <f t="shared" si="4"/>
        <v>-113.09100000000001</v>
      </c>
      <c r="I17">
        <v>1</v>
      </c>
      <c r="J17">
        <f t="shared" si="5"/>
        <v>-1.9038089730366781</v>
      </c>
      <c r="K17">
        <f t="shared" si="6"/>
        <v>-0.46272515177521745</v>
      </c>
      <c r="L17">
        <v>1</v>
      </c>
      <c r="M17">
        <f t="shared" si="7"/>
        <v>0.45176513624502762</v>
      </c>
      <c r="N17">
        <f t="shared" si="13"/>
        <v>1.2515999999999999E-2</v>
      </c>
      <c r="O17">
        <f t="shared" si="11"/>
        <v>1.2739500000000001E-2</v>
      </c>
      <c r="P17">
        <f t="shared" si="12"/>
        <v>-1.4295484469810174E-2</v>
      </c>
      <c r="V17">
        <v>-4.7</v>
      </c>
      <c r="W17">
        <f t="shared" si="9"/>
        <v>-0.34028099999999994</v>
      </c>
      <c r="Y17">
        <v>0.13</v>
      </c>
      <c r="Z17">
        <f t="shared" si="10"/>
        <v>1.3372275999999998</v>
      </c>
    </row>
    <row r="18" spans="1:26" x14ac:dyDescent="0.3">
      <c r="A18">
        <v>0.79500000000000004</v>
      </c>
      <c r="B18">
        <v>0.754</v>
      </c>
      <c r="C18">
        <f t="shared" si="1"/>
        <v>0.59943000000000002</v>
      </c>
      <c r="D18">
        <v>1.6799999999999999E-2</v>
      </c>
      <c r="E18" s="1">
        <v>1.7100000000000001E-2</v>
      </c>
      <c r="F18">
        <f t="shared" si="2"/>
        <v>159</v>
      </c>
      <c r="G18">
        <f t="shared" si="3"/>
        <v>-0.754</v>
      </c>
      <c r="H18">
        <f t="shared" si="4"/>
        <v>-119.88600000000001</v>
      </c>
      <c r="I18">
        <v>1</v>
      </c>
      <c r="J18">
        <f t="shared" si="5"/>
        <v>-1.8388510767619055</v>
      </c>
      <c r="K18">
        <f t="shared" si="6"/>
        <v>-0.46772515177521745</v>
      </c>
      <c r="L18">
        <v>1</v>
      </c>
      <c r="M18">
        <f t="shared" si="7"/>
        <v>0.45435500756950281</v>
      </c>
      <c r="N18">
        <f t="shared" si="13"/>
        <v>1.3356E-2</v>
      </c>
      <c r="O18">
        <f t="shared" si="11"/>
        <v>1.3594500000000001E-2</v>
      </c>
      <c r="P18">
        <f t="shared" si="12"/>
        <v>-1.358035579428536E-2</v>
      </c>
      <c r="V18">
        <v>-4.5999999999999996</v>
      </c>
      <c r="W18">
        <f t="shared" si="9"/>
        <v>-0.34426799999999996</v>
      </c>
      <c r="Y18">
        <v>0.14000000000000001</v>
      </c>
      <c r="Z18">
        <f t="shared" si="10"/>
        <v>1.4827518</v>
      </c>
    </row>
    <row r="19" spans="1:26" x14ac:dyDescent="0.3">
      <c r="A19">
        <v>0.84499999999999997</v>
      </c>
      <c r="B19">
        <v>0.75</v>
      </c>
      <c r="C19">
        <f t="shared" si="1"/>
        <v>0.63375000000000004</v>
      </c>
      <c r="D19">
        <v>1.6799999999999999E-2</v>
      </c>
      <c r="E19" s="1">
        <v>1.7100000000000001E-2</v>
      </c>
      <c r="F19">
        <f t="shared" si="2"/>
        <v>169</v>
      </c>
      <c r="G19">
        <f t="shared" si="3"/>
        <v>-0.75</v>
      </c>
      <c r="H19">
        <f t="shared" si="4"/>
        <v>-126.75</v>
      </c>
      <c r="I19">
        <v>1</v>
      </c>
      <c r="J19">
        <f t="shared" si="5"/>
        <v>-1.7778565640590636</v>
      </c>
      <c r="K19">
        <f t="shared" si="6"/>
        <v>-0.47172515177521745</v>
      </c>
      <c r="L19">
        <v>1</v>
      </c>
      <c r="M19">
        <f t="shared" si="7"/>
        <v>0.45678685879096509</v>
      </c>
      <c r="N19">
        <f t="shared" si="13"/>
        <v>1.4195999999999999E-2</v>
      </c>
      <c r="O19">
        <f t="shared" si="11"/>
        <v>1.4449500000000001E-2</v>
      </c>
      <c r="P19">
        <f t="shared" si="12"/>
        <v>-1.3707207015747633E-2</v>
      </c>
      <c r="V19">
        <v>-4.5000000000000098</v>
      </c>
      <c r="W19">
        <f t="shared" si="9"/>
        <v>-0.34825499999999954</v>
      </c>
      <c r="Y19">
        <v>0.15</v>
      </c>
      <c r="Z19">
        <f t="shared" si="10"/>
        <v>1.6282759999999996</v>
      </c>
    </row>
    <row r="20" spans="1:26" x14ac:dyDescent="0.3">
      <c r="A20">
        <v>0.9</v>
      </c>
      <c r="B20">
        <v>0.746</v>
      </c>
      <c r="C20">
        <f t="shared" si="1"/>
        <v>0.6714</v>
      </c>
      <c r="D20">
        <v>1.6799999999999999E-2</v>
      </c>
      <c r="E20" s="1">
        <v>1.7100000000000001E-2</v>
      </c>
      <c r="F20">
        <f t="shared" si="2"/>
        <v>180</v>
      </c>
      <c r="G20">
        <f t="shared" si="3"/>
        <v>-0.746</v>
      </c>
      <c r="H20">
        <f t="shared" si="4"/>
        <v>-134.28</v>
      </c>
      <c r="I20">
        <v>1</v>
      </c>
      <c r="J20">
        <f t="shared" si="5"/>
        <v>-1.7147984280919266</v>
      </c>
      <c r="K20">
        <f t="shared" si="6"/>
        <v>-0.47572515177521746</v>
      </c>
      <c r="L20">
        <v>1</v>
      </c>
      <c r="M20">
        <f t="shared" si="7"/>
        <v>0.45930098667197483</v>
      </c>
      <c r="N20">
        <f t="shared" si="13"/>
        <v>1.512E-2</v>
      </c>
      <c r="O20">
        <f t="shared" si="11"/>
        <v>1.5390000000000001E-2</v>
      </c>
      <c r="P20">
        <f t="shared" si="12"/>
        <v>-1.4085834896757373E-2</v>
      </c>
      <c r="V20">
        <v>-4.4000000000000101</v>
      </c>
      <c r="W20">
        <f t="shared" si="9"/>
        <v>-0.35224199999999956</v>
      </c>
      <c r="Y20">
        <v>0.16</v>
      </c>
      <c r="Z20">
        <f t="shared" si="10"/>
        <v>1.7738001999999997</v>
      </c>
    </row>
    <row r="21" spans="1:26" x14ac:dyDescent="0.3">
      <c r="A21">
        <v>0.95</v>
      </c>
      <c r="B21">
        <v>0.74199999999999999</v>
      </c>
      <c r="C21">
        <f t="shared" si="1"/>
        <v>0.70489999999999997</v>
      </c>
      <c r="D21">
        <v>1.6799999999999999E-2</v>
      </c>
      <c r="E21" s="1">
        <v>1.7100000000000001E-2</v>
      </c>
      <c r="F21">
        <f t="shared" si="2"/>
        <v>190</v>
      </c>
      <c r="G21">
        <f t="shared" si="3"/>
        <v>-0.74199999999999999</v>
      </c>
      <c r="H21">
        <f t="shared" si="4"/>
        <v>-140.97999999999999</v>
      </c>
      <c r="I21">
        <v>1</v>
      </c>
      <c r="J21">
        <f t="shared" si="5"/>
        <v>-1.6607312068216509</v>
      </c>
      <c r="K21">
        <f t="shared" si="6"/>
        <v>-0.47972515177521746</v>
      </c>
      <c r="L21">
        <v>1</v>
      </c>
      <c r="M21">
        <f t="shared" si="7"/>
        <v>0.46145664678402076</v>
      </c>
      <c r="N21">
        <f t="shared" si="13"/>
        <v>1.5959999999999998E-2</v>
      </c>
      <c r="O21">
        <f t="shared" si="11"/>
        <v>1.6244999999999999E-2</v>
      </c>
      <c r="P21">
        <f t="shared" si="12"/>
        <v>-1.3936495008803299E-2</v>
      </c>
      <c r="V21">
        <v>-4.3000000000000096</v>
      </c>
      <c r="W21">
        <f t="shared" si="9"/>
        <v>-0.35622899999999957</v>
      </c>
      <c r="Y21">
        <v>0.17</v>
      </c>
      <c r="Z21">
        <f t="shared" si="10"/>
        <v>1.9193243999999998</v>
      </c>
    </row>
    <row r="22" spans="1:26" x14ac:dyDescent="0.3">
      <c r="A22">
        <v>1</v>
      </c>
      <c r="B22">
        <v>0.73699999999999999</v>
      </c>
      <c r="C22">
        <f t="shared" si="1"/>
        <v>0.73699999999999999</v>
      </c>
      <c r="D22">
        <v>1.6799999999999999E-2</v>
      </c>
      <c r="E22" s="1">
        <v>1.7100000000000001E-2</v>
      </c>
      <c r="F22">
        <f t="shared" si="2"/>
        <v>200</v>
      </c>
      <c r="G22">
        <f t="shared" si="3"/>
        <v>-0.73699999999999999</v>
      </c>
      <c r="H22">
        <f t="shared" si="4"/>
        <v>-147.4</v>
      </c>
      <c r="I22">
        <v>1</v>
      </c>
      <c r="J22">
        <f t="shared" si="5"/>
        <v>-1.6094379124341003</v>
      </c>
      <c r="K22">
        <f t="shared" si="6"/>
        <v>-0.48472515177521747</v>
      </c>
      <c r="L22">
        <v>1</v>
      </c>
      <c r="M22">
        <f t="shared" si="7"/>
        <v>0.46350171043125238</v>
      </c>
      <c r="N22">
        <f t="shared" si="13"/>
        <v>1.6799999999999999E-2</v>
      </c>
      <c r="O22">
        <f t="shared" si="11"/>
        <v>1.7100000000000001E-2</v>
      </c>
      <c r="P22">
        <f t="shared" si="12"/>
        <v>-1.2676558656034911E-2</v>
      </c>
      <c r="V22">
        <v>-4.2000000000000099</v>
      </c>
      <c r="W22">
        <f t="shared" si="9"/>
        <v>-0.36021599999999954</v>
      </c>
      <c r="Y22">
        <v>0.18</v>
      </c>
      <c r="Z22">
        <f t="shared" si="10"/>
        <v>2.0648485999999995</v>
      </c>
    </row>
    <row r="23" spans="1:26" x14ac:dyDescent="0.3">
      <c r="A23">
        <v>1.06</v>
      </c>
      <c r="B23">
        <v>0.73299999999999998</v>
      </c>
      <c r="C23">
        <f t="shared" si="1"/>
        <v>0.77698</v>
      </c>
      <c r="D23">
        <v>1.6799999999999999E-2</v>
      </c>
      <c r="E23" s="1">
        <v>1.7100000000000001E-2</v>
      </c>
      <c r="F23">
        <f t="shared" si="2"/>
        <v>212</v>
      </c>
      <c r="G23">
        <f t="shared" si="3"/>
        <v>-0.73299999999999998</v>
      </c>
      <c r="H23">
        <f t="shared" si="4"/>
        <v>-155.39600000000002</v>
      </c>
      <c r="I23">
        <v>1</v>
      </c>
      <c r="J23">
        <f t="shared" si="5"/>
        <v>-1.5511690043101247</v>
      </c>
      <c r="K23">
        <f t="shared" si="6"/>
        <v>-0.48872515177521747</v>
      </c>
      <c r="L23">
        <v>1</v>
      </c>
      <c r="M23">
        <f t="shared" si="7"/>
        <v>0.46582489179815528</v>
      </c>
      <c r="N23">
        <f t="shared" si="13"/>
        <v>1.7808000000000001E-2</v>
      </c>
      <c r="O23">
        <f t="shared" si="11"/>
        <v>1.8126000000000003E-2</v>
      </c>
      <c r="P23">
        <f t="shared" si="12"/>
        <v>-1.3033740022937817E-2</v>
      </c>
      <c r="V23">
        <v>-4.1000000000000103</v>
      </c>
      <c r="W23">
        <f t="shared" si="9"/>
        <v>-0.36420299999999955</v>
      </c>
      <c r="Y23">
        <v>0.19</v>
      </c>
      <c r="Z23">
        <f t="shared" si="10"/>
        <v>2.2103728</v>
      </c>
    </row>
    <row r="24" spans="1:26" x14ac:dyDescent="0.3">
      <c r="A24">
        <v>1.1100000000000001</v>
      </c>
      <c r="B24">
        <v>0.72899999999999998</v>
      </c>
      <c r="C24">
        <f t="shared" si="1"/>
        <v>0.80919000000000008</v>
      </c>
      <c r="D24">
        <v>1.6799999999999999E-2</v>
      </c>
      <c r="E24" s="1">
        <v>1.7100000000000001E-2</v>
      </c>
      <c r="F24">
        <f t="shared" si="2"/>
        <v>222.00000000000003</v>
      </c>
      <c r="G24">
        <f t="shared" si="3"/>
        <v>-0.72899999999999998</v>
      </c>
      <c r="H24">
        <f t="shared" si="4"/>
        <v>-161.83800000000002</v>
      </c>
      <c r="I24">
        <v>1</v>
      </c>
      <c r="J24">
        <f t="shared" si="5"/>
        <v>-1.5050778971098575</v>
      </c>
      <c r="K24">
        <f t="shared" si="6"/>
        <v>-0.49272515177521747</v>
      </c>
      <c r="L24">
        <v>1</v>
      </c>
      <c r="M24">
        <f t="shared" si="7"/>
        <v>0.46766254424222997</v>
      </c>
      <c r="N24">
        <f t="shared" si="13"/>
        <v>1.8648000000000001E-2</v>
      </c>
      <c r="O24">
        <f t="shared" si="11"/>
        <v>1.8981000000000001E-2</v>
      </c>
      <c r="P24">
        <f t="shared" si="12"/>
        <v>-1.2566392467012501E-2</v>
      </c>
      <c r="V24">
        <v>-4.0000000000000098</v>
      </c>
      <c r="W24">
        <f t="shared" si="9"/>
        <v>-0.36818999999999957</v>
      </c>
      <c r="Y24">
        <v>0.2</v>
      </c>
      <c r="Z24">
        <f t="shared" si="10"/>
        <v>2.3558970000000001</v>
      </c>
    </row>
    <row r="25" spans="1:26" x14ac:dyDescent="0.3">
      <c r="A25">
        <v>1.1599999999999999</v>
      </c>
      <c r="B25">
        <v>0.72599999999999998</v>
      </c>
      <c r="C25">
        <f t="shared" si="1"/>
        <v>0.84215999999999991</v>
      </c>
      <c r="D25">
        <v>1.6799999999999999E-2</v>
      </c>
      <c r="E25" s="1">
        <v>1.7100000000000001E-2</v>
      </c>
      <c r="F25">
        <f t="shared" si="2"/>
        <v>231.99999999999997</v>
      </c>
      <c r="G25">
        <f t="shared" si="3"/>
        <v>-0.72599999999999998</v>
      </c>
      <c r="H25">
        <f t="shared" si="4"/>
        <v>-168.43199999999999</v>
      </c>
      <c r="I25">
        <v>1</v>
      </c>
      <c r="J25">
        <f t="shared" si="5"/>
        <v>-1.4610179073158271</v>
      </c>
      <c r="K25">
        <f t="shared" si="6"/>
        <v>-0.49572515177521748</v>
      </c>
      <c r="L25">
        <v>1</v>
      </c>
      <c r="M25">
        <f t="shared" si="7"/>
        <v>0.46941921603531794</v>
      </c>
      <c r="N25">
        <f t="shared" si="13"/>
        <v>1.9487999999999998E-2</v>
      </c>
      <c r="O25">
        <f t="shared" si="11"/>
        <v>1.9835999999999999E-2</v>
      </c>
      <c r="P25">
        <f t="shared" si="12"/>
        <v>-1.3018064260100465E-2</v>
      </c>
      <c r="V25">
        <v>-3.9000000000000101</v>
      </c>
      <c r="W25">
        <f t="shared" si="9"/>
        <v>-0.37217699999999954</v>
      </c>
      <c r="Y25">
        <v>0.21</v>
      </c>
      <c r="Z25">
        <f t="shared" si="10"/>
        <v>2.5014211999999998</v>
      </c>
    </row>
    <row r="26" spans="1:26" x14ac:dyDescent="0.3">
      <c r="A26">
        <v>1.21</v>
      </c>
      <c r="B26">
        <v>0.72199999999999998</v>
      </c>
      <c r="C26">
        <f t="shared" si="1"/>
        <v>0.87361999999999995</v>
      </c>
      <c r="D26">
        <v>1.6799999999999999E-2</v>
      </c>
      <c r="E26" s="1">
        <v>1.7100000000000001E-2</v>
      </c>
      <c r="F26">
        <f t="shared" si="2"/>
        <v>242</v>
      </c>
      <c r="G26">
        <f t="shared" si="3"/>
        <v>-0.72199999999999998</v>
      </c>
      <c r="H26">
        <f t="shared" si="4"/>
        <v>-174.72399999999999</v>
      </c>
      <c r="I26">
        <v>1</v>
      </c>
      <c r="J26">
        <f t="shared" si="5"/>
        <v>-1.4188175528254507</v>
      </c>
      <c r="K26">
        <f t="shared" si="6"/>
        <v>-0.49972515177521748</v>
      </c>
      <c r="L26">
        <v>1</v>
      </c>
      <c r="M26">
        <f t="shared" si="7"/>
        <v>0.47110174416884926</v>
      </c>
      <c r="N26">
        <f t="shared" si="13"/>
        <v>2.0327999999999999E-2</v>
      </c>
      <c r="O26">
        <f t="shared" si="11"/>
        <v>2.0691000000000001E-2</v>
      </c>
      <c r="P26">
        <f t="shared" si="12"/>
        <v>-1.2395592393631777E-2</v>
      </c>
      <c r="V26">
        <v>-3.80000000000001</v>
      </c>
      <c r="W26">
        <f t="shared" si="9"/>
        <v>-0.37616399999999955</v>
      </c>
      <c r="Y26">
        <v>0.22</v>
      </c>
      <c r="Z26">
        <f t="shared" si="10"/>
        <v>2.6469453999999999</v>
      </c>
    </row>
    <row r="27" spans="1:26" x14ac:dyDescent="0.3">
      <c r="A27">
        <v>1.27</v>
      </c>
      <c r="B27">
        <v>0.71799999999999997</v>
      </c>
      <c r="C27">
        <f t="shared" si="1"/>
        <v>0.91186</v>
      </c>
      <c r="D27">
        <v>1.6799999999999999E-2</v>
      </c>
      <c r="E27" s="1">
        <v>1.7100000000000001E-2</v>
      </c>
      <c r="F27">
        <f t="shared" si="2"/>
        <v>254</v>
      </c>
      <c r="G27">
        <f t="shared" si="3"/>
        <v>-0.71799999999999997</v>
      </c>
      <c r="H27">
        <f t="shared" si="4"/>
        <v>-182.37200000000001</v>
      </c>
      <c r="I27">
        <v>1</v>
      </c>
      <c r="J27">
        <f t="shared" si="5"/>
        <v>-1.3704210119636004</v>
      </c>
      <c r="K27">
        <f t="shared" si="6"/>
        <v>-0.50372515177521748</v>
      </c>
      <c r="L27">
        <v>1</v>
      </c>
      <c r="M27">
        <f t="shared" si="7"/>
        <v>0.4730313142530112</v>
      </c>
      <c r="N27">
        <f t="shared" si="13"/>
        <v>2.1335999999999997E-2</v>
      </c>
      <c r="O27">
        <f t="shared" si="11"/>
        <v>2.1717E-2</v>
      </c>
      <c r="P27">
        <f t="shared" si="12"/>
        <v>-1.2359162477793718E-2</v>
      </c>
      <c r="V27">
        <v>-3.7000000000000099</v>
      </c>
      <c r="W27">
        <f t="shared" si="9"/>
        <v>-0.38015099999999957</v>
      </c>
      <c r="Y27">
        <v>0.23</v>
      </c>
      <c r="Z27">
        <f t="shared" si="10"/>
        <v>2.7924696</v>
      </c>
    </row>
    <row r="28" spans="1:26" x14ac:dyDescent="0.3">
      <c r="A28">
        <v>1.32</v>
      </c>
      <c r="B28">
        <v>0.71399999999999997</v>
      </c>
      <c r="C28">
        <f t="shared" si="1"/>
        <v>0.94247999999999998</v>
      </c>
      <c r="D28">
        <v>1.6799999999999999E-2</v>
      </c>
      <c r="E28" s="1">
        <v>1.7100000000000001E-2</v>
      </c>
      <c r="F28">
        <f t="shared" si="2"/>
        <v>264</v>
      </c>
      <c r="G28">
        <f t="shared" si="3"/>
        <v>-0.71399999999999997</v>
      </c>
      <c r="H28">
        <f t="shared" si="4"/>
        <v>-188.49600000000001</v>
      </c>
      <c r="I28">
        <v>1</v>
      </c>
      <c r="J28">
        <f t="shared" si="5"/>
        <v>-1.3318061758358208</v>
      </c>
      <c r="K28">
        <f t="shared" si="6"/>
        <v>-0.50772515177521749</v>
      </c>
      <c r="L28">
        <v>1</v>
      </c>
      <c r="M28">
        <f t="shared" si="7"/>
        <v>0.4745708877694258</v>
      </c>
      <c r="N28">
        <f t="shared" si="13"/>
        <v>2.2176000000000001E-2</v>
      </c>
      <c r="O28">
        <f t="shared" si="11"/>
        <v>2.2572000000000002E-2</v>
      </c>
      <c r="P28">
        <f t="shared" si="12"/>
        <v>-1.1593735994208314E-2</v>
      </c>
      <c r="V28">
        <v>-3.6000000000000099</v>
      </c>
      <c r="W28">
        <f t="shared" si="9"/>
        <v>-0.38413799999999954</v>
      </c>
      <c r="Y28">
        <v>0.24</v>
      </c>
      <c r="Z28">
        <f t="shared" si="10"/>
        <v>2.9379937999999997</v>
      </c>
    </row>
    <row r="29" spans="1:26" x14ac:dyDescent="0.3">
      <c r="A29">
        <v>1.37</v>
      </c>
      <c r="B29">
        <v>0.71099999999999997</v>
      </c>
      <c r="C29">
        <f t="shared" si="1"/>
        <v>0.97406999999999999</v>
      </c>
      <c r="D29">
        <v>1.6799999999999999E-2</v>
      </c>
      <c r="E29" s="1">
        <v>1.7100000000000001E-2</v>
      </c>
      <c r="F29">
        <f t="shared" si="2"/>
        <v>274</v>
      </c>
      <c r="G29">
        <f t="shared" si="3"/>
        <v>-0.71099999999999997</v>
      </c>
      <c r="H29">
        <f t="shared" si="4"/>
        <v>-194.81399999999999</v>
      </c>
      <c r="I29">
        <v>1</v>
      </c>
      <c r="J29">
        <f t="shared" si="5"/>
        <v>-1.2946271725940668</v>
      </c>
      <c r="K29">
        <f t="shared" si="6"/>
        <v>-0.51072515177521749</v>
      </c>
      <c r="L29">
        <v>1</v>
      </c>
      <c r="M29">
        <f t="shared" si="7"/>
        <v>0.4760532146286745</v>
      </c>
      <c r="N29">
        <f t="shared" si="13"/>
        <v>2.3016000000000002E-2</v>
      </c>
      <c r="O29">
        <f t="shared" si="11"/>
        <v>2.3427000000000003E-2</v>
      </c>
      <c r="P29">
        <f t="shared" si="12"/>
        <v>-1.1771062853457019E-2</v>
      </c>
      <c r="V29">
        <v>-3.5000000000000102</v>
      </c>
      <c r="W29">
        <f t="shared" si="9"/>
        <v>-0.38812499999999955</v>
      </c>
      <c r="Y29">
        <v>0.25</v>
      </c>
      <c r="Z29">
        <f t="shared" si="10"/>
        <v>3.0835179999999998</v>
      </c>
    </row>
    <row r="30" spans="1:26" x14ac:dyDescent="0.3">
      <c r="A30">
        <v>1.42</v>
      </c>
      <c r="B30">
        <v>0.70699999999999996</v>
      </c>
      <c r="C30">
        <f t="shared" si="1"/>
        <v>1.0039399999999998</v>
      </c>
      <c r="D30">
        <v>1.6799999999999999E-2</v>
      </c>
      <c r="E30" s="1">
        <v>1.7100000000000001E-2</v>
      </c>
      <c r="F30">
        <f t="shared" si="2"/>
        <v>284</v>
      </c>
      <c r="G30">
        <f t="shared" si="3"/>
        <v>-0.70699999999999996</v>
      </c>
      <c r="H30">
        <f t="shared" si="4"/>
        <v>-200.78799999999995</v>
      </c>
      <c r="I30">
        <v>1</v>
      </c>
      <c r="J30">
        <f t="shared" si="5"/>
        <v>-1.258781040820931</v>
      </c>
      <c r="K30">
        <f t="shared" si="6"/>
        <v>-0.51472515177521749</v>
      </c>
      <c r="L30">
        <v>1</v>
      </c>
      <c r="M30">
        <f t="shared" si="7"/>
        <v>0.47748239990246943</v>
      </c>
      <c r="N30">
        <f t="shared" si="13"/>
        <v>2.3855999999999999E-2</v>
      </c>
      <c r="O30">
        <f t="shared" si="11"/>
        <v>2.4281999999999998E-2</v>
      </c>
      <c r="P30">
        <f t="shared" si="12"/>
        <v>-1.0895248127251938E-2</v>
      </c>
      <c r="V30">
        <v>-3.4000000000000101</v>
      </c>
      <c r="W30">
        <f t="shared" si="9"/>
        <v>-0.39211199999999957</v>
      </c>
      <c r="Y30">
        <v>0.26</v>
      </c>
      <c r="Z30">
        <f t="shared" si="10"/>
        <v>3.2290421999999999</v>
      </c>
    </row>
    <row r="31" spans="1:26" x14ac:dyDescent="0.3">
      <c r="A31">
        <v>1.47</v>
      </c>
      <c r="B31">
        <v>0.70399999999999996</v>
      </c>
      <c r="C31">
        <f t="shared" si="1"/>
        <v>1.03488</v>
      </c>
      <c r="D31">
        <v>1.6799999999999999E-2</v>
      </c>
      <c r="E31" s="1">
        <v>1.7100000000000001E-2</v>
      </c>
      <c r="F31">
        <f t="shared" si="2"/>
        <v>294</v>
      </c>
      <c r="G31">
        <f t="shared" si="3"/>
        <v>-0.70399999999999996</v>
      </c>
      <c r="H31">
        <f t="shared" si="4"/>
        <v>-206.976</v>
      </c>
      <c r="I31">
        <v>1</v>
      </c>
      <c r="J31">
        <f t="shared" si="5"/>
        <v>-1.2241755116434554</v>
      </c>
      <c r="K31">
        <f t="shared" si="6"/>
        <v>-0.5177251517752175</v>
      </c>
      <c r="L31">
        <v>1</v>
      </c>
      <c r="M31">
        <f t="shared" si="7"/>
        <v>0.47886212235077541</v>
      </c>
      <c r="N31">
        <f t="shared" si="13"/>
        <v>2.4695999999999999E-2</v>
      </c>
      <c r="O31">
        <f t="shared" si="11"/>
        <v>2.5137E-2</v>
      </c>
      <c r="P31">
        <f t="shared" si="12"/>
        <v>-1.0969970575557913E-2</v>
      </c>
      <c r="V31">
        <v>-3.30000000000001</v>
      </c>
      <c r="W31">
        <f t="shared" si="9"/>
        <v>-0.39609899999999953</v>
      </c>
      <c r="Y31">
        <v>0.27</v>
      </c>
      <c r="Z31">
        <f t="shared" si="10"/>
        <v>3.3745664</v>
      </c>
    </row>
    <row r="32" spans="1:26" x14ac:dyDescent="0.3">
      <c r="A32">
        <v>1.52</v>
      </c>
      <c r="B32">
        <v>0.70099999999999996</v>
      </c>
      <c r="C32">
        <f t="shared" si="1"/>
        <v>1.06552</v>
      </c>
      <c r="D32">
        <v>1.6799999999999999E-2</v>
      </c>
      <c r="E32" s="1">
        <v>1.7100000000000001E-2</v>
      </c>
      <c r="F32">
        <f t="shared" si="2"/>
        <v>304</v>
      </c>
      <c r="G32">
        <f t="shared" si="3"/>
        <v>-0.70099999999999996</v>
      </c>
      <c r="H32">
        <f t="shared" si="4"/>
        <v>-213.10400000000001</v>
      </c>
      <c r="I32">
        <v>1</v>
      </c>
      <c r="J32">
        <f t="shared" si="5"/>
        <v>-1.1907275775759154</v>
      </c>
      <c r="K32">
        <f t="shared" si="6"/>
        <v>-0.5207251517752175</v>
      </c>
      <c r="L32">
        <v>1</v>
      </c>
      <c r="M32">
        <f t="shared" si="7"/>
        <v>0.48019569148204821</v>
      </c>
      <c r="N32">
        <f t="shared" si="13"/>
        <v>2.5536E-2</v>
      </c>
      <c r="O32">
        <f t="shared" si="11"/>
        <v>2.5992000000000001E-2</v>
      </c>
      <c r="P32">
        <f t="shared" si="12"/>
        <v>-1.0998539706830717E-2</v>
      </c>
      <c r="V32">
        <v>-3.2000000000000099</v>
      </c>
      <c r="W32">
        <f t="shared" si="9"/>
        <v>-0.40008599999999961</v>
      </c>
    </row>
    <row r="33" spans="1:23" x14ac:dyDescent="0.3">
      <c r="A33">
        <v>1.57</v>
      </c>
      <c r="B33">
        <v>0.69699999999999995</v>
      </c>
      <c r="C33">
        <f t="shared" si="1"/>
        <v>1.09429</v>
      </c>
      <c r="D33">
        <v>1.6799999999999999E-2</v>
      </c>
      <c r="E33" s="1">
        <v>1.7100000000000001E-2</v>
      </c>
      <c r="F33">
        <f t="shared" si="2"/>
        <v>314</v>
      </c>
      <c r="G33">
        <f t="shared" si="3"/>
        <v>-0.69699999999999995</v>
      </c>
      <c r="H33">
        <f t="shared" si="4"/>
        <v>-218.858</v>
      </c>
      <c r="I33">
        <v>1</v>
      </c>
      <c r="J33">
        <f t="shared" si="5"/>
        <v>-1.1583622930738837</v>
      </c>
      <c r="K33">
        <f t="shared" si="6"/>
        <v>-0.5247251517752175</v>
      </c>
      <c r="L33">
        <v>1</v>
      </c>
      <c r="M33">
        <f t="shared" si="7"/>
        <v>0.4814860953751442</v>
      </c>
      <c r="N33">
        <f t="shared" si="13"/>
        <v>2.6376E-2</v>
      </c>
      <c r="O33">
        <f t="shared" si="11"/>
        <v>2.6847000000000003E-2</v>
      </c>
      <c r="P33">
        <f t="shared" si="12"/>
        <v>-9.9839435999266972E-3</v>
      </c>
      <c r="V33">
        <v>-3.1000000000000099</v>
      </c>
      <c r="W33">
        <f t="shared" si="9"/>
        <v>-0.40407299999999957</v>
      </c>
    </row>
    <row r="34" spans="1:23" x14ac:dyDescent="0.3">
      <c r="A34">
        <v>1.62</v>
      </c>
      <c r="B34">
        <v>0.69399999999999995</v>
      </c>
      <c r="C34">
        <f t="shared" si="1"/>
        <v>1.1242799999999999</v>
      </c>
      <c r="D34">
        <v>1.6799999999999999E-2</v>
      </c>
      <c r="E34" s="1">
        <v>1.7100000000000001E-2</v>
      </c>
      <c r="F34">
        <f t="shared" si="2"/>
        <v>324</v>
      </c>
      <c r="G34">
        <f t="shared" si="3"/>
        <v>-0.69399999999999995</v>
      </c>
      <c r="H34">
        <f t="shared" si="4"/>
        <v>-224.85599999999999</v>
      </c>
      <c r="I34">
        <v>1</v>
      </c>
      <c r="J34">
        <f t="shared" si="5"/>
        <v>-1.1270117631898076</v>
      </c>
      <c r="K34">
        <f t="shared" si="6"/>
        <v>-0.5277251517752175</v>
      </c>
      <c r="L34">
        <v>1</v>
      </c>
      <c r="M34">
        <f t="shared" si="7"/>
        <v>0.48273604100162232</v>
      </c>
      <c r="N34">
        <f t="shared" si="13"/>
        <v>2.7216000000000001E-2</v>
      </c>
      <c r="O34">
        <f t="shared" si="11"/>
        <v>2.7702000000000004E-2</v>
      </c>
      <c r="P34">
        <f t="shared" si="12"/>
        <v>-9.9288892264048183E-3</v>
      </c>
      <c r="V34">
        <v>-3.0000000000000102</v>
      </c>
      <c r="W34">
        <f t="shared" si="9"/>
        <v>-0.40805999999999953</v>
      </c>
    </row>
    <row r="35" spans="1:23" x14ac:dyDescent="0.3">
      <c r="A35">
        <v>1.68</v>
      </c>
      <c r="B35">
        <v>0.69099999999999995</v>
      </c>
      <c r="C35">
        <f t="shared" si="1"/>
        <v>1.1608799999999999</v>
      </c>
      <c r="D35">
        <v>1.6799999999999999E-2</v>
      </c>
      <c r="E35" s="1">
        <v>1.7100000000000001E-2</v>
      </c>
      <c r="F35">
        <f t="shared" si="2"/>
        <v>336</v>
      </c>
      <c r="G35">
        <f t="shared" si="3"/>
        <v>-0.69099999999999995</v>
      </c>
      <c r="H35">
        <f t="shared" si="4"/>
        <v>-232.17599999999999</v>
      </c>
      <c r="I35">
        <v>1</v>
      </c>
      <c r="J35">
        <f t="shared" si="5"/>
        <v>-1.0906441190189327</v>
      </c>
      <c r="K35">
        <f t="shared" si="6"/>
        <v>-0.53072515177521751</v>
      </c>
      <c r="L35">
        <v>1</v>
      </c>
      <c r="M35">
        <f t="shared" si="7"/>
        <v>0.48418601897471514</v>
      </c>
      <c r="N35">
        <f t="shared" si="13"/>
        <v>2.8223999999999996E-2</v>
      </c>
      <c r="O35">
        <f t="shared" si="11"/>
        <v>2.8728E-2</v>
      </c>
      <c r="P35">
        <f t="shared" si="12"/>
        <v>-1.0412867199497626E-2</v>
      </c>
      <c r="V35">
        <v>-2.9000000000000101</v>
      </c>
      <c r="W35">
        <f t="shared" si="9"/>
        <v>-0.41204699999999955</v>
      </c>
    </row>
    <row r="36" spans="1:23" x14ac:dyDescent="0.3">
      <c r="A36">
        <v>1.73</v>
      </c>
      <c r="B36">
        <v>0.68700000000000006</v>
      </c>
      <c r="C36">
        <f t="shared" si="1"/>
        <v>1.1885100000000002</v>
      </c>
      <c r="D36">
        <v>1.6799999999999999E-2</v>
      </c>
      <c r="E36" s="1">
        <v>1.7100000000000001E-2</v>
      </c>
      <c r="F36">
        <f t="shared" si="2"/>
        <v>346</v>
      </c>
      <c r="G36">
        <f t="shared" si="3"/>
        <v>-0.68700000000000006</v>
      </c>
      <c r="H36">
        <f t="shared" si="4"/>
        <v>-237.70200000000003</v>
      </c>
      <c r="I36">
        <v>1</v>
      </c>
      <c r="J36">
        <f t="shared" si="5"/>
        <v>-1.0613165039244128</v>
      </c>
      <c r="K36">
        <f t="shared" si="6"/>
        <v>-0.5347251517752174</v>
      </c>
      <c r="L36">
        <v>1</v>
      </c>
      <c r="M36">
        <f t="shared" si="7"/>
        <v>0.48535531098853363</v>
      </c>
      <c r="N36">
        <f t="shared" si="13"/>
        <v>2.9064E-2</v>
      </c>
      <c r="O36">
        <f t="shared" si="11"/>
        <v>2.9583000000000002E-2</v>
      </c>
      <c r="P36">
        <f t="shared" si="12"/>
        <v>-9.2771592133162294E-3</v>
      </c>
      <c r="V36">
        <v>-2.80000000000001</v>
      </c>
      <c r="W36">
        <f t="shared" si="9"/>
        <v>-0.41603399999999957</v>
      </c>
    </row>
    <row r="37" spans="1:23" x14ac:dyDescent="0.3">
      <c r="A37">
        <v>1.78</v>
      </c>
      <c r="B37">
        <v>0.68400000000000005</v>
      </c>
      <c r="C37">
        <f t="shared" si="1"/>
        <v>1.2175200000000002</v>
      </c>
      <c r="D37">
        <v>1.6799999999999999E-2</v>
      </c>
      <c r="E37" s="1">
        <v>1.7100000000000001E-2</v>
      </c>
      <c r="F37">
        <f t="shared" si="2"/>
        <v>356</v>
      </c>
      <c r="G37">
        <f t="shared" si="3"/>
        <v>-0.68400000000000005</v>
      </c>
      <c r="H37">
        <f t="shared" si="4"/>
        <v>-243.50400000000002</v>
      </c>
      <c r="I37">
        <v>1</v>
      </c>
      <c r="J37">
        <f t="shared" si="5"/>
        <v>-1.0328245481301066</v>
      </c>
      <c r="K37">
        <f t="shared" si="6"/>
        <v>-0.5377251517752174</v>
      </c>
      <c r="L37">
        <v>1</v>
      </c>
      <c r="M37">
        <f t="shared" si="7"/>
        <v>0.48649128526605262</v>
      </c>
      <c r="N37">
        <f t="shared" si="13"/>
        <v>2.9904E-2</v>
      </c>
      <c r="O37">
        <f t="shared" si="11"/>
        <v>3.0438000000000003E-2</v>
      </c>
      <c r="P37">
        <f t="shared" si="12"/>
        <v>-9.1081334908352206E-3</v>
      </c>
      <c r="V37">
        <v>-2.7000000000000099</v>
      </c>
      <c r="W37">
        <f t="shared" si="9"/>
        <v>-0.42002099999999959</v>
      </c>
    </row>
    <row r="38" spans="1:23" x14ac:dyDescent="0.3">
      <c r="A38">
        <v>1.83</v>
      </c>
      <c r="B38">
        <v>0.68100000000000005</v>
      </c>
      <c r="C38">
        <f t="shared" si="1"/>
        <v>1.2462300000000002</v>
      </c>
      <c r="D38">
        <v>1.6799999999999999E-2</v>
      </c>
      <c r="E38" s="1">
        <v>1.7100000000000001E-2</v>
      </c>
      <c r="F38">
        <f t="shared" si="2"/>
        <v>366</v>
      </c>
      <c r="G38">
        <f t="shared" si="3"/>
        <v>-0.68100000000000005</v>
      </c>
      <c r="H38">
        <f t="shared" si="4"/>
        <v>-249.24600000000004</v>
      </c>
      <c r="I38">
        <v>1</v>
      </c>
      <c r="J38">
        <f t="shared" si="5"/>
        <v>-1.0051219455807707</v>
      </c>
      <c r="K38">
        <f t="shared" si="6"/>
        <v>-0.54072515177521741</v>
      </c>
      <c r="L38">
        <v>1</v>
      </c>
      <c r="M38">
        <f t="shared" si="7"/>
        <v>0.48759578802969461</v>
      </c>
      <c r="N38">
        <f t="shared" si="13"/>
        <v>3.0744E-2</v>
      </c>
      <c r="O38">
        <f t="shared" si="11"/>
        <v>3.1293000000000001E-2</v>
      </c>
      <c r="P38">
        <f t="shared" si="12"/>
        <v>-8.9076362544772067E-3</v>
      </c>
      <c r="V38">
        <v>-2.6000000000000099</v>
      </c>
      <c r="W38">
        <f t="shared" si="9"/>
        <v>-0.42400799999999955</v>
      </c>
    </row>
    <row r="39" spans="1:23" x14ac:dyDescent="0.3">
      <c r="A39">
        <v>1.88</v>
      </c>
      <c r="B39">
        <v>0.67800000000000005</v>
      </c>
      <c r="C39">
        <f t="shared" si="1"/>
        <v>1.27464</v>
      </c>
      <c r="D39">
        <v>1.6799999999999999E-2</v>
      </c>
      <c r="E39" s="1">
        <v>1.7100000000000001E-2</v>
      </c>
      <c r="F39">
        <f t="shared" si="2"/>
        <v>376</v>
      </c>
      <c r="G39">
        <f t="shared" si="3"/>
        <v>-0.67800000000000005</v>
      </c>
      <c r="H39">
        <f t="shared" si="4"/>
        <v>-254.928</v>
      </c>
      <c r="I39">
        <v>1</v>
      </c>
      <c r="J39">
        <f t="shared" si="5"/>
        <v>-0.97816613559224252</v>
      </c>
      <c r="K39">
        <f t="shared" si="6"/>
        <v>-0.54372515177521741</v>
      </c>
      <c r="L39">
        <v>1</v>
      </c>
      <c r="M39">
        <f t="shared" si="7"/>
        <v>0.48867051617393725</v>
      </c>
      <c r="N39">
        <f t="shared" si="13"/>
        <v>3.1583999999999994E-2</v>
      </c>
      <c r="O39">
        <f t="shared" si="11"/>
        <v>3.2147999999999996E-2</v>
      </c>
      <c r="P39">
        <f t="shared" si="12"/>
        <v>-8.6773643987198348E-3</v>
      </c>
      <c r="V39">
        <v>-2.5000000000000102</v>
      </c>
      <c r="W39">
        <f t="shared" si="9"/>
        <v>-0.42799499999999957</v>
      </c>
    </row>
    <row r="40" spans="1:23" x14ac:dyDescent="0.3">
      <c r="A40">
        <v>1.93</v>
      </c>
      <c r="B40">
        <v>0.67500000000000004</v>
      </c>
      <c r="C40">
        <f t="shared" si="1"/>
        <v>1.3027500000000001</v>
      </c>
      <c r="D40">
        <v>1.6799999999999999E-2</v>
      </c>
      <c r="E40" s="1">
        <v>1.7100000000000001E-2</v>
      </c>
      <c r="F40">
        <f t="shared" si="2"/>
        <v>386</v>
      </c>
      <c r="G40">
        <f t="shared" si="3"/>
        <v>-0.67500000000000004</v>
      </c>
      <c r="H40">
        <f t="shared" si="4"/>
        <v>-260.55</v>
      </c>
      <c r="I40">
        <v>1</v>
      </c>
      <c r="J40">
        <f t="shared" si="5"/>
        <v>-0.95191790951730615</v>
      </c>
      <c r="K40">
        <f t="shared" si="6"/>
        <v>-0.54672515177521741</v>
      </c>
      <c r="L40">
        <v>1</v>
      </c>
      <c r="M40">
        <f t="shared" si="7"/>
        <v>0.48971703294754498</v>
      </c>
      <c r="N40">
        <f t="shared" si="13"/>
        <v>3.2423999999999994E-2</v>
      </c>
      <c r="O40">
        <f t="shared" si="11"/>
        <v>3.3002999999999998E-2</v>
      </c>
      <c r="P40">
        <f t="shared" si="12"/>
        <v>-8.418881172327565E-3</v>
      </c>
      <c r="V40">
        <v>-2.4000000000000101</v>
      </c>
      <c r="W40">
        <f t="shared" si="9"/>
        <v>-0.43198199999999953</v>
      </c>
    </row>
    <row r="41" spans="1:23" x14ac:dyDescent="0.3">
      <c r="A41">
        <v>1.98</v>
      </c>
      <c r="B41">
        <v>0.67200000000000004</v>
      </c>
      <c r="C41">
        <f t="shared" si="1"/>
        <v>1.33056</v>
      </c>
      <c r="D41">
        <v>1.6799999999999999E-2</v>
      </c>
      <c r="E41" s="1">
        <v>1.7100000000000001E-2</v>
      </c>
      <c r="F41">
        <f t="shared" si="2"/>
        <v>396</v>
      </c>
      <c r="G41">
        <f t="shared" si="3"/>
        <v>-0.67200000000000004</v>
      </c>
      <c r="H41">
        <f t="shared" si="4"/>
        <v>-266.11199999999997</v>
      </c>
      <c r="I41">
        <v>1</v>
      </c>
      <c r="J41">
        <f t="shared" si="5"/>
        <v>-0.92634106772765645</v>
      </c>
      <c r="K41">
        <f t="shared" si="6"/>
        <v>-0.54972515177521741</v>
      </c>
      <c r="L41">
        <v>1</v>
      </c>
      <c r="M41">
        <f t="shared" si="7"/>
        <v>0.4907367816296983</v>
      </c>
      <c r="N41">
        <f t="shared" si="13"/>
        <v>3.3263999999999995E-2</v>
      </c>
      <c r="O41">
        <f t="shared" si="11"/>
        <v>3.3857999999999999E-2</v>
      </c>
      <c r="P41">
        <f t="shared" si="12"/>
        <v>-8.1336298544808852E-3</v>
      </c>
      <c r="V41">
        <v>-2.30000000000001</v>
      </c>
      <c r="W41">
        <f t="shared" si="9"/>
        <v>-0.43596899999999955</v>
      </c>
    </row>
    <row r="42" spans="1:23" x14ac:dyDescent="0.3">
      <c r="A42">
        <v>2.04</v>
      </c>
      <c r="B42">
        <v>0.66900000000000004</v>
      </c>
      <c r="C42">
        <f t="shared" si="1"/>
        <v>1.3647600000000002</v>
      </c>
      <c r="D42">
        <v>1.6799999999999999E-2</v>
      </c>
      <c r="E42" s="1">
        <v>1.7100000000000001E-2</v>
      </c>
      <c r="F42">
        <f t="shared" si="2"/>
        <v>408</v>
      </c>
      <c r="G42">
        <f t="shared" si="3"/>
        <v>-0.66900000000000004</v>
      </c>
      <c r="H42">
        <f t="shared" si="4"/>
        <v>-272.95200000000006</v>
      </c>
      <c r="I42">
        <v>1</v>
      </c>
      <c r="J42">
        <f t="shared" si="5"/>
        <v>-0.89648810457797545</v>
      </c>
      <c r="K42">
        <f t="shared" si="6"/>
        <v>-0.55272515177521742</v>
      </c>
      <c r="L42">
        <v>1</v>
      </c>
      <c r="M42">
        <f t="shared" si="7"/>
        <v>0.49192701927047611</v>
      </c>
      <c r="N42">
        <f t="shared" si="13"/>
        <v>3.4271999999999997E-2</v>
      </c>
      <c r="O42">
        <f t="shared" si="11"/>
        <v>3.4884000000000005E-2</v>
      </c>
      <c r="P42">
        <f t="shared" si="12"/>
        <v>-8.3578674952586932E-3</v>
      </c>
      <c r="V42">
        <v>-2.2000000000000099</v>
      </c>
      <c r="W42">
        <f t="shared" si="9"/>
        <v>-0.43995599999999957</v>
      </c>
    </row>
    <row r="43" spans="1:23" x14ac:dyDescent="0.3">
      <c r="A43">
        <v>2.09</v>
      </c>
      <c r="B43">
        <v>0.66600000000000004</v>
      </c>
      <c r="C43">
        <f t="shared" si="1"/>
        <v>1.39194</v>
      </c>
      <c r="D43">
        <v>1.6799999999999999E-2</v>
      </c>
      <c r="E43" s="1">
        <v>1.7100000000000001E-2</v>
      </c>
      <c r="F43">
        <f t="shared" si="2"/>
        <v>418</v>
      </c>
      <c r="G43">
        <f t="shared" si="3"/>
        <v>-0.66600000000000004</v>
      </c>
      <c r="H43">
        <f t="shared" si="4"/>
        <v>-278.38799999999998</v>
      </c>
      <c r="I43">
        <v>1</v>
      </c>
      <c r="J43">
        <f t="shared" si="5"/>
        <v>-0.87227384645738082</v>
      </c>
      <c r="K43">
        <f t="shared" si="6"/>
        <v>-0.55572515177521742</v>
      </c>
      <c r="L43">
        <v>1</v>
      </c>
      <c r="M43">
        <f t="shared" si="7"/>
        <v>0.49289244174174418</v>
      </c>
      <c r="N43">
        <f t="shared" si="13"/>
        <v>3.5111999999999997E-2</v>
      </c>
      <c r="O43">
        <f t="shared" si="11"/>
        <v>3.5739E-2</v>
      </c>
      <c r="P43">
        <f t="shared" si="12"/>
        <v>-8.0182899665267593E-3</v>
      </c>
      <c r="V43">
        <v>-2.1000000000000099</v>
      </c>
      <c r="W43">
        <f t="shared" si="9"/>
        <v>-0.44394299999999959</v>
      </c>
    </row>
    <row r="44" spans="1:23" x14ac:dyDescent="0.3">
      <c r="A44">
        <v>2.14</v>
      </c>
      <c r="B44">
        <v>0.66300000000000003</v>
      </c>
      <c r="C44">
        <f t="shared" si="1"/>
        <v>1.4188200000000002</v>
      </c>
      <c r="D44">
        <v>1.6799999999999999E-2</v>
      </c>
      <c r="E44" s="1">
        <v>1.7100000000000001E-2</v>
      </c>
      <c r="F44">
        <f t="shared" si="2"/>
        <v>428</v>
      </c>
      <c r="G44">
        <f t="shared" si="3"/>
        <v>-0.66300000000000003</v>
      </c>
      <c r="H44">
        <f t="shared" si="4"/>
        <v>-283.76400000000001</v>
      </c>
      <c r="I44">
        <v>1</v>
      </c>
      <c r="J44">
        <f t="shared" si="5"/>
        <v>-0.84863208340034024</v>
      </c>
      <c r="K44">
        <f t="shared" si="6"/>
        <v>-0.55872515177521742</v>
      </c>
      <c r="L44">
        <v>1</v>
      </c>
      <c r="M44">
        <f t="shared" si="7"/>
        <v>0.49383503883482838</v>
      </c>
      <c r="N44">
        <f t="shared" si="13"/>
        <v>3.5951999999999998E-2</v>
      </c>
      <c r="O44">
        <f t="shared" si="11"/>
        <v>3.6594000000000002E-2</v>
      </c>
      <c r="P44">
        <f t="shared" si="12"/>
        <v>-7.6558870596109552E-3</v>
      </c>
      <c r="V44">
        <v>-2.0000000000000102</v>
      </c>
      <c r="W44">
        <f t="shared" si="9"/>
        <v>-0.44792999999999955</v>
      </c>
    </row>
    <row r="45" spans="1:23" x14ac:dyDescent="0.3">
      <c r="A45">
        <v>2.19</v>
      </c>
      <c r="B45">
        <v>0.66</v>
      </c>
      <c r="C45">
        <f t="shared" si="1"/>
        <v>1.4454</v>
      </c>
      <c r="D45">
        <v>1.6799999999999999E-2</v>
      </c>
      <c r="E45" s="1">
        <v>1.7100000000000001E-2</v>
      </c>
      <c r="F45">
        <f t="shared" si="2"/>
        <v>438</v>
      </c>
      <c r="G45">
        <f t="shared" si="3"/>
        <v>-0.66</v>
      </c>
      <c r="H45">
        <f t="shared" si="4"/>
        <v>-289.08</v>
      </c>
      <c r="I45">
        <v>1</v>
      </c>
      <c r="J45">
        <f t="shared" si="5"/>
        <v>-0.82553636860569091</v>
      </c>
      <c r="K45">
        <f t="shared" si="6"/>
        <v>-0.56172515177521742</v>
      </c>
      <c r="L45">
        <v>1</v>
      </c>
      <c r="M45">
        <f t="shared" si="7"/>
        <v>0.49475586498369106</v>
      </c>
      <c r="N45">
        <f t="shared" si="13"/>
        <v>3.6791999999999998E-2</v>
      </c>
      <c r="O45">
        <f t="shared" si="11"/>
        <v>3.7449000000000003E-2</v>
      </c>
      <c r="P45">
        <f t="shared" si="12"/>
        <v>-7.2717132084736402E-3</v>
      </c>
      <c r="V45">
        <v>-1.9000000000000099</v>
      </c>
      <c r="W45">
        <f t="shared" si="9"/>
        <v>-0.45191699999999957</v>
      </c>
    </row>
    <row r="46" spans="1:23" x14ac:dyDescent="0.3">
      <c r="A46">
        <v>2.25</v>
      </c>
      <c r="B46">
        <v>0.65700000000000003</v>
      </c>
      <c r="C46">
        <f t="shared" si="1"/>
        <v>1.4782500000000001</v>
      </c>
      <c r="D46">
        <v>1.6799999999999999E-2</v>
      </c>
      <c r="E46" s="1">
        <v>1.7100000000000001E-2</v>
      </c>
      <c r="F46">
        <f t="shared" si="2"/>
        <v>450</v>
      </c>
      <c r="G46">
        <f t="shared" si="3"/>
        <v>-0.65700000000000003</v>
      </c>
      <c r="H46">
        <f t="shared" si="4"/>
        <v>-295.65000000000003</v>
      </c>
      <c r="I46">
        <v>1</v>
      </c>
      <c r="J46">
        <f t="shared" si="5"/>
        <v>-0.79850769621777162</v>
      </c>
      <c r="K46">
        <f t="shared" si="6"/>
        <v>-0.56472515177521743</v>
      </c>
      <c r="L46">
        <v>1</v>
      </c>
      <c r="M46">
        <f t="shared" si="7"/>
        <v>0.49583349815179739</v>
      </c>
      <c r="N46">
        <f t="shared" si="13"/>
        <v>3.78E-2</v>
      </c>
      <c r="O46">
        <f t="shared" si="11"/>
        <v>3.8475000000000002E-2</v>
      </c>
      <c r="P46">
        <f t="shared" si="12"/>
        <v>-7.3833463765799676E-3</v>
      </c>
      <c r="V46">
        <v>-1.80000000000001</v>
      </c>
      <c r="W46">
        <f t="shared" si="9"/>
        <v>-0.45590399999999959</v>
      </c>
    </row>
    <row r="47" spans="1:23" x14ac:dyDescent="0.3">
      <c r="A47">
        <v>2.2999999999999998</v>
      </c>
      <c r="B47">
        <v>0.65400000000000003</v>
      </c>
      <c r="C47">
        <f t="shared" si="1"/>
        <v>1.5042</v>
      </c>
      <c r="D47">
        <v>1.6799999999999999E-2</v>
      </c>
      <c r="E47" s="1">
        <v>1.7100000000000001E-2</v>
      </c>
      <c r="F47">
        <f t="shared" si="2"/>
        <v>459.99999999999994</v>
      </c>
      <c r="G47">
        <f t="shared" si="3"/>
        <v>-0.65400000000000003</v>
      </c>
      <c r="H47">
        <f t="shared" si="4"/>
        <v>-300.83999999999997</v>
      </c>
      <c r="I47">
        <v>1</v>
      </c>
      <c r="J47">
        <f t="shared" si="5"/>
        <v>-0.7765287894989964</v>
      </c>
      <c r="K47">
        <f t="shared" si="6"/>
        <v>-0.56772515177521743</v>
      </c>
      <c r="L47">
        <v>1</v>
      </c>
      <c r="M47">
        <f t="shared" si="7"/>
        <v>0.49670979716267499</v>
      </c>
      <c r="N47">
        <f t="shared" si="13"/>
        <v>3.8639999999999994E-2</v>
      </c>
      <c r="O47">
        <f t="shared" si="11"/>
        <v>3.9329999999999997E-2</v>
      </c>
      <c r="P47">
        <f t="shared" si="12"/>
        <v>-6.9546453874575545E-3</v>
      </c>
      <c r="V47">
        <v>-1.7000000000000199</v>
      </c>
      <c r="W47">
        <f t="shared" si="9"/>
        <v>-0.45989099999999916</v>
      </c>
    </row>
    <row r="48" spans="1:23" x14ac:dyDescent="0.3">
      <c r="A48">
        <v>2.35</v>
      </c>
      <c r="B48">
        <v>0.65100000000000002</v>
      </c>
      <c r="C48">
        <f t="shared" si="1"/>
        <v>1.5298500000000002</v>
      </c>
      <c r="D48">
        <v>1.6799999999999999E-2</v>
      </c>
      <c r="E48" s="1">
        <v>1.7100000000000001E-2</v>
      </c>
      <c r="F48">
        <f t="shared" si="2"/>
        <v>470</v>
      </c>
      <c r="G48">
        <f t="shared" si="3"/>
        <v>-0.65100000000000002</v>
      </c>
      <c r="H48">
        <f t="shared" si="4"/>
        <v>-305.97000000000003</v>
      </c>
      <c r="I48">
        <v>1</v>
      </c>
      <c r="J48">
        <f t="shared" si="5"/>
        <v>-0.75502258427803282</v>
      </c>
      <c r="K48">
        <f t="shared" si="6"/>
        <v>-0.57072515177521743</v>
      </c>
      <c r="L48">
        <v>1</v>
      </c>
      <c r="M48">
        <f t="shared" si="7"/>
        <v>0.49756724956483478</v>
      </c>
      <c r="N48">
        <f t="shared" si="13"/>
        <v>3.9480000000000001E-2</v>
      </c>
      <c r="O48">
        <f t="shared" si="11"/>
        <v>4.0185000000000005E-2</v>
      </c>
      <c r="P48">
        <f t="shared" si="12"/>
        <v>-6.507097789617354E-3</v>
      </c>
      <c r="V48">
        <v>-1.6000000000000201</v>
      </c>
      <c r="W48">
        <f t="shared" si="9"/>
        <v>-0.46387799999999918</v>
      </c>
    </row>
    <row r="49" spans="1:23" x14ac:dyDescent="0.3">
      <c r="A49">
        <v>2.4</v>
      </c>
      <c r="B49">
        <v>0.64800000000000002</v>
      </c>
      <c r="C49">
        <f t="shared" si="1"/>
        <v>1.5551999999999999</v>
      </c>
      <c r="D49">
        <v>1.6799999999999999E-2</v>
      </c>
      <c r="E49" s="1">
        <v>1.7100000000000001E-2</v>
      </c>
      <c r="F49">
        <f t="shared" si="2"/>
        <v>480</v>
      </c>
      <c r="G49">
        <f t="shared" si="3"/>
        <v>-0.64800000000000002</v>
      </c>
      <c r="H49">
        <f t="shared" si="4"/>
        <v>-311.03999999999996</v>
      </c>
      <c r="I49">
        <v>1</v>
      </c>
      <c r="J49">
        <f t="shared" si="5"/>
        <v>-0.73396917508020043</v>
      </c>
      <c r="K49">
        <f t="shared" si="6"/>
        <v>-0.57372515177521743</v>
      </c>
      <c r="L49">
        <v>1</v>
      </c>
      <c r="M49">
        <f t="shared" si="7"/>
        <v>0.49840664898955239</v>
      </c>
      <c r="N49">
        <f t="shared" si="13"/>
        <v>4.0319999999999995E-2</v>
      </c>
      <c r="O49">
        <f t="shared" si="11"/>
        <v>4.104E-2</v>
      </c>
      <c r="P49">
        <f t="shared" si="12"/>
        <v>-6.0414972143349524E-3</v>
      </c>
      <c r="V49">
        <v>-1.50000000000002</v>
      </c>
      <c r="W49">
        <f t="shared" si="9"/>
        <v>-0.4678649999999992</v>
      </c>
    </row>
    <row r="50" spans="1:23" x14ac:dyDescent="0.3">
      <c r="A50">
        <v>2.4500000000000002</v>
      </c>
      <c r="B50">
        <v>0.64600000000000002</v>
      </c>
      <c r="C50">
        <f t="shared" si="1"/>
        <v>1.5827000000000002</v>
      </c>
      <c r="D50">
        <v>1.6799999999999999E-2</v>
      </c>
      <c r="E50" s="1">
        <v>1.7100000000000001E-2</v>
      </c>
      <c r="F50">
        <f t="shared" si="2"/>
        <v>490.00000000000006</v>
      </c>
      <c r="G50">
        <f t="shared" si="3"/>
        <v>-0.64600000000000002</v>
      </c>
      <c r="H50">
        <f t="shared" si="4"/>
        <v>-316.54000000000002</v>
      </c>
      <c r="I50">
        <v>1</v>
      </c>
      <c r="J50">
        <f t="shared" si="5"/>
        <v>-0.71334988787746467</v>
      </c>
      <c r="K50">
        <f t="shared" si="6"/>
        <v>-0.57572515177521744</v>
      </c>
      <c r="L50">
        <v>1</v>
      </c>
      <c r="M50">
        <f t="shared" si="7"/>
        <v>0.49922873997032546</v>
      </c>
      <c r="N50">
        <f t="shared" si="13"/>
        <v>4.1160000000000002E-2</v>
      </c>
      <c r="O50">
        <f t="shared" si="11"/>
        <v>4.1895000000000002E-2</v>
      </c>
      <c r="P50">
        <f t="shared" si="12"/>
        <v>-6.558588195108031E-3</v>
      </c>
      <c r="V50">
        <v>-1.4000000000000199</v>
      </c>
      <c r="W50">
        <f t="shared" si="9"/>
        <v>-0.47185199999999916</v>
      </c>
    </row>
    <row r="51" spans="1:23" x14ac:dyDescent="0.3">
      <c r="A51">
        <v>2.5</v>
      </c>
      <c r="B51">
        <v>0.64300000000000002</v>
      </c>
      <c r="C51">
        <f t="shared" si="1"/>
        <v>1.6074999999999999</v>
      </c>
      <c r="D51">
        <v>1.6799999999999999E-2</v>
      </c>
      <c r="E51" s="1">
        <v>1.7100000000000001E-2</v>
      </c>
      <c r="F51">
        <f t="shared" si="2"/>
        <v>500</v>
      </c>
      <c r="G51">
        <f t="shared" si="3"/>
        <v>-0.64300000000000002</v>
      </c>
      <c r="H51">
        <f t="shared" si="4"/>
        <v>-321.5</v>
      </c>
      <c r="I51">
        <v>1</v>
      </c>
      <c r="J51">
        <f t="shared" si="5"/>
        <v>-0.69314718055994529</v>
      </c>
      <c r="K51">
        <f t="shared" si="6"/>
        <v>-0.57872515177521744</v>
      </c>
      <c r="L51">
        <v>1</v>
      </c>
      <c r="M51">
        <f t="shared" si="7"/>
        <v>0.50003422191107494</v>
      </c>
      <c r="N51">
        <f t="shared" si="13"/>
        <v>4.1999999999999996E-2</v>
      </c>
      <c r="O51">
        <f t="shared" si="11"/>
        <v>4.2750000000000003E-2</v>
      </c>
      <c r="P51">
        <f t="shared" si="12"/>
        <v>-6.0590701358574986E-3</v>
      </c>
      <c r="V51">
        <v>-1.30000000000002</v>
      </c>
      <c r="W51">
        <f t="shared" si="9"/>
        <v>-0.47583899999999918</v>
      </c>
    </row>
    <row r="52" spans="1:23" x14ac:dyDescent="0.3">
      <c r="A52">
        <v>2.56</v>
      </c>
      <c r="B52">
        <v>0.64</v>
      </c>
      <c r="C52">
        <f t="shared" si="1"/>
        <v>1.6384000000000001</v>
      </c>
      <c r="D52">
        <v>1.6799999999999999E-2</v>
      </c>
      <c r="E52" s="1">
        <v>1.7100000000000001E-2</v>
      </c>
      <c r="F52">
        <f t="shared" si="2"/>
        <v>512</v>
      </c>
      <c r="G52">
        <f t="shared" si="3"/>
        <v>-0.64</v>
      </c>
      <c r="H52">
        <f t="shared" si="4"/>
        <v>-327.68</v>
      </c>
      <c r="I52">
        <v>1</v>
      </c>
      <c r="J52">
        <f t="shared" si="5"/>
        <v>-0.66943065394262924</v>
      </c>
      <c r="K52">
        <f t="shared" si="6"/>
        <v>-0.58172515177521744</v>
      </c>
      <c r="L52">
        <v>1</v>
      </c>
      <c r="M52">
        <f t="shared" si="7"/>
        <v>0.50097979982730734</v>
      </c>
      <c r="N52">
        <f t="shared" si="13"/>
        <v>4.3007999999999998E-2</v>
      </c>
      <c r="O52">
        <f t="shared" si="11"/>
        <v>4.3776000000000002E-2</v>
      </c>
      <c r="P52">
        <f t="shared" si="12"/>
        <v>-6.0386480520898955E-3</v>
      </c>
      <c r="V52">
        <v>-1.2000000000000199</v>
      </c>
      <c r="W52">
        <f t="shared" si="9"/>
        <v>-0.4798259999999992</v>
      </c>
    </row>
    <row r="53" spans="1:23" x14ac:dyDescent="0.3">
      <c r="A53">
        <v>2.61</v>
      </c>
      <c r="B53">
        <v>0.63700000000000001</v>
      </c>
      <c r="C53">
        <f t="shared" si="1"/>
        <v>1.6625699999999999</v>
      </c>
      <c r="D53">
        <v>1.6799999999999999E-2</v>
      </c>
      <c r="E53" s="1">
        <v>1.7100000000000001E-2</v>
      </c>
      <c r="F53">
        <f t="shared" si="2"/>
        <v>522</v>
      </c>
      <c r="G53">
        <f t="shared" si="3"/>
        <v>-0.63700000000000001</v>
      </c>
      <c r="H53">
        <f t="shared" si="4"/>
        <v>-332.51399999999995</v>
      </c>
      <c r="I53">
        <v>1</v>
      </c>
      <c r="J53">
        <f t="shared" si="5"/>
        <v>-0.65008769109949827</v>
      </c>
      <c r="K53">
        <f t="shared" si="6"/>
        <v>-0.58472515177521744</v>
      </c>
      <c r="L53">
        <v>1</v>
      </c>
      <c r="M53">
        <f t="shared" si="7"/>
        <v>0.50175100375586301</v>
      </c>
      <c r="N53">
        <f t="shared" si="13"/>
        <v>4.3847999999999998E-2</v>
      </c>
      <c r="O53">
        <f t="shared" si="11"/>
        <v>4.4630999999999997E-2</v>
      </c>
      <c r="P53">
        <f t="shared" si="12"/>
        <v>-5.5048519806455629E-3</v>
      </c>
      <c r="V53">
        <v>-1.1000000000000201</v>
      </c>
      <c r="W53">
        <f t="shared" si="9"/>
        <v>-0.48381299999999916</v>
      </c>
    </row>
    <row r="54" spans="1:23" x14ac:dyDescent="0.3">
      <c r="A54">
        <v>2.66</v>
      </c>
      <c r="B54">
        <v>0.63400000000000001</v>
      </c>
      <c r="C54">
        <f t="shared" si="1"/>
        <v>1.6864400000000002</v>
      </c>
      <c r="D54">
        <v>1.6799999999999999E-2</v>
      </c>
      <c r="E54" s="1">
        <v>1.7100000000000001E-2</v>
      </c>
      <c r="F54">
        <f t="shared" si="2"/>
        <v>532</v>
      </c>
      <c r="G54">
        <f t="shared" si="3"/>
        <v>-0.63400000000000001</v>
      </c>
      <c r="H54">
        <f t="shared" si="4"/>
        <v>-337.28800000000001</v>
      </c>
      <c r="I54">
        <v>1</v>
      </c>
      <c r="J54">
        <f t="shared" si="5"/>
        <v>-0.63111178964049264</v>
      </c>
      <c r="K54">
        <f t="shared" si="6"/>
        <v>-0.58772515177521745</v>
      </c>
      <c r="L54">
        <v>1</v>
      </c>
      <c r="M54">
        <f t="shared" si="7"/>
        <v>0.50250757294703352</v>
      </c>
      <c r="N54">
        <f t="shared" si="13"/>
        <v>4.4687999999999999E-2</v>
      </c>
      <c r="O54">
        <f t="shared" si="11"/>
        <v>4.5486000000000006E-2</v>
      </c>
      <c r="P54">
        <f t="shared" si="12"/>
        <v>-4.9564211718160778E-3</v>
      </c>
      <c r="V54">
        <v>-1.00000000000002</v>
      </c>
      <c r="W54">
        <f t="shared" si="9"/>
        <v>-0.48779999999999918</v>
      </c>
    </row>
    <row r="55" spans="1:23" x14ac:dyDescent="0.3">
      <c r="A55">
        <v>2.71</v>
      </c>
      <c r="B55">
        <v>0.63100000000000001</v>
      </c>
      <c r="C55">
        <f t="shared" si="1"/>
        <v>1.71001</v>
      </c>
      <c r="D55">
        <v>1.6799999999999999E-2</v>
      </c>
      <c r="E55" s="1">
        <v>1.7100000000000001E-2</v>
      </c>
      <c r="F55">
        <f t="shared" si="2"/>
        <v>542</v>
      </c>
      <c r="G55">
        <f t="shared" si="3"/>
        <v>-0.63100000000000001</v>
      </c>
      <c r="H55">
        <f t="shared" si="4"/>
        <v>-342.00200000000001</v>
      </c>
      <c r="I55">
        <v>1</v>
      </c>
      <c r="J55">
        <f t="shared" si="5"/>
        <v>-0.61248927754249083</v>
      </c>
      <c r="K55">
        <f t="shared" si="6"/>
        <v>-0.59072515177521745</v>
      </c>
      <c r="L55">
        <v>1</v>
      </c>
      <c r="M55">
        <f t="shared" si="7"/>
        <v>0.50325005250438082</v>
      </c>
      <c r="N55">
        <f t="shared" si="13"/>
        <v>4.5527999999999999E-2</v>
      </c>
      <c r="O55">
        <f t="shared" si="11"/>
        <v>4.6341E-2</v>
      </c>
      <c r="P55">
        <f t="shared" si="12"/>
        <v>-4.3939007291633678E-3</v>
      </c>
      <c r="V55">
        <v>-0.90000000000002001</v>
      </c>
      <c r="W55">
        <f t="shared" si="9"/>
        <v>-0.4917869999999992</v>
      </c>
    </row>
    <row r="56" spans="1:23" x14ac:dyDescent="0.3">
      <c r="A56">
        <v>2.76</v>
      </c>
      <c r="B56">
        <v>0.629</v>
      </c>
      <c r="C56">
        <f t="shared" si="1"/>
        <v>1.7360399999999998</v>
      </c>
      <c r="D56">
        <v>1.6799999999999999E-2</v>
      </c>
      <c r="E56" s="1">
        <v>1.7100000000000001E-2</v>
      </c>
      <c r="F56">
        <f t="shared" si="2"/>
        <v>552</v>
      </c>
      <c r="G56">
        <f t="shared" si="3"/>
        <v>-0.629</v>
      </c>
      <c r="H56">
        <f t="shared" si="4"/>
        <v>-347.20799999999997</v>
      </c>
      <c r="I56">
        <v>1</v>
      </c>
      <c r="J56">
        <f t="shared" si="5"/>
        <v>-0.59420723270504161</v>
      </c>
      <c r="K56">
        <f t="shared" si="6"/>
        <v>-0.59272515177521745</v>
      </c>
      <c r="L56">
        <v>1</v>
      </c>
      <c r="M56">
        <f t="shared" si="7"/>
        <v>0.50397895763204992</v>
      </c>
      <c r="N56">
        <f t="shared" si="13"/>
        <v>4.6367999999999993E-2</v>
      </c>
      <c r="O56">
        <f t="shared" si="11"/>
        <v>4.7195999999999995E-2</v>
      </c>
      <c r="P56">
        <f t="shared" si="12"/>
        <v>-4.8178058568324536E-3</v>
      </c>
      <c r="V56">
        <v>-0.80000000000002003</v>
      </c>
      <c r="W56">
        <f t="shared" si="9"/>
        <v>-0.49577399999999916</v>
      </c>
    </row>
    <row r="57" spans="1:23" x14ac:dyDescent="0.3">
      <c r="A57">
        <v>2.81</v>
      </c>
      <c r="B57">
        <v>0.626</v>
      </c>
      <c r="C57">
        <f t="shared" si="1"/>
        <v>1.7590600000000001</v>
      </c>
      <c r="D57">
        <v>1.6799999999999999E-2</v>
      </c>
      <c r="E57" s="1">
        <v>1.7100000000000001E-2</v>
      </c>
      <c r="F57">
        <f t="shared" si="2"/>
        <v>562</v>
      </c>
      <c r="G57">
        <f t="shared" si="3"/>
        <v>-0.626</v>
      </c>
      <c r="H57">
        <f t="shared" si="4"/>
        <v>-351.81200000000001</v>
      </c>
      <c r="I57">
        <v>1</v>
      </c>
      <c r="J57">
        <f t="shared" si="5"/>
        <v>-0.5762534290884459</v>
      </c>
      <c r="K57">
        <f t="shared" si="6"/>
        <v>-0.59572515177521745</v>
      </c>
      <c r="L57">
        <v>1</v>
      </c>
      <c r="M57">
        <f t="shared" si="7"/>
        <v>0.50469477578224364</v>
      </c>
      <c r="N57">
        <f t="shared" si="13"/>
        <v>4.7208E-2</v>
      </c>
      <c r="O57">
        <f t="shared" si="11"/>
        <v>4.8051000000000003E-2</v>
      </c>
      <c r="P57">
        <f t="shared" si="12"/>
        <v>-4.2286240070261924E-3</v>
      </c>
      <c r="V57">
        <v>-0.70000000000002005</v>
      </c>
      <c r="W57">
        <f t="shared" si="9"/>
        <v>-0.49976099999999918</v>
      </c>
    </row>
    <row r="58" spans="1:23" x14ac:dyDescent="0.3">
      <c r="A58">
        <v>2.87</v>
      </c>
      <c r="B58">
        <v>0.623</v>
      </c>
      <c r="C58">
        <f t="shared" si="1"/>
        <v>1.7880100000000001</v>
      </c>
      <c r="D58">
        <v>1.6799999999999999E-2</v>
      </c>
      <c r="E58" s="1">
        <v>1.7100000000000001E-2</v>
      </c>
      <c r="F58">
        <f t="shared" si="2"/>
        <v>574</v>
      </c>
      <c r="G58">
        <f t="shared" si="3"/>
        <v>-0.623</v>
      </c>
      <c r="H58">
        <f t="shared" si="4"/>
        <v>-357.60200000000003</v>
      </c>
      <c r="I58">
        <v>1</v>
      </c>
      <c r="J58">
        <f t="shared" si="5"/>
        <v>-0.55512588266257068</v>
      </c>
      <c r="K58">
        <f t="shared" si="6"/>
        <v>-0.59872515177521746</v>
      </c>
      <c r="L58">
        <v>1</v>
      </c>
      <c r="M58">
        <f t="shared" si="7"/>
        <v>0.50553713105824327</v>
      </c>
      <c r="N58">
        <f t="shared" si="13"/>
        <v>4.8216000000000002E-2</v>
      </c>
      <c r="O58">
        <f t="shared" si="11"/>
        <v>4.9077000000000003E-2</v>
      </c>
      <c r="P58">
        <f t="shared" si="12"/>
        <v>-4.1049792830258197E-3</v>
      </c>
      <c r="V58">
        <v>-0.60000000000001996</v>
      </c>
      <c r="W58">
        <f t="shared" si="9"/>
        <v>-0.5037479999999992</v>
      </c>
    </row>
    <row r="59" spans="1:23" x14ac:dyDescent="0.3">
      <c r="A59">
        <v>2.92</v>
      </c>
      <c r="B59">
        <v>0.621</v>
      </c>
      <c r="C59">
        <f t="shared" si="1"/>
        <v>1.81332</v>
      </c>
      <c r="D59">
        <v>1.6799999999999999E-2</v>
      </c>
      <c r="E59" s="1">
        <v>1.7100000000000001E-2</v>
      </c>
      <c r="F59">
        <f t="shared" si="2"/>
        <v>584</v>
      </c>
      <c r="G59">
        <f t="shared" si="3"/>
        <v>-0.621</v>
      </c>
      <c r="H59">
        <f t="shared" si="4"/>
        <v>-362.66399999999999</v>
      </c>
      <c r="I59">
        <v>1</v>
      </c>
      <c r="J59">
        <f t="shared" si="5"/>
        <v>-0.53785429615391001</v>
      </c>
      <c r="K59">
        <f t="shared" si="6"/>
        <v>-0.60072515177521746</v>
      </c>
      <c r="L59">
        <v>1</v>
      </c>
      <c r="M59">
        <f t="shared" si="7"/>
        <v>0.50622574921234353</v>
      </c>
      <c r="N59">
        <f t="shared" si="13"/>
        <v>4.9055999999999995E-2</v>
      </c>
      <c r="O59">
        <f t="shared" si="11"/>
        <v>4.9931999999999997E-2</v>
      </c>
      <c r="P59">
        <f t="shared" si="12"/>
        <v>-4.4885974371260684E-3</v>
      </c>
      <c r="V59">
        <v>-0.50000000000001998</v>
      </c>
      <c r="W59">
        <f t="shared" si="9"/>
        <v>-0.50773499999999916</v>
      </c>
    </row>
    <row r="60" spans="1:23" x14ac:dyDescent="0.3">
      <c r="A60">
        <v>2.97</v>
      </c>
      <c r="B60">
        <v>0.61799999999999999</v>
      </c>
      <c r="C60">
        <f t="shared" si="1"/>
        <v>1.8354600000000001</v>
      </c>
      <c r="D60">
        <v>1.6799999999999999E-2</v>
      </c>
      <c r="E60" s="1">
        <v>1.7100000000000001E-2</v>
      </c>
      <c r="F60">
        <f t="shared" si="2"/>
        <v>594</v>
      </c>
      <c r="G60">
        <f t="shared" si="3"/>
        <v>-0.61799999999999999</v>
      </c>
      <c r="H60">
        <f t="shared" si="4"/>
        <v>-367.09200000000004</v>
      </c>
      <c r="I60">
        <v>1</v>
      </c>
      <c r="J60">
        <f t="shared" si="5"/>
        <v>-0.52087595961949218</v>
      </c>
      <c r="K60">
        <f t="shared" si="6"/>
        <v>-0.60372515177521746</v>
      </c>
      <c r="L60">
        <v>1</v>
      </c>
      <c r="M60">
        <f t="shared" si="7"/>
        <v>0.50690267548997081</v>
      </c>
      <c r="N60">
        <f t="shared" si="13"/>
        <v>4.9896000000000003E-2</v>
      </c>
      <c r="O60">
        <f t="shared" si="11"/>
        <v>5.0787000000000006E-2</v>
      </c>
      <c r="P60">
        <f t="shared" si="12"/>
        <v>-3.8605237147533583E-3</v>
      </c>
      <c r="V60">
        <v>-0.40000000000002001</v>
      </c>
      <c r="W60">
        <f t="shared" si="9"/>
        <v>-0.51172199999999912</v>
      </c>
    </row>
    <row r="61" spans="1:23" x14ac:dyDescent="0.3">
      <c r="A61">
        <v>3.02</v>
      </c>
      <c r="B61">
        <v>0.61499999999999999</v>
      </c>
      <c r="C61">
        <f t="shared" si="1"/>
        <v>1.8573</v>
      </c>
      <c r="D61">
        <v>1.6799999999999999E-2</v>
      </c>
      <c r="E61" s="1">
        <v>1.7100000000000001E-2</v>
      </c>
      <c r="F61">
        <f t="shared" si="2"/>
        <v>604</v>
      </c>
      <c r="G61">
        <f t="shared" si="3"/>
        <v>-0.61499999999999999</v>
      </c>
      <c r="H61">
        <f t="shared" si="4"/>
        <v>-371.46</v>
      </c>
      <c r="I61">
        <v>1</v>
      </c>
      <c r="J61">
        <f t="shared" si="5"/>
        <v>-0.50418108104732218</v>
      </c>
      <c r="K61">
        <f t="shared" si="6"/>
        <v>-0.60672515177521746</v>
      </c>
      <c r="L61">
        <v>1</v>
      </c>
      <c r="M61">
        <f t="shared" si="7"/>
        <v>0.50756830029864319</v>
      </c>
      <c r="N61">
        <f t="shared" si="13"/>
        <v>5.0735999999999996E-2</v>
      </c>
      <c r="O61">
        <f t="shared" si="11"/>
        <v>5.1642E-2</v>
      </c>
      <c r="P61">
        <f t="shared" si="12"/>
        <v>-3.2211485234257264E-3</v>
      </c>
      <c r="V61">
        <v>-0.30000000000001997</v>
      </c>
      <c r="W61">
        <f t="shared" si="9"/>
        <v>-0.5157089999999992</v>
      </c>
    </row>
    <row r="62" spans="1:23" x14ac:dyDescent="0.3">
      <c r="A62">
        <v>3.07</v>
      </c>
      <c r="B62">
        <v>0.61299999999999999</v>
      </c>
      <c r="C62">
        <f t="shared" si="1"/>
        <v>1.88191</v>
      </c>
      <c r="D62">
        <v>1.6799999999999999E-2</v>
      </c>
      <c r="E62" s="1">
        <v>1.7100000000000001E-2</v>
      </c>
      <c r="F62">
        <f t="shared" si="2"/>
        <v>614</v>
      </c>
      <c r="G62">
        <f t="shared" si="3"/>
        <v>-0.61299999999999999</v>
      </c>
      <c r="H62">
        <f t="shared" si="4"/>
        <v>-376.38200000000001</v>
      </c>
      <c r="I62">
        <v>1</v>
      </c>
      <c r="J62">
        <f t="shared" si="5"/>
        <v>-0.48776035083499458</v>
      </c>
      <c r="K62">
        <f t="shared" si="6"/>
        <v>-0.60872515177521747</v>
      </c>
      <c r="L62">
        <v>1</v>
      </c>
      <c r="M62">
        <f t="shared" si="7"/>
        <v>0.50822299481220878</v>
      </c>
      <c r="N62">
        <f t="shared" si="13"/>
        <v>5.1575999999999997E-2</v>
      </c>
      <c r="O62">
        <f t="shared" si="11"/>
        <v>5.2497000000000002E-2</v>
      </c>
      <c r="P62">
        <f t="shared" si="12"/>
        <v>-3.5708430369913169E-3</v>
      </c>
      <c r="V62">
        <v>-0.20000000000002</v>
      </c>
      <c r="W62">
        <f t="shared" si="9"/>
        <v>-0.51969599999999916</v>
      </c>
    </row>
    <row r="63" spans="1:23" x14ac:dyDescent="0.3">
      <c r="A63">
        <v>3.13</v>
      </c>
      <c r="B63">
        <v>0.61</v>
      </c>
      <c r="C63">
        <f t="shared" si="1"/>
        <v>1.9093</v>
      </c>
      <c r="D63">
        <v>1.6799999999999999E-2</v>
      </c>
      <c r="E63" s="1">
        <v>1.7100000000000001E-2</v>
      </c>
      <c r="F63">
        <f t="shared" si="2"/>
        <v>626</v>
      </c>
      <c r="G63">
        <f t="shared" si="3"/>
        <v>-0.61</v>
      </c>
      <c r="H63">
        <f t="shared" si="4"/>
        <v>-381.86</v>
      </c>
      <c r="I63">
        <v>1</v>
      </c>
      <c r="J63">
        <f t="shared" si="5"/>
        <v>-0.46840490788203853</v>
      </c>
      <c r="K63">
        <f t="shared" si="6"/>
        <v>-0.61172515177521747</v>
      </c>
      <c r="L63">
        <v>1</v>
      </c>
      <c r="M63">
        <f t="shared" si="7"/>
        <v>0.50899469632274308</v>
      </c>
      <c r="N63">
        <f t="shared" si="13"/>
        <v>5.2583999999999992E-2</v>
      </c>
      <c r="O63">
        <f t="shared" si="11"/>
        <v>5.3523000000000001E-2</v>
      </c>
      <c r="P63">
        <f t="shared" si="12"/>
        <v>-3.3765445475256034E-3</v>
      </c>
      <c r="V63">
        <v>-0.10000000000002</v>
      </c>
      <c r="W63">
        <f t="shared" si="9"/>
        <v>-0.52368299999999912</v>
      </c>
    </row>
    <row r="64" spans="1:23" x14ac:dyDescent="0.3">
      <c r="A64">
        <v>3.18</v>
      </c>
      <c r="B64">
        <v>0.60799999999999998</v>
      </c>
      <c r="C64">
        <f t="shared" si="1"/>
        <v>1.93344</v>
      </c>
      <c r="D64">
        <v>1.6799999999999999E-2</v>
      </c>
      <c r="E64" s="1">
        <v>1.7100000000000001E-2</v>
      </c>
      <c r="F64">
        <f t="shared" si="2"/>
        <v>636</v>
      </c>
      <c r="G64">
        <f t="shared" si="3"/>
        <v>-0.60799999999999998</v>
      </c>
      <c r="H64">
        <f t="shared" si="4"/>
        <v>-386.68799999999999</v>
      </c>
      <c r="I64">
        <v>1</v>
      </c>
      <c r="J64">
        <f t="shared" si="5"/>
        <v>-0.45255671564201488</v>
      </c>
      <c r="K64">
        <f t="shared" si="6"/>
        <v>-0.61372515177521747</v>
      </c>
      <c r="L64">
        <v>1</v>
      </c>
      <c r="M64">
        <f t="shared" si="7"/>
        <v>0.50962656374735282</v>
      </c>
      <c r="N64">
        <f t="shared" si="13"/>
        <v>5.3423999999999999E-2</v>
      </c>
      <c r="O64">
        <f t="shared" si="11"/>
        <v>5.4378000000000003E-2</v>
      </c>
      <c r="P64">
        <f t="shared" si="12"/>
        <v>-3.7034119721353551E-3</v>
      </c>
      <c r="V64">
        <v>-2.0428103653102899E-14</v>
      </c>
      <c r="W64">
        <f t="shared" si="9"/>
        <v>-0.5276699999999992</v>
      </c>
    </row>
    <row r="65" spans="1:23" x14ac:dyDescent="0.3">
      <c r="A65">
        <v>3.23</v>
      </c>
      <c r="B65">
        <v>0.60499999999999998</v>
      </c>
      <c r="C65">
        <f t="shared" si="1"/>
        <v>1.9541499999999998</v>
      </c>
      <c r="D65">
        <v>1.6799999999999999E-2</v>
      </c>
      <c r="E65" s="1">
        <v>1.7100000000000001E-2</v>
      </c>
      <c r="F65">
        <f t="shared" si="2"/>
        <v>646</v>
      </c>
      <c r="G65">
        <f t="shared" si="3"/>
        <v>-0.60499999999999998</v>
      </c>
      <c r="H65">
        <f t="shared" si="4"/>
        <v>-390.83</v>
      </c>
      <c r="I65">
        <v>1</v>
      </c>
      <c r="J65">
        <f t="shared" si="5"/>
        <v>-0.43695577519953516</v>
      </c>
      <c r="K65">
        <f t="shared" si="6"/>
        <v>-0.61672515177521747</v>
      </c>
      <c r="L65">
        <v>1</v>
      </c>
      <c r="M65">
        <f t="shared" si="7"/>
        <v>0.51024857324279449</v>
      </c>
      <c r="N65">
        <f t="shared" si="13"/>
        <v>5.4264E-2</v>
      </c>
      <c r="O65">
        <f t="shared" si="11"/>
        <v>5.5233000000000004E-2</v>
      </c>
      <c r="P65">
        <f t="shared" si="12"/>
        <v>-3.0204214675770211E-3</v>
      </c>
      <c r="V65">
        <v>9.9999999999980105E-2</v>
      </c>
      <c r="W65">
        <f t="shared" si="9"/>
        <v>-0.53165699999999916</v>
      </c>
    </row>
    <row r="66" spans="1:23" x14ac:dyDescent="0.3">
      <c r="A66">
        <v>3.28</v>
      </c>
      <c r="B66">
        <v>0.60299999999999998</v>
      </c>
      <c r="C66">
        <f t="shared" si="1"/>
        <v>1.9778399999999998</v>
      </c>
      <c r="D66">
        <v>1.6799999999999999E-2</v>
      </c>
      <c r="E66" s="1">
        <v>1.7100000000000001E-2</v>
      </c>
      <c r="F66">
        <f t="shared" si="2"/>
        <v>656</v>
      </c>
      <c r="G66">
        <f t="shared" si="3"/>
        <v>-0.60299999999999998</v>
      </c>
      <c r="H66">
        <f t="shared" si="4"/>
        <v>-395.56799999999998</v>
      </c>
      <c r="I66">
        <v>1</v>
      </c>
      <c r="J66">
        <f t="shared" si="5"/>
        <v>-0.42159449003804794</v>
      </c>
      <c r="K66">
        <f t="shared" si="6"/>
        <v>-0.61872515177521747</v>
      </c>
      <c r="L66">
        <v>1</v>
      </c>
      <c r="M66">
        <f t="shared" si="7"/>
        <v>0.510861027682183</v>
      </c>
      <c r="N66">
        <f t="shared" si="13"/>
        <v>5.5103999999999993E-2</v>
      </c>
      <c r="O66">
        <f t="shared" si="11"/>
        <v>5.6087999999999999E-2</v>
      </c>
      <c r="P66">
        <f t="shared" si="12"/>
        <v>-3.3278759069655175E-3</v>
      </c>
      <c r="V66">
        <v>0.19999999999998</v>
      </c>
      <c r="W66">
        <f t="shared" si="9"/>
        <v>-0.53564399999999912</v>
      </c>
    </row>
    <row r="67" spans="1:23" x14ac:dyDescent="0.3">
      <c r="A67">
        <v>3.33</v>
      </c>
      <c r="B67">
        <v>0.6</v>
      </c>
      <c r="C67">
        <f t="shared" si="1"/>
        <v>1.998</v>
      </c>
      <c r="D67">
        <v>1.6799999999999999E-2</v>
      </c>
      <c r="E67" s="1">
        <v>1.7100000000000001E-2</v>
      </c>
      <c r="F67">
        <f t="shared" si="2"/>
        <v>666</v>
      </c>
      <c r="G67">
        <f t="shared" si="3"/>
        <v>-0.6</v>
      </c>
      <c r="H67">
        <f t="shared" si="4"/>
        <v>-399.6</v>
      </c>
      <c r="I67">
        <v>1</v>
      </c>
      <c r="J67">
        <f t="shared" si="5"/>
        <v>-0.40646560844174784</v>
      </c>
      <c r="K67">
        <f t="shared" si="6"/>
        <v>-0.62172515177521748</v>
      </c>
      <c r="L67">
        <v>1</v>
      </c>
      <c r="M67">
        <f t="shared" si="7"/>
        <v>0.51146421619142746</v>
      </c>
      <c r="N67">
        <f t="shared" si="13"/>
        <v>5.5944000000000001E-2</v>
      </c>
      <c r="O67">
        <f t="shared" si="11"/>
        <v>5.6943000000000001E-2</v>
      </c>
      <c r="P67">
        <f t="shared" si="12"/>
        <v>-2.6260644162099805E-3</v>
      </c>
      <c r="V67">
        <v>0.29999999999998</v>
      </c>
      <c r="W67">
        <f t="shared" si="9"/>
        <v>-0.53963099999999919</v>
      </c>
    </row>
    <row r="68" spans="1:23" x14ac:dyDescent="0.3">
      <c r="A68">
        <v>3.38</v>
      </c>
      <c r="B68">
        <v>0.59699999999999998</v>
      </c>
      <c r="C68">
        <f t="shared" si="1"/>
        <v>2.0178599999999998</v>
      </c>
      <c r="D68">
        <v>1.6799999999999999E-2</v>
      </c>
      <c r="E68" s="1">
        <v>1.7100000000000001E-2</v>
      </c>
      <c r="F68">
        <f t="shared" si="2"/>
        <v>676</v>
      </c>
      <c r="G68">
        <f t="shared" si="3"/>
        <v>-0.59699999999999998</v>
      </c>
      <c r="H68">
        <f t="shared" si="4"/>
        <v>-403.57199999999995</v>
      </c>
      <c r="I68">
        <v>1</v>
      </c>
      <c r="J68">
        <f t="shared" si="5"/>
        <v>-0.39156220293917288</v>
      </c>
      <c r="K68">
        <f t="shared" si="6"/>
        <v>-0.62472515177521748</v>
      </c>
      <c r="L68">
        <v>1</v>
      </c>
      <c r="M68">
        <f t="shared" si="7"/>
        <v>0.5120584149688151</v>
      </c>
      <c r="N68">
        <f t="shared" si="13"/>
        <v>5.6783999999999994E-2</v>
      </c>
      <c r="O68">
        <f t="shared" si="11"/>
        <v>5.7798000000000002E-2</v>
      </c>
      <c r="P68">
        <f t="shared" si="12"/>
        <v>-1.9152631935976175E-3</v>
      </c>
      <c r="V68">
        <v>0.39999999999997998</v>
      </c>
      <c r="W68">
        <f t="shared" si="9"/>
        <v>-0.54361799999999916</v>
      </c>
    </row>
    <row r="69" spans="1:23" x14ac:dyDescent="0.3">
      <c r="A69">
        <v>3.43</v>
      </c>
      <c r="B69">
        <v>0.59499999999999997</v>
      </c>
      <c r="C69">
        <f t="shared" ref="C69:C132" si="14">A69*B69</f>
        <v>2.0408499999999998</v>
      </c>
      <c r="D69">
        <v>1.6799999999999999E-2</v>
      </c>
      <c r="E69" s="1">
        <v>1.7100000000000001E-2</v>
      </c>
      <c r="F69">
        <f t="shared" ref="F69:F132" si="15">A69*200</f>
        <v>686</v>
      </c>
      <c r="G69">
        <f t="shared" ref="G69:G132" si="16">-B69</f>
        <v>-0.59499999999999997</v>
      </c>
      <c r="H69">
        <f t="shared" ref="H69:H132" si="17">-C69*200</f>
        <v>-408.16999999999996</v>
      </c>
      <c r="I69">
        <v>1</v>
      </c>
      <c r="J69">
        <f t="shared" ref="J69:J132" si="18">LN(F69/1000)</f>
        <v>-0.37687765125625172</v>
      </c>
      <c r="K69">
        <f t="shared" ref="K69:K132" si="19">((-G69)-$N$2)</f>
        <v>-0.62672515177521748</v>
      </c>
      <c r="L69">
        <v>1</v>
      </c>
      <c r="M69">
        <f t="shared" ref="M69:M132" si="20">-1*($S$4+($S$5*J69))</f>
        <v>0.51264388804441319</v>
      </c>
      <c r="N69">
        <f t="shared" si="13"/>
        <v>5.7624000000000002E-2</v>
      </c>
      <c r="O69">
        <f t="shared" si="11"/>
        <v>5.8653000000000004E-2</v>
      </c>
      <c r="P69">
        <f t="shared" si="12"/>
        <v>-2.1957362691957111E-3</v>
      </c>
      <c r="V69">
        <v>0.49999999999998002</v>
      </c>
      <c r="W69">
        <f t="shared" ref="W69:W132" si="21">V69*$S$5+$S$4</f>
        <v>-0.54760499999999923</v>
      </c>
    </row>
    <row r="70" spans="1:23" x14ac:dyDescent="0.3">
      <c r="A70">
        <v>3.49</v>
      </c>
      <c r="B70">
        <v>0.59199999999999997</v>
      </c>
      <c r="C70">
        <f t="shared" si="14"/>
        <v>2.0660799999999999</v>
      </c>
      <c r="D70">
        <v>1.6799999999999999E-2</v>
      </c>
      <c r="E70" s="1">
        <v>1.7100000000000001E-2</v>
      </c>
      <c r="F70">
        <f t="shared" si="15"/>
        <v>698</v>
      </c>
      <c r="G70">
        <f t="shared" si="16"/>
        <v>-0.59199999999999997</v>
      </c>
      <c r="H70">
        <f t="shared" si="17"/>
        <v>-413.21600000000001</v>
      </c>
      <c r="I70">
        <v>1</v>
      </c>
      <c r="J70">
        <f t="shared" si="18"/>
        <v>-0.35953617621976464</v>
      </c>
      <c r="K70">
        <f t="shared" si="19"/>
        <v>-0.62972515177521748</v>
      </c>
      <c r="L70">
        <v>1</v>
      </c>
      <c r="M70">
        <f t="shared" si="20"/>
        <v>0.51333529265411793</v>
      </c>
      <c r="N70">
        <f t="shared" si="13"/>
        <v>5.8631999999999997E-2</v>
      </c>
      <c r="O70">
        <f t="shared" ref="O70:O133" si="22">E70*A70</f>
        <v>5.9679000000000003E-2</v>
      </c>
      <c r="P70">
        <f t="shared" ref="P70:P133" si="23">-K70-M70-N70-O70</f>
        <v>-1.9211408789004403E-3</v>
      </c>
      <c r="V70">
        <v>0.59999999999997999</v>
      </c>
      <c r="W70">
        <f t="shared" si="21"/>
        <v>-0.55159199999999919</v>
      </c>
    </row>
    <row r="71" spans="1:23" x14ac:dyDescent="0.3">
      <c r="A71">
        <v>3.54</v>
      </c>
      <c r="B71">
        <v>0.59</v>
      </c>
      <c r="C71">
        <f t="shared" si="14"/>
        <v>2.0886</v>
      </c>
      <c r="D71">
        <v>1.6799999999999999E-2</v>
      </c>
      <c r="E71" s="1">
        <v>1.7100000000000001E-2</v>
      </c>
      <c r="F71">
        <f t="shared" si="15"/>
        <v>708</v>
      </c>
      <c r="G71">
        <f t="shared" si="16"/>
        <v>-0.59</v>
      </c>
      <c r="H71">
        <f t="shared" si="17"/>
        <v>-417.72</v>
      </c>
      <c r="I71">
        <v>1</v>
      </c>
      <c r="J71">
        <f t="shared" si="18"/>
        <v>-0.34531118528841737</v>
      </c>
      <c r="K71">
        <f t="shared" si="19"/>
        <v>-0.63172515177521749</v>
      </c>
      <c r="L71">
        <v>1</v>
      </c>
      <c r="M71">
        <f t="shared" si="20"/>
        <v>0.51390244304255073</v>
      </c>
      <c r="N71">
        <f t="shared" ref="N71:N134" si="24">D71*A71</f>
        <v>5.9471999999999997E-2</v>
      </c>
      <c r="O71">
        <f t="shared" si="22"/>
        <v>6.0534000000000004E-2</v>
      </c>
      <c r="P71">
        <f t="shared" si="23"/>
        <v>-2.1832912673332427E-3</v>
      </c>
      <c r="V71">
        <v>0.69999999999997997</v>
      </c>
      <c r="W71">
        <f t="shared" si="21"/>
        <v>-0.55557899999999916</v>
      </c>
    </row>
    <row r="72" spans="1:23" x14ac:dyDescent="0.3">
      <c r="A72">
        <v>3.59</v>
      </c>
      <c r="B72">
        <v>0.58699999999999997</v>
      </c>
      <c r="C72">
        <f t="shared" si="14"/>
        <v>2.1073299999999997</v>
      </c>
      <c r="D72">
        <v>1.6799999999999999E-2</v>
      </c>
      <c r="E72" s="1">
        <v>1.7100000000000001E-2</v>
      </c>
      <c r="F72">
        <f t="shared" si="15"/>
        <v>718</v>
      </c>
      <c r="G72">
        <f t="shared" si="16"/>
        <v>-0.58699999999999997</v>
      </c>
      <c r="H72">
        <f t="shared" si="17"/>
        <v>-421.46599999999995</v>
      </c>
      <c r="I72">
        <v>1</v>
      </c>
      <c r="J72">
        <f t="shared" si="18"/>
        <v>-0.33128570993391293</v>
      </c>
      <c r="K72">
        <f t="shared" si="19"/>
        <v>-0.63472515177521749</v>
      </c>
      <c r="L72">
        <v>1</v>
      </c>
      <c r="M72">
        <f t="shared" si="20"/>
        <v>0.51446163874493489</v>
      </c>
      <c r="N72">
        <f t="shared" si="24"/>
        <v>6.0311999999999991E-2</v>
      </c>
      <c r="O72">
        <f t="shared" si="22"/>
        <v>6.1388999999999999E-2</v>
      </c>
      <c r="P72">
        <f t="shared" si="23"/>
        <v>-1.4374869697173914E-3</v>
      </c>
      <c r="V72">
        <v>0.79999999999997995</v>
      </c>
      <c r="W72">
        <f t="shared" si="21"/>
        <v>-0.55956599999999912</v>
      </c>
    </row>
    <row r="73" spans="1:23" x14ac:dyDescent="0.3">
      <c r="A73">
        <v>3.64</v>
      </c>
      <c r="B73">
        <v>0.58499999999999996</v>
      </c>
      <c r="C73">
        <f t="shared" si="14"/>
        <v>2.1294</v>
      </c>
      <c r="D73">
        <v>1.6799999999999999E-2</v>
      </c>
      <c r="E73" s="1">
        <v>1.7100000000000001E-2</v>
      </c>
      <c r="F73">
        <f t="shared" si="15"/>
        <v>728</v>
      </c>
      <c r="G73">
        <f t="shared" si="16"/>
        <v>-0.58499999999999996</v>
      </c>
      <c r="H73">
        <f t="shared" si="17"/>
        <v>-425.88</v>
      </c>
      <c r="I73">
        <v>1</v>
      </c>
      <c r="J73">
        <f t="shared" si="18"/>
        <v>-0.3174542307854511</v>
      </c>
      <c r="K73">
        <f t="shared" si="19"/>
        <v>-0.63672515177521749</v>
      </c>
      <c r="L73">
        <v>1</v>
      </c>
      <c r="M73">
        <f t="shared" si="20"/>
        <v>0.51501309981858401</v>
      </c>
      <c r="N73">
        <f t="shared" si="24"/>
        <v>6.1151999999999998E-2</v>
      </c>
      <c r="O73">
        <f t="shared" si="22"/>
        <v>6.2244000000000008E-2</v>
      </c>
      <c r="P73">
        <f t="shared" si="23"/>
        <v>-1.6839480433665233E-3</v>
      </c>
      <c r="V73">
        <v>0.89999999999998004</v>
      </c>
      <c r="W73">
        <f t="shared" si="21"/>
        <v>-0.56355299999999919</v>
      </c>
    </row>
    <row r="74" spans="1:23" x14ac:dyDescent="0.3">
      <c r="A74">
        <v>3.69</v>
      </c>
      <c r="B74">
        <v>0.58199999999999996</v>
      </c>
      <c r="C74">
        <f t="shared" si="14"/>
        <v>2.14758</v>
      </c>
      <c r="D74">
        <v>1.6799999999999999E-2</v>
      </c>
      <c r="E74" s="1">
        <v>1.7100000000000001E-2</v>
      </c>
      <c r="F74">
        <f t="shared" si="15"/>
        <v>738</v>
      </c>
      <c r="G74">
        <f t="shared" si="16"/>
        <v>-0.58199999999999996</v>
      </c>
      <c r="H74">
        <f t="shared" si="17"/>
        <v>-429.51600000000002</v>
      </c>
      <c r="I74">
        <v>1</v>
      </c>
      <c r="J74">
        <f t="shared" si="18"/>
        <v>-0.30381145438166457</v>
      </c>
      <c r="K74">
        <f t="shared" si="19"/>
        <v>-0.63972515177521749</v>
      </c>
      <c r="L74">
        <v>1</v>
      </c>
      <c r="M74">
        <f t="shared" si="20"/>
        <v>0.51555703731380298</v>
      </c>
      <c r="N74">
        <f t="shared" si="24"/>
        <v>6.1991999999999998E-2</v>
      </c>
      <c r="O74">
        <f t="shared" si="22"/>
        <v>6.3099000000000002E-2</v>
      </c>
      <c r="P74">
        <f t="shared" si="23"/>
        <v>-9.22885538585487E-4</v>
      </c>
      <c r="V74">
        <v>0.99999999999998002</v>
      </c>
      <c r="W74">
        <f t="shared" si="21"/>
        <v>-0.56753999999999916</v>
      </c>
    </row>
    <row r="75" spans="1:23" x14ac:dyDescent="0.3">
      <c r="A75">
        <v>3.74</v>
      </c>
      <c r="B75">
        <v>0.57999999999999996</v>
      </c>
      <c r="C75">
        <f t="shared" si="14"/>
        <v>2.1692</v>
      </c>
      <c r="D75">
        <v>1.6799999999999999E-2</v>
      </c>
      <c r="E75" s="1">
        <v>1.7100000000000001E-2</v>
      </c>
      <c r="F75">
        <f t="shared" si="15"/>
        <v>748</v>
      </c>
      <c r="G75">
        <f t="shared" si="16"/>
        <v>-0.57999999999999996</v>
      </c>
      <c r="H75">
        <f t="shared" si="17"/>
        <v>-433.84000000000003</v>
      </c>
      <c r="I75">
        <v>1</v>
      </c>
      <c r="J75">
        <f t="shared" si="18"/>
        <v>-0.2903523010076598</v>
      </c>
      <c r="K75">
        <f t="shared" si="19"/>
        <v>-0.64172515177521749</v>
      </c>
      <c r="L75">
        <v>1</v>
      </c>
      <c r="M75">
        <f t="shared" si="20"/>
        <v>0.51609365375882454</v>
      </c>
      <c r="N75">
        <f t="shared" si="24"/>
        <v>6.2831999999999999E-2</v>
      </c>
      <c r="O75">
        <f t="shared" si="22"/>
        <v>6.3954000000000011E-2</v>
      </c>
      <c r="P75">
        <f t="shared" si="23"/>
        <v>-1.1545019836070591E-3</v>
      </c>
      <c r="V75">
        <v>1.0999999999999699</v>
      </c>
      <c r="W75">
        <f t="shared" si="21"/>
        <v>-0.57152699999999879</v>
      </c>
    </row>
    <row r="76" spans="1:23" x14ac:dyDescent="0.3">
      <c r="A76">
        <v>3.8</v>
      </c>
      <c r="B76">
        <v>0.57799999999999996</v>
      </c>
      <c r="C76">
        <f t="shared" si="14"/>
        <v>2.1963999999999997</v>
      </c>
      <c r="D76">
        <v>1.6799999999999999E-2</v>
      </c>
      <c r="E76" s="1">
        <v>1.7100000000000001E-2</v>
      </c>
      <c r="F76">
        <f t="shared" si="15"/>
        <v>760</v>
      </c>
      <c r="G76">
        <f t="shared" si="16"/>
        <v>-0.57799999999999996</v>
      </c>
      <c r="H76">
        <f t="shared" si="17"/>
        <v>-439.27999999999992</v>
      </c>
      <c r="I76">
        <v>1</v>
      </c>
      <c r="J76">
        <f t="shared" si="18"/>
        <v>-0.2744368457017603</v>
      </c>
      <c r="K76">
        <f t="shared" si="19"/>
        <v>-0.6437251517752175</v>
      </c>
      <c r="L76">
        <v>1</v>
      </c>
      <c r="M76">
        <f t="shared" si="20"/>
        <v>0.51672820296187083</v>
      </c>
      <c r="N76">
        <f t="shared" si="24"/>
        <v>6.3839999999999994E-2</v>
      </c>
      <c r="O76">
        <f t="shared" si="22"/>
        <v>6.4979999999999996E-2</v>
      </c>
      <c r="P76">
        <f t="shared" si="23"/>
        <v>-1.8230511866533239E-3</v>
      </c>
      <c r="V76">
        <v>1.19999999999997</v>
      </c>
      <c r="W76">
        <f t="shared" si="21"/>
        <v>-0.57551399999999875</v>
      </c>
    </row>
    <row r="77" spans="1:23" x14ac:dyDescent="0.3">
      <c r="A77">
        <v>3.85</v>
      </c>
      <c r="B77">
        <v>0.57499999999999996</v>
      </c>
      <c r="C77">
        <f t="shared" si="14"/>
        <v>2.2137499999999997</v>
      </c>
      <c r="D77">
        <v>1.6799999999999999E-2</v>
      </c>
      <c r="E77" s="1">
        <v>1.7100000000000001E-2</v>
      </c>
      <c r="F77">
        <f t="shared" si="15"/>
        <v>770</v>
      </c>
      <c r="G77">
        <f t="shared" si="16"/>
        <v>-0.57499999999999996</v>
      </c>
      <c r="H77">
        <f t="shared" si="17"/>
        <v>-442.74999999999994</v>
      </c>
      <c r="I77">
        <v>1</v>
      </c>
      <c r="J77">
        <f t="shared" si="18"/>
        <v>-0.26136476413440751</v>
      </c>
      <c r="K77">
        <f t="shared" si="19"/>
        <v>-0.6467251517752175</v>
      </c>
      <c r="L77">
        <v>1</v>
      </c>
      <c r="M77">
        <f t="shared" si="20"/>
        <v>0.51724938685396116</v>
      </c>
      <c r="N77">
        <f t="shared" si="24"/>
        <v>6.4680000000000001E-2</v>
      </c>
      <c r="O77">
        <f t="shared" si="22"/>
        <v>6.5835000000000005E-2</v>
      </c>
      <c r="P77">
        <f t="shared" si="23"/>
        <v>-1.0392350787436638E-3</v>
      </c>
      <c r="V77">
        <v>1.2999999999999701</v>
      </c>
      <c r="W77">
        <f t="shared" si="21"/>
        <v>-0.57950099999999882</v>
      </c>
    </row>
    <row r="78" spans="1:23" x14ac:dyDescent="0.3">
      <c r="A78">
        <v>3.9</v>
      </c>
      <c r="B78">
        <v>0.57299999999999995</v>
      </c>
      <c r="C78">
        <f t="shared" si="14"/>
        <v>2.2346999999999997</v>
      </c>
      <c r="D78">
        <v>1.6799999999999999E-2</v>
      </c>
      <c r="E78" s="1">
        <v>1.7100000000000001E-2</v>
      </c>
      <c r="F78">
        <f t="shared" si="15"/>
        <v>780</v>
      </c>
      <c r="G78">
        <f t="shared" si="16"/>
        <v>-0.57299999999999995</v>
      </c>
      <c r="H78">
        <f t="shared" si="17"/>
        <v>-446.93999999999994</v>
      </c>
      <c r="I78">
        <v>1</v>
      </c>
      <c r="J78">
        <f t="shared" si="18"/>
        <v>-0.24846135929849961</v>
      </c>
      <c r="K78">
        <f t="shared" si="19"/>
        <v>-0.6487251517752175</v>
      </c>
      <c r="L78">
        <v>1</v>
      </c>
      <c r="M78">
        <f t="shared" si="20"/>
        <v>0.51776384560476885</v>
      </c>
      <c r="N78">
        <f t="shared" si="24"/>
        <v>6.5519999999999995E-2</v>
      </c>
      <c r="O78">
        <f t="shared" si="22"/>
        <v>6.6689999999999999E-2</v>
      </c>
      <c r="P78">
        <f t="shared" si="23"/>
        <v>-1.2486938295513395E-3</v>
      </c>
      <c r="V78">
        <v>1.3999999999999699</v>
      </c>
      <c r="W78">
        <f t="shared" si="21"/>
        <v>-0.58348799999999879</v>
      </c>
    </row>
    <row r="79" spans="1:23" x14ac:dyDescent="0.3">
      <c r="A79">
        <v>3.95</v>
      </c>
      <c r="B79">
        <v>0.56999999999999995</v>
      </c>
      <c r="C79">
        <f t="shared" si="14"/>
        <v>2.2515000000000001</v>
      </c>
      <c r="D79">
        <v>1.6799999999999999E-2</v>
      </c>
      <c r="E79" s="1">
        <v>1.7100000000000001E-2</v>
      </c>
      <c r="F79">
        <f t="shared" si="15"/>
        <v>790</v>
      </c>
      <c r="G79">
        <f t="shared" si="16"/>
        <v>-0.56999999999999995</v>
      </c>
      <c r="H79">
        <f t="shared" si="17"/>
        <v>-450.3</v>
      </c>
      <c r="I79">
        <v>1</v>
      </c>
      <c r="J79">
        <f t="shared" si="18"/>
        <v>-0.23572233352106983</v>
      </c>
      <c r="K79">
        <f t="shared" si="19"/>
        <v>-0.6517251517752175</v>
      </c>
      <c r="L79">
        <v>1</v>
      </c>
      <c r="M79">
        <f t="shared" si="20"/>
        <v>0.51827175056251495</v>
      </c>
      <c r="N79">
        <f t="shared" si="24"/>
        <v>6.6360000000000002E-2</v>
      </c>
      <c r="O79">
        <f t="shared" si="22"/>
        <v>6.7545000000000008E-2</v>
      </c>
      <c r="P79">
        <f t="shared" si="23"/>
        <v>-4.5159878729746084E-4</v>
      </c>
      <c r="V79">
        <v>1.49999999999997</v>
      </c>
      <c r="W79">
        <f t="shared" si="21"/>
        <v>-0.58747499999999875</v>
      </c>
    </row>
    <row r="80" spans="1:23" x14ac:dyDescent="0.3">
      <c r="A80">
        <v>4</v>
      </c>
      <c r="B80">
        <v>0.56799999999999995</v>
      </c>
      <c r="C80">
        <f t="shared" si="14"/>
        <v>2.2719999999999998</v>
      </c>
      <c r="D80">
        <v>1.6799999999999999E-2</v>
      </c>
      <c r="E80" s="1">
        <v>1.7100000000000001E-2</v>
      </c>
      <c r="F80">
        <f t="shared" si="15"/>
        <v>800</v>
      </c>
      <c r="G80">
        <f t="shared" si="16"/>
        <v>-0.56799999999999995</v>
      </c>
      <c r="H80">
        <f t="shared" si="17"/>
        <v>-454.4</v>
      </c>
      <c r="I80">
        <v>1</v>
      </c>
      <c r="J80">
        <f t="shared" si="18"/>
        <v>-0.22314355131420971</v>
      </c>
      <c r="K80">
        <f t="shared" si="19"/>
        <v>-0.65372515177521751</v>
      </c>
      <c r="L80">
        <v>1</v>
      </c>
      <c r="M80">
        <f t="shared" si="20"/>
        <v>0.51877326660910239</v>
      </c>
      <c r="N80">
        <f t="shared" si="24"/>
        <v>6.7199999999999996E-2</v>
      </c>
      <c r="O80">
        <f t="shared" si="22"/>
        <v>6.8400000000000002E-2</v>
      </c>
      <c r="P80">
        <f t="shared" si="23"/>
        <v>-6.48114833884883E-4</v>
      </c>
      <c r="V80">
        <v>1.5999999999999699</v>
      </c>
      <c r="W80">
        <f t="shared" si="21"/>
        <v>-0.59146199999999882</v>
      </c>
    </row>
    <row r="81" spans="1:23" x14ac:dyDescent="0.3">
      <c r="A81">
        <v>4.05</v>
      </c>
      <c r="B81">
        <v>0.56499999999999995</v>
      </c>
      <c r="C81">
        <f t="shared" si="14"/>
        <v>2.2882499999999997</v>
      </c>
      <c r="D81">
        <v>1.6799999999999999E-2</v>
      </c>
      <c r="E81" s="1">
        <v>1.7100000000000001E-2</v>
      </c>
      <c r="F81">
        <f t="shared" si="15"/>
        <v>810</v>
      </c>
      <c r="G81">
        <f t="shared" si="16"/>
        <v>-0.56499999999999995</v>
      </c>
      <c r="H81">
        <f t="shared" si="17"/>
        <v>-457.64999999999992</v>
      </c>
      <c r="I81">
        <v>1</v>
      </c>
      <c r="J81">
        <f t="shared" si="18"/>
        <v>-0.21072103131565253</v>
      </c>
      <c r="K81">
        <f t="shared" si="19"/>
        <v>-0.65672515177521751</v>
      </c>
      <c r="L81">
        <v>1</v>
      </c>
      <c r="M81">
        <f t="shared" si="20"/>
        <v>0.51926855248144488</v>
      </c>
      <c r="N81">
        <f t="shared" si="24"/>
        <v>6.8039999999999989E-2</v>
      </c>
      <c r="O81">
        <f t="shared" si="22"/>
        <v>6.9254999999999997E-2</v>
      </c>
      <c r="P81">
        <f t="shared" si="23"/>
        <v>1.6159929377264348E-4</v>
      </c>
      <c r="V81">
        <v>1.69999999999997</v>
      </c>
      <c r="W81">
        <f t="shared" si="21"/>
        <v>-0.59544899999999878</v>
      </c>
    </row>
    <row r="82" spans="1:23" x14ac:dyDescent="0.3">
      <c r="A82">
        <v>4.0999999999999996</v>
      </c>
      <c r="B82">
        <v>0.56299999999999994</v>
      </c>
      <c r="C82">
        <f t="shared" si="14"/>
        <v>2.3082999999999996</v>
      </c>
      <c r="D82">
        <v>1.6799999999999999E-2</v>
      </c>
      <c r="E82" s="1">
        <v>1.7100000000000001E-2</v>
      </c>
      <c r="F82">
        <f t="shared" si="15"/>
        <v>819.99999999999989</v>
      </c>
      <c r="G82">
        <f t="shared" si="16"/>
        <v>-0.56299999999999994</v>
      </c>
      <c r="H82">
        <f t="shared" si="17"/>
        <v>-461.65999999999991</v>
      </c>
      <c r="I82">
        <v>1</v>
      </c>
      <c r="J82">
        <f t="shared" si="18"/>
        <v>-0.19845093872383845</v>
      </c>
      <c r="K82">
        <f t="shared" si="19"/>
        <v>-0.65872515177521751</v>
      </c>
      <c r="L82">
        <v>1</v>
      </c>
      <c r="M82">
        <f t="shared" si="20"/>
        <v>0.51975776107308058</v>
      </c>
      <c r="N82">
        <f t="shared" si="24"/>
        <v>6.8879999999999983E-2</v>
      </c>
      <c r="O82">
        <f t="shared" si="22"/>
        <v>7.0109999999999992E-2</v>
      </c>
      <c r="P82">
        <f t="shared" si="23"/>
        <v>-2.2609297863046551E-5</v>
      </c>
      <c r="V82">
        <v>1.7999999999999701</v>
      </c>
      <c r="W82">
        <f t="shared" si="21"/>
        <v>-0.59943599999999875</v>
      </c>
    </row>
    <row r="83" spans="1:23" x14ac:dyDescent="0.3">
      <c r="A83">
        <v>4.16</v>
      </c>
      <c r="B83">
        <v>0.56100000000000005</v>
      </c>
      <c r="C83">
        <f t="shared" si="14"/>
        <v>2.3337600000000003</v>
      </c>
      <c r="D83">
        <v>1.6799999999999999E-2</v>
      </c>
      <c r="E83" s="1">
        <v>1.7100000000000001E-2</v>
      </c>
      <c r="F83">
        <f t="shared" si="15"/>
        <v>832</v>
      </c>
      <c r="G83">
        <f t="shared" si="16"/>
        <v>-0.56100000000000005</v>
      </c>
      <c r="H83">
        <f t="shared" si="17"/>
        <v>-466.75200000000007</v>
      </c>
      <c r="I83">
        <v>1</v>
      </c>
      <c r="J83">
        <f t="shared" si="18"/>
        <v>-0.1839228381609285</v>
      </c>
      <c r="K83">
        <f t="shared" si="19"/>
        <v>-0.6607251517752174</v>
      </c>
      <c r="L83">
        <v>1</v>
      </c>
      <c r="M83">
        <f t="shared" si="20"/>
        <v>0.52033699644252374</v>
      </c>
      <c r="N83">
        <f t="shared" si="24"/>
        <v>6.9887999999999992E-2</v>
      </c>
      <c r="O83">
        <f t="shared" si="22"/>
        <v>7.1136000000000005E-2</v>
      </c>
      <c r="P83">
        <f t="shared" si="23"/>
        <v>-6.3584466730633171E-4</v>
      </c>
      <c r="V83">
        <v>1.8999999999999699</v>
      </c>
      <c r="W83">
        <f t="shared" si="21"/>
        <v>-0.60342299999999882</v>
      </c>
    </row>
    <row r="84" spans="1:23" x14ac:dyDescent="0.3">
      <c r="A84">
        <v>4.21</v>
      </c>
      <c r="B84">
        <v>0.55800000000000005</v>
      </c>
      <c r="C84">
        <f t="shared" si="14"/>
        <v>2.34918</v>
      </c>
      <c r="D84">
        <v>1.6799999999999999E-2</v>
      </c>
      <c r="E84" s="1">
        <v>1.7100000000000001E-2</v>
      </c>
      <c r="F84">
        <f t="shared" si="15"/>
        <v>842</v>
      </c>
      <c r="G84">
        <f t="shared" si="16"/>
        <v>-0.55800000000000005</v>
      </c>
      <c r="H84">
        <f t="shared" si="17"/>
        <v>-469.83600000000001</v>
      </c>
      <c r="I84">
        <v>1</v>
      </c>
      <c r="J84">
        <f t="shared" si="18"/>
        <v>-0.17197526473981037</v>
      </c>
      <c r="K84">
        <f t="shared" si="19"/>
        <v>-0.6637251517752174</v>
      </c>
      <c r="L84">
        <v>1</v>
      </c>
      <c r="M84">
        <f t="shared" si="20"/>
        <v>0.52081334619482378</v>
      </c>
      <c r="N84">
        <f t="shared" si="24"/>
        <v>7.0727999999999999E-2</v>
      </c>
      <c r="O84">
        <f t="shared" si="22"/>
        <v>7.1990999999999999E-2</v>
      </c>
      <c r="P84">
        <f t="shared" si="23"/>
        <v>1.9280558039362627E-4</v>
      </c>
      <c r="V84">
        <v>1.99999999999997</v>
      </c>
      <c r="W84">
        <f t="shared" si="21"/>
        <v>-0.60740999999999878</v>
      </c>
    </row>
    <row r="85" spans="1:23" x14ac:dyDescent="0.3">
      <c r="A85">
        <v>4.26</v>
      </c>
      <c r="B85">
        <v>0.55600000000000005</v>
      </c>
      <c r="C85">
        <f t="shared" si="14"/>
        <v>2.36856</v>
      </c>
      <c r="D85">
        <v>1.6799999999999999E-2</v>
      </c>
      <c r="E85" s="1">
        <v>1.7100000000000001E-2</v>
      </c>
      <c r="F85">
        <f t="shared" si="15"/>
        <v>852</v>
      </c>
      <c r="G85">
        <f t="shared" si="16"/>
        <v>-0.55600000000000005</v>
      </c>
      <c r="H85">
        <f t="shared" si="17"/>
        <v>-473.71199999999999</v>
      </c>
      <c r="I85">
        <v>1</v>
      </c>
      <c r="J85">
        <f t="shared" si="18"/>
        <v>-0.16016875215282134</v>
      </c>
      <c r="K85">
        <f t="shared" si="19"/>
        <v>-0.66572515177521741</v>
      </c>
      <c r="L85">
        <v>1</v>
      </c>
      <c r="M85">
        <f t="shared" si="20"/>
        <v>0.52128407185166703</v>
      </c>
      <c r="N85">
        <f t="shared" si="24"/>
        <v>7.1567999999999993E-2</v>
      </c>
      <c r="O85">
        <f t="shared" si="22"/>
        <v>7.2845999999999994E-2</v>
      </c>
      <c r="P85">
        <f t="shared" si="23"/>
        <v>2.7079923550388241E-5</v>
      </c>
      <c r="V85">
        <v>2.0999999999999699</v>
      </c>
      <c r="W85">
        <f t="shared" si="21"/>
        <v>-0.61139699999999875</v>
      </c>
    </row>
    <row r="86" spans="1:23" x14ac:dyDescent="0.3">
      <c r="A86">
        <v>4.3099999999999996</v>
      </c>
      <c r="B86">
        <v>0.55400000000000005</v>
      </c>
      <c r="C86">
        <f t="shared" si="14"/>
        <v>2.38774</v>
      </c>
      <c r="D86">
        <v>1.6799999999999999E-2</v>
      </c>
      <c r="E86" s="1">
        <v>1.7100000000000001E-2</v>
      </c>
      <c r="F86">
        <f t="shared" si="15"/>
        <v>861.99999999999989</v>
      </c>
      <c r="G86">
        <f t="shared" si="16"/>
        <v>-0.55400000000000005</v>
      </c>
      <c r="H86">
        <f t="shared" si="17"/>
        <v>-477.548</v>
      </c>
      <c r="I86">
        <v>1</v>
      </c>
      <c r="J86">
        <f t="shared" si="18"/>
        <v>-0.14850000831844409</v>
      </c>
      <c r="K86">
        <f t="shared" si="19"/>
        <v>-0.66772515177521741</v>
      </c>
      <c r="L86">
        <v>1</v>
      </c>
      <c r="M86">
        <f t="shared" si="20"/>
        <v>0.52174930466834357</v>
      </c>
      <c r="N86">
        <f t="shared" si="24"/>
        <v>7.2407999999999986E-2</v>
      </c>
      <c r="O86">
        <f t="shared" si="22"/>
        <v>7.3701000000000003E-2</v>
      </c>
      <c r="P86">
        <f t="shared" si="23"/>
        <v>-1.3315289312615386E-4</v>
      </c>
      <c r="V86">
        <v>2.19999999999997</v>
      </c>
      <c r="W86">
        <f t="shared" si="21"/>
        <v>-0.61538399999999882</v>
      </c>
    </row>
    <row r="87" spans="1:23" x14ac:dyDescent="0.3">
      <c r="A87">
        <v>4.37</v>
      </c>
      <c r="B87">
        <v>0.55100000000000005</v>
      </c>
      <c r="C87">
        <f t="shared" si="14"/>
        <v>2.4078700000000004</v>
      </c>
      <c r="D87">
        <v>1.6799999999999999E-2</v>
      </c>
      <c r="E87" s="1">
        <v>1.7100000000000001E-2</v>
      </c>
      <c r="F87">
        <f t="shared" si="15"/>
        <v>874</v>
      </c>
      <c r="G87">
        <f t="shared" si="16"/>
        <v>-0.55100000000000005</v>
      </c>
      <c r="H87">
        <f t="shared" si="17"/>
        <v>-481.57400000000007</v>
      </c>
      <c r="I87">
        <v>1</v>
      </c>
      <c r="J87">
        <f t="shared" si="18"/>
        <v>-0.13467490332660159</v>
      </c>
      <c r="K87">
        <f t="shared" si="19"/>
        <v>-0.67072515177521741</v>
      </c>
      <c r="L87">
        <v>1</v>
      </c>
      <c r="M87">
        <f t="shared" si="20"/>
        <v>0.52230051160436841</v>
      </c>
      <c r="N87">
        <f t="shared" si="24"/>
        <v>7.3415999999999995E-2</v>
      </c>
      <c r="O87">
        <f t="shared" si="22"/>
        <v>7.4727000000000002E-2</v>
      </c>
      <c r="P87">
        <f t="shared" si="23"/>
        <v>2.8164017084900128E-4</v>
      </c>
      <c r="V87">
        <v>2.2999999999999701</v>
      </c>
      <c r="W87">
        <f t="shared" si="21"/>
        <v>-0.61937099999999878</v>
      </c>
    </row>
    <row r="88" spans="1:23" x14ac:dyDescent="0.3">
      <c r="A88">
        <v>4.42</v>
      </c>
      <c r="B88">
        <v>0.54900000000000004</v>
      </c>
      <c r="C88">
        <f t="shared" si="14"/>
        <v>2.42658</v>
      </c>
      <c r="D88">
        <v>1.6799999999999999E-2</v>
      </c>
      <c r="E88" s="1">
        <v>1.7100000000000001E-2</v>
      </c>
      <c r="F88">
        <f t="shared" si="15"/>
        <v>884</v>
      </c>
      <c r="G88">
        <f t="shared" si="16"/>
        <v>-0.54900000000000004</v>
      </c>
      <c r="H88">
        <f t="shared" si="17"/>
        <v>-485.31599999999997</v>
      </c>
      <c r="I88">
        <v>1</v>
      </c>
      <c r="J88">
        <f t="shared" si="18"/>
        <v>-0.1232982163444936</v>
      </c>
      <c r="K88">
        <f t="shared" si="19"/>
        <v>-0.67272515177521741</v>
      </c>
      <c r="L88">
        <v>1</v>
      </c>
      <c r="M88">
        <f t="shared" si="20"/>
        <v>0.52275410011434498</v>
      </c>
      <c r="N88">
        <f t="shared" si="24"/>
        <v>7.4255999999999989E-2</v>
      </c>
      <c r="O88">
        <f t="shared" si="22"/>
        <v>7.5581999999999996E-2</v>
      </c>
      <c r="P88">
        <f t="shared" si="23"/>
        <v>1.3305166087244913E-4</v>
      </c>
      <c r="V88">
        <v>2.3999999999999702</v>
      </c>
      <c r="W88">
        <f t="shared" si="21"/>
        <v>-0.62335799999999875</v>
      </c>
    </row>
    <row r="89" spans="1:23" x14ac:dyDescent="0.3">
      <c r="A89">
        <v>4.47</v>
      </c>
      <c r="B89">
        <v>0.54600000000000004</v>
      </c>
      <c r="C89">
        <f t="shared" si="14"/>
        <v>2.44062</v>
      </c>
      <c r="D89">
        <v>1.6799999999999999E-2</v>
      </c>
      <c r="E89" s="1">
        <v>1.7100000000000001E-2</v>
      </c>
      <c r="F89">
        <f t="shared" si="15"/>
        <v>894</v>
      </c>
      <c r="G89">
        <f t="shared" si="16"/>
        <v>-0.54600000000000004</v>
      </c>
      <c r="H89">
        <f t="shared" si="17"/>
        <v>-488.12400000000002</v>
      </c>
      <c r="I89">
        <v>1</v>
      </c>
      <c r="J89">
        <f t="shared" si="18"/>
        <v>-0.11204950380862289</v>
      </c>
      <c r="K89">
        <f t="shared" si="19"/>
        <v>-0.67572515177521741</v>
      </c>
      <c r="L89">
        <v>1</v>
      </c>
      <c r="M89">
        <f t="shared" si="20"/>
        <v>0.5232025862831502</v>
      </c>
      <c r="N89">
        <f t="shared" si="24"/>
        <v>7.5095999999999996E-2</v>
      </c>
      <c r="O89">
        <f t="shared" si="22"/>
        <v>7.6437000000000005E-2</v>
      </c>
      <c r="P89">
        <f t="shared" si="23"/>
        <v>9.8956549206721811E-4</v>
      </c>
      <c r="V89">
        <v>2.4999999999999698</v>
      </c>
      <c r="W89">
        <f t="shared" si="21"/>
        <v>-0.62734499999999882</v>
      </c>
    </row>
    <row r="90" spans="1:23" x14ac:dyDescent="0.3">
      <c r="A90">
        <v>4.53</v>
      </c>
      <c r="B90">
        <v>0.54400000000000004</v>
      </c>
      <c r="C90">
        <f t="shared" si="14"/>
        <v>2.4643200000000003</v>
      </c>
      <c r="D90">
        <v>1.6799999999999999E-2</v>
      </c>
      <c r="E90" s="1">
        <v>1.7100000000000001E-2</v>
      </c>
      <c r="F90">
        <f t="shared" si="15"/>
        <v>906</v>
      </c>
      <c r="G90">
        <f t="shared" si="16"/>
        <v>-0.54400000000000004</v>
      </c>
      <c r="H90">
        <f t="shared" si="17"/>
        <v>-492.86400000000003</v>
      </c>
      <c r="I90">
        <v>1</v>
      </c>
      <c r="J90">
        <f t="shared" si="18"/>
        <v>-9.8715972939157695E-2</v>
      </c>
      <c r="K90">
        <f t="shared" si="19"/>
        <v>-0.67772515177521742</v>
      </c>
      <c r="L90">
        <v>1</v>
      </c>
      <c r="M90">
        <f t="shared" si="20"/>
        <v>0.52373419415891576</v>
      </c>
      <c r="N90">
        <f t="shared" si="24"/>
        <v>7.6104000000000005E-2</v>
      </c>
      <c r="O90">
        <f t="shared" si="22"/>
        <v>7.7463000000000004E-2</v>
      </c>
      <c r="P90">
        <f t="shared" si="23"/>
        <v>4.2395761630165119E-4</v>
      </c>
      <c r="V90">
        <v>2.5999999999999699</v>
      </c>
      <c r="W90">
        <f t="shared" si="21"/>
        <v>-0.63133199999999878</v>
      </c>
    </row>
    <row r="91" spans="1:23" x14ac:dyDescent="0.3">
      <c r="A91">
        <v>4.58</v>
      </c>
      <c r="B91">
        <v>0.54200000000000004</v>
      </c>
      <c r="C91">
        <f t="shared" si="14"/>
        <v>2.4823600000000003</v>
      </c>
      <c r="D91">
        <v>1.6799999999999999E-2</v>
      </c>
      <c r="E91" s="1">
        <v>1.7100000000000001E-2</v>
      </c>
      <c r="F91">
        <f t="shared" si="15"/>
        <v>916</v>
      </c>
      <c r="G91">
        <f t="shared" si="16"/>
        <v>-0.54200000000000004</v>
      </c>
      <c r="H91">
        <f t="shared" si="17"/>
        <v>-496.47200000000009</v>
      </c>
      <c r="I91">
        <v>1</v>
      </c>
      <c r="J91">
        <f t="shared" si="18"/>
        <v>-8.7738914308006746E-2</v>
      </c>
      <c r="K91">
        <f t="shared" si="19"/>
        <v>-0.67972515177521742</v>
      </c>
      <c r="L91">
        <v>1</v>
      </c>
      <c r="M91">
        <f t="shared" si="20"/>
        <v>0.52417184948653972</v>
      </c>
      <c r="N91">
        <f t="shared" si="24"/>
        <v>7.6943999999999999E-2</v>
      </c>
      <c r="O91">
        <f t="shared" si="22"/>
        <v>7.8317999999999999E-2</v>
      </c>
      <c r="P91">
        <f t="shared" si="23"/>
        <v>2.9130228867770003E-4</v>
      </c>
      <c r="V91">
        <v>2.69999999999997</v>
      </c>
      <c r="W91">
        <f t="shared" si="21"/>
        <v>-0.63531899999999875</v>
      </c>
    </row>
    <row r="92" spans="1:23" x14ac:dyDescent="0.3">
      <c r="A92">
        <v>4.63</v>
      </c>
      <c r="B92">
        <v>0.53900000000000003</v>
      </c>
      <c r="C92">
        <f t="shared" si="14"/>
        <v>2.4955700000000003</v>
      </c>
      <c r="D92">
        <v>1.6799999999999999E-2</v>
      </c>
      <c r="E92" s="1">
        <v>1.7100000000000001E-2</v>
      </c>
      <c r="F92">
        <f t="shared" si="15"/>
        <v>926</v>
      </c>
      <c r="G92">
        <f t="shared" si="16"/>
        <v>-0.53900000000000003</v>
      </c>
      <c r="H92">
        <f t="shared" si="17"/>
        <v>-499.11400000000003</v>
      </c>
      <c r="I92">
        <v>1</v>
      </c>
      <c r="J92">
        <f t="shared" si="18"/>
        <v>-7.6881044335957618E-2</v>
      </c>
      <c r="K92">
        <f t="shared" si="19"/>
        <v>-0.68272515177521742</v>
      </c>
      <c r="L92">
        <v>1</v>
      </c>
      <c r="M92">
        <f t="shared" si="20"/>
        <v>0.52460475276232532</v>
      </c>
      <c r="N92">
        <f t="shared" si="24"/>
        <v>7.7783999999999992E-2</v>
      </c>
      <c r="O92">
        <f t="shared" si="22"/>
        <v>7.9173000000000007E-2</v>
      </c>
      <c r="P92">
        <f t="shared" si="23"/>
        <v>1.1633990128920996E-3</v>
      </c>
      <c r="V92">
        <v>2.7999999999999701</v>
      </c>
      <c r="W92">
        <f t="shared" si="21"/>
        <v>-0.63930599999999882</v>
      </c>
    </row>
    <row r="93" spans="1:23" x14ac:dyDescent="0.3">
      <c r="A93">
        <v>4.68</v>
      </c>
      <c r="B93">
        <v>0.53700000000000003</v>
      </c>
      <c r="C93">
        <f t="shared" si="14"/>
        <v>2.5131600000000001</v>
      </c>
      <c r="D93">
        <v>1.6799999999999999E-2</v>
      </c>
      <c r="E93" s="1">
        <v>1.7100000000000001E-2</v>
      </c>
      <c r="F93">
        <f t="shared" si="15"/>
        <v>936</v>
      </c>
      <c r="G93">
        <f t="shared" si="16"/>
        <v>-0.53700000000000003</v>
      </c>
      <c r="H93">
        <f t="shared" si="17"/>
        <v>-502.63200000000001</v>
      </c>
      <c r="I93">
        <v>1</v>
      </c>
      <c r="J93">
        <f t="shared" si="18"/>
        <v>-6.6139802504544945E-2</v>
      </c>
      <c r="K93">
        <f t="shared" si="19"/>
        <v>-0.68472515177521742</v>
      </c>
      <c r="L93">
        <v>1</v>
      </c>
      <c r="M93">
        <f t="shared" si="20"/>
        <v>0.52503300607414372</v>
      </c>
      <c r="N93">
        <f t="shared" si="24"/>
        <v>7.8623999999999986E-2</v>
      </c>
      <c r="O93">
        <f t="shared" si="22"/>
        <v>8.0028000000000002E-2</v>
      </c>
      <c r="P93">
        <f t="shared" si="23"/>
        <v>1.0401457010737192E-3</v>
      </c>
      <c r="V93">
        <v>2.8999999999999702</v>
      </c>
      <c r="W93">
        <f t="shared" si="21"/>
        <v>-0.64329299999999878</v>
      </c>
    </row>
    <row r="94" spans="1:23" x14ac:dyDescent="0.3">
      <c r="A94">
        <v>4.7300000000000004</v>
      </c>
      <c r="B94">
        <v>0.53400000000000003</v>
      </c>
      <c r="C94">
        <f t="shared" si="14"/>
        <v>2.5258200000000004</v>
      </c>
      <c r="D94">
        <v>1.6799999999999999E-2</v>
      </c>
      <c r="E94" s="1">
        <v>1.7100000000000001E-2</v>
      </c>
      <c r="F94">
        <f t="shared" si="15"/>
        <v>946.00000000000011</v>
      </c>
      <c r="G94">
        <f t="shared" si="16"/>
        <v>-0.53400000000000003</v>
      </c>
      <c r="H94">
        <f t="shared" si="17"/>
        <v>-505.1640000000001</v>
      </c>
      <c r="I94">
        <v>1</v>
      </c>
      <c r="J94">
        <f t="shared" si="18"/>
        <v>-5.5512709930258711E-2</v>
      </c>
      <c r="K94">
        <f t="shared" si="19"/>
        <v>-0.68772515177521742</v>
      </c>
      <c r="L94">
        <v>1</v>
      </c>
      <c r="M94">
        <f t="shared" si="20"/>
        <v>0.52545670825508051</v>
      </c>
      <c r="N94">
        <f t="shared" si="24"/>
        <v>7.9464000000000007E-2</v>
      </c>
      <c r="O94">
        <f t="shared" si="22"/>
        <v>8.088300000000001E-2</v>
      </c>
      <c r="P94">
        <f t="shared" si="23"/>
        <v>1.9214435201369007E-3</v>
      </c>
      <c r="V94">
        <v>2.9999999999999698</v>
      </c>
      <c r="W94">
        <f t="shared" si="21"/>
        <v>-0.64727999999999875</v>
      </c>
    </row>
    <row r="95" spans="1:23" x14ac:dyDescent="0.3">
      <c r="A95">
        <v>4.79</v>
      </c>
      <c r="B95">
        <v>0.53300000000000003</v>
      </c>
      <c r="C95">
        <f t="shared" si="14"/>
        <v>2.55307</v>
      </c>
      <c r="D95">
        <v>1.6799999999999999E-2</v>
      </c>
      <c r="E95" s="1">
        <v>1.7100000000000001E-2</v>
      </c>
      <c r="F95">
        <f t="shared" si="15"/>
        <v>958</v>
      </c>
      <c r="G95">
        <f t="shared" si="16"/>
        <v>-0.53300000000000003</v>
      </c>
      <c r="H95">
        <f t="shared" si="17"/>
        <v>-510.61399999999998</v>
      </c>
      <c r="I95">
        <v>1</v>
      </c>
      <c r="J95">
        <f t="shared" si="18"/>
        <v>-4.290750101127655E-2</v>
      </c>
      <c r="K95">
        <f t="shared" si="19"/>
        <v>-0.68872515177521743</v>
      </c>
      <c r="L95">
        <v>1</v>
      </c>
      <c r="M95">
        <f t="shared" si="20"/>
        <v>0.52595927793468034</v>
      </c>
      <c r="N95">
        <f t="shared" si="24"/>
        <v>8.0472000000000002E-2</v>
      </c>
      <c r="O95">
        <f t="shared" si="22"/>
        <v>8.190900000000001E-2</v>
      </c>
      <c r="P95">
        <f t="shared" si="23"/>
        <v>3.8487384053707829E-4</v>
      </c>
      <c r="V95">
        <v>3.0999999999999699</v>
      </c>
      <c r="W95">
        <f t="shared" si="21"/>
        <v>-0.65126699999999882</v>
      </c>
    </row>
    <row r="96" spans="1:23" x14ac:dyDescent="0.3">
      <c r="A96">
        <v>4.84</v>
      </c>
      <c r="B96">
        <v>0.53</v>
      </c>
      <c r="C96">
        <f t="shared" si="14"/>
        <v>2.5651999999999999</v>
      </c>
      <c r="D96">
        <v>1.6799999999999999E-2</v>
      </c>
      <c r="E96" s="1">
        <v>1.7100000000000001E-2</v>
      </c>
      <c r="F96">
        <f t="shared" si="15"/>
        <v>968</v>
      </c>
      <c r="G96">
        <f t="shared" si="16"/>
        <v>-0.53</v>
      </c>
      <c r="H96">
        <f t="shared" si="17"/>
        <v>-513.04</v>
      </c>
      <c r="I96">
        <v>1</v>
      </c>
      <c r="J96">
        <f t="shared" si="18"/>
        <v>-3.2523191705560062E-2</v>
      </c>
      <c r="K96">
        <f t="shared" si="19"/>
        <v>-0.69172515177521743</v>
      </c>
      <c r="L96">
        <v>1</v>
      </c>
      <c r="M96">
        <f t="shared" si="20"/>
        <v>0.52637330034669927</v>
      </c>
      <c r="N96">
        <f t="shared" si="24"/>
        <v>8.1311999999999995E-2</v>
      </c>
      <c r="O96">
        <f t="shared" si="22"/>
        <v>8.2764000000000004E-2</v>
      </c>
      <c r="P96">
        <f t="shared" si="23"/>
        <v>1.2758514285181599E-3</v>
      </c>
      <c r="V96">
        <v>3.19999999999997</v>
      </c>
      <c r="W96">
        <f t="shared" si="21"/>
        <v>-0.65525399999999878</v>
      </c>
    </row>
    <row r="97" spans="1:23" x14ac:dyDescent="0.3">
      <c r="A97">
        <v>4.8899999999999997</v>
      </c>
      <c r="B97">
        <v>0.52800000000000002</v>
      </c>
      <c r="C97">
        <f t="shared" si="14"/>
        <v>2.5819199999999998</v>
      </c>
      <c r="D97">
        <v>1.6799999999999999E-2</v>
      </c>
      <c r="E97" s="1">
        <v>1.7100000000000001E-2</v>
      </c>
      <c r="F97">
        <f t="shared" si="15"/>
        <v>977.99999999999989</v>
      </c>
      <c r="G97">
        <f t="shared" si="16"/>
        <v>-0.52800000000000002</v>
      </c>
      <c r="H97">
        <f t="shared" si="17"/>
        <v>-516.3839999999999</v>
      </c>
      <c r="I97">
        <v>1</v>
      </c>
      <c r="J97">
        <f t="shared" si="18"/>
        <v>-2.2245608947319851E-2</v>
      </c>
      <c r="K97">
        <f t="shared" si="19"/>
        <v>-0.69372515177521743</v>
      </c>
      <c r="L97">
        <v>1</v>
      </c>
      <c r="M97">
        <f t="shared" si="20"/>
        <v>0.52678306757127036</v>
      </c>
      <c r="N97">
        <f t="shared" si="24"/>
        <v>8.2151999999999989E-2</v>
      </c>
      <c r="O97">
        <f t="shared" si="22"/>
        <v>8.3618999999999999E-2</v>
      </c>
      <c r="P97">
        <f t="shared" si="23"/>
        <v>1.1710842039470842E-3</v>
      </c>
      <c r="V97">
        <v>3.2999999999999701</v>
      </c>
      <c r="W97">
        <f t="shared" si="21"/>
        <v>-0.65924099999999886</v>
      </c>
    </row>
    <row r="98" spans="1:23" x14ac:dyDescent="0.3">
      <c r="A98">
        <v>4.9400000000000004</v>
      </c>
      <c r="B98">
        <v>0.52600000000000002</v>
      </c>
      <c r="C98">
        <f t="shared" si="14"/>
        <v>2.5984400000000005</v>
      </c>
      <c r="D98">
        <v>1.6799999999999999E-2</v>
      </c>
      <c r="E98" s="1">
        <v>1.7100000000000001E-2</v>
      </c>
      <c r="F98">
        <f t="shared" si="15"/>
        <v>988.00000000000011</v>
      </c>
      <c r="G98">
        <f t="shared" si="16"/>
        <v>-0.52600000000000002</v>
      </c>
      <c r="H98">
        <f t="shared" si="17"/>
        <v>-519.6880000000001</v>
      </c>
      <c r="I98">
        <v>1</v>
      </c>
      <c r="J98">
        <f t="shared" si="18"/>
        <v>-1.2072581234269136E-2</v>
      </c>
      <c r="K98">
        <f t="shared" si="19"/>
        <v>-0.69572515177521743</v>
      </c>
      <c r="L98">
        <v>1</v>
      </c>
      <c r="M98">
        <f t="shared" si="20"/>
        <v>0.52718866618618965</v>
      </c>
      <c r="N98">
        <f t="shared" si="24"/>
        <v>8.2991999999999996E-2</v>
      </c>
      <c r="O98">
        <f t="shared" si="22"/>
        <v>8.4474000000000007E-2</v>
      </c>
      <c r="P98">
        <f t="shared" si="23"/>
        <v>1.0704855890277809E-3</v>
      </c>
      <c r="V98">
        <v>3.3999999999999702</v>
      </c>
      <c r="W98">
        <f t="shared" si="21"/>
        <v>-0.66322799999999882</v>
      </c>
    </row>
    <row r="99" spans="1:23" x14ac:dyDescent="0.3">
      <c r="A99">
        <v>4.99</v>
      </c>
      <c r="B99">
        <v>0.52400000000000002</v>
      </c>
      <c r="C99">
        <f t="shared" si="14"/>
        <v>2.6147600000000004</v>
      </c>
      <c r="D99">
        <v>1.6799999999999999E-2</v>
      </c>
      <c r="E99" s="1">
        <v>1.7100000000000001E-2</v>
      </c>
      <c r="F99">
        <f t="shared" si="15"/>
        <v>998</v>
      </c>
      <c r="G99">
        <f t="shared" si="16"/>
        <v>-0.52400000000000002</v>
      </c>
      <c r="H99">
        <f t="shared" si="17"/>
        <v>-522.95200000000011</v>
      </c>
      <c r="I99">
        <v>1</v>
      </c>
      <c r="J99">
        <f t="shared" si="18"/>
        <v>-2.0020026706730793E-3</v>
      </c>
      <c r="K99">
        <f t="shared" si="19"/>
        <v>-0.69772515177521743</v>
      </c>
      <c r="L99">
        <v>1</v>
      </c>
      <c r="M99">
        <f t="shared" si="20"/>
        <v>0.52759018015352022</v>
      </c>
      <c r="N99">
        <f t="shared" si="24"/>
        <v>8.3832000000000004E-2</v>
      </c>
      <c r="O99">
        <f t="shared" si="22"/>
        <v>8.5329000000000002E-2</v>
      </c>
      <c r="P99">
        <f t="shared" si="23"/>
        <v>9.7397162169721163E-4</v>
      </c>
      <c r="V99">
        <v>3.4999999999999698</v>
      </c>
      <c r="W99">
        <f t="shared" si="21"/>
        <v>-0.66721499999999878</v>
      </c>
    </row>
    <row r="100" spans="1:23" x14ac:dyDescent="0.3">
      <c r="A100">
        <v>5.05</v>
      </c>
      <c r="B100">
        <v>0.52100000000000002</v>
      </c>
      <c r="C100">
        <f t="shared" si="14"/>
        <v>2.6310500000000001</v>
      </c>
      <c r="D100">
        <v>1.6799999999999999E-2</v>
      </c>
      <c r="E100" s="1">
        <v>1.7100000000000001E-2</v>
      </c>
      <c r="F100">
        <f t="shared" si="15"/>
        <v>1010</v>
      </c>
      <c r="G100">
        <f t="shared" si="16"/>
        <v>-0.52100000000000002</v>
      </c>
      <c r="H100">
        <f t="shared" si="17"/>
        <v>-526.21</v>
      </c>
      <c r="I100">
        <v>1</v>
      </c>
      <c r="J100">
        <f t="shared" si="18"/>
        <v>9.950330853168092E-3</v>
      </c>
      <c r="K100">
        <f t="shared" si="19"/>
        <v>-0.70072515177521744</v>
      </c>
      <c r="L100">
        <v>1</v>
      </c>
      <c r="M100">
        <f t="shared" si="20"/>
        <v>0.52806671969111574</v>
      </c>
      <c r="N100">
        <f t="shared" si="24"/>
        <v>8.4839999999999985E-2</v>
      </c>
      <c r="O100">
        <f t="shared" si="22"/>
        <v>8.6355000000000001E-2</v>
      </c>
      <c r="P100">
        <f t="shared" si="23"/>
        <v>1.4634320841017123E-3</v>
      </c>
      <c r="V100">
        <v>3.5999999999999699</v>
      </c>
      <c r="W100">
        <f t="shared" si="21"/>
        <v>-0.67120199999999874</v>
      </c>
    </row>
    <row r="101" spans="1:23" x14ac:dyDescent="0.3">
      <c r="A101">
        <v>5.0999999999999996</v>
      </c>
      <c r="B101">
        <v>0.51900000000000002</v>
      </c>
      <c r="C101">
        <f t="shared" si="14"/>
        <v>2.6469</v>
      </c>
      <c r="D101">
        <v>1.6799999999999999E-2</v>
      </c>
      <c r="E101" s="1">
        <v>1.7100000000000001E-2</v>
      </c>
      <c r="F101">
        <f t="shared" si="15"/>
        <v>1019.9999999999999</v>
      </c>
      <c r="G101">
        <f t="shared" si="16"/>
        <v>-0.51900000000000002</v>
      </c>
      <c r="H101">
        <f t="shared" si="17"/>
        <v>-529.38</v>
      </c>
      <c r="I101">
        <v>1</v>
      </c>
      <c r="J101">
        <f t="shared" si="18"/>
        <v>1.9802627296179511E-2</v>
      </c>
      <c r="K101">
        <f t="shared" si="19"/>
        <v>-0.70272515177521744</v>
      </c>
      <c r="L101">
        <v>1</v>
      </c>
      <c r="M101">
        <f t="shared" si="20"/>
        <v>0.52845953075029861</v>
      </c>
      <c r="N101">
        <f t="shared" si="24"/>
        <v>8.5679999999999992E-2</v>
      </c>
      <c r="O101">
        <f t="shared" si="22"/>
        <v>8.7209999999999996E-2</v>
      </c>
      <c r="P101">
        <f t="shared" si="23"/>
        <v>1.3756210249188383E-3</v>
      </c>
      <c r="V101">
        <v>3.69999999999997</v>
      </c>
      <c r="W101">
        <f t="shared" si="21"/>
        <v>-0.67518899999999882</v>
      </c>
    </row>
    <row r="102" spans="1:23" x14ac:dyDescent="0.3">
      <c r="A102">
        <v>5.15</v>
      </c>
      <c r="B102">
        <v>0.51700000000000002</v>
      </c>
      <c r="C102">
        <f t="shared" si="14"/>
        <v>2.6625500000000004</v>
      </c>
      <c r="D102">
        <v>1.6799999999999999E-2</v>
      </c>
      <c r="E102" s="1">
        <v>1.7100000000000001E-2</v>
      </c>
      <c r="F102">
        <f t="shared" si="15"/>
        <v>1030</v>
      </c>
      <c r="G102">
        <f t="shared" si="16"/>
        <v>-0.51700000000000002</v>
      </c>
      <c r="H102">
        <f t="shared" si="17"/>
        <v>-532.5100000000001</v>
      </c>
      <c r="I102">
        <v>1</v>
      </c>
      <c r="J102">
        <f t="shared" si="18"/>
        <v>2.9558802241544429E-2</v>
      </c>
      <c r="K102">
        <f t="shared" si="19"/>
        <v>-0.70472515177521744</v>
      </c>
      <c r="L102">
        <v>1</v>
      </c>
      <c r="M102">
        <f t="shared" si="20"/>
        <v>0.52884850944537032</v>
      </c>
      <c r="N102">
        <f t="shared" si="24"/>
        <v>8.652E-2</v>
      </c>
      <c r="O102">
        <f t="shared" si="22"/>
        <v>8.8065000000000004E-2</v>
      </c>
      <c r="P102">
        <f t="shared" si="23"/>
        <v>1.2916423298471175E-3</v>
      </c>
      <c r="V102">
        <v>3.7999999999999701</v>
      </c>
      <c r="W102">
        <f t="shared" si="21"/>
        <v>-0.67917599999999878</v>
      </c>
    </row>
    <row r="103" spans="1:23" x14ac:dyDescent="0.3">
      <c r="A103">
        <v>5.2</v>
      </c>
      <c r="B103">
        <v>0.51400000000000001</v>
      </c>
      <c r="C103">
        <f t="shared" si="14"/>
        <v>2.6728000000000001</v>
      </c>
      <c r="D103">
        <v>1.6799999999999999E-2</v>
      </c>
      <c r="E103" s="1">
        <v>1.7100000000000001E-2</v>
      </c>
      <c r="F103">
        <f t="shared" si="15"/>
        <v>1040</v>
      </c>
      <c r="G103">
        <f t="shared" si="16"/>
        <v>-0.51400000000000001</v>
      </c>
      <c r="H103">
        <f t="shared" si="17"/>
        <v>-534.56000000000006</v>
      </c>
      <c r="I103">
        <v>1</v>
      </c>
      <c r="J103">
        <f t="shared" si="18"/>
        <v>3.9220713153281329E-2</v>
      </c>
      <c r="K103">
        <f t="shared" si="19"/>
        <v>-0.70772515177521744</v>
      </c>
      <c r="L103">
        <v>1</v>
      </c>
      <c r="M103">
        <f t="shared" si="20"/>
        <v>0.52923372983342132</v>
      </c>
      <c r="N103">
        <f t="shared" si="24"/>
        <v>8.7359999999999993E-2</v>
      </c>
      <c r="O103">
        <f t="shared" si="22"/>
        <v>8.8920000000000013E-2</v>
      </c>
      <c r="P103">
        <f t="shared" si="23"/>
        <v>2.2114219417961184E-3</v>
      </c>
      <c r="V103">
        <v>3.8999999999999599</v>
      </c>
      <c r="W103">
        <f t="shared" si="21"/>
        <v>-0.68316299999999841</v>
      </c>
    </row>
    <row r="104" spans="1:23" x14ac:dyDescent="0.3">
      <c r="A104">
        <v>5.25</v>
      </c>
      <c r="B104">
        <v>0.51200000000000001</v>
      </c>
      <c r="C104">
        <f t="shared" si="14"/>
        <v>2.6880000000000002</v>
      </c>
      <c r="D104">
        <v>1.6799999999999999E-2</v>
      </c>
      <c r="E104" s="1">
        <v>1.7100000000000001E-2</v>
      </c>
      <c r="F104">
        <f t="shared" si="15"/>
        <v>1050</v>
      </c>
      <c r="G104">
        <f t="shared" si="16"/>
        <v>-0.51200000000000001</v>
      </c>
      <c r="H104">
        <f t="shared" si="17"/>
        <v>-537.6</v>
      </c>
      <c r="I104">
        <v>1</v>
      </c>
      <c r="J104">
        <f t="shared" si="18"/>
        <v>4.8790164169432049E-2</v>
      </c>
      <c r="K104">
        <f t="shared" si="19"/>
        <v>-0.70972515177521744</v>
      </c>
      <c r="L104">
        <v>1</v>
      </c>
      <c r="M104">
        <f t="shared" si="20"/>
        <v>0.52961526384543522</v>
      </c>
      <c r="N104">
        <f t="shared" si="24"/>
        <v>8.8200000000000001E-2</v>
      </c>
      <c r="O104">
        <f t="shared" si="22"/>
        <v>8.9775000000000008E-2</v>
      </c>
      <c r="P104">
        <f t="shared" si="23"/>
        <v>2.1348879297822115E-3</v>
      </c>
      <c r="V104">
        <v>3.99999999999996</v>
      </c>
      <c r="W104">
        <f t="shared" si="21"/>
        <v>-0.68714999999999837</v>
      </c>
    </row>
    <row r="105" spans="1:23" x14ac:dyDescent="0.3">
      <c r="A105">
        <v>5.3</v>
      </c>
      <c r="B105">
        <v>0.51</v>
      </c>
      <c r="C105">
        <f t="shared" si="14"/>
        <v>2.7029999999999998</v>
      </c>
      <c r="D105">
        <v>1.6799999999999999E-2</v>
      </c>
      <c r="E105" s="1">
        <v>1.7100000000000001E-2</v>
      </c>
      <c r="F105">
        <f t="shared" si="15"/>
        <v>1060</v>
      </c>
      <c r="G105">
        <f t="shared" si="16"/>
        <v>-0.51</v>
      </c>
      <c r="H105">
        <f t="shared" si="17"/>
        <v>-540.6</v>
      </c>
      <c r="I105">
        <v>1</v>
      </c>
      <c r="J105">
        <f t="shared" si="18"/>
        <v>5.8268908123975824E-2</v>
      </c>
      <c r="K105">
        <f t="shared" si="19"/>
        <v>-0.71172515177521745</v>
      </c>
      <c r="L105">
        <v>1</v>
      </c>
      <c r="M105">
        <f t="shared" si="20"/>
        <v>0.52999318136690288</v>
      </c>
      <c r="N105">
        <f t="shared" si="24"/>
        <v>8.9039999999999994E-2</v>
      </c>
      <c r="O105">
        <f t="shared" si="22"/>
        <v>9.0630000000000002E-2</v>
      </c>
      <c r="P105">
        <f t="shared" si="23"/>
        <v>2.0619704083145729E-3</v>
      </c>
      <c r="V105">
        <v>4.0999999999999996</v>
      </c>
      <c r="W105">
        <f t="shared" si="21"/>
        <v>-0.691137</v>
      </c>
    </row>
    <row r="106" spans="1:23" x14ac:dyDescent="0.3">
      <c r="A106">
        <v>5.35</v>
      </c>
      <c r="B106">
        <v>0.50800000000000001</v>
      </c>
      <c r="C106">
        <f t="shared" si="14"/>
        <v>2.7178</v>
      </c>
      <c r="D106">
        <v>1.6799999999999999E-2</v>
      </c>
      <c r="E106" s="1">
        <v>1.7100000000000001E-2</v>
      </c>
      <c r="F106">
        <f t="shared" si="15"/>
        <v>1070</v>
      </c>
      <c r="G106">
        <f t="shared" si="16"/>
        <v>-0.50800000000000001</v>
      </c>
      <c r="H106">
        <f t="shared" si="17"/>
        <v>-543.55999999999995</v>
      </c>
      <c r="I106">
        <v>1</v>
      </c>
      <c r="J106">
        <f t="shared" si="18"/>
        <v>6.7658648473814864E-2</v>
      </c>
      <c r="K106">
        <f t="shared" si="19"/>
        <v>-0.71372515177521745</v>
      </c>
      <c r="L106">
        <v>1</v>
      </c>
      <c r="M106">
        <f t="shared" si="20"/>
        <v>0.53036755031465099</v>
      </c>
      <c r="N106">
        <f t="shared" si="24"/>
        <v>8.9879999999999988E-2</v>
      </c>
      <c r="O106">
        <f t="shared" si="22"/>
        <v>9.1484999999999997E-2</v>
      </c>
      <c r="P106">
        <f t="shared" si="23"/>
        <v>1.9926014605664705E-3</v>
      </c>
      <c r="V106">
        <v>4.2</v>
      </c>
      <c r="W106">
        <f t="shared" si="21"/>
        <v>-0.69512399999999996</v>
      </c>
    </row>
    <row r="107" spans="1:23" x14ac:dyDescent="0.3">
      <c r="A107">
        <v>5.4</v>
      </c>
      <c r="B107">
        <v>0.50600000000000001</v>
      </c>
      <c r="C107">
        <f t="shared" si="14"/>
        <v>2.7324000000000002</v>
      </c>
      <c r="D107">
        <v>1.6799999999999999E-2</v>
      </c>
      <c r="E107" s="1">
        <v>1.7100000000000001E-2</v>
      </c>
      <c r="F107">
        <f t="shared" si="15"/>
        <v>1080</v>
      </c>
      <c r="G107">
        <f t="shared" si="16"/>
        <v>-0.50600000000000001</v>
      </c>
      <c r="H107">
        <f t="shared" si="17"/>
        <v>-546.48</v>
      </c>
      <c r="I107">
        <v>1</v>
      </c>
      <c r="J107">
        <f t="shared" si="18"/>
        <v>7.6961041136128394E-2</v>
      </c>
      <c r="K107">
        <f t="shared" si="19"/>
        <v>-0.71572515177521745</v>
      </c>
      <c r="L107">
        <v>1</v>
      </c>
      <c r="M107">
        <f t="shared" si="20"/>
        <v>0.53073843671009746</v>
      </c>
      <c r="N107">
        <f t="shared" si="24"/>
        <v>9.0719999999999995E-2</v>
      </c>
      <c r="O107">
        <f t="shared" si="22"/>
        <v>9.2340000000000005E-2</v>
      </c>
      <c r="P107">
        <f t="shared" si="23"/>
        <v>1.9267150651199882E-3</v>
      </c>
      <c r="V107">
        <v>4.3</v>
      </c>
      <c r="W107">
        <f t="shared" si="21"/>
        <v>-0.69911100000000004</v>
      </c>
    </row>
    <row r="108" spans="1:23" x14ac:dyDescent="0.3">
      <c r="A108">
        <v>5.5</v>
      </c>
      <c r="B108">
        <v>0.503</v>
      </c>
      <c r="C108">
        <f t="shared" si="14"/>
        <v>2.7665000000000002</v>
      </c>
      <c r="D108">
        <v>1.6799999999999999E-2</v>
      </c>
      <c r="E108" s="1">
        <v>1.7100000000000001E-2</v>
      </c>
      <c r="F108">
        <f t="shared" si="15"/>
        <v>1100</v>
      </c>
      <c r="G108">
        <f t="shared" si="16"/>
        <v>-0.503</v>
      </c>
      <c r="H108">
        <f t="shared" si="17"/>
        <v>-553.30000000000007</v>
      </c>
      <c r="I108">
        <v>1</v>
      </c>
      <c r="J108">
        <f t="shared" si="18"/>
        <v>9.5310179804324935E-2</v>
      </c>
      <c r="K108">
        <f t="shared" si="19"/>
        <v>-0.71872515177521745</v>
      </c>
      <c r="L108">
        <v>1</v>
      </c>
      <c r="M108">
        <f t="shared" si="20"/>
        <v>0.53147001686879836</v>
      </c>
      <c r="N108">
        <f t="shared" si="24"/>
        <v>9.2399999999999996E-2</v>
      </c>
      <c r="O108">
        <f t="shared" si="22"/>
        <v>9.4050000000000009E-2</v>
      </c>
      <c r="P108">
        <f t="shared" si="23"/>
        <v>8.0513490641909158E-4</v>
      </c>
      <c r="V108">
        <v>4.4000000000000004</v>
      </c>
      <c r="W108">
        <f t="shared" si="21"/>
        <v>-0.703098</v>
      </c>
    </row>
    <row r="109" spans="1:23" x14ac:dyDescent="0.3">
      <c r="A109">
        <v>5.55</v>
      </c>
      <c r="B109">
        <v>0.501</v>
      </c>
      <c r="C109">
        <f t="shared" si="14"/>
        <v>2.7805499999999999</v>
      </c>
      <c r="D109">
        <v>1.6799999999999999E-2</v>
      </c>
      <c r="E109" s="1">
        <v>1.7100000000000001E-2</v>
      </c>
      <c r="F109">
        <f t="shared" si="15"/>
        <v>1110</v>
      </c>
      <c r="G109">
        <f t="shared" si="16"/>
        <v>-0.501</v>
      </c>
      <c r="H109">
        <f t="shared" si="17"/>
        <v>-556.11</v>
      </c>
      <c r="I109">
        <v>1</v>
      </c>
      <c r="J109">
        <f t="shared" si="18"/>
        <v>0.10436001532424286</v>
      </c>
      <c r="K109">
        <f t="shared" si="19"/>
        <v>-0.72072515177521745</v>
      </c>
      <c r="L109">
        <v>1</v>
      </c>
      <c r="M109">
        <f t="shared" si="20"/>
        <v>0.53183083381097751</v>
      </c>
      <c r="N109">
        <f t="shared" si="24"/>
        <v>9.323999999999999E-2</v>
      </c>
      <c r="O109">
        <f t="shared" si="22"/>
        <v>9.4905000000000003E-2</v>
      </c>
      <c r="P109">
        <f t="shared" si="23"/>
        <v>7.4931796423995112E-4</v>
      </c>
      <c r="V109">
        <v>4.5</v>
      </c>
      <c r="W109">
        <f t="shared" si="21"/>
        <v>-0.70708499999999996</v>
      </c>
    </row>
    <row r="110" spans="1:23" x14ac:dyDescent="0.3">
      <c r="A110">
        <v>5.6</v>
      </c>
      <c r="B110">
        <v>0.499</v>
      </c>
      <c r="C110">
        <f t="shared" si="14"/>
        <v>2.7944</v>
      </c>
      <c r="D110">
        <v>1.6799999999999999E-2</v>
      </c>
      <c r="E110" s="1">
        <v>1.7100000000000001E-2</v>
      </c>
      <c r="F110">
        <f t="shared" si="15"/>
        <v>1120</v>
      </c>
      <c r="G110">
        <f t="shared" si="16"/>
        <v>-0.499</v>
      </c>
      <c r="H110">
        <f t="shared" si="17"/>
        <v>-558.88</v>
      </c>
      <c r="I110">
        <v>1</v>
      </c>
      <c r="J110">
        <f t="shared" si="18"/>
        <v>0.11332868530700327</v>
      </c>
      <c r="K110">
        <f t="shared" si="19"/>
        <v>-0.72272515177521746</v>
      </c>
      <c r="L110">
        <v>1</v>
      </c>
      <c r="M110">
        <f t="shared" si="20"/>
        <v>0.53218841468319023</v>
      </c>
      <c r="N110">
        <f t="shared" si="24"/>
        <v>9.4079999999999983E-2</v>
      </c>
      <c r="O110">
        <f t="shared" si="22"/>
        <v>9.5759999999999998E-2</v>
      </c>
      <c r="P110">
        <f t="shared" si="23"/>
        <v>6.9673709202724976E-4</v>
      </c>
      <c r="V110">
        <v>4.5999999999999996</v>
      </c>
      <c r="W110">
        <f t="shared" si="21"/>
        <v>-0.71107199999999993</v>
      </c>
    </row>
    <row r="111" spans="1:23" x14ac:dyDescent="0.3">
      <c r="A111">
        <v>5.65</v>
      </c>
      <c r="B111">
        <v>0.496</v>
      </c>
      <c r="C111">
        <f t="shared" si="14"/>
        <v>2.8024</v>
      </c>
      <c r="D111">
        <v>1.6799999999999999E-2</v>
      </c>
      <c r="E111" s="1">
        <v>1.7100000000000001E-2</v>
      </c>
      <c r="F111">
        <f t="shared" si="15"/>
        <v>1130</v>
      </c>
      <c r="G111">
        <f t="shared" si="16"/>
        <v>-0.496</v>
      </c>
      <c r="H111">
        <f t="shared" si="17"/>
        <v>-560.48</v>
      </c>
      <c r="I111">
        <v>1</v>
      </c>
      <c r="J111">
        <f t="shared" si="18"/>
        <v>0.12221763272424911</v>
      </c>
      <c r="K111">
        <f t="shared" si="19"/>
        <v>-0.72572515177521746</v>
      </c>
      <c r="L111">
        <v>1</v>
      </c>
      <c r="M111">
        <f t="shared" si="20"/>
        <v>0.5325428170167158</v>
      </c>
      <c r="N111">
        <f t="shared" si="24"/>
        <v>9.4920000000000004E-2</v>
      </c>
      <c r="O111">
        <f t="shared" si="22"/>
        <v>9.6615000000000006E-2</v>
      </c>
      <c r="P111">
        <f t="shared" si="23"/>
        <v>1.6473347585016507E-3</v>
      </c>
      <c r="V111">
        <v>4.7</v>
      </c>
      <c r="W111">
        <f t="shared" si="21"/>
        <v>-0.715059</v>
      </c>
    </row>
    <row r="112" spans="1:23" x14ac:dyDescent="0.3">
      <c r="A112">
        <v>5.7</v>
      </c>
      <c r="B112">
        <v>0.49399999999999999</v>
      </c>
      <c r="C112">
        <f t="shared" si="14"/>
        <v>2.8157999999999999</v>
      </c>
      <c r="D112">
        <v>1.6799999999999999E-2</v>
      </c>
      <c r="E112" s="1">
        <v>1.7100000000000001E-2</v>
      </c>
      <c r="F112">
        <f t="shared" si="15"/>
        <v>1140</v>
      </c>
      <c r="G112">
        <f t="shared" si="16"/>
        <v>-0.49399999999999999</v>
      </c>
      <c r="H112">
        <f t="shared" si="17"/>
        <v>-563.16</v>
      </c>
      <c r="I112">
        <v>1</v>
      </c>
      <c r="J112">
        <f t="shared" si="18"/>
        <v>0.131028262406404</v>
      </c>
      <c r="K112">
        <f t="shared" si="19"/>
        <v>-0.72772515177521746</v>
      </c>
      <c r="L112">
        <v>1</v>
      </c>
      <c r="M112">
        <f t="shared" si="20"/>
        <v>0.53289409682214328</v>
      </c>
      <c r="N112">
        <f t="shared" si="24"/>
        <v>9.5759999999999998E-2</v>
      </c>
      <c r="O112">
        <f t="shared" si="22"/>
        <v>9.7470000000000001E-2</v>
      </c>
      <c r="P112">
        <f t="shared" si="23"/>
        <v>1.6010549530741797E-3</v>
      </c>
      <c r="V112">
        <v>4.8</v>
      </c>
      <c r="W112">
        <f t="shared" si="21"/>
        <v>-0.71904599999999996</v>
      </c>
    </row>
    <row r="113" spans="1:23" x14ac:dyDescent="0.3">
      <c r="A113">
        <v>5.75</v>
      </c>
      <c r="B113">
        <v>0.49199999999999999</v>
      </c>
      <c r="C113">
        <f t="shared" si="14"/>
        <v>2.8289999999999997</v>
      </c>
      <c r="D113">
        <v>1.6799999999999999E-2</v>
      </c>
      <c r="E113" s="1">
        <v>1.7100000000000001E-2</v>
      </c>
      <c r="F113">
        <f t="shared" si="15"/>
        <v>1150</v>
      </c>
      <c r="G113">
        <f t="shared" si="16"/>
        <v>-0.49199999999999999</v>
      </c>
      <c r="H113">
        <f t="shared" si="17"/>
        <v>-565.79999999999995</v>
      </c>
      <c r="I113">
        <v>1</v>
      </c>
      <c r="J113">
        <f t="shared" si="18"/>
        <v>0.13976194237515863</v>
      </c>
      <c r="K113">
        <f t="shared" si="19"/>
        <v>-0.72972515177521746</v>
      </c>
      <c r="L113">
        <v>1</v>
      </c>
      <c r="M113">
        <f t="shared" si="20"/>
        <v>0.53324230864249755</v>
      </c>
      <c r="N113">
        <f t="shared" si="24"/>
        <v>9.6599999999999991E-2</v>
      </c>
      <c r="O113">
        <f t="shared" si="22"/>
        <v>9.832500000000001E-2</v>
      </c>
      <c r="P113">
        <f t="shared" si="23"/>
        <v>1.5578431327199077E-3</v>
      </c>
      <c r="V113">
        <v>4.9000000000000004</v>
      </c>
      <c r="W113">
        <f t="shared" si="21"/>
        <v>-0.72303300000000004</v>
      </c>
    </row>
    <row r="114" spans="1:23" x14ac:dyDescent="0.3">
      <c r="A114">
        <v>5.8</v>
      </c>
      <c r="B114">
        <v>0.49</v>
      </c>
      <c r="C114">
        <f t="shared" si="14"/>
        <v>2.8420000000000001</v>
      </c>
      <c r="D114">
        <v>1.6799999999999999E-2</v>
      </c>
      <c r="E114" s="1">
        <v>1.7100000000000001E-2</v>
      </c>
      <c r="F114">
        <f t="shared" si="15"/>
        <v>1160</v>
      </c>
      <c r="G114">
        <f t="shared" si="16"/>
        <v>-0.49</v>
      </c>
      <c r="H114">
        <f t="shared" si="17"/>
        <v>-568.4</v>
      </c>
      <c r="I114">
        <v>1</v>
      </c>
      <c r="J114">
        <f t="shared" si="18"/>
        <v>0.14842000511827322</v>
      </c>
      <c r="K114">
        <f t="shared" si="19"/>
        <v>-0.73172515177521746</v>
      </c>
      <c r="L114">
        <v>1</v>
      </c>
      <c r="M114">
        <f t="shared" si="20"/>
        <v>0.53358750560406554</v>
      </c>
      <c r="N114">
        <f t="shared" si="24"/>
        <v>9.7439999999999985E-2</v>
      </c>
      <c r="O114">
        <f t="shared" si="22"/>
        <v>9.9180000000000004E-2</v>
      </c>
      <c r="P114">
        <f t="shared" si="23"/>
        <v>1.5176461711519373E-3</v>
      </c>
      <c r="V114">
        <v>5</v>
      </c>
      <c r="W114">
        <f t="shared" si="21"/>
        <v>-0.72702</v>
      </c>
    </row>
    <row r="115" spans="1:23" x14ac:dyDescent="0.3">
      <c r="A115">
        <v>5.85</v>
      </c>
      <c r="B115">
        <v>0.48799999999999999</v>
      </c>
      <c r="C115">
        <f t="shared" si="14"/>
        <v>2.8547999999999996</v>
      </c>
      <c r="D115">
        <v>1.6799999999999999E-2</v>
      </c>
      <c r="E115" s="1">
        <v>1.7100000000000001E-2</v>
      </c>
      <c r="F115">
        <f t="shared" si="15"/>
        <v>1170</v>
      </c>
      <c r="G115">
        <f t="shared" si="16"/>
        <v>-0.48799999999999999</v>
      </c>
      <c r="H115">
        <f t="shared" si="17"/>
        <v>-570.95999999999992</v>
      </c>
      <c r="I115">
        <v>1</v>
      </c>
      <c r="J115">
        <f t="shared" si="18"/>
        <v>0.15700374880966469</v>
      </c>
      <c r="K115">
        <f t="shared" si="19"/>
        <v>-0.73372515177521747</v>
      </c>
      <c r="L115">
        <v>1</v>
      </c>
      <c r="M115">
        <f t="shared" si="20"/>
        <v>0.5339297394650413</v>
      </c>
      <c r="N115">
        <f t="shared" si="24"/>
        <v>9.8279999999999992E-2</v>
      </c>
      <c r="O115">
        <f t="shared" si="22"/>
        <v>0.100035</v>
      </c>
      <c r="P115">
        <f t="shared" si="23"/>
        <v>1.4804123101761768E-3</v>
      </c>
      <c r="V115">
        <v>5.0999999999999996</v>
      </c>
      <c r="W115">
        <f t="shared" si="21"/>
        <v>-0.73100699999999996</v>
      </c>
    </row>
    <row r="116" spans="1:23" x14ac:dyDescent="0.3">
      <c r="A116">
        <v>5.9</v>
      </c>
      <c r="B116">
        <v>0.48499999999999999</v>
      </c>
      <c r="C116">
        <f t="shared" si="14"/>
        <v>2.8614999999999999</v>
      </c>
      <c r="D116">
        <v>1.6799999999999999E-2</v>
      </c>
      <c r="E116" s="1">
        <v>1.7100000000000001E-2</v>
      </c>
      <c r="F116">
        <f t="shared" si="15"/>
        <v>1180</v>
      </c>
      <c r="G116">
        <f t="shared" si="16"/>
        <v>-0.48499999999999999</v>
      </c>
      <c r="H116">
        <f t="shared" si="17"/>
        <v>-572.29999999999995</v>
      </c>
      <c r="I116">
        <v>1</v>
      </c>
      <c r="J116">
        <f t="shared" si="18"/>
        <v>0.16551443847757333</v>
      </c>
      <c r="K116">
        <f t="shared" si="19"/>
        <v>-0.73672515177521747</v>
      </c>
      <c r="L116">
        <v>1</v>
      </c>
      <c r="M116">
        <f t="shared" si="20"/>
        <v>0.53426906066210078</v>
      </c>
      <c r="N116">
        <f t="shared" si="24"/>
        <v>9.912E-2</v>
      </c>
      <c r="O116">
        <f t="shared" si="22"/>
        <v>0.10089000000000001</v>
      </c>
      <c r="P116">
        <f t="shared" si="23"/>
        <v>2.4460911131166801E-3</v>
      </c>
      <c r="V116">
        <v>5.2</v>
      </c>
      <c r="W116">
        <f t="shared" si="21"/>
        <v>-0.73499399999999993</v>
      </c>
    </row>
    <row r="117" spans="1:23" x14ac:dyDescent="0.3">
      <c r="A117">
        <v>5.95</v>
      </c>
      <c r="B117">
        <v>0.48299999999999998</v>
      </c>
      <c r="C117">
        <f t="shared" si="14"/>
        <v>2.87385</v>
      </c>
      <c r="D117">
        <v>1.6799999999999999E-2</v>
      </c>
      <c r="E117" s="1">
        <v>1.7100000000000001E-2</v>
      </c>
      <c r="F117">
        <f t="shared" si="15"/>
        <v>1190</v>
      </c>
      <c r="G117">
        <f t="shared" si="16"/>
        <v>-0.48299999999999998</v>
      </c>
      <c r="H117">
        <f t="shared" si="17"/>
        <v>-574.77</v>
      </c>
      <c r="I117">
        <v>1</v>
      </c>
      <c r="J117">
        <f t="shared" si="18"/>
        <v>0.17395330712343798</v>
      </c>
      <c r="K117">
        <f t="shared" si="19"/>
        <v>-0.73872515177521747</v>
      </c>
      <c r="L117">
        <v>1</v>
      </c>
      <c r="M117">
        <f t="shared" si="20"/>
        <v>0.53460551835501147</v>
      </c>
      <c r="N117">
        <f t="shared" si="24"/>
        <v>9.9959999999999993E-2</v>
      </c>
      <c r="O117">
        <f t="shared" si="22"/>
        <v>0.101745</v>
      </c>
      <c r="P117">
        <f t="shared" si="23"/>
        <v>2.4146334202060082E-3</v>
      </c>
      <c r="V117">
        <v>5.3</v>
      </c>
      <c r="W117">
        <f t="shared" si="21"/>
        <v>-0.738981</v>
      </c>
    </row>
    <row r="118" spans="1:23" x14ac:dyDescent="0.3">
      <c r="A118">
        <v>6</v>
      </c>
      <c r="B118">
        <v>0.48099999999999998</v>
      </c>
      <c r="C118">
        <f t="shared" si="14"/>
        <v>2.8860000000000001</v>
      </c>
      <c r="D118">
        <v>1.6799999999999999E-2</v>
      </c>
      <c r="E118" s="1">
        <v>1.7100000000000001E-2</v>
      </c>
      <c r="F118">
        <f t="shared" si="15"/>
        <v>1200</v>
      </c>
      <c r="G118">
        <f t="shared" si="16"/>
        <v>-0.48099999999999998</v>
      </c>
      <c r="H118">
        <f t="shared" si="17"/>
        <v>-577.20000000000005</v>
      </c>
      <c r="I118">
        <v>1</v>
      </c>
      <c r="J118">
        <f t="shared" si="18"/>
        <v>0.18232155679395459</v>
      </c>
      <c r="K118">
        <f t="shared" si="19"/>
        <v>-0.74072515177521747</v>
      </c>
      <c r="L118">
        <v>1</v>
      </c>
      <c r="M118">
        <f t="shared" si="20"/>
        <v>0.53493916046937495</v>
      </c>
      <c r="N118">
        <f t="shared" si="24"/>
        <v>0.1008</v>
      </c>
      <c r="O118">
        <f t="shared" si="22"/>
        <v>0.1026</v>
      </c>
      <c r="P118">
        <f t="shared" si="23"/>
        <v>2.3859913058425219E-3</v>
      </c>
      <c r="V118">
        <v>5.4</v>
      </c>
      <c r="W118">
        <f t="shared" si="21"/>
        <v>-0.74296799999999996</v>
      </c>
    </row>
    <row r="119" spans="1:23" x14ac:dyDescent="0.3">
      <c r="A119">
        <v>6.05</v>
      </c>
      <c r="B119">
        <v>0.47899999999999998</v>
      </c>
      <c r="C119">
        <f t="shared" si="14"/>
        <v>2.8979499999999998</v>
      </c>
      <c r="D119">
        <v>1.6799999999999999E-2</v>
      </c>
      <c r="E119" s="1">
        <v>1.7100000000000001E-2</v>
      </c>
      <c r="F119">
        <f t="shared" si="15"/>
        <v>1210</v>
      </c>
      <c r="G119">
        <f t="shared" si="16"/>
        <v>-0.47899999999999998</v>
      </c>
      <c r="H119">
        <f t="shared" si="17"/>
        <v>-579.58999999999992</v>
      </c>
      <c r="I119">
        <v>1</v>
      </c>
      <c r="J119">
        <f t="shared" si="18"/>
        <v>0.1906203596086497</v>
      </c>
      <c r="K119">
        <f t="shared" si="19"/>
        <v>-0.74272515177521747</v>
      </c>
      <c r="L119">
        <v>1</v>
      </c>
      <c r="M119">
        <f t="shared" si="20"/>
        <v>0.53527003373759685</v>
      </c>
      <c r="N119">
        <f t="shared" si="24"/>
        <v>0.10163999999999999</v>
      </c>
      <c r="O119">
        <f t="shared" si="22"/>
        <v>0.10345500000000001</v>
      </c>
      <c r="P119">
        <f t="shared" si="23"/>
        <v>2.3601180376206232E-3</v>
      </c>
      <c r="V119">
        <v>5.5</v>
      </c>
      <c r="W119">
        <f t="shared" si="21"/>
        <v>-0.74695500000000004</v>
      </c>
    </row>
    <row r="120" spans="1:23" x14ac:dyDescent="0.3">
      <c r="A120">
        <v>6.1</v>
      </c>
      <c r="B120">
        <v>0.47699999999999998</v>
      </c>
      <c r="C120">
        <f t="shared" si="14"/>
        <v>2.9096999999999995</v>
      </c>
      <c r="D120">
        <v>1.6799999999999999E-2</v>
      </c>
      <c r="E120" s="1">
        <v>1.7100000000000001E-2</v>
      </c>
      <c r="F120">
        <f t="shared" si="15"/>
        <v>1220</v>
      </c>
      <c r="G120">
        <f t="shared" si="16"/>
        <v>-0.47699999999999998</v>
      </c>
      <c r="H120">
        <f t="shared" si="17"/>
        <v>-581.93999999999994</v>
      </c>
      <c r="I120">
        <v>1</v>
      </c>
      <c r="J120">
        <f t="shared" si="18"/>
        <v>0.19885085874516517</v>
      </c>
      <c r="K120">
        <f t="shared" si="19"/>
        <v>-0.74472515177521748</v>
      </c>
      <c r="L120">
        <v>1</v>
      </c>
      <c r="M120">
        <f t="shared" si="20"/>
        <v>0.5355981837381697</v>
      </c>
      <c r="N120">
        <f t="shared" si="24"/>
        <v>0.10247999999999999</v>
      </c>
      <c r="O120">
        <f t="shared" si="22"/>
        <v>0.10431</v>
      </c>
      <c r="P120">
        <f t="shared" si="23"/>
        <v>2.3369680370477902E-3</v>
      </c>
      <c r="V120">
        <v>5.6</v>
      </c>
      <c r="W120">
        <f t="shared" si="21"/>
        <v>-0.750942</v>
      </c>
    </row>
    <row r="121" spans="1:23" x14ac:dyDescent="0.3">
      <c r="A121">
        <v>6.15</v>
      </c>
      <c r="B121">
        <v>0.47399999999999998</v>
      </c>
      <c r="C121">
        <f t="shared" si="14"/>
        <v>2.9151000000000002</v>
      </c>
      <c r="D121">
        <v>1.6799999999999999E-2</v>
      </c>
      <c r="E121" s="1">
        <v>1.7100000000000001E-2</v>
      </c>
      <c r="F121">
        <f t="shared" si="15"/>
        <v>1230</v>
      </c>
      <c r="G121">
        <f t="shared" si="16"/>
        <v>-0.47399999999999998</v>
      </c>
      <c r="H121">
        <f t="shared" si="17"/>
        <v>-583.0200000000001</v>
      </c>
      <c r="I121">
        <v>1</v>
      </c>
      <c r="J121">
        <f t="shared" si="18"/>
        <v>0.20701416938432612</v>
      </c>
      <c r="K121">
        <f t="shared" si="19"/>
        <v>-0.74772515177521748</v>
      </c>
      <c r="L121">
        <v>1</v>
      </c>
      <c r="M121">
        <f t="shared" si="20"/>
        <v>0.53592365493335303</v>
      </c>
      <c r="N121">
        <f t="shared" si="24"/>
        <v>0.10332</v>
      </c>
      <c r="O121">
        <f t="shared" si="22"/>
        <v>0.10516500000000001</v>
      </c>
      <c r="P121">
        <f t="shared" si="23"/>
        <v>3.3164968418644414E-3</v>
      </c>
      <c r="V121">
        <v>5.7</v>
      </c>
      <c r="W121">
        <f t="shared" si="21"/>
        <v>-0.75492899999999996</v>
      </c>
    </row>
    <row r="122" spans="1:23" x14ac:dyDescent="0.3">
      <c r="A122">
        <v>6.2</v>
      </c>
      <c r="B122">
        <v>0.47299999999999998</v>
      </c>
      <c r="C122">
        <f t="shared" si="14"/>
        <v>2.9325999999999999</v>
      </c>
      <c r="D122">
        <v>1.6799999999999999E-2</v>
      </c>
      <c r="E122" s="1">
        <v>1.7100000000000001E-2</v>
      </c>
      <c r="F122">
        <f t="shared" si="15"/>
        <v>1240</v>
      </c>
      <c r="G122">
        <f t="shared" si="16"/>
        <v>-0.47299999999999998</v>
      </c>
      <c r="H122">
        <f t="shared" si="17"/>
        <v>-586.52</v>
      </c>
      <c r="I122">
        <v>1</v>
      </c>
      <c r="J122">
        <f t="shared" si="18"/>
        <v>0.21511137961694549</v>
      </c>
      <c r="K122">
        <f t="shared" si="19"/>
        <v>-0.74872515177521748</v>
      </c>
      <c r="L122">
        <v>1</v>
      </c>
      <c r="M122">
        <f t="shared" si="20"/>
        <v>0.53624649070532759</v>
      </c>
      <c r="N122">
        <f t="shared" si="24"/>
        <v>0.10416</v>
      </c>
      <c r="O122">
        <f t="shared" si="22"/>
        <v>0.10602</v>
      </c>
      <c r="P122">
        <f t="shared" si="23"/>
        <v>2.2986610698898791E-3</v>
      </c>
      <c r="V122">
        <v>5.8</v>
      </c>
      <c r="W122">
        <f t="shared" si="21"/>
        <v>-0.75891599999999992</v>
      </c>
    </row>
    <row r="123" spans="1:23" x14ac:dyDescent="0.3">
      <c r="A123">
        <v>6.25</v>
      </c>
      <c r="B123">
        <v>0.47</v>
      </c>
      <c r="C123">
        <f t="shared" si="14"/>
        <v>2.9375</v>
      </c>
      <c r="D123">
        <v>1.6799999999999999E-2</v>
      </c>
      <c r="E123" s="1">
        <v>1.7100000000000001E-2</v>
      </c>
      <c r="F123">
        <f t="shared" si="15"/>
        <v>1250</v>
      </c>
      <c r="G123">
        <f t="shared" si="16"/>
        <v>-0.47</v>
      </c>
      <c r="H123">
        <f t="shared" si="17"/>
        <v>-587.5</v>
      </c>
      <c r="I123">
        <v>1</v>
      </c>
      <c r="J123">
        <f t="shared" si="18"/>
        <v>0.22314355131420976</v>
      </c>
      <c r="K123">
        <f t="shared" si="19"/>
        <v>-0.75172515177521748</v>
      </c>
      <c r="L123">
        <v>1</v>
      </c>
      <c r="M123">
        <f t="shared" si="20"/>
        <v>0.53656673339089755</v>
      </c>
      <c r="N123">
        <f t="shared" si="24"/>
        <v>0.105</v>
      </c>
      <c r="O123">
        <f t="shared" si="22"/>
        <v>0.106875</v>
      </c>
      <c r="P123">
        <f t="shared" si="23"/>
        <v>3.2834183843199333E-3</v>
      </c>
      <c r="V123">
        <v>5.9</v>
      </c>
      <c r="W123">
        <f t="shared" si="21"/>
        <v>-0.762903</v>
      </c>
    </row>
    <row r="124" spans="1:23" x14ac:dyDescent="0.3">
      <c r="A124">
        <v>6.3</v>
      </c>
      <c r="B124">
        <v>0.46800000000000003</v>
      </c>
      <c r="C124">
        <f t="shared" si="14"/>
        <v>2.9483999999999999</v>
      </c>
      <c r="D124">
        <v>1.6799999999999999E-2</v>
      </c>
      <c r="E124" s="1">
        <v>1.7100000000000001E-2</v>
      </c>
      <c r="F124">
        <f t="shared" si="15"/>
        <v>1260</v>
      </c>
      <c r="G124">
        <f t="shared" si="16"/>
        <v>-0.46800000000000003</v>
      </c>
      <c r="H124">
        <f t="shared" si="17"/>
        <v>-589.67999999999995</v>
      </c>
      <c r="I124">
        <v>1</v>
      </c>
      <c r="J124">
        <f t="shared" si="18"/>
        <v>0.23111172096338664</v>
      </c>
      <c r="K124">
        <f t="shared" si="19"/>
        <v>-0.75372515177521748</v>
      </c>
      <c r="L124">
        <v>1</v>
      </c>
      <c r="M124">
        <f t="shared" si="20"/>
        <v>0.5368844243148102</v>
      </c>
      <c r="N124">
        <f t="shared" si="24"/>
        <v>0.10583999999999999</v>
      </c>
      <c r="O124">
        <f t="shared" si="22"/>
        <v>0.10773000000000001</v>
      </c>
      <c r="P124">
        <f t="shared" si="23"/>
        <v>3.2707274604072828E-3</v>
      </c>
      <c r="V124">
        <v>6</v>
      </c>
      <c r="W124">
        <f t="shared" si="21"/>
        <v>-0.76688999999999996</v>
      </c>
    </row>
    <row r="125" spans="1:23" x14ac:dyDescent="0.3">
      <c r="A125">
        <v>6.35</v>
      </c>
      <c r="B125">
        <v>0.46600000000000003</v>
      </c>
      <c r="C125">
        <f t="shared" si="14"/>
        <v>2.9590999999999998</v>
      </c>
      <c r="D125">
        <v>1.6799999999999999E-2</v>
      </c>
      <c r="E125" s="1">
        <v>1.7100000000000001E-2</v>
      </c>
      <c r="F125">
        <f t="shared" si="15"/>
        <v>1270</v>
      </c>
      <c r="G125">
        <f t="shared" si="16"/>
        <v>-0.46600000000000003</v>
      </c>
      <c r="H125">
        <f t="shared" si="17"/>
        <v>-591.81999999999994</v>
      </c>
      <c r="I125">
        <v>1</v>
      </c>
      <c r="J125">
        <f t="shared" si="18"/>
        <v>0.23901690047049992</v>
      </c>
      <c r="K125">
        <f t="shared" si="19"/>
        <v>-0.75572515177521749</v>
      </c>
      <c r="L125">
        <v>1</v>
      </c>
      <c r="M125">
        <f t="shared" si="20"/>
        <v>0.5371996038217588</v>
      </c>
      <c r="N125">
        <f t="shared" si="24"/>
        <v>0.10667999999999998</v>
      </c>
      <c r="O125">
        <f t="shared" si="22"/>
        <v>0.108585</v>
      </c>
      <c r="P125">
        <f t="shared" si="23"/>
        <v>3.2605479534587034E-3</v>
      </c>
      <c r="V125">
        <v>6.1</v>
      </c>
      <c r="W125">
        <f t="shared" si="21"/>
        <v>-0.77087700000000003</v>
      </c>
    </row>
    <row r="126" spans="1:23" x14ac:dyDescent="0.3">
      <c r="A126">
        <v>6.4</v>
      </c>
      <c r="B126">
        <v>0.46400000000000002</v>
      </c>
      <c r="C126">
        <f t="shared" si="14"/>
        <v>2.9696000000000002</v>
      </c>
      <c r="D126">
        <v>1.6799999999999999E-2</v>
      </c>
      <c r="E126" s="1">
        <v>1.7100000000000001E-2</v>
      </c>
      <c r="F126">
        <f t="shared" si="15"/>
        <v>1280</v>
      </c>
      <c r="G126">
        <f t="shared" si="16"/>
        <v>-0.46400000000000002</v>
      </c>
      <c r="H126">
        <f t="shared" si="17"/>
        <v>-593.92000000000007</v>
      </c>
      <c r="I126">
        <v>1</v>
      </c>
      <c r="J126">
        <f t="shared" si="18"/>
        <v>0.24686007793152581</v>
      </c>
      <c r="K126">
        <f t="shared" si="19"/>
        <v>-0.75772515177521749</v>
      </c>
      <c r="L126">
        <v>1</v>
      </c>
      <c r="M126">
        <f t="shared" si="20"/>
        <v>0.53751231130712995</v>
      </c>
      <c r="N126">
        <f t="shared" si="24"/>
        <v>0.10752</v>
      </c>
      <c r="O126">
        <f t="shared" si="22"/>
        <v>0.10944000000000001</v>
      </c>
      <c r="P126">
        <f t="shared" si="23"/>
        <v>3.25284046808752E-3</v>
      </c>
      <c r="V126">
        <v>6.2</v>
      </c>
      <c r="W126">
        <f t="shared" si="21"/>
        <v>-0.774864</v>
      </c>
    </row>
    <row r="127" spans="1:23" x14ac:dyDescent="0.3">
      <c r="A127">
        <v>6.45</v>
      </c>
      <c r="B127">
        <v>0.46200000000000002</v>
      </c>
      <c r="C127">
        <f t="shared" si="14"/>
        <v>2.9799000000000002</v>
      </c>
      <c r="D127">
        <v>1.6799999999999999E-2</v>
      </c>
      <c r="E127" s="1">
        <v>1.7100000000000001E-2</v>
      </c>
      <c r="F127">
        <f t="shared" si="15"/>
        <v>1290</v>
      </c>
      <c r="G127">
        <f t="shared" si="16"/>
        <v>-0.46200000000000002</v>
      </c>
      <c r="H127">
        <f t="shared" si="17"/>
        <v>-595.98</v>
      </c>
      <c r="I127">
        <v>1</v>
      </c>
      <c r="J127">
        <f t="shared" si="18"/>
        <v>0.25464221837358075</v>
      </c>
      <c r="K127">
        <f t="shared" si="19"/>
        <v>-0.75972515177521749</v>
      </c>
      <c r="L127">
        <v>1</v>
      </c>
      <c r="M127">
        <f t="shared" si="20"/>
        <v>0.53782258524655469</v>
      </c>
      <c r="N127">
        <f t="shared" si="24"/>
        <v>0.10836</v>
      </c>
      <c r="O127">
        <f t="shared" si="22"/>
        <v>0.110295</v>
      </c>
      <c r="P127">
        <f t="shared" si="23"/>
        <v>3.2475665286628014E-3</v>
      </c>
      <c r="V127">
        <v>6.3</v>
      </c>
      <c r="W127">
        <f t="shared" si="21"/>
        <v>-0.77885099999999996</v>
      </c>
    </row>
    <row r="128" spans="1:23" x14ac:dyDescent="0.3">
      <c r="A128">
        <v>6.55</v>
      </c>
      <c r="B128">
        <v>0.46</v>
      </c>
      <c r="C128">
        <f t="shared" si="14"/>
        <v>3.0129999999999999</v>
      </c>
      <c r="D128">
        <v>1.6799999999999999E-2</v>
      </c>
      <c r="E128" s="1">
        <v>1.7100000000000001E-2</v>
      </c>
      <c r="F128">
        <f t="shared" si="15"/>
        <v>1310</v>
      </c>
      <c r="G128">
        <f t="shared" si="16"/>
        <v>-0.46</v>
      </c>
      <c r="H128">
        <f t="shared" si="17"/>
        <v>-602.6</v>
      </c>
      <c r="I128">
        <v>1</v>
      </c>
      <c r="J128">
        <f t="shared" si="18"/>
        <v>0.27002713721306021</v>
      </c>
      <c r="K128">
        <f t="shared" si="19"/>
        <v>-0.76172515177521749</v>
      </c>
      <c r="L128">
        <v>1</v>
      </c>
      <c r="M128">
        <f t="shared" si="20"/>
        <v>0.53843598196068465</v>
      </c>
      <c r="N128">
        <f t="shared" si="24"/>
        <v>0.11003999999999999</v>
      </c>
      <c r="O128">
        <f t="shared" si="22"/>
        <v>0.11200500000000001</v>
      </c>
      <c r="P128">
        <f t="shared" si="23"/>
        <v>1.2441698145328473E-3</v>
      </c>
      <c r="V128">
        <v>6.4</v>
      </c>
      <c r="W128">
        <f t="shared" si="21"/>
        <v>-0.78283799999999992</v>
      </c>
    </row>
    <row r="129" spans="1:23" x14ac:dyDescent="0.3">
      <c r="A129">
        <v>6.6</v>
      </c>
      <c r="B129">
        <v>0.45800000000000002</v>
      </c>
      <c r="C129">
        <f t="shared" si="14"/>
        <v>3.0228000000000002</v>
      </c>
      <c r="D129">
        <v>1.6799999999999999E-2</v>
      </c>
      <c r="E129" s="1">
        <v>1.7100000000000001E-2</v>
      </c>
      <c r="F129">
        <f t="shared" si="15"/>
        <v>1320</v>
      </c>
      <c r="G129">
        <f t="shared" si="16"/>
        <v>-0.45800000000000002</v>
      </c>
      <c r="H129">
        <f t="shared" si="17"/>
        <v>-604.56000000000006</v>
      </c>
      <c r="I129">
        <v>1</v>
      </c>
      <c r="J129">
        <f t="shared" si="18"/>
        <v>0.27763173659827955</v>
      </c>
      <c r="K129">
        <f t="shared" si="19"/>
        <v>-0.76372515177521749</v>
      </c>
      <c r="L129">
        <v>1</v>
      </c>
      <c r="M129">
        <f t="shared" si="20"/>
        <v>0.53873917733817334</v>
      </c>
      <c r="N129">
        <f t="shared" si="24"/>
        <v>0.11087999999999999</v>
      </c>
      <c r="O129">
        <f t="shared" si="22"/>
        <v>0.11286</v>
      </c>
      <c r="P129">
        <f t="shared" si="23"/>
        <v>1.2459744370441617E-3</v>
      </c>
      <c r="V129">
        <v>6.5</v>
      </c>
      <c r="W129">
        <f t="shared" si="21"/>
        <v>-0.786825</v>
      </c>
    </row>
    <row r="130" spans="1:23" x14ac:dyDescent="0.3">
      <c r="A130">
        <v>6.65</v>
      </c>
      <c r="B130">
        <v>0.45500000000000002</v>
      </c>
      <c r="C130">
        <f t="shared" si="14"/>
        <v>3.0257500000000004</v>
      </c>
      <c r="D130">
        <v>1.6799999999999999E-2</v>
      </c>
      <c r="E130" s="1">
        <v>1.7100000000000001E-2</v>
      </c>
      <c r="F130">
        <f t="shared" si="15"/>
        <v>1330</v>
      </c>
      <c r="G130">
        <f t="shared" si="16"/>
        <v>-0.45500000000000002</v>
      </c>
      <c r="H130">
        <f t="shared" si="17"/>
        <v>-605.15000000000009</v>
      </c>
      <c r="I130">
        <v>1</v>
      </c>
      <c r="J130">
        <f t="shared" si="18"/>
        <v>0.28517894223366247</v>
      </c>
      <c r="K130">
        <f t="shared" si="19"/>
        <v>-0.76672515177521738</v>
      </c>
      <c r="L130">
        <v>1</v>
      </c>
      <c r="M130">
        <f t="shared" si="20"/>
        <v>0.53904008442685614</v>
      </c>
      <c r="N130">
        <f t="shared" si="24"/>
        <v>0.11172</v>
      </c>
      <c r="O130">
        <f t="shared" si="22"/>
        <v>0.11371500000000001</v>
      </c>
      <c r="P130">
        <f t="shared" si="23"/>
        <v>2.2500673483612371E-3</v>
      </c>
      <c r="V130">
        <v>6.6</v>
      </c>
      <c r="W130">
        <f t="shared" si="21"/>
        <v>-0.79081199999999996</v>
      </c>
    </row>
    <row r="131" spans="1:23" x14ac:dyDescent="0.3">
      <c r="A131">
        <v>6.7</v>
      </c>
      <c r="B131">
        <v>0.45300000000000001</v>
      </c>
      <c r="C131">
        <f t="shared" si="14"/>
        <v>3.0351000000000004</v>
      </c>
      <c r="D131">
        <v>1.6799999999999999E-2</v>
      </c>
      <c r="E131" s="1">
        <v>1.7100000000000001E-2</v>
      </c>
      <c r="F131">
        <f t="shared" si="15"/>
        <v>1340</v>
      </c>
      <c r="G131">
        <f t="shared" si="16"/>
        <v>-0.45300000000000001</v>
      </c>
      <c r="H131">
        <f t="shared" si="17"/>
        <v>-607.0200000000001</v>
      </c>
      <c r="I131">
        <v>1</v>
      </c>
      <c r="J131">
        <f t="shared" si="18"/>
        <v>0.29266961396282004</v>
      </c>
      <c r="K131">
        <f t="shared" si="19"/>
        <v>-0.76872515177521739</v>
      </c>
      <c r="L131">
        <v>1</v>
      </c>
      <c r="M131">
        <f t="shared" si="20"/>
        <v>0.53933873750869765</v>
      </c>
      <c r="N131">
        <f t="shared" si="24"/>
        <v>0.11255999999999999</v>
      </c>
      <c r="O131">
        <f t="shared" si="22"/>
        <v>0.11457000000000001</v>
      </c>
      <c r="P131">
        <f t="shared" si="23"/>
        <v>2.2564142665197351E-3</v>
      </c>
      <c r="V131">
        <v>6.7</v>
      </c>
      <c r="W131">
        <f t="shared" si="21"/>
        <v>-0.79479900000000003</v>
      </c>
    </row>
    <row r="132" spans="1:23" x14ac:dyDescent="0.3">
      <c r="A132">
        <v>6.75</v>
      </c>
      <c r="B132">
        <v>0.45100000000000001</v>
      </c>
      <c r="C132">
        <f t="shared" si="14"/>
        <v>3.0442499999999999</v>
      </c>
      <c r="D132">
        <v>1.6799999999999999E-2</v>
      </c>
      <c r="E132" s="1">
        <v>1.7100000000000001E-2</v>
      </c>
      <c r="F132">
        <f t="shared" si="15"/>
        <v>1350</v>
      </c>
      <c r="G132">
        <f t="shared" si="16"/>
        <v>-0.45100000000000001</v>
      </c>
      <c r="H132">
        <f t="shared" si="17"/>
        <v>-608.85</v>
      </c>
      <c r="I132">
        <v>1</v>
      </c>
      <c r="J132">
        <f t="shared" si="18"/>
        <v>0.30010459245033816</v>
      </c>
      <c r="K132">
        <f t="shared" si="19"/>
        <v>-0.77072515177521739</v>
      </c>
      <c r="L132">
        <v>1</v>
      </c>
      <c r="M132">
        <f t="shared" si="20"/>
        <v>0.53963517010099493</v>
      </c>
      <c r="N132">
        <f t="shared" si="24"/>
        <v>0.11339999999999999</v>
      </c>
      <c r="O132">
        <f t="shared" si="22"/>
        <v>0.115425</v>
      </c>
      <c r="P132">
        <f t="shared" si="23"/>
        <v>2.2649816742224688E-3</v>
      </c>
      <c r="V132">
        <v>6.8</v>
      </c>
      <c r="W132">
        <f t="shared" si="21"/>
        <v>-0.798786</v>
      </c>
    </row>
    <row r="133" spans="1:23" x14ac:dyDescent="0.3">
      <c r="A133">
        <v>6.8</v>
      </c>
      <c r="B133">
        <v>0.44900000000000001</v>
      </c>
      <c r="C133">
        <f t="shared" ref="C133:C196" si="25">A133*B133</f>
        <v>3.0531999999999999</v>
      </c>
      <c r="D133">
        <v>1.6799999999999999E-2</v>
      </c>
      <c r="E133" s="1">
        <v>1.7100000000000001E-2</v>
      </c>
      <c r="F133">
        <f t="shared" ref="F133:F144" si="26">A133*200</f>
        <v>1360</v>
      </c>
      <c r="G133">
        <f t="shared" ref="G133:G144" si="27">-B133</f>
        <v>-0.44900000000000001</v>
      </c>
      <c r="H133">
        <f t="shared" ref="H133:H196" si="28">-C133*200</f>
        <v>-610.64</v>
      </c>
      <c r="I133">
        <v>1</v>
      </c>
      <c r="J133">
        <f t="shared" ref="J133:J196" si="29">LN(F133/1000)</f>
        <v>0.30748469974796072</v>
      </c>
      <c r="K133">
        <f t="shared" ref="K133:K187" si="30">((-G133)-$N$2)</f>
        <v>-0.77272515177521739</v>
      </c>
      <c r="L133">
        <v>1</v>
      </c>
      <c r="M133">
        <f t="shared" ref="M133:M196" si="31">-1*($S$4+($S$5*J133))</f>
        <v>0.53992941497895119</v>
      </c>
      <c r="N133">
        <f t="shared" si="24"/>
        <v>0.11423999999999999</v>
      </c>
      <c r="O133">
        <f t="shared" si="22"/>
        <v>0.11627999999999999</v>
      </c>
      <c r="P133">
        <f t="shared" si="23"/>
        <v>2.2757367962662062E-3</v>
      </c>
      <c r="V133">
        <v>6.9</v>
      </c>
      <c r="W133">
        <f t="shared" ref="W133:W139" si="32">V133*$S$5+$S$4</f>
        <v>-0.80277299999999996</v>
      </c>
    </row>
    <row r="134" spans="1:23" x14ac:dyDescent="0.3">
      <c r="A134">
        <v>6.85</v>
      </c>
      <c r="B134">
        <v>0.44700000000000001</v>
      </c>
      <c r="C134">
        <f t="shared" si="25"/>
        <v>3.0619499999999999</v>
      </c>
      <c r="D134">
        <v>1.6799999999999999E-2</v>
      </c>
      <c r="E134" s="1">
        <v>1.7100000000000001E-2</v>
      </c>
      <c r="F134">
        <f t="shared" si="26"/>
        <v>1370</v>
      </c>
      <c r="G134">
        <f t="shared" si="27"/>
        <v>-0.44700000000000001</v>
      </c>
      <c r="H134">
        <f t="shared" si="28"/>
        <v>-612.39</v>
      </c>
      <c r="I134">
        <v>1</v>
      </c>
      <c r="J134">
        <f t="shared" si="29"/>
        <v>0.3148107398400336</v>
      </c>
      <c r="K134">
        <f t="shared" si="30"/>
        <v>-0.77472515177521739</v>
      </c>
      <c r="L134">
        <v>1</v>
      </c>
      <c r="M134">
        <f t="shared" si="31"/>
        <v>0.5402215041974221</v>
      </c>
      <c r="N134">
        <f t="shared" si="24"/>
        <v>0.11507999999999999</v>
      </c>
      <c r="O134">
        <f t="shared" ref="O134:O144" si="33">E134*A134</f>
        <v>0.117135</v>
      </c>
      <c r="P134">
        <f t="shared" ref="P134:P144" si="34">-K134-M134-N134-O134</f>
        <v>2.2886475777953025E-3</v>
      </c>
      <c r="V134">
        <v>7</v>
      </c>
      <c r="W134">
        <f t="shared" si="32"/>
        <v>-0.80675999999999992</v>
      </c>
    </row>
    <row r="135" spans="1:23" x14ac:dyDescent="0.3">
      <c r="A135">
        <v>6.9</v>
      </c>
      <c r="B135">
        <v>0.44500000000000001</v>
      </c>
      <c r="C135">
        <f t="shared" si="25"/>
        <v>3.0705</v>
      </c>
      <c r="D135">
        <v>1.6799999999999999E-2</v>
      </c>
      <c r="E135" s="1">
        <v>1.7100000000000001E-2</v>
      </c>
      <c r="F135">
        <f t="shared" si="26"/>
        <v>1380</v>
      </c>
      <c r="G135">
        <f t="shared" si="27"/>
        <v>-0.44500000000000001</v>
      </c>
      <c r="H135">
        <f t="shared" si="28"/>
        <v>-614.1</v>
      </c>
      <c r="I135">
        <v>1</v>
      </c>
      <c r="J135">
        <f t="shared" si="29"/>
        <v>0.32208349916911322</v>
      </c>
      <c r="K135">
        <f t="shared" si="30"/>
        <v>-0.77672515177521739</v>
      </c>
      <c r="L135">
        <v>1</v>
      </c>
      <c r="M135">
        <f t="shared" si="31"/>
        <v>0.54051146911187253</v>
      </c>
      <c r="N135">
        <f t="shared" ref="N135:N144" si="35">D135*A135</f>
        <v>0.11592</v>
      </c>
      <c r="O135">
        <f t="shared" si="33"/>
        <v>0.11799000000000001</v>
      </c>
      <c r="P135">
        <f t="shared" si="34"/>
        <v>2.3036826633448526E-3</v>
      </c>
      <c r="V135">
        <v>7.1</v>
      </c>
      <c r="W135">
        <f t="shared" si="32"/>
        <v>-0.810747</v>
      </c>
    </row>
    <row r="136" spans="1:23" x14ac:dyDescent="0.3">
      <c r="A136">
        <v>6.95</v>
      </c>
      <c r="B136">
        <v>0.443</v>
      </c>
      <c r="C136">
        <f t="shared" si="25"/>
        <v>3.0788500000000001</v>
      </c>
      <c r="D136">
        <v>1.6799999999999999E-2</v>
      </c>
      <c r="E136" s="1">
        <v>1.7100000000000001E-2</v>
      </c>
      <c r="F136">
        <f t="shared" si="26"/>
        <v>1390</v>
      </c>
      <c r="G136">
        <f t="shared" si="27"/>
        <v>-0.443</v>
      </c>
      <c r="H136">
        <f t="shared" si="28"/>
        <v>-615.77</v>
      </c>
      <c r="I136">
        <v>1</v>
      </c>
      <c r="J136">
        <f t="shared" si="29"/>
        <v>0.3293037471426003</v>
      </c>
      <c r="K136">
        <f t="shared" si="30"/>
        <v>-0.77872515177521739</v>
      </c>
      <c r="L136">
        <v>1</v>
      </c>
      <c r="M136">
        <f t="shared" si="31"/>
        <v>0.54079934039857547</v>
      </c>
      <c r="N136">
        <f t="shared" si="35"/>
        <v>0.11676</v>
      </c>
      <c r="O136">
        <f t="shared" si="33"/>
        <v>0.11884500000000001</v>
      </c>
      <c r="P136">
        <f t="shared" si="34"/>
        <v>2.3208113766419181E-3</v>
      </c>
      <c r="V136">
        <v>7.2</v>
      </c>
      <c r="W136">
        <f t="shared" si="32"/>
        <v>-0.81473400000000007</v>
      </c>
    </row>
    <row r="137" spans="1:23" x14ac:dyDescent="0.3">
      <c r="A137">
        <v>7</v>
      </c>
      <c r="B137">
        <v>0.441</v>
      </c>
      <c r="C137">
        <f t="shared" si="25"/>
        <v>3.0870000000000002</v>
      </c>
      <c r="D137">
        <v>1.6799999999999999E-2</v>
      </c>
      <c r="E137" s="1">
        <v>1.7100000000000001E-2</v>
      </c>
      <c r="F137">
        <f t="shared" si="26"/>
        <v>1400</v>
      </c>
      <c r="G137">
        <f t="shared" si="27"/>
        <v>-0.441</v>
      </c>
      <c r="H137">
        <f t="shared" si="28"/>
        <v>-617.40000000000009</v>
      </c>
      <c r="I137">
        <v>1</v>
      </c>
      <c r="J137">
        <f t="shared" si="29"/>
        <v>0.33647223662121289</v>
      </c>
      <c r="K137">
        <f t="shared" si="30"/>
        <v>-0.7807251517752174</v>
      </c>
      <c r="L137">
        <v>1</v>
      </c>
      <c r="M137">
        <f t="shared" si="31"/>
        <v>0.5410851480740877</v>
      </c>
      <c r="N137">
        <f t="shared" si="35"/>
        <v>0.1176</v>
      </c>
      <c r="O137">
        <f t="shared" si="33"/>
        <v>0.1197</v>
      </c>
      <c r="P137">
        <f t="shared" si="34"/>
        <v>2.3400037011297031E-3</v>
      </c>
      <c r="V137">
        <v>7.3</v>
      </c>
      <c r="W137">
        <f t="shared" si="32"/>
        <v>-0.81872100000000003</v>
      </c>
    </row>
    <row r="138" spans="1:23" x14ac:dyDescent="0.3">
      <c r="A138">
        <v>7.05</v>
      </c>
      <c r="B138">
        <v>0.439</v>
      </c>
      <c r="C138">
        <f t="shared" si="25"/>
        <v>3.0949499999999999</v>
      </c>
      <c r="D138">
        <v>1.6799999999999999E-2</v>
      </c>
      <c r="E138" s="1">
        <v>1.7100000000000001E-2</v>
      </c>
      <c r="F138">
        <f t="shared" si="26"/>
        <v>1410</v>
      </c>
      <c r="G138">
        <f t="shared" si="27"/>
        <v>-0.439</v>
      </c>
      <c r="H138">
        <f t="shared" si="28"/>
        <v>-618.99</v>
      </c>
      <c r="I138">
        <v>1</v>
      </c>
      <c r="J138">
        <f t="shared" si="29"/>
        <v>0.34358970439007686</v>
      </c>
      <c r="K138">
        <f t="shared" si="30"/>
        <v>-0.7827251517752174</v>
      </c>
      <c r="L138">
        <v>1</v>
      </c>
      <c r="M138">
        <f t="shared" si="31"/>
        <v>0.54136892151403238</v>
      </c>
      <c r="N138">
        <f t="shared" si="35"/>
        <v>0.11843999999999999</v>
      </c>
      <c r="O138">
        <f t="shared" si="33"/>
        <v>0.120555</v>
      </c>
      <c r="P138">
        <f t="shared" si="34"/>
        <v>2.3612302611850378E-3</v>
      </c>
      <c r="V138">
        <v>7.4</v>
      </c>
      <c r="W138">
        <f t="shared" si="32"/>
        <v>-0.82270799999999999</v>
      </c>
    </row>
    <row r="139" spans="1:23" x14ac:dyDescent="0.3">
      <c r="A139">
        <v>7.1</v>
      </c>
      <c r="B139">
        <v>0.437</v>
      </c>
      <c r="C139">
        <f t="shared" si="25"/>
        <v>3.1027</v>
      </c>
      <c r="D139">
        <v>1.6799999999999999E-2</v>
      </c>
      <c r="E139" s="1">
        <v>1.7100000000000001E-2</v>
      </c>
      <c r="F139">
        <f t="shared" si="26"/>
        <v>1420</v>
      </c>
      <c r="G139">
        <f t="shared" si="27"/>
        <v>-0.437</v>
      </c>
      <c r="H139">
        <f t="shared" si="28"/>
        <v>-620.54</v>
      </c>
      <c r="I139">
        <v>1</v>
      </c>
      <c r="J139">
        <f t="shared" si="29"/>
        <v>0.35065687161316933</v>
      </c>
      <c r="K139">
        <f t="shared" si="30"/>
        <v>-0.7847251517752174</v>
      </c>
      <c r="L139">
        <v>1</v>
      </c>
      <c r="M139">
        <f t="shared" si="31"/>
        <v>0.54165068947121708</v>
      </c>
      <c r="N139">
        <f t="shared" si="35"/>
        <v>0.11927999999999998</v>
      </c>
      <c r="O139">
        <f t="shared" si="33"/>
        <v>0.12141</v>
      </c>
      <c r="P139">
        <f t="shared" si="34"/>
        <v>2.3844623040003288E-3</v>
      </c>
      <c r="V139">
        <v>7.5</v>
      </c>
      <c r="W139">
        <f t="shared" si="32"/>
        <v>-0.82669499999999996</v>
      </c>
    </row>
    <row r="140" spans="1:23" x14ac:dyDescent="0.3">
      <c r="A140">
        <v>7.15</v>
      </c>
      <c r="B140">
        <v>0.434</v>
      </c>
      <c r="C140">
        <f t="shared" si="25"/>
        <v>3.1031</v>
      </c>
      <c r="D140">
        <v>1.6799999999999999E-2</v>
      </c>
      <c r="E140" s="1">
        <v>1.7100000000000001E-2</v>
      </c>
      <c r="F140">
        <f t="shared" si="26"/>
        <v>1430</v>
      </c>
      <c r="G140">
        <f t="shared" si="27"/>
        <v>-0.434</v>
      </c>
      <c r="H140">
        <f t="shared" si="28"/>
        <v>-620.62</v>
      </c>
      <c r="I140">
        <v>1</v>
      </c>
      <c r="J140">
        <f t="shared" si="29"/>
        <v>0.35767444427181588</v>
      </c>
      <c r="K140">
        <f t="shared" si="30"/>
        <v>-0.78772515177521751</v>
      </c>
      <c r="L140">
        <v>1</v>
      </c>
      <c r="M140">
        <f t="shared" si="31"/>
        <v>0.54193048009311728</v>
      </c>
      <c r="N140">
        <f t="shared" si="35"/>
        <v>0.12012</v>
      </c>
      <c r="O140">
        <f t="shared" si="33"/>
        <v>0.12226500000000001</v>
      </c>
      <c r="P140">
        <f t="shared" si="34"/>
        <v>3.4096716821002127E-3</v>
      </c>
    </row>
    <row r="141" spans="1:23" x14ac:dyDescent="0.3">
      <c r="A141">
        <v>7.2</v>
      </c>
      <c r="B141">
        <v>0.432</v>
      </c>
      <c r="C141">
        <f t="shared" si="25"/>
        <v>3.1103999999999998</v>
      </c>
      <c r="D141">
        <v>1.6799999999999999E-2</v>
      </c>
      <c r="E141" s="1">
        <v>1.7100000000000001E-2</v>
      </c>
      <c r="F141">
        <f t="shared" si="26"/>
        <v>1440</v>
      </c>
      <c r="G141">
        <f t="shared" si="27"/>
        <v>-0.432</v>
      </c>
      <c r="H141">
        <f t="shared" si="28"/>
        <v>-622.07999999999993</v>
      </c>
      <c r="I141">
        <v>1</v>
      </c>
      <c r="J141">
        <f t="shared" si="29"/>
        <v>0.36464311358790924</v>
      </c>
      <c r="K141">
        <f t="shared" si="30"/>
        <v>-0.78972515177521752</v>
      </c>
      <c r="L141">
        <v>1</v>
      </c>
      <c r="M141">
        <f t="shared" si="31"/>
        <v>0.54220832093874993</v>
      </c>
      <c r="N141">
        <f t="shared" si="35"/>
        <v>0.12096</v>
      </c>
      <c r="O141">
        <f t="shared" si="33"/>
        <v>0.12312000000000001</v>
      </c>
      <c r="P141">
        <f t="shared" si="34"/>
        <v>3.4368308364675637E-3</v>
      </c>
    </row>
    <row r="142" spans="1:23" x14ac:dyDescent="0.3">
      <c r="A142">
        <v>7.25</v>
      </c>
      <c r="B142">
        <v>0.43</v>
      </c>
      <c r="C142">
        <f t="shared" si="25"/>
        <v>3.1175000000000002</v>
      </c>
      <c r="D142">
        <v>1.6799999999999999E-2</v>
      </c>
      <c r="E142" s="1">
        <v>1.7100000000000001E-2</v>
      </c>
      <c r="F142">
        <f t="shared" si="26"/>
        <v>1450</v>
      </c>
      <c r="G142">
        <f t="shared" si="27"/>
        <v>-0.43</v>
      </c>
      <c r="H142">
        <f t="shared" si="28"/>
        <v>-623.5</v>
      </c>
      <c r="I142">
        <v>1</v>
      </c>
      <c r="J142">
        <f t="shared" si="29"/>
        <v>0.37156355643248301</v>
      </c>
      <c r="K142">
        <f t="shared" si="30"/>
        <v>-0.79172515177521752</v>
      </c>
      <c r="L142">
        <v>1</v>
      </c>
      <c r="M142">
        <f t="shared" si="31"/>
        <v>0.54248423899496312</v>
      </c>
      <c r="N142">
        <f t="shared" si="35"/>
        <v>0.12179999999999999</v>
      </c>
      <c r="O142">
        <f t="shared" si="33"/>
        <v>0.123975</v>
      </c>
      <c r="P142">
        <f t="shared" si="34"/>
        <v>3.4659127802544043E-3</v>
      </c>
    </row>
    <row r="143" spans="1:23" x14ac:dyDescent="0.3">
      <c r="A143">
        <v>7.3</v>
      </c>
      <c r="B143">
        <v>0.42799999999999999</v>
      </c>
      <c r="C143">
        <f t="shared" si="25"/>
        <v>3.1244000000000001</v>
      </c>
      <c r="D143">
        <v>1.6799999999999999E-2</v>
      </c>
      <c r="E143" s="1">
        <v>1.7100000000000001E-2</v>
      </c>
      <c r="F143">
        <f t="shared" si="26"/>
        <v>1460</v>
      </c>
      <c r="G143">
        <f t="shared" si="27"/>
        <v>-0.42799999999999999</v>
      </c>
      <c r="H143">
        <f t="shared" si="28"/>
        <v>-624.88</v>
      </c>
      <c r="I143">
        <v>1</v>
      </c>
      <c r="J143">
        <f t="shared" si="29"/>
        <v>0.37843643572024505</v>
      </c>
      <c r="K143">
        <f t="shared" si="30"/>
        <v>-0.79372515177521752</v>
      </c>
      <c r="L143">
        <v>1</v>
      </c>
      <c r="M143">
        <f t="shared" si="31"/>
        <v>0.54275826069216615</v>
      </c>
      <c r="N143">
        <f t="shared" si="35"/>
        <v>0.12263999999999999</v>
      </c>
      <c r="O143">
        <f t="shared" si="33"/>
        <v>0.12483</v>
      </c>
      <c r="P143">
        <f t="shared" si="34"/>
        <v>3.4968910830514011E-3</v>
      </c>
    </row>
    <row r="144" spans="1:23" x14ac:dyDescent="0.3">
      <c r="A144">
        <v>7.35</v>
      </c>
      <c r="B144">
        <v>0.42599999999999999</v>
      </c>
      <c r="C144">
        <f t="shared" si="25"/>
        <v>3.1311</v>
      </c>
      <c r="D144">
        <v>1.6799999999999999E-2</v>
      </c>
      <c r="E144" s="1">
        <v>1.7100000000000001E-2</v>
      </c>
      <c r="F144">
        <f t="shared" si="26"/>
        <v>1470</v>
      </c>
      <c r="G144">
        <f t="shared" si="27"/>
        <v>-0.42599999999999999</v>
      </c>
      <c r="H144">
        <f t="shared" si="28"/>
        <v>-626.22</v>
      </c>
      <c r="I144">
        <v>1</v>
      </c>
      <c r="J144">
        <f t="shared" si="29"/>
        <v>0.38526240079064489</v>
      </c>
      <c r="K144">
        <f t="shared" si="30"/>
        <v>-0.79572515177521752</v>
      </c>
      <c r="L144">
        <v>1</v>
      </c>
      <c r="M144">
        <f t="shared" si="31"/>
        <v>0.54303041191952295</v>
      </c>
      <c r="N144">
        <f t="shared" si="35"/>
        <v>0.12347999999999999</v>
      </c>
      <c r="O144">
        <f t="shared" si="33"/>
        <v>0.12568499999999999</v>
      </c>
      <c r="P144">
        <f t="shared" si="34"/>
        <v>3.5297398556946025E-3</v>
      </c>
    </row>
    <row r="145" spans="1:16" x14ac:dyDescent="0.3">
      <c r="A145">
        <v>7.4</v>
      </c>
      <c r="B145">
        <v>0.42399999999999999</v>
      </c>
      <c r="C145">
        <f t="shared" si="25"/>
        <v>3.1375999999999999</v>
      </c>
      <c r="D145">
        <v>1.6799999999999999E-2</v>
      </c>
      <c r="E145" s="1">
        <v>1.7100000000000001E-2</v>
      </c>
      <c r="F145">
        <f t="shared" ref="F145:F187" si="36">A145*200</f>
        <v>1480</v>
      </c>
      <c r="G145">
        <f t="shared" ref="G145:G187" si="37">-B145</f>
        <v>-0.42399999999999999</v>
      </c>
      <c r="H145">
        <f t="shared" si="28"/>
        <v>-627.52</v>
      </c>
      <c r="I145">
        <v>1</v>
      </c>
      <c r="J145">
        <f t="shared" si="29"/>
        <v>0.39204208777602367</v>
      </c>
      <c r="K145">
        <f t="shared" si="30"/>
        <v>-0.79772515177521752</v>
      </c>
      <c r="L145">
        <v>1</v>
      </c>
      <c r="M145">
        <f t="shared" si="31"/>
        <v>0.54330071803963009</v>
      </c>
      <c r="N145">
        <f t="shared" ref="N145:N187" si="38">D145*A145</f>
        <v>0.12432</v>
      </c>
      <c r="O145">
        <f t="shared" ref="O145:O187" si="39">E145*A145</f>
        <v>0.12654000000000001</v>
      </c>
      <c r="P145">
        <f t="shared" ref="P145:P187" si="40">-K145-M145-N145-O145</f>
        <v>3.56443373558743E-3</v>
      </c>
    </row>
    <row r="146" spans="1:16" x14ac:dyDescent="0.3">
      <c r="A146">
        <v>7.45</v>
      </c>
      <c r="B146">
        <v>0.42199999999999999</v>
      </c>
      <c r="C146">
        <f t="shared" si="25"/>
        <v>3.1438999999999999</v>
      </c>
      <c r="D146">
        <v>1.6799999999999999E-2</v>
      </c>
      <c r="E146" s="1">
        <v>1.7100000000000001E-2</v>
      </c>
      <c r="F146">
        <f t="shared" si="36"/>
        <v>1490</v>
      </c>
      <c r="G146">
        <f t="shared" si="37"/>
        <v>-0.42199999999999999</v>
      </c>
      <c r="H146">
        <f t="shared" si="28"/>
        <v>-628.78</v>
      </c>
      <c r="I146">
        <v>1</v>
      </c>
      <c r="J146">
        <f t="shared" si="29"/>
        <v>0.39877611995736778</v>
      </c>
      <c r="K146">
        <f t="shared" si="30"/>
        <v>-0.79972515177521752</v>
      </c>
      <c r="L146">
        <v>1</v>
      </c>
      <c r="M146">
        <f t="shared" si="31"/>
        <v>0.54356920390270025</v>
      </c>
      <c r="N146">
        <f t="shared" si="38"/>
        <v>0.12515999999999999</v>
      </c>
      <c r="O146">
        <f t="shared" si="39"/>
        <v>0.12739500000000001</v>
      </c>
      <c r="P146">
        <f t="shared" si="40"/>
        <v>3.6009478725172739E-3</v>
      </c>
    </row>
    <row r="147" spans="1:16" x14ac:dyDescent="0.3">
      <c r="A147">
        <v>7.5</v>
      </c>
      <c r="B147">
        <v>0.42</v>
      </c>
      <c r="C147">
        <f t="shared" si="25"/>
        <v>3.15</v>
      </c>
      <c r="D147">
        <v>1.6799999999999999E-2</v>
      </c>
      <c r="E147" s="1">
        <v>1.7100000000000001E-2</v>
      </c>
      <c r="F147">
        <f t="shared" si="36"/>
        <v>1500</v>
      </c>
      <c r="G147">
        <f t="shared" si="37"/>
        <v>-0.42</v>
      </c>
      <c r="H147">
        <f t="shared" si="28"/>
        <v>-630</v>
      </c>
      <c r="I147">
        <v>1</v>
      </c>
      <c r="J147">
        <f t="shared" si="29"/>
        <v>0.40546510810816438</v>
      </c>
      <c r="K147">
        <f t="shared" si="30"/>
        <v>-0.80172515177521753</v>
      </c>
      <c r="L147">
        <v>1</v>
      </c>
      <c r="M147">
        <f t="shared" si="31"/>
        <v>0.54383589386027253</v>
      </c>
      <c r="N147">
        <f t="shared" si="38"/>
        <v>0.126</v>
      </c>
      <c r="O147">
        <f t="shared" si="39"/>
        <v>0.12825</v>
      </c>
      <c r="P147">
        <f t="shared" si="40"/>
        <v>3.6392579149449877E-3</v>
      </c>
    </row>
    <row r="148" spans="1:16" x14ac:dyDescent="0.3">
      <c r="A148">
        <v>7.55</v>
      </c>
      <c r="B148">
        <v>0.41799999999999998</v>
      </c>
      <c r="C148">
        <f t="shared" si="25"/>
        <v>3.1558999999999999</v>
      </c>
      <c r="D148">
        <v>1.6799999999999999E-2</v>
      </c>
      <c r="E148" s="1">
        <v>1.7100000000000001E-2</v>
      </c>
      <c r="F148">
        <f t="shared" si="36"/>
        <v>1510</v>
      </c>
      <c r="G148">
        <f t="shared" si="37"/>
        <v>-0.41799999999999998</v>
      </c>
      <c r="H148">
        <f t="shared" si="28"/>
        <v>-631.17999999999995</v>
      </c>
      <c r="I148">
        <v>1</v>
      </c>
      <c r="J148">
        <f t="shared" si="29"/>
        <v>0.41210965082683298</v>
      </c>
      <c r="K148">
        <f t="shared" si="30"/>
        <v>-0.80372515177521753</v>
      </c>
      <c r="L148">
        <v>1</v>
      </c>
      <c r="M148">
        <f t="shared" si="31"/>
        <v>0.54410081177846581</v>
      </c>
      <c r="N148">
        <f t="shared" si="38"/>
        <v>0.12683999999999998</v>
      </c>
      <c r="O148">
        <f t="shared" si="39"/>
        <v>0.129105</v>
      </c>
      <c r="P148">
        <f t="shared" si="40"/>
        <v>3.6793399967517404E-3</v>
      </c>
    </row>
    <row r="149" spans="1:16" x14ac:dyDescent="0.3">
      <c r="A149">
        <v>7.6</v>
      </c>
      <c r="B149">
        <v>0.41599999999999998</v>
      </c>
      <c r="C149">
        <f t="shared" si="25"/>
        <v>3.1615999999999995</v>
      </c>
      <c r="D149">
        <v>1.6799999999999999E-2</v>
      </c>
      <c r="E149" s="1">
        <v>1.7100000000000001E-2</v>
      </c>
      <c r="F149">
        <f t="shared" si="36"/>
        <v>1520</v>
      </c>
      <c r="G149">
        <f t="shared" si="37"/>
        <v>-0.41599999999999998</v>
      </c>
      <c r="H149">
        <f t="shared" si="28"/>
        <v>-632.31999999999994</v>
      </c>
      <c r="I149">
        <v>1</v>
      </c>
      <c r="J149">
        <f t="shared" si="29"/>
        <v>0.41871033485818504</v>
      </c>
      <c r="K149">
        <f t="shared" si="30"/>
        <v>-0.80572515177521753</v>
      </c>
      <c r="L149">
        <v>1</v>
      </c>
      <c r="M149">
        <f t="shared" si="31"/>
        <v>0.54436398105079586</v>
      </c>
      <c r="N149">
        <f t="shared" si="38"/>
        <v>0.12767999999999999</v>
      </c>
      <c r="O149">
        <f t="shared" si="39"/>
        <v>0.12995999999999999</v>
      </c>
      <c r="P149">
        <f t="shared" si="40"/>
        <v>3.7211707244216852E-3</v>
      </c>
    </row>
    <row r="150" spans="1:16" x14ac:dyDescent="0.3">
      <c r="A150">
        <v>7.65</v>
      </c>
      <c r="B150">
        <v>0.41299999999999998</v>
      </c>
      <c r="C150">
        <f t="shared" si="25"/>
        <v>3.1594500000000001</v>
      </c>
      <c r="D150">
        <v>1.6799999999999999E-2</v>
      </c>
      <c r="E150" s="1">
        <v>1.7100000000000001E-2</v>
      </c>
      <c r="F150">
        <f t="shared" si="36"/>
        <v>1530</v>
      </c>
      <c r="G150">
        <f t="shared" si="37"/>
        <v>-0.41299999999999998</v>
      </c>
      <c r="H150">
        <f t="shared" si="28"/>
        <v>-631.89</v>
      </c>
      <c r="I150">
        <v>1</v>
      </c>
      <c r="J150">
        <f t="shared" si="29"/>
        <v>0.42526773540434409</v>
      </c>
      <c r="K150">
        <f t="shared" si="30"/>
        <v>-0.80872515177521742</v>
      </c>
      <c r="L150">
        <v>1</v>
      </c>
      <c r="M150">
        <f t="shared" si="31"/>
        <v>0.54462542461057117</v>
      </c>
      <c r="N150">
        <f t="shared" si="38"/>
        <v>0.12852</v>
      </c>
      <c r="O150">
        <f t="shared" si="39"/>
        <v>0.13081500000000001</v>
      </c>
      <c r="P150">
        <f t="shared" si="40"/>
        <v>4.7647271646462375E-3</v>
      </c>
    </row>
    <row r="151" spans="1:16" x14ac:dyDescent="0.3">
      <c r="A151">
        <v>7.7</v>
      </c>
      <c r="B151">
        <v>0.41099999999999998</v>
      </c>
      <c r="C151">
        <f t="shared" si="25"/>
        <v>3.1646999999999998</v>
      </c>
      <c r="D151">
        <v>1.6799999999999999E-2</v>
      </c>
      <c r="E151" s="1">
        <v>1.7100000000000001E-2</v>
      </c>
      <c r="F151">
        <f t="shared" si="36"/>
        <v>1540</v>
      </c>
      <c r="G151">
        <f t="shared" si="37"/>
        <v>-0.41099999999999998</v>
      </c>
      <c r="H151">
        <f t="shared" si="28"/>
        <v>-632.93999999999994</v>
      </c>
      <c r="I151">
        <v>1</v>
      </c>
      <c r="J151">
        <f t="shared" si="29"/>
        <v>0.43178241642553783</v>
      </c>
      <c r="K151">
        <f t="shared" si="30"/>
        <v>-0.81072515177521742</v>
      </c>
      <c r="L151">
        <v>1</v>
      </c>
      <c r="M151">
        <f t="shared" si="31"/>
        <v>0.54488516494288619</v>
      </c>
      <c r="N151">
        <f t="shared" si="38"/>
        <v>0.12936</v>
      </c>
      <c r="O151">
        <f t="shared" si="39"/>
        <v>0.13167000000000001</v>
      </c>
      <c r="P151">
        <f t="shared" si="40"/>
        <v>4.80998683233122E-3</v>
      </c>
    </row>
    <row r="152" spans="1:16" x14ac:dyDescent="0.3">
      <c r="A152">
        <v>7.75</v>
      </c>
      <c r="B152">
        <v>0.40899999999999997</v>
      </c>
      <c r="C152">
        <f t="shared" si="25"/>
        <v>3.1697499999999996</v>
      </c>
      <c r="D152">
        <v>1.6799999999999999E-2</v>
      </c>
      <c r="E152" s="1">
        <v>1.7100000000000001E-2</v>
      </c>
      <c r="F152">
        <f t="shared" si="36"/>
        <v>1550</v>
      </c>
      <c r="G152">
        <f t="shared" si="37"/>
        <v>-0.40899999999999997</v>
      </c>
      <c r="H152">
        <f t="shared" si="28"/>
        <v>-633.94999999999993</v>
      </c>
      <c r="I152">
        <v>1</v>
      </c>
      <c r="J152">
        <f t="shared" si="29"/>
        <v>0.43825493093115531</v>
      </c>
      <c r="K152">
        <f t="shared" si="30"/>
        <v>-0.81272515177521742</v>
      </c>
      <c r="L152">
        <v>1</v>
      </c>
      <c r="M152">
        <f t="shared" si="31"/>
        <v>0.54514322409622518</v>
      </c>
      <c r="N152">
        <f t="shared" si="38"/>
        <v>0.13019999999999998</v>
      </c>
      <c r="O152">
        <f t="shared" si="39"/>
        <v>0.132525</v>
      </c>
      <c r="P152">
        <f t="shared" si="40"/>
        <v>4.8569276789922622E-3</v>
      </c>
    </row>
    <row r="153" spans="1:16" x14ac:dyDescent="0.3">
      <c r="A153">
        <v>7.8</v>
      </c>
      <c r="B153">
        <v>0.40699999999999997</v>
      </c>
      <c r="C153">
        <f t="shared" si="25"/>
        <v>3.1745999999999999</v>
      </c>
      <c r="D153">
        <v>1.6799999999999999E-2</v>
      </c>
      <c r="E153" s="1">
        <v>1.7100000000000001E-2</v>
      </c>
      <c r="F153">
        <f t="shared" si="36"/>
        <v>1560</v>
      </c>
      <c r="G153">
        <f t="shared" si="37"/>
        <v>-0.40699999999999997</v>
      </c>
      <c r="H153">
        <f t="shared" si="28"/>
        <v>-634.91999999999996</v>
      </c>
      <c r="I153">
        <v>1</v>
      </c>
      <c r="J153">
        <f t="shared" si="29"/>
        <v>0.44468582126144574</v>
      </c>
      <c r="K153">
        <f t="shared" si="30"/>
        <v>-0.81472515177521743</v>
      </c>
      <c r="L153">
        <v>1</v>
      </c>
      <c r="M153">
        <f t="shared" si="31"/>
        <v>0.54539962369369377</v>
      </c>
      <c r="N153">
        <f t="shared" si="38"/>
        <v>0.13103999999999999</v>
      </c>
      <c r="O153">
        <f t="shared" si="39"/>
        <v>0.13338</v>
      </c>
      <c r="P153">
        <f t="shared" si="40"/>
        <v>4.905528081523669E-3</v>
      </c>
    </row>
    <row r="154" spans="1:16" x14ac:dyDescent="0.3">
      <c r="A154">
        <v>7.85</v>
      </c>
      <c r="B154">
        <v>0.40500000000000003</v>
      </c>
      <c r="C154">
        <f t="shared" si="25"/>
        <v>3.1792500000000001</v>
      </c>
      <c r="D154">
        <v>1.6799999999999999E-2</v>
      </c>
      <c r="E154" s="1">
        <v>1.7100000000000001E-2</v>
      </c>
      <c r="F154">
        <f t="shared" si="36"/>
        <v>1570</v>
      </c>
      <c r="G154">
        <f t="shared" si="37"/>
        <v>-0.40500000000000003</v>
      </c>
      <c r="H154">
        <f t="shared" si="28"/>
        <v>-635.85</v>
      </c>
      <c r="I154">
        <v>1</v>
      </c>
      <c r="J154">
        <f t="shared" si="29"/>
        <v>0.45107561936021673</v>
      </c>
      <c r="K154">
        <f t="shared" si="30"/>
        <v>-0.81672515177521743</v>
      </c>
      <c r="L154">
        <v>1</v>
      </c>
      <c r="M154">
        <f t="shared" si="31"/>
        <v>0.54565438494389185</v>
      </c>
      <c r="N154">
        <f t="shared" si="38"/>
        <v>0.13188</v>
      </c>
      <c r="O154">
        <f t="shared" si="39"/>
        <v>0.13423499999999999</v>
      </c>
      <c r="P154">
        <f t="shared" si="40"/>
        <v>4.955766831325592E-3</v>
      </c>
    </row>
    <row r="155" spans="1:16" x14ac:dyDescent="0.3">
      <c r="A155">
        <v>7.9</v>
      </c>
      <c r="B155">
        <v>0.40300000000000002</v>
      </c>
      <c r="C155">
        <f t="shared" si="25"/>
        <v>3.1837000000000004</v>
      </c>
      <c r="D155">
        <v>1.6799999999999999E-2</v>
      </c>
      <c r="E155" s="1">
        <v>1.7100000000000001E-2</v>
      </c>
      <c r="F155">
        <f t="shared" si="36"/>
        <v>1580</v>
      </c>
      <c r="G155">
        <f t="shared" si="37"/>
        <v>-0.40300000000000002</v>
      </c>
      <c r="H155">
        <f t="shared" si="28"/>
        <v>-636.74000000000012</v>
      </c>
      <c r="I155">
        <v>1</v>
      </c>
      <c r="J155">
        <f t="shared" si="29"/>
        <v>0.45742484703887548</v>
      </c>
      <c r="K155">
        <f t="shared" si="30"/>
        <v>-0.81872515177521743</v>
      </c>
      <c r="L155">
        <v>1</v>
      </c>
      <c r="M155">
        <f t="shared" si="31"/>
        <v>0.54590752865143999</v>
      </c>
      <c r="N155">
        <f t="shared" si="38"/>
        <v>0.13272</v>
      </c>
      <c r="O155">
        <f t="shared" si="39"/>
        <v>0.13509000000000002</v>
      </c>
      <c r="P155">
        <f t="shared" si="40"/>
        <v>5.0076231237774216E-3</v>
      </c>
    </row>
    <row r="156" spans="1:16" x14ac:dyDescent="0.3">
      <c r="A156">
        <v>8</v>
      </c>
      <c r="B156">
        <v>0.40100000000000002</v>
      </c>
      <c r="C156">
        <f t="shared" si="25"/>
        <v>3.2080000000000002</v>
      </c>
      <c r="D156">
        <v>1.6799999999999999E-2</v>
      </c>
      <c r="E156" s="1">
        <v>1.7100000000000001E-2</v>
      </c>
      <c r="F156">
        <f t="shared" si="36"/>
        <v>1600</v>
      </c>
      <c r="G156">
        <f t="shared" si="37"/>
        <v>-0.40100000000000002</v>
      </c>
      <c r="H156">
        <f t="shared" si="28"/>
        <v>-641.6</v>
      </c>
      <c r="I156">
        <v>1</v>
      </c>
      <c r="J156">
        <f t="shared" si="29"/>
        <v>0.47000362924573563</v>
      </c>
      <c r="K156">
        <f t="shared" si="30"/>
        <v>-0.82072515177521743</v>
      </c>
      <c r="L156">
        <v>1</v>
      </c>
      <c r="M156">
        <f t="shared" si="31"/>
        <v>0.54640904469802742</v>
      </c>
      <c r="N156">
        <f t="shared" si="38"/>
        <v>0.13439999999999999</v>
      </c>
      <c r="O156">
        <f t="shared" si="39"/>
        <v>0.1368</v>
      </c>
      <c r="P156">
        <f t="shared" si="40"/>
        <v>3.1161070771900112E-3</v>
      </c>
    </row>
    <row r="157" spans="1:16" x14ac:dyDescent="0.3">
      <c r="A157">
        <v>8.0500000000000007</v>
      </c>
      <c r="B157">
        <v>0.39900000000000002</v>
      </c>
      <c r="C157">
        <f t="shared" si="25"/>
        <v>3.2119500000000003</v>
      </c>
      <c r="D157">
        <v>1.6799999999999999E-2</v>
      </c>
      <c r="E157" s="1">
        <v>1.7100000000000001E-2</v>
      </c>
      <c r="F157">
        <f t="shared" si="36"/>
        <v>1610.0000000000002</v>
      </c>
      <c r="G157">
        <f t="shared" si="37"/>
        <v>-0.39900000000000002</v>
      </c>
      <c r="H157">
        <f t="shared" si="28"/>
        <v>-642.3900000000001</v>
      </c>
      <c r="I157">
        <v>1</v>
      </c>
      <c r="J157">
        <f t="shared" si="29"/>
        <v>0.47623417899637183</v>
      </c>
      <c r="K157">
        <f t="shared" si="30"/>
        <v>-0.82272515177521743</v>
      </c>
      <c r="L157">
        <v>1</v>
      </c>
      <c r="M157">
        <f t="shared" si="31"/>
        <v>0.54665745671658528</v>
      </c>
      <c r="N157">
        <f t="shared" si="38"/>
        <v>0.13524</v>
      </c>
      <c r="O157">
        <f t="shared" si="39"/>
        <v>0.13765500000000003</v>
      </c>
      <c r="P157">
        <f t="shared" si="40"/>
        <v>3.1726950586321301E-3</v>
      </c>
    </row>
    <row r="158" spans="1:16" x14ac:dyDescent="0.3">
      <c r="A158">
        <v>8.1</v>
      </c>
      <c r="B158">
        <v>0.39700000000000002</v>
      </c>
      <c r="C158">
        <f t="shared" si="25"/>
        <v>3.2157</v>
      </c>
      <c r="D158">
        <v>1.6799999999999999E-2</v>
      </c>
      <c r="E158" s="1">
        <v>1.7100000000000001E-2</v>
      </c>
      <c r="F158">
        <f t="shared" si="36"/>
        <v>1620</v>
      </c>
      <c r="G158">
        <f t="shared" si="37"/>
        <v>-0.39700000000000002</v>
      </c>
      <c r="H158">
        <f t="shared" si="28"/>
        <v>-643.14</v>
      </c>
      <c r="I158">
        <v>1</v>
      </c>
      <c r="J158">
        <f t="shared" si="29"/>
        <v>0.48242614924429278</v>
      </c>
      <c r="K158">
        <f t="shared" si="30"/>
        <v>-0.82472515177521744</v>
      </c>
      <c r="L158">
        <v>1</v>
      </c>
      <c r="M158">
        <f t="shared" si="31"/>
        <v>0.54690433057036991</v>
      </c>
      <c r="N158">
        <f t="shared" si="38"/>
        <v>0.13607999999999998</v>
      </c>
      <c r="O158">
        <f t="shared" si="39"/>
        <v>0.13850999999999999</v>
      </c>
      <c r="P158">
        <f t="shared" si="40"/>
        <v>3.2308212048475504E-3</v>
      </c>
    </row>
    <row r="159" spans="1:16" x14ac:dyDescent="0.3">
      <c r="A159">
        <v>8.15</v>
      </c>
      <c r="B159">
        <v>0.39500000000000002</v>
      </c>
      <c r="C159">
        <f t="shared" si="25"/>
        <v>3.2192500000000002</v>
      </c>
      <c r="D159">
        <v>1.6799999999999999E-2</v>
      </c>
      <c r="E159" s="1">
        <v>1.7100000000000001E-2</v>
      </c>
      <c r="F159">
        <f t="shared" si="36"/>
        <v>1630</v>
      </c>
      <c r="G159">
        <f t="shared" si="37"/>
        <v>-0.39500000000000002</v>
      </c>
      <c r="H159">
        <f t="shared" si="28"/>
        <v>-643.85</v>
      </c>
      <c r="I159">
        <v>1</v>
      </c>
      <c r="J159">
        <f t="shared" si="29"/>
        <v>0.48858001481867092</v>
      </c>
      <c r="K159">
        <f t="shared" si="30"/>
        <v>-0.82672515177521744</v>
      </c>
      <c r="L159">
        <v>1</v>
      </c>
      <c r="M159">
        <f t="shared" si="31"/>
        <v>0.54714968519082041</v>
      </c>
      <c r="N159">
        <f t="shared" si="38"/>
        <v>0.13691999999999999</v>
      </c>
      <c r="O159">
        <f t="shared" si="39"/>
        <v>0.13936500000000002</v>
      </c>
      <c r="P159">
        <f t="shared" si="40"/>
        <v>3.2904665843970227E-3</v>
      </c>
    </row>
    <row r="160" spans="1:16" x14ac:dyDescent="0.3">
      <c r="A160">
        <v>8.1999999999999993</v>
      </c>
      <c r="B160">
        <v>0.39300000000000002</v>
      </c>
      <c r="C160">
        <f t="shared" si="25"/>
        <v>3.2225999999999999</v>
      </c>
      <c r="D160">
        <v>1.6799999999999999E-2</v>
      </c>
      <c r="E160" s="1">
        <v>1.7100000000000001E-2</v>
      </c>
      <c r="F160">
        <f t="shared" si="36"/>
        <v>1639.9999999999998</v>
      </c>
      <c r="G160">
        <f t="shared" si="37"/>
        <v>-0.39300000000000002</v>
      </c>
      <c r="H160">
        <f t="shared" si="28"/>
        <v>-644.52</v>
      </c>
      <c r="I160">
        <v>1</v>
      </c>
      <c r="J160">
        <f t="shared" si="29"/>
        <v>0.49469624183610689</v>
      </c>
      <c r="K160">
        <f t="shared" si="30"/>
        <v>-0.82872515177521744</v>
      </c>
      <c r="L160">
        <v>1</v>
      </c>
      <c r="M160">
        <f t="shared" si="31"/>
        <v>0.5473935391620055</v>
      </c>
      <c r="N160">
        <f t="shared" si="38"/>
        <v>0.13775999999999997</v>
      </c>
      <c r="O160">
        <f t="shared" si="39"/>
        <v>0.14021999999999998</v>
      </c>
      <c r="P160">
        <f t="shared" si="40"/>
        <v>3.351612613211985E-3</v>
      </c>
    </row>
    <row r="161" spans="1:16" x14ac:dyDescent="0.3">
      <c r="A161">
        <v>8.25</v>
      </c>
      <c r="B161">
        <v>0.39</v>
      </c>
      <c r="C161">
        <f t="shared" si="25"/>
        <v>3.2175000000000002</v>
      </c>
      <c r="D161">
        <v>1.6799999999999999E-2</v>
      </c>
      <c r="E161" s="1">
        <v>1.7100000000000001E-2</v>
      </c>
      <c r="F161">
        <f t="shared" si="36"/>
        <v>1650</v>
      </c>
      <c r="G161">
        <f t="shared" si="37"/>
        <v>-0.39</v>
      </c>
      <c r="H161">
        <f t="shared" si="28"/>
        <v>-643.5</v>
      </c>
      <c r="I161">
        <v>1</v>
      </c>
      <c r="J161">
        <f t="shared" si="29"/>
        <v>0.50077528791248915</v>
      </c>
      <c r="K161">
        <f t="shared" si="30"/>
        <v>-0.83172515177521744</v>
      </c>
      <c r="L161">
        <v>1</v>
      </c>
      <c r="M161">
        <f t="shared" si="31"/>
        <v>0.54763591072907092</v>
      </c>
      <c r="N161">
        <f t="shared" si="38"/>
        <v>0.1386</v>
      </c>
      <c r="O161">
        <f t="shared" si="39"/>
        <v>0.14107500000000001</v>
      </c>
      <c r="P161">
        <f t="shared" si="40"/>
        <v>4.4142410461465165E-3</v>
      </c>
    </row>
    <row r="162" spans="1:16" x14ac:dyDescent="0.3">
      <c r="A162">
        <v>8.3000000000000007</v>
      </c>
      <c r="B162">
        <v>0.38800000000000001</v>
      </c>
      <c r="C162">
        <f t="shared" si="25"/>
        <v>3.2204000000000002</v>
      </c>
      <c r="D162">
        <v>1.6799999999999999E-2</v>
      </c>
      <c r="E162" s="1">
        <v>1.7100000000000001E-2</v>
      </c>
      <c r="F162">
        <f t="shared" si="36"/>
        <v>1660.0000000000002</v>
      </c>
      <c r="G162">
        <f t="shared" si="37"/>
        <v>-0.38800000000000001</v>
      </c>
      <c r="H162">
        <f t="shared" si="28"/>
        <v>-644.08000000000004</v>
      </c>
      <c r="I162">
        <v>1</v>
      </c>
      <c r="J162">
        <f t="shared" si="29"/>
        <v>0.50681760236845197</v>
      </c>
      <c r="K162">
        <f t="shared" si="30"/>
        <v>-0.83372515177521744</v>
      </c>
      <c r="L162">
        <v>1</v>
      </c>
      <c r="M162">
        <f t="shared" si="31"/>
        <v>0.54787681780643016</v>
      </c>
      <c r="N162">
        <f t="shared" si="38"/>
        <v>0.13944000000000001</v>
      </c>
      <c r="O162">
        <f t="shared" si="39"/>
        <v>0.14193000000000003</v>
      </c>
      <c r="P162">
        <f t="shared" si="40"/>
        <v>4.4783339687872459E-3</v>
      </c>
    </row>
    <row r="163" spans="1:16" x14ac:dyDescent="0.3">
      <c r="A163">
        <v>8.35</v>
      </c>
      <c r="B163">
        <v>0.38600000000000001</v>
      </c>
      <c r="C163">
        <f t="shared" si="25"/>
        <v>3.2231000000000001</v>
      </c>
      <c r="D163">
        <v>1.6799999999999999E-2</v>
      </c>
      <c r="E163" s="1">
        <v>1.7100000000000001E-2</v>
      </c>
      <c r="F163">
        <f t="shared" si="36"/>
        <v>1670</v>
      </c>
      <c r="G163">
        <f t="shared" si="37"/>
        <v>-0.38600000000000001</v>
      </c>
      <c r="H163">
        <f t="shared" si="28"/>
        <v>-644.62</v>
      </c>
      <c r="I163">
        <v>1</v>
      </c>
      <c r="J163">
        <f t="shared" si="29"/>
        <v>0.51282362642866375</v>
      </c>
      <c r="K163">
        <f t="shared" si="30"/>
        <v>-0.83572515177521745</v>
      </c>
      <c r="L163">
        <v>1</v>
      </c>
      <c r="M163">
        <f t="shared" si="31"/>
        <v>0.54811627798571083</v>
      </c>
      <c r="N163">
        <f t="shared" si="38"/>
        <v>0.14027999999999999</v>
      </c>
      <c r="O163">
        <f t="shared" si="39"/>
        <v>0.142785</v>
      </c>
      <c r="P163">
        <f t="shared" si="40"/>
        <v>4.5438737895066306E-3</v>
      </c>
    </row>
    <row r="164" spans="1:16" x14ac:dyDescent="0.3">
      <c r="A164">
        <v>8.4</v>
      </c>
      <c r="B164">
        <v>0.38400000000000001</v>
      </c>
      <c r="C164">
        <f t="shared" si="25"/>
        <v>3.2256</v>
      </c>
      <c r="D164">
        <v>1.6799999999999999E-2</v>
      </c>
      <c r="E164" s="1">
        <v>1.7100000000000001E-2</v>
      </c>
      <c r="F164">
        <f t="shared" si="36"/>
        <v>1680</v>
      </c>
      <c r="G164">
        <f t="shared" si="37"/>
        <v>-0.38400000000000001</v>
      </c>
      <c r="H164">
        <f t="shared" si="28"/>
        <v>-645.12</v>
      </c>
      <c r="I164">
        <v>1</v>
      </c>
      <c r="J164">
        <f t="shared" si="29"/>
        <v>0.51879379341516751</v>
      </c>
      <c r="K164">
        <f t="shared" si="30"/>
        <v>-0.83772515177521745</v>
      </c>
      <c r="L164">
        <v>1</v>
      </c>
      <c r="M164">
        <f t="shared" si="31"/>
        <v>0.54835430854346268</v>
      </c>
      <c r="N164">
        <f t="shared" si="38"/>
        <v>0.14112</v>
      </c>
      <c r="O164">
        <f t="shared" si="39"/>
        <v>0.14364000000000002</v>
      </c>
      <c r="P164">
        <f t="shared" si="40"/>
        <v>4.6108432317547576E-3</v>
      </c>
    </row>
    <row r="165" spans="1:16" x14ac:dyDescent="0.3">
      <c r="A165">
        <v>8.4499999999999993</v>
      </c>
      <c r="B165">
        <v>0.38200000000000001</v>
      </c>
      <c r="C165">
        <f t="shared" si="25"/>
        <v>3.2279</v>
      </c>
      <c r="D165">
        <v>1.6799999999999999E-2</v>
      </c>
      <c r="E165" s="1">
        <v>1.7100000000000001E-2</v>
      </c>
      <c r="F165">
        <f t="shared" si="36"/>
        <v>1689.9999999999998</v>
      </c>
      <c r="G165">
        <f t="shared" si="37"/>
        <v>-0.38200000000000001</v>
      </c>
      <c r="H165">
        <f t="shared" si="28"/>
        <v>-645.58000000000004</v>
      </c>
      <c r="I165">
        <v>1</v>
      </c>
      <c r="J165">
        <f t="shared" si="29"/>
        <v>0.5247285289349819</v>
      </c>
      <c r="K165">
        <f t="shared" si="30"/>
        <v>-0.83972515177521745</v>
      </c>
      <c r="L165">
        <v>1</v>
      </c>
      <c r="M165">
        <f t="shared" si="31"/>
        <v>0.54859092644863772</v>
      </c>
      <c r="N165">
        <f t="shared" si="38"/>
        <v>0.14195999999999998</v>
      </c>
      <c r="O165">
        <f t="shared" si="39"/>
        <v>0.14449499999999998</v>
      </c>
      <c r="P165">
        <f t="shared" si="40"/>
        <v>4.6792253265797723E-3</v>
      </c>
    </row>
    <row r="166" spans="1:16" x14ac:dyDescent="0.3">
      <c r="A166">
        <v>8.5</v>
      </c>
      <c r="B166">
        <v>0.38</v>
      </c>
      <c r="C166">
        <f t="shared" si="25"/>
        <v>3.23</v>
      </c>
      <c r="D166">
        <v>1.6799999999999999E-2</v>
      </c>
      <c r="E166" s="1">
        <v>1.7100000000000001E-2</v>
      </c>
      <c r="F166">
        <f t="shared" si="36"/>
        <v>1700</v>
      </c>
      <c r="G166">
        <f t="shared" si="37"/>
        <v>-0.38</v>
      </c>
      <c r="H166">
        <f t="shared" si="28"/>
        <v>-646</v>
      </c>
      <c r="I166">
        <v>1</v>
      </c>
      <c r="J166">
        <f t="shared" si="29"/>
        <v>0.53062825106217038</v>
      </c>
      <c r="K166">
        <f t="shared" si="30"/>
        <v>-0.84172515177521745</v>
      </c>
      <c r="L166">
        <v>1</v>
      </c>
      <c r="M166">
        <f t="shared" si="31"/>
        <v>0.54882614836984867</v>
      </c>
      <c r="N166">
        <f t="shared" si="38"/>
        <v>0.14279999999999998</v>
      </c>
      <c r="O166">
        <f t="shared" si="39"/>
        <v>0.14535000000000001</v>
      </c>
      <c r="P166">
        <f t="shared" si="40"/>
        <v>4.7490034053687957E-3</v>
      </c>
    </row>
    <row r="167" spans="1:16" x14ac:dyDescent="0.3">
      <c r="A167">
        <v>8.5500000000000007</v>
      </c>
      <c r="B167">
        <v>0.378</v>
      </c>
      <c r="C167">
        <f t="shared" si="25"/>
        <v>3.2319000000000004</v>
      </c>
      <c r="D167">
        <v>1.6799999999999999E-2</v>
      </c>
      <c r="E167" s="1">
        <v>1.7100000000000001E-2</v>
      </c>
      <c r="F167">
        <f t="shared" si="36"/>
        <v>1710.0000000000002</v>
      </c>
      <c r="G167">
        <f t="shared" si="37"/>
        <v>-0.378</v>
      </c>
      <c r="H167">
        <f t="shared" si="28"/>
        <v>-646.38000000000011</v>
      </c>
      <c r="I167">
        <v>1</v>
      </c>
      <c r="J167">
        <f t="shared" si="29"/>
        <v>0.53649337051456858</v>
      </c>
      <c r="K167">
        <f t="shared" si="30"/>
        <v>-0.84372515177521745</v>
      </c>
      <c r="L167">
        <v>1</v>
      </c>
      <c r="M167">
        <f t="shared" si="31"/>
        <v>0.54905999068241584</v>
      </c>
      <c r="N167">
        <f t="shared" si="38"/>
        <v>0.14363999999999999</v>
      </c>
      <c r="O167">
        <f t="shared" si="39"/>
        <v>0.14620500000000003</v>
      </c>
      <c r="P167">
        <f t="shared" si="40"/>
        <v>4.8201610928015892E-3</v>
      </c>
    </row>
    <row r="168" spans="1:16" x14ac:dyDescent="0.3">
      <c r="A168">
        <v>8.6</v>
      </c>
      <c r="B168">
        <v>0.375</v>
      </c>
      <c r="C168">
        <f t="shared" si="25"/>
        <v>3.2249999999999996</v>
      </c>
      <c r="D168">
        <v>1.6799999999999999E-2</v>
      </c>
      <c r="E168" s="1">
        <v>1.7100000000000001E-2</v>
      </c>
      <c r="F168">
        <f t="shared" si="36"/>
        <v>1720</v>
      </c>
      <c r="G168">
        <f t="shared" si="37"/>
        <v>-0.375</v>
      </c>
      <c r="H168">
        <f t="shared" si="28"/>
        <v>-644.99999999999989</v>
      </c>
      <c r="I168">
        <v>1</v>
      </c>
      <c r="J168">
        <f t="shared" si="29"/>
        <v>0.54232429082536171</v>
      </c>
      <c r="K168">
        <f t="shared" si="30"/>
        <v>-0.84672515177521745</v>
      </c>
      <c r="L168">
        <v>1</v>
      </c>
      <c r="M168">
        <f t="shared" si="31"/>
        <v>0.54929246947520716</v>
      </c>
      <c r="N168">
        <f t="shared" si="38"/>
        <v>0.14448</v>
      </c>
      <c r="O168">
        <f t="shared" si="39"/>
        <v>0.14706</v>
      </c>
      <c r="P168">
        <f t="shared" si="40"/>
        <v>5.8926823000103046E-3</v>
      </c>
    </row>
    <row r="169" spans="1:16" x14ac:dyDescent="0.3">
      <c r="A169">
        <v>8.65</v>
      </c>
      <c r="B169">
        <v>0.373</v>
      </c>
      <c r="C169">
        <f t="shared" si="25"/>
        <v>3.2264500000000003</v>
      </c>
      <c r="D169">
        <v>1.6799999999999999E-2</v>
      </c>
      <c r="E169" s="1">
        <v>1.7100000000000001E-2</v>
      </c>
      <c r="F169">
        <f t="shared" si="36"/>
        <v>1730</v>
      </c>
      <c r="G169">
        <f t="shared" si="37"/>
        <v>-0.373</v>
      </c>
      <c r="H169">
        <f t="shared" si="28"/>
        <v>-645.29000000000008</v>
      </c>
      <c r="I169">
        <v>1</v>
      </c>
      <c r="J169">
        <f t="shared" si="29"/>
        <v>0.5481214085096876</v>
      </c>
      <c r="K169">
        <f t="shared" si="30"/>
        <v>-0.84872515177521746</v>
      </c>
      <c r="L169">
        <v>1</v>
      </c>
      <c r="M169">
        <f t="shared" si="31"/>
        <v>0.54952360055728122</v>
      </c>
      <c r="N169">
        <f t="shared" si="38"/>
        <v>0.14532</v>
      </c>
      <c r="O169">
        <f t="shared" si="39"/>
        <v>0.14791500000000002</v>
      </c>
      <c r="P169">
        <f t="shared" si="40"/>
        <v>5.9665512179362112E-3</v>
      </c>
    </row>
    <row r="170" spans="1:16" x14ac:dyDescent="0.3">
      <c r="A170">
        <v>8.6999999999999993</v>
      </c>
      <c r="B170">
        <v>0.371</v>
      </c>
      <c r="C170">
        <f t="shared" si="25"/>
        <v>3.2276999999999996</v>
      </c>
      <c r="D170">
        <v>1.6799999999999999E-2</v>
      </c>
      <c r="E170" s="1">
        <v>1.7100000000000001E-2</v>
      </c>
      <c r="F170">
        <f t="shared" si="36"/>
        <v>1739.9999999999998</v>
      </c>
      <c r="G170">
        <f t="shared" si="37"/>
        <v>-0.371</v>
      </c>
      <c r="H170">
        <f t="shared" si="28"/>
        <v>-645.54</v>
      </c>
      <c r="I170">
        <v>1</v>
      </c>
      <c r="J170">
        <f t="shared" si="29"/>
        <v>0.55388511322643752</v>
      </c>
      <c r="K170">
        <f t="shared" si="30"/>
        <v>-0.85072515177521746</v>
      </c>
      <c r="L170">
        <v>1</v>
      </c>
      <c r="M170">
        <f t="shared" si="31"/>
        <v>0.54975339946433799</v>
      </c>
      <c r="N170">
        <f t="shared" si="38"/>
        <v>0.14615999999999998</v>
      </c>
      <c r="O170">
        <f t="shared" si="39"/>
        <v>0.14876999999999999</v>
      </c>
      <c r="P170">
        <f t="shared" si="40"/>
        <v>6.0417523108795002E-3</v>
      </c>
    </row>
    <row r="171" spans="1:16" x14ac:dyDescent="0.3">
      <c r="A171">
        <v>8.75</v>
      </c>
      <c r="B171">
        <v>0.36899999999999999</v>
      </c>
      <c r="C171">
        <f t="shared" si="25"/>
        <v>3.2287499999999998</v>
      </c>
      <c r="D171">
        <v>1.6799999999999999E-2</v>
      </c>
      <c r="E171" s="1">
        <v>1.7100000000000001E-2</v>
      </c>
      <c r="F171">
        <f t="shared" si="36"/>
        <v>1750</v>
      </c>
      <c r="G171">
        <f t="shared" si="37"/>
        <v>-0.36899999999999999</v>
      </c>
      <c r="H171">
        <f t="shared" si="28"/>
        <v>-645.75</v>
      </c>
      <c r="I171">
        <v>1</v>
      </c>
      <c r="J171">
        <f t="shared" si="29"/>
        <v>0.55961578793542266</v>
      </c>
      <c r="K171">
        <f t="shared" si="30"/>
        <v>-0.85272515177521746</v>
      </c>
      <c r="L171">
        <v>1</v>
      </c>
      <c r="M171">
        <f t="shared" si="31"/>
        <v>0.54998188146498528</v>
      </c>
      <c r="N171">
        <f t="shared" si="38"/>
        <v>0.14699999999999999</v>
      </c>
      <c r="O171">
        <f t="shared" si="39"/>
        <v>0.14962500000000001</v>
      </c>
      <c r="P171">
        <f t="shared" si="40"/>
        <v>6.1182703102321823E-3</v>
      </c>
    </row>
    <row r="172" spans="1:16" x14ac:dyDescent="0.3">
      <c r="A172">
        <v>8.8000000000000007</v>
      </c>
      <c r="B172">
        <v>0.36699999999999999</v>
      </c>
      <c r="C172">
        <f t="shared" si="25"/>
        <v>3.2296</v>
      </c>
      <c r="D172">
        <v>1.6799999999999999E-2</v>
      </c>
      <c r="E172" s="1">
        <v>1.7100000000000001E-2</v>
      </c>
      <c r="F172">
        <f t="shared" si="36"/>
        <v>1760.0000000000002</v>
      </c>
      <c r="G172">
        <f t="shared" si="37"/>
        <v>-0.36699999999999999</v>
      </c>
      <c r="H172">
        <f t="shared" si="28"/>
        <v>-645.91999999999996</v>
      </c>
      <c r="I172">
        <v>1</v>
      </c>
      <c r="J172">
        <f t="shared" si="29"/>
        <v>0.56531380905006057</v>
      </c>
      <c r="K172">
        <f t="shared" si="30"/>
        <v>-0.85472515177521746</v>
      </c>
      <c r="L172">
        <v>1</v>
      </c>
      <c r="M172">
        <f t="shared" si="31"/>
        <v>0.55020906156682592</v>
      </c>
      <c r="N172">
        <f t="shared" si="38"/>
        <v>0.14784</v>
      </c>
      <c r="O172">
        <f t="shared" si="39"/>
        <v>0.15048000000000003</v>
      </c>
      <c r="P172">
        <f t="shared" si="40"/>
        <v>6.1960902083915137E-3</v>
      </c>
    </row>
    <row r="173" spans="1:16" x14ac:dyDescent="0.3">
      <c r="A173">
        <v>8.85</v>
      </c>
      <c r="B173">
        <v>0.36499999999999999</v>
      </c>
      <c r="C173">
        <f t="shared" si="25"/>
        <v>3.2302499999999998</v>
      </c>
      <c r="D173">
        <v>1.6799999999999999E-2</v>
      </c>
      <c r="E173" s="1">
        <v>1.7100000000000001E-2</v>
      </c>
      <c r="F173">
        <f t="shared" si="36"/>
        <v>1770</v>
      </c>
      <c r="G173">
        <f t="shared" si="37"/>
        <v>-0.36499999999999999</v>
      </c>
      <c r="H173">
        <f t="shared" si="28"/>
        <v>-646.04999999999995</v>
      </c>
      <c r="I173">
        <v>1</v>
      </c>
      <c r="J173">
        <f t="shared" si="29"/>
        <v>0.5709795465857378</v>
      </c>
      <c r="K173">
        <f t="shared" si="30"/>
        <v>-0.85672515177521746</v>
      </c>
      <c r="L173">
        <v>1</v>
      </c>
      <c r="M173">
        <f t="shared" si="31"/>
        <v>0.55043495452237334</v>
      </c>
      <c r="N173">
        <f t="shared" si="38"/>
        <v>0.14867999999999998</v>
      </c>
      <c r="O173">
        <f t="shared" si="39"/>
        <v>0.151335</v>
      </c>
      <c r="P173">
        <f t="shared" si="40"/>
        <v>6.2751972528441446E-3</v>
      </c>
    </row>
    <row r="174" spans="1:16" x14ac:dyDescent="0.3">
      <c r="A174">
        <v>8.9</v>
      </c>
      <c r="B174">
        <v>0.36199999999999999</v>
      </c>
      <c r="C174">
        <f t="shared" si="25"/>
        <v>3.2218</v>
      </c>
      <c r="D174">
        <v>1.6799999999999999E-2</v>
      </c>
      <c r="E174" s="1">
        <v>1.7100000000000001E-2</v>
      </c>
      <c r="F174">
        <f t="shared" si="36"/>
        <v>1780</v>
      </c>
      <c r="G174">
        <f t="shared" si="37"/>
        <v>-0.36199999999999999</v>
      </c>
      <c r="H174">
        <f t="shared" si="28"/>
        <v>-644.36</v>
      </c>
      <c r="I174">
        <v>1</v>
      </c>
      <c r="J174">
        <f t="shared" si="29"/>
        <v>0.57661336430399379</v>
      </c>
      <c r="K174">
        <f t="shared" si="30"/>
        <v>-0.85972515177521747</v>
      </c>
      <c r="L174">
        <v>1</v>
      </c>
      <c r="M174">
        <f t="shared" si="31"/>
        <v>0.55065957483480021</v>
      </c>
      <c r="N174">
        <f t="shared" si="38"/>
        <v>0.14951999999999999</v>
      </c>
      <c r="O174">
        <f t="shared" si="39"/>
        <v>0.15219000000000002</v>
      </c>
      <c r="P174">
        <f t="shared" si="40"/>
        <v>7.3555769404172466E-3</v>
      </c>
    </row>
    <row r="175" spans="1:16" x14ac:dyDescent="0.3">
      <c r="A175">
        <v>8.9499999999999993</v>
      </c>
      <c r="B175">
        <v>0.36099999999999999</v>
      </c>
      <c r="C175">
        <f t="shared" si="25"/>
        <v>3.2309499999999995</v>
      </c>
      <c r="D175">
        <v>1.6799999999999999E-2</v>
      </c>
      <c r="E175" s="1">
        <v>1.7100000000000001E-2</v>
      </c>
      <c r="F175">
        <f t="shared" si="36"/>
        <v>1789.9999999999998</v>
      </c>
      <c r="G175">
        <f t="shared" si="37"/>
        <v>-0.36099999999999999</v>
      </c>
      <c r="H175">
        <f t="shared" si="28"/>
        <v>-646.18999999999994</v>
      </c>
      <c r="I175">
        <v>1</v>
      </c>
      <c r="J175">
        <f t="shared" si="29"/>
        <v>0.58221561985266357</v>
      </c>
      <c r="K175">
        <f t="shared" si="30"/>
        <v>-0.86072515177521747</v>
      </c>
      <c r="L175">
        <v>1</v>
      </c>
      <c r="M175">
        <f t="shared" si="31"/>
        <v>0.55088293676352562</v>
      </c>
      <c r="N175">
        <f t="shared" si="38"/>
        <v>0.15035999999999997</v>
      </c>
      <c r="O175">
        <f t="shared" si="39"/>
        <v>0.15304499999999999</v>
      </c>
      <c r="P175">
        <f t="shared" si="40"/>
        <v>6.4372150116918936E-3</v>
      </c>
    </row>
    <row r="176" spans="1:16" x14ac:dyDescent="0.3">
      <c r="A176">
        <v>9</v>
      </c>
      <c r="B176">
        <v>0.35799999999999998</v>
      </c>
      <c r="C176">
        <f t="shared" si="25"/>
        <v>3.222</v>
      </c>
      <c r="D176">
        <v>1.6799999999999999E-2</v>
      </c>
      <c r="E176" s="1">
        <v>1.7100000000000001E-2</v>
      </c>
      <c r="F176">
        <f t="shared" si="36"/>
        <v>1800</v>
      </c>
      <c r="G176">
        <f t="shared" si="37"/>
        <v>-0.35799999999999998</v>
      </c>
      <c r="H176">
        <f t="shared" si="28"/>
        <v>-644.4</v>
      </c>
      <c r="I176">
        <v>1</v>
      </c>
      <c r="J176">
        <f t="shared" si="29"/>
        <v>0.58778666490211906</v>
      </c>
      <c r="K176">
        <f t="shared" si="30"/>
        <v>-0.86372515177521747</v>
      </c>
      <c r="L176">
        <v>1</v>
      </c>
      <c r="M176">
        <f t="shared" si="31"/>
        <v>0.55110505432964751</v>
      </c>
      <c r="N176">
        <f t="shared" si="38"/>
        <v>0.1512</v>
      </c>
      <c r="O176">
        <f t="shared" si="39"/>
        <v>0.15390000000000001</v>
      </c>
      <c r="P176">
        <f t="shared" si="40"/>
        <v>7.5200974455699454E-3</v>
      </c>
    </row>
    <row r="177" spans="1:16" x14ac:dyDescent="0.3">
      <c r="A177">
        <v>9.0500000000000007</v>
      </c>
      <c r="B177">
        <v>0.35599999999999998</v>
      </c>
      <c r="C177">
        <f t="shared" si="25"/>
        <v>3.2218</v>
      </c>
      <c r="D177">
        <v>1.6799999999999999E-2</v>
      </c>
      <c r="E177" s="1">
        <v>1.7100000000000001E-2</v>
      </c>
      <c r="F177">
        <f t="shared" si="36"/>
        <v>1810.0000000000002</v>
      </c>
      <c r="G177">
        <f t="shared" si="37"/>
        <v>-0.35599999999999998</v>
      </c>
      <c r="H177">
        <f t="shared" si="28"/>
        <v>-644.36</v>
      </c>
      <c r="I177">
        <v>1</v>
      </c>
      <c r="J177">
        <f t="shared" si="29"/>
        <v>0.59332684527773449</v>
      </c>
      <c r="K177">
        <f t="shared" si="30"/>
        <v>-0.86572515177521747</v>
      </c>
      <c r="L177">
        <v>1</v>
      </c>
      <c r="M177">
        <f t="shared" si="31"/>
        <v>0.55132594132122326</v>
      </c>
      <c r="N177">
        <f t="shared" si="38"/>
        <v>0.15204000000000001</v>
      </c>
      <c r="O177">
        <f t="shared" si="39"/>
        <v>0.15475500000000003</v>
      </c>
      <c r="P177">
        <f t="shared" si="40"/>
        <v>7.6042104539941757E-3</v>
      </c>
    </row>
    <row r="178" spans="1:16" x14ac:dyDescent="0.3">
      <c r="A178">
        <v>9.1</v>
      </c>
      <c r="B178">
        <v>0.35399999999999998</v>
      </c>
      <c r="C178">
        <f t="shared" si="25"/>
        <v>3.2213999999999996</v>
      </c>
      <c r="D178">
        <v>1.6799999999999999E-2</v>
      </c>
      <c r="E178" s="1">
        <v>1.7100000000000001E-2</v>
      </c>
      <c r="F178">
        <f t="shared" si="36"/>
        <v>1820</v>
      </c>
      <c r="G178">
        <f t="shared" si="37"/>
        <v>-0.35399999999999998</v>
      </c>
      <c r="H178">
        <f t="shared" si="28"/>
        <v>-644.28</v>
      </c>
      <c r="I178">
        <v>1</v>
      </c>
      <c r="J178">
        <f t="shared" si="29"/>
        <v>0.59883650108870401</v>
      </c>
      <c r="K178">
        <f t="shared" si="30"/>
        <v>-0.86772515177521747</v>
      </c>
      <c r="L178">
        <v>1</v>
      </c>
      <c r="M178">
        <f t="shared" si="31"/>
        <v>0.55154561129840662</v>
      </c>
      <c r="N178">
        <f t="shared" si="38"/>
        <v>0.15287999999999999</v>
      </c>
      <c r="O178">
        <f t="shared" si="39"/>
        <v>0.15561</v>
      </c>
      <c r="P178">
        <f t="shared" si="40"/>
        <v>7.6895404768108633E-3</v>
      </c>
    </row>
    <row r="179" spans="1:16" x14ac:dyDescent="0.3">
      <c r="A179">
        <v>9.15</v>
      </c>
      <c r="B179">
        <v>0.35199999999999998</v>
      </c>
      <c r="C179">
        <f t="shared" si="25"/>
        <v>3.2208000000000001</v>
      </c>
      <c r="D179">
        <v>1.6799999999999999E-2</v>
      </c>
      <c r="E179" s="1">
        <v>1.7100000000000001E-2</v>
      </c>
      <c r="F179">
        <f t="shared" si="36"/>
        <v>1830</v>
      </c>
      <c r="G179">
        <f t="shared" si="37"/>
        <v>-0.35199999999999998</v>
      </c>
      <c r="H179">
        <f t="shared" si="28"/>
        <v>-644.16</v>
      </c>
      <c r="I179">
        <v>1</v>
      </c>
      <c r="J179">
        <f t="shared" si="29"/>
        <v>0.60431596685332956</v>
      </c>
      <c r="K179">
        <f t="shared" si="30"/>
        <v>-0.86972515177521748</v>
      </c>
      <c r="L179">
        <v>1</v>
      </c>
      <c r="M179">
        <f t="shared" si="31"/>
        <v>0.55176407759844226</v>
      </c>
      <c r="N179">
        <f t="shared" si="38"/>
        <v>0.15372</v>
      </c>
      <c r="O179">
        <f t="shared" si="39"/>
        <v>0.15646500000000002</v>
      </c>
      <c r="P179">
        <f t="shared" si="40"/>
        <v>7.7760741767751995E-3</v>
      </c>
    </row>
    <row r="180" spans="1:16" x14ac:dyDescent="0.3">
      <c r="A180">
        <v>9.1999999999999993</v>
      </c>
      <c r="B180">
        <v>0.35</v>
      </c>
      <c r="C180">
        <f t="shared" si="25"/>
        <v>3.2199999999999998</v>
      </c>
      <c r="D180">
        <v>1.6799999999999999E-2</v>
      </c>
      <c r="E180" s="1">
        <v>1.7100000000000001E-2</v>
      </c>
      <c r="F180">
        <f t="shared" si="36"/>
        <v>1839.9999999999998</v>
      </c>
      <c r="G180">
        <f t="shared" si="37"/>
        <v>-0.35</v>
      </c>
      <c r="H180">
        <f t="shared" si="28"/>
        <v>-644</v>
      </c>
      <c r="I180">
        <v>1</v>
      </c>
      <c r="J180">
        <f t="shared" si="29"/>
        <v>0.60976557162089418</v>
      </c>
      <c r="K180">
        <f t="shared" si="30"/>
        <v>-0.87172515177521748</v>
      </c>
      <c r="L180">
        <v>1</v>
      </c>
      <c r="M180">
        <f t="shared" si="31"/>
        <v>0.55198135334052501</v>
      </c>
      <c r="N180">
        <f t="shared" si="38"/>
        <v>0.15455999999999998</v>
      </c>
      <c r="O180">
        <f t="shared" si="39"/>
        <v>0.15731999999999999</v>
      </c>
      <c r="P180">
        <f t="shared" si="40"/>
        <v>7.8637984346925094E-3</v>
      </c>
    </row>
    <row r="181" spans="1:16" x14ac:dyDescent="0.3">
      <c r="A181">
        <v>9.3000000000000007</v>
      </c>
      <c r="B181">
        <v>0.34799999999999998</v>
      </c>
      <c r="C181">
        <f t="shared" si="25"/>
        <v>3.2364000000000002</v>
      </c>
      <c r="D181">
        <v>1.6799999999999999E-2</v>
      </c>
      <c r="E181" s="1">
        <v>1.7100000000000001E-2</v>
      </c>
      <c r="F181">
        <f t="shared" si="36"/>
        <v>1860.0000000000002</v>
      </c>
      <c r="G181">
        <f t="shared" si="37"/>
        <v>-0.34799999999999998</v>
      </c>
      <c r="H181">
        <f t="shared" si="28"/>
        <v>-647.28000000000009</v>
      </c>
      <c r="I181">
        <v>1</v>
      </c>
      <c r="J181">
        <f t="shared" si="29"/>
        <v>0.62057648772511009</v>
      </c>
      <c r="K181">
        <f t="shared" si="30"/>
        <v>-0.87372515177521748</v>
      </c>
      <c r="L181">
        <v>1</v>
      </c>
      <c r="M181">
        <f t="shared" si="31"/>
        <v>0.55241238456560016</v>
      </c>
      <c r="N181">
        <f t="shared" si="38"/>
        <v>0.15623999999999999</v>
      </c>
      <c r="O181">
        <f t="shared" si="39"/>
        <v>0.15903</v>
      </c>
      <c r="P181">
        <f t="shared" si="40"/>
        <v>6.0427672096173279E-3</v>
      </c>
    </row>
    <row r="182" spans="1:16" x14ac:dyDescent="0.3">
      <c r="A182">
        <v>9.35</v>
      </c>
      <c r="B182">
        <v>0.34599999999999997</v>
      </c>
      <c r="C182">
        <f t="shared" si="25"/>
        <v>3.2350999999999996</v>
      </c>
      <c r="D182">
        <v>1.6799999999999999E-2</v>
      </c>
      <c r="E182" s="1">
        <v>1.7100000000000001E-2</v>
      </c>
      <c r="F182">
        <f t="shared" si="36"/>
        <v>1870</v>
      </c>
      <c r="G182">
        <f t="shared" si="37"/>
        <v>-0.34599999999999997</v>
      </c>
      <c r="H182">
        <f t="shared" si="28"/>
        <v>-647.02</v>
      </c>
      <c r="I182">
        <v>1</v>
      </c>
      <c r="J182">
        <f t="shared" si="29"/>
        <v>0.62593843086649537</v>
      </c>
      <c r="K182">
        <f t="shared" si="30"/>
        <v>-0.87572515177521748</v>
      </c>
      <c r="L182">
        <v>1</v>
      </c>
      <c r="M182">
        <f t="shared" si="31"/>
        <v>0.55262616523864716</v>
      </c>
      <c r="N182">
        <f t="shared" si="38"/>
        <v>0.15708</v>
      </c>
      <c r="O182">
        <f t="shared" si="39"/>
        <v>0.159885</v>
      </c>
      <c r="P182">
        <f t="shared" si="40"/>
        <v>6.1339865365703239E-3</v>
      </c>
    </row>
    <row r="183" spans="1:16" x14ac:dyDescent="0.3">
      <c r="A183">
        <v>9.4</v>
      </c>
      <c r="B183">
        <v>0.34300000000000003</v>
      </c>
      <c r="C183">
        <f t="shared" si="25"/>
        <v>3.2242000000000002</v>
      </c>
      <c r="D183">
        <v>1.6799999999999999E-2</v>
      </c>
      <c r="E183" s="1">
        <v>1.7100000000000001E-2</v>
      </c>
      <c r="F183">
        <f t="shared" si="36"/>
        <v>1880</v>
      </c>
      <c r="G183">
        <f t="shared" si="37"/>
        <v>-0.34300000000000003</v>
      </c>
      <c r="H183">
        <f t="shared" si="28"/>
        <v>-644.84</v>
      </c>
      <c r="I183">
        <v>1</v>
      </c>
      <c r="J183">
        <f t="shared" si="29"/>
        <v>0.63127177684185776</v>
      </c>
      <c r="K183">
        <f t="shared" si="30"/>
        <v>-0.87872515177521748</v>
      </c>
      <c r="L183">
        <v>1</v>
      </c>
      <c r="M183">
        <f t="shared" si="31"/>
        <v>0.55283880574268485</v>
      </c>
      <c r="N183">
        <f t="shared" si="38"/>
        <v>0.15792</v>
      </c>
      <c r="O183">
        <f t="shared" si="39"/>
        <v>0.16074000000000002</v>
      </c>
      <c r="P183">
        <f t="shared" si="40"/>
        <v>7.2263460325326101E-3</v>
      </c>
    </row>
    <row r="184" spans="1:16" x14ac:dyDescent="0.3">
      <c r="A184">
        <v>9.4499999999999993</v>
      </c>
      <c r="B184">
        <v>0.34100000000000003</v>
      </c>
      <c r="C184">
        <f t="shared" si="25"/>
        <v>3.2224499999999998</v>
      </c>
      <c r="D184">
        <v>1.6799999999999999E-2</v>
      </c>
      <c r="E184" s="1">
        <v>1.7100000000000001E-2</v>
      </c>
      <c r="F184">
        <f t="shared" si="36"/>
        <v>1889.9999999999998</v>
      </c>
      <c r="G184">
        <f t="shared" si="37"/>
        <v>-0.34100000000000003</v>
      </c>
      <c r="H184">
        <f t="shared" si="28"/>
        <v>-644.49</v>
      </c>
      <c r="I184">
        <v>1</v>
      </c>
      <c r="J184">
        <f t="shared" si="29"/>
        <v>0.63657682907155089</v>
      </c>
      <c r="K184">
        <f t="shared" si="30"/>
        <v>-0.88072515177521749</v>
      </c>
      <c r="L184">
        <v>1</v>
      </c>
      <c r="M184">
        <f t="shared" si="31"/>
        <v>0.55305031817508266</v>
      </c>
      <c r="N184">
        <f t="shared" si="38"/>
        <v>0.15875999999999998</v>
      </c>
      <c r="O184">
        <f t="shared" si="39"/>
        <v>0.16159499999999999</v>
      </c>
      <c r="P184">
        <f t="shared" si="40"/>
        <v>7.3198336001348563E-3</v>
      </c>
    </row>
    <row r="185" spans="1:16" x14ac:dyDescent="0.3">
      <c r="A185">
        <v>9.5</v>
      </c>
      <c r="B185">
        <v>0.33900000000000002</v>
      </c>
      <c r="C185">
        <f t="shared" si="25"/>
        <v>3.2205000000000004</v>
      </c>
      <c r="D185">
        <v>1.6799999999999999E-2</v>
      </c>
      <c r="E185" s="1">
        <v>1.7100000000000001E-2</v>
      </c>
      <c r="F185">
        <f t="shared" si="36"/>
        <v>1900</v>
      </c>
      <c r="G185">
        <f t="shared" si="37"/>
        <v>-0.33900000000000002</v>
      </c>
      <c r="H185">
        <f t="shared" si="28"/>
        <v>-644.1</v>
      </c>
      <c r="I185">
        <v>1</v>
      </c>
      <c r="J185">
        <f t="shared" si="29"/>
        <v>0.64185388617239469</v>
      </c>
      <c r="K185">
        <f t="shared" si="30"/>
        <v>-0.88272515177521749</v>
      </c>
      <c r="L185">
        <v>1</v>
      </c>
      <c r="M185">
        <f t="shared" si="31"/>
        <v>0.55326071444169334</v>
      </c>
      <c r="N185">
        <f t="shared" si="38"/>
        <v>0.15959999999999999</v>
      </c>
      <c r="O185">
        <f t="shared" si="39"/>
        <v>0.16245000000000001</v>
      </c>
      <c r="P185">
        <f t="shared" si="40"/>
        <v>7.4144373335241487E-3</v>
      </c>
    </row>
    <row r="186" spans="1:16" x14ac:dyDescent="0.3">
      <c r="A186">
        <v>9.5500000000000007</v>
      </c>
      <c r="B186">
        <v>0.33700000000000002</v>
      </c>
      <c r="C186">
        <f t="shared" si="25"/>
        <v>3.2183500000000005</v>
      </c>
      <c r="D186">
        <v>1.6799999999999999E-2</v>
      </c>
      <c r="E186" s="1">
        <v>1.7100000000000001E-2</v>
      </c>
      <c r="F186">
        <f t="shared" si="36"/>
        <v>1910.0000000000002</v>
      </c>
      <c r="G186">
        <f t="shared" si="37"/>
        <v>-0.33700000000000002</v>
      </c>
      <c r="H186">
        <f t="shared" si="28"/>
        <v>-643.67000000000007</v>
      </c>
      <c r="I186">
        <v>1</v>
      </c>
      <c r="J186">
        <f t="shared" si="29"/>
        <v>0.64710324205853853</v>
      </c>
      <c r="K186">
        <f t="shared" si="30"/>
        <v>-0.88472515177521749</v>
      </c>
      <c r="L186">
        <v>1</v>
      </c>
      <c r="M186">
        <f t="shared" si="31"/>
        <v>0.55347000626087395</v>
      </c>
      <c r="N186">
        <f t="shared" si="38"/>
        <v>0.16044</v>
      </c>
      <c r="O186">
        <f t="shared" si="39"/>
        <v>0.16330500000000001</v>
      </c>
      <c r="P186">
        <f t="shared" si="40"/>
        <v>7.5101455143435358E-3</v>
      </c>
    </row>
    <row r="187" spans="1:16" x14ac:dyDescent="0.3">
      <c r="A187">
        <v>9.6</v>
      </c>
      <c r="B187">
        <v>0.33500000000000002</v>
      </c>
      <c r="C187">
        <f t="shared" si="25"/>
        <v>3.2160000000000002</v>
      </c>
      <c r="D187">
        <v>1.6799999999999999E-2</v>
      </c>
      <c r="E187" s="1">
        <v>1.7100000000000001E-2</v>
      </c>
      <c r="F187">
        <f t="shared" si="36"/>
        <v>1920</v>
      </c>
      <c r="G187">
        <f t="shared" si="37"/>
        <v>-0.33500000000000002</v>
      </c>
      <c r="H187">
        <f t="shared" si="28"/>
        <v>-643.20000000000005</v>
      </c>
      <c r="I187">
        <v>1</v>
      </c>
      <c r="J187">
        <f t="shared" si="29"/>
        <v>0.65232518603969014</v>
      </c>
      <c r="K187">
        <f t="shared" si="30"/>
        <v>-0.88672515177521749</v>
      </c>
      <c r="L187">
        <v>1</v>
      </c>
      <c r="M187">
        <f t="shared" si="31"/>
        <v>0.5536782051674024</v>
      </c>
      <c r="N187">
        <f t="shared" si="38"/>
        <v>0.16127999999999998</v>
      </c>
      <c r="O187">
        <f t="shared" si="39"/>
        <v>0.16416</v>
      </c>
      <c r="P187">
        <f t="shared" si="40"/>
        <v>7.6069466078151071E-3</v>
      </c>
    </row>
    <row r="188" spans="1:16" x14ac:dyDescent="0.3">
      <c r="A188">
        <v>9.65</v>
      </c>
      <c r="B188">
        <v>0.33300000000000002</v>
      </c>
      <c r="C188">
        <f t="shared" si="25"/>
        <v>3.2134500000000004</v>
      </c>
      <c r="D188">
        <v>1.6799999999999999E-2</v>
      </c>
      <c r="E188" s="1">
        <v>1.7100000000000001E-2</v>
      </c>
      <c r="F188">
        <f t="shared" ref="F188:F211" si="41">A188*200</f>
        <v>1930</v>
      </c>
      <c r="G188">
        <f t="shared" ref="G188:G211" si="42">-B188</f>
        <v>-0.33300000000000002</v>
      </c>
      <c r="H188">
        <f t="shared" si="28"/>
        <v>-642.69000000000005</v>
      </c>
      <c r="I188">
        <v>1</v>
      </c>
      <c r="J188">
        <f t="shared" si="29"/>
        <v>0.65752000291679413</v>
      </c>
      <c r="K188">
        <f t="shared" ref="K188:K211" si="43">((-G188)-$N$2)</f>
        <v>-0.88872515177521749</v>
      </c>
      <c r="L188">
        <v>1</v>
      </c>
      <c r="M188">
        <f t="shared" si="31"/>
        <v>0.55388532251629252</v>
      </c>
      <c r="N188">
        <f t="shared" ref="N188:N211" si="44">D188*A188</f>
        <v>0.16211999999999999</v>
      </c>
      <c r="O188">
        <f t="shared" ref="O188:O211" si="45">E188*A188</f>
        <v>0.16501500000000002</v>
      </c>
      <c r="P188">
        <f t="shared" ref="P188:P211" si="46">-K188-M188-N188-O188</f>
        <v>7.7048292589249612E-3</v>
      </c>
    </row>
    <row r="189" spans="1:16" x14ac:dyDescent="0.3">
      <c r="A189">
        <v>9.6999999999999993</v>
      </c>
      <c r="B189">
        <v>0.33</v>
      </c>
      <c r="C189">
        <f t="shared" si="25"/>
        <v>3.2010000000000001</v>
      </c>
      <c r="D189">
        <v>1.6799999999999999E-2</v>
      </c>
      <c r="E189" s="1">
        <v>1.7100000000000001E-2</v>
      </c>
      <c r="F189">
        <f t="shared" si="41"/>
        <v>1939.9999999999998</v>
      </c>
      <c r="G189">
        <f t="shared" si="42"/>
        <v>-0.33</v>
      </c>
      <c r="H189">
        <f t="shared" si="28"/>
        <v>-640.20000000000005</v>
      </c>
      <c r="I189">
        <v>1</v>
      </c>
      <c r="J189">
        <f t="shared" si="29"/>
        <v>0.66268797307523664</v>
      </c>
      <c r="K189">
        <f t="shared" si="43"/>
        <v>-0.89172515177521738</v>
      </c>
      <c r="L189">
        <v>1</v>
      </c>
      <c r="M189">
        <f t="shared" si="31"/>
        <v>0.55409136948650961</v>
      </c>
      <c r="N189">
        <f t="shared" si="44"/>
        <v>0.16295999999999997</v>
      </c>
      <c r="O189">
        <f t="shared" si="45"/>
        <v>0.16586999999999999</v>
      </c>
      <c r="P189">
        <f t="shared" si="46"/>
        <v>8.8037822887078176E-3</v>
      </c>
    </row>
    <row r="190" spans="1:16" x14ac:dyDescent="0.3">
      <c r="A190">
        <v>9.75</v>
      </c>
      <c r="B190">
        <v>0.32800000000000001</v>
      </c>
      <c r="C190">
        <f t="shared" si="25"/>
        <v>3.198</v>
      </c>
      <c r="D190">
        <v>1.6799999999999999E-2</v>
      </c>
      <c r="E190" s="1">
        <v>1.7100000000000001E-2</v>
      </c>
      <c r="F190">
        <f t="shared" si="41"/>
        <v>1950</v>
      </c>
      <c r="G190">
        <f t="shared" si="42"/>
        <v>-0.32800000000000001</v>
      </c>
      <c r="H190">
        <f t="shared" si="28"/>
        <v>-639.6</v>
      </c>
      <c r="I190">
        <v>1</v>
      </c>
      <c r="J190">
        <f t="shared" si="29"/>
        <v>0.66782937257565544</v>
      </c>
      <c r="K190">
        <f t="shared" si="43"/>
        <v>-0.89372515177521739</v>
      </c>
      <c r="L190">
        <v>1</v>
      </c>
      <c r="M190">
        <f t="shared" si="31"/>
        <v>0.55429635708459135</v>
      </c>
      <c r="N190">
        <f t="shared" si="44"/>
        <v>0.1638</v>
      </c>
      <c r="O190">
        <f t="shared" si="45"/>
        <v>0.16672500000000001</v>
      </c>
      <c r="P190">
        <f t="shared" si="46"/>
        <v>8.9037946906260212E-3</v>
      </c>
    </row>
    <row r="191" spans="1:16" x14ac:dyDescent="0.3">
      <c r="A191">
        <v>9.8000000000000007</v>
      </c>
      <c r="B191">
        <v>0.32700000000000001</v>
      </c>
      <c r="C191">
        <f t="shared" si="25"/>
        <v>3.2046000000000006</v>
      </c>
      <c r="D191">
        <v>1.6799999999999999E-2</v>
      </c>
      <c r="E191" s="1">
        <v>1.7100000000000001E-2</v>
      </c>
      <c r="F191">
        <f t="shared" si="41"/>
        <v>1960.0000000000002</v>
      </c>
      <c r="G191">
        <f t="shared" si="42"/>
        <v>-0.32700000000000001</v>
      </c>
      <c r="H191">
        <f t="shared" si="28"/>
        <v>-640.92000000000007</v>
      </c>
      <c r="I191">
        <v>1</v>
      </c>
      <c r="J191">
        <f t="shared" si="29"/>
        <v>0.67294447324242601</v>
      </c>
      <c r="K191">
        <f t="shared" si="43"/>
        <v>-0.8947251517752175</v>
      </c>
      <c r="L191">
        <v>1</v>
      </c>
      <c r="M191">
        <f t="shared" si="31"/>
        <v>0.55450029614817553</v>
      </c>
      <c r="N191">
        <f t="shared" si="44"/>
        <v>0.16464000000000001</v>
      </c>
      <c r="O191">
        <f t="shared" si="45"/>
        <v>0.16758000000000001</v>
      </c>
      <c r="P191">
        <f t="shared" si="46"/>
        <v>8.0048556270419513E-3</v>
      </c>
    </row>
    <row r="192" spans="1:16" x14ac:dyDescent="0.3">
      <c r="A192">
        <v>9.85</v>
      </c>
      <c r="B192">
        <v>0.32400000000000001</v>
      </c>
      <c r="C192">
        <f t="shared" si="25"/>
        <v>3.1913999999999998</v>
      </c>
      <c r="D192">
        <v>1.6799999999999999E-2</v>
      </c>
      <c r="E192" s="1">
        <v>1.7100000000000001E-2</v>
      </c>
      <c r="F192">
        <f t="shared" si="41"/>
        <v>1970</v>
      </c>
      <c r="G192">
        <f t="shared" si="42"/>
        <v>-0.32400000000000001</v>
      </c>
      <c r="H192">
        <f t="shared" si="28"/>
        <v>-638.28</v>
      </c>
      <c r="I192">
        <v>1</v>
      </c>
      <c r="J192">
        <f t="shared" si="29"/>
        <v>0.67803354274989713</v>
      </c>
      <c r="K192">
        <f t="shared" si="43"/>
        <v>-0.89772515177521739</v>
      </c>
      <c r="L192">
        <v>1</v>
      </c>
      <c r="M192">
        <f t="shared" si="31"/>
        <v>0.5547031973494384</v>
      </c>
      <c r="N192">
        <f t="shared" si="44"/>
        <v>0.16547999999999999</v>
      </c>
      <c r="O192">
        <f t="shared" si="45"/>
        <v>0.168435</v>
      </c>
      <c r="P192">
        <f t="shared" si="46"/>
        <v>9.1069544257789958E-3</v>
      </c>
    </row>
    <row r="193" spans="1:16" x14ac:dyDescent="0.3">
      <c r="A193">
        <v>9.9</v>
      </c>
      <c r="B193">
        <v>0.32200000000000001</v>
      </c>
      <c r="C193">
        <f t="shared" si="25"/>
        <v>3.1878000000000002</v>
      </c>
      <c r="D193">
        <v>1.6799999999999999E-2</v>
      </c>
      <c r="E193" s="1">
        <v>1.7100000000000001E-2</v>
      </c>
      <c r="F193">
        <f t="shared" si="41"/>
        <v>1980</v>
      </c>
      <c r="G193">
        <f t="shared" si="42"/>
        <v>-0.32200000000000001</v>
      </c>
      <c r="H193">
        <f t="shared" si="28"/>
        <v>-637.56000000000006</v>
      </c>
      <c r="I193">
        <v>1</v>
      </c>
      <c r="J193">
        <f t="shared" si="29"/>
        <v>0.68309684470644383</v>
      </c>
      <c r="K193">
        <f t="shared" si="43"/>
        <v>-0.89972515177521739</v>
      </c>
      <c r="L193">
        <v>1</v>
      </c>
      <c r="M193">
        <f t="shared" si="31"/>
        <v>0.5549050711984459</v>
      </c>
      <c r="N193">
        <f t="shared" si="44"/>
        <v>0.16632</v>
      </c>
      <c r="O193">
        <f t="shared" si="45"/>
        <v>0.16929000000000002</v>
      </c>
      <c r="P193">
        <f t="shared" si="46"/>
        <v>9.2100805767714733E-3</v>
      </c>
    </row>
    <row r="194" spans="1:16" x14ac:dyDescent="0.3">
      <c r="A194">
        <v>9.9499999999999993</v>
      </c>
      <c r="B194">
        <v>0.32</v>
      </c>
      <c r="C194">
        <f t="shared" si="25"/>
        <v>3.1839999999999997</v>
      </c>
      <c r="D194">
        <v>1.6799999999999999E-2</v>
      </c>
      <c r="E194" s="1">
        <v>1.7100000000000001E-2</v>
      </c>
      <c r="F194">
        <f t="shared" si="41"/>
        <v>1989.9999999999998</v>
      </c>
      <c r="G194">
        <f t="shared" si="42"/>
        <v>-0.32</v>
      </c>
      <c r="H194">
        <f t="shared" si="28"/>
        <v>-636.79999999999995</v>
      </c>
      <c r="I194">
        <v>1</v>
      </c>
      <c r="J194">
        <f t="shared" si="29"/>
        <v>0.68813463873640091</v>
      </c>
      <c r="K194">
        <f t="shared" si="43"/>
        <v>-0.90172515177521739</v>
      </c>
      <c r="L194">
        <v>1</v>
      </c>
      <c r="M194">
        <f t="shared" si="31"/>
        <v>0.55510592804642023</v>
      </c>
      <c r="N194">
        <f t="shared" si="44"/>
        <v>0.16715999999999998</v>
      </c>
      <c r="O194">
        <f t="shared" si="45"/>
        <v>0.17014499999999999</v>
      </c>
      <c r="P194">
        <f t="shared" si="46"/>
        <v>9.3142237287971996E-3</v>
      </c>
    </row>
    <row r="195" spans="1:16" x14ac:dyDescent="0.3">
      <c r="A195">
        <v>10</v>
      </c>
      <c r="B195">
        <v>0.317</v>
      </c>
      <c r="C195">
        <f t="shared" si="25"/>
        <v>3.17</v>
      </c>
      <c r="D195">
        <v>1.6799999999999999E-2</v>
      </c>
      <c r="E195" s="1">
        <v>1.7100000000000001E-2</v>
      </c>
      <c r="F195">
        <f t="shared" si="41"/>
        <v>2000</v>
      </c>
      <c r="G195">
        <f t="shared" si="42"/>
        <v>-0.317</v>
      </c>
      <c r="H195">
        <f t="shared" si="28"/>
        <v>-634</v>
      </c>
      <c r="I195">
        <v>1</v>
      </c>
      <c r="J195">
        <f t="shared" si="29"/>
        <v>0.69314718055994529</v>
      </c>
      <c r="K195">
        <f t="shared" si="43"/>
        <v>-0.90472515177521751</v>
      </c>
      <c r="L195">
        <v>1</v>
      </c>
      <c r="M195">
        <f t="shared" si="31"/>
        <v>0.55530577808892501</v>
      </c>
      <c r="N195">
        <f t="shared" si="44"/>
        <v>0.16799999999999998</v>
      </c>
      <c r="O195">
        <f t="shared" si="45"/>
        <v>0.17100000000000001</v>
      </c>
      <c r="P195">
        <f t="shared" si="46"/>
        <v>1.0419373686292505E-2</v>
      </c>
    </row>
    <row r="196" spans="1:16" x14ac:dyDescent="0.3">
      <c r="A196">
        <v>10</v>
      </c>
      <c r="B196">
        <v>0.315</v>
      </c>
      <c r="C196">
        <f t="shared" si="25"/>
        <v>3.15</v>
      </c>
      <c r="D196">
        <v>1.6799999999999999E-2</v>
      </c>
      <c r="E196" s="1">
        <v>1.7100000000000001E-2</v>
      </c>
      <c r="F196">
        <f t="shared" si="41"/>
        <v>2000</v>
      </c>
      <c r="G196">
        <f t="shared" si="42"/>
        <v>-0.315</v>
      </c>
      <c r="H196">
        <f t="shared" si="28"/>
        <v>-630</v>
      </c>
      <c r="I196">
        <v>1</v>
      </c>
      <c r="J196">
        <f t="shared" si="29"/>
        <v>0.69314718055994529</v>
      </c>
      <c r="K196">
        <f t="shared" si="43"/>
        <v>-0.90672515177521751</v>
      </c>
      <c r="L196">
        <v>1</v>
      </c>
      <c r="M196">
        <f t="shared" si="31"/>
        <v>0.55530577808892501</v>
      </c>
      <c r="N196">
        <f t="shared" si="44"/>
        <v>0.16799999999999998</v>
      </c>
      <c r="O196">
        <f t="shared" si="45"/>
        <v>0.17100000000000001</v>
      </c>
      <c r="P196">
        <f t="shared" si="46"/>
        <v>1.2419373686292506E-2</v>
      </c>
    </row>
    <row r="197" spans="1:16" x14ac:dyDescent="0.3">
      <c r="A197">
        <v>10.1</v>
      </c>
      <c r="B197">
        <v>0.313</v>
      </c>
      <c r="C197">
        <f t="shared" ref="C197:C211" si="47">A197*B197</f>
        <v>3.1612999999999998</v>
      </c>
      <c r="D197">
        <v>1.6799999999999999E-2</v>
      </c>
      <c r="E197" s="1">
        <v>1.7100000000000001E-2</v>
      </c>
      <c r="F197">
        <f t="shared" si="41"/>
        <v>2020</v>
      </c>
      <c r="G197">
        <f t="shared" si="42"/>
        <v>-0.313</v>
      </c>
      <c r="H197">
        <f t="shared" ref="H197:H211" si="48">-C197*200</f>
        <v>-632.26</v>
      </c>
      <c r="I197">
        <v>1</v>
      </c>
      <c r="J197">
        <f t="shared" ref="J197:J260" si="49">LN(F197/1000)</f>
        <v>0.70309751141311339</v>
      </c>
      <c r="K197">
        <f t="shared" si="43"/>
        <v>-0.90872515177521751</v>
      </c>
      <c r="L197">
        <v>1</v>
      </c>
      <c r="M197">
        <f t="shared" ref="M197:M260" si="50">-1*($S$4+($S$5*J197))</f>
        <v>0.55570249778004077</v>
      </c>
      <c r="N197">
        <f t="shared" si="44"/>
        <v>0.16967999999999997</v>
      </c>
      <c r="O197">
        <f t="shared" si="45"/>
        <v>0.17271</v>
      </c>
      <c r="P197">
        <f t="shared" si="46"/>
        <v>1.0632653995176766E-2</v>
      </c>
    </row>
    <row r="198" spans="1:16" x14ac:dyDescent="0.3">
      <c r="A198">
        <v>10.199999999999999</v>
      </c>
      <c r="B198">
        <v>0.311</v>
      </c>
      <c r="C198">
        <f t="shared" si="47"/>
        <v>3.1721999999999997</v>
      </c>
      <c r="D198">
        <v>1.6799999999999999E-2</v>
      </c>
      <c r="E198" s="1">
        <v>1.7100000000000001E-2</v>
      </c>
      <c r="F198">
        <f t="shared" si="41"/>
        <v>2039.9999999999998</v>
      </c>
      <c r="G198">
        <f t="shared" si="42"/>
        <v>-0.311</v>
      </c>
      <c r="H198">
        <f t="shared" si="48"/>
        <v>-634.43999999999994</v>
      </c>
      <c r="I198">
        <v>1</v>
      </c>
      <c r="J198">
        <f t="shared" si="49"/>
        <v>0.71294980785612483</v>
      </c>
      <c r="K198">
        <f t="shared" si="43"/>
        <v>-0.91072515177521751</v>
      </c>
      <c r="L198">
        <v>1</v>
      </c>
      <c r="M198">
        <f t="shared" si="50"/>
        <v>0.55609530883922365</v>
      </c>
      <c r="N198">
        <f t="shared" si="44"/>
        <v>0.17135999999999998</v>
      </c>
      <c r="O198">
        <f t="shared" si="45"/>
        <v>0.17441999999999999</v>
      </c>
      <c r="P198">
        <f t="shared" si="46"/>
        <v>8.8498429359938902E-3</v>
      </c>
    </row>
    <row r="199" spans="1:16" x14ac:dyDescent="0.3">
      <c r="A199">
        <v>10.199999999999999</v>
      </c>
      <c r="B199">
        <v>0.309</v>
      </c>
      <c r="C199">
        <f t="shared" si="47"/>
        <v>3.1517999999999997</v>
      </c>
      <c r="D199">
        <v>1.6799999999999999E-2</v>
      </c>
      <c r="E199" s="1">
        <v>1.7100000000000001E-2</v>
      </c>
      <c r="F199">
        <f t="shared" si="41"/>
        <v>2039.9999999999998</v>
      </c>
      <c r="G199">
        <f t="shared" si="42"/>
        <v>-0.309</v>
      </c>
      <c r="H199">
        <f t="shared" si="48"/>
        <v>-630.3599999999999</v>
      </c>
      <c r="I199">
        <v>1</v>
      </c>
      <c r="J199">
        <f t="shared" si="49"/>
        <v>0.71294980785612483</v>
      </c>
      <c r="K199">
        <f t="shared" si="43"/>
        <v>-0.91272515177521751</v>
      </c>
      <c r="L199">
        <v>1</v>
      </c>
      <c r="M199">
        <f t="shared" si="50"/>
        <v>0.55609530883922365</v>
      </c>
      <c r="N199">
        <f t="shared" si="44"/>
        <v>0.17135999999999998</v>
      </c>
      <c r="O199">
        <f t="shared" si="45"/>
        <v>0.17441999999999999</v>
      </c>
      <c r="P199">
        <f t="shared" si="46"/>
        <v>1.0849842935993892E-2</v>
      </c>
    </row>
    <row r="200" spans="1:16" x14ac:dyDescent="0.3">
      <c r="A200">
        <v>10.3</v>
      </c>
      <c r="B200">
        <v>0.30599999999999999</v>
      </c>
      <c r="C200">
        <f t="shared" si="47"/>
        <v>3.1518000000000002</v>
      </c>
      <c r="D200">
        <v>1.6799999999999999E-2</v>
      </c>
      <c r="E200" s="1">
        <v>1.7100000000000001E-2</v>
      </c>
      <c r="F200">
        <f t="shared" si="41"/>
        <v>2060</v>
      </c>
      <c r="G200">
        <f t="shared" si="42"/>
        <v>-0.30599999999999999</v>
      </c>
      <c r="H200">
        <f t="shared" si="48"/>
        <v>-630.36</v>
      </c>
      <c r="I200">
        <v>1</v>
      </c>
      <c r="J200">
        <f t="shared" si="49"/>
        <v>0.72270598280148979</v>
      </c>
      <c r="K200">
        <f t="shared" si="43"/>
        <v>-0.91572515177521741</v>
      </c>
      <c r="L200">
        <v>1</v>
      </c>
      <c r="M200">
        <f t="shared" si="50"/>
        <v>0.55648428753429535</v>
      </c>
      <c r="N200">
        <f t="shared" si="44"/>
        <v>0.17304</v>
      </c>
      <c r="O200">
        <f t="shared" si="45"/>
        <v>0.17613000000000001</v>
      </c>
      <c r="P200">
        <f t="shared" si="46"/>
        <v>1.0070864240922045E-2</v>
      </c>
    </row>
    <row r="201" spans="1:16" x14ac:dyDescent="0.3">
      <c r="A201">
        <v>10.3</v>
      </c>
      <c r="B201">
        <v>0.30399999999999999</v>
      </c>
      <c r="C201">
        <f t="shared" si="47"/>
        <v>3.1312000000000002</v>
      </c>
      <c r="D201">
        <v>1.6799999999999999E-2</v>
      </c>
      <c r="E201" s="1">
        <v>1.7100000000000001E-2</v>
      </c>
      <c r="F201">
        <f t="shared" si="41"/>
        <v>2060</v>
      </c>
      <c r="G201">
        <f t="shared" si="42"/>
        <v>-0.30399999999999999</v>
      </c>
      <c r="H201">
        <f t="shared" si="48"/>
        <v>-626.24</v>
      </c>
      <c r="I201">
        <v>1</v>
      </c>
      <c r="J201">
        <f t="shared" si="49"/>
        <v>0.72270598280148979</v>
      </c>
      <c r="K201">
        <f t="shared" si="43"/>
        <v>-0.91772515177521741</v>
      </c>
      <c r="L201">
        <v>1</v>
      </c>
      <c r="M201">
        <f t="shared" si="50"/>
        <v>0.55648428753429535</v>
      </c>
      <c r="N201">
        <f t="shared" si="44"/>
        <v>0.17304</v>
      </c>
      <c r="O201">
        <f t="shared" si="45"/>
        <v>0.17613000000000001</v>
      </c>
      <c r="P201">
        <f t="shared" si="46"/>
        <v>1.2070864240922047E-2</v>
      </c>
    </row>
    <row r="202" spans="1:16" x14ac:dyDescent="0.3">
      <c r="A202">
        <v>10.4</v>
      </c>
      <c r="B202">
        <v>0.30099999999999999</v>
      </c>
      <c r="C202">
        <f t="shared" si="47"/>
        <v>3.1303999999999998</v>
      </c>
      <c r="D202">
        <v>1.6799999999999999E-2</v>
      </c>
      <c r="E202" s="1">
        <v>1.7100000000000001E-2</v>
      </c>
      <c r="F202">
        <f t="shared" si="41"/>
        <v>2080</v>
      </c>
      <c r="G202">
        <f t="shared" si="42"/>
        <v>-0.30099999999999999</v>
      </c>
      <c r="H202">
        <f t="shared" si="48"/>
        <v>-626.07999999999993</v>
      </c>
      <c r="I202">
        <v>1</v>
      </c>
      <c r="J202">
        <f t="shared" si="49"/>
        <v>0.73236789371322664</v>
      </c>
      <c r="K202">
        <f t="shared" si="43"/>
        <v>-0.92072515177521752</v>
      </c>
      <c r="L202">
        <v>1</v>
      </c>
      <c r="M202">
        <f t="shared" si="50"/>
        <v>0.55686950792234635</v>
      </c>
      <c r="N202">
        <f t="shared" si="44"/>
        <v>0.17471999999999999</v>
      </c>
      <c r="O202">
        <f t="shared" si="45"/>
        <v>0.17784000000000003</v>
      </c>
      <c r="P202">
        <f t="shared" si="46"/>
        <v>1.1295643852871157E-2</v>
      </c>
    </row>
    <row r="203" spans="1:16" x14ac:dyDescent="0.3">
      <c r="A203">
        <v>10.4</v>
      </c>
      <c r="B203">
        <v>0.29899999999999999</v>
      </c>
      <c r="C203">
        <f t="shared" si="47"/>
        <v>3.1095999999999999</v>
      </c>
      <c r="D203">
        <v>1.6799999999999999E-2</v>
      </c>
      <c r="E203" s="1">
        <v>1.7100000000000001E-2</v>
      </c>
      <c r="F203">
        <f t="shared" si="41"/>
        <v>2080</v>
      </c>
      <c r="G203">
        <f t="shared" si="42"/>
        <v>-0.29899999999999999</v>
      </c>
      <c r="H203">
        <f t="shared" si="48"/>
        <v>-621.91999999999996</v>
      </c>
      <c r="I203">
        <v>1</v>
      </c>
      <c r="J203">
        <f t="shared" si="49"/>
        <v>0.73236789371322664</v>
      </c>
      <c r="K203">
        <f t="shared" si="43"/>
        <v>-0.92272515177521752</v>
      </c>
      <c r="L203">
        <v>1</v>
      </c>
      <c r="M203">
        <f t="shared" si="50"/>
        <v>0.55686950792234635</v>
      </c>
      <c r="N203">
        <f t="shared" si="44"/>
        <v>0.17471999999999999</v>
      </c>
      <c r="O203">
        <f t="shared" si="45"/>
        <v>0.17784000000000003</v>
      </c>
      <c r="P203">
        <f t="shared" si="46"/>
        <v>1.3295643852871158E-2</v>
      </c>
    </row>
    <row r="204" spans="1:16" x14ac:dyDescent="0.3">
      <c r="A204">
        <v>10.5</v>
      </c>
      <c r="B204">
        <v>0.29699999999999999</v>
      </c>
      <c r="C204">
        <f t="shared" si="47"/>
        <v>3.1185</v>
      </c>
      <c r="D204">
        <v>1.6799999999999999E-2</v>
      </c>
      <c r="E204" s="1">
        <v>1.7100000000000001E-2</v>
      </c>
      <c r="F204">
        <f t="shared" si="41"/>
        <v>2100</v>
      </c>
      <c r="G204">
        <f t="shared" si="42"/>
        <v>-0.29699999999999999</v>
      </c>
      <c r="H204">
        <f t="shared" si="48"/>
        <v>-623.70000000000005</v>
      </c>
      <c r="I204">
        <v>1</v>
      </c>
      <c r="J204">
        <f t="shared" si="49"/>
        <v>0.74193734472937733</v>
      </c>
      <c r="K204">
        <f t="shared" si="43"/>
        <v>-0.92472515177521752</v>
      </c>
      <c r="L204">
        <v>1</v>
      </c>
      <c r="M204">
        <f t="shared" si="50"/>
        <v>0.55725104193436026</v>
      </c>
      <c r="N204">
        <f t="shared" si="44"/>
        <v>0.1764</v>
      </c>
      <c r="O204">
        <f t="shared" si="45"/>
        <v>0.17955000000000002</v>
      </c>
      <c r="P204">
        <f t="shared" si="46"/>
        <v>1.152410984085725E-2</v>
      </c>
    </row>
    <row r="205" spans="1:16" x14ac:dyDescent="0.3">
      <c r="A205">
        <v>10.5</v>
      </c>
      <c r="B205">
        <v>0.29499999999999998</v>
      </c>
      <c r="C205">
        <f t="shared" si="47"/>
        <v>3.0974999999999997</v>
      </c>
      <c r="D205">
        <v>1.6799999999999999E-2</v>
      </c>
      <c r="E205" s="1">
        <v>1.7100000000000001E-2</v>
      </c>
      <c r="F205">
        <f t="shared" si="41"/>
        <v>2100</v>
      </c>
      <c r="G205">
        <f t="shared" si="42"/>
        <v>-0.29499999999999998</v>
      </c>
      <c r="H205">
        <f t="shared" si="48"/>
        <v>-619.49999999999989</v>
      </c>
      <c r="I205">
        <v>1</v>
      </c>
      <c r="J205">
        <f t="shared" si="49"/>
        <v>0.74193734472937733</v>
      </c>
      <c r="K205">
        <f t="shared" si="43"/>
        <v>-0.92672515177521753</v>
      </c>
      <c r="L205">
        <v>1</v>
      </c>
      <c r="M205">
        <f t="shared" si="50"/>
        <v>0.55725104193436026</v>
      </c>
      <c r="N205">
        <f t="shared" si="44"/>
        <v>0.1764</v>
      </c>
      <c r="O205">
        <f t="shared" si="45"/>
        <v>0.17955000000000002</v>
      </c>
      <c r="P205">
        <f t="shared" si="46"/>
        <v>1.3524109840857251E-2</v>
      </c>
    </row>
    <row r="206" spans="1:16" x14ac:dyDescent="0.3">
      <c r="A206">
        <v>10.6</v>
      </c>
      <c r="B206">
        <v>0.29299999999999998</v>
      </c>
      <c r="C206">
        <f t="shared" si="47"/>
        <v>3.1057999999999999</v>
      </c>
      <c r="D206">
        <v>1.6799999999999999E-2</v>
      </c>
      <c r="E206" s="1">
        <v>1.7100000000000001E-2</v>
      </c>
      <c r="F206">
        <f t="shared" si="41"/>
        <v>2120</v>
      </c>
      <c r="G206">
        <f t="shared" si="42"/>
        <v>-0.29299999999999998</v>
      </c>
      <c r="H206">
        <f t="shared" si="48"/>
        <v>-621.16</v>
      </c>
      <c r="I206">
        <v>1</v>
      </c>
      <c r="J206">
        <f t="shared" si="49"/>
        <v>0.75141608868392118</v>
      </c>
      <c r="K206">
        <f t="shared" si="43"/>
        <v>-0.92872515177521753</v>
      </c>
      <c r="L206">
        <v>1</v>
      </c>
      <c r="M206">
        <f t="shared" si="50"/>
        <v>0.55762895945582791</v>
      </c>
      <c r="N206">
        <f t="shared" si="44"/>
        <v>0.17807999999999999</v>
      </c>
      <c r="O206">
        <f t="shared" si="45"/>
        <v>0.18126</v>
      </c>
      <c r="P206">
        <f t="shared" si="46"/>
        <v>1.1756192319389625E-2</v>
      </c>
    </row>
    <row r="207" spans="1:16" x14ac:dyDescent="0.3">
      <c r="A207">
        <v>10.6</v>
      </c>
      <c r="B207">
        <v>0.29099999999999998</v>
      </c>
      <c r="C207">
        <f t="shared" si="47"/>
        <v>3.0845999999999996</v>
      </c>
      <c r="D207">
        <v>1.6799999999999999E-2</v>
      </c>
      <c r="E207" s="1">
        <v>1.7100000000000001E-2</v>
      </c>
      <c r="F207">
        <f t="shared" si="41"/>
        <v>2120</v>
      </c>
      <c r="G207">
        <f t="shared" si="42"/>
        <v>-0.29099999999999998</v>
      </c>
      <c r="H207">
        <f t="shared" si="48"/>
        <v>-616.91999999999996</v>
      </c>
      <c r="I207">
        <v>1</v>
      </c>
      <c r="J207">
        <f t="shared" si="49"/>
        <v>0.75141608868392118</v>
      </c>
      <c r="K207">
        <f t="shared" si="43"/>
        <v>-0.93072515177521753</v>
      </c>
      <c r="L207">
        <v>1</v>
      </c>
      <c r="M207">
        <f t="shared" si="50"/>
        <v>0.55762895945582791</v>
      </c>
      <c r="N207">
        <f t="shared" si="44"/>
        <v>0.17807999999999999</v>
      </c>
      <c r="O207">
        <f t="shared" si="45"/>
        <v>0.18126</v>
      </c>
      <c r="P207">
        <f t="shared" si="46"/>
        <v>1.3756192319389626E-2</v>
      </c>
    </row>
    <row r="208" spans="1:16" x14ac:dyDescent="0.3">
      <c r="A208">
        <v>10.7</v>
      </c>
      <c r="B208">
        <v>0.28799999999999998</v>
      </c>
      <c r="C208">
        <f t="shared" si="47"/>
        <v>3.0815999999999995</v>
      </c>
      <c r="D208">
        <v>1.6799999999999999E-2</v>
      </c>
      <c r="E208" s="1">
        <v>1.7100000000000001E-2</v>
      </c>
      <c r="F208">
        <f t="shared" si="41"/>
        <v>2140</v>
      </c>
      <c r="G208">
        <f t="shared" si="42"/>
        <v>-0.28799999999999998</v>
      </c>
      <c r="H208">
        <f t="shared" si="48"/>
        <v>-616.31999999999994</v>
      </c>
      <c r="I208">
        <v>1</v>
      </c>
      <c r="J208">
        <f t="shared" si="49"/>
        <v>0.76080582903376015</v>
      </c>
      <c r="K208">
        <f t="shared" si="43"/>
        <v>-0.93372515177521742</v>
      </c>
      <c r="L208">
        <v>1</v>
      </c>
      <c r="M208">
        <f t="shared" si="50"/>
        <v>0.55800332840357603</v>
      </c>
      <c r="N208">
        <f t="shared" si="44"/>
        <v>0.17975999999999998</v>
      </c>
      <c r="O208">
        <f t="shared" si="45"/>
        <v>0.18296999999999999</v>
      </c>
      <c r="P208">
        <f t="shared" si="46"/>
        <v>1.2991823371641426E-2</v>
      </c>
    </row>
    <row r="209" spans="1:16" x14ac:dyDescent="0.3">
      <c r="A209">
        <v>10.7</v>
      </c>
      <c r="B209">
        <v>0.28599999999999998</v>
      </c>
      <c r="C209">
        <f t="shared" si="47"/>
        <v>3.0601999999999996</v>
      </c>
      <c r="D209">
        <v>1.6799999999999999E-2</v>
      </c>
      <c r="E209" s="1">
        <v>1.7100000000000001E-2</v>
      </c>
      <c r="F209">
        <f t="shared" si="41"/>
        <v>2140</v>
      </c>
      <c r="G209">
        <f t="shared" si="42"/>
        <v>-0.28599999999999998</v>
      </c>
      <c r="H209">
        <f t="shared" si="48"/>
        <v>-612.04</v>
      </c>
      <c r="I209">
        <v>1</v>
      </c>
      <c r="J209">
        <f t="shared" si="49"/>
        <v>0.76080582903376015</v>
      </c>
      <c r="K209">
        <f t="shared" si="43"/>
        <v>-0.93572515177521742</v>
      </c>
      <c r="L209">
        <v>1</v>
      </c>
      <c r="M209">
        <f t="shared" si="50"/>
        <v>0.55800332840357603</v>
      </c>
      <c r="N209">
        <f t="shared" si="44"/>
        <v>0.17975999999999998</v>
      </c>
      <c r="O209">
        <f t="shared" si="45"/>
        <v>0.18296999999999999</v>
      </c>
      <c r="P209">
        <f t="shared" si="46"/>
        <v>1.4991823371641427E-2</v>
      </c>
    </row>
    <row r="210" spans="1:16" x14ac:dyDescent="0.3">
      <c r="A210">
        <v>10.8</v>
      </c>
      <c r="B210">
        <v>0.28399999999999997</v>
      </c>
      <c r="C210">
        <f t="shared" si="47"/>
        <v>3.0672000000000001</v>
      </c>
      <c r="D210">
        <v>1.6799999999999999E-2</v>
      </c>
      <c r="E210" s="1">
        <v>1.7100000000000001E-2</v>
      </c>
      <c r="F210">
        <f t="shared" si="41"/>
        <v>2160</v>
      </c>
      <c r="G210">
        <f t="shared" si="42"/>
        <v>-0.28399999999999997</v>
      </c>
      <c r="H210">
        <f t="shared" si="48"/>
        <v>-613.44000000000005</v>
      </c>
      <c r="I210">
        <v>1</v>
      </c>
      <c r="J210">
        <f t="shared" si="49"/>
        <v>0.77010822169607374</v>
      </c>
      <c r="K210">
        <f t="shared" si="43"/>
        <v>-0.93772515177521742</v>
      </c>
      <c r="L210">
        <v>1</v>
      </c>
      <c r="M210">
        <f t="shared" si="50"/>
        <v>0.55837421479902238</v>
      </c>
      <c r="N210">
        <f t="shared" si="44"/>
        <v>0.18143999999999999</v>
      </c>
      <c r="O210">
        <f t="shared" si="45"/>
        <v>0.18468000000000001</v>
      </c>
      <c r="P210">
        <f t="shared" si="46"/>
        <v>1.323093697619504E-2</v>
      </c>
    </row>
    <row r="211" spans="1:16" x14ac:dyDescent="0.3">
      <c r="A211">
        <v>10.8</v>
      </c>
      <c r="B211">
        <v>0.28199999999999997</v>
      </c>
      <c r="C211">
        <f t="shared" si="47"/>
        <v>3.0455999999999999</v>
      </c>
      <c r="D211">
        <v>1.6799999999999999E-2</v>
      </c>
      <c r="E211" s="1">
        <v>1.7100000000000001E-2</v>
      </c>
      <c r="F211">
        <f t="shared" si="41"/>
        <v>2160</v>
      </c>
      <c r="G211">
        <f t="shared" si="42"/>
        <v>-0.28199999999999997</v>
      </c>
      <c r="H211">
        <f t="shared" si="48"/>
        <v>-609.12</v>
      </c>
      <c r="I211">
        <v>1</v>
      </c>
      <c r="J211">
        <f t="shared" si="49"/>
        <v>0.77010822169607374</v>
      </c>
      <c r="K211">
        <f t="shared" si="43"/>
        <v>-0.93972515177521743</v>
      </c>
      <c r="L211">
        <v>1</v>
      </c>
      <c r="M211">
        <f t="shared" si="50"/>
        <v>0.55837421479902238</v>
      </c>
      <c r="N211">
        <f t="shared" si="44"/>
        <v>0.18143999999999999</v>
      </c>
      <c r="O211">
        <f t="shared" si="45"/>
        <v>0.18468000000000001</v>
      </c>
      <c r="P211">
        <f t="shared" si="46"/>
        <v>1.5230936976195042E-2</v>
      </c>
    </row>
    <row r="212" spans="1:16" x14ac:dyDescent="0.3">
      <c r="A212">
        <v>10.9</v>
      </c>
      <c r="B212">
        <v>0.27900000000000003</v>
      </c>
      <c r="C212">
        <f t="shared" ref="C212:C275" si="51">A212*B212</f>
        <v>3.0411000000000006</v>
      </c>
      <c r="D212">
        <v>1.6799999999999999E-2</v>
      </c>
      <c r="E212" s="1">
        <v>1.7100000000000001E-2</v>
      </c>
      <c r="F212">
        <f t="shared" ref="F212:F275" si="52">A212*200</f>
        <v>2180</v>
      </c>
      <c r="G212">
        <f t="shared" ref="G212:G275" si="53">-B212</f>
        <v>-0.27900000000000003</v>
      </c>
      <c r="H212">
        <f t="shared" ref="H212:H275" si="54">-C212*200</f>
        <v>-608.22000000000014</v>
      </c>
      <c r="I212">
        <v>1</v>
      </c>
      <c r="J212">
        <f t="shared" si="49"/>
        <v>0.77932487680099771</v>
      </c>
      <c r="K212">
        <f t="shared" ref="K212:K275" si="55">((-G212)-$N$2)</f>
        <v>-0.94272515177521743</v>
      </c>
      <c r="L212">
        <v>1</v>
      </c>
      <c r="M212">
        <f t="shared" si="50"/>
        <v>0.55874168283805581</v>
      </c>
      <c r="N212">
        <f t="shared" ref="N212:N275" si="56">D212*A212</f>
        <v>0.18312</v>
      </c>
      <c r="O212">
        <f t="shared" ref="O212:O275" si="57">E212*A212</f>
        <v>0.18639</v>
      </c>
      <c r="P212">
        <f t="shared" ref="P212:P275" si="58">-K212-M212-N212-O212</f>
        <v>1.4473468937161615E-2</v>
      </c>
    </row>
    <row r="213" spans="1:16" x14ac:dyDescent="0.3">
      <c r="A213">
        <v>10.9</v>
      </c>
      <c r="B213">
        <v>0.27700000000000002</v>
      </c>
      <c r="C213">
        <f t="shared" si="51"/>
        <v>3.0193000000000003</v>
      </c>
      <c r="D213">
        <v>1.6799999999999999E-2</v>
      </c>
      <c r="E213" s="1">
        <v>1.7100000000000001E-2</v>
      </c>
      <c r="F213">
        <f t="shared" si="52"/>
        <v>2180</v>
      </c>
      <c r="G213">
        <f t="shared" si="53"/>
        <v>-0.27700000000000002</v>
      </c>
      <c r="H213">
        <f t="shared" si="54"/>
        <v>-603.86</v>
      </c>
      <c r="I213">
        <v>1</v>
      </c>
      <c r="J213">
        <f t="shared" si="49"/>
        <v>0.77932487680099771</v>
      </c>
      <c r="K213">
        <f t="shared" si="55"/>
        <v>-0.94472515177521743</v>
      </c>
      <c r="L213">
        <v>1</v>
      </c>
      <c r="M213">
        <f t="shared" si="50"/>
        <v>0.55874168283805581</v>
      </c>
      <c r="N213">
        <f t="shared" si="56"/>
        <v>0.18312</v>
      </c>
      <c r="O213">
        <f t="shared" si="57"/>
        <v>0.18639</v>
      </c>
      <c r="P213">
        <f t="shared" si="58"/>
        <v>1.6473468937161617E-2</v>
      </c>
    </row>
    <row r="214" spans="1:16" x14ac:dyDescent="0.3">
      <c r="A214">
        <v>11</v>
      </c>
      <c r="B214">
        <v>0.27500000000000002</v>
      </c>
      <c r="C214">
        <f t="shared" si="51"/>
        <v>3.0250000000000004</v>
      </c>
      <c r="D214">
        <v>1.6799999999999999E-2</v>
      </c>
      <c r="E214" s="1">
        <v>1.7100000000000001E-2</v>
      </c>
      <c r="F214">
        <f t="shared" si="52"/>
        <v>2200</v>
      </c>
      <c r="G214">
        <f t="shared" si="53"/>
        <v>-0.27500000000000002</v>
      </c>
      <c r="H214">
        <f t="shared" si="54"/>
        <v>-605.00000000000011</v>
      </c>
      <c r="I214">
        <v>1</v>
      </c>
      <c r="J214">
        <f t="shared" si="49"/>
        <v>0.78845736036427028</v>
      </c>
      <c r="K214">
        <f t="shared" si="55"/>
        <v>-0.94672515177521743</v>
      </c>
      <c r="L214">
        <v>1</v>
      </c>
      <c r="M214">
        <f t="shared" si="50"/>
        <v>0.55910579495772339</v>
      </c>
      <c r="N214">
        <f t="shared" si="56"/>
        <v>0.18479999999999999</v>
      </c>
      <c r="O214">
        <f t="shared" si="57"/>
        <v>0.18810000000000002</v>
      </c>
      <c r="P214">
        <f t="shared" si="58"/>
        <v>1.4719356817494034E-2</v>
      </c>
    </row>
    <row r="215" spans="1:16" x14ac:dyDescent="0.3">
      <c r="A215">
        <v>11</v>
      </c>
      <c r="B215">
        <v>0.27200000000000002</v>
      </c>
      <c r="C215">
        <f t="shared" si="51"/>
        <v>2.992</v>
      </c>
      <c r="D215">
        <v>1.6799999999999999E-2</v>
      </c>
      <c r="E215" s="1">
        <v>1.7100000000000001E-2</v>
      </c>
      <c r="F215">
        <f t="shared" si="52"/>
        <v>2200</v>
      </c>
      <c r="G215">
        <f t="shared" si="53"/>
        <v>-0.27200000000000002</v>
      </c>
      <c r="H215">
        <f t="shared" si="54"/>
        <v>-598.4</v>
      </c>
      <c r="I215">
        <v>1</v>
      </c>
      <c r="J215">
        <f t="shared" si="49"/>
        <v>0.78845736036427028</v>
      </c>
      <c r="K215">
        <f t="shared" si="55"/>
        <v>-0.94972515177521744</v>
      </c>
      <c r="L215">
        <v>1</v>
      </c>
      <c r="M215">
        <f t="shared" si="50"/>
        <v>0.55910579495772339</v>
      </c>
      <c r="N215">
        <f t="shared" si="56"/>
        <v>0.18479999999999999</v>
      </c>
      <c r="O215">
        <f t="shared" si="57"/>
        <v>0.18810000000000002</v>
      </c>
      <c r="P215">
        <f t="shared" si="58"/>
        <v>1.7719356817494036E-2</v>
      </c>
    </row>
    <row r="216" spans="1:16" x14ac:dyDescent="0.3">
      <c r="A216">
        <v>11.1</v>
      </c>
      <c r="B216">
        <v>0.27</v>
      </c>
      <c r="C216">
        <f t="shared" si="51"/>
        <v>2.9969999999999999</v>
      </c>
      <c r="D216">
        <v>1.6799999999999999E-2</v>
      </c>
      <c r="E216" s="1">
        <v>1.7100000000000001E-2</v>
      </c>
      <c r="F216">
        <f t="shared" si="52"/>
        <v>2220</v>
      </c>
      <c r="G216">
        <f t="shared" si="53"/>
        <v>-0.27</v>
      </c>
      <c r="H216">
        <f t="shared" si="54"/>
        <v>-599.4</v>
      </c>
      <c r="I216">
        <v>1</v>
      </c>
      <c r="J216">
        <f t="shared" si="49"/>
        <v>0.79750719588418817</v>
      </c>
      <c r="K216">
        <f t="shared" si="55"/>
        <v>-0.95172515177521744</v>
      </c>
      <c r="L216">
        <v>1</v>
      </c>
      <c r="M216">
        <f t="shared" si="50"/>
        <v>0.55946661189990254</v>
      </c>
      <c r="N216">
        <f t="shared" si="56"/>
        <v>0.18647999999999998</v>
      </c>
      <c r="O216">
        <f t="shared" si="57"/>
        <v>0.18981000000000001</v>
      </c>
      <c r="P216">
        <f t="shared" si="58"/>
        <v>1.5968539875314908E-2</v>
      </c>
    </row>
    <row r="217" spans="1:16" x14ac:dyDescent="0.3">
      <c r="A217">
        <v>11.1</v>
      </c>
      <c r="B217">
        <v>0.26800000000000002</v>
      </c>
      <c r="C217">
        <f t="shared" si="51"/>
        <v>2.9748000000000001</v>
      </c>
      <c r="D217">
        <v>1.6799999999999999E-2</v>
      </c>
      <c r="E217" s="1">
        <v>1.7100000000000001E-2</v>
      </c>
      <c r="F217">
        <f t="shared" si="52"/>
        <v>2220</v>
      </c>
      <c r="G217">
        <f t="shared" si="53"/>
        <v>-0.26800000000000002</v>
      </c>
      <c r="H217">
        <f t="shared" si="54"/>
        <v>-594.96</v>
      </c>
      <c r="I217">
        <v>1</v>
      </c>
      <c r="J217">
        <f t="shared" si="49"/>
        <v>0.79750719588418817</v>
      </c>
      <c r="K217">
        <f t="shared" si="55"/>
        <v>-0.95372515177521744</v>
      </c>
      <c r="L217">
        <v>1</v>
      </c>
      <c r="M217">
        <f t="shared" si="50"/>
        <v>0.55946661189990254</v>
      </c>
      <c r="N217">
        <f t="shared" si="56"/>
        <v>0.18647999999999998</v>
      </c>
      <c r="O217">
        <f t="shared" si="57"/>
        <v>0.18981000000000001</v>
      </c>
      <c r="P217">
        <f t="shared" si="58"/>
        <v>1.7968539875314909E-2</v>
      </c>
    </row>
    <row r="218" spans="1:16" x14ac:dyDescent="0.3">
      <c r="A218">
        <v>11.2</v>
      </c>
      <c r="B218">
        <v>0.26500000000000001</v>
      </c>
      <c r="C218">
        <f t="shared" si="51"/>
        <v>2.968</v>
      </c>
      <c r="D218">
        <v>1.6799999999999999E-2</v>
      </c>
      <c r="E218" s="1">
        <v>1.7100000000000001E-2</v>
      </c>
      <c r="F218">
        <f t="shared" si="52"/>
        <v>2240</v>
      </c>
      <c r="G218">
        <f t="shared" si="53"/>
        <v>-0.26500000000000001</v>
      </c>
      <c r="H218">
        <f t="shared" si="54"/>
        <v>-593.6</v>
      </c>
      <c r="I218">
        <v>1</v>
      </c>
      <c r="J218">
        <f t="shared" si="49"/>
        <v>0.80647586586694853</v>
      </c>
      <c r="K218">
        <f t="shared" si="55"/>
        <v>-0.95672515177521744</v>
      </c>
      <c r="L218">
        <v>1</v>
      </c>
      <c r="M218">
        <f t="shared" si="50"/>
        <v>0.55982419277211526</v>
      </c>
      <c r="N218">
        <f t="shared" si="56"/>
        <v>0.18815999999999997</v>
      </c>
      <c r="O218">
        <f t="shared" si="57"/>
        <v>0.19152</v>
      </c>
      <c r="P218">
        <f t="shared" si="58"/>
        <v>1.7220959003102221E-2</v>
      </c>
    </row>
    <row r="219" spans="1:16" x14ac:dyDescent="0.3">
      <c r="A219">
        <v>11.2</v>
      </c>
      <c r="B219">
        <v>0.26300000000000001</v>
      </c>
      <c r="C219">
        <f t="shared" si="51"/>
        <v>2.9455999999999998</v>
      </c>
      <c r="D219">
        <v>1.6799999999999999E-2</v>
      </c>
      <c r="E219" s="1">
        <v>1.7100000000000001E-2</v>
      </c>
      <c r="F219">
        <f t="shared" si="52"/>
        <v>2240</v>
      </c>
      <c r="G219">
        <f t="shared" si="53"/>
        <v>-0.26300000000000001</v>
      </c>
      <c r="H219">
        <f t="shared" si="54"/>
        <v>-589.12</v>
      </c>
      <c r="I219">
        <v>1</v>
      </c>
      <c r="J219">
        <f t="shared" si="49"/>
        <v>0.80647586586694853</v>
      </c>
      <c r="K219">
        <f t="shared" si="55"/>
        <v>-0.95872515177521744</v>
      </c>
      <c r="L219">
        <v>1</v>
      </c>
      <c r="M219">
        <f t="shared" si="50"/>
        <v>0.55982419277211526</v>
      </c>
      <c r="N219">
        <f t="shared" si="56"/>
        <v>0.18815999999999997</v>
      </c>
      <c r="O219">
        <f t="shared" si="57"/>
        <v>0.19152</v>
      </c>
      <c r="P219">
        <f t="shared" si="58"/>
        <v>1.9220959003102223E-2</v>
      </c>
    </row>
    <row r="220" spans="1:16" x14ac:dyDescent="0.3">
      <c r="A220">
        <v>11.3</v>
      </c>
      <c r="B220">
        <v>0.26100000000000001</v>
      </c>
      <c r="C220">
        <f t="shared" si="51"/>
        <v>2.9493000000000005</v>
      </c>
      <c r="D220">
        <v>1.6799999999999999E-2</v>
      </c>
      <c r="E220" s="1">
        <v>1.7100000000000001E-2</v>
      </c>
      <c r="F220">
        <f t="shared" si="52"/>
        <v>2260</v>
      </c>
      <c r="G220">
        <f t="shared" si="53"/>
        <v>-0.26100000000000001</v>
      </c>
      <c r="H220">
        <f t="shared" si="54"/>
        <v>-589.86000000000013</v>
      </c>
      <c r="I220">
        <v>1</v>
      </c>
      <c r="J220">
        <f t="shared" si="49"/>
        <v>0.81536481328419441</v>
      </c>
      <c r="K220">
        <f t="shared" si="55"/>
        <v>-0.96072515177521745</v>
      </c>
      <c r="L220">
        <v>1</v>
      </c>
      <c r="M220">
        <f t="shared" si="50"/>
        <v>0.56017859510564083</v>
      </c>
      <c r="N220">
        <f t="shared" si="56"/>
        <v>0.18984000000000001</v>
      </c>
      <c r="O220">
        <f t="shared" si="57"/>
        <v>0.19323000000000001</v>
      </c>
      <c r="P220">
        <f t="shared" si="58"/>
        <v>1.7476556669576593E-2</v>
      </c>
    </row>
    <row r="221" spans="1:16" x14ac:dyDescent="0.3">
      <c r="A221">
        <v>11.4</v>
      </c>
      <c r="B221">
        <v>0.25900000000000001</v>
      </c>
      <c r="C221">
        <f t="shared" si="51"/>
        <v>2.9526000000000003</v>
      </c>
      <c r="D221">
        <v>1.6799999999999999E-2</v>
      </c>
      <c r="E221" s="1">
        <v>1.7100000000000001E-2</v>
      </c>
      <c r="F221">
        <f t="shared" si="52"/>
        <v>2280</v>
      </c>
      <c r="G221">
        <f t="shared" si="53"/>
        <v>-0.25900000000000001</v>
      </c>
      <c r="H221">
        <f t="shared" si="54"/>
        <v>-590.5200000000001</v>
      </c>
      <c r="I221">
        <v>1</v>
      </c>
      <c r="J221">
        <f t="shared" si="49"/>
        <v>0.82417544296634937</v>
      </c>
      <c r="K221">
        <f t="shared" si="55"/>
        <v>-0.96272515177521745</v>
      </c>
      <c r="L221">
        <v>1</v>
      </c>
      <c r="M221">
        <f t="shared" si="50"/>
        <v>0.56052987491106832</v>
      </c>
      <c r="N221">
        <f t="shared" si="56"/>
        <v>0.19152</v>
      </c>
      <c r="O221">
        <f t="shared" si="57"/>
        <v>0.19494</v>
      </c>
      <c r="P221">
        <f t="shared" si="58"/>
        <v>1.5735276864149134E-2</v>
      </c>
    </row>
    <row r="222" spans="1:16" x14ac:dyDescent="0.3">
      <c r="A222">
        <v>11.4</v>
      </c>
      <c r="B222">
        <v>0.25600000000000001</v>
      </c>
      <c r="C222">
        <f t="shared" si="51"/>
        <v>2.9184000000000001</v>
      </c>
      <c r="D222">
        <v>1.6799999999999999E-2</v>
      </c>
      <c r="E222" s="1">
        <v>1.7100000000000001E-2</v>
      </c>
      <c r="F222">
        <f t="shared" si="52"/>
        <v>2280</v>
      </c>
      <c r="G222">
        <f t="shared" si="53"/>
        <v>-0.25600000000000001</v>
      </c>
      <c r="H222">
        <f t="shared" si="54"/>
        <v>-583.68000000000006</v>
      </c>
      <c r="I222">
        <v>1</v>
      </c>
      <c r="J222">
        <f t="shared" si="49"/>
        <v>0.82417544296634937</v>
      </c>
      <c r="K222">
        <f t="shared" si="55"/>
        <v>-0.96572515177521745</v>
      </c>
      <c r="L222">
        <v>1</v>
      </c>
      <c r="M222">
        <f t="shared" si="50"/>
        <v>0.56052987491106832</v>
      </c>
      <c r="N222">
        <f t="shared" si="56"/>
        <v>0.19152</v>
      </c>
      <c r="O222">
        <f t="shared" si="57"/>
        <v>0.19494</v>
      </c>
      <c r="P222">
        <f t="shared" si="58"/>
        <v>1.8735276864149136E-2</v>
      </c>
    </row>
    <row r="223" spans="1:16" x14ac:dyDescent="0.3">
      <c r="A223">
        <v>11.5</v>
      </c>
      <c r="B223">
        <v>0.254</v>
      </c>
      <c r="C223">
        <f t="shared" si="51"/>
        <v>2.9210000000000003</v>
      </c>
      <c r="D223">
        <v>1.6799999999999999E-2</v>
      </c>
      <c r="E223" s="1">
        <v>1.7100000000000001E-2</v>
      </c>
      <c r="F223">
        <f t="shared" si="52"/>
        <v>2300</v>
      </c>
      <c r="G223">
        <f t="shared" si="53"/>
        <v>-0.254</v>
      </c>
      <c r="H223">
        <f t="shared" si="54"/>
        <v>-584.20000000000005</v>
      </c>
      <c r="I223">
        <v>1</v>
      </c>
      <c r="J223">
        <f t="shared" si="49"/>
        <v>0.83290912293510388</v>
      </c>
      <c r="K223">
        <f t="shared" si="55"/>
        <v>-0.96772515177521745</v>
      </c>
      <c r="L223">
        <v>1</v>
      </c>
      <c r="M223">
        <f t="shared" si="50"/>
        <v>0.56087808673142259</v>
      </c>
      <c r="N223">
        <f t="shared" si="56"/>
        <v>0.19319999999999998</v>
      </c>
      <c r="O223">
        <f t="shared" si="57"/>
        <v>0.19665000000000002</v>
      </c>
      <c r="P223">
        <f t="shared" si="58"/>
        <v>1.6997065043794862E-2</v>
      </c>
    </row>
    <row r="224" spans="1:16" x14ac:dyDescent="0.3">
      <c r="A224">
        <v>11.5</v>
      </c>
      <c r="B224">
        <v>0.252</v>
      </c>
      <c r="C224">
        <f t="shared" si="51"/>
        <v>2.8980000000000001</v>
      </c>
      <c r="D224">
        <v>1.6799999999999999E-2</v>
      </c>
      <c r="E224" s="1">
        <v>1.7100000000000001E-2</v>
      </c>
      <c r="F224">
        <f t="shared" si="52"/>
        <v>2300</v>
      </c>
      <c r="G224">
        <f t="shared" si="53"/>
        <v>-0.252</v>
      </c>
      <c r="H224">
        <f t="shared" si="54"/>
        <v>-579.6</v>
      </c>
      <c r="I224">
        <v>1</v>
      </c>
      <c r="J224">
        <f t="shared" si="49"/>
        <v>0.83290912293510388</v>
      </c>
      <c r="K224">
        <f t="shared" si="55"/>
        <v>-0.96972515177521745</v>
      </c>
      <c r="L224">
        <v>1</v>
      </c>
      <c r="M224">
        <f t="shared" si="50"/>
        <v>0.56087808673142259</v>
      </c>
      <c r="N224">
        <f t="shared" si="56"/>
        <v>0.19319999999999998</v>
      </c>
      <c r="O224">
        <f t="shared" si="57"/>
        <v>0.19665000000000002</v>
      </c>
      <c r="P224">
        <f t="shared" si="58"/>
        <v>1.8997065043794864E-2</v>
      </c>
    </row>
    <row r="225" spans="1:18" x14ac:dyDescent="0.3">
      <c r="A225">
        <v>11.5</v>
      </c>
      <c r="B225">
        <v>0.252</v>
      </c>
      <c r="C225">
        <f t="shared" si="51"/>
        <v>2.8980000000000001</v>
      </c>
      <c r="D225">
        <v>1.6799999999999999E-2</v>
      </c>
      <c r="E225" s="1">
        <v>1.7100000000000001E-2</v>
      </c>
      <c r="F225">
        <f t="shared" si="52"/>
        <v>2300</v>
      </c>
      <c r="G225">
        <f t="shared" si="53"/>
        <v>-0.252</v>
      </c>
      <c r="H225">
        <f t="shared" si="54"/>
        <v>-579.6</v>
      </c>
      <c r="I225">
        <v>1</v>
      </c>
      <c r="J225">
        <f t="shared" si="49"/>
        <v>0.83290912293510388</v>
      </c>
      <c r="K225">
        <f t="shared" si="55"/>
        <v>-0.96972515177521745</v>
      </c>
      <c r="L225">
        <v>1</v>
      </c>
      <c r="M225">
        <f t="shared" si="50"/>
        <v>0.56087808673142259</v>
      </c>
      <c r="N225">
        <f>D225*A225</f>
        <v>0.19319999999999998</v>
      </c>
      <c r="O225">
        <f t="shared" si="57"/>
        <v>0.19665000000000002</v>
      </c>
      <c r="P225">
        <f t="shared" si="58"/>
        <v>1.8997065043794864E-2</v>
      </c>
      <c r="R225">
        <f>O225+N225+M225</f>
        <v>0.95072808673142262</v>
      </c>
    </row>
    <row r="226" spans="1:18" x14ac:dyDescent="0.3">
      <c r="C226">
        <f t="shared" si="51"/>
        <v>0</v>
      </c>
      <c r="D226">
        <v>1.6799999999999999E-2</v>
      </c>
      <c r="E226" s="1">
        <v>1.7100000000000001E-2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1:18" x14ac:dyDescent="0.3">
      <c r="C227">
        <f t="shared" si="51"/>
        <v>0</v>
      </c>
      <c r="D227">
        <v>1.6799999999999999E-2</v>
      </c>
      <c r="E227" s="1">
        <v>1.7100000000000001E-2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1:18" x14ac:dyDescent="0.3">
      <c r="C228">
        <f t="shared" si="51"/>
        <v>0</v>
      </c>
      <c r="D228">
        <v>1.6799999999999999E-2</v>
      </c>
      <c r="E228" s="1">
        <v>1.7100000000000001E-2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1:18" x14ac:dyDescent="0.3">
      <c r="C229">
        <f t="shared" si="51"/>
        <v>0</v>
      </c>
      <c r="D229">
        <v>1.6799999999999999E-2</v>
      </c>
      <c r="E229" s="1">
        <v>1.7100000000000001E-2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1:18" x14ac:dyDescent="0.3">
      <c r="C230">
        <f t="shared" si="51"/>
        <v>0</v>
      </c>
      <c r="D230">
        <v>1.6799999999999999E-2</v>
      </c>
      <c r="E230" s="1">
        <v>1.7100000000000001E-2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1:18" x14ac:dyDescent="0.3">
      <c r="C231">
        <f t="shared" si="51"/>
        <v>0</v>
      </c>
      <c r="D231">
        <v>1.6799999999999999E-2</v>
      </c>
      <c r="E231" s="1">
        <v>1.7100000000000001E-2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1:18" x14ac:dyDescent="0.3">
      <c r="C232">
        <f t="shared" si="51"/>
        <v>0</v>
      </c>
      <c r="D232">
        <v>1.6799999999999999E-2</v>
      </c>
      <c r="E232" s="1">
        <v>1.7100000000000001E-2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1:18" x14ac:dyDescent="0.3">
      <c r="C233">
        <f t="shared" si="51"/>
        <v>0</v>
      </c>
      <c r="D233">
        <v>1.6799999999999999E-2</v>
      </c>
      <c r="E233" s="1">
        <v>1.7100000000000001E-2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1:18" x14ac:dyDescent="0.3">
      <c r="C234">
        <f t="shared" si="51"/>
        <v>0</v>
      </c>
      <c r="D234">
        <v>1.6799999999999999E-2</v>
      </c>
      <c r="E234" s="1">
        <v>1.7100000000000001E-2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1:18" x14ac:dyDescent="0.3">
      <c r="C235">
        <f t="shared" si="51"/>
        <v>0</v>
      </c>
      <c r="D235">
        <v>1.6799999999999999E-2</v>
      </c>
      <c r="E235" s="1">
        <v>1.7100000000000001E-2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1:18" x14ac:dyDescent="0.3">
      <c r="C236">
        <f t="shared" si="51"/>
        <v>0</v>
      </c>
      <c r="D236">
        <v>1.6799999999999999E-2</v>
      </c>
      <c r="E236" s="1">
        <v>1.7100000000000001E-2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1:18" x14ac:dyDescent="0.3">
      <c r="C237">
        <f t="shared" si="51"/>
        <v>0</v>
      </c>
      <c r="D237">
        <v>1.6799999999999999E-2</v>
      </c>
      <c r="E237" s="1">
        <v>1.7100000000000001E-2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1:18" x14ac:dyDescent="0.3">
      <c r="C238">
        <f t="shared" si="51"/>
        <v>0</v>
      </c>
      <c r="D238">
        <v>1.6799999999999999E-2</v>
      </c>
      <c r="E238" s="1">
        <v>1.7100000000000001E-2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1:18" x14ac:dyDescent="0.3">
      <c r="C239">
        <f t="shared" si="51"/>
        <v>0</v>
      </c>
      <c r="D239">
        <v>1.6799999999999999E-2</v>
      </c>
      <c r="E239" s="1">
        <v>1.7100000000000001E-2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1:18" x14ac:dyDescent="0.3">
      <c r="C240">
        <f t="shared" si="51"/>
        <v>0</v>
      </c>
      <c r="D240">
        <v>1.6799999999999999E-2</v>
      </c>
      <c r="E240" s="1">
        <v>1.7100000000000001E-2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 x14ac:dyDescent="0.3">
      <c r="C241">
        <f t="shared" si="51"/>
        <v>0</v>
      </c>
      <c r="D241">
        <v>1.6799999999999999E-2</v>
      </c>
      <c r="E241" s="1">
        <v>1.7100000000000001E-2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 x14ac:dyDescent="0.3">
      <c r="C242">
        <f t="shared" si="51"/>
        <v>0</v>
      </c>
      <c r="D242">
        <v>1.6799999999999999E-2</v>
      </c>
      <c r="E242" s="1">
        <v>1.7100000000000001E-2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 x14ac:dyDescent="0.3">
      <c r="C243">
        <f t="shared" si="51"/>
        <v>0</v>
      </c>
      <c r="D243">
        <v>1.6799999999999999E-2</v>
      </c>
      <c r="E243" s="1">
        <v>1.7100000000000001E-2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 x14ac:dyDescent="0.3">
      <c r="C244">
        <f t="shared" si="51"/>
        <v>0</v>
      </c>
      <c r="D244">
        <v>1.6799999999999999E-2</v>
      </c>
      <c r="E244" s="1">
        <v>1.7100000000000001E-2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 x14ac:dyDescent="0.3">
      <c r="C245">
        <f t="shared" si="51"/>
        <v>0</v>
      </c>
      <c r="D245">
        <v>1.6799999999999999E-2</v>
      </c>
      <c r="E245" s="1">
        <v>1.7100000000000001E-2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 x14ac:dyDescent="0.3">
      <c r="C246">
        <f t="shared" si="51"/>
        <v>0</v>
      </c>
      <c r="D246">
        <v>1.6799999999999999E-2</v>
      </c>
      <c r="E246" s="1">
        <v>1.7100000000000001E-2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 x14ac:dyDescent="0.3">
      <c r="C247">
        <f t="shared" si="51"/>
        <v>0</v>
      </c>
      <c r="D247">
        <v>1.6799999999999999E-2</v>
      </c>
      <c r="E247" s="1">
        <v>1.7100000000000001E-2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 x14ac:dyDescent="0.3">
      <c r="C248">
        <f t="shared" si="51"/>
        <v>0</v>
      </c>
      <c r="D248">
        <v>1.6799999999999999E-2</v>
      </c>
      <c r="E248" s="1">
        <v>1.7100000000000001E-2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 x14ac:dyDescent="0.3">
      <c r="C249">
        <f t="shared" si="51"/>
        <v>0</v>
      </c>
      <c r="D249">
        <v>1.6799999999999999E-2</v>
      </c>
      <c r="E249" s="1">
        <v>1.7100000000000001E-2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 x14ac:dyDescent="0.3">
      <c r="C250">
        <f t="shared" si="51"/>
        <v>0</v>
      </c>
      <c r="D250">
        <v>1.6799999999999999E-2</v>
      </c>
      <c r="E250" s="1">
        <v>1.7100000000000001E-2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 x14ac:dyDescent="0.3">
      <c r="C251">
        <f t="shared" si="51"/>
        <v>0</v>
      </c>
      <c r="D251">
        <v>1.6799999999999999E-2</v>
      </c>
      <c r="E251" s="1">
        <v>1.7100000000000001E-2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 x14ac:dyDescent="0.3">
      <c r="C252">
        <f t="shared" si="51"/>
        <v>0</v>
      </c>
      <c r="D252">
        <v>1.6799999999999999E-2</v>
      </c>
      <c r="E252" s="1">
        <v>1.7100000000000001E-2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 x14ac:dyDescent="0.3">
      <c r="C253">
        <f t="shared" si="51"/>
        <v>0</v>
      </c>
      <c r="D253">
        <v>1.6799999999999999E-2</v>
      </c>
      <c r="E253" s="1">
        <v>1.7100000000000001E-2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 x14ac:dyDescent="0.3">
      <c r="C254">
        <f t="shared" si="51"/>
        <v>0</v>
      </c>
      <c r="D254">
        <v>1.6799999999999999E-2</v>
      </c>
      <c r="E254" s="1">
        <v>1.7100000000000001E-2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 x14ac:dyDescent="0.3">
      <c r="C255">
        <f t="shared" si="51"/>
        <v>0</v>
      </c>
      <c r="D255">
        <v>1.6799999999999999E-2</v>
      </c>
      <c r="E255" s="1">
        <v>1.7100000000000001E-2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 x14ac:dyDescent="0.3">
      <c r="C256">
        <f t="shared" si="51"/>
        <v>0</v>
      </c>
      <c r="D256">
        <v>1.6799999999999999E-2</v>
      </c>
      <c r="E256" s="1">
        <v>1.7100000000000001E-2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 x14ac:dyDescent="0.3">
      <c r="C257">
        <f t="shared" si="51"/>
        <v>0</v>
      </c>
      <c r="D257">
        <v>1.6799999999999999E-2</v>
      </c>
      <c r="E257" s="1">
        <v>1.7100000000000001E-2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 x14ac:dyDescent="0.3">
      <c r="C258">
        <f t="shared" si="51"/>
        <v>0</v>
      </c>
      <c r="D258">
        <v>1.6799999999999999E-2</v>
      </c>
      <c r="E258" s="1">
        <v>1.7100000000000001E-2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 x14ac:dyDescent="0.3">
      <c r="C259">
        <f t="shared" si="51"/>
        <v>0</v>
      </c>
      <c r="D259">
        <v>1.6799999999999999E-2</v>
      </c>
      <c r="E259" s="1">
        <v>1.7100000000000001E-2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 x14ac:dyDescent="0.3">
      <c r="C260">
        <f t="shared" si="51"/>
        <v>0</v>
      </c>
      <c r="D260">
        <v>1.6799999999999999E-2</v>
      </c>
      <c r="E260" s="1">
        <v>1.7100000000000001E-2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 x14ac:dyDescent="0.3">
      <c r="C261">
        <f t="shared" si="51"/>
        <v>0</v>
      </c>
      <c r="D261">
        <v>1.6799999999999999E-2</v>
      </c>
      <c r="E261" s="1">
        <v>1.7100000000000001E-2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 x14ac:dyDescent="0.3">
      <c r="C262">
        <f t="shared" si="51"/>
        <v>0</v>
      </c>
      <c r="D262">
        <v>1.6799999999999999E-2</v>
      </c>
      <c r="E262" s="1">
        <v>1.7100000000000001E-2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 x14ac:dyDescent="0.3">
      <c r="C263">
        <f t="shared" si="51"/>
        <v>0</v>
      </c>
      <c r="D263">
        <v>1.6799999999999999E-2</v>
      </c>
      <c r="E263" s="1">
        <v>1.7100000000000001E-2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 x14ac:dyDescent="0.3">
      <c r="C264">
        <f t="shared" si="51"/>
        <v>0</v>
      </c>
      <c r="D264">
        <v>1.6799999999999999E-2</v>
      </c>
      <c r="E264" s="1">
        <v>1.7100000000000001E-2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 x14ac:dyDescent="0.3">
      <c r="C265">
        <f t="shared" si="51"/>
        <v>0</v>
      </c>
      <c r="D265">
        <v>1.6799999999999999E-2</v>
      </c>
      <c r="E265" s="1">
        <v>1.7100000000000001E-2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 x14ac:dyDescent="0.3">
      <c r="C266">
        <f t="shared" si="51"/>
        <v>0</v>
      </c>
      <c r="D266">
        <v>1.6799999999999999E-2</v>
      </c>
      <c r="E266" s="1">
        <v>1.7100000000000001E-2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 x14ac:dyDescent="0.3">
      <c r="C267">
        <f t="shared" si="51"/>
        <v>0</v>
      </c>
      <c r="D267">
        <v>1.6799999999999999E-2</v>
      </c>
      <c r="E267" s="1">
        <v>1.7100000000000001E-2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 x14ac:dyDescent="0.3">
      <c r="C268">
        <f t="shared" si="51"/>
        <v>0</v>
      </c>
      <c r="D268">
        <v>1.6799999999999999E-2</v>
      </c>
      <c r="E268" s="1">
        <v>1.7100000000000001E-2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 x14ac:dyDescent="0.3">
      <c r="C269">
        <f t="shared" si="51"/>
        <v>0</v>
      </c>
      <c r="D269">
        <v>1.6799999999999999E-2</v>
      </c>
      <c r="E269" s="1">
        <v>1.7100000000000001E-2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 x14ac:dyDescent="0.3">
      <c r="C270">
        <f t="shared" si="51"/>
        <v>0</v>
      </c>
      <c r="D270">
        <v>1.6799999999999999E-2</v>
      </c>
      <c r="E270" s="1">
        <v>1.7100000000000001E-2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 x14ac:dyDescent="0.3">
      <c r="C271">
        <f t="shared" si="51"/>
        <v>0</v>
      </c>
      <c r="D271">
        <v>1.6799999999999999E-2</v>
      </c>
      <c r="E271" s="1">
        <v>1.7100000000000001E-2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 x14ac:dyDescent="0.3">
      <c r="C272">
        <f t="shared" si="51"/>
        <v>0</v>
      </c>
      <c r="D272">
        <v>1.6799999999999999E-2</v>
      </c>
      <c r="E272" s="1">
        <v>1.7100000000000001E-2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 x14ac:dyDescent="0.3">
      <c r="C273">
        <f t="shared" si="51"/>
        <v>0</v>
      </c>
      <c r="D273">
        <v>1.6799999999999999E-2</v>
      </c>
      <c r="E273" s="1">
        <v>1.7100000000000001E-2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 x14ac:dyDescent="0.3">
      <c r="C274">
        <f t="shared" si="51"/>
        <v>0</v>
      </c>
      <c r="D274">
        <v>1.6799999999999999E-2</v>
      </c>
      <c r="E274" s="1">
        <v>1.7100000000000001E-2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 x14ac:dyDescent="0.3">
      <c r="C275">
        <f t="shared" si="51"/>
        <v>0</v>
      </c>
      <c r="D275">
        <v>1.6799999999999999E-2</v>
      </c>
      <c r="E275" s="1">
        <v>1.7100000000000001E-2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 x14ac:dyDescent="0.3">
      <c r="C276">
        <f t="shared" ref="C276:C303" si="61">A276*B276</f>
        <v>0</v>
      </c>
      <c r="D276">
        <v>1.6799999999999999E-2</v>
      </c>
      <c r="E276" s="1">
        <v>1.7100000000000001E-2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 x14ac:dyDescent="0.3">
      <c r="C277">
        <f t="shared" si="61"/>
        <v>0</v>
      </c>
      <c r="D277">
        <v>1.6799999999999999E-2</v>
      </c>
      <c r="E277" s="1">
        <v>1.7100000000000001E-2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 x14ac:dyDescent="0.3">
      <c r="C278">
        <f t="shared" si="61"/>
        <v>0</v>
      </c>
      <c r="D278">
        <v>1.6799999999999999E-2</v>
      </c>
      <c r="E278" s="1">
        <v>1.7100000000000001E-2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 x14ac:dyDescent="0.3">
      <c r="C279">
        <f t="shared" si="61"/>
        <v>0</v>
      </c>
      <c r="D279">
        <v>1.6799999999999999E-2</v>
      </c>
      <c r="E279" s="1">
        <v>1.7100000000000001E-2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 x14ac:dyDescent="0.3">
      <c r="C280">
        <f t="shared" si="61"/>
        <v>0</v>
      </c>
      <c r="D280">
        <v>1.6799999999999999E-2</v>
      </c>
      <c r="E280" s="1">
        <v>1.7100000000000001E-2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 x14ac:dyDescent="0.3">
      <c r="C281">
        <f t="shared" si="61"/>
        <v>0</v>
      </c>
      <c r="D281">
        <v>1.6799999999999999E-2</v>
      </c>
      <c r="E281" s="1">
        <v>1.7100000000000001E-2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 x14ac:dyDescent="0.3">
      <c r="C282">
        <f t="shared" si="61"/>
        <v>0</v>
      </c>
      <c r="D282">
        <v>1.6799999999999999E-2</v>
      </c>
      <c r="E282" s="1">
        <v>1.7100000000000001E-2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 x14ac:dyDescent="0.3">
      <c r="C283">
        <f t="shared" si="61"/>
        <v>0</v>
      </c>
      <c r="D283">
        <v>1.6799999999999999E-2</v>
      </c>
      <c r="E283" s="1">
        <v>1.7100000000000001E-2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 x14ac:dyDescent="0.3">
      <c r="C284">
        <f t="shared" si="61"/>
        <v>0</v>
      </c>
      <c r="D284">
        <v>1.6799999999999999E-2</v>
      </c>
      <c r="E284" s="1">
        <v>1.7100000000000001E-2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 x14ac:dyDescent="0.3">
      <c r="C285">
        <f t="shared" si="61"/>
        <v>0</v>
      </c>
      <c r="D285">
        <v>1.6799999999999999E-2</v>
      </c>
      <c r="E285" s="1">
        <v>1.7100000000000001E-2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 x14ac:dyDescent="0.3">
      <c r="C286">
        <f t="shared" si="61"/>
        <v>0</v>
      </c>
      <c r="D286">
        <v>1.6799999999999999E-2</v>
      </c>
      <c r="E286" s="1">
        <v>1.7100000000000001E-2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 x14ac:dyDescent="0.3">
      <c r="C287">
        <f t="shared" si="61"/>
        <v>0</v>
      </c>
      <c r="D287">
        <v>1.6799999999999999E-2</v>
      </c>
      <c r="E287" s="1">
        <v>1.7100000000000001E-2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 x14ac:dyDescent="0.3">
      <c r="C288">
        <f t="shared" si="61"/>
        <v>0</v>
      </c>
      <c r="D288">
        <v>1.6799999999999999E-2</v>
      </c>
      <c r="E288" s="1">
        <v>1.7100000000000001E-2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 x14ac:dyDescent="0.3">
      <c r="C289">
        <f t="shared" si="61"/>
        <v>0</v>
      </c>
      <c r="D289">
        <v>1.6799999999999999E-2</v>
      </c>
      <c r="E289" s="1">
        <v>1.7100000000000001E-2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 x14ac:dyDescent="0.3">
      <c r="C290">
        <f t="shared" si="61"/>
        <v>0</v>
      </c>
      <c r="D290">
        <v>1.6799999999999999E-2</v>
      </c>
      <c r="E290" s="1">
        <v>1.7100000000000001E-2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 x14ac:dyDescent="0.3">
      <c r="C291">
        <f t="shared" si="61"/>
        <v>0</v>
      </c>
      <c r="D291">
        <v>1.6799999999999999E-2</v>
      </c>
      <c r="E291" s="1">
        <v>1.7100000000000001E-2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 x14ac:dyDescent="0.3">
      <c r="C292">
        <f t="shared" si="61"/>
        <v>0</v>
      </c>
      <c r="D292">
        <v>1.6799999999999999E-2</v>
      </c>
      <c r="E292" s="1">
        <v>1.7100000000000001E-2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 x14ac:dyDescent="0.3">
      <c r="C293">
        <f t="shared" si="61"/>
        <v>0</v>
      </c>
      <c r="D293">
        <v>1.6799999999999999E-2</v>
      </c>
      <c r="E293" s="1">
        <v>1.7100000000000001E-2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 x14ac:dyDescent="0.3">
      <c r="C294">
        <f t="shared" si="61"/>
        <v>0</v>
      </c>
      <c r="D294">
        <v>1.6799999999999999E-2</v>
      </c>
      <c r="E294" s="1">
        <v>1.7100000000000001E-2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 x14ac:dyDescent="0.3">
      <c r="C295">
        <f t="shared" si="61"/>
        <v>0</v>
      </c>
      <c r="D295">
        <v>1.6799999999999999E-2</v>
      </c>
      <c r="E295" s="1">
        <v>1.7100000000000001E-2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 x14ac:dyDescent="0.3">
      <c r="C296">
        <f t="shared" si="61"/>
        <v>0</v>
      </c>
      <c r="D296">
        <v>1.6799999999999999E-2</v>
      </c>
      <c r="E296" s="1">
        <v>1.7100000000000001E-2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 x14ac:dyDescent="0.3">
      <c r="C297">
        <f t="shared" si="61"/>
        <v>0</v>
      </c>
      <c r="D297">
        <v>1.6799999999999999E-2</v>
      </c>
      <c r="E297" s="1">
        <v>1.7100000000000001E-2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 x14ac:dyDescent="0.3">
      <c r="C298">
        <f t="shared" si="61"/>
        <v>0</v>
      </c>
      <c r="D298">
        <v>1.6799999999999999E-2</v>
      </c>
      <c r="E298" s="1">
        <v>1.7100000000000001E-2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 x14ac:dyDescent="0.3">
      <c r="C299">
        <f t="shared" si="61"/>
        <v>0</v>
      </c>
      <c r="D299">
        <v>1.6799999999999999E-2</v>
      </c>
      <c r="E299" s="1">
        <v>1.7100000000000001E-2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 x14ac:dyDescent="0.3">
      <c r="C300">
        <f t="shared" si="61"/>
        <v>0</v>
      </c>
      <c r="D300">
        <v>1.6799999999999999E-2</v>
      </c>
      <c r="E300" s="1">
        <v>1.7100000000000001E-2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 x14ac:dyDescent="0.3">
      <c r="C301">
        <f t="shared" si="61"/>
        <v>0</v>
      </c>
      <c r="D301">
        <v>1.6799999999999999E-2</v>
      </c>
      <c r="E301" s="1">
        <v>1.7100000000000001E-2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 x14ac:dyDescent="0.3">
      <c r="C302">
        <f t="shared" si="61"/>
        <v>0</v>
      </c>
      <c r="D302">
        <v>1.6799999999999999E-2</v>
      </c>
      <c r="E302" s="1">
        <v>1.7100000000000001E-2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 x14ac:dyDescent="0.3">
      <c r="C303">
        <f t="shared" si="61"/>
        <v>0</v>
      </c>
      <c r="D303">
        <v>1.6799999999999999E-2</v>
      </c>
      <c r="E303" s="1">
        <v>1.7100000000000001E-2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 x14ac:dyDescent="0.3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 x14ac:dyDescent="0.3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 x14ac:dyDescent="0.3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 x14ac:dyDescent="0.3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 x14ac:dyDescent="0.3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 x14ac:dyDescent="0.3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 x14ac:dyDescent="0.3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 x14ac:dyDescent="0.3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 x14ac:dyDescent="0.3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 x14ac:dyDescent="0.3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 x14ac:dyDescent="0.3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 x14ac:dyDescent="0.3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 x14ac:dyDescent="0.3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 x14ac:dyDescent="0.3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 x14ac:dyDescent="0.3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 x14ac:dyDescent="0.3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 x14ac:dyDescent="0.3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 x14ac:dyDescent="0.3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 x14ac:dyDescent="0.3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 x14ac:dyDescent="0.3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 x14ac:dyDescent="0.3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 x14ac:dyDescent="0.3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 x14ac:dyDescent="0.3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 x14ac:dyDescent="0.3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 x14ac:dyDescent="0.3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 x14ac:dyDescent="0.3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 x14ac:dyDescent="0.3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 x14ac:dyDescent="0.3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 x14ac:dyDescent="0.3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 x14ac:dyDescent="0.3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 x14ac:dyDescent="0.3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 x14ac:dyDescent="0.3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 x14ac:dyDescent="0.3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 x14ac:dyDescent="0.3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 x14ac:dyDescent="0.3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 x14ac:dyDescent="0.3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 x14ac:dyDescent="0.3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 x14ac:dyDescent="0.3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 x14ac:dyDescent="0.3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 x14ac:dyDescent="0.3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 x14ac:dyDescent="0.3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 x14ac:dyDescent="0.3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 x14ac:dyDescent="0.3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 x14ac:dyDescent="0.3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 x14ac:dyDescent="0.3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 x14ac:dyDescent="0.3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 x14ac:dyDescent="0.3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 x14ac:dyDescent="0.3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 x14ac:dyDescent="0.3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 x14ac:dyDescent="0.3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 x14ac:dyDescent="0.3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 x14ac:dyDescent="0.3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 x14ac:dyDescent="0.3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 x14ac:dyDescent="0.3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 x14ac:dyDescent="0.3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 x14ac:dyDescent="0.3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 x14ac:dyDescent="0.3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 x14ac:dyDescent="0.3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 x14ac:dyDescent="0.3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 x14ac:dyDescent="0.3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 x14ac:dyDescent="0.3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 x14ac:dyDescent="0.3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 x14ac:dyDescent="0.3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 x14ac:dyDescent="0.3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 x14ac:dyDescent="0.3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 x14ac:dyDescent="0.3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 x14ac:dyDescent="0.3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 x14ac:dyDescent="0.3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 x14ac:dyDescent="0.3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 x14ac:dyDescent="0.3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 x14ac:dyDescent="0.3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 x14ac:dyDescent="0.3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 x14ac:dyDescent="0.3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 x14ac:dyDescent="0.3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 x14ac:dyDescent="0.3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 x14ac:dyDescent="0.3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 x14ac:dyDescent="0.3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 x14ac:dyDescent="0.3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 x14ac:dyDescent="0.3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 x14ac:dyDescent="0.3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 x14ac:dyDescent="0.3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 x14ac:dyDescent="0.3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 x14ac:dyDescent="0.3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 x14ac:dyDescent="0.3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 x14ac:dyDescent="0.3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 x14ac:dyDescent="0.3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 x14ac:dyDescent="0.3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 x14ac:dyDescent="0.3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 x14ac:dyDescent="0.3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 x14ac:dyDescent="0.3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 x14ac:dyDescent="0.3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 x14ac:dyDescent="0.3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 x14ac:dyDescent="0.3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 x14ac:dyDescent="0.3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 x14ac:dyDescent="0.3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2026-03-24T10:42:45Z</dcterms:modified>
</cp:coreProperties>
</file>