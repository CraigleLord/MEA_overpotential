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75k\"/>
    </mc:Choice>
  </mc:AlternateContent>
  <xr:revisionPtr revIDLastSave="0" documentId="13_ncr:1_{D1E19740-776C-4ED8-95D4-6BBC1E813E63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<sst xmlns="http://schemas.openxmlformats.org/spreadsheetml/2006/main" count="40" uniqueCount="36">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</sst>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M1" zoomScale="85" zoomScaleNormal="85" workbookViewId="0">
      <selection activeCell="AC4" sqref="AC4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-0.59735000000000005</v>
      </c>
      <c r="AC3" t="s">
        <v>30</v>
      </c>
    </row>
    <row r="4" spans="1:29" x14ac:dyDescent="0.3">
      <c r="A4">
        <v>2.28527E-2</v>
      </c>
      <c r="B4">
        <v>0.98790999999999995</v>
      </c>
      <c r="C4">
        <f>A4*B4</f>
        <v>2.2576410857E-2</v>
      </c>
      <c r="D4">
        <v>1.67E-2</v>
      </c>
      <c r="E4">
        <v>1.0486000000000001E-2</v>
      </c>
      <c r="F4">
        <f>A4*200</f>
        <v>4.5705400000000003</v>
      </c>
      <c r="G4">
        <f>-B4</f>
        <v>-0.98790999999999995</v>
      </c>
      <c r="H4">
        <f t="shared" ref="H4" si="0">-C4*200</f>
        <v>-4.5152821714</v>
      </c>
      <c r="I4">
        <v>1</v>
      </c>
      <c r="J4">
        <f>LN(F4/1000)</f>
        <v>-5.388123919130992</v>
      </c>
      <c r="K4">
        <f>((-G4)-$N$2)</f>
        <v>-0.2338151517752175</v>
      </c>
      <c r="L4">
        <v>1</v>
      </c>
      <c r="M4">
        <f>-1*($S$4+($S$5*J4))</f>
        <v>0.21501918268855613</v>
      </c>
      <c r="N4">
        <f>D4*A4</f>
        <v>3.8164009E-4</v>
      </c>
      <c r="O4">
        <f>E4*A4</f>
        <v>2.3963341220000002E-4</v>
      </c>
      <c r="P4">
        <f>-K4-M4-N4-O4</f>
        <v>1.8174695584461369E-2</v>
      </c>
      <c r="R4" s="2" t="s">
        <v>16</v>
      </c>
      <c r="S4">
        <v>-0.47144000000000003</v>
      </c>
      <c r="V4">
        <v>-6</v>
      </c>
      <c r="W4">
        <f>V4*$S$5+$S$4</f>
        <v>-0.18590000000000001</v>
      </c>
      <c r="Y4">
        <v>0</v>
      </c>
      <c r="Z4">
        <f>$AB$4*Y4+$AB$3</f>
        <v>-0.59735000000000005</v>
      </c>
      <c r="AB4">
        <v>16.734670000000001</v>
      </c>
      <c r="AC4" t="s">
        <v>31</v>
      </c>
    </row>
    <row r="5" spans="1:29" x14ac:dyDescent="0.3">
      <c r="A5">
        <v>7.3771050000000005E-2</v>
      </c>
      <c r="B5">
        <v>0.98517999999999994</v>
      </c>
      <c r="C5">
        <f t="shared" ref="C5:C68" si="1">A5*B5</f>
        <v>7.2677763039000004E-2</v>
      </c>
      <c r="D5">
        <v>1.67E-2</v>
      </c>
      <c r="E5">
        <v>1.0486000000000001E-2</v>
      </c>
      <c r="F5">
        <f t="shared" ref="F5:F68" si="2">A5*200</f>
        <v>14.75421</v>
      </c>
      <c r="G5">
        <f t="shared" ref="G5:G68" si="3">-B5</f>
        <v>-0.98517999999999994</v>
      </c>
      <c r="H5">
        <f t="shared" ref="H5:H68" si="4">-C5*200</f>
        <v>-14.535552607800001</v>
      </c>
      <c r="I5">
        <v>1</v>
      </c>
      <c r="J5">
        <f t="shared" ref="J5:J68" si="5">LN(F5/1000)</f>
        <v>-4.2162268131930976</v>
      </c>
      <c r="K5">
        <f t="shared" ref="K5:K68" si="6">((-G5)-$N$2)</f>
        <v>-0.23654515177521751</v>
      </c>
      <c r="L5">
        <v>1</v>
      </c>
      <c r="M5">
        <f t="shared" ref="M5:M68" si="7">-1*($S$4+($S$5*J5))</f>
        <v>0.27078976596014048</v>
      </c>
      <c r="N5">
        <f t="shared" ref="N5:N6" si="8">D5*A5</f>
        <v>1.2319765350000001E-3</v>
      </c>
      <c r="O5">
        <f>E5*A5</f>
        <v>7.7356323030000011E-4</v>
      </c>
      <c r="P5">
        <f>-K5-M5-N5-O5</f>
        <v>-3.625015395022297E-2</v>
      </c>
      <c r="R5" s="2" t="s">
        <v>17</v>
      </c>
      <c r="S5">
        <v>-4.759E-2</v>
      </c>
      <c r="V5">
        <v>-5.9</v>
      </c>
      <c r="W5">
        <f t="shared" ref="W5:W68" si="9">V5*$S$5+$S$4</f>
        <v>-0.19065900000000002</v>
      </c>
      <c r="Y5">
        <v>0.01</v>
      </c>
      <c r="Z5">
        <f t="shared" ref="Z5:Z31" si="10">$AB$4*Y5+$AB$3</f>
        <v>-0.43000330000000003</v>
      </c>
    </row>
    <row r="6" spans="1:29" x14ac:dyDescent="0.3">
      <c r="A6">
        <v>0.1241802</v>
      </c>
      <c r="B6">
        <v>0.88478999999999997</v>
      </c>
      <c r="C6">
        <f t="shared" si="1"/>
        <v>0.109873399158</v>
      </c>
      <c r="D6">
        <v>1.67E-2</v>
      </c>
      <c r="E6">
        <v>1.0486000000000001E-2</v>
      </c>
      <c r="F6">
        <f t="shared" si="2"/>
        <v>24.836040000000001</v>
      </c>
      <c r="G6">
        <f t="shared" si="3"/>
        <v>-0.88478999999999997</v>
      </c>
      <c r="H6">
        <f t="shared" si="4"/>
        <v>-21.9746798316</v>
      </c>
      <c r="I6">
        <v>1</v>
      </c>
      <c r="J6">
        <f t="shared" si="5"/>
        <v>-3.6954594549154791</v>
      </c>
      <c r="K6">
        <f t="shared" si="6"/>
        <v>-0.33693515177521749</v>
      </c>
      <c r="L6">
        <v>1</v>
      </c>
      <c r="M6">
        <f t="shared" si="7"/>
        <v>0.29557308454057241</v>
      </c>
      <c r="N6">
        <f t="shared" si="8"/>
        <v>2.0738093400000002E-3</v>
      </c>
      <c r="O6">
        <f t="shared" ref="O6:O69" si="11">E6*A6</f>
        <v>1.3021535772000002E-3</v>
      </c>
      <c r="P6">
        <f t="shared" ref="P6:P69" si="12">-K6-M6-N6-O6</f>
        <v>3.7986104317445077E-2</v>
      </c>
      <c r="V6">
        <v>-5.8</v>
      </c>
      <c r="W6">
        <f t="shared" si="9"/>
        <v>-0.19541800000000004</v>
      </c>
      <c r="Y6">
        <v>0.02</v>
      </c>
      <c r="Z6">
        <f t="shared" si="10"/>
        <v>-0.26265660000000002</v>
      </c>
      <c r="AB6" t="s">
        <v>32</v>
      </c>
    </row>
    <row r="7" spans="1:29" x14ac:dyDescent="0.3">
      <c r="A7">
        <v>0.17509855000000002</v>
      </c>
      <c r="B7">
        <v>0.86187000000000002</v>
      </c>
      <c r="C7">
        <f t="shared" si="1"/>
        <v>0.15091218728850003</v>
      </c>
      <c r="D7">
        <v>1.67E-2</v>
      </c>
      <c r="E7">
        <v>1.0486000000000001E-2</v>
      </c>
      <c r="F7">
        <f t="shared" si="2"/>
        <v>35.019710000000003</v>
      </c>
      <c r="G7">
        <f t="shared" si="3"/>
        <v>-0.86187000000000002</v>
      </c>
      <c r="H7">
        <f t="shared" si="4"/>
        <v>-30.182437457700008</v>
      </c>
      <c r="I7">
        <v>1</v>
      </c>
      <c r="J7">
        <f t="shared" si="5"/>
        <v>-3.3518442331410148</v>
      </c>
      <c r="K7">
        <f t="shared" si="6"/>
        <v>-0.35985515177521743</v>
      </c>
      <c r="L7">
        <v>1</v>
      </c>
      <c r="M7">
        <f t="shared" si="7"/>
        <v>0.31192573294481912</v>
      </c>
      <c r="N7">
        <f t="shared" ref="N7:N70" si="13">D7*A7</f>
        <v>2.9241457850000003E-3</v>
      </c>
      <c r="O7">
        <f t="shared" si="11"/>
        <v>1.8360833953000003E-3</v>
      </c>
      <c r="P7">
        <f t="shared" si="12"/>
        <v>4.3169189650098305E-2</v>
      </c>
      <c r="V7">
        <v>-5.7</v>
      </c>
      <c r="W7">
        <f t="shared" si="9"/>
        <v>-0.20017699999999999</v>
      </c>
      <c r="Y7">
        <v>0.03</v>
      </c>
      <c r="Z7">
        <f t="shared" si="10"/>
        <v>-9.5309900000000058E-2</v>
      </c>
      <c r="AB7" t="s">
        <v>33</v>
      </c>
      <c r="AC7">
        <f>-AB3/AB4</f>
        <v>3.569535580922719E-2</v>
      </c>
    </row>
    <row r="8" spans="1:29" x14ac:dyDescent="0.3">
      <c r="A8">
        <v>0.22601684999999999</v>
      </c>
      <c r="B8">
        <v>0.84711999999999998</v>
      </c>
      <c r="C8">
        <f t="shared" si="1"/>
        <v>0.19146339397199999</v>
      </c>
      <c r="D8">
        <v>1.67E-2</v>
      </c>
      <c r="E8">
        <v>1.0486000000000001E-2</v>
      </c>
      <c r="F8">
        <f t="shared" si="2"/>
        <v>45.20337</v>
      </c>
      <c r="G8">
        <f t="shared" si="3"/>
        <v>-0.84711999999999998</v>
      </c>
      <c r="H8">
        <f t="shared" si="4"/>
        <v>-38.292678794399997</v>
      </c>
      <c r="I8">
        <v>1</v>
      </c>
      <c r="J8">
        <f t="shared" si="5"/>
        <v>-3.0965836374011015</v>
      </c>
      <c r="K8">
        <f t="shared" si="6"/>
        <v>-0.37460515177521747</v>
      </c>
      <c r="L8">
        <v>1</v>
      </c>
      <c r="M8">
        <f t="shared" si="7"/>
        <v>0.32407358469608161</v>
      </c>
      <c r="N8">
        <f t="shared" si="13"/>
        <v>3.7744813949999998E-3</v>
      </c>
      <c r="O8">
        <f t="shared" si="11"/>
        <v>2.3700126891000001E-3</v>
      </c>
      <c r="P8">
        <f t="shared" si="12"/>
        <v>4.4387072995035866E-2</v>
      </c>
      <c r="V8">
        <v>-5.6</v>
      </c>
      <c r="W8">
        <f t="shared" si="9"/>
        <v>-0.20493600000000006</v>
      </c>
      <c r="Y8">
        <v>0.04</v>
      </c>
      <c r="Z8">
        <f t="shared" si="10"/>
        <v>7.2036800000000012E-2</v>
      </c>
    </row>
    <row r="9" spans="1:29" x14ac:dyDescent="0.3">
      <c r="A9">
        <v>0.27642604999999998</v>
      </c>
      <c r="B9">
        <v>0.83597999999999995</v>
      </c>
      <c r="C9">
        <f t="shared" si="1"/>
        <v>0.23108664927899997</v>
      </c>
      <c r="D9">
        <v>1.67E-2</v>
      </c>
      <c r="E9">
        <v>1.0486000000000001E-2</v>
      </c>
      <c r="F9">
        <f t="shared" si="2"/>
        <v>55.285209999999992</v>
      </c>
      <c r="G9">
        <f t="shared" si="3"/>
        <v>-0.83597999999999995</v>
      </c>
      <c r="H9">
        <f t="shared" si="4"/>
        <v>-46.217329855799996</v>
      </c>
      <c r="I9">
        <v>1</v>
      </c>
      <c r="J9">
        <f t="shared" si="5"/>
        <v>-2.8952498564962976</v>
      </c>
      <c r="K9">
        <f t="shared" si="6"/>
        <v>-0.38574515177521751</v>
      </c>
      <c r="L9">
        <v>1</v>
      </c>
      <c r="M9">
        <f t="shared" si="7"/>
        <v>0.33365505932934125</v>
      </c>
      <c r="N9">
        <f t="shared" si="13"/>
        <v>4.6163150349999996E-3</v>
      </c>
      <c r="O9">
        <f t="shared" si="11"/>
        <v>2.8986035603E-3</v>
      </c>
      <c r="P9">
        <f t="shared" si="12"/>
        <v>4.4575173850576258E-2</v>
      </c>
      <c r="V9">
        <v>-5.5</v>
      </c>
      <c r="W9">
        <f t="shared" si="9"/>
        <v>-0.20969500000000002</v>
      </c>
      <c r="Y9">
        <v>0.05</v>
      </c>
      <c r="Z9">
        <f t="shared" si="10"/>
        <v>0.23938350000000008</v>
      </c>
      <c r="AB9" t="s">
        <v>35</v>
      </c>
      <c r="AC9">
        <v>3.2199999999999999E-2</v>
      </c>
    </row>
    <row r="10" spans="1:29" x14ac:dyDescent="0.3">
      <c r="A10">
        <v>0.32785350000000002</v>
      </c>
      <c r="B10">
        <v>0.82643999999999995</v>
      </c>
      <c r="C10">
        <f t="shared" si="1"/>
        <v>0.27095124654000002</v>
      </c>
      <c r="D10">
        <v>1.67E-2</v>
      </c>
      <c r="E10">
        <v>1.0486000000000001E-2</v>
      </c>
      <c r="F10">
        <f t="shared" si="2"/>
        <v>65.570700000000002</v>
      </c>
      <c r="G10">
        <f t="shared" si="3"/>
        <v>-0.82643999999999995</v>
      </c>
      <c r="H10">
        <f t="shared" si="4"/>
        <v>-54.190249308000006</v>
      </c>
      <c r="I10">
        <v>1</v>
      </c>
      <c r="J10">
        <f t="shared" si="5"/>
        <v>-2.7246263291497455</v>
      </c>
      <c r="K10">
        <f t="shared" si="6"/>
        <v>-0.3952851517752175</v>
      </c>
      <c r="L10">
        <v>1</v>
      </c>
      <c r="M10">
        <f t="shared" si="7"/>
        <v>0.34177503299576362</v>
      </c>
      <c r="N10">
        <f t="shared" si="13"/>
        <v>5.4751534499999999E-3</v>
      </c>
      <c r="O10">
        <f t="shared" si="11"/>
        <v>3.4378718010000006E-3</v>
      </c>
      <c r="P10">
        <f t="shared" si="12"/>
        <v>4.4597093528453889E-2</v>
      </c>
      <c r="V10">
        <v>-5.4</v>
      </c>
      <c r="W10">
        <f t="shared" si="9"/>
        <v>-0.21445400000000003</v>
      </c>
      <c r="Y10">
        <v>0.06</v>
      </c>
      <c r="Z10">
        <f t="shared" si="10"/>
        <v>0.40673019999999993</v>
      </c>
    </row>
    <row r="11" spans="1:29" x14ac:dyDescent="0.3">
      <c r="A11">
        <v>0.37826264999999998</v>
      </c>
      <c r="B11">
        <v>0.81876000000000004</v>
      </c>
      <c r="C11">
        <f t="shared" si="1"/>
        <v>0.309706327314</v>
      </c>
      <c r="D11">
        <v>1.67E-2</v>
      </c>
      <c r="E11">
        <v>1.0486000000000001E-2</v>
      </c>
      <c r="F11">
        <f t="shared" si="2"/>
        <v>75.652529999999999</v>
      </c>
      <c r="G11">
        <f t="shared" si="3"/>
        <v>-0.81876000000000004</v>
      </c>
      <c r="H11">
        <f t="shared" si="4"/>
        <v>-61.941265462799997</v>
      </c>
      <c r="I11">
        <v>1</v>
      </c>
      <c r="J11">
        <f t="shared" si="5"/>
        <v>-2.5816043958172377</v>
      </c>
      <c r="K11">
        <f t="shared" si="6"/>
        <v>-0.40296515177521741</v>
      </c>
      <c r="L11">
        <v>1</v>
      </c>
      <c r="M11">
        <f t="shared" si="7"/>
        <v>0.34858144680305769</v>
      </c>
      <c r="N11">
        <f t="shared" si="13"/>
        <v>6.3169862549999995E-3</v>
      </c>
      <c r="O11">
        <f t="shared" si="11"/>
        <v>3.9664621479E-3</v>
      </c>
      <c r="P11">
        <f t="shared" si="12"/>
        <v>4.410025656925972E-2</v>
      </c>
      <c r="V11">
        <v>-5.3</v>
      </c>
      <c r="W11">
        <f t="shared" si="9"/>
        <v>-0.21921300000000005</v>
      </c>
      <c r="Y11">
        <v>7.0000000000000007E-2</v>
      </c>
      <c r="Z11">
        <f t="shared" si="10"/>
        <v>0.57407690000000011</v>
      </c>
      <c r="AB11" t="s">
        <v>34</v>
      </c>
      <c r="AC11">
        <f>AC7-AC9</f>
        <v>3.4953558092271908E-3</v>
      </c>
    </row>
    <row r="12" spans="1:29" x14ac:dyDescent="0.3">
      <c r="A12">
        <v>0.42969014999999999</v>
      </c>
      <c r="B12">
        <v>0.81138999999999994</v>
      </c>
      <c r="C12">
        <f t="shared" si="1"/>
        <v>0.34864629080849996</v>
      </c>
      <c r="D12">
        <v>1.67E-2</v>
      </c>
      <c r="E12">
        <v>1.0486000000000001E-2</v>
      </c>
      <c r="F12">
        <f t="shared" si="2"/>
        <v>85.938029999999998</v>
      </c>
      <c r="G12">
        <f t="shared" si="3"/>
        <v>-0.81138999999999994</v>
      </c>
      <c r="H12">
        <f t="shared" si="4"/>
        <v>-69.729258161699988</v>
      </c>
      <c r="I12">
        <v>1</v>
      </c>
      <c r="J12">
        <f t="shared" si="5"/>
        <v>-2.4541288238675367</v>
      </c>
      <c r="K12">
        <f t="shared" si="6"/>
        <v>-0.41033515177521751</v>
      </c>
      <c r="L12">
        <v>1</v>
      </c>
      <c r="M12">
        <f t="shared" si="7"/>
        <v>0.35464800927214396</v>
      </c>
      <c r="N12">
        <f t="shared" si="13"/>
        <v>7.1758255049999995E-3</v>
      </c>
      <c r="O12">
        <f t="shared" si="11"/>
        <v>4.5057309128999998E-3</v>
      </c>
      <c r="P12">
        <f t="shared" si="12"/>
        <v>4.4005586085173555E-2</v>
      </c>
      <c r="V12">
        <v>-5.2</v>
      </c>
      <c r="W12">
        <f t="shared" si="9"/>
        <v>-0.223972</v>
      </c>
      <c r="Y12">
        <v>0.08</v>
      </c>
      <c r="Z12">
        <f t="shared" si="10"/>
        <v>0.74142360000000007</v>
      </c>
      <c r="AC12">
        <f>AC11*3</f>
        <v>1.0486067427681572E-2</v>
      </c>
    </row>
    <row r="13" spans="1:29" x14ac:dyDescent="0.3">
      <c r="A13">
        <v>0.48162689999999997</v>
      </c>
      <c r="B13">
        <v>0.80528</v>
      </c>
      <c r="C13">
        <f t="shared" si="1"/>
        <v>0.38784451003199999</v>
      </c>
      <c r="D13">
        <v>1.67E-2</v>
      </c>
      <c r="E13">
        <v>1.0486000000000001E-2</v>
      </c>
      <c r="F13">
        <f t="shared" si="2"/>
        <v>96.325379999999996</v>
      </c>
      <c r="G13">
        <f t="shared" si="3"/>
        <v>-0.80528</v>
      </c>
      <c r="H13">
        <f t="shared" si="4"/>
        <v>-77.568902006399995</v>
      </c>
      <c r="I13">
        <v>1</v>
      </c>
      <c r="J13">
        <f t="shared" si="5"/>
        <v>-2.3400234434997578</v>
      </c>
      <c r="K13">
        <f t="shared" si="6"/>
        <v>-0.41644515177521746</v>
      </c>
      <c r="L13">
        <v>1</v>
      </c>
      <c r="M13">
        <f t="shared" si="7"/>
        <v>0.36007828432384659</v>
      </c>
      <c r="N13">
        <f t="shared" si="13"/>
        <v>8.0431692299999993E-3</v>
      </c>
      <c r="O13">
        <f t="shared" si="11"/>
        <v>5.0503396733999999E-3</v>
      </c>
      <c r="P13">
        <f t="shared" si="12"/>
        <v>4.3273358547970875E-2</v>
      </c>
      <c r="V13">
        <v>-5.0999999999999996</v>
      </c>
      <c r="W13">
        <f t="shared" si="9"/>
        <v>-0.22873100000000005</v>
      </c>
      <c r="Y13">
        <v>0.09</v>
      </c>
      <c r="Z13">
        <f t="shared" si="10"/>
        <v>0.90877030000000003</v>
      </c>
    </row>
    <row r="14" spans="1:29" x14ac:dyDescent="0.3">
      <c r="A14">
        <v>0.53458195000000008</v>
      </c>
      <c r="B14">
        <v>0.79886999999999997</v>
      </c>
      <c r="C14">
        <f t="shared" si="1"/>
        <v>0.42706148239650005</v>
      </c>
      <c r="D14">
        <v>1.67E-2</v>
      </c>
      <c r="E14">
        <v>1.0486000000000001E-2</v>
      </c>
      <c r="F14">
        <f t="shared" si="2"/>
        <v>106.91639000000002</v>
      </c>
      <c r="G14">
        <f t="shared" si="3"/>
        <v>-0.79886999999999997</v>
      </c>
      <c r="H14">
        <f t="shared" si="4"/>
        <v>-85.412296479300011</v>
      </c>
      <c r="I14">
        <v>1</v>
      </c>
      <c r="J14">
        <f t="shared" si="5"/>
        <v>-2.2357081518429616</v>
      </c>
      <c r="K14">
        <f t="shared" si="6"/>
        <v>-0.42285515177521749</v>
      </c>
      <c r="L14">
        <v>1</v>
      </c>
      <c r="M14">
        <f t="shared" si="7"/>
        <v>0.36504264905379347</v>
      </c>
      <c r="N14">
        <f t="shared" si="13"/>
        <v>8.9275185650000005E-3</v>
      </c>
      <c r="O14">
        <f t="shared" si="11"/>
        <v>5.6056263277000015E-3</v>
      </c>
      <c r="P14">
        <f t="shared" si="12"/>
        <v>4.3279357828724017E-2</v>
      </c>
      <c r="V14">
        <v>-5</v>
      </c>
      <c r="W14">
        <f t="shared" si="9"/>
        <v>-0.23349000000000003</v>
      </c>
      <c r="Y14">
        <v>0.1</v>
      </c>
      <c r="Z14">
        <f t="shared" si="10"/>
        <v>1.0761170000000002</v>
      </c>
    </row>
    <row r="15" spans="1:29" x14ac:dyDescent="0.3">
      <c r="A15">
        <v>0.5865186</v>
      </c>
      <c r="B15">
        <v>0.79305000000000003</v>
      </c>
      <c r="C15">
        <f t="shared" si="1"/>
        <v>0.46513857573</v>
      </c>
      <c r="D15">
        <v>1.67E-2</v>
      </c>
      <c r="E15">
        <v>1.0486000000000001E-2</v>
      </c>
      <c r="F15">
        <f t="shared" si="2"/>
        <v>117.30372</v>
      </c>
      <c r="G15">
        <f t="shared" si="3"/>
        <v>-0.79305000000000003</v>
      </c>
      <c r="H15">
        <f t="shared" si="4"/>
        <v>-93.027715146000006</v>
      </c>
      <c r="I15">
        <v>1</v>
      </c>
      <c r="J15">
        <f t="shared" si="5"/>
        <v>-2.1429888102705843</v>
      </c>
      <c r="K15">
        <f t="shared" si="6"/>
        <v>-0.42867515177521742</v>
      </c>
      <c r="L15">
        <v>1</v>
      </c>
      <c r="M15">
        <f t="shared" si="7"/>
        <v>0.36945516251922295</v>
      </c>
      <c r="N15">
        <f t="shared" si="13"/>
        <v>9.79486062E-3</v>
      </c>
      <c r="O15">
        <f t="shared" si="11"/>
        <v>6.1502340396000004E-3</v>
      </c>
      <c r="P15">
        <f t="shared" si="12"/>
        <v>4.3274894596394477E-2</v>
      </c>
      <c r="V15">
        <v>-4.9000000000000004</v>
      </c>
      <c r="W15">
        <f t="shared" si="9"/>
        <v>-0.23824900000000002</v>
      </c>
      <c r="Y15">
        <v>0.11</v>
      </c>
      <c r="Z15">
        <f t="shared" si="10"/>
        <v>1.2434637000000002</v>
      </c>
    </row>
    <row r="16" spans="1:29" x14ac:dyDescent="0.3">
      <c r="A16">
        <v>0.63692775000000001</v>
      </c>
      <c r="B16">
        <v>0.78808</v>
      </c>
      <c r="C16">
        <f t="shared" si="1"/>
        <v>0.50195002121999999</v>
      </c>
      <c r="D16">
        <v>1.67E-2</v>
      </c>
      <c r="E16">
        <v>1.0486000000000001E-2</v>
      </c>
      <c r="F16">
        <f t="shared" si="2"/>
        <v>127.38555000000001</v>
      </c>
      <c r="G16">
        <f t="shared" si="3"/>
        <v>-0.78808</v>
      </c>
      <c r="H16">
        <f t="shared" si="4"/>
        <v>-100.390004244</v>
      </c>
      <c r="I16">
        <v>1</v>
      </c>
      <c r="J16">
        <f t="shared" si="5"/>
        <v>-2.0605369645688625</v>
      </c>
      <c r="K16">
        <f t="shared" si="6"/>
        <v>-0.43364515177521745</v>
      </c>
      <c r="L16">
        <v>1</v>
      </c>
      <c r="M16">
        <f t="shared" si="7"/>
        <v>0.37337904585616788</v>
      </c>
      <c r="N16">
        <f t="shared" si="13"/>
        <v>1.0636693425E-2</v>
      </c>
      <c r="O16">
        <f t="shared" si="11"/>
        <v>6.6788243865000003E-3</v>
      </c>
      <c r="P16">
        <f t="shared" si="12"/>
        <v>4.2950588107549578E-2</v>
      </c>
      <c r="V16">
        <v>-4.8</v>
      </c>
      <c r="W16">
        <f t="shared" si="9"/>
        <v>-0.24300800000000003</v>
      </c>
      <c r="Y16">
        <v>0.12</v>
      </c>
      <c r="Z16">
        <f t="shared" si="10"/>
        <v>1.4108103999999999</v>
      </c>
    </row>
    <row r="17" spans="1:26" x14ac:dyDescent="0.3">
      <c r="A17">
        <v>0.68733684999999989</v>
      </c>
      <c r="B17">
        <v>0.78332999999999997</v>
      </c>
      <c r="C17">
        <f t="shared" si="1"/>
        <v>0.53841157471049994</v>
      </c>
      <c r="D17">
        <v>1.67E-2</v>
      </c>
      <c r="E17">
        <v>1.0486000000000001E-2</v>
      </c>
      <c r="F17">
        <f t="shared" si="2"/>
        <v>137.46736999999999</v>
      </c>
      <c r="G17">
        <f t="shared" si="3"/>
        <v>-0.78332999999999997</v>
      </c>
      <c r="H17">
        <f t="shared" si="4"/>
        <v>-107.68231494209999</v>
      </c>
      <c r="I17">
        <v>1</v>
      </c>
      <c r="J17">
        <f t="shared" si="5"/>
        <v>-1.9843686991286782</v>
      </c>
      <c r="K17">
        <f t="shared" si="6"/>
        <v>-0.43839515177521748</v>
      </c>
      <c r="L17">
        <v>1</v>
      </c>
      <c r="M17">
        <f t="shared" si="7"/>
        <v>0.3770038936084662</v>
      </c>
      <c r="N17">
        <f t="shared" si="13"/>
        <v>1.1478525394999998E-2</v>
      </c>
      <c r="O17">
        <f t="shared" si="11"/>
        <v>7.2074142090999991E-3</v>
      </c>
      <c r="P17">
        <f t="shared" si="12"/>
        <v>4.2705318562651293E-2</v>
      </c>
      <c r="V17">
        <v>-4.7</v>
      </c>
      <c r="W17">
        <f t="shared" si="9"/>
        <v>-0.24776700000000002</v>
      </c>
      <c r="Y17">
        <v>0.13</v>
      </c>
      <c r="Z17">
        <f t="shared" si="10"/>
        <v>1.5781571000000003</v>
      </c>
    </row>
    <row r="18" spans="1:26" x14ac:dyDescent="0.3">
      <c r="A18">
        <v>0.73876445000000002</v>
      </c>
      <c r="B18">
        <v>0.77802000000000004</v>
      </c>
      <c r="C18">
        <f t="shared" si="1"/>
        <v>0.57477351738900007</v>
      </c>
      <c r="D18">
        <v>1.67E-2</v>
      </c>
      <c r="E18">
        <v>1.0486000000000001E-2</v>
      </c>
      <c r="F18">
        <f t="shared" si="2"/>
        <v>147.75289000000001</v>
      </c>
      <c r="G18">
        <f t="shared" si="3"/>
        <v>-0.77802000000000004</v>
      </c>
      <c r="H18">
        <f t="shared" si="4"/>
        <v>-114.95470347780001</v>
      </c>
      <c r="I18">
        <v>1</v>
      </c>
      <c r="J18">
        <f t="shared" si="5"/>
        <v>-1.9122140628195432</v>
      </c>
      <c r="K18">
        <f t="shared" si="6"/>
        <v>-0.44370515177521741</v>
      </c>
      <c r="L18">
        <v>1</v>
      </c>
      <c r="M18">
        <f t="shared" si="7"/>
        <v>0.38043773275041798</v>
      </c>
      <c r="N18">
        <f t="shared" si="13"/>
        <v>1.2337366315000001E-2</v>
      </c>
      <c r="O18">
        <f t="shared" si="11"/>
        <v>7.7466840227000009E-3</v>
      </c>
      <c r="P18">
        <f t="shared" si="12"/>
        <v>4.3183368687099433E-2</v>
      </c>
      <c r="V18">
        <v>-4.5999999999999996</v>
      </c>
      <c r="W18">
        <f t="shared" si="9"/>
        <v>-0.25252600000000003</v>
      </c>
      <c r="Y18">
        <v>0.14000000000000001</v>
      </c>
      <c r="Z18">
        <f t="shared" si="10"/>
        <v>1.7455038000000003</v>
      </c>
    </row>
    <row r="19" spans="1:26" x14ac:dyDescent="0.3">
      <c r="A19">
        <v>0.78917360000000003</v>
      </c>
      <c r="B19">
        <v>0.77309000000000005</v>
      </c>
      <c r="C19">
        <f t="shared" si="1"/>
        <v>0.61010221842400003</v>
      </c>
      <c r="D19">
        <v>1.67E-2</v>
      </c>
      <c r="E19">
        <v>1.0486000000000001E-2</v>
      </c>
      <c r="F19">
        <f t="shared" si="2"/>
        <v>157.83472</v>
      </c>
      <c r="G19">
        <f t="shared" si="3"/>
        <v>-0.77309000000000005</v>
      </c>
      <c r="H19">
        <f t="shared" si="4"/>
        <v>-122.0204436848</v>
      </c>
      <c r="I19">
        <v>1</v>
      </c>
      <c r="J19">
        <f t="shared" si="5"/>
        <v>-1.8462068694238476</v>
      </c>
      <c r="K19">
        <f t="shared" si="6"/>
        <v>-0.4486351517752174</v>
      </c>
      <c r="L19">
        <v>1</v>
      </c>
      <c r="M19">
        <f t="shared" si="7"/>
        <v>0.38357901508411912</v>
      </c>
      <c r="N19">
        <f t="shared" si="13"/>
        <v>1.317919912E-2</v>
      </c>
      <c r="O19">
        <f t="shared" si="11"/>
        <v>8.2752743696000008E-3</v>
      </c>
      <c r="P19">
        <f t="shared" si="12"/>
        <v>4.3601663201498275E-2</v>
      </c>
      <c r="V19">
        <v>-4.5000000000000098</v>
      </c>
      <c r="W19">
        <f t="shared" si="9"/>
        <v>-0.25728499999999954</v>
      </c>
      <c r="Y19">
        <v>0.15</v>
      </c>
      <c r="Z19">
        <f t="shared" si="10"/>
        <v>1.9128505000000002</v>
      </c>
    </row>
    <row r="20" spans="1:26" x14ac:dyDescent="0.3">
      <c r="A20">
        <v>0.83958270000000002</v>
      </c>
      <c r="B20">
        <v>0.76849000000000001</v>
      </c>
      <c r="C20">
        <f t="shared" si="1"/>
        <v>0.64521090912300005</v>
      </c>
      <c r="D20">
        <v>1.67E-2</v>
      </c>
      <c r="E20">
        <v>1.0486000000000001E-2</v>
      </c>
      <c r="F20">
        <f t="shared" si="2"/>
        <v>167.91654</v>
      </c>
      <c r="G20">
        <f t="shared" si="3"/>
        <v>-0.76849000000000001</v>
      </c>
      <c r="H20">
        <f t="shared" si="4"/>
        <v>-129.04218182460002</v>
      </c>
      <c r="I20">
        <v>1</v>
      </c>
      <c r="J20">
        <f t="shared" si="5"/>
        <v>-1.7842882087320702</v>
      </c>
      <c r="K20">
        <f t="shared" si="6"/>
        <v>-0.45323515177521745</v>
      </c>
      <c r="L20">
        <v>1</v>
      </c>
      <c r="M20">
        <f t="shared" si="7"/>
        <v>0.38652572414644082</v>
      </c>
      <c r="N20">
        <f t="shared" si="13"/>
        <v>1.402103109E-2</v>
      </c>
      <c r="O20">
        <f t="shared" si="11"/>
        <v>8.8038641922000005E-3</v>
      </c>
      <c r="P20">
        <f t="shared" si="12"/>
        <v>4.3884532346576632E-2</v>
      </c>
      <c r="V20">
        <v>-4.4000000000000101</v>
      </c>
      <c r="W20">
        <f t="shared" si="9"/>
        <v>-0.26204399999999956</v>
      </c>
      <c r="Y20">
        <v>0.16</v>
      </c>
      <c r="Z20">
        <f t="shared" si="10"/>
        <v>2.0801972000000002</v>
      </c>
    </row>
    <row r="21" spans="1:26" x14ac:dyDescent="0.3">
      <c r="A21">
        <v>0.89253780000000005</v>
      </c>
      <c r="B21">
        <v>0.76476999999999995</v>
      </c>
      <c r="C21">
        <f t="shared" si="1"/>
        <v>0.68258613330600004</v>
      </c>
      <c r="D21">
        <v>1.67E-2</v>
      </c>
      <c r="E21">
        <v>1.0486000000000001E-2</v>
      </c>
      <c r="F21">
        <f t="shared" si="2"/>
        <v>178.50756000000001</v>
      </c>
      <c r="G21">
        <f t="shared" si="3"/>
        <v>-0.76476999999999995</v>
      </c>
      <c r="H21">
        <f t="shared" si="4"/>
        <v>-136.5172266612</v>
      </c>
      <c r="I21">
        <v>1</v>
      </c>
      <c r="J21">
        <f t="shared" si="5"/>
        <v>-1.7231243257181272</v>
      </c>
      <c r="K21">
        <f t="shared" si="6"/>
        <v>-0.45695515177521751</v>
      </c>
      <c r="L21">
        <v>1</v>
      </c>
      <c r="M21">
        <f t="shared" si="7"/>
        <v>0.38943651333907436</v>
      </c>
      <c r="N21">
        <f t="shared" si="13"/>
        <v>1.4905381260000001E-2</v>
      </c>
      <c r="O21">
        <f t="shared" si="11"/>
        <v>9.3591513708000014E-3</v>
      </c>
      <c r="P21">
        <f t="shared" si="12"/>
        <v>4.325410580534314E-2</v>
      </c>
      <c r="V21">
        <v>-4.3000000000000096</v>
      </c>
      <c r="W21">
        <f t="shared" si="9"/>
        <v>-0.26680299999999957</v>
      </c>
      <c r="Y21">
        <v>0.17</v>
      </c>
      <c r="Z21">
        <f t="shared" si="10"/>
        <v>2.2475439000000006</v>
      </c>
    </row>
    <row r="22" spans="1:26" x14ac:dyDescent="0.3">
      <c r="A22">
        <v>0.94396524999999998</v>
      </c>
      <c r="B22">
        <v>0.76012999999999997</v>
      </c>
      <c r="C22">
        <f t="shared" si="1"/>
        <v>0.71753630548249991</v>
      </c>
      <c r="D22">
        <v>1.67E-2</v>
      </c>
      <c r="E22">
        <v>1.0486000000000001E-2</v>
      </c>
      <c r="F22">
        <f t="shared" si="2"/>
        <v>188.79304999999999</v>
      </c>
      <c r="G22">
        <f t="shared" si="3"/>
        <v>-0.76012999999999997</v>
      </c>
      <c r="H22">
        <f t="shared" si="4"/>
        <v>-143.50726109649997</v>
      </c>
      <c r="I22">
        <v>1</v>
      </c>
      <c r="J22">
        <f t="shared" si="5"/>
        <v>-1.6671038373889724</v>
      </c>
      <c r="K22">
        <f t="shared" si="6"/>
        <v>-0.46159515177521748</v>
      </c>
      <c r="L22">
        <v>1</v>
      </c>
      <c r="M22">
        <f t="shared" si="7"/>
        <v>0.39210252837865883</v>
      </c>
      <c r="N22">
        <f t="shared" si="13"/>
        <v>1.5764219675E-2</v>
      </c>
      <c r="O22">
        <f t="shared" si="11"/>
        <v>9.8984196115000003E-3</v>
      </c>
      <c r="P22">
        <f t="shared" si="12"/>
        <v>4.3829984110058652E-2</v>
      </c>
      <c r="V22">
        <v>-4.2000000000000099</v>
      </c>
      <c r="W22">
        <f t="shared" si="9"/>
        <v>-0.27156199999999953</v>
      </c>
      <c r="Y22">
        <v>0.18</v>
      </c>
      <c r="Z22">
        <f t="shared" si="10"/>
        <v>2.4148906000000001</v>
      </c>
    </row>
    <row r="23" spans="1:26" x14ac:dyDescent="0.3">
      <c r="A23">
        <v>0.99692035000000001</v>
      </c>
      <c r="B23">
        <v>0.75636999999999999</v>
      </c>
      <c r="C23">
        <f t="shared" si="1"/>
        <v>0.75404064512949998</v>
      </c>
      <c r="D23">
        <v>1.67E-2</v>
      </c>
      <c r="E23">
        <v>1.0486000000000001E-2</v>
      </c>
      <c r="F23">
        <f t="shared" si="2"/>
        <v>199.38407000000001</v>
      </c>
      <c r="G23">
        <f t="shared" si="3"/>
        <v>-0.75636999999999999</v>
      </c>
      <c r="H23">
        <f t="shared" si="4"/>
        <v>-150.8081290259</v>
      </c>
      <c r="I23">
        <v>1</v>
      </c>
      <c r="J23">
        <f t="shared" si="5"/>
        <v>-1.6125223143147558</v>
      </c>
      <c r="K23">
        <f t="shared" si="6"/>
        <v>-0.46535515177521747</v>
      </c>
      <c r="L23">
        <v>1</v>
      </c>
      <c r="M23">
        <f t="shared" si="7"/>
        <v>0.39470006306176081</v>
      </c>
      <c r="N23">
        <f t="shared" si="13"/>
        <v>1.6648569844999999E-2</v>
      </c>
      <c r="O23">
        <f t="shared" si="11"/>
        <v>1.0453706790100001E-2</v>
      </c>
      <c r="P23">
        <f t="shared" si="12"/>
        <v>4.3552812078356658E-2</v>
      </c>
      <c r="V23">
        <v>-4.1000000000000103</v>
      </c>
      <c r="W23">
        <f t="shared" si="9"/>
        <v>-0.27632099999999954</v>
      </c>
      <c r="Y23">
        <v>0.19</v>
      </c>
      <c r="Z23">
        <f t="shared" si="10"/>
        <v>2.5822373000000001</v>
      </c>
    </row>
    <row r="24" spans="1:26" x14ac:dyDescent="0.3">
      <c r="A24">
        <v>1.0478387</v>
      </c>
      <c r="B24">
        <v>0.75182000000000004</v>
      </c>
      <c r="C24">
        <f t="shared" si="1"/>
        <v>0.78778609143400002</v>
      </c>
      <c r="D24">
        <v>1.67E-2</v>
      </c>
      <c r="E24">
        <v>1.0486000000000001E-2</v>
      </c>
      <c r="F24">
        <f t="shared" si="2"/>
        <v>209.56774000000001</v>
      </c>
      <c r="G24">
        <f t="shared" si="3"/>
        <v>-0.75182000000000004</v>
      </c>
      <c r="H24">
        <f t="shared" si="4"/>
        <v>-157.55721828680001</v>
      </c>
      <c r="I24">
        <v>1</v>
      </c>
      <c r="J24">
        <f t="shared" si="5"/>
        <v>-1.5627082505946908</v>
      </c>
      <c r="K24">
        <f t="shared" si="6"/>
        <v>-0.46990515177521741</v>
      </c>
      <c r="L24">
        <v>1</v>
      </c>
      <c r="M24">
        <f t="shared" si="7"/>
        <v>0.39707071435419872</v>
      </c>
      <c r="N24">
        <f t="shared" si="13"/>
        <v>1.7498906290000001E-2</v>
      </c>
      <c r="O24">
        <f t="shared" si="11"/>
        <v>1.0987636608200001E-2</v>
      </c>
      <c r="P24">
        <f t="shared" si="12"/>
        <v>4.434789452281869E-2</v>
      </c>
      <c r="V24">
        <v>-4.0000000000000098</v>
      </c>
      <c r="W24">
        <f t="shared" si="9"/>
        <v>-0.28107999999999955</v>
      </c>
      <c r="Y24">
        <v>0.2</v>
      </c>
      <c r="Z24">
        <f t="shared" si="10"/>
        <v>2.7495840000000005</v>
      </c>
    </row>
    <row r="25" spans="1:26" x14ac:dyDescent="0.3">
      <c r="A25">
        <v>1.0987571</v>
      </c>
      <c r="B25">
        <v>0.74790999999999996</v>
      </c>
      <c r="C25">
        <f t="shared" si="1"/>
        <v>0.82177142266100001</v>
      </c>
      <c r="D25">
        <v>1.67E-2</v>
      </c>
      <c r="E25">
        <v>1.0486000000000001E-2</v>
      </c>
      <c r="F25">
        <f t="shared" si="2"/>
        <v>219.75142</v>
      </c>
      <c r="G25">
        <f t="shared" si="3"/>
        <v>-0.74790999999999996</v>
      </c>
      <c r="H25">
        <f t="shared" si="4"/>
        <v>-164.35428453220001</v>
      </c>
      <c r="I25">
        <v>1</v>
      </c>
      <c r="J25">
        <f t="shared" si="5"/>
        <v>-1.515258280549219</v>
      </c>
      <c r="K25">
        <f t="shared" si="6"/>
        <v>-0.47381515177521749</v>
      </c>
      <c r="L25">
        <v>1</v>
      </c>
      <c r="M25">
        <f t="shared" si="7"/>
        <v>0.39932885842866273</v>
      </c>
      <c r="N25">
        <f t="shared" si="13"/>
        <v>1.834924357E-2</v>
      </c>
      <c r="O25">
        <f t="shared" si="11"/>
        <v>1.15215669506E-2</v>
      </c>
      <c r="P25">
        <f t="shared" si="12"/>
        <v>4.4615482825954768E-2</v>
      </c>
      <c r="V25">
        <v>-3.9000000000000101</v>
      </c>
      <c r="W25">
        <f t="shared" si="9"/>
        <v>-0.28583899999999951</v>
      </c>
      <c r="Y25">
        <v>0.21</v>
      </c>
      <c r="Z25">
        <f t="shared" si="10"/>
        <v>2.9169307</v>
      </c>
    </row>
    <row r="26" spans="1:26" x14ac:dyDescent="0.3">
      <c r="A26">
        <v>1.1522213000000001</v>
      </c>
      <c r="B26">
        <v>0.74419000000000002</v>
      </c>
      <c r="C26">
        <f t="shared" si="1"/>
        <v>0.85747156924700008</v>
      </c>
      <c r="D26">
        <v>1.67E-2</v>
      </c>
      <c r="E26">
        <v>1.0486000000000001E-2</v>
      </c>
      <c r="F26">
        <f t="shared" si="2"/>
        <v>230.44426000000001</v>
      </c>
      <c r="G26">
        <f t="shared" si="3"/>
        <v>-0.74419000000000002</v>
      </c>
      <c r="H26">
        <f t="shared" si="4"/>
        <v>-171.49431384940002</v>
      </c>
      <c r="I26">
        <v>1</v>
      </c>
      <c r="J26">
        <f t="shared" si="5"/>
        <v>-1.467746267914932</v>
      </c>
      <c r="K26">
        <f t="shared" si="6"/>
        <v>-0.47753515177521744</v>
      </c>
      <c r="L26">
        <v>1</v>
      </c>
      <c r="M26">
        <f t="shared" si="7"/>
        <v>0.4015899551099284</v>
      </c>
      <c r="N26">
        <f t="shared" si="13"/>
        <v>1.924209571E-2</v>
      </c>
      <c r="O26">
        <f t="shared" si="11"/>
        <v>1.2082192551800002E-2</v>
      </c>
      <c r="P26">
        <f t="shared" si="12"/>
        <v>4.4620908403489035E-2</v>
      </c>
      <c r="V26">
        <v>-3.80000000000001</v>
      </c>
      <c r="W26">
        <f t="shared" si="9"/>
        <v>-0.29059799999999958</v>
      </c>
      <c r="Y26">
        <v>0.22</v>
      </c>
      <c r="Z26">
        <f t="shared" si="10"/>
        <v>3.0842774000000004</v>
      </c>
    </row>
    <row r="27" spans="1:26" x14ac:dyDescent="0.3">
      <c r="A27">
        <v>1.2031395999999999</v>
      </c>
      <c r="B27">
        <v>0.74012</v>
      </c>
      <c r="C27">
        <f t="shared" si="1"/>
        <v>0.89046768075199989</v>
      </c>
      <c r="D27">
        <v>1.67E-2</v>
      </c>
      <c r="E27">
        <v>1.0486000000000001E-2</v>
      </c>
      <c r="F27">
        <f t="shared" si="2"/>
        <v>240.62791999999996</v>
      </c>
      <c r="G27">
        <f t="shared" si="3"/>
        <v>-0.74012</v>
      </c>
      <c r="H27">
        <f t="shared" si="4"/>
        <v>-178.09353615039998</v>
      </c>
      <c r="I27">
        <v>1</v>
      </c>
      <c r="J27">
        <f t="shared" si="5"/>
        <v>-1.4245034389487827</v>
      </c>
      <c r="K27">
        <f t="shared" si="6"/>
        <v>-0.48160515177521745</v>
      </c>
      <c r="L27">
        <v>1</v>
      </c>
      <c r="M27">
        <f t="shared" si="7"/>
        <v>0.40364788134042745</v>
      </c>
      <c r="N27">
        <f t="shared" si="13"/>
        <v>2.0092431319999996E-2</v>
      </c>
      <c r="O27">
        <f t="shared" si="11"/>
        <v>1.2616121845599999E-2</v>
      </c>
      <c r="P27">
        <f t="shared" si="12"/>
        <v>4.5248717269190011E-2</v>
      </c>
      <c r="V27">
        <v>-3.7000000000000099</v>
      </c>
      <c r="W27">
        <f t="shared" si="9"/>
        <v>-0.29535699999999954</v>
      </c>
      <c r="Y27">
        <v>0.23</v>
      </c>
      <c r="Z27">
        <f t="shared" si="10"/>
        <v>3.2516241000000004</v>
      </c>
    </row>
    <row r="28" spans="1:26" x14ac:dyDescent="0.3">
      <c r="A28">
        <v>1.2535487999999999</v>
      </c>
      <c r="B28">
        <v>0.73663999999999996</v>
      </c>
      <c r="C28">
        <f t="shared" si="1"/>
        <v>0.92341418803199993</v>
      </c>
      <c r="D28">
        <v>1.67E-2</v>
      </c>
      <c r="E28">
        <v>1.0486000000000001E-2</v>
      </c>
      <c r="F28">
        <f t="shared" si="2"/>
        <v>250.70975999999999</v>
      </c>
      <c r="G28">
        <f t="shared" si="3"/>
        <v>-0.73663999999999996</v>
      </c>
      <c r="H28">
        <f t="shared" si="4"/>
        <v>-184.68283760639997</v>
      </c>
      <c r="I28">
        <v>1</v>
      </c>
      <c r="J28">
        <f t="shared" si="5"/>
        <v>-1.3834593435824618</v>
      </c>
      <c r="K28">
        <f t="shared" si="6"/>
        <v>-0.48508515177521749</v>
      </c>
      <c r="L28">
        <v>1</v>
      </c>
      <c r="M28">
        <f t="shared" si="7"/>
        <v>0.4056011698389107</v>
      </c>
      <c r="N28">
        <f t="shared" si="13"/>
        <v>2.0934264959999997E-2</v>
      </c>
      <c r="O28">
        <f t="shared" si="11"/>
        <v>1.3144712716799999E-2</v>
      </c>
      <c r="P28">
        <f t="shared" si="12"/>
        <v>4.5405004259506797E-2</v>
      </c>
      <c r="V28">
        <v>-3.6000000000000099</v>
      </c>
      <c r="W28">
        <f t="shared" si="9"/>
        <v>-0.30011599999999955</v>
      </c>
      <c r="Y28">
        <v>0.24</v>
      </c>
      <c r="Z28">
        <f t="shared" si="10"/>
        <v>3.4189707999999999</v>
      </c>
    </row>
    <row r="29" spans="1:26" x14ac:dyDescent="0.3">
      <c r="A29">
        <v>1.3049762</v>
      </c>
      <c r="B29">
        <v>0.73253999999999997</v>
      </c>
      <c r="C29">
        <f t="shared" si="1"/>
        <v>0.95594726554800002</v>
      </c>
      <c r="D29">
        <v>1.67E-2</v>
      </c>
      <c r="E29">
        <v>1.0486000000000001E-2</v>
      </c>
      <c r="F29">
        <f t="shared" si="2"/>
        <v>260.99524000000002</v>
      </c>
      <c r="G29">
        <f t="shared" si="3"/>
        <v>-0.73253999999999997</v>
      </c>
      <c r="H29">
        <f t="shared" si="4"/>
        <v>-191.18945310960001</v>
      </c>
      <c r="I29">
        <v>1</v>
      </c>
      <c r="J29">
        <f t="shared" si="5"/>
        <v>-1.3432531093736424</v>
      </c>
      <c r="K29">
        <f t="shared" si="6"/>
        <v>-0.48918515177521749</v>
      </c>
      <c r="L29">
        <v>1</v>
      </c>
      <c r="M29">
        <f t="shared" si="7"/>
        <v>0.40751458452490841</v>
      </c>
      <c r="N29">
        <f t="shared" si="13"/>
        <v>2.1793102540000001E-2</v>
      </c>
      <c r="O29">
        <f t="shared" si="11"/>
        <v>1.36839804332E-2</v>
      </c>
      <c r="P29">
        <f t="shared" si="12"/>
        <v>4.6193484277109079E-2</v>
      </c>
      <c r="V29">
        <v>-3.5000000000000102</v>
      </c>
      <c r="W29">
        <f t="shared" si="9"/>
        <v>-0.30487499999999956</v>
      </c>
      <c r="Y29">
        <v>0.25</v>
      </c>
      <c r="Z29">
        <f t="shared" si="10"/>
        <v>3.5863175000000003</v>
      </c>
    </row>
    <row r="30" spans="1:26" x14ac:dyDescent="0.3">
      <c r="A30">
        <v>1.3579314</v>
      </c>
      <c r="B30">
        <v>0.72901000000000005</v>
      </c>
      <c r="C30">
        <f t="shared" si="1"/>
        <v>0.98994556991400007</v>
      </c>
      <c r="D30">
        <v>1.67E-2</v>
      </c>
      <c r="E30">
        <v>1.0486000000000001E-2</v>
      </c>
      <c r="F30">
        <f t="shared" si="2"/>
        <v>271.58627999999999</v>
      </c>
      <c r="G30">
        <f t="shared" si="3"/>
        <v>-0.72901000000000005</v>
      </c>
      <c r="H30">
        <f t="shared" si="4"/>
        <v>-197.98911398280001</v>
      </c>
      <c r="I30">
        <v>1</v>
      </c>
      <c r="J30">
        <f t="shared" si="5"/>
        <v>-1.3034754000374624</v>
      </c>
      <c r="K30">
        <f t="shared" si="6"/>
        <v>-0.49271515177521741</v>
      </c>
      <c r="L30">
        <v>1</v>
      </c>
      <c r="M30">
        <f t="shared" si="7"/>
        <v>0.40940760571221718</v>
      </c>
      <c r="N30">
        <f t="shared" si="13"/>
        <v>2.267745438E-2</v>
      </c>
      <c r="O30">
        <f t="shared" si="11"/>
        <v>1.4239268660400001E-2</v>
      </c>
      <c r="P30">
        <f t="shared" si="12"/>
        <v>4.6390823022600225E-2</v>
      </c>
      <c r="V30">
        <v>-3.4000000000000101</v>
      </c>
      <c r="W30">
        <f t="shared" si="9"/>
        <v>-0.30963399999999952</v>
      </c>
      <c r="Y30">
        <v>0.26</v>
      </c>
      <c r="Z30">
        <f t="shared" si="10"/>
        <v>3.7536642000000007</v>
      </c>
    </row>
    <row r="31" spans="1:26" x14ac:dyDescent="0.3">
      <c r="A31">
        <v>1.4093587999999999</v>
      </c>
      <c r="B31">
        <v>0.72528000000000004</v>
      </c>
      <c r="C31">
        <f t="shared" si="1"/>
        <v>1.022179750464</v>
      </c>
      <c r="D31">
        <v>1.67E-2</v>
      </c>
      <c r="E31">
        <v>1.0486000000000001E-2</v>
      </c>
      <c r="F31">
        <f t="shared" si="2"/>
        <v>281.87175999999999</v>
      </c>
      <c r="G31">
        <f t="shared" si="3"/>
        <v>-0.72528000000000004</v>
      </c>
      <c r="H31">
        <f t="shared" si="4"/>
        <v>-204.4359500928</v>
      </c>
      <c r="I31">
        <v>1</v>
      </c>
      <c r="J31">
        <f t="shared" si="5"/>
        <v>-1.2663030632480188</v>
      </c>
      <c r="K31">
        <f t="shared" si="6"/>
        <v>-0.49644515177521742</v>
      </c>
      <c r="L31">
        <v>1</v>
      </c>
      <c r="M31">
        <f t="shared" si="7"/>
        <v>0.41117663722002684</v>
      </c>
      <c r="N31">
        <f t="shared" si="13"/>
        <v>2.3536291959999997E-2</v>
      </c>
      <c r="O31">
        <f t="shared" si="11"/>
        <v>1.4778536376799999E-2</v>
      </c>
      <c r="P31">
        <f t="shared" si="12"/>
        <v>4.6953686218390578E-2</v>
      </c>
      <c r="V31">
        <v>-3.30000000000001</v>
      </c>
      <c r="W31">
        <f t="shared" si="9"/>
        <v>-0.31439299999999953</v>
      </c>
      <c r="Y31">
        <v>0.27</v>
      </c>
      <c r="Z31">
        <f t="shared" si="10"/>
        <v>3.9210109000000002</v>
      </c>
    </row>
    <row r="32" spans="1:26" x14ac:dyDescent="0.3">
      <c r="A32">
        <v>1.4602771999999999</v>
      </c>
      <c r="B32">
        <v>0.72192000000000001</v>
      </c>
      <c r="C32">
        <f t="shared" si="1"/>
        <v>1.0542033162239999</v>
      </c>
      <c r="D32">
        <v>1.67E-2</v>
      </c>
      <c r="E32">
        <v>1.0486000000000001E-2</v>
      </c>
      <c r="F32">
        <f t="shared" si="2"/>
        <v>292.05543999999998</v>
      </c>
      <c r="G32">
        <f t="shared" si="3"/>
        <v>-0.72192000000000001</v>
      </c>
      <c r="H32">
        <f t="shared" si="4"/>
        <v>-210.84066324479997</v>
      </c>
      <c r="I32">
        <v>1</v>
      </c>
      <c r="J32">
        <f t="shared" si="5"/>
        <v>-1.2308116317218576</v>
      </c>
      <c r="K32">
        <f t="shared" si="6"/>
        <v>-0.49980515177521745</v>
      </c>
      <c r="L32">
        <v>1</v>
      </c>
      <c r="M32">
        <f t="shared" si="7"/>
        <v>0.4128656744463568</v>
      </c>
      <c r="N32">
        <f t="shared" si="13"/>
        <v>2.4386629239999999E-2</v>
      </c>
      <c r="O32">
        <f t="shared" si="11"/>
        <v>1.53124667192E-2</v>
      </c>
      <c r="P32">
        <f t="shared" si="12"/>
        <v>4.7240381369660647E-2</v>
      </c>
      <c r="V32">
        <v>-3.2000000000000099</v>
      </c>
      <c r="W32">
        <f t="shared" si="9"/>
        <v>-0.31915199999999955</v>
      </c>
    </row>
    <row r="33" spans="1:23" x14ac:dyDescent="0.3">
      <c r="A33">
        <v>1.5152690000000002</v>
      </c>
      <c r="B33">
        <v>0.71797</v>
      </c>
      <c r="C33">
        <f t="shared" si="1"/>
        <v>1.0879176839300002</v>
      </c>
      <c r="D33">
        <v>1.67E-2</v>
      </c>
      <c r="E33">
        <v>1.0486000000000001E-2</v>
      </c>
      <c r="F33">
        <f t="shared" si="2"/>
        <v>303.05380000000002</v>
      </c>
      <c r="G33">
        <f t="shared" si="3"/>
        <v>-0.71797</v>
      </c>
      <c r="H33">
        <f t="shared" si="4"/>
        <v>-217.58353678600005</v>
      </c>
      <c r="I33">
        <v>1</v>
      </c>
      <c r="J33">
        <f t="shared" si="5"/>
        <v>-1.1938449314785049</v>
      </c>
      <c r="K33">
        <f t="shared" si="6"/>
        <v>-0.50375515177521746</v>
      </c>
      <c r="L33">
        <v>1</v>
      </c>
      <c r="M33">
        <f t="shared" si="7"/>
        <v>0.41462491971093796</v>
      </c>
      <c r="N33">
        <f t="shared" si="13"/>
        <v>2.5304992300000002E-2</v>
      </c>
      <c r="O33">
        <f t="shared" si="11"/>
        <v>1.5889110734000005E-2</v>
      </c>
      <c r="P33">
        <f t="shared" si="12"/>
        <v>4.7936129030279502E-2</v>
      </c>
      <c r="V33">
        <v>-3.1000000000000099</v>
      </c>
      <c r="W33">
        <f t="shared" si="9"/>
        <v>-0.32391099999999956</v>
      </c>
    </row>
    <row r="34" spans="1:23" x14ac:dyDescent="0.3">
      <c r="A34">
        <v>1.5677148000000001</v>
      </c>
      <c r="B34">
        <v>0.71443999999999996</v>
      </c>
      <c r="C34">
        <f t="shared" si="1"/>
        <v>1.1200381617120001</v>
      </c>
      <c r="D34">
        <v>1.67E-2</v>
      </c>
      <c r="E34">
        <v>1.0486000000000001E-2</v>
      </c>
      <c r="F34">
        <f t="shared" si="2"/>
        <v>313.54295999999999</v>
      </c>
      <c r="G34">
        <f t="shared" si="3"/>
        <v>-0.71443999999999996</v>
      </c>
      <c r="H34">
        <f t="shared" si="4"/>
        <v>-224.00763234240003</v>
      </c>
      <c r="I34">
        <v>1</v>
      </c>
      <c r="J34">
        <f t="shared" si="5"/>
        <v>-1.1598188948045702</v>
      </c>
      <c r="K34">
        <f t="shared" si="6"/>
        <v>-0.50728515177521749</v>
      </c>
      <c r="L34">
        <v>1</v>
      </c>
      <c r="M34">
        <f t="shared" si="7"/>
        <v>0.41624421879625051</v>
      </c>
      <c r="N34">
        <f t="shared" si="13"/>
        <v>2.6180837160000001E-2</v>
      </c>
      <c r="O34">
        <f t="shared" si="11"/>
        <v>1.6439057392800001E-2</v>
      </c>
      <c r="P34">
        <f t="shared" si="12"/>
        <v>4.8421038426166983E-2</v>
      </c>
      <c r="V34">
        <v>-3.0000000000000102</v>
      </c>
      <c r="W34">
        <f t="shared" si="9"/>
        <v>-0.32866999999999957</v>
      </c>
    </row>
    <row r="35" spans="1:23" x14ac:dyDescent="0.3">
      <c r="A35">
        <v>1.6201605000000001</v>
      </c>
      <c r="B35">
        <v>0.71089000000000002</v>
      </c>
      <c r="C35">
        <f t="shared" si="1"/>
        <v>1.1517558978450002</v>
      </c>
      <c r="D35">
        <v>1.67E-2</v>
      </c>
      <c r="E35">
        <v>1.0486000000000001E-2</v>
      </c>
      <c r="F35">
        <f t="shared" si="2"/>
        <v>324.03210000000001</v>
      </c>
      <c r="G35">
        <f t="shared" si="3"/>
        <v>-0.71089000000000002</v>
      </c>
      <c r="H35">
        <f t="shared" si="4"/>
        <v>-230.35117956900004</v>
      </c>
      <c r="I35">
        <v>1</v>
      </c>
      <c r="J35">
        <f t="shared" si="5"/>
        <v>-1.1269126940232457</v>
      </c>
      <c r="K35">
        <f t="shared" si="6"/>
        <v>-0.51083515177521743</v>
      </c>
      <c r="L35">
        <v>1</v>
      </c>
      <c r="M35">
        <f t="shared" si="7"/>
        <v>0.41781022489143377</v>
      </c>
      <c r="N35">
        <f t="shared" si="13"/>
        <v>2.7056680350000001E-2</v>
      </c>
      <c r="O35">
        <f t="shared" si="11"/>
        <v>1.6989003003000002E-2</v>
      </c>
      <c r="P35">
        <f t="shared" si="12"/>
        <v>4.8979243530783659E-2</v>
      </c>
      <c r="V35">
        <v>-2.9000000000000101</v>
      </c>
      <c r="W35">
        <f t="shared" si="9"/>
        <v>-0.33342899999999953</v>
      </c>
    </row>
    <row r="36" spans="1:23" x14ac:dyDescent="0.3">
      <c r="A36">
        <v>1.671079</v>
      </c>
      <c r="B36">
        <v>0.70718000000000003</v>
      </c>
      <c r="C36">
        <f t="shared" si="1"/>
        <v>1.1817536472200001</v>
      </c>
      <c r="D36">
        <v>1.67E-2</v>
      </c>
      <c r="E36">
        <v>1.0486000000000001E-2</v>
      </c>
      <c r="F36">
        <f t="shared" si="2"/>
        <v>334.2158</v>
      </c>
      <c r="G36">
        <f t="shared" si="3"/>
        <v>-0.70718000000000003</v>
      </c>
      <c r="H36">
        <f t="shared" si="4"/>
        <v>-236.35072944400002</v>
      </c>
      <c r="I36">
        <v>1</v>
      </c>
      <c r="J36">
        <f t="shared" si="5"/>
        <v>-1.0959683868587766</v>
      </c>
      <c r="K36">
        <f t="shared" si="6"/>
        <v>-0.51454515177521742</v>
      </c>
      <c r="L36">
        <v>1</v>
      </c>
      <c r="M36">
        <f t="shared" si="7"/>
        <v>0.41928286446939084</v>
      </c>
      <c r="N36">
        <f t="shared" si="13"/>
        <v>2.7907019299999999E-2</v>
      </c>
      <c r="O36">
        <f t="shared" si="11"/>
        <v>1.7522934394E-2</v>
      </c>
      <c r="P36">
        <f t="shared" si="12"/>
        <v>4.9832333611826582E-2</v>
      </c>
      <c r="V36">
        <v>-2.80000000000001</v>
      </c>
      <c r="W36">
        <f t="shared" si="9"/>
        <v>-0.33818799999999954</v>
      </c>
    </row>
    <row r="37" spans="1:23" x14ac:dyDescent="0.3">
      <c r="A37">
        <v>1.7214882</v>
      </c>
      <c r="B37">
        <v>0.70413000000000003</v>
      </c>
      <c r="C37">
        <f t="shared" si="1"/>
        <v>1.2121514862660001</v>
      </c>
      <c r="D37">
        <v>1.67E-2</v>
      </c>
      <c r="E37">
        <v>1.0486000000000001E-2</v>
      </c>
      <c r="F37">
        <f t="shared" si="2"/>
        <v>344.29764</v>
      </c>
      <c r="G37">
        <f t="shared" si="3"/>
        <v>-0.70413000000000003</v>
      </c>
      <c r="H37">
        <f t="shared" si="4"/>
        <v>-242.43029725320002</v>
      </c>
      <c r="I37">
        <v>1</v>
      </c>
      <c r="J37">
        <f t="shared" si="5"/>
        <v>-1.0662487631485167</v>
      </c>
      <c r="K37">
        <f t="shared" si="6"/>
        <v>-0.51759515177521742</v>
      </c>
      <c r="L37">
        <v>1</v>
      </c>
      <c r="M37">
        <f t="shared" si="7"/>
        <v>0.42069722136176213</v>
      </c>
      <c r="N37">
        <f t="shared" si="13"/>
        <v>2.874885294E-2</v>
      </c>
      <c r="O37">
        <f t="shared" si="11"/>
        <v>1.80515252652E-2</v>
      </c>
      <c r="P37">
        <f t="shared" si="12"/>
        <v>5.0097552208255292E-2</v>
      </c>
      <c r="V37">
        <v>-2.7000000000000099</v>
      </c>
      <c r="W37">
        <f t="shared" si="9"/>
        <v>-0.34294699999999956</v>
      </c>
    </row>
    <row r="38" spans="1:23" x14ac:dyDescent="0.3">
      <c r="A38">
        <v>1.7718973</v>
      </c>
      <c r="B38">
        <v>0.70098000000000005</v>
      </c>
      <c r="C38">
        <f t="shared" si="1"/>
        <v>1.242064569354</v>
      </c>
      <c r="D38">
        <v>1.67E-2</v>
      </c>
      <c r="E38">
        <v>1.0486000000000001E-2</v>
      </c>
      <c r="F38">
        <f t="shared" si="2"/>
        <v>354.37945999999999</v>
      </c>
      <c r="G38">
        <f t="shared" si="3"/>
        <v>-0.70098000000000005</v>
      </c>
      <c r="H38">
        <f t="shared" si="4"/>
        <v>-248.4129138708</v>
      </c>
      <c r="I38">
        <v>1</v>
      </c>
      <c r="J38">
        <f t="shared" si="5"/>
        <v>-1.037387019041399</v>
      </c>
      <c r="K38">
        <f t="shared" si="6"/>
        <v>-0.52074515177521741</v>
      </c>
      <c r="L38">
        <v>1</v>
      </c>
      <c r="M38">
        <f t="shared" si="7"/>
        <v>0.42207075176381986</v>
      </c>
      <c r="N38">
        <f t="shared" si="13"/>
        <v>2.9590684909999998E-2</v>
      </c>
      <c r="O38">
        <f t="shared" si="11"/>
        <v>1.8580115087800001E-2</v>
      </c>
      <c r="P38">
        <f t="shared" si="12"/>
        <v>5.0503600013597549E-2</v>
      </c>
      <c r="V38">
        <v>-2.6000000000000099</v>
      </c>
      <c r="W38">
        <f t="shared" si="9"/>
        <v>-0.34770599999999957</v>
      </c>
    </row>
    <row r="39" spans="1:23" x14ac:dyDescent="0.3">
      <c r="A39">
        <v>1.8223064</v>
      </c>
      <c r="B39">
        <v>0.69771000000000005</v>
      </c>
      <c r="C39">
        <f t="shared" si="1"/>
        <v>1.2714413983440001</v>
      </c>
      <c r="D39">
        <v>1.67E-2</v>
      </c>
      <c r="E39">
        <v>1.0486000000000001E-2</v>
      </c>
      <c r="F39">
        <f t="shared" si="2"/>
        <v>364.46127999999999</v>
      </c>
      <c r="G39">
        <f t="shared" si="3"/>
        <v>-0.69771000000000005</v>
      </c>
      <c r="H39">
        <f t="shared" si="4"/>
        <v>-254.28827966880002</v>
      </c>
      <c r="I39">
        <v>1</v>
      </c>
      <c r="J39">
        <f t="shared" si="5"/>
        <v>-1.0093349608851776</v>
      </c>
      <c r="K39">
        <f t="shared" si="6"/>
        <v>-0.5240151517752174</v>
      </c>
      <c r="L39">
        <v>1</v>
      </c>
      <c r="M39">
        <f t="shared" si="7"/>
        <v>0.42340574921147445</v>
      </c>
      <c r="N39">
        <f t="shared" si="13"/>
        <v>3.043251688E-2</v>
      </c>
      <c r="O39">
        <f t="shared" si="11"/>
        <v>1.9108704910400003E-2</v>
      </c>
      <c r="P39">
        <f t="shared" si="12"/>
        <v>5.1068180773342957E-2</v>
      </c>
      <c r="V39">
        <v>-2.5000000000000102</v>
      </c>
      <c r="W39">
        <f t="shared" si="9"/>
        <v>-0.35246499999999953</v>
      </c>
    </row>
    <row r="40" spans="1:23" x14ac:dyDescent="0.3">
      <c r="A40">
        <v>1.8752614999999999</v>
      </c>
      <c r="B40">
        <v>0.69420000000000004</v>
      </c>
      <c r="C40">
        <f t="shared" si="1"/>
        <v>1.3018065333</v>
      </c>
      <c r="D40">
        <v>1.67E-2</v>
      </c>
      <c r="E40">
        <v>1.0486000000000001E-2</v>
      </c>
      <c r="F40">
        <f t="shared" si="2"/>
        <v>375.0523</v>
      </c>
      <c r="G40">
        <f t="shared" si="3"/>
        <v>-0.69420000000000004</v>
      </c>
      <c r="H40">
        <f t="shared" si="4"/>
        <v>-260.36130665999997</v>
      </c>
      <c r="I40">
        <v>1</v>
      </c>
      <c r="J40">
        <f t="shared" si="5"/>
        <v>-0.98068979606963091</v>
      </c>
      <c r="K40">
        <f t="shared" si="6"/>
        <v>-0.52752515177521742</v>
      </c>
      <c r="L40">
        <v>1</v>
      </c>
      <c r="M40">
        <f t="shared" si="7"/>
        <v>0.42476897260504631</v>
      </c>
      <c r="N40">
        <f t="shared" si="13"/>
        <v>3.1316867049999995E-2</v>
      </c>
      <c r="O40">
        <f t="shared" si="11"/>
        <v>1.9663992089E-2</v>
      </c>
      <c r="P40">
        <f t="shared" si="12"/>
        <v>5.17753200311711E-2</v>
      </c>
      <c r="V40">
        <v>-2.4000000000000101</v>
      </c>
      <c r="W40">
        <f t="shared" si="9"/>
        <v>-0.35722399999999954</v>
      </c>
    </row>
    <row r="41" spans="1:23" x14ac:dyDescent="0.3">
      <c r="A41">
        <v>1.9256704999999998</v>
      </c>
      <c r="B41">
        <v>0.69130000000000003</v>
      </c>
      <c r="C41">
        <f t="shared" si="1"/>
        <v>1.33121601665</v>
      </c>
      <c r="D41">
        <v>1.67E-2</v>
      </c>
      <c r="E41">
        <v>1.0486000000000001E-2</v>
      </c>
      <c r="F41">
        <f t="shared" si="2"/>
        <v>385.13409999999999</v>
      </c>
      <c r="G41">
        <f t="shared" si="3"/>
        <v>-0.69130000000000003</v>
      </c>
      <c r="H41">
        <f t="shared" si="4"/>
        <v>-266.24320333000003</v>
      </c>
      <c r="I41">
        <v>1</v>
      </c>
      <c r="J41">
        <f t="shared" si="5"/>
        <v>-0.95416369365247511</v>
      </c>
      <c r="K41">
        <f t="shared" si="6"/>
        <v>-0.53042515177521743</v>
      </c>
      <c r="L41">
        <v>1</v>
      </c>
      <c r="M41">
        <f t="shared" si="7"/>
        <v>0.42603134981907875</v>
      </c>
      <c r="N41">
        <f t="shared" si="13"/>
        <v>3.2158697349999994E-2</v>
      </c>
      <c r="O41">
        <f t="shared" si="11"/>
        <v>2.0192580862999999E-2</v>
      </c>
      <c r="P41">
        <f t="shared" si="12"/>
        <v>5.204252374313869E-2</v>
      </c>
      <c r="V41">
        <v>-2.30000000000001</v>
      </c>
      <c r="W41">
        <f t="shared" si="9"/>
        <v>-0.36198299999999956</v>
      </c>
    </row>
    <row r="42" spans="1:23" x14ac:dyDescent="0.3">
      <c r="A42">
        <v>1.9760796999999999</v>
      </c>
      <c r="B42">
        <v>0.68794</v>
      </c>
      <c r="C42">
        <f t="shared" si="1"/>
        <v>1.3594242688179998</v>
      </c>
      <c r="D42">
        <v>1.67E-2</v>
      </c>
      <c r="E42">
        <v>1.0486000000000001E-2</v>
      </c>
      <c r="F42">
        <f t="shared" si="2"/>
        <v>395.21593999999999</v>
      </c>
      <c r="G42">
        <f t="shared" si="3"/>
        <v>-0.68794</v>
      </c>
      <c r="H42">
        <f t="shared" si="4"/>
        <v>-271.88485376359995</v>
      </c>
      <c r="I42">
        <v>1</v>
      </c>
      <c r="J42">
        <f t="shared" si="5"/>
        <v>-0.92832297991372137</v>
      </c>
      <c r="K42">
        <f t="shared" si="6"/>
        <v>-0.53378515177521746</v>
      </c>
      <c r="L42">
        <v>1</v>
      </c>
      <c r="M42">
        <f t="shared" si="7"/>
        <v>0.427261109385906</v>
      </c>
      <c r="N42">
        <f t="shared" si="13"/>
        <v>3.3000530989999999E-2</v>
      </c>
      <c r="O42">
        <f t="shared" si="11"/>
        <v>2.0721171734199999E-2</v>
      </c>
      <c r="P42">
        <f t="shared" si="12"/>
        <v>5.2802339665111456E-2</v>
      </c>
      <c r="V42">
        <v>-2.2000000000000099</v>
      </c>
      <c r="W42">
        <f t="shared" si="9"/>
        <v>-0.36674199999999957</v>
      </c>
    </row>
    <row r="43" spans="1:23" x14ac:dyDescent="0.3">
      <c r="A43">
        <v>2.0269982</v>
      </c>
      <c r="B43">
        <v>0.68464999999999998</v>
      </c>
      <c r="C43">
        <f t="shared" si="1"/>
        <v>1.38778431763</v>
      </c>
      <c r="D43">
        <v>1.67E-2</v>
      </c>
      <c r="E43">
        <v>1.0486000000000001E-2</v>
      </c>
      <c r="F43">
        <f t="shared" si="2"/>
        <v>405.39963999999998</v>
      </c>
      <c r="G43">
        <f t="shared" si="3"/>
        <v>-0.68464999999999998</v>
      </c>
      <c r="H43">
        <f t="shared" si="4"/>
        <v>-277.55686352599997</v>
      </c>
      <c r="I43">
        <v>1</v>
      </c>
      <c r="J43">
        <f t="shared" si="5"/>
        <v>-0.9028819329764719</v>
      </c>
      <c r="K43">
        <f t="shared" si="6"/>
        <v>-0.53707515177521747</v>
      </c>
      <c r="L43">
        <v>1</v>
      </c>
      <c r="M43">
        <f t="shared" si="7"/>
        <v>0.42847184880964972</v>
      </c>
      <c r="N43">
        <f t="shared" si="13"/>
        <v>3.385086994E-2</v>
      </c>
      <c r="O43">
        <f t="shared" si="11"/>
        <v>2.1255103125200001E-2</v>
      </c>
      <c r="P43">
        <f t="shared" si="12"/>
        <v>5.3497329900367749E-2</v>
      </c>
      <c r="V43">
        <v>-2.1000000000000099</v>
      </c>
      <c r="W43">
        <f t="shared" si="9"/>
        <v>-0.37150099999999953</v>
      </c>
    </row>
    <row r="44" spans="1:23" x14ac:dyDescent="0.3">
      <c r="A44">
        <v>2.0779165000000002</v>
      </c>
      <c r="B44">
        <v>0.68110000000000004</v>
      </c>
      <c r="C44">
        <f t="shared" si="1"/>
        <v>1.4152689281500002</v>
      </c>
      <c r="D44">
        <v>1.67E-2</v>
      </c>
      <c r="E44">
        <v>1.0486000000000001E-2</v>
      </c>
      <c r="F44">
        <f t="shared" si="2"/>
        <v>415.58330000000001</v>
      </c>
      <c r="G44">
        <f t="shared" si="3"/>
        <v>-0.68110000000000004</v>
      </c>
      <c r="H44">
        <f t="shared" si="4"/>
        <v>-283.05378563000005</v>
      </c>
      <c r="I44">
        <v>1</v>
      </c>
      <c r="J44">
        <f t="shared" si="5"/>
        <v>-0.87807220343256032</v>
      </c>
      <c r="K44">
        <f t="shared" si="6"/>
        <v>-0.54062515177521742</v>
      </c>
      <c r="L44">
        <v>1</v>
      </c>
      <c r="M44">
        <f t="shared" si="7"/>
        <v>0.42965254383864449</v>
      </c>
      <c r="N44">
        <f t="shared" si="13"/>
        <v>3.4701205550000003E-2</v>
      </c>
      <c r="O44">
        <f t="shared" si="11"/>
        <v>2.1789032419000001E-2</v>
      </c>
      <c r="P44">
        <f t="shared" si="12"/>
        <v>5.4482369967572927E-2</v>
      </c>
      <c r="V44">
        <v>-2.0000000000000102</v>
      </c>
      <c r="W44">
        <f t="shared" si="9"/>
        <v>-0.37625999999999954</v>
      </c>
    </row>
    <row r="45" spans="1:23" x14ac:dyDescent="0.3">
      <c r="A45">
        <v>2.128835</v>
      </c>
      <c r="B45">
        <v>0.67822000000000005</v>
      </c>
      <c r="C45">
        <f t="shared" si="1"/>
        <v>1.4438184737000002</v>
      </c>
      <c r="D45">
        <v>1.67E-2</v>
      </c>
      <c r="E45">
        <v>1.0486000000000001E-2</v>
      </c>
      <c r="F45">
        <f t="shared" si="2"/>
        <v>425.767</v>
      </c>
      <c r="G45">
        <f t="shared" si="3"/>
        <v>-0.67822000000000005</v>
      </c>
      <c r="H45">
        <f t="shared" si="4"/>
        <v>-288.76369474000001</v>
      </c>
      <c r="I45">
        <v>1</v>
      </c>
      <c r="J45">
        <f t="shared" si="5"/>
        <v>-0.85386303070038938</v>
      </c>
      <c r="K45">
        <f t="shared" si="6"/>
        <v>-0.54350515177521741</v>
      </c>
      <c r="L45">
        <v>1</v>
      </c>
      <c r="M45">
        <f t="shared" si="7"/>
        <v>0.43080465836896847</v>
      </c>
      <c r="N45">
        <f t="shared" si="13"/>
        <v>3.5551544499999997E-2</v>
      </c>
      <c r="O45">
        <f t="shared" si="11"/>
        <v>2.2322963810000002E-2</v>
      </c>
      <c r="P45">
        <f t="shared" si="12"/>
        <v>5.4825985096248933E-2</v>
      </c>
      <c r="V45">
        <v>-1.9000000000000099</v>
      </c>
      <c r="W45">
        <f t="shared" si="9"/>
        <v>-0.38101899999999955</v>
      </c>
    </row>
    <row r="46" spans="1:23" x14ac:dyDescent="0.3">
      <c r="A46">
        <v>2.1802625</v>
      </c>
      <c r="B46">
        <v>0.67491999999999996</v>
      </c>
      <c r="C46">
        <f t="shared" si="1"/>
        <v>1.4715027665</v>
      </c>
      <c r="D46">
        <v>1.67E-2</v>
      </c>
      <c r="E46">
        <v>1.0486000000000001E-2</v>
      </c>
      <c r="F46">
        <f t="shared" si="2"/>
        <v>436.05250000000001</v>
      </c>
      <c r="G46">
        <f t="shared" si="3"/>
        <v>-0.67491999999999996</v>
      </c>
      <c r="H46">
        <f t="shared" si="4"/>
        <v>-294.30055329999999</v>
      </c>
      <c r="I46">
        <v>1</v>
      </c>
      <c r="J46">
        <f t="shared" si="5"/>
        <v>-0.82999263003811063</v>
      </c>
      <c r="K46">
        <f t="shared" si="6"/>
        <v>-0.54680515177521749</v>
      </c>
      <c r="L46">
        <v>1</v>
      </c>
      <c r="M46">
        <f t="shared" si="7"/>
        <v>0.43194065073648635</v>
      </c>
      <c r="N46">
        <f t="shared" si="13"/>
        <v>3.6410383749999997E-2</v>
      </c>
      <c r="O46">
        <f t="shared" si="11"/>
        <v>2.2862232575000002E-2</v>
      </c>
      <c r="P46">
        <f t="shared" si="12"/>
        <v>5.5591884713731138E-2</v>
      </c>
      <c r="V46">
        <v>-1.80000000000001</v>
      </c>
      <c r="W46">
        <f t="shared" si="9"/>
        <v>-0.38577799999999957</v>
      </c>
    </row>
    <row r="47" spans="1:23" x14ac:dyDescent="0.3">
      <c r="A47">
        <v>2.2316897</v>
      </c>
      <c r="B47">
        <v>0.67181000000000002</v>
      </c>
      <c r="C47">
        <f t="shared" si="1"/>
        <v>1.4992714573570001</v>
      </c>
      <c r="D47">
        <v>1.67E-2</v>
      </c>
      <c r="E47">
        <v>1.0486000000000001E-2</v>
      </c>
      <c r="F47">
        <f t="shared" si="2"/>
        <v>446.33794</v>
      </c>
      <c r="G47">
        <f t="shared" si="3"/>
        <v>-0.67181000000000002</v>
      </c>
      <c r="H47">
        <f t="shared" si="4"/>
        <v>-299.85429147140002</v>
      </c>
      <c r="I47">
        <v>1</v>
      </c>
      <c r="J47">
        <f t="shared" si="5"/>
        <v>-0.80667890087716132</v>
      </c>
      <c r="K47">
        <f t="shared" si="6"/>
        <v>-0.54991515177521744</v>
      </c>
      <c r="L47">
        <v>1</v>
      </c>
      <c r="M47">
        <f t="shared" si="7"/>
        <v>0.43305015110725592</v>
      </c>
      <c r="N47">
        <f t="shared" si="13"/>
        <v>3.7269217989999999E-2</v>
      </c>
      <c r="O47">
        <f t="shared" si="11"/>
        <v>2.34014981942E-2</v>
      </c>
      <c r="P47">
        <f t="shared" si="12"/>
        <v>5.6194284483761528E-2</v>
      </c>
      <c r="V47">
        <v>-1.7000000000000199</v>
      </c>
      <c r="W47">
        <f t="shared" si="9"/>
        <v>-0.39053699999999908</v>
      </c>
    </row>
    <row r="48" spans="1:23" x14ac:dyDescent="0.3">
      <c r="A48">
        <v>2.2820988999999998</v>
      </c>
      <c r="B48">
        <v>0.66879</v>
      </c>
      <c r="C48">
        <f t="shared" si="1"/>
        <v>1.5262449233309998</v>
      </c>
      <c r="D48">
        <v>1.67E-2</v>
      </c>
      <c r="E48">
        <v>1.0486000000000001E-2</v>
      </c>
      <c r="F48">
        <f t="shared" si="2"/>
        <v>456.41977999999995</v>
      </c>
      <c r="G48">
        <f t="shared" si="3"/>
        <v>-0.66879</v>
      </c>
      <c r="H48">
        <f t="shared" si="4"/>
        <v>-305.24898466619999</v>
      </c>
      <c r="I48">
        <v>1</v>
      </c>
      <c r="J48">
        <f t="shared" si="5"/>
        <v>-0.78434232275717031</v>
      </c>
      <c r="K48">
        <f t="shared" si="6"/>
        <v>-0.55293515177521746</v>
      </c>
      <c r="L48">
        <v>1</v>
      </c>
      <c r="M48">
        <f t="shared" si="7"/>
        <v>0.43411314885998631</v>
      </c>
      <c r="N48">
        <f t="shared" si="13"/>
        <v>3.8111051629999997E-2</v>
      </c>
      <c r="O48">
        <f t="shared" si="11"/>
        <v>2.39300890654E-2</v>
      </c>
      <c r="P48">
        <f t="shared" si="12"/>
        <v>5.6780862219831148E-2</v>
      </c>
      <c r="V48">
        <v>-1.6000000000000201</v>
      </c>
      <c r="W48">
        <f t="shared" si="9"/>
        <v>-0.39529599999999909</v>
      </c>
    </row>
    <row r="49" spans="1:23" x14ac:dyDescent="0.3">
      <c r="A49">
        <v>2.3360724999999998</v>
      </c>
      <c r="B49">
        <v>0.66552</v>
      </c>
      <c r="C49">
        <f t="shared" si="1"/>
        <v>1.5547029701999999</v>
      </c>
      <c r="D49">
        <v>1.67E-2</v>
      </c>
      <c r="E49">
        <v>1.0486000000000001E-2</v>
      </c>
      <c r="F49">
        <f t="shared" si="2"/>
        <v>467.21449999999993</v>
      </c>
      <c r="G49">
        <f t="shared" si="3"/>
        <v>-0.66552</v>
      </c>
      <c r="H49">
        <f t="shared" si="4"/>
        <v>-310.94059404000001</v>
      </c>
      <c r="I49">
        <v>1</v>
      </c>
      <c r="J49">
        <f t="shared" si="5"/>
        <v>-0.76096681199082117</v>
      </c>
      <c r="K49">
        <f t="shared" si="6"/>
        <v>-0.55620515177521745</v>
      </c>
      <c r="L49">
        <v>1</v>
      </c>
      <c r="M49">
        <f t="shared" si="7"/>
        <v>0.43522558941735684</v>
      </c>
      <c r="N49">
        <f t="shared" si="13"/>
        <v>3.9012410749999997E-2</v>
      </c>
      <c r="O49">
        <f t="shared" si="11"/>
        <v>2.4496056234999997E-2</v>
      </c>
      <c r="P49">
        <f t="shared" si="12"/>
        <v>5.7471095372860617E-2</v>
      </c>
      <c r="V49">
        <v>-1.50000000000002</v>
      </c>
      <c r="W49">
        <f t="shared" si="9"/>
        <v>-0.40005499999999905</v>
      </c>
    </row>
    <row r="50" spans="1:23" x14ac:dyDescent="0.3">
      <c r="A50">
        <v>2.3875000000000002</v>
      </c>
      <c r="B50">
        <v>0.66252999999999995</v>
      </c>
      <c r="C50">
        <f t="shared" si="1"/>
        <v>1.581790375</v>
      </c>
      <c r="D50">
        <v>1.67E-2</v>
      </c>
      <c r="E50">
        <v>1.0486000000000001E-2</v>
      </c>
      <c r="F50">
        <f t="shared" si="2"/>
        <v>477.50000000000006</v>
      </c>
      <c r="G50">
        <f t="shared" si="3"/>
        <v>-0.66252999999999995</v>
      </c>
      <c r="H50">
        <f t="shared" si="4"/>
        <v>-316.35807499999999</v>
      </c>
      <c r="I50">
        <v>1</v>
      </c>
      <c r="J50">
        <f t="shared" si="5"/>
        <v>-0.73919111906135204</v>
      </c>
      <c r="K50">
        <f t="shared" si="6"/>
        <v>-0.5591951517752175</v>
      </c>
      <c r="L50">
        <v>1</v>
      </c>
      <c r="M50">
        <f t="shared" si="7"/>
        <v>0.43626189464387027</v>
      </c>
      <c r="N50">
        <f t="shared" si="13"/>
        <v>3.9871250000000004E-2</v>
      </c>
      <c r="O50">
        <f t="shared" si="11"/>
        <v>2.5035325000000004E-2</v>
      </c>
      <c r="P50">
        <f t="shared" si="12"/>
        <v>5.8026682131347228E-2</v>
      </c>
      <c r="V50">
        <v>-1.4000000000000199</v>
      </c>
      <c r="W50">
        <f t="shared" si="9"/>
        <v>-0.40481399999999906</v>
      </c>
    </row>
    <row r="51" spans="1:23" x14ac:dyDescent="0.3">
      <c r="A51">
        <v>2.4399458000000003</v>
      </c>
      <c r="B51">
        <v>0.6593</v>
      </c>
      <c r="C51">
        <f t="shared" si="1"/>
        <v>1.6086562659400001</v>
      </c>
      <c r="D51">
        <v>1.67E-2</v>
      </c>
      <c r="E51">
        <v>1.0486000000000001E-2</v>
      </c>
      <c r="F51">
        <f t="shared" si="2"/>
        <v>487.98916000000008</v>
      </c>
      <c r="G51">
        <f t="shared" si="3"/>
        <v>-0.6593</v>
      </c>
      <c r="H51">
        <f t="shared" si="4"/>
        <v>-321.73125318800004</v>
      </c>
      <c r="I51">
        <v>1</v>
      </c>
      <c r="J51">
        <f t="shared" si="5"/>
        <v>-0.71746208649045873</v>
      </c>
      <c r="K51">
        <f t="shared" si="6"/>
        <v>-0.56242515177521746</v>
      </c>
      <c r="L51">
        <v>1</v>
      </c>
      <c r="M51">
        <f t="shared" si="7"/>
        <v>0.43729597930391911</v>
      </c>
      <c r="N51">
        <f t="shared" si="13"/>
        <v>4.0747094860000006E-2</v>
      </c>
      <c r="O51">
        <f t="shared" si="11"/>
        <v>2.5585271658800004E-2</v>
      </c>
      <c r="P51">
        <f t="shared" si="12"/>
        <v>5.8796805952498338E-2</v>
      </c>
      <c r="V51">
        <v>-1.30000000000002</v>
      </c>
      <c r="W51">
        <f t="shared" si="9"/>
        <v>-0.40957299999999908</v>
      </c>
    </row>
    <row r="52" spans="1:23" x14ac:dyDescent="0.3">
      <c r="A52">
        <v>2.4918826000000003</v>
      </c>
      <c r="B52">
        <v>0.65598000000000001</v>
      </c>
      <c r="C52">
        <f t="shared" si="1"/>
        <v>1.6346251479480003</v>
      </c>
      <c r="D52">
        <v>1.67E-2</v>
      </c>
      <c r="E52">
        <v>1.0486000000000001E-2</v>
      </c>
      <c r="F52">
        <f t="shared" si="2"/>
        <v>498.37652000000003</v>
      </c>
      <c r="G52">
        <f t="shared" si="3"/>
        <v>-0.65598000000000001</v>
      </c>
      <c r="H52">
        <f t="shared" si="4"/>
        <v>-326.92502958960006</v>
      </c>
      <c r="I52">
        <v>1</v>
      </c>
      <c r="J52">
        <f t="shared" si="5"/>
        <v>-0.69639942337305416</v>
      </c>
      <c r="K52">
        <f t="shared" si="6"/>
        <v>-0.56574515177521745</v>
      </c>
      <c r="L52">
        <v>1</v>
      </c>
      <c r="M52">
        <f t="shared" si="7"/>
        <v>0.43829835144167639</v>
      </c>
      <c r="N52">
        <f t="shared" si="13"/>
        <v>4.1614439420000003E-2</v>
      </c>
      <c r="O52">
        <f t="shared" si="11"/>
        <v>2.6129880943600005E-2</v>
      </c>
      <c r="P52">
        <f t="shared" si="12"/>
        <v>5.970247996994104E-2</v>
      </c>
      <c r="V52">
        <v>-1.2000000000000199</v>
      </c>
      <c r="W52">
        <f t="shared" si="9"/>
        <v>-0.41433199999999909</v>
      </c>
    </row>
    <row r="53" spans="1:23" x14ac:dyDescent="0.3">
      <c r="A53">
        <v>2.5468744999999999</v>
      </c>
      <c r="B53">
        <v>0.65293999999999996</v>
      </c>
      <c r="C53">
        <f t="shared" si="1"/>
        <v>1.6629562360299999</v>
      </c>
      <c r="D53">
        <v>1.67E-2</v>
      </c>
      <c r="E53">
        <v>1.0486000000000001E-2</v>
      </c>
      <c r="F53">
        <f t="shared" si="2"/>
        <v>509.37489999999997</v>
      </c>
      <c r="G53">
        <f t="shared" si="3"/>
        <v>-0.65293999999999996</v>
      </c>
      <c r="H53">
        <f t="shared" si="4"/>
        <v>-332.59124720599999</v>
      </c>
      <c r="I53">
        <v>1</v>
      </c>
      <c r="J53">
        <f t="shared" si="5"/>
        <v>-0.6745709913060477</v>
      </c>
      <c r="K53">
        <f t="shared" si="6"/>
        <v>-0.56878515177521749</v>
      </c>
      <c r="L53">
        <v>1</v>
      </c>
      <c r="M53">
        <f t="shared" si="7"/>
        <v>0.43933716652374522</v>
      </c>
      <c r="N53">
        <f t="shared" si="13"/>
        <v>4.2532804149999999E-2</v>
      </c>
      <c r="O53">
        <f t="shared" si="11"/>
        <v>2.6706526006999999E-2</v>
      </c>
      <c r="P53">
        <f t="shared" si="12"/>
        <v>6.0208655094472284E-2</v>
      </c>
      <c r="V53">
        <v>-1.1000000000000201</v>
      </c>
      <c r="W53">
        <f t="shared" si="9"/>
        <v>-0.41909099999999905</v>
      </c>
    </row>
    <row r="54" spans="1:23" x14ac:dyDescent="0.3">
      <c r="A54">
        <v>2.598811</v>
      </c>
      <c r="B54">
        <v>0.64992000000000005</v>
      </c>
      <c r="C54">
        <f t="shared" si="1"/>
        <v>1.6890192451200001</v>
      </c>
      <c r="D54">
        <v>1.67E-2</v>
      </c>
      <c r="E54">
        <v>1.0486000000000001E-2</v>
      </c>
      <c r="F54">
        <f t="shared" si="2"/>
        <v>519.76220000000001</v>
      </c>
      <c r="G54">
        <f t="shared" si="3"/>
        <v>-0.64992000000000005</v>
      </c>
      <c r="H54">
        <f t="shared" si="4"/>
        <v>-337.80384902400004</v>
      </c>
      <c r="I54">
        <v>1</v>
      </c>
      <c r="J54">
        <f t="shared" si="5"/>
        <v>-0.65438387969602441</v>
      </c>
      <c r="K54">
        <f t="shared" si="6"/>
        <v>-0.5718051517752174</v>
      </c>
      <c r="L54">
        <v>1</v>
      </c>
      <c r="M54">
        <f t="shared" si="7"/>
        <v>0.4402978711652662</v>
      </c>
      <c r="N54">
        <f t="shared" si="13"/>
        <v>4.3400143699999998E-2</v>
      </c>
      <c r="O54">
        <f t="shared" si="11"/>
        <v>2.7251132146000001E-2</v>
      </c>
      <c r="P54">
        <f t="shared" si="12"/>
        <v>6.0856004763951199E-2</v>
      </c>
      <c r="V54">
        <v>-1.00000000000002</v>
      </c>
      <c r="W54">
        <f t="shared" si="9"/>
        <v>-0.42384999999999906</v>
      </c>
    </row>
    <row r="55" spans="1:23" x14ac:dyDescent="0.3">
      <c r="A55">
        <v>2.6507477999999995</v>
      </c>
      <c r="B55">
        <v>0.64700000000000002</v>
      </c>
      <c r="C55">
        <f t="shared" si="1"/>
        <v>1.7150338265999998</v>
      </c>
      <c r="D55">
        <v>1.67E-2</v>
      </c>
      <c r="E55">
        <v>1.0486000000000001E-2</v>
      </c>
      <c r="F55">
        <f t="shared" si="2"/>
        <v>530.14955999999995</v>
      </c>
      <c r="G55">
        <f t="shared" si="3"/>
        <v>-0.64700000000000002</v>
      </c>
      <c r="H55">
        <f t="shared" si="4"/>
        <v>-343.00676531999994</v>
      </c>
      <c r="I55">
        <v>1</v>
      </c>
      <c r="J55">
        <f t="shared" si="5"/>
        <v>-0.63459612356446105</v>
      </c>
      <c r="K55">
        <f t="shared" si="6"/>
        <v>-0.57472515177521744</v>
      </c>
      <c r="L55">
        <v>1</v>
      </c>
      <c r="M55">
        <f t="shared" si="7"/>
        <v>0.4412395704795673</v>
      </c>
      <c r="N55">
        <f t="shared" si="13"/>
        <v>4.4267488259999994E-2</v>
      </c>
      <c r="O55">
        <f t="shared" si="11"/>
        <v>2.7795741430799995E-2</v>
      </c>
      <c r="P55">
        <f t="shared" si="12"/>
        <v>6.1422351604850156E-2</v>
      </c>
      <c r="V55">
        <v>-0.90000000000002001</v>
      </c>
      <c r="W55">
        <f t="shared" si="9"/>
        <v>-0.42860899999999907</v>
      </c>
    </row>
    <row r="56" spans="1:23" x14ac:dyDescent="0.3">
      <c r="A56">
        <v>2.7026846</v>
      </c>
      <c r="B56">
        <v>0.64363999999999999</v>
      </c>
      <c r="C56">
        <f t="shared" si="1"/>
        <v>1.7395559159439999</v>
      </c>
      <c r="D56">
        <v>1.67E-2</v>
      </c>
      <c r="E56">
        <v>1.0486000000000001E-2</v>
      </c>
      <c r="F56">
        <f t="shared" si="2"/>
        <v>540.53692000000001</v>
      </c>
      <c r="G56">
        <f t="shared" si="3"/>
        <v>-0.64363999999999999</v>
      </c>
      <c r="H56">
        <f t="shared" si="4"/>
        <v>-347.91118318880001</v>
      </c>
      <c r="I56">
        <v>1</v>
      </c>
      <c r="J56">
        <f t="shared" si="5"/>
        <v>-0.61519233711266519</v>
      </c>
      <c r="K56">
        <f t="shared" si="6"/>
        <v>-0.57808515177521747</v>
      </c>
      <c r="L56">
        <v>1</v>
      </c>
      <c r="M56">
        <f t="shared" si="7"/>
        <v>0.44216299667680831</v>
      </c>
      <c r="N56">
        <f t="shared" si="13"/>
        <v>4.5134832819999998E-2</v>
      </c>
      <c r="O56">
        <f t="shared" si="11"/>
        <v>2.83403507156E-2</v>
      </c>
      <c r="P56">
        <f t="shared" si="12"/>
        <v>6.2446971562809164E-2</v>
      </c>
      <c r="V56">
        <v>-0.80000000000002003</v>
      </c>
      <c r="W56">
        <f t="shared" si="9"/>
        <v>-0.43336799999999909</v>
      </c>
    </row>
    <row r="57" spans="1:23" x14ac:dyDescent="0.3">
      <c r="A57">
        <v>2.7551304000000001</v>
      </c>
      <c r="B57">
        <v>0.64090999999999998</v>
      </c>
      <c r="C57">
        <f t="shared" si="1"/>
        <v>1.7657906246640001</v>
      </c>
      <c r="D57">
        <v>1.67E-2</v>
      </c>
      <c r="E57">
        <v>1.0486000000000001E-2</v>
      </c>
      <c r="F57">
        <f t="shared" si="2"/>
        <v>551.02607999999998</v>
      </c>
      <c r="G57">
        <f t="shared" si="3"/>
        <v>-0.64090999999999998</v>
      </c>
      <c r="H57">
        <f t="shared" si="4"/>
        <v>-353.15812493280004</v>
      </c>
      <c r="I57">
        <v>1</v>
      </c>
      <c r="J57">
        <f t="shared" si="5"/>
        <v>-0.59597313882594027</v>
      </c>
      <c r="K57">
        <f t="shared" si="6"/>
        <v>-0.58081515177521748</v>
      </c>
      <c r="L57">
        <v>1</v>
      </c>
      <c r="M57">
        <f t="shared" si="7"/>
        <v>0.44307763832327351</v>
      </c>
      <c r="N57">
        <f t="shared" si="13"/>
        <v>4.6010677680000001E-2</v>
      </c>
      <c r="O57">
        <f t="shared" si="11"/>
        <v>2.8890297374400003E-2</v>
      </c>
      <c r="P57">
        <f t="shared" si="12"/>
        <v>6.2836538397543953E-2</v>
      </c>
      <c r="V57">
        <v>-0.70000000000002005</v>
      </c>
      <c r="W57">
        <f t="shared" si="9"/>
        <v>-0.43812699999999904</v>
      </c>
    </row>
    <row r="58" spans="1:23" x14ac:dyDescent="0.3">
      <c r="A58">
        <v>2.8055396000000004</v>
      </c>
      <c r="B58">
        <v>0.63792000000000004</v>
      </c>
      <c r="C58">
        <f t="shared" si="1"/>
        <v>1.7897098216320004</v>
      </c>
      <c r="D58">
        <v>1.67E-2</v>
      </c>
      <c r="E58">
        <v>1.0486000000000001E-2</v>
      </c>
      <c r="F58">
        <f t="shared" si="2"/>
        <v>561.10792000000004</v>
      </c>
      <c r="G58">
        <f t="shared" si="3"/>
        <v>-0.63792000000000004</v>
      </c>
      <c r="H58">
        <f t="shared" si="4"/>
        <v>-357.94196432640007</v>
      </c>
      <c r="I58">
        <v>1</v>
      </c>
      <c r="J58">
        <f t="shared" si="5"/>
        <v>-0.57784202119383565</v>
      </c>
      <c r="K58">
        <f t="shared" si="6"/>
        <v>-0.58380515177521741</v>
      </c>
      <c r="L58">
        <v>1</v>
      </c>
      <c r="M58">
        <f t="shared" si="7"/>
        <v>0.44394049821138537</v>
      </c>
      <c r="N58">
        <f t="shared" si="13"/>
        <v>4.6852511320000005E-2</v>
      </c>
      <c r="O58">
        <f t="shared" si="11"/>
        <v>2.9418888245600006E-2</v>
      </c>
      <c r="P58">
        <f t="shared" si="12"/>
        <v>6.3593253998232027E-2</v>
      </c>
      <c r="V58">
        <v>-0.60000000000001996</v>
      </c>
      <c r="W58">
        <f t="shared" si="9"/>
        <v>-0.44288599999999906</v>
      </c>
    </row>
    <row r="59" spans="1:23" x14ac:dyDescent="0.3">
      <c r="A59">
        <v>2.8559487000000003</v>
      </c>
      <c r="B59">
        <v>0.63483999999999996</v>
      </c>
      <c r="C59">
        <f t="shared" si="1"/>
        <v>1.813070472708</v>
      </c>
      <c r="D59">
        <v>1.67E-2</v>
      </c>
      <c r="E59">
        <v>1.0486000000000001E-2</v>
      </c>
      <c r="F59">
        <f t="shared" si="2"/>
        <v>571.18974000000003</v>
      </c>
      <c r="G59">
        <f t="shared" si="3"/>
        <v>-0.63483999999999996</v>
      </c>
      <c r="H59">
        <f t="shared" si="4"/>
        <v>-362.61409454160002</v>
      </c>
      <c r="I59">
        <v>1</v>
      </c>
      <c r="J59">
        <f t="shared" si="5"/>
        <v>-0.56003383030295839</v>
      </c>
      <c r="K59">
        <f t="shared" si="6"/>
        <v>-0.5868851517752175</v>
      </c>
      <c r="L59">
        <v>1</v>
      </c>
      <c r="M59">
        <f t="shared" si="7"/>
        <v>0.44478799001588221</v>
      </c>
      <c r="N59">
        <f t="shared" si="13"/>
        <v>4.7694343290000003E-2</v>
      </c>
      <c r="O59">
        <f t="shared" si="11"/>
        <v>2.9947478068200004E-2</v>
      </c>
      <c r="P59">
        <f t="shared" si="12"/>
        <v>6.4455340401135292E-2</v>
      </c>
      <c r="V59">
        <v>-0.50000000000001998</v>
      </c>
      <c r="W59">
        <f t="shared" si="9"/>
        <v>-0.44764499999999907</v>
      </c>
    </row>
    <row r="60" spans="1:23" x14ac:dyDescent="0.3">
      <c r="A60">
        <v>2.9063576999999996</v>
      </c>
      <c r="B60">
        <v>0.63193999999999995</v>
      </c>
      <c r="C60">
        <f t="shared" si="1"/>
        <v>1.8366436849379997</v>
      </c>
      <c r="D60">
        <v>1.67E-2</v>
      </c>
      <c r="E60">
        <v>1.0486000000000001E-2</v>
      </c>
      <c r="F60">
        <f t="shared" si="2"/>
        <v>581.27153999999996</v>
      </c>
      <c r="G60">
        <f t="shared" si="3"/>
        <v>-0.63193999999999995</v>
      </c>
      <c r="H60">
        <f t="shared" si="4"/>
        <v>-367.32873698759994</v>
      </c>
      <c r="I60">
        <v>1</v>
      </c>
      <c r="J60">
        <f t="shared" si="5"/>
        <v>-0.54253726470268815</v>
      </c>
      <c r="K60">
        <f t="shared" si="6"/>
        <v>-0.58978515177521751</v>
      </c>
      <c r="L60">
        <v>1</v>
      </c>
      <c r="M60">
        <f t="shared" si="7"/>
        <v>0.44562065157279912</v>
      </c>
      <c r="N60">
        <f t="shared" si="13"/>
        <v>4.8536173589999995E-2</v>
      </c>
      <c r="O60">
        <f t="shared" si="11"/>
        <v>3.0476066842199997E-2</v>
      </c>
      <c r="P60">
        <f t="shared" si="12"/>
        <v>6.5152259770218393E-2</v>
      </c>
      <c r="V60">
        <v>-0.40000000000002001</v>
      </c>
      <c r="W60">
        <f t="shared" si="9"/>
        <v>-0.45240399999999908</v>
      </c>
    </row>
    <row r="61" spans="1:23" x14ac:dyDescent="0.3">
      <c r="A61">
        <v>2.9577852</v>
      </c>
      <c r="B61">
        <v>0.62897999999999998</v>
      </c>
      <c r="C61">
        <f t="shared" si="1"/>
        <v>1.8603877350959999</v>
      </c>
      <c r="D61">
        <v>1.67E-2</v>
      </c>
      <c r="E61">
        <v>1.0486000000000001E-2</v>
      </c>
      <c r="F61">
        <f t="shared" si="2"/>
        <v>591.55704000000003</v>
      </c>
      <c r="G61">
        <f t="shared" si="3"/>
        <v>-0.62897999999999998</v>
      </c>
      <c r="H61">
        <f t="shared" si="4"/>
        <v>-372.07754701919998</v>
      </c>
      <c r="I61">
        <v>1</v>
      </c>
      <c r="J61">
        <f t="shared" si="5"/>
        <v>-0.52499716741506774</v>
      </c>
      <c r="K61">
        <f t="shared" si="6"/>
        <v>-0.59274515177521747</v>
      </c>
      <c r="L61">
        <v>1</v>
      </c>
      <c r="M61">
        <f t="shared" si="7"/>
        <v>0.44645538480271696</v>
      </c>
      <c r="N61">
        <f t="shared" si="13"/>
        <v>4.9395012840000002E-2</v>
      </c>
      <c r="O61">
        <f t="shared" si="11"/>
        <v>3.10153356072E-2</v>
      </c>
      <c r="P61">
        <f t="shared" si="12"/>
        <v>6.5879418525300507E-2</v>
      </c>
      <c r="V61">
        <v>-0.30000000000001997</v>
      </c>
      <c r="W61">
        <f t="shared" si="9"/>
        <v>-0.4571629999999991</v>
      </c>
    </row>
    <row r="62" spans="1:23" x14ac:dyDescent="0.3">
      <c r="A62">
        <v>3.0137954000000002</v>
      </c>
      <c r="B62">
        <v>0.62644</v>
      </c>
      <c r="C62">
        <f t="shared" si="1"/>
        <v>1.8879619903760001</v>
      </c>
      <c r="D62">
        <v>1.67E-2</v>
      </c>
      <c r="E62">
        <v>1.0486000000000001E-2</v>
      </c>
      <c r="F62">
        <f t="shared" si="2"/>
        <v>602.75908000000004</v>
      </c>
      <c r="G62">
        <f t="shared" si="3"/>
        <v>-0.62644</v>
      </c>
      <c r="H62">
        <f t="shared" si="4"/>
        <v>-377.59239807520004</v>
      </c>
      <c r="I62">
        <v>1</v>
      </c>
      <c r="J62">
        <f t="shared" si="5"/>
        <v>-0.50623769774564498</v>
      </c>
      <c r="K62">
        <f t="shared" si="6"/>
        <v>-0.59528515177521746</v>
      </c>
      <c r="L62">
        <v>1</v>
      </c>
      <c r="M62">
        <f t="shared" si="7"/>
        <v>0.44734814796428479</v>
      </c>
      <c r="N62">
        <f t="shared" si="13"/>
        <v>5.033038318E-2</v>
      </c>
      <c r="O62">
        <f t="shared" si="11"/>
        <v>3.1602658564400005E-2</v>
      </c>
      <c r="P62">
        <f t="shared" si="12"/>
        <v>6.6003962066532668E-2</v>
      </c>
      <c r="V62">
        <v>-0.20000000000002</v>
      </c>
      <c r="W62">
        <f t="shared" si="9"/>
        <v>-0.46192199999999906</v>
      </c>
    </row>
    <row r="63" spans="1:23" x14ac:dyDescent="0.3">
      <c r="A63">
        <v>3.0642046000000001</v>
      </c>
      <c r="B63">
        <v>0.62329000000000001</v>
      </c>
      <c r="C63">
        <f t="shared" si="1"/>
        <v>1.9098880851340001</v>
      </c>
      <c r="D63">
        <v>1.67E-2</v>
      </c>
      <c r="E63">
        <v>1.0486000000000001E-2</v>
      </c>
      <c r="F63">
        <f t="shared" si="2"/>
        <v>612.84091999999998</v>
      </c>
      <c r="G63">
        <f t="shared" si="3"/>
        <v>-0.62329000000000001</v>
      </c>
      <c r="H63">
        <f t="shared" si="4"/>
        <v>-381.97761702680003</v>
      </c>
      <c r="I63">
        <v>1</v>
      </c>
      <c r="J63">
        <f t="shared" si="5"/>
        <v>-0.48964988732821801</v>
      </c>
      <c r="K63">
        <f t="shared" si="6"/>
        <v>-0.59843515177521744</v>
      </c>
      <c r="L63">
        <v>1</v>
      </c>
      <c r="M63">
        <f t="shared" si="7"/>
        <v>0.44813756186205012</v>
      </c>
      <c r="N63">
        <f t="shared" si="13"/>
        <v>5.1172216819999998E-2</v>
      </c>
      <c r="O63">
        <f t="shared" si="11"/>
        <v>3.2131249435600001E-2</v>
      </c>
      <c r="P63">
        <f t="shared" si="12"/>
        <v>6.6994123657567323E-2</v>
      </c>
      <c r="V63">
        <v>-0.10000000000002</v>
      </c>
      <c r="W63">
        <f t="shared" si="9"/>
        <v>-0.46668099999999907</v>
      </c>
    </row>
    <row r="64" spans="1:23" x14ac:dyDescent="0.3">
      <c r="A64">
        <v>3.1146138000000003</v>
      </c>
      <c r="B64">
        <v>0.62034999999999996</v>
      </c>
      <c r="C64">
        <f t="shared" si="1"/>
        <v>1.93215067083</v>
      </c>
      <c r="D64">
        <v>1.67E-2</v>
      </c>
      <c r="E64">
        <v>1.0486000000000001E-2</v>
      </c>
      <c r="F64">
        <f t="shared" si="2"/>
        <v>622.92276000000004</v>
      </c>
      <c r="G64">
        <f t="shared" si="3"/>
        <v>-0.62034999999999996</v>
      </c>
      <c r="H64">
        <f t="shared" si="4"/>
        <v>-386.43013416600002</v>
      </c>
      <c r="I64">
        <v>1</v>
      </c>
      <c r="J64">
        <f t="shared" si="5"/>
        <v>-0.4733327486192937</v>
      </c>
      <c r="K64">
        <f t="shared" si="6"/>
        <v>-0.6013751517752175</v>
      </c>
      <c r="L64">
        <v>1</v>
      </c>
      <c r="M64">
        <f t="shared" si="7"/>
        <v>0.44891409449320785</v>
      </c>
      <c r="N64">
        <f t="shared" si="13"/>
        <v>5.2014050460000003E-2</v>
      </c>
      <c r="O64">
        <f t="shared" si="11"/>
        <v>3.2659840306800005E-2</v>
      </c>
      <c r="P64">
        <f t="shared" si="12"/>
        <v>6.7787166515209635E-2</v>
      </c>
      <c r="V64">
        <v>-2.0428103653102899E-14</v>
      </c>
      <c r="W64">
        <f t="shared" si="9"/>
        <v>-0.47143999999999903</v>
      </c>
    </row>
    <row r="65" spans="1:23" x14ac:dyDescent="0.3">
      <c r="A65">
        <v>3.1665502999999999</v>
      </c>
      <c r="B65">
        <v>0.61746999999999996</v>
      </c>
      <c r="C65">
        <f t="shared" si="1"/>
        <v>1.9552498137409999</v>
      </c>
      <c r="D65">
        <v>1.67E-2</v>
      </c>
      <c r="E65">
        <v>1.0486000000000001E-2</v>
      </c>
      <c r="F65">
        <f t="shared" si="2"/>
        <v>633.31006000000002</v>
      </c>
      <c r="G65">
        <f t="shared" si="3"/>
        <v>-0.61746999999999996</v>
      </c>
      <c r="H65">
        <f t="shared" si="4"/>
        <v>-391.04996274819996</v>
      </c>
      <c r="I65">
        <v>1</v>
      </c>
      <c r="J65">
        <f t="shared" si="5"/>
        <v>-0.45679515053933706</v>
      </c>
      <c r="K65">
        <f t="shared" si="6"/>
        <v>-0.60425515177521749</v>
      </c>
      <c r="L65">
        <v>1</v>
      </c>
      <c r="M65">
        <f t="shared" si="7"/>
        <v>0.44970111878583297</v>
      </c>
      <c r="N65">
        <f t="shared" si="13"/>
        <v>5.2881390009999994E-2</v>
      </c>
      <c r="O65">
        <f t="shared" si="11"/>
        <v>3.32044464458E-2</v>
      </c>
      <c r="P65">
        <f t="shared" si="12"/>
        <v>6.8468196533584519E-2</v>
      </c>
      <c r="V65">
        <v>9.9999999999980105E-2</v>
      </c>
      <c r="W65">
        <f t="shared" si="9"/>
        <v>-0.4761989999999991</v>
      </c>
    </row>
    <row r="66" spans="1:23" x14ac:dyDescent="0.3">
      <c r="A66">
        <v>3.2184868</v>
      </c>
      <c r="B66">
        <v>0.61465999999999998</v>
      </c>
      <c r="C66">
        <f t="shared" si="1"/>
        <v>1.978275096488</v>
      </c>
      <c r="D66">
        <v>1.67E-2</v>
      </c>
      <c r="E66">
        <v>1.0486000000000001E-2</v>
      </c>
      <c r="F66">
        <f t="shared" si="2"/>
        <v>643.69736</v>
      </c>
      <c r="G66">
        <f t="shared" si="3"/>
        <v>-0.61465999999999998</v>
      </c>
      <c r="H66">
        <f t="shared" si="4"/>
        <v>-395.65501929760001</v>
      </c>
      <c r="I66">
        <v>1</v>
      </c>
      <c r="J66">
        <f t="shared" si="5"/>
        <v>-0.44052660122139775</v>
      </c>
      <c r="K66">
        <f t="shared" si="6"/>
        <v>-0.60706515177521747</v>
      </c>
      <c r="L66">
        <v>1</v>
      </c>
      <c r="M66">
        <f t="shared" si="7"/>
        <v>0.45047533904787374</v>
      </c>
      <c r="N66">
        <f t="shared" si="13"/>
        <v>5.374872956E-2</v>
      </c>
      <c r="O66">
        <f t="shared" si="11"/>
        <v>3.3749052584800002E-2</v>
      </c>
      <c r="P66">
        <f t="shared" si="12"/>
        <v>6.9092030582543734E-2</v>
      </c>
      <c r="V66">
        <v>0.19999999999998</v>
      </c>
      <c r="W66">
        <f t="shared" si="9"/>
        <v>-0.48095799999999905</v>
      </c>
    </row>
    <row r="67" spans="1:23" x14ac:dyDescent="0.3">
      <c r="A67">
        <v>3.2704235999999995</v>
      </c>
      <c r="B67">
        <v>0.61182999999999998</v>
      </c>
      <c r="C67">
        <f t="shared" si="1"/>
        <v>2.0009432711879995</v>
      </c>
      <c r="D67">
        <v>1.67E-2</v>
      </c>
      <c r="E67">
        <v>1.0486000000000001E-2</v>
      </c>
      <c r="F67">
        <f t="shared" si="2"/>
        <v>654.08471999999995</v>
      </c>
      <c r="G67">
        <f t="shared" si="3"/>
        <v>-0.61182999999999998</v>
      </c>
      <c r="H67">
        <f t="shared" si="4"/>
        <v>-400.18865423759991</v>
      </c>
      <c r="I67">
        <v>1</v>
      </c>
      <c r="J67">
        <f t="shared" si="5"/>
        <v>-0.4245183946302824</v>
      </c>
      <c r="K67">
        <f t="shared" si="6"/>
        <v>-0.60989515177521747</v>
      </c>
      <c r="L67">
        <v>1</v>
      </c>
      <c r="M67">
        <f t="shared" si="7"/>
        <v>0.45123716959954491</v>
      </c>
      <c r="N67">
        <f t="shared" si="13"/>
        <v>5.461607411999999E-2</v>
      </c>
      <c r="O67">
        <f t="shared" si="11"/>
        <v>3.4293661869599999E-2</v>
      </c>
      <c r="P67">
        <f t="shared" si="12"/>
        <v>6.974824618607256E-2</v>
      </c>
      <c r="V67">
        <v>0.29999999999998</v>
      </c>
      <c r="W67">
        <f t="shared" si="9"/>
        <v>-0.48571699999999907</v>
      </c>
    </row>
    <row r="68" spans="1:23" x14ac:dyDescent="0.3">
      <c r="A68">
        <v>3.3208327999999998</v>
      </c>
      <c r="B68">
        <v>0.60897000000000001</v>
      </c>
      <c r="C68">
        <f t="shared" si="1"/>
        <v>2.0222875502159998</v>
      </c>
      <c r="D68">
        <v>1.67E-2</v>
      </c>
      <c r="E68">
        <v>1.0486000000000001E-2</v>
      </c>
      <c r="F68">
        <f t="shared" si="2"/>
        <v>664.16656</v>
      </c>
      <c r="G68">
        <f t="shared" si="3"/>
        <v>-0.60897000000000001</v>
      </c>
      <c r="H68">
        <f t="shared" si="4"/>
        <v>-404.45751004319999</v>
      </c>
      <c r="I68">
        <v>1</v>
      </c>
      <c r="J68">
        <f t="shared" si="5"/>
        <v>-0.40922231758814809</v>
      </c>
      <c r="K68">
        <f t="shared" si="6"/>
        <v>-0.61275515177521744</v>
      </c>
      <c r="L68">
        <v>1</v>
      </c>
      <c r="M68">
        <f t="shared" si="7"/>
        <v>0.45196510990598004</v>
      </c>
      <c r="N68">
        <f t="shared" si="13"/>
        <v>5.5457907759999994E-2</v>
      </c>
      <c r="O68">
        <f t="shared" si="11"/>
        <v>3.4822252740800003E-2</v>
      </c>
      <c r="P68">
        <f t="shared" si="12"/>
        <v>7.0509881368437402E-2</v>
      </c>
      <c r="V68">
        <v>0.39999999999997998</v>
      </c>
      <c r="W68">
        <f t="shared" si="9"/>
        <v>-0.49047599999999908</v>
      </c>
    </row>
    <row r="69" spans="1:23" x14ac:dyDescent="0.3">
      <c r="A69">
        <v>3.3742969</v>
      </c>
      <c r="B69">
        <v>0.60636999999999996</v>
      </c>
      <c r="C69">
        <f t="shared" ref="C69:C132" si="14">A69*B69</f>
        <v>2.0460724112529998</v>
      </c>
      <c r="D69">
        <v>1.67E-2</v>
      </c>
      <c r="E69">
        <v>1.0486000000000001E-2</v>
      </c>
      <c r="F69">
        <f t="shared" ref="F69:F132" si="15">A69*200</f>
        <v>674.85937999999999</v>
      </c>
      <c r="G69">
        <f t="shared" ref="G69:G132" si="16">-B69</f>
        <v>-0.60636999999999996</v>
      </c>
      <c r="H69">
        <f t="shared" ref="H69:H132" si="17">-C69*200</f>
        <v>-409.21448225059993</v>
      </c>
      <c r="I69">
        <v>1</v>
      </c>
      <c r="J69">
        <f t="shared" ref="J69:J132" si="18">LN(F69/1000)</f>
        <v>-0.39325093573839309</v>
      </c>
      <c r="K69">
        <f t="shared" ref="K69:K132" si="19">((-G69)-$N$2)</f>
        <v>-0.61535515177521749</v>
      </c>
      <c r="L69">
        <v>1</v>
      </c>
      <c r="M69">
        <f t="shared" ref="M69:M132" si="20">-1*($S$4+($S$5*J69))</f>
        <v>0.45272518796820987</v>
      </c>
      <c r="N69">
        <f t="shared" si="13"/>
        <v>5.6350758229999999E-2</v>
      </c>
      <c r="O69">
        <f t="shared" si="11"/>
        <v>3.5382877293399999E-2</v>
      </c>
      <c r="P69">
        <f t="shared" si="12"/>
        <v>7.0896328283607618E-2</v>
      </c>
      <c r="V69">
        <v>0.49999999999998002</v>
      </c>
      <c r="W69">
        <f t="shared" ref="W69:W132" si="21">V69*$S$5+$S$4</f>
        <v>-0.49523499999999909</v>
      </c>
    </row>
    <row r="70" spans="1:23" x14ac:dyDescent="0.3">
      <c r="A70">
        <v>3.4247061000000003</v>
      </c>
      <c r="B70">
        <v>0.60331999999999997</v>
      </c>
      <c r="C70">
        <f t="shared" si="14"/>
        <v>2.0661936842520001</v>
      </c>
      <c r="D70">
        <v>1.67E-2</v>
      </c>
      <c r="E70">
        <v>1.0486000000000001E-2</v>
      </c>
      <c r="F70">
        <f t="shared" si="15"/>
        <v>684.94122000000004</v>
      </c>
      <c r="G70">
        <f t="shared" si="16"/>
        <v>-0.60331999999999997</v>
      </c>
      <c r="H70">
        <f t="shared" si="17"/>
        <v>-413.23873685040002</v>
      </c>
      <c r="I70">
        <v>1</v>
      </c>
      <c r="J70">
        <f t="shared" si="18"/>
        <v>-0.37842225462079732</v>
      </c>
      <c r="K70">
        <f t="shared" si="19"/>
        <v>-0.61840515177521749</v>
      </c>
      <c r="L70">
        <v>1</v>
      </c>
      <c r="M70">
        <f t="shared" si="20"/>
        <v>0.45343088490259631</v>
      </c>
      <c r="N70">
        <f t="shared" si="13"/>
        <v>5.7192591870000004E-2</v>
      </c>
      <c r="O70">
        <f t="shared" ref="O70:O133" si="22">E70*A70</f>
        <v>3.5911468164600002E-2</v>
      </c>
      <c r="P70">
        <f t="shared" ref="P70:P133" si="23">-K70-M70-N70-O70</f>
        <v>7.1870206838021172E-2</v>
      </c>
      <c r="V70">
        <v>0.59999999999997999</v>
      </c>
      <c r="W70">
        <f t="shared" si="21"/>
        <v>-0.49999399999999905</v>
      </c>
    </row>
    <row r="71" spans="1:23" x14ac:dyDescent="0.3">
      <c r="A71">
        <v>3.4766428</v>
      </c>
      <c r="B71">
        <v>0.60063</v>
      </c>
      <c r="C71">
        <f t="shared" si="14"/>
        <v>2.0881759649639999</v>
      </c>
      <c r="D71">
        <v>1.67E-2</v>
      </c>
      <c r="E71">
        <v>1.0486000000000001E-2</v>
      </c>
      <c r="F71">
        <f t="shared" si="15"/>
        <v>695.32856000000004</v>
      </c>
      <c r="G71">
        <f t="shared" si="16"/>
        <v>-0.60063</v>
      </c>
      <c r="H71">
        <f t="shared" si="17"/>
        <v>-417.6351929928</v>
      </c>
      <c r="I71">
        <v>1</v>
      </c>
      <c r="J71">
        <f t="shared" si="18"/>
        <v>-0.36337079692613128</v>
      </c>
      <c r="K71">
        <f t="shared" si="19"/>
        <v>-0.62109515177521746</v>
      </c>
      <c r="L71">
        <v>1</v>
      </c>
      <c r="M71">
        <f t="shared" si="20"/>
        <v>0.45414718377428542</v>
      </c>
      <c r="N71">
        <f t="shared" ref="N71:N134" si="24">D71*A71</f>
        <v>5.8059934760000001E-2</v>
      </c>
      <c r="O71">
        <f t="shared" si="22"/>
        <v>3.6456076400800001E-2</v>
      </c>
      <c r="P71">
        <f t="shared" si="23"/>
        <v>7.2431956840132039E-2</v>
      </c>
      <c r="V71">
        <v>0.69999999999997997</v>
      </c>
      <c r="W71">
        <f t="shared" si="21"/>
        <v>-0.50475299999999912</v>
      </c>
    </row>
    <row r="72" spans="1:23" x14ac:dyDescent="0.3">
      <c r="A72">
        <v>3.5290888999999996</v>
      </c>
      <c r="B72">
        <v>0.59777999999999998</v>
      </c>
      <c r="C72">
        <f t="shared" si="14"/>
        <v>2.1096187626419995</v>
      </c>
      <c r="D72">
        <v>1.67E-2</v>
      </c>
      <c r="E72">
        <v>1.0486000000000001E-2</v>
      </c>
      <c r="F72">
        <f t="shared" si="15"/>
        <v>705.81777999999997</v>
      </c>
      <c r="G72">
        <f t="shared" si="16"/>
        <v>-0.59777999999999998</v>
      </c>
      <c r="H72">
        <f t="shared" si="17"/>
        <v>-421.92375252839992</v>
      </c>
      <c r="I72">
        <v>1</v>
      </c>
      <c r="J72">
        <f t="shared" si="18"/>
        <v>-0.34839817678594709</v>
      </c>
      <c r="K72">
        <f t="shared" si="19"/>
        <v>-0.62394515177521748</v>
      </c>
      <c r="L72">
        <v>1</v>
      </c>
      <c r="M72">
        <f t="shared" si="20"/>
        <v>0.45485973076675679</v>
      </c>
      <c r="N72">
        <f t="shared" si="24"/>
        <v>5.8935784629999995E-2</v>
      </c>
      <c r="O72">
        <f t="shared" si="22"/>
        <v>3.70060262054E-2</v>
      </c>
      <c r="P72">
        <f t="shared" si="23"/>
        <v>7.3143610173060702E-2</v>
      </c>
      <c r="V72">
        <v>0.79999999999997995</v>
      </c>
      <c r="W72">
        <f t="shared" si="21"/>
        <v>-0.50951199999999908</v>
      </c>
    </row>
    <row r="73" spans="1:23" x14ac:dyDescent="0.3">
      <c r="A73">
        <v>3.5794979999999996</v>
      </c>
      <c r="B73">
        <v>0.59509000000000001</v>
      </c>
      <c r="C73">
        <f t="shared" si="14"/>
        <v>2.1301234648199996</v>
      </c>
      <c r="D73">
        <v>1.67E-2</v>
      </c>
      <c r="E73">
        <v>1.0486000000000001E-2</v>
      </c>
      <c r="F73">
        <f t="shared" si="15"/>
        <v>715.89959999999996</v>
      </c>
      <c r="G73">
        <f t="shared" si="16"/>
        <v>-0.59509000000000001</v>
      </c>
      <c r="H73">
        <f t="shared" si="17"/>
        <v>-426.02469296399994</v>
      </c>
      <c r="I73">
        <v>1</v>
      </c>
      <c r="J73">
        <f t="shared" si="18"/>
        <v>-0.33421534531740765</v>
      </c>
      <c r="K73">
        <f t="shared" si="19"/>
        <v>-0.62663515177521745</v>
      </c>
      <c r="L73">
        <v>1</v>
      </c>
      <c r="M73">
        <f t="shared" si="20"/>
        <v>0.45553469171634459</v>
      </c>
      <c r="N73">
        <f t="shared" si="24"/>
        <v>5.9777616599999993E-2</v>
      </c>
      <c r="O73">
        <f t="shared" si="22"/>
        <v>3.7534616027999998E-2</v>
      </c>
      <c r="P73">
        <f t="shared" si="23"/>
        <v>7.3788227430872863E-2</v>
      </c>
      <c r="V73">
        <v>0.89999999999998004</v>
      </c>
      <c r="W73">
        <f t="shared" si="21"/>
        <v>-0.51427099999999903</v>
      </c>
    </row>
    <row r="74" spans="1:23" x14ac:dyDescent="0.3">
      <c r="A74">
        <v>3.6314348000000001</v>
      </c>
      <c r="B74">
        <v>0.59204999999999997</v>
      </c>
      <c r="C74">
        <f t="shared" si="14"/>
        <v>2.14999097334</v>
      </c>
      <c r="D74">
        <v>1.67E-2</v>
      </c>
      <c r="E74">
        <v>1.0486000000000001E-2</v>
      </c>
      <c r="F74">
        <f t="shared" si="15"/>
        <v>726.28696000000002</v>
      </c>
      <c r="G74">
        <f t="shared" si="16"/>
        <v>-0.59204999999999997</v>
      </c>
      <c r="H74">
        <f t="shared" si="17"/>
        <v>-429.998194668</v>
      </c>
      <c r="I74">
        <v>1</v>
      </c>
      <c r="J74">
        <f t="shared" si="18"/>
        <v>-0.3198100805446828</v>
      </c>
      <c r="K74">
        <f t="shared" si="19"/>
        <v>-0.62967515177521749</v>
      </c>
      <c r="L74">
        <v>1</v>
      </c>
      <c r="M74">
        <f t="shared" si="20"/>
        <v>0.45622023826687857</v>
      </c>
      <c r="N74">
        <f t="shared" si="24"/>
        <v>6.0644961159999997E-2</v>
      </c>
      <c r="O74">
        <f t="shared" si="22"/>
        <v>3.8079225312800002E-2</v>
      </c>
      <c r="P74">
        <f t="shared" si="23"/>
        <v>7.4730727035538916E-2</v>
      </c>
      <c r="V74">
        <v>0.99999999999998002</v>
      </c>
      <c r="W74">
        <f t="shared" si="21"/>
        <v>-0.5190299999999991</v>
      </c>
    </row>
    <row r="75" spans="1:23" x14ac:dyDescent="0.3">
      <c r="A75">
        <v>3.6843896000000003</v>
      </c>
      <c r="B75">
        <v>0.58952000000000004</v>
      </c>
      <c r="C75">
        <f t="shared" si="14"/>
        <v>2.1720213569920004</v>
      </c>
      <c r="D75">
        <v>1.67E-2</v>
      </c>
      <c r="E75">
        <v>1.0486000000000001E-2</v>
      </c>
      <c r="F75">
        <f t="shared" si="15"/>
        <v>736.87792000000002</v>
      </c>
      <c r="G75">
        <f t="shared" si="16"/>
        <v>-0.58952000000000004</v>
      </c>
      <c r="H75">
        <f t="shared" si="17"/>
        <v>-434.40427139840006</v>
      </c>
      <c r="I75">
        <v>1</v>
      </c>
      <c r="J75">
        <f t="shared" si="18"/>
        <v>-0.30533304501811565</v>
      </c>
      <c r="K75">
        <f t="shared" si="19"/>
        <v>-0.63220515177521741</v>
      </c>
      <c r="L75">
        <v>1</v>
      </c>
      <c r="M75">
        <f t="shared" si="20"/>
        <v>0.45690920038758792</v>
      </c>
      <c r="N75">
        <f t="shared" si="24"/>
        <v>6.1529306320000005E-2</v>
      </c>
      <c r="O75">
        <f t="shared" si="22"/>
        <v>3.8634509345600004E-2</v>
      </c>
      <c r="P75">
        <f t="shared" si="23"/>
        <v>7.5132135722029481E-2</v>
      </c>
      <c r="V75">
        <v>1.0999999999999699</v>
      </c>
      <c r="W75">
        <f t="shared" si="21"/>
        <v>-0.52378899999999862</v>
      </c>
    </row>
    <row r="76" spans="1:23" x14ac:dyDescent="0.3">
      <c r="A76">
        <v>3.737854</v>
      </c>
      <c r="B76">
        <v>0.58672999999999997</v>
      </c>
      <c r="C76">
        <f t="shared" si="14"/>
        <v>2.1931110774199998</v>
      </c>
      <c r="D76">
        <v>1.67E-2</v>
      </c>
      <c r="E76">
        <v>1.0486000000000001E-2</v>
      </c>
      <c r="F76">
        <f t="shared" si="15"/>
        <v>747.57079999999996</v>
      </c>
      <c r="G76">
        <f t="shared" si="16"/>
        <v>-0.58672999999999997</v>
      </c>
      <c r="H76">
        <f t="shared" si="17"/>
        <v>-438.62221548399998</v>
      </c>
      <c r="I76">
        <v>1</v>
      </c>
      <c r="J76">
        <f t="shared" si="18"/>
        <v>-0.29092626248348252</v>
      </c>
      <c r="K76">
        <f t="shared" si="19"/>
        <v>-0.63499515177521748</v>
      </c>
      <c r="L76">
        <v>1</v>
      </c>
      <c r="M76">
        <f t="shared" si="20"/>
        <v>0.4575948191684111</v>
      </c>
      <c r="N76">
        <f t="shared" si="24"/>
        <v>6.2422161800000001E-2</v>
      </c>
      <c r="O76">
        <f t="shared" si="22"/>
        <v>3.9195137044000003E-2</v>
      </c>
      <c r="P76">
        <f t="shared" si="23"/>
        <v>7.5783033762806373E-2</v>
      </c>
      <c r="V76">
        <v>1.19999999999997</v>
      </c>
      <c r="W76">
        <f t="shared" si="21"/>
        <v>-0.52854799999999857</v>
      </c>
    </row>
    <row r="77" spans="1:23" x14ac:dyDescent="0.3">
      <c r="A77">
        <v>3.7964102000000004</v>
      </c>
      <c r="B77">
        <v>0.58391999999999999</v>
      </c>
      <c r="C77">
        <f t="shared" si="14"/>
        <v>2.2167998439840004</v>
      </c>
      <c r="D77">
        <v>1.67E-2</v>
      </c>
      <c r="E77">
        <v>1.0486000000000001E-2</v>
      </c>
      <c r="F77">
        <f t="shared" si="15"/>
        <v>759.28204000000005</v>
      </c>
      <c r="G77">
        <f t="shared" si="16"/>
        <v>-0.58391999999999999</v>
      </c>
      <c r="H77">
        <f t="shared" si="17"/>
        <v>-443.3599687968001</v>
      </c>
      <c r="I77">
        <v>1</v>
      </c>
      <c r="J77">
        <f t="shared" si="18"/>
        <v>-0.27538197640763551</v>
      </c>
      <c r="K77">
        <f t="shared" si="19"/>
        <v>-0.63780515177521746</v>
      </c>
      <c r="L77">
        <v>1</v>
      </c>
      <c r="M77">
        <f t="shared" si="20"/>
        <v>0.45833457174276065</v>
      </c>
      <c r="N77">
        <f t="shared" si="24"/>
        <v>6.340005034E-2</v>
      </c>
      <c r="O77">
        <f t="shared" si="22"/>
        <v>3.9809157357200003E-2</v>
      </c>
      <c r="P77">
        <f t="shared" si="23"/>
        <v>7.6261372335256802E-2</v>
      </c>
      <c r="V77">
        <v>1.2999999999999701</v>
      </c>
      <c r="W77">
        <f t="shared" si="21"/>
        <v>-0.53330699999999864</v>
      </c>
    </row>
    <row r="78" spans="1:23" x14ac:dyDescent="0.3">
      <c r="A78">
        <v>3.8473284000000003</v>
      </c>
      <c r="B78">
        <v>0.58050000000000002</v>
      </c>
      <c r="C78">
        <f t="shared" si="14"/>
        <v>2.2333741362000001</v>
      </c>
      <c r="D78">
        <v>1.67E-2</v>
      </c>
      <c r="E78">
        <v>1.0486000000000001E-2</v>
      </c>
      <c r="F78">
        <f t="shared" si="15"/>
        <v>769.46568000000002</v>
      </c>
      <c r="G78">
        <f t="shared" si="16"/>
        <v>-0.58050000000000002</v>
      </c>
      <c r="H78">
        <f t="shared" si="17"/>
        <v>-446.67482724000001</v>
      </c>
      <c r="I78">
        <v>1</v>
      </c>
      <c r="J78">
        <f t="shared" si="18"/>
        <v>-0.26205892708769357</v>
      </c>
      <c r="K78">
        <f t="shared" si="19"/>
        <v>-0.64122515177521744</v>
      </c>
      <c r="L78">
        <v>1</v>
      </c>
      <c r="M78">
        <f t="shared" si="20"/>
        <v>0.45896861565989666</v>
      </c>
      <c r="N78">
        <f t="shared" si="24"/>
        <v>6.4250384280000003E-2</v>
      </c>
      <c r="O78">
        <f t="shared" si="22"/>
        <v>4.0343085602400006E-2</v>
      </c>
      <c r="P78">
        <f t="shared" si="23"/>
        <v>7.7663066232920769E-2</v>
      </c>
      <c r="V78">
        <v>1.3999999999999699</v>
      </c>
      <c r="W78">
        <f t="shared" si="21"/>
        <v>-0.5380659999999986</v>
      </c>
    </row>
    <row r="79" spans="1:23" x14ac:dyDescent="0.3">
      <c r="A79">
        <v>3.8982463000000003</v>
      </c>
      <c r="B79">
        <v>0.57808000000000004</v>
      </c>
      <c r="C79">
        <f t="shared" si="14"/>
        <v>2.2534982211040004</v>
      </c>
      <c r="D79">
        <v>1.67E-2</v>
      </c>
      <c r="E79">
        <v>1.0486000000000001E-2</v>
      </c>
      <c r="F79">
        <f t="shared" si="15"/>
        <v>779.64926000000003</v>
      </c>
      <c r="G79">
        <f t="shared" si="16"/>
        <v>-0.57808000000000004</v>
      </c>
      <c r="H79">
        <f t="shared" si="17"/>
        <v>-450.69964422080011</v>
      </c>
      <c r="I79">
        <v>1</v>
      </c>
      <c r="J79">
        <f t="shared" si="18"/>
        <v>-0.24891112709553961</v>
      </c>
      <c r="K79">
        <f t="shared" si="19"/>
        <v>-0.64364515177521742</v>
      </c>
      <c r="L79">
        <v>1</v>
      </c>
      <c r="M79">
        <f t="shared" si="20"/>
        <v>0.45959431946152329</v>
      </c>
      <c r="N79">
        <f t="shared" si="24"/>
        <v>6.5100713210000008E-2</v>
      </c>
      <c r="O79">
        <f t="shared" si="22"/>
        <v>4.0877010701800005E-2</v>
      </c>
      <c r="P79">
        <f t="shared" si="23"/>
        <v>7.8073108401894104E-2</v>
      </c>
      <c r="V79">
        <v>1.49999999999997</v>
      </c>
      <c r="W79">
        <f t="shared" si="21"/>
        <v>-0.54282499999999856</v>
      </c>
    </row>
    <row r="80" spans="1:23" x14ac:dyDescent="0.3">
      <c r="A80">
        <v>3.9486554999999997</v>
      </c>
      <c r="B80">
        <v>0.57530999999999999</v>
      </c>
      <c r="C80">
        <f t="shared" si="14"/>
        <v>2.2717009957049998</v>
      </c>
      <c r="D80">
        <v>1.67E-2</v>
      </c>
      <c r="E80">
        <v>1.0486000000000001E-2</v>
      </c>
      <c r="F80">
        <f t="shared" si="15"/>
        <v>789.73109999999997</v>
      </c>
      <c r="G80">
        <f t="shared" si="16"/>
        <v>-0.57530999999999999</v>
      </c>
      <c r="H80">
        <f t="shared" si="17"/>
        <v>-454.34019914099997</v>
      </c>
      <c r="I80">
        <v>1</v>
      </c>
      <c r="J80">
        <f t="shared" si="18"/>
        <v>-0.23606277121023997</v>
      </c>
      <c r="K80">
        <f t="shared" si="19"/>
        <v>-0.64641515177521747</v>
      </c>
      <c r="L80">
        <v>1</v>
      </c>
      <c r="M80">
        <f t="shared" si="20"/>
        <v>0.4602057727181047</v>
      </c>
      <c r="N80">
        <f t="shared" si="24"/>
        <v>6.5942546849999992E-2</v>
      </c>
      <c r="O80">
        <f t="shared" si="22"/>
        <v>4.1405601573000002E-2</v>
      </c>
      <c r="P80">
        <f t="shared" si="23"/>
        <v>7.8861230634112767E-2</v>
      </c>
      <c r="V80">
        <v>1.5999999999999699</v>
      </c>
      <c r="W80">
        <f t="shared" si="21"/>
        <v>-0.54758399999999863</v>
      </c>
    </row>
    <row r="81" spans="1:23" x14ac:dyDescent="0.3">
      <c r="A81">
        <v>4.0005923000000001</v>
      </c>
      <c r="B81">
        <v>0.57250000000000001</v>
      </c>
      <c r="C81">
        <f t="shared" si="14"/>
        <v>2.2903390917499999</v>
      </c>
      <c r="D81">
        <v>1.67E-2</v>
      </c>
      <c r="E81">
        <v>1.0486000000000001E-2</v>
      </c>
      <c r="F81">
        <f t="shared" si="15"/>
        <v>800.11846000000003</v>
      </c>
      <c r="G81">
        <f t="shared" si="16"/>
        <v>-0.57250000000000001</v>
      </c>
      <c r="H81">
        <f t="shared" si="17"/>
        <v>-458.06781834999998</v>
      </c>
      <c r="I81">
        <v>1</v>
      </c>
      <c r="J81">
        <f t="shared" si="18"/>
        <v>-0.22299548727623048</v>
      </c>
      <c r="K81">
        <f t="shared" si="19"/>
        <v>-0.64922515177521745</v>
      </c>
      <c r="L81">
        <v>1</v>
      </c>
      <c r="M81">
        <f t="shared" si="20"/>
        <v>0.46082764476052424</v>
      </c>
      <c r="N81">
        <f t="shared" si="24"/>
        <v>6.6809891410000002E-2</v>
      </c>
      <c r="O81">
        <f t="shared" si="22"/>
        <v>4.1950210857800006E-2</v>
      </c>
      <c r="P81">
        <f t="shared" si="23"/>
        <v>7.9637404746893209E-2</v>
      </c>
      <c r="V81">
        <v>1.69999999999997</v>
      </c>
      <c r="W81">
        <f t="shared" si="21"/>
        <v>-0.55234299999999859</v>
      </c>
    </row>
    <row r="82" spans="1:23" x14ac:dyDescent="0.3">
      <c r="A82">
        <v>4.0550752000000001</v>
      </c>
      <c r="B82">
        <v>0.56972999999999996</v>
      </c>
      <c r="C82">
        <f t="shared" si="14"/>
        <v>2.310297993696</v>
      </c>
      <c r="D82">
        <v>1.67E-2</v>
      </c>
      <c r="E82">
        <v>1.0486000000000001E-2</v>
      </c>
      <c r="F82">
        <f t="shared" si="15"/>
        <v>811.01504</v>
      </c>
      <c r="G82">
        <f t="shared" si="16"/>
        <v>-0.56972999999999996</v>
      </c>
      <c r="H82">
        <f t="shared" si="17"/>
        <v>-462.0595987392</v>
      </c>
      <c r="I82">
        <v>1</v>
      </c>
      <c r="J82">
        <f t="shared" si="18"/>
        <v>-0.20946868003251537</v>
      </c>
      <c r="K82">
        <f t="shared" si="19"/>
        <v>-0.6519951517752175</v>
      </c>
      <c r="L82">
        <v>1</v>
      </c>
      <c r="M82">
        <f t="shared" si="20"/>
        <v>0.46147138551725264</v>
      </c>
      <c r="N82">
        <f t="shared" si="24"/>
        <v>6.7719755840000007E-2</v>
      </c>
      <c r="O82">
        <f t="shared" si="22"/>
        <v>4.2521518547200002E-2</v>
      </c>
      <c r="P82">
        <f t="shared" si="23"/>
        <v>8.0282491870764847E-2</v>
      </c>
      <c r="V82">
        <v>1.7999999999999701</v>
      </c>
      <c r="W82">
        <f t="shared" si="21"/>
        <v>-0.55710199999999865</v>
      </c>
    </row>
    <row r="83" spans="1:23" x14ac:dyDescent="0.3">
      <c r="A83">
        <v>4.1054843999999999</v>
      </c>
      <c r="B83">
        <v>0.56723000000000001</v>
      </c>
      <c r="C83">
        <f t="shared" si="14"/>
        <v>2.3287539162119999</v>
      </c>
      <c r="D83">
        <v>1.67E-2</v>
      </c>
      <c r="E83">
        <v>1.0486000000000001E-2</v>
      </c>
      <c r="F83">
        <f t="shared" si="15"/>
        <v>821.09687999999994</v>
      </c>
      <c r="G83">
        <f t="shared" si="16"/>
        <v>-0.56723000000000001</v>
      </c>
      <c r="H83">
        <f t="shared" si="17"/>
        <v>-465.75078324239996</v>
      </c>
      <c r="I83">
        <v>1</v>
      </c>
      <c r="J83">
        <f t="shared" si="18"/>
        <v>-0.19711417405539514</v>
      </c>
      <c r="K83">
        <f t="shared" si="19"/>
        <v>-0.65449515177521744</v>
      </c>
      <c r="L83">
        <v>1</v>
      </c>
      <c r="M83">
        <f t="shared" si="20"/>
        <v>0.46205933645670377</v>
      </c>
      <c r="N83">
        <f t="shared" si="24"/>
        <v>6.856158947999999E-2</v>
      </c>
      <c r="O83">
        <f t="shared" si="22"/>
        <v>4.3050109418399998E-2</v>
      </c>
      <c r="P83">
        <f t="shared" si="23"/>
        <v>8.0824116420113681E-2</v>
      </c>
      <c r="V83">
        <v>1.8999999999999699</v>
      </c>
      <c r="W83">
        <f t="shared" si="21"/>
        <v>-0.56186099999999861</v>
      </c>
    </row>
    <row r="84" spans="1:23" x14ac:dyDescent="0.3">
      <c r="A84">
        <v>4.1574214000000005</v>
      </c>
      <c r="B84">
        <v>0.56447999999999998</v>
      </c>
      <c r="C84">
        <f t="shared" si="14"/>
        <v>2.3467812318720003</v>
      </c>
      <c r="D84">
        <v>1.67E-2</v>
      </c>
      <c r="E84">
        <v>1.0486000000000001E-2</v>
      </c>
      <c r="F84">
        <f t="shared" si="15"/>
        <v>831.48428000000013</v>
      </c>
      <c r="G84">
        <f t="shared" si="16"/>
        <v>-0.56447999999999998</v>
      </c>
      <c r="H84">
        <f t="shared" si="17"/>
        <v>-469.35624637440003</v>
      </c>
      <c r="I84">
        <v>1</v>
      </c>
      <c r="J84">
        <f t="shared" si="18"/>
        <v>-0.18454288612017061</v>
      </c>
      <c r="K84">
        <f t="shared" si="19"/>
        <v>-0.65724515177521747</v>
      </c>
      <c r="L84">
        <v>1</v>
      </c>
      <c r="M84">
        <f t="shared" si="20"/>
        <v>0.46265760404954109</v>
      </c>
      <c r="N84">
        <f t="shared" si="24"/>
        <v>6.942893738E-2</v>
      </c>
      <c r="O84">
        <f t="shared" si="22"/>
        <v>4.3594720800400007E-2</v>
      </c>
      <c r="P84">
        <f t="shared" si="23"/>
        <v>8.156388954527638E-2</v>
      </c>
      <c r="V84">
        <v>1.99999999999997</v>
      </c>
      <c r="W84">
        <f t="shared" si="21"/>
        <v>-0.56661999999999857</v>
      </c>
    </row>
    <row r="85" spans="1:23" x14ac:dyDescent="0.3">
      <c r="A85">
        <v>4.2098671999999997</v>
      </c>
      <c r="B85">
        <v>0.56184999999999996</v>
      </c>
      <c r="C85">
        <f t="shared" si="14"/>
        <v>2.3653138863199996</v>
      </c>
      <c r="D85">
        <v>1.67E-2</v>
      </c>
      <c r="E85">
        <v>1.0486000000000001E-2</v>
      </c>
      <c r="F85">
        <f t="shared" si="15"/>
        <v>841.97343999999998</v>
      </c>
      <c r="G85">
        <f t="shared" si="16"/>
        <v>-0.56184999999999996</v>
      </c>
      <c r="H85">
        <f t="shared" si="17"/>
        <v>-473.06277726399992</v>
      </c>
      <c r="I85">
        <v>1</v>
      </c>
      <c r="J85">
        <f t="shared" si="18"/>
        <v>-0.17200680918032388</v>
      </c>
      <c r="K85">
        <f t="shared" si="19"/>
        <v>-0.65987515177521749</v>
      </c>
      <c r="L85">
        <v>1</v>
      </c>
      <c r="M85">
        <f t="shared" si="20"/>
        <v>0.46325419595110839</v>
      </c>
      <c r="N85">
        <f t="shared" si="24"/>
        <v>7.0304782239999988E-2</v>
      </c>
      <c r="O85">
        <f t="shared" si="22"/>
        <v>4.4144667459199996E-2</v>
      </c>
      <c r="P85">
        <f t="shared" si="23"/>
        <v>8.217150612490913E-2</v>
      </c>
      <c r="V85">
        <v>2.0999999999999699</v>
      </c>
      <c r="W85">
        <f t="shared" si="21"/>
        <v>-0.57137899999999864</v>
      </c>
    </row>
    <row r="86" spans="1:23" x14ac:dyDescent="0.3">
      <c r="A86">
        <v>4.2623129999999998</v>
      </c>
      <c r="B86">
        <v>0.55883000000000005</v>
      </c>
      <c r="C86">
        <f t="shared" si="14"/>
        <v>2.38190837379</v>
      </c>
      <c r="D86">
        <v>1.67E-2</v>
      </c>
      <c r="E86">
        <v>1.0486000000000001E-2</v>
      </c>
      <c r="F86">
        <f t="shared" si="15"/>
        <v>852.46259999999995</v>
      </c>
      <c r="G86">
        <f t="shared" si="16"/>
        <v>-0.55883000000000005</v>
      </c>
      <c r="H86">
        <f t="shared" si="17"/>
        <v>-476.38167475799997</v>
      </c>
      <c r="I86">
        <v>1</v>
      </c>
      <c r="J86">
        <f t="shared" si="18"/>
        <v>-0.15962594175456624</v>
      </c>
      <c r="K86">
        <f t="shared" si="19"/>
        <v>-0.66289515177521741</v>
      </c>
      <c r="L86">
        <v>1</v>
      </c>
      <c r="M86">
        <f t="shared" si="20"/>
        <v>0.46384340143190023</v>
      </c>
      <c r="N86">
        <f t="shared" si="24"/>
        <v>7.1180627099999991E-2</v>
      </c>
      <c r="O86">
        <f t="shared" si="22"/>
        <v>4.4694614117999999E-2</v>
      </c>
      <c r="P86">
        <f t="shared" si="23"/>
        <v>8.3176509125317183E-2</v>
      </c>
      <c r="V86">
        <v>2.19999999999997</v>
      </c>
      <c r="W86">
        <f t="shared" si="21"/>
        <v>-0.5761379999999986</v>
      </c>
    </row>
    <row r="87" spans="1:23" x14ac:dyDescent="0.3">
      <c r="A87">
        <v>4.3127221999999996</v>
      </c>
      <c r="B87">
        <v>0.55657999999999996</v>
      </c>
      <c r="C87">
        <f t="shared" si="14"/>
        <v>2.4003749220759998</v>
      </c>
      <c r="D87">
        <v>1.67E-2</v>
      </c>
      <c r="E87">
        <v>1.0486000000000001E-2</v>
      </c>
      <c r="F87">
        <f t="shared" si="15"/>
        <v>862.5444399999999</v>
      </c>
      <c r="G87">
        <f t="shared" si="16"/>
        <v>-0.55657999999999996</v>
      </c>
      <c r="H87">
        <f t="shared" si="17"/>
        <v>-480.07498441519994</v>
      </c>
      <c r="I87">
        <v>1</v>
      </c>
      <c r="J87">
        <f t="shared" si="18"/>
        <v>-0.1478686067662898</v>
      </c>
      <c r="K87">
        <f t="shared" si="19"/>
        <v>-0.66514515177521749</v>
      </c>
      <c r="L87">
        <v>1</v>
      </c>
      <c r="M87">
        <f t="shared" si="20"/>
        <v>0.46440293300399227</v>
      </c>
      <c r="N87">
        <f t="shared" si="24"/>
        <v>7.2022460739999988E-2</v>
      </c>
      <c r="O87">
        <f t="shared" si="22"/>
        <v>4.5223204989199996E-2</v>
      </c>
      <c r="P87">
        <f t="shared" si="23"/>
        <v>8.3496553042025246E-2</v>
      </c>
      <c r="V87">
        <v>2.2999999999999701</v>
      </c>
      <c r="W87">
        <f t="shared" si="21"/>
        <v>-0.58089699999999866</v>
      </c>
    </row>
    <row r="88" spans="1:23" x14ac:dyDescent="0.3">
      <c r="A88">
        <v>4.3641499000000001</v>
      </c>
      <c r="B88">
        <v>0.55376999999999998</v>
      </c>
      <c r="C88">
        <f t="shared" si="14"/>
        <v>2.4167352901229999</v>
      </c>
      <c r="D88">
        <v>1.67E-2</v>
      </c>
      <c r="E88">
        <v>1.0486000000000001E-2</v>
      </c>
      <c r="F88">
        <f t="shared" si="15"/>
        <v>872.82997999999998</v>
      </c>
      <c r="G88">
        <f t="shared" si="16"/>
        <v>-0.55376999999999998</v>
      </c>
      <c r="H88">
        <f t="shared" si="17"/>
        <v>-483.34705802459996</v>
      </c>
      <c r="I88">
        <v>1</v>
      </c>
      <c r="J88">
        <f t="shared" si="18"/>
        <v>-0.13601449583229872</v>
      </c>
      <c r="K88">
        <f t="shared" si="19"/>
        <v>-0.66795515177521747</v>
      </c>
      <c r="L88">
        <v>1</v>
      </c>
      <c r="M88">
        <f t="shared" si="20"/>
        <v>0.46496707014334093</v>
      </c>
      <c r="N88">
        <f t="shared" si="24"/>
        <v>7.2881303329999994E-2</v>
      </c>
      <c r="O88">
        <f t="shared" si="22"/>
        <v>4.5762475851400003E-2</v>
      </c>
      <c r="P88">
        <f t="shared" si="23"/>
        <v>8.4344302450476555E-2</v>
      </c>
      <c r="V88">
        <v>2.3999999999999702</v>
      </c>
      <c r="W88">
        <f t="shared" si="21"/>
        <v>-0.58565599999999862</v>
      </c>
    </row>
    <row r="89" spans="1:23" x14ac:dyDescent="0.3">
      <c r="A89">
        <v>4.4186318</v>
      </c>
      <c r="B89">
        <v>0.55100000000000005</v>
      </c>
      <c r="C89">
        <f t="shared" si="14"/>
        <v>2.4346661218000003</v>
      </c>
      <c r="D89">
        <v>1.67E-2</v>
      </c>
      <c r="E89">
        <v>1.0486000000000001E-2</v>
      </c>
      <c r="F89">
        <f t="shared" si="15"/>
        <v>883.72636</v>
      </c>
      <c r="G89">
        <f t="shared" si="16"/>
        <v>-0.55100000000000005</v>
      </c>
      <c r="H89">
        <f t="shared" si="17"/>
        <v>-486.93322436000005</v>
      </c>
      <c r="I89">
        <v>1</v>
      </c>
      <c r="J89">
        <f t="shared" si="18"/>
        <v>-0.12360781177552588</v>
      </c>
      <c r="K89">
        <f t="shared" si="19"/>
        <v>-0.67072515177521741</v>
      </c>
      <c r="L89">
        <v>1</v>
      </c>
      <c r="M89">
        <f t="shared" si="20"/>
        <v>0.46555750423760273</v>
      </c>
      <c r="N89">
        <f t="shared" si="24"/>
        <v>7.3791151060000004E-2</v>
      </c>
      <c r="O89">
        <f t="shared" si="22"/>
        <v>4.63337730548E-2</v>
      </c>
      <c r="P89">
        <f t="shared" si="23"/>
        <v>8.5042723422814687E-2</v>
      </c>
      <c r="V89">
        <v>2.4999999999999698</v>
      </c>
      <c r="W89">
        <f t="shared" si="21"/>
        <v>-0.59041499999999858</v>
      </c>
    </row>
    <row r="90" spans="1:23" x14ac:dyDescent="0.3">
      <c r="A90">
        <v>4.4700601000000004</v>
      </c>
      <c r="B90">
        <v>0.54812000000000005</v>
      </c>
      <c r="C90">
        <f t="shared" si="14"/>
        <v>2.4501293420120005</v>
      </c>
      <c r="D90">
        <v>1.67E-2</v>
      </c>
      <c r="E90">
        <v>1.0486000000000001E-2</v>
      </c>
      <c r="F90">
        <f t="shared" si="15"/>
        <v>894.01202000000012</v>
      </c>
      <c r="G90">
        <f t="shared" si="16"/>
        <v>-0.54812000000000005</v>
      </c>
      <c r="H90">
        <f t="shared" si="17"/>
        <v>-490.02586840240008</v>
      </c>
      <c r="I90">
        <v>1</v>
      </c>
      <c r="J90">
        <f t="shared" si="18"/>
        <v>-0.11203605870885193</v>
      </c>
      <c r="K90">
        <f t="shared" si="19"/>
        <v>-0.6736051517752174</v>
      </c>
      <c r="L90">
        <v>1</v>
      </c>
      <c r="M90">
        <f t="shared" si="20"/>
        <v>0.46610820396604574</v>
      </c>
      <c r="N90">
        <f t="shared" si="24"/>
        <v>7.4650003670000006E-2</v>
      </c>
      <c r="O90">
        <f t="shared" si="22"/>
        <v>4.6873050208600005E-2</v>
      </c>
      <c r="P90">
        <f t="shared" si="23"/>
        <v>8.5973893930571643E-2</v>
      </c>
      <c r="V90">
        <v>2.5999999999999699</v>
      </c>
      <c r="W90">
        <f t="shared" si="21"/>
        <v>-0.59517399999999854</v>
      </c>
    </row>
    <row r="91" spans="1:23" x14ac:dyDescent="0.3">
      <c r="A91">
        <v>4.5219961</v>
      </c>
      <c r="B91">
        <v>0.54549000000000003</v>
      </c>
      <c r="C91">
        <f t="shared" si="14"/>
        <v>2.466703652589</v>
      </c>
      <c r="D91">
        <v>1.67E-2</v>
      </c>
      <c r="E91">
        <v>1.0486000000000001E-2</v>
      </c>
      <c r="F91">
        <f t="shared" si="15"/>
        <v>904.39922000000001</v>
      </c>
      <c r="G91">
        <f t="shared" si="16"/>
        <v>-0.54549000000000003</v>
      </c>
      <c r="H91">
        <f t="shared" si="17"/>
        <v>-493.34073051780001</v>
      </c>
      <c r="I91">
        <v>1</v>
      </c>
      <c r="J91">
        <f t="shared" si="18"/>
        <v>-0.10048440102893737</v>
      </c>
      <c r="K91">
        <f t="shared" si="19"/>
        <v>-0.67623515177521742</v>
      </c>
      <c r="L91">
        <v>1</v>
      </c>
      <c r="M91">
        <f t="shared" si="20"/>
        <v>0.46665794735503291</v>
      </c>
      <c r="N91">
        <f t="shared" si="24"/>
        <v>7.5517334869999994E-2</v>
      </c>
      <c r="O91">
        <f t="shared" si="22"/>
        <v>4.74176511046E-2</v>
      </c>
      <c r="P91">
        <f t="shared" si="23"/>
        <v>8.6642218445584507E-2</v>
      </c>
      <c r="V91">
        <v>2.69999999999997</v>
      </c>
      <c r="W91">
        <f t="shared" si="21"/>
        <v>-0.59993299999999861</v>
      </c>
    </row>
    <row r="92" spans="1:23" x14ac:dyDescent="0.3">
      <c r="A92">
        <v>4.5754608999999995</v>
      </c>
      <c r="B92">
        <v>0.54271999999999998</v>
      </c>
      <c r="C92">
        <f t="shared" si="14"/>
        <v>2.4831941396479995</v>
      </c>
      <c r="D92">
        <v>1.67E-2</v>
      </c>
      <c r="E92">
        <v>1.0486000000000001E-2</v>
      </c>
      <c r="F92">
        <f t="shared" si="15"/>
        <v>915.09217999999987</v>
      </c>
      <c r="G92">
        <f t="shared" si="16"/>
        <v>-0.54271999999999998</v>
      </c>
      <c r="H92">
        <f t="shared" si="17"/>
        <v>-496.63882792959993</v>
      </c>
      <c r="I92">
        <v>1</v>
      </c>
      <c r="J92">
        <f t="shared" si="18"/>
        <v>-8.8730475611469212E-2</v>
      </c>
      <c r="K92">
        <f t="shared" si="19"/>
        <v>-0.67900515177521747</v>
      </c>
      <c r="L92">
        <v>1</v>
      </c>
      <c r="M92">
        <f t="shared" si="20"/>
        <v>0.4672173166656502</v>
      </c>
      <c r="N92">
        <f t="shared" si="24"/>
        <v>7.6410197029999988E-2</v>
      </c>
      <c r="O92">
        <f t="shared" si="22"/>
        <v>4.79782829974E-2</v>
      </c>
      <c r="P92">
        <f t="shared" si="23"/>
        <v>8.7399355082167285E-2</v>
      </c>
      <c r="V92">
        <v>2.7999999999999701</v>
      </c>
      <c r="W92">
        <f t="shared" si="21"/>
        <v>-0.60469199999999856</v>
      </c>
    </row>
    <row r="93" spans="1:23" x14ac:dyDescent="0.3">
      <c r="A93">
        <v>4.6289248000000001</v>
      </c>
      <c r="B93">
        <v>0.53983999999999999</v>
      </c>
      <c r="C93">
        <f t="shared" si="14"/>
        <v>2.4988787640319998</v>
      </c>
      <c r="D93">
        <v>1.67E-2</v>
      </c>
      <c r="E93">
        <v>1.0486000000000001E-2</v>
      </c>
      <c r="F93">
        <f t="shared" si="15"/>
        <v>925.78495999999996</v>
      </c>
      <c r="G93">
        <f t="shared" si="16"/>
        <v>-0.53983999999999999</v>
      </c>
      <c r="H93">
        <f t="shared" si="17"/>
        <v>-499.77575280639996</v>
      </c>
      <c r="I93">
        <v>1</v>
      </c>
      <c r="J93">
        <f t="shared" si="18"/>
        <v>-7.7113295926300673E-2</v>
      </c>
      <c r="K93">
        <f t="shared" si="19"/>
        <v>-0.68188515177521747</v>
      </c>
      <c r="L93">
        <v>1</v>
      </c>
      <c r="M93">
        <f t="shared" si="20"/>
        <v>0.4677701782468674</v>
      </c>
      <c r="N93">
        <f t="shared" si="24"/>
        <v>7.7303044160000001E-2</v>
      </c>
      <c r="O93">
        <f t="shared" si="22"/>
        <v>4.8538905452800006E-2</v>
      </c>
      <c r="P93">
        <f t="shared" si="23"/>
        <v>8.8273023915550058E-2</v>
      </c>
      <c r="V93">
        <v>2.8999999999999702</v>
      </c>
      <c r="W93">
        <f t="shared" si="21"/>
        <v>-0.60945099999999863</v>
      </c>
    </row>
    <row r="94" spans="1:23" x14ac:dyDescent="0.3">
      <c r="A94">
        <v>4.6834077000000001</v>
      </c>
      <c r="B94">
        <v>0.53720000000000001</v>
      </c>
      <c r="C94">
        <f t="shared" si="14"/>
        <v>2.5159266164400003</v>
      </c>
      <c r="D94">
        <v>1.67E-2</v>
      </c>
      <c r="E94">
        <v>1.0486000000000001E-2</v>
      </c>
      <c r="F94">
        <f t="shared" si="15"/>
        <v>936.68154000000004</v>
      </c>
      <c r="G94">
        <f t="shared" si="16"/>
        <v>-0.53720000000000001</v>
      </c>
      <c r="H94">
        <f t="shared" si="17"/>
        <v>-503.18532328800006</v>
      </c>
      <c r="I94">
        <v>1</v>
      </c>
      <c r="J94">
        <f t="shared" si="18"/>
        <v>-6.5411926444966587E-2</v>
      </c>
      <c r="K94">
        <f t="shared" si="19"/>
        <v>-0.68452515177521744</v>
      </c>
      <c r="L94">
        <v>1</v>
      </c>
      <c r="M94">
        <f t="shared" si="20"/>
        <v>0.46832704642048406</v>
      </c>
      <c r="N94">
        <f t="shared" si="24"/>
        <v>7.8212908590000005E-2</v>
      </c>
      <c r="O94">
        <f t="shared" si="22"/>
        <v>4.9110213142200002E-2</v>
      </c>
      <c r="P94">
        <f t="shared" si="23"/>
        <v>8.8874983622533363E-2</v>
      </c>
      <c r="V94">
        <v>2.9999999999999698</v>
      </c>
      <c r="W94">
        <f t="shared" si="21"/>
        <v>-0.61420999999999859</v>
      </c>
    </row>
    <row r="95" spans="1:23" x14ac:dyDescent="0.3">
      <c r="A95">
        <v>4.7348350000000003</v>
      </c>
      <c r="B95">
        <v>0.53434000000000004</v>
      </c>
      <c r="C95">
        <f t="shared" si="14"/>
        <v>2.5300117339000003</v>
      </c>
      <c r="D95">
        <v>1.67E-2</v>
      </c>
      <c r="E95">
        <v>1.0486000000000001E-2</v>
      </c>
      <c r="F95">
        <f t="shared" si="15"/>
        <v>946.9670000000001</v>
      </c>
      <c r="G95">
        <f t="shared" si="16"/>
        <v>-0.53434000000000004</v>
      </c>
      <c r="H95">
        <f t="shared" si="17"/>
        <v>-506.00234678000004</v>
      </c>
      <c r="I95">
        <v>1</v>
      </c>
      <c r="J95">
        <f t="shared" si="18"/>
        <v>-5.4491033288125171E-2</v>
      </c>
      <c r="K95">
        <f t="shared" si="19"/>
        <v>-0.68738515177521742</v>
      </c>
      <c r="L95">
        <v>1</v>
      </c>
      <c r="M95">
        <f t="shared" si="20"/>
        <v>0.46884677172581812</v>
      </c>
      <c r="N95">
        <f t="shared" si="24"/>
        <v>7.9071744499999999E-2</v>
      </c>
      <c r="O95">
        <f t="shared" si="22"/>
        <v>4.9649479810000008E-2</v>
      </c>
      <c r="P95">
        <f t="shared" si="23"/>
        <v>8.9817155739399301E-2</v>
      </c>
      <c r="V95">
        <v>3.0999999999999699</v>
      </c>
      <c r="W95">
        <f t="shared" si="21"/>
        <v>-0.61896899999999855</v>
      </c>
    </row>
    <row r="96" spans="1:23" x14ac:dyDescent="0.3">
      <c r="A96">
        <v>4.7888085999999994</v>
      </c>
      <c r="B96">
        <v>0.53169999999999995</v>
      </c>
      <c r="C96">
        <f t="shared" si="14"/>
        <v>2.5462095326199994</v>
      </c>
      <c r="D96">
        <v>1.67E-2</v>
      </c>
      <c r="E96">
        <v>1.0486000000000001E-2</v>
      </c>
      <c r="F96">
        <f t="shared" si="15"/>
        <v>957.76171999999985</v>
      </c>
      <c r="G96">
        <f t="shared" si="16"/>
        <v>-0.53169999999999995</v>
      </c>
      <c r="H96">
        <f t="shared" si="17"/>
        <v>-509.24190652399989</v>
      </c>
      <c r="I96">
        <v>1</v>
      </c>
      <c r="J96">
        <f t="shared" si="18"/>
        <v>-4.3156258462416018E-2</v>
      </c>
      <c r="K96">
        <f t="shared" si="19"/>
        <v>-0.6900251517752175</v>
      </c>
      <c r="L96">
        <v>1</v>
      </c>
      <c r="M96">
        <f t="shared" si="20"/>
        <v>0.46938619365977363</v>
      </c>
      <c r="N96">
        <f t="shared" si="24"/>
        <v>7.9973103619999986E-2</v>
      </c>
      <c r="O96">
        <f t="shared" si="22"/>
        <v>5.0215446979599995E-2</v>
      </c>
      <c r="P96">
        <f t="shared" si="23"/>
        <v>9.0450407515843892E-2</v>
      </c>
      <c r="V96">
        <v>3.19999999999997</v>
      </c>
      <c r="W96">
        <f t="shared" si="21"/>
        <v>-0.62372799999999862</v>
      </c>
    </row>
    <row r="97" spans="1:23" x14ac:dyDescent="0.3">
      <c r="A97">
        <v>4.8427816999999997</v>
      </c>
      <c r="B97">
        <v>0.52873999999999999</v>
      </c>
      <c r="C97">
        <f t="shared" si="14"/>
        <v>2.5605723960579998</v>
      </c>
      <c r="D97">
        <v>1.67E-2</v>
      </c>
      <c r="E97">
        <v>1.0486000000000001E-2</v>
      </c>
      <c r="F97">
        <f t="shared" si="15"/>
        <v>968.55633999999998</v>
      </c>
      <c r="G97">
        <f t="shared" si="16"/>
        <v>-0.52873999999999999</v>
      </c>
      <c r="H97">
        <f t="shared" si="17"/>
        <v>-512.11447921159993</v>
      </c>
      <c r="I97">
        <v>1</v>
      </c>
      <c r="J97">
        <f t="shared" si="18"/>
        <v>-3.19486253954415E-2</v>
      </c>
      <c r="K97">
        <f t="shared" si="19"/>
        <v>-0.69298515177521747</v>
      </c>
      <c r="L97">
        <v>1</v>
      </c>
      <c r="M97">
        <f t="shared" si="20"/>
        <v>0.46991956491743098</v>
      </c>
      <c r="N97">
        <f t="shared" si="24"/>
        <v>8.0874454389999989E-2</v>
      </c>
      <c r="O97">
        <f t="shared" si="22"/>
        <v>5.0781408906199997E-2</v>
      </c>
      <c r="P97">
        <f t="shared" si="23"/>
        <v>9.1409723561586498E-2</v>
      </c>
      <c r="V97">
        <v>3.2999999999999701</v>
      </c>
      <c r="W97">
        <f t="shared" si="21"/>
        <v>-0.62848699999999857</v>
      </c>
    </row>
    <row r="98" spans="1:23" x14ac:dyDescent="0.3">
      <c r="A98">
        <v>4.8937002000000005</v>
      </c>
      <c r="B98">
        <v>0.52607000000000004</v>
      </c>
      <c r="C98">
        <f t="shared" si="14"/>
        <v>2.5744288642140005</v>
      </c>
      <c r="D98">
        <v>1.67E-2</v>
      </c>
      <c r="E98">
        <v>1.0486000000000001E-2</v>
      </c>
      <c r="F98">
        <f t="shared" si="15"/>
        <v>978.74004000000014</v>
      </c>
      <c r="G98">
        <f t="shared" si="16"/>
        <v>-0.52607000000000004</v>
      </c>
      <c r="H98">
        <f t="shared" si="17"/>
        <v>-514.88577284280007</v>
      </c>
      <c r="I98">
        <v>1</v>
      </c>
      <c r="J98">
        <f t="shared" si="18"/>
        <v>-2.1489207974113109E-2</v>
      </c>
      <c r="K98">
        <f t="shared" si="19"/>
        <v>-0.69565515177521742</v>
      </c>
      <c r="L98">
        <v>1</v>
      </c>
      <c r="M98">
        <f t="shared" si="20"/>
        <v>0.47041732859251201</v>
      </c>
      <c r="N98">
        <f t="shared" si="24"/>
        <v>8.1724793340000004E-2</v>
      </c>
      <c r="O98">
        <f t="shared" si="22"/>
        <v>5.1315340297200009E-2</v>
      </c>
      <c r="P98">
        <f t="shared" si="23"/>
        <v>9.2197689545505418E-2</v>
      </c>
      <c r="V98">
        <v>3.3999999999999702</v>
      </c>
      <c r="W98">
        <f t="shared" si="21"/>
        <v>-0.63324599999999864</v>
      </c>
    </row>
    <row r="99" spans="1:23" x14ac:dyDescent="0.3">
      <c r="A99">
        <v>4.9441093999999994</v>
      </c>
      <c r="B99">
        <v>0.52373999999999998</v>
      </c>
      <c r="C99">
        <f t="shared" si="14"/>
        <v>2.5894278571559997</v>
      </c>
      <c r="D99">
        <v>1.67E-2</v>
      </c>
      <c r="E99">
        <v>1.0486000000000001E-2</v>
      </c>
      <c r="F99">
        <f t="shared" si="15"/>
        <v>988.82187999999985</v>
      </c>
      <c r="G99">
        <f t="shared" si="16"/>
        <v>-0.52373999999999998</v>
      </c>
      <c r="H99">
        <f t="shared" si="17"/>
        <v>-517.88557143119988</v>
      </c>
      <c r="I99">
        <v>1</v>
      </c>
      <c r="J99">
        <f t="shared" si="18"/>
        <v>-1.1241064691812555E-2</v>
      </c>
      <c r="K99">
        <f t="shared" si="19"/>
        <v>-0.69798515177521747</v>
      </c>
      <c r="L99">
        <v>1</v>
      </c>
      <c r="M99">
        <f t="shared" si="20"/>
        <v>0.47090503773131664</v>
      </c>
      <c r="N99">
        <f t="shared" si="24"/>
        <v>8.2566626979999988E-2</v>
      </c>
      <c r="O99">
        <f t="shared" si="22"/>
        <v>5.1843931168399998E-2</v>
      </c>
      <c r="P99">
        <f t="shared" si="23"/>
        <v>9.2669555895500827E-2</v>
      </c>
      <c r="V99">
        <v>3.4999999999999698</v>
      </c>
      <c r="W99">
        <f t="shared" si="21"/>
        <v>-0.6380049999999986</v>
      </c>
    </row>
    <row r="100" spans="1:23" x14ac:dyDescent="0.3">
      <c r="A100">
        <v>4.9950277999999999</v>
      </c>
      <c r="B100">
        <v>0.52097000000000004</v>
      </c>
      <c r="C100">
        <f t="shared" si="14"/>
        <v>2.6022596329660002</v>
      </c>
      <c r="D100">
        <v>1.67E-2</v>
      </c>
      <c r="E100">
        <v>1.0486000000000001E-2</v>
      </c>
      <c r="F100">
        <f t="shared" si="15"/>
        <v>999.00555999999995</v>
      </c>
      <c r="G100">
        <f t="shared" si="16"/>
        <v>-0.52097000000000004</v>
      </c>
      <c r="H100">
        <f t="shared" si="17"/>
        <v>-520.45192659320003</v>
      </c>
      <c r="I100">
        <v>1</v>
      </c>
      <c r="J100">
        <f t="shared" si="18"/>
        <v>-9.9493478350571132E-4</v>
      </c>
      <c r="K100">
        <f t="shared" si="19"/>
        <v>-0.70075515177521741</v>
      </c>
      <c r="L100">
        <v>1</v>
      </c>
      <c r="M100">
        <f t="shared" si="20"/>
        <v>0.47139265105365297</v>
      </c>
      <c r="N100">
        <f t="shared" si="24"/>
        <v>8.341696425999999E-2</v>
      </c>
      <c r="O100">
        <f t="shared" si="22"/>
        <v>5.2377861510800004E-2</v>
      </c>
      <c r="P100">
        <f t="shared" si="23"/>
        <v>9.3567674950764429E-2</v>
      </c>
      <c r="V100">
        <v>3.5999999999999699</v>
      </c>
      <c r="W100">
        <f t="shared" si="21"/>
        <v>-0.64276399999999856</v>
      </c>
    </row>
    <row r="101" spans="1:23" x14ac:dyDescent="0.3">
      <c r="A101">
        <v>5.0479824000000004</v>
      </c>
      <c r="B101">
        <v>0.51793999999999996</v>
      </c>
      <c r="C101">
        <f t="shared" si="14"/>
        <v>2.6145520042560002</v>
      </c>
      <c r="D101">
        <v>1.67E-2</v>
      </c>
      <c r="E101">
        <v>1.0486000000000001E-2</v>
      </c>
      <c r="F101">
        <f t="shared" si="15"/>
        <v>1009.59648</v>
      </c>
      <c r="G101">
        <f t="shared" si="16"/>
        <v>-0.51793999999999996</v>
      </c>
      <c r="H101">
        <f t="shared" si="17"/>
        <v>-522.91040085120005</v>
      </c>
      <c r="I101">
        <v>1</v>
      </c>
      <c r="J101">
        <f t="shared" si="18"/>
        <v>9.5507262694152877E-3</v>
      </c>
      <c r="K101">
        <f t="shared" si="19"/>
        <v>-0.7037851517752175</v>
      </c>
      <c r="L101">
        <v>1</v>
      </c>
      <c r="M101">
        <f t="shared" si="20"/>
        <v>0.47189451906316149</v>
      </c>
      <c r="N101">
        <f t="shared" si="24"/>
        <v>8.4301306079999999E-2</v>
      </c>
      <c r="O101">
        <f t="shared" si="22"/>
        <v>5.2933143446400009E-2</v>
      </c>
      <c r="P101">
        <f t="shared" si="23"/>
        <v>9.4656183185655995E-2</v>
      </c>
      <c r="V101">
        <v>3.69999999999997</v>
      </c>
      <c r="W101">
        <f t="shared" si="21"/>
        <v>-0.64752299999999863</v>
      </c>
    </row>
    <row r="102" spans="1:23" x14ac:dyDescent="0.3">
      <c r="A102">
        <v>5.1045020000000001</v>
      </c>
      <c r="B102">
        <v>0.51551000000000002</v>
      </c>
      <c r="C102">
        <f t="shared" si="14"/>
        <v>2.63142182602</v>
      </c>
      <c r="D102">
        <v>1.67E-2</v>
      </c>
      <c r="E102">
        <v>1.0486000000000001E-2</v>
      </c>
      <c r="F102">
        <f t="shared" si="15"/>
        <v>1020.9004</v>
      </c>
      <c r="G102">
        <f t="shared" si="16"/>
        <v>-0.51551000000000002</v>
      </c>
      <c r="H102">
        <f t="shared" si="17"/>
        <v>-526.28436520399998</v>
      </c>
      <c r="I102">
        <v>1</v>
      </c>
      <c r="J102">
        <f t="shared" si="18"/>
        <v>2.0684983003902882E-2</v>
      </c>
      <c r="K102">
        <f t="shared" si="19"/>
        <v>-0.70621515177521743</v>
      </c>
      <c r="L102">
        <v>1</v>
      </c>
      <c r="M102">
        <f t="shared" si="20"/>
        <v>0.47242439834115574</v>
      </c>
      <c r="N102">
        <f t="shared" si="24"/>
        <v>8.5245183399999994E-2</v>
      </c>
      <c r="O102">
        <f t="shared" si="22"/>
        <v>5.3525807972000003E-2</v>
      </c>
      <c r="P102">
        <f t="shared" si="23"/>
        <v>9.5019762062061711E-2</v>
      </c>
      <c r="V102">
        <v>3.7999999999999701</v>
      </c>
      <c r="W102">
        <f t="shared" si="21"/>
        <v>-0.65228199999999859</v>
      </c>
    </row>
    <row r="103" spans="1:23" x14ac:dyDescent="0.3">
      <c r="A103">
        <v>5.1569482000000004</v>
      </c>
      <c r="B103">
        <v>0.51232</v>
      </c>
      <c r="C103">
        <f t="shared" si="14"/>
        <v>2.6420077018240002</v>
      </c>
      <c r="D103">
        <v>1.67E-2</v>
      </c>
      <c r="E103">
        <v>1.0486000000000001E-2</v>
      </c>
      <c r="F103">
        <f t="shared" si="15"/>
        <v>1031.3896400000001</v>
      </c>
      <c r="G103">
        <f t="shared" si="16"/>
        <v>-0.51232</v>
      </c>
      <c r="H103">
        <f t="shared" si="17"/>
        <v>-528.4015403648001</v>
      </c>
      <c r="I103">
        <v>1</v>
      </c>
      <c r="J103">
        <f t="shared" si="18"/>
        <v>3.0907057984700795E-2</v>
      </c>
      <c r="K103">
        <f t="shared" si="19"/>
        <v>-0.70940515177521746</v>
      </c>
      <c r="L103">
        <v>1</v>
      </c>
      <c r="M103">
        <f t="shared" si="20"/>
        <v>0.47291086688949191</v>
      </c>
      <c r="N103">
        <f t="shared" si="24"/>
        <v>8.6121034940000007E-2</v>
      </c>
      <c r="O103">
        <f t="shared" si="22"/>
        <v>5.4075758825200007E-2</v>
      </c>
      <c r="P103">
        <f t="shared" si="23"/>
        <v>9.6297491120525533E-2</v>
      </c>
      <c r="V103">
        <v>3.8999999999999599</v>
      </c>
      <c r="W103">
        <f t="shared" si="21"/>
        <v>-0.6570409999999981</v>
      </c>
    </row>
    <row r="104" spans="1:23" x14ac:dyDescent="0.3">
      <c r="A104">
        <v>5.2073568999999997</v>
      </c>
      <c r="B104">
        <v>0.50966999999999996</v>
      </c>
      <c r="C104">
        <f t="shared" si="14"/>
        <v>2.6540335912229995</v>
      </c>
      <c r="D104">
        <v>1.67E-2</v>
      </c>
      <c r="E104">
        <v>1.0486000000000001E-2</v>
      </c>
      <c r="F104">
        <f t="shared" si="15"/>
        <v>1041.47138</v>
      </c>
      <c r="G104">
        <f t="shared" si="16"/>
        <v>-0.50966999999999996</v>
      </c>
      <c r="H104">
        <f t="shared" si="17"/>
        <v>-530.80671824459989</v>
      </c>
      <c r="I104">
        <v>1</v>
      </c>
      <c r="J104">
        <f t="shared" si="18"/>
        <v>4.0634501744583065E-2</v>
      </c>
      <c r="K104">
        <f t="shared" si="19"/>
        <v>-0.7120551517752175</v>
      </c>
      <c r="L104">
        <v>1</v>
      </c>
      <c r="M104">
        <f t="shared" si="20"/>
        <v>0.47337379593802476</v>
      </c>
      <c r="N104">
        <f t="shared" si="24"/>
        <v>8.6962860229999994E-2</v>
      </c>
      <c r="O104">
        <f t="shared" si="22"/>
        <v>5.4604344453399997E-2</v>
      </c>
      <c r="P104">
        <f t="shared" si="23"/>
        <v>9.7114151153792752E-2</v>
      </c>
      <c r="V104">
        <v>3.99999999999996</v>
      </c>
      <c r="W104">
        <f t="shared" si="21"/>
        <v>-0.66179999999999817</v>
      </c>
    </row>
    <row r="105" spans="1:23" x14ac:dyDescent="0.3">
      <c r="A105">
        <v>5.2577666000000001</v>
      </c>
      <c r="B105">
        <v>0.50719000000000003</v>
      </c>
      <c r="C105">
        <f t="shared" si="14"/>
        <v>2.6666866418540001</v>
      </c>
      <c r="D105">
        <v>1.67E-2</v>
      </c>
      <c r="E105">
        <v>1.0486000000000001E-2</v>
      </c>
      <c r="F105">
        <f t="shared" si="15"/>
        <v>1051.55332</v>
      </c>
      <c r="G105">
        <f t="shared" si="16"/>
        <v>-0.50719000000000003</v>
      </c>
      <c r="H105">
        <f t="shared" si="17"/>
        <v>-533.33732837080004</v>
      </c>
      <c r="I105">
        <v>1</v>
      </c>
      <c r="J105">
        <f t="shared" si="18"/>
        <v>5.0268423386634342E-2</v>
      </c>
      <c r="K105">
        <f t="shared" si="19"/>
        <v>-0.71453515177521743</v>
      </c>
      <c r="L105">
        <v>1</v>
      </c>
      <c r="M105">
        <f t="shared" si="20"/>
        <v>0.47383227426896996</v>
      </c>
      <c r="N105">
        <f t="shared" si="24"/>
        <v>8.7804702220000003E-2</v>
      </c>
      <c r="O105">
        <f t="shared" si="22"/>
        <v>5.51329405676E-2</v>
      </c>
      <c r="P105">
        <f t="shared" si="23"/>
        <v>9.7765234718647467E-2</v>
      </c>
      <c r="V105">
        <v>4.0999999999999996</v>
      </c>
      <c r="W105">
        <f t="shared" si="21"/>
        <v>-0.66655900000000001</v>
      </c>
    </row>
    <row r="106" spans="1:23" x14ac:dyDescent="0.3">
      <c r="A106">
        <v>5.3112305000000006</v>
      </c>
      <c r="B106">
        <v>0.50421000000000005</v>
      </c>
      <c r="C106">
        <f t="shared" si="14"/>
        <v>2.6779755304050004</v>
      </c>
      <c r="D106">
        <v>1.67E-2</v>
      </c>
      <c r="E106">
        <v>1.0486000000000001E-2</v>
      </c>
      <c r="F106">
        <f t="shared" si="15"/>
        <v>1062.2461000000001</v>
      </c>
      <c r="G106">
        <f t="shared" si="16"/>
        <v>-0.50421000000000005</v>
      </c>
      <c r="H106">
        <f t="shared" si="17"/>
        <v>-535.59510608100004</v>
      </c>
      <c r="I106">
        <v>1</v>
      </c>
      <c r="J106">
        <f t="shared" si="18"/>
        <v>6.0385628553937802E-2</v>
      </c>
      <c r="K106">
        <f t="shared" si="19"/>
        <v>-0.71751515177521741</v>
      </c>
      <c r="L106">
        <v>1</v>
      </c>
      <c r="M106">
        <f t="shared" si="20"/>
        <v>0.4743137520628819</v>
      </c>
      <c r="N106">
        <f t="shared" si="24"/>
        <v>8.8697549350000002E-2</v>
      </c>
      <c r="O106">
        <f t="shared" si="22"/>
        <v>5.5693563023000006E-2</v>
      </c>
      <c r="P106">
        <f t="shared" si="23"/>
        <v>9.8810287339335487E-2</v>
      </c>
      <c r="V106">
        <v>4.2</v>
      </c>
      <c r="W106">
        <f t="shared" si="21"/>
        <v>-0.67131800000000008</v>
      </c>
    </row>
    <row r="107" spans="1:23" x14ac:dyDescent="0.3">
      <c r="A107">
        <v>5.3636762999999998</v>
      </c>
      <c r="B107">
        <v>0.50163000000000002</v>
      </c>
      <c r="C107">
        <f t="shared" si="14"/>
        <v>2.6905809423689999</v>
      </c>
      <c r="D107">
        <v>1.67E-2</v>
      </c>
      <c r="E107">
        <v>1.0486000000000001E-2</v>
      </c>
      <c r="F107">
        <f t="shared" si="15"/>
        <v>1072.7352599999999</v>
      </c>
      <c r="G107">
        <f t="shared" si="16"/>
        <v>-0.50163000000000002</v>
      </c>
      <c r="H107">
        <f t="shared" si="17"/>
        <v>-538.11618847379998</v>
      </c>
      <c r="I107">
        <v>1</v>
      </c>
      <c r="J107">
        <f t="shared" si="18"/>
        <v>7.0211704408240816E-2</v>
      </c>
      <c r="K107">
        <f t="shared" si="19"/>
        <v>-0.72009515177521743</v>
      </c>
      <c r="L107">
        <v>1</v>
      </c>
      <c r="M107">
        <f t="shared" si="20"/>
        <v>0.47478137501278822</v>
      </c>
      <c r="N107">
        <f t="shared" si="24"/>
        <v>8.957339420999999E-2</v>
      </c>
      <c r="O107">
        <f t="shared" si="22"/>
        <v>5.6243509681800002E-2</v>
      </c>
      <c r="P107">
        <f t="shared" si="23"/>
        <v>9.9496872870629222E-2</v>
      </c>
      <c r="V107">
        <v>4.3</v>
      </c>
      <c r="W107">
        <f t="shared" si="21"/>
        <v>-0.67607700000000004</v>
      </c>
    </row>
    <row r="108" spans="1:23" x14ac:dyDescent="0.3">
      <c r="A108">
        <v>5.4140854000000003</v>
      </c>
      <c r="B108">
        <v>0.49861</v>
      </c>
      <c r="C108">
        <f t="shared" si="14"/>
        <v>2.6995171212940003</v>
      </c>
      <c r="D108">
        <v>1.67E-2</v>
      </c>
      <c r="E108">
        <v>1.0486000000000001E-2</v>
      </c>
      <c r="F108">
        <f t="shared" si="15"/>
        <v>1082.81708</v>
      </c>
      <c r="G108">
        <f t="shared" si="16"/>
        <v>-0.49861</v>
      </c>
      <c r="H108">
        <f t="shared" si="17"/>
        <v>-539.9034242588001</v>
      </c>
      <c r="I108">
        <v>1</v>
      </c>
      <c r="J108">
        <f t="shared" si="18"/>
        <v>7.9566052553070241E-2</v>
      </c>
      <c r="K108">
        <f t="shared" si="19"/>
        <v>-0.72311515177521746</v>
      </c>
      <c r="L108">
        <v>1</v>
      </c>
      <c r="M108">
        <f t="shared" si="20"/>
        <v>0.47522654844100065</v>
      </c>
      <c r="N108">
        <f t="shared" si="24"/>
        <v>9.0415226180000002E-2</v>
      </c>
      <c r="O108">
        <f t="shared" si="22"/>
        <v>5.6772099504400007E-2</v>
      </c>
      <c r="P108">
        <f t="shared" si="23"/>
        <v>0.10070127764981679</v>
      </c>
      <c r="V108">
        <v>4.4000000000000004</v>
      </c>
      <c r="W108">
        <f t="shared" si="21"/>
        <v>-0.680836</v>
      </c>
    </row>
    <row r="109" spans="1:23" x14ac:dyDescent="0.3">
      <c r="A109">
        <v>5.4665313000000006</v>
      </c>
      <c r="B109">
        <v>0.49625000000000002</v>
      </c>
      <c r="C109">
        <f t="shared" si="14"/>
        <v>2.7127661576250004</v>
      </c>
      <c r="D109">
        <v>1.67E-2</v>
      </c>
      <c r="E109">
        <v>1.0486000000000001E-2</v>
      </c>
      <c r="F109">
        <f t="shared" si="15"/>
        <v>1093.3062600000001</v>
      </c>
      <c r="G109">
        <f t="shared" si="16"/>
        <v>-0.49625000000000002</v>
      </c>
      <c r="H109">
        <f t="shared" si="17"/>
        <v>-542.55323152500011</v>
      </c>
      <c r="I109">
        <v>1</v>
      </c>
      <c r="J109">
        <f t="shared" si="18"/>
        <v>8.9206371226232581E-2</v>
      </c>
      <c r="K109">
        <f t="shared" si="19"/>
        <v>-0.72547515177521738</v>
      </c>
      <c r="L109">
        <v>1</v>
      </c>
      <c r="M109">
        <f t="shared" si="20"/>
        <v>0.47568533120665646</v>
      </c>
      <c r="N109">
        <f t="shared" si="24"/>
        <v>9.1291072710000004E-2</v>
      </c>
      <c r="O109">
        <f t="shared" si="22"/>
        <v>5.7322047211800009E-2</v>
      </c>
      <c r="P109">
        <f t="shared" si="23"/>
        <v>0.1011767006467609</v>
      </c>
      <c r="V109">
        <v>4.5</v>
      </c>
      <c r="W109">
        <f t="shared" si="21"/>
        <v>-0.68559500000000007</v>
      </c>
    </row>
    <row r="110" spans="1:23" x14ac:dyDescent="0.3">
      <c r="A110">
        <v>5.5230508</v>
      </c>
      <c r="B110">
        <v>0.49314999999999998</v>
      </c>
      <c r="C110">
        <f t="shared" si="14"/>
        <v>2.72369250202</v>
      </c>
      <c r="D110">
        <v>1.67E-2</v>
      </c>
      <c r="E110">
        <v>1.0486000000000001E-2</v>
      </c>
      <c r="F110">
        <f t="shared" si="15"/>
        <v>1104.61016</v>
      </c>
      <c r="G110">
        <f t="shared" si="16"/>
        <v>-0.49314999999999998</v>
      </c>
      <c r="H110">
        <f t="shared" si="17"/>
        <v>-544.73850040399998</v>
      </c>
      <c r="I110">
        <v>1</v>
      </c>
      <c r="J110">
        <f t="shared" si="18"/>
        <v>9.9492476342341901E-2</v>
      </c>
      <c r="K110">
        <f t="shared" si="19"/>
        <v>-0.72857515177521748</v>
      </c>
      <c r="L110">
        <v>1</v>
      </c>
      <c r="M110">
        <f t="shared" si="20"/>
        <v>0.47617484694913209</v>
      </c>
      <c r="N110">
        <f t="shared" si="24"/>
        <v>9.2234948359999999E-2</v>
      </c>
      <c r="O110">
        <f t="shared" si="22"/>
        <v>5.7914710688800004E-2</v>
      </c>
      <c r="P110">
        <f t="shared" si="23"/>
        <v>0.10225064577728538</v>
      </c>
      <c r="V110">
        <v>4.5999999999999996</v>
      </c>
      <c r="W110">
        <f t="shared" si="21"/>
        <v>-0.69035400000000002</v>
      </c>
    </row>
    <row r="111" spans="1:23" x14ac:dyDescent="0.3">
      <c r="A111">
        <v>5.574478</v>
      </c>
      <c r="B111">
        <v>0.4904</v>
      </c>
      <c r="C111">
        <f t="shared" si="14"/>
        <v>2.7337240112000001</v>
      </c>
      <c r="D111">
        <v>1.67E-2</v>
      </c>
      <c r="E111">
        <v>1.0486000000000001E-2</v>
      </c>
      <c r="F111">
        <f t="shared" si="15"/>
        <v>1114.8956000000001</v>
      </c>
      <c r="G111">
        <f t="shared" si="16"/>
        <v>-0.4904</v>
      </c>
      <c r="H111">
        <f t="shared" si="17"/>
        <v>-546.74480224000001</v>
      </c>
      <c r="I111">
        <v>1</v>
      </c>
      <c r="J111">
        <f t="shared" si="18"/>
        <v>0.10876076824131042</v>
      </c>
      <c r="K111">
        <f t="shared" si="19"/>
        <v>-0.73132515177521751</v>
      </c>
      <c r="L111">
        <v>1</v>
      </c>
      <c r="M111">
        <f t="shared" si="20"/>
        <v>0.47661592496060401</v>
      </c>
      <c r="N111">
        <f t="shared" si="24"/>
        <v>9.3093782599999994E-2</v>
      </c>
      <c r="O111">
        <f t="shared" si="22"/>
        <v>5.8453976308000005E-2</v>
      </c>
      <c r="P111">
        <f t="shared" si="23"/>
        <v>0.10316146790661349</v>
      </c>
      <c r="V111">
        <v>4.7</v>
      </c>
      <c r="W111">
        <f t="shared" si="21"/>
        <v>-0.69511300000000009</v>
      </c>
    </row>
    <row r="112" spans="1:23" x14ac:dyDescent="0.3">
      <c r="A112">
        <v>5.6253965000000008</v>
      </c>
      <c r="B112">
        <v>0.48743999999999998</v>
      </c>
      <c r="C112">
        <f t="shared" si="14"/>
        <v>2.7420432699600004</v>
      </c>
      <c r="D112">
        <v>1.67E-2</v>
      </c>
      <c r="E112">
        <v>1.0486000000000001E-2</v>
      </c>
      <c r="F112">
        <f t="shared" si="15"/>
        <v>1125.0793000000001</v>
      </c>
      <c r="G112">
        <f t="shared" si="16"/>
        <v>-0.48743999999999998</v>
      </c>
      <c r="H112">
        <f t="shared" si="17"/>
        <v>-548.40865399200004</v>
      </c>
      <c r="I112">
        <v>1</v>
      </c>
      <c r="J112">
        <f t="shared" si="18"/>
        <v>0.11785352206104746</v>
      </c>
      <c r="K112">
        <f t="shared" si="19"/>
        <v>-0.73428515177521747</v>
      </c>
      <c r="L112">
        <v>1</v>
      </c>
      <c r="M112">
        <f t="shared" si="20"/>
        <v>0.47704864911488526</v>
      </c>
      <c r="N112">
        <f t="shared" si="24"/>
        <v>9.3944121550000009E-2</v>
      </c>
      <c r="O112">
        <f t="shared" si="22"/>
        <v>5.898790769900001E-2</v>
      </c>
      <c r="P112">
        <f t="shared" si="23"/>
        <v>0.1043044734113322</v>
      </c>
      <c r="V112">
        <v>4.8</v>
      </c>
      <c r="W112">
        <f t="shared" si="21"/>
        <v>-0.69987200000000005</v>
      </c>
    </row>
    <row r="113" spans="1:23" x14ac:dyDescent="0.3">
      <c r="A113">
        <v>5.6783516000000001</v>
      </c>
      <c r="B113">
        <v>0.48475000000000001</v>
      </c>
      <c r="C113">
        <f t="shared" si="14"/>
        <v>2.7525809380999999</v>
      </c>
      <c r="D113">
        <v>1.67E-2</v>
      </c>
      <c r="E113">
        <v>1.0486000000000001E-2</v>
      </c>
      <c r="F113">
        <f t="shared" si="15"/>
        <v>1135.6703199999999</v>
      </c>
      <c r="G113">
        <f t="shared" si="16"/>
        <v>-0.48475000000000001</v>
      </c>
      <c r="H113">
        <f t="shared" si="17"/>
        <v>-550.51618761999998</v>
      </c>
      <c r="I113">
        <v>1</v>
      </c>
      <c r="J113">
        <f t="shared" si="18"/>
        <v>0.12722306691191484</v>
      </c>
      <c r="K113">
        <f t="shared" si="19"/>
        <v>-0.73697515177521744</v>
      </c>
      <c r="L113">
        <v>1</v>
      </c>
      <c r="M113">
        <f t="shared" si="20"/>
        <v>0.47749454575433803</v>
      </c>
      <c r="N113">
        <f t="shared" si="24"/>
        <v>9.4828471720000002E-2</v>
      </c>
      <c r="O113">
        <f t="shared" si="22"/>
        <v>5.95431948776E-2</v>
      </c>
      <c r="P113">
        <f t="shared" si="23"/>
        <v>0.10510893942327941</v>
      </c>
      <c r="V113">
        <v>4.9000000000000004</v>
      </c>
      <c r="W113">
        <f t="shared" si="21"/>
        <v>-0.70463100000000001</v>
      </c>
    </row>
    <row r="114" spans="1:23" x14ac:dyDescent="0.3">
      <c r="A114">
        <v>5.7323252</v>
      </c>
      <c r="B114">
        <v>0.48188999999999999</v>
      </c>
      <c r="C114">
        <f t="shared" si="14"/>
        <v>2.7623501906280001</v>
      </c>
      <c r="D114">
        <v>1.67E-2</v>
      </c>
      <c r="E114">
        <v>1.0486000000000001E-2</v>
      </c>
      <c r="F114">
        <f t="shared" si="15"/>
        <v>1146.46504</v>
      </c>
      <c r="G114">
        <f t="shared" si="16"/>
        <v>-0.48188999999999999</v>
      </c>
      <c r="H114">
        <f t="shared" si="17"/>
        <v>-552.47003812560001</v>
      </c>
      <c r="I114">
        <v>1</v>
      </c>
      <c r="J114">
        <f t="shared" si="18"/>
        <v>0.13668333004672045</v>
      </c>
      <c r="K114">
        <f t="shared" si="19"/>
        <v>-0.73983515177521753</v>
      </c>
      <c r="L114">
        <v>1</v>
      </c>
      <c r="M114">
        <f t="shared" si="20"/>
        <v>0.47794475967692346</v>
      </c>
      <c r="N114">
        <f t="shared" si="24"/>
        <v>9.5729830840000002E-2</v>
      </c>
      <c r="O114">
        <f t="shared" si="22"/>
        <v>6.0109162047200002E-2</v>
      </c>
      <c r="P114">
        <f t="shared" si="23"/>
        <v>0.10605139921109406</v>
      </c>
      <c r="V114">
        <v>5</v>
      </c>
      <c r="W114">
        <f t="shared" si="21"/>
        <v>-0.70938999999999997</v>
      </c>
    </row>
    <row r="115" spans="1:23" x14ac:dyDescent="0.3">
      <c r="A115">
        <v>5.7827338999999993</v>
      </c>
      <c r="B115">
        <v>0.47908000000000001</v>
      </c>
      <c r="C115">
        <f t="shared" si="14"/>
        <v>2.7703921568119996</v>
      </c>
      <c r="D115">
        <v>1.67E-2</v>
      </c>
      <c r="E115">
        <v>1.0486000000000001E-2</v>
      </c>
      <c r="F115">
        <f t="shared" si="15"/>
        <v>1156.5467799999999</v>
      </c>
      <c r="G115">
        <f t="shared" si="16"/>
        <v>-0.47908000000000001</v>
      </c>
      <c r="H115">
        <f t="shared" si="17"/>
        <v>-554.0784313623999</v>
      </c>
      <c r="I115">
        <v>1</v>
      </c>
      <c r="J115">
        <f t="shared" si="18"/>
        <v>0.14543865150380439</v>
      </c>
      <c r="K115">
        <f t="shared" si="19"/>
        <v>-0.7426451517752175</v>
      </c>
      <c r="L115">
        <v>1</v>
      </c>
      <c r="M115">
        <f t="shared" si="20"/>
        <v>0.4783614254250661</v>
      </c>
      <c r="N115">
        <f t="shared" si="24"/>
        <v>9.6571656129999989E-2</v>
      </c>
      <c r="O115">
        <f t="shared" si="22"/>
        <v>6.0637747675399999E-2</v>
      </c>
      <c r="P115">
        <f t="shared" si="23"/>
        <v>0.10707432254475141</v>
      </c>
      <c r="V115">
        <v>5.0999999999999996</v>
      </c>
      <c r="W115">
        <f t="shared" si="21"/>
        <v>-0.71414900000000003</v>
      </c>
    </row>
    <row r="116" spans="1:23" x14ac:dyDescent="0.3">
      <c r="A116">
        <v>5.8361986999999997</v>
      </c>
      <c r="B116">
        <v>0.47652</v>
      </c>
      <c r="C116">
        <f t="shared" si="14"/>
        <v>2.781065404524</v>
      </c>
      <c r="D116">
        <v>1.67E-2</v>
      </c>
      <c r="E116">
        <v>1.0486000000000001E-2</v>
      </c>
      <c r="F116">
        <f t="shared" si="15"/>
        <v>1167.23974</v>
      </c>
      <c r="G116">
        <f t="shared" si="16"/>
        <v>-0.47652</v>
      </c>
      <c r="H116">
        <f t="shared" si="17"/>
        <v>-556.21308090479999</v>
      </c>
      <c r="I116">
        <v>1</v>
      </c>
      <c r="J116">
        <f t="shared" si="18"/>
        <v>0.15464176493950921</v>
      </c>
      <c r="K116">
        <f t="shared" si="19"/>
        <v>-0.7452051517752174</v>
      </c>
      <c r="L116">
        <v>1</v>
      </c>
      <c r="M116">
        <f t="shared" si="20"/>
        <v>0.47879940159347129</v>
      </c>
      <c r="N116">
        <f t="shared" si="24"/>
        <v>9.7464518289999996E-2</v>
      </c>
      <c r="O116">
        <f t="shared" si="22"/>
        <v>6.1198379568199998E-2</v>
      </c>
      <c r="P116">
        <f t="shared" si="23"/>
        <v>0.10774285232354612</v>
      </c>
      <c r="V116">
        <v>5.2</v>
      </c>
      <c r="W116">
        <f t="shared" si="21"/>
        <v>-0.7189080000000001</v>
      </c>
    </row>
    <row r="117" spans="1:23" x14ac:dyDescent="0.3">
      <c r="A117">
        <v>5.887626</v>
      </c>
      <c r="B117">
        <v>0.47320000000000001</v>
      </c>
      <c r="C117">
        <f t="shared" si="14"/>
        <v>2.7860246231999999</v>
      </c>
      <c r="D117">
        <v>1.67E-2</v>
      </c>
      <c r="E117">
        <v>1.0486000000000001E-2</v>
      </c>
      <c r="F117">
        <f t="shared" si="15"/>
        <v>1177.5252</v>
      </c>
      <c r="G117">
        <f t="shared" si="16"/>
        <v>-0.47320000000000001</v>
      </c>
      <c r="H117">
        <f t="shared" si="17"/>
        <v>-557.20492463999994</v>
      </c>
      <c r="I117">
        <v>1</v>
      </c>
      <c r="J117">
        <f t="shared" si="18"/>
        <v>0.16341494795331715</v>
      </c>
      <c r="K117">
        <f t="shared" si="19"/>
        <v>-0.74852515177521739</v>
      </c>
      <c r="L117">
        <v>1</v>
      </c>
      <c r="M117">
        <f t="shared" si="20"/>
        <v>0.47921691737309841</v>
      </c>
      <c r="N117">
        <f t="shared" si="24"/>
        <v>9.8323354200000004E-2</v>
      </c>
      <c r="O117">
        <f t="shared" si="22"/>
        <v>6.1737646236000004E-2</v>
      </c>
      <c r="P117">
        <f t="shared" si="23"/>
        <v>0.10924723396611899</v>
      </c>
      <c r="V117">
        <v>5.3</v>
      </c>
      <c r="W117">
        <f t="shared" si="21"/>
        <v>-0.72366700000000006</v>
      </c>
    </row>
    <row r="118" spans="1:23" x14ac:dyDescent="0.3">
      <c r="A118">
        <v>5.9395624999999992</v>
      </c>
      <c r="B118">
        <v>0.47053</v>
      </c>
      <c r="C118">
        <f t="shared" si="14"/>
        <v>2.7947423431249998</v>
      </c>
      <c r="D118">
        <v>1.67E-2</v>
      </c>
      <c r="E118">
        <v>1.0486000000000001E-2</v>
      </c>
      <c r="F118">
        <f t="shared" si="15"/>
        <v>1187.9124999999999</v>
      </c>
      <c r="G118">
        <f t="shared" si="16"/>
        <v>-0.47053</v>
      </c>
      <c r="H118">
        <f t="shared" si="17"/>
        <v>-558.94846862499992</v>
      </c>
      <c r="I118">
        <v>1</v>
      </c>
      <c r="J118">
        <f t="shared" si="18"/>
        <v>0.17219756502926989</v>
      </c>
      <c r="K118">
        <f t="shared" si="19"/>
        <v>-0.75119515177521745</v>
      </c>
      <c r="L118">
        <v>1</v>
      </c>
      <c r="M118">
        <f t="shared" si="20"/>
        <v>0.47963488211974298</v>
      </c>
      <c r="N118">
        <f t="shared" si="24"/>
        <v>9.9190693749999989E-2</v>
      </c>
      <c r="O118">
        <f t="shared" si="22"/>
        <v>6.2282252374999993E-2</v>
      </c>
      <c r="P118">
        <f t="shared" si="23"/>
        <v>0.11008732353047448</v>
      </c>
      <c r="V118">
        <v>5.4</v>
      </c>
      <c r="W118">
        <f t="shared" si="21"/>
        <v>-0.72842600000000002</v>
      </c>
    </row>
    <row r="119" spans="1:23" x14ac:dyDescent="0.3">
      <c r="A119">
        <v>5.9914990000000001</v>
      </c>
      <c r="B119">
        <v>0.46755000000000002</v>
      </c>
      <c r="C119">
        <f t="shared" si="14"/>
        <v>2.8013253574500001</v>
      </c>
      <c r="D119">
        <v>1.67E-2</v>
      </c>
      <c r="E119">
        <v>1.0486000000000001E-2</v>
      </c>
      <c r="F119">
        <f t="shared" si="15"/>
        <v>1198.2998</v>
      </c>
      <c r="G119">
        <f t="shared" si="16"/>
        <v>-0.46755000000000002</v>
      </c>
      <c r="H119">
        <f t="shared" si="17"/>
        <v>-560.26507148999997</v>
      </c>
      <c r="I119">
        <v>1</v>
      </c>
      <c r="J119">
        <f t="shared" si="18"/>
        <v>0.18090371880320721</v>
      </c>
      <c r="K119">
        <f t="shared" si="19"/>
        <v>-0.75417515177521743</v>
      </c>
      <c r="L119">
        <v>1</v>
      </c>
      <c r="M119">
        <f t="shared" si="20"/>
        <v>0.48004920797784467</v>
      </c>
      <c r="N119">
        <f t="shared" si="24"/>
        <v>0.1000580333</v>
      </c>
      <c r="O119">
        <f t="shared" si="22"/>
        <v>6.2826858514000009E-2</v>
      </c>
      <c r="P119">
        <f t="shared" si="23"/>
        <v>0.11124105198337274</v>
      </c>
      <c r="V119">
        <v>5.5</v>
      </c>
      <c r="W119">
        <f t="shared" si="21"/>
        <v>-0.73318499999999998</v>
      </c>
    </row>
    <row r="120" spans="1:23" x14ac:dyDescent="0.3">
      <c r="A120">
        <v>6.0475098000000003</v>
      </c>
      <c r="B120">
        <v>0.46476000000000001</v>
      </c>
      <c r="C120">
        <f t="shared" si="14"/>
        <v>2.8106406546480001</v>
      </c>
      <c r="D120">
        <v>1.67E-2</v>
      </c>
      <c r="E120">
        <v>1.0486000000000001E-2</v>
      </c>
      <c r="F120">
        <f t="shared" si="15"/>
        <v>1209.5019600000001</v>
      </c>
      <c r="G120">
        <f t="shared" si="16"/>
        <v>-0.46476000000000001</v>
      </c>
      <c r="H120">
        <f t="shared" si="17"/>
        <v>-562.12813092960005</v>
      </c>
      <c r="I120">
        <v>1</v>
      </c>
      <c r="J120">
        <f t="shared" si="18"/>
        <v>0.1902086715709726</v>
      </c>
      <c r="K120">
        <f t="shared" si="19"/>
        <v>-0.75696515177521739</v>
      </c>
      <c r="L120">
        <v>1</v>
      </c>
      <c r="M120">
        <f t="shared" si="20"/>
        <v>0.48049203068006263</v>
      </c>
      <c r="N120">
        <f t="shared" si="24"/>
        <v>0.10099341366</v>
      </c>
      <c r="O120">
        <f t="shared" si="22"/>
        <v>6.3414187762800001E-2</v>
      </c>
      <c r="P120">
        <f t="shared" si="23"/>
        <v>0.11206551967235476</v>
      </c>
      <c r="V120">
        <v>5.6</v>
      </c>
      <c r="W120">
        <f t="shared" si="21"/>
        <v>-0.73794399999999993</v>
      </c>
    </row>
    <row r="121" spans="1:23" x14ac:dyDescent="0.3">
      <c r="A121">
        <v>6.0999550999999999</v>
      </c>
      <c r="B121">
        <v>0.46183999999999997</v>
      </c>
      <c r="C121">
        <f t="shared" si="14"/>
        <v>2.8172032633839996</v>
      </c>
      <c r="D121">
        <v>1.67E-2</v>
      </c>
      <c r="E121">
        <v>1.0486000000000001E-2</v>
      </c>
      <c r="F121">
        <f t="shared" si="15"/>
        <v>1219.9910199999999</v>
      </c>
      <c r="G121">
        <f t="shared" si="16"/>
        <v>-0.46183999999999997</v>
      </c>
      <c r="H121">
        <f t="shared" si="17"/>
        <v>-563.44065267679991</v>
      </c>
      <c r="I121">
        <v>1</v>
      </c>
      <c r="J121">
        <f t="shared" si="18"/>
        <v>0.19884349806233767</v>
      </c>
      <c r="K121">
        <f t="shared" si="19"/>
        <v>-0.75988515177521743</v>
      </c>
      <c r="L121">
        <v>1</v>
      </c>
      <c r="M121">
        <f t="shared" si="20"/>
        <v>0.48090296207278665</v>
      </c>
      <c r="N121">
        <f t="shared" si="24"/>
        <v>0.10186925016999999</v>
      </c>
      <c r="O121">
        <f t="shared" si="22"/>
        <v>6.3964129178600004E-2</v>
      </c>
      <c r="P121">
        <f t="shared" si="23"/>
        <v>0.11314881035383079</v>
      </c>
      <c r="V121">
        <v>5.7</v>
      </c>
      <c r="W121">
        <f t="shared" si="21"/>
        <v>-0.74270300000000011</v>
      </c>
    </row>
    <row r="122" spans="1:23" x14ac:dyDescent="0.3">
      <c r="A122">
        <v>6.1518921000000004</v>
      </c>
      <c r="B122">
        <v>0.45894000000000001</v>
      </c>
      <c r="C122">
        <f t="shared" si="14"/>
        <v>2.8233493603740003</v>
      </c>
      <c r="D122">
        <v>1.67E-2</v>
      </c>
      <c r="E122">
        <v>1.0486000000000001E-2</v>
      </c>
      <c r="F122">
        <f t="shared" si="15"/>
        <v>1230.37842</v>
      </c>
      <c r="G122">
        <f t="shared" si="16"/>
        <v>-0.45894000000000001</v>
      </c>
      <c r="H122">
        <f t="shared" si="17"/>
        <v>-564.66987207480008</v>
      </c>
      <c r="I122">
        <v>1</v>
      </c>
      <c r="J122">
        <f t="shared" si="18"/>
        <v>0.20732178060372877</v>
      </c>
      <c r="K122">
        <f t="shared" si="19"/>
        <v>-0.76278515177521744</v>
      </c>
      <c r="L122">
        <v>1</v>
      </c>
      <c r="M122">
        <f t="shared" si="20"/>
        <v>0.48130644353893148</v>
      </c>
      <c r="N122">
        <f t="shared" si="24"/>
        <v>0.10273659807</v>
      </c>
      <c r="O122">
        <f t="shared" si="22"/>
        <v>6.4508740560600006E-2</v>
      </c>
      <c r="P122">
        <f t="shared" si="23"/>
        <v>0.11423336960568593</v>
      </c>
      <c r="V122">
        <v>5.8</v>
      </c>
      <c r="W122">
        <f t="shared" si="21"/>
        <v>-0.74746200000000007</v>
      </c>
    </row>
    <row r="123" spans="1:23" x14ac:dyDescent="0.3">
      <c r="A123">
        <v>6.2023013000000002</v>
      </c>
      <c r="B123">
        <v>0.45567000000000002</v>
      </c>
      <c r="C123">
        <f t="shared" si="14"/>
        <v>2.8262026333710004</v>
      </c>
      <c r="D123">
        <v>1.67E-2</v>
      </c>
      <c r="E123">
        <v>1.0486000000000001E-2</v>
      </c>
      <c r="F123">
        <f t="shared" si="15"/>
        <v>1240.4602600000001</v>
      </c>
      <c r="G123">
        <f t="shared" si="16"/>
        <v>-0.45567000000000002</v>
      </c>
      <c r="H123">
        <f t="shared" si="17"/>
        <v>-565.24052667420005</v>
      </c>
      <c r="I123">
        <v>1</v>
      </c>
      <c r="J123">
        <f t="shared" si="18"/>
        <v>0.21548248816700338</v>
      </c>
      <c r="K123">
        <f t="shared" si="19"/>
        <v>-0.76605515177521744</v>
      </c>
      <c r="L123">
        <v>1</v>
      </c>
      <c r="M123">
        <f t="shared" si="20"/>
        <v>0.48169481161186772</v>
      </c>
      <c r="N123">
        <f t="shared" si="24"/>
        <v>0.10357843171</v>
      </c>
      <c r="O123">
        <f t="shared" si="22"/>
        <v>6.5037331431800002E-2</v>
      </c>
      <c r="P123">
        <f t="shared" si="23"/>
        <v>0.11574457702154971</v>
      </c>
      <c r="V123">
        <v>5.9</v>
      </c>
      <c r="W123">
        <f t="shared" si="21"/>
        <v>-0.75222100000000003</v>
      </c>
    </row>
    <row r="124" spans="1:23" x14ac:dyDescent="0.3">
      <c r="A124">
        <v>6.2532188</v>
      </c>
      <c r="B124">
        <v>0.45312000000000002</v>
      </c>
      <c r="C124">
        <f t="shared" si="14"/>
        <v>2.8334585026560002</v>
      </c>
      <c r="D124">
        <v>1.67E-2</v>
      </c>
      <c r="E124">
        <v>1.0486000000000001E-2</v>
      </c>
      <c r="F124">
        <f t="shared" si="15"/>
        <v>1250.6437599999999</v>
      </c>
      <c r="G124">
        <f t="shared" si="16"/>
        <v>-0.45312000000000002</v>
      </c>
      <c r="H124">
        <f t="shared" si="17"/>
        <v>-566.69170053120001</v>
      </c>
      <c r="I124">
        <v>1</v>
      </c>
      <c r="J124">
        <f t="shared" si="18"/>
        <v>0.22365842674310454</v>
      </c>
      <c r="K124">
        <f t="shared" si="19"/>
        <v>-0.76860515177521749</v>
      </c>
      <c r="L124">
        <v>1</v>
      </c>
      <c r="M124">
        <f t="shared" si="20"/>
        <v>0.48208390452870437</v>
      </c>
      <c r="N124">
        <f t="shared" si="24"/>
        <v>0.10442875396</v>
      </c>
      <c r="O124">
        <f t="shared" si="22"/>
        <v>6.5571252336800001E-2</v>
      </c>
      <c r="P124">
        <f t="shared" si="23"/>
        <v>0.11652124094971311</v>
      </c>
      <c r="V124">
        <v>6</v>
      </c>
      <c r="W124">
        <f t="shared" si="21"/>
        <v>-0.75697999999999999</v>
      </c>
    </row>
    <row r="125" spans="1:23" x14ac:dyDescent="0.3">
      <c r="A125">
        <v>6.3036284</v>
      </c>
      <c r="B125">
        <v>0.45033000000000001</v>
      </c>
      <c r="C125">
        <f t="shared" si="14"/>
        <v>2.8387129773719999</v>
      </c>
      <c r="D125">
        <v>1.67E-2</v>
      </c>
      <c r="E125">
        <v>1.0486000000000001E-2</v>
      </c>
      <c r="F125">
        <f t="shared" si="15"/>
        <v>1260.72568</v>
      </c>
      <c r="G125">
        <f t="shared" si="16"/>
        <v>-0.45033000000000001</v>
      </c>
      <c r="H125">
        <f t="shared" si="17"/>
        <v>-567.74259547439999</v>
      </c>
      <c r="I125">
        <v>1</v>
      </c>
      <c r="J125">
        <f t="shared" si="18"/>
        <v>0.23168749168354497</v>
      </c>
      <c r="K125">
        <f t="shared" si="19"/>
        <v>-0.77139515177521745</v>
      </c>
      <c r="L125">
        <v>1</v>
      </c>
      <c r="M125">
        <f t="shared" si="20"/>
        <v>0.48246600772921994</v>
      </c>
      <c r="N125">
        <f t="shared" si="24"/>
        <v>0.10527059428</v>
      </c>
      <c r="O125">
        <f t="shared" si="22"/>
        <v>6.6099847402400005E-2</v>
      </c>
      <c r="P125">
        <f t="shared" si="23"/>
        <v>0.11755870236359749</v>
      </c>
      <c r="V125">
        <v>6.1</v>
      </c>
      <c r="W125">
        <f t="shared" si="21"/>
        <v>-0.76173899999999994</v>
      </c>
    </row>
    <row r="126" spans="1:23" x14ac:dyDescent="0.3">
      <c r="A126">
        <v>6.3550566000000002</v>
      </c>
      <c r="B126">
        <v>0.44733000000000001</v>
      </c>
      <c r="C126">
        <f t="shared" si="14"/>
        <v>2.8428074688780001</v>
      </c>
      <c r="D126">
        <v>1.67E-2</v>
      </c>
      <c r="E126">
        <v>1.0486000000000001E-2</v>
      </c>
      <c r="F126">
        <f t="shared" si="15"/>
        <v>1271.0113200000001</v>
      </c>
      <c r="G126">
        <f t="shared" si="16"/>
        <v>-0.44733000000000001</v>
      </c>
      <c r="H126">
        <f t="shared" si="17"/>
        <v>-568.56149377559996</v>
      </c>
      <c r="I126">
        <v>1</v>
      </c>
      <c r="J126">
        <f t="shared" si="18"/>
        <v>0.23981289854059032</v>
      </c>
      <c r="K126">
        <f t="shared" si="19"/>
        <v>-0.77439515177521745</v>
      </c>
      <c r="L126">
        <v>1</v>
      </c>
      <c r="M126">
        <f t="shared" si="20"/>
        <v>0.48285269584154672</v>
      </c>
      <c r="N126">
        <f t="shared" si="24"/>
        <v>0.10612944521999999</v>
      </c>
      <c r="O126">
        <f t="shared" si="22"/>
        <v>6.6639123507599998E-2</v>
      </c>
      <c r="P126">
        <f t="shared" si="23"/>
        <v>0.11877388720607072</v>
      </c>
      <c r="V126">
        <v>6.2</v>
      </c>
      <c r="W126">
        <f t="shared" si="21"/>
        <v>-0.76649800000000001</v>
      </c>
    </row>
    <row r="127" spans="1:23" x14ac:dyDescent="0.3">
      <c r="A127">
        <v>6.4141211</v>
      </c>
      <c r="B127">
        <v>0.44433</v>
      </c>
      <c r="C127">
        <f t="shared" si="14"/>
        <v>2.8499864283630001</v>
      </c>
      <c r="D127">
        <v>1.67E-2</v>
      </c>
      <c r="E127">
        <v>1.0486000000000001E-2</v>
      </c>
      <c r="F127">
        <f t="shared" si="15"/>
        <v>1282.82422</v>
      </c>
      <c r="G127">
        <f t="shared" si="16"/>
        <v>-0.44433</v>
      </c>
      <c r="H127">
        <f t="shared" si="17"/>
        <v>-569.99728567260001</v>
      </c>
      <c r="I127">
        <v>1</v>
      </c>
      <c r="J127">
        <f t="shared" si="18"/>
        <v>0.2490640692323719</v>
      </c>
      <c r="K127">
        <f t="shared" si="19"/>
        <v>-0.77739515177521745</v>
      </c>
      <c r="L127">
        <v>1</v>
      </c>
      <c r="M127">
        <f t="shared" si="20"/>
        <v>0.4832929590547686</v>
      </c>
      <c r="N127">
        <f t="shared" si="24"/>
        <v>0.10711582237</v>
      </c>
      <c r="O127">
        <f t="shared" si="22"/>
        <v>6.7258473854600001E-2</v>
      </c>
      <c r="P127">
        <f t="shared" si="23"/>
        <v>0.11972789649584885</v>
      </c>
      <c r="V127">
        <v>6.3</v>
      </c>
      <c r="W127">
        <f t="shared" si="21"/>
        <v>-0.77125700000000008</v>
      </c>
    </row>
    <row r="128" spans="1:23" x14ac:dyDescent="0.3">
      <c r="A128">
        <v>6.4645302999999998</v>
      </c>
      <c r="B128">
        <v>0.44085999999999997</v>
      </c>
      <c r="C128">
        <f t="shared" si="14"/>
        <v>2.8499528280579995</v>
      </c>
      <c r="D128">
        <v>1.67E-2</v>
      </c>
      <c r="E128">
        <v>1.0486000000000001E-2</v>
      </c>
      <c r="F128">
        <f t="shared" si="15"/>
        <v>1292.90606</v>
      </c>
      <c r="G128">
        <f t="shared" si="16"/>
        <v>-0.44085999999999997</v>
      </c>
      <c r="H128">
        <f t="shared" si="17"/>
        <v>-569.99056561159989</v>
      </c>
      <c r="I128">
        <v>1</v>
      </c>
      <c r="J128">
        <f t="shared" si="18"/>
        <v>0.25689244440482889</v>
      </c>
      <c r="K128">
        <f t="shared" si="19"/>
        <v>-0.78086515177521743</v>
      </c>
      <c r="L128">
        <v>1</v>
      </c>
      <c r="M128">
        <f t="shared" si="20"/>
        <v>0.48366551142922581</v>
      </c>
      <c r="N128">
        <f t="shared" si="24"/>
        <v>0.10795765601</v>
      </c>
      <c r="O128">
        <f t="shared" si="22"/>
        <v>6.7787064725799998E-2</v>
      </c>
      <c r="P128">
        <f t="shared" si="23"/>
        <v>0.1214549196101916</v>
      </c>
      <c r="V128">
        <v>6.4</v>
      </c>
      <c r="W128">
        <f t="shared" si="21"/>
        <v>-0.77601600000000004</v>
      </c>
    </row>
    <row r="129" spans="1:23" x14ac:dyDescent="0.3">
      <c r="A129">
        <v>6.5190126999999993</v>
      </c>
      <c r="B129">
        <v>0.43801000000000001</v>
      </c>
      <c r="C129">
        <f t="shared" si="14"/>
        <v>2.855392752727</v>
      </c>
      <c r="D129">
        <v>1.67E-2</v>
      </c>
      <c r="E129">
        <v>1.0486000000000001E-2</v>
      </c>
      <c r="F129">
        <f t="shared" si="15"/>
        <v>1303.8025399999999</v>
      </c>
      <c r="G129">
        <f t="shared" si="16"/>
        <v>-0.43801000000000001</v>
      </c>
      <c r="H129">
        <f t="shared" si="17"/>
        <v>-571.07855054540005</v>
      </c>
      <c r="I129">
        <v>1</v>
      </c>
      <c r="J129">
        <f t="shared" si="18"/>
        <v>0.26528502565796119</v>
      </c>
      <c r="K129">
        <f t="shared" si="19"/>
        <v>-0.78371515177521744</v>
      </c>
      <c r="L129">
        <v>1</v>
      </c>
      <c r="M129">
        <f t="shared" si="20"/>
        <v>0.48406491437106242</v>
      </c>
      <c r="N129">
        <f t="shared" si="24"/>
        <v>0.10886751208999998</v>
      </c>
      <c r="O129">
        <f t="shared" si="22"/>
        <v>6.8358367172199994E-2</v>
      </c>
      <c r="P129">
        <f t="shared" si="23"/>
        <v>0.12242435814195506</v>
      </c>
      <c r="V129">
        <v>6.5</v>
      </c>
      <c r="W129">
        <f t="shared" si="21"/>
        <v>-0.780775</v>
      </c>
    </row>
    <row r="130" spans="1:23" x14ac:dyDescent="0.3">
      <c r="A130">
        <v>6.5714589999999999</v>
      </c>
      <c r="B130">
        <v>0.43493999999999999</v>
      </c>
      <c r="C130">
        <f t="shared" si="14"/>
        <v>2.8581903774599997</v>
      </c>
      <c r="D130">
        <v>1.67E-2</v>
      </c>
      <c r="E130">
        <v>1.0486000000000001E-2</v>
      </c>
      <c r="F130">
        <f t="shared" si="15"/>
        <v>1314.2918</v>
      </c>
      <c r="G130">
        <f t="shared" si="16"/>
        <v>-0.43493999999999999</v>
      </c>
      <c r="H130">
        <f t="shared" si="17"/>
        <v>-571.63807549199998</v>
      </c>
      <c r="I130">
        <v>1</v>
      </c>
      <c r="J130">
        <f t="shared" si="18"/>
        <v>0.27329796542374341</v>
      </c>
      <c r="K130">
        <f t="shared" si="19"/>
        <v>-0.78678515177521746</v>
      </c>
      <c r="L130">
        <v>1</v>
      </c>
      <c r="M130">
        <f t="shared" si="20"/>
        <v>0.48444625017451598</v>
      </c>
      <c r="N130">
        <f t="shared" si="24"/>
        <v>0.10974336529999999</v>
      </c>
      <c r="O130">
        <f t="shared" si="22"/>
        <v>6.8908319073999996E-2</v>
      </c>
      <c r="P130">
        <f t="shared" si="23"/>
        <v>0.12368721722670148</v>
      </c>
      <c r="V130">
        <v>6.6</v>
      </c>
      <c r="W130">
        <f t="shared" si="21"/>
        <v>-0.78553399999999995</v>
      </c>
    </row>
    <row r="131" spans="1:23" x14ac:dyDescent="0.3">
      <c r="A131">
        <v>6.6228861999999999</v>
      </c>
      <c r="B131">
        <v>0.43181000000000003</v>
      </c>
      <c r="C131">
        <f t="shared" si="14"/>
        <v>2.8598284900220001</v>
      </c>
      <c r="D131">
        <v>1.67E-2</v>
      </c>
      <c r="E131">
        <v>1.0486000000000001E-2</v>
      </c>
      <c r="F131">
        <f t="shared" si="15"/>
        <v>1324.5772400000001</v>
      </c>
      <c r="G131">
        <f t="shared" si="16"/>
        <v>-0.43181000000000003</v>
      </c>
      <c r="H131">
        <f t="shared" si="17"/>
        <v>-571.9656980044</v>
      </c>
      <c r="I131">
        <v>1</v>
      </c>
      <c r="J131">
        <f t="shared" si="18"/>
        <v>0.2810933443754462</v>
      </c>
      <c r="K131">
        <f t="shared" si="19"/>
        <v>-0.78991515177521743</v>
      </c>
      <c r="L131">
        <v>1</v>
      </c>
      <c r="M131">
        <f t="shared" si="20"/>
        <v>0.4848172322588275</v>
      </c>
      <c r="N131">
        <f t="shared" si="24"/>
        <v>0.11060219954</v>
      </c>
      <c r="O131">
        <f t="shared" si="22"/>
        <v>6.9447584693200004E-2</v>
      </c>
      <c r="P131">
        <f t="shared" si="23"/>
        <v>0.12504813528318992</v>
      </c>
      <c r="V131">
        <v>6.7</v>
      </c>
      <c r="W131">
        <f t="shared" si="21"/>
        <v>-0.79029300000000002</v>
      </c>
    </row>
    <row r="132" spans="1:23" x14ac:dyDescent="0.3">
      <c r="A132">
        <v>6.6758412999999992</v>
      </c>
      <c r="B132">
        <v>0.42892999999999998</v>
      </c>
      <c r="C132">
        <f t="shared" si="14"/>
        <v>2.8634686088089993</v>
      </c>
      <c r="D132">
        <v>1.67E-2</v>
      </c>
      <c r="E132">
        <v>1.0486000000000001E-2</v>
      </c>
      <c r="F132">
        <f t="shared" si="15"/>
        <v>1335.1682599999999</v>
      </c>
      <c r="G132">
        <f t="shared" si="16"/>
        <v>-0.42892999999999998</v>
      </c>
      <c r="H132">
        <f t="shared" si="17"/>
        <v>-572.69372176179991</v>
      </c>
      <c r="I132">
        <v>1</v>
      </c>
      <c r="J132">
        <f t="shared" si="18"/>
        <v>0.28905732136334383</v>
      </c>
      <c r="K132">
        <f t="shared" si="19"/>
        <v>-0.79279515177521742</v>
      </c>
      <c r="L132">
        <v>1</v>
      </c>
      <c r="M132">
        <f t="shared" si="20"/>
        <v>0.48519623792368155</v>
      </c>
      <c r="N132">
        <f t="shared" si="24"/>
        <v>0.11148654970999998</v>
      </c>
      <c r="O132">
        <f t="shared" si="22"/>
        <v>7.0002871871800001E-2</v>
      </c>
      <c r="P132">
        <f t="shared" si="23"/>
        <v>0.12610949226973589</v>
      </c>
      <c r="V132">
        <v>6.8</v>
      </c>
      <c r="W132">
        <f t="shared" si="21"/>
        <v>-0.79505200000000009</v>
      </c>
    </row>
    <row r="133" spans="1:23" x14ac:dyDescent="0.3">
      <c r="A133">
        <v>6.7293057000000003</v>
      </c>
      <c r="B133">
        <v>0.42576999999999998</v>
      </c>
      <c r="C133">
        <f t="shared" ref="C133:C196" si="25">A133*B133</f>
        <v>2.865136487889</v>
      </c>
      <c r="D133">
        <v>1.67E-2</v>
      </c>
      <c r="E133">
        <v>1.0486000000000001E-2</v>
      </c>
      <c r="F133">
        <f t="shared" ref="F133:F196" si="26">A133*200</f>
        <v>1345.86114</v>
      </c>
      <c r="G133">
        <f t="shared" ref="G133:G144" si="27">-B133</f>
        <v>-0.42576999999999998</v>
      </c>
      <c r="H133">
        <f t="shared" ref="H133:H196" si="28">-C133*200</f>
        <v>-573.02729757780003</v>
      </c>
      <c r="I133">
        <v>1</v>
      </c>
      <c r="J133">
        <f t="shared" ref="J133:J196" si="29">LN(F133/1000)</f>
        <v>0.2970340609675331</v>
      </c>
      <c r="K133">
        <f t="shared" ref="K133:K187" si="30">((-G133)-$N$2)</f>
        <v>-0.79595515177521747</v>
      </c>
      <c r="L133">
        <v>1</v>
      </c>
      <c r="M133">
        <f t="shared" ref="M133:M196" si="31">-1*($S$4+($S$5*J133))</f>
        <v>0.4855758509614449</v>
      </c>
      <c r="N133">
        <f t="shared" si="24"/>
        <v>0.11237940519</v>
      </c>
      <c r="O133">
        <f t="shared" si="22"/>
        <v>7.05634995702E-2</v>
      </c>
      <c r="P133">
        <f t="shared" si="23"/>
        <v>0.12743639605357257</v>
      </c>
      <c r="V133">
        <v>6.9</v>
      </c>
      <c r="W133">
        <f t="shared" ref="W133:W139" si="32">V133*$S$5+$S$4</f>
        <v>-0.79981100000000005</v>
      </c>
    </row>
    <row r="134" spans="1:23" x14ac:dyDescent="0.3">
      <c r="A134">
        <v>6.7807329000000003</v>
      </c>
      <c r="B134">
        <v>0.42257</v>
      </c>
      <c r="C134">
        <f t="shared" si="25"/>
        <v>2.8653343015530002</v>
      </c>
      <c r="D134">
        <v>1.67E-2</v>
      </c>
      <c r="E134">
        <v>1.0486000000000001E-2</v>
      </c>
      <c r="F134">
        <f t="shared" si="26"/>
        <v>1356.1465800000001</v>
      </c>
      <c r="G134">
        <f t="shared" si="27"/>
        <v>-0.42257</v>
      </c>
      <c r="H134">
        <f t="shared" si="28"/>
        <v>-573.06686031060008</v>
      </c>
      <c r="I134">
        <v>1</v>
      </c>
      <c r="J134">
        <f t="shared" si="29"/>
        <v>0.30464728102123961</v>
      </c>
      <c r="K134">
        <f t="shared" si="30"/>
        <v>-0.79915515177521745</v>
      </c>
      <c r="L134">
        <v>1</v>
      </c>
      <c r="M134">
        <f t="shared" si="31"/>
        <v>0.48593816410380081</v>
      </c>
      <c r="N134">
        <f t="shared" si="24"/>
        <v>0.11323823943</v>
      </c>
      <c r="O134">
        <f t="shared" ref="O134:O144" si="33">E134*A134</f>
        <v>7.1102765189400008E-2</v>
      </c>
      <c r="P134">
        <f t="shared" ref="P134:P144" si="34">-K134-M134-N134-O134</f>
        <v>0.12887598305201664</v>
      </c>
      <c r="V134">
        <v>7</v>
      </c>
      <c r="W134">
        <f t="shared" si="32"/>
        <v>-0.80457000000000001</v>
      </c>
    </row>
    <row r="135" spans="1:23" x14ac:dyDescent="0.3">
      <c r="A135">
        <v>6.8331792</v>
      </c>
      <c r="B135">
        <v>0.41959000000000002</v>
      </c>
      <c r="C135">
        <f t="shared" si="25"/>
        <v>2.8671336605280002</v>
      </c>
      <c r="D135">
        <v>1.67E-2</v>
      </c>
      <c r="E135">
        <v>1.0486000000000001E-2</v>
      </c>
      <c r="F135">
        <f t="shared" si="26"/>
        <v>1366.6358399999999</v>
      </c>
      <c r="G135">
        <f t="shared" si="27"/>
        <v>-0.41959000000000002</v>
      </c>
      <c r="H135">
        <f t="shared" si="28"/>
        <v>-573.42673210560008</v>
      </c>
      <c r="I135">
        <v>1</v>
      </c>
      <c r="J135">
        <f t="shared" si="29"/>
        <v>0.31235212869019874</v>
      </c>
      <c r="K135">
        <f t="shared" si="30"/>
        <v>-0.80213515177521744</v>
      </c>
      <c r="L135">
        <v>1</v>
      </c>
      <c r="M135">
        <f t="shared" si="31"/>
        <v>0.48630483780436656</v>
      </c>
      <c r="N135">
        <f t="shared" ref="N135:N144" si="35">D135*A135</f>
        <v>0.11411409264</v>
      </c>
      <c r="O135">
        <f t="shared" si="33"/>
        <v>7.1652717091200011E-2</v>
      </c>
      <c r="P135">
        <f t="shared" si="34"/>
        <v>0.13006350423965085</v>
      </c>
      <c r="V135">
        <v>7.1</v>
      </c>
      <c r="W135">
        <f t="shared" si="32"/>
        <v>-0.80932899999999997</v>
      </c>
    </row>
    <row r="136" spans="1:23" x14ac:dyDescent="0.3">
      <c r="A136">
        <v>6.8840972000000002</v>
      </c>
      <c r="B136">
        <v>0.41653000000000001</v>
      </c>
      <c r="C136">
        <f t="shared" si="25"/>
        <v>2.8674330067160003</v>
      </c>
      <c r="D136">
        <v>1.67E-2</v>
      </c>
      <c r="E136">
        <v>1.0486000000000001E-2</v>
      </c>
      <c r="F136">
        <f t="shared" si="26"/>
        <v>1376.81944</v>
      </c>
      <c r="G136">
        <f t="shared" si="27"/>
        <v>-0.41653000000000001</v>
      </c>
      <c r="H136">
        <f t="shared" si="28"/>
        <v>-573.48660134320005</v>
      </c>
      <c r="I136">
        <v>1</v>
      </c>
      <c r="J136">
        <f t="shared" si="29"/>
        <v>0.31977608551336073</v>
      </c>
      <c r="K136">
        <f t="shared" si="30"/>
        <v>-0.80519515177521739</v>
      </c>
      <c r="L136">
        <v>1</v>
      </c>
      <c r="M136">
        <f t="shared" si="31"/>
        <v>0.48665814390958084</v>
      </c>
      <c r="N136">
        <f t="shared" si="35"/>
        <v>0.11496442324</v>
      </c>
      <c r="O136">
        <f t="shared" si="33"/>
        <v>7.2186643239200002E-2</v>
      </c>
      <c r="P136">
        <f t="shared" si="34"/>
        <v>0.13138594138643656</v>
      </c>
      <c r="V136">
        <v>7.2</v>
      </c>
      <c r="W136">
        <f t="shared" si="32"/>
        <v>-0.81408800000000003</v>
      </c>
    </row>
    <row r="137" spans="1:23" x14ac:dyDescent="0.3">
      <c r="A137">
        <v>6.9355254000000004</v>
      </c>
      <c r="B137">
        <v>0.41338000000000003</v>
      </c>
      <c r="C137">
        <f t="shared" si="25"/>
        <v>2.8670074898520004</v>
      </c>
      <c r="D137">
        <v>1.67E-2</v>
      </c>
      <c r="E137">
        <v>1.0486000000000001E-2</v>
      </c>
      <c r="F137">
        <f t="shared" si="26"/>
        <v>1387.10508</v>
      </c>
      <c r="G137">
        <f t="shared" si="27"/>
        <v>-0.41338000000000003</v>
      </c>
      <c r="H137">
        <f t="shared" si="28"/>
        <v>-573.4014979704001</v>
      </c>
      <c r="I137">
        <v>1</v>
      </c>
      <c r="J137">
        <f t="shared" si="29"/>
        <v>0.32721889909746549</v>
      </c>
      <c r="K137">
        <f t="shared" si="30"/>
        <v>-0.80834515177521737</v>
      </c>
      <c r="L137">
        <v>1</v>
      </c>
      <c r="M137">
        <f t="shared" si="31"/>
        <v>0.48701234740804838</v>
      </c>
      <c r="N137">
        <f t="shared" si="35"/>
        <v>0.11582327418</v>
      </c>
      <c r="O137">
        <f t="shared" si="33"/>
        <v>7.2725919344400008E-2</v>
      </c>
      <c r="P137">
        <f t="shared" si="34"/>
        <v>0.13278361084276899</v>
      </c>
      <c r="V137">
        <v>7.3</v>
      </c>
      <c r="W137">
        <f t="shared" si="32"/>
        <v>-0.8188470000000001</v>
      </c>
    </row>
    <row r="138" spans="1:23" x14ac:dyDescent="0.3">
      <c r="A138">
        <v>6.9900072999999994</v>
      </c>
      <c r="B138">
        <v>0.41016000000000002</v>
      </c>
      <c r="C138">
        <f t="shared" si="25"/>
        <v>2.8670213941679998</v>
      </c>
      <c r="D138">
        <v>1.67E-2</v>
      </c>
      <c r="E138">
        <v>1.0486000000000001E-2</v>
      </c>
      <c r="F138">
        <f t="shared" si="26"/>
        <v>1398.00146</v>
      </c>
      <c r="G138">
        <f t="shared" si="27"/>
        <v>-0.41016000000000002</v>
      </c>
      <c r="H138">
        <f t="shared" si="28"/>
        <v>-573.40427883359996</v>
      </c>
      <c r="I138">
        <v>1</v>
      </c>
      <c r="J138">
        <f t="shared" si="29"/>
        <v>0.33504368816014324</v>
      </c>
      <c r="K138">
        <f t="shared" si="30"/>
        <v>-0.81156515177521737</v>
      </c>
      <c r="L138">
        <v>1</v>
      </c>
      <c r="M138">
        <f t="shared" si="31"/>
        <v>0.48738472911954123</v>
      </c>
      <c r="N138">
        <f t="shared" si="35"/>
        <v>0.11673312190999999</v>
      </c>
      <c r="O138">
        <f t="shared" si="33"/>
        <v>7.3297216547799998E-2</v>
      </c>
      <c r="P138">
        <f t="shared" si="34"/>
        <v>0.13415008419787616</v>
      </c>
      <c r="V138">
        <v>7.4</v>
      </c>
      <c r="W138">
        <f t="shared" si="32"/>
        <v>-0.82360600000000006</v>
      </c>
    </row>
    <row r="139" spans="1:23" x14ac:dyDescent="0.3">
      <c r="A139">
        <v>7.0404169999999997</v>
      </c>
      <c r="B139">
        <v>0.40704000000000001</v>
      </c>
      <c r="C139">
        <f t="shared" si="25"/>
        <v>2.86573133568</v>
      </c>
      <c r="D139">
        <v>1.67E-2</v>
      </c>
      <c r="E139">
        <v>1.0486000000000001E-2</v>
      </c>
      <c r="F139">
        <f t="shared" si="26"/>
        <v>1408.0834</v>
      </c>
      <c r="G139">
        <f t="shared" si="27"/>
        <v>-0.40704000000000001</v>
      </c>
      <c r="H139">
        <f t="shared" si="28"/>
        <v>-573.14626713600001</v>
      </c>
      <c r="I139">
        <v>1</v>
      </c>
      <c r="J139">
        <f t="shared" si="29"/>
        <v>0.34222948893619393</v>
      </c>
      <c r="K139">
        <f t="shared" si="30"/>
        <v>-0.81468515177521739</v>
      </c>
      <c r="L139">
        <v>1</v>
      </c>
      <c r="M139">
        <f t="shared" si="31"/>
        <v>0.48772670137847352</v>
      </c>
      <c r="N139">
        <f t="shared" si="35"/>
        <v>0.1175749639</v>
      </c>
      <c r="O139">
        <f t="shared" si="33"/>
        <v>7.3825812662000001E-2</v>
      </c>
      <c r="P139">
        <f t="shared" si="34"/>
        <v>0.13555767383474387</v>
      </c>
      <c r="V139">
        <v>7.5</v>
      </c>
      <c r="W139">
        <f t="shared" si="32"/>
        <v>-0.82836500000000002</v>
      </c>
    </row>
    <row r="140" spans="1:23" x14ac:dyDescent="0.3">
      <c r="A140">
        <v>7.0943906000000005</v>
      </c>
      <c r="B140">
        <v>0.40383999999999998</v>
      </c>
      <c r="C140">
        <f t="shared" si="25"/>
        <v>2.864998699904</v>
      </c>
      <c r="D140">
        <v>1.67E-2</v>
      </c>
      <c r="E140">
        <v>1.0486000000000001E-2</v>
      </c>
      <c r="F140">
        <f t="shared" si="26"/>
        <v>1418.8781200000001</v>
      </c>
      <c r="G140">
        <f t="shared" si="27"/>
        <v>-0.40383999999999998</v>
      </c>
      <c r="H140">
        <f t="shared" si="28"/>
        <v>-572.99973998079997</v>
      </c>
      <c r="I140">
        <v>1</v>
      </c>
      <c r="J140">
        <f t="shared" si="29"/>
        <v>0.34986650301615363</v>
      </c>
      <c r="K140">
        <f t="shared" si="30"/>
        <v>-0.81788515177521748</v>
      </c>
      <c r="L140">
        <v>1</v>
      </c>
      <c r="M140">
        <f t="shared" si="31"/>
        <v>0.4880901468785388</v>
      </c>
      <c r="N140">
        <f t="shared" si="35"/>
        <v>0.11847632302000001</v>
      </c>
      <c r="O140">
        <f t="shared" si="33"/>
        <v>7.4391779831600016E-2</v>
      </c>
      <c r="P140">
        <f t="shared" si="34"/>
        <v>0.13692690204507868</v>
      </c>
    </row>
    <row r="141" spans="1:23" x14ac:dyDescent="0.3">
      <c r="A141">
        <v>7.1453080999999994</v>
      </c>
      <c r="B141">
        <v>0.40076000000000001</v>
      </c>
      <c r="C141">
        <f t="shared" si="25"/>
        <v>2.8635536741559999</v>
      </c>
      <c r="D141">
        <v>1.67E-2</v>
      </c>
      <c r="E141">
        <v>1.0486000000000001E-2</v>
      </c>
      <c r="F141">
        <f t="shared" si="26"/>
        <v>1429.0616199999999</v>
      </c>
      <c r="G141">
        <f t="shared" si="27"/>
        <v>-0.40076000000000001</v>
      </c>
      <c r="H141">
        <f t="shared" si="28"/>
        <v>-572.71073483119994</v>
      </c>
      <c r="I141">
        <v>1</v>
      </c>
      <c r="J141">
        <f t="shared" si="29"/>
        <v>0.35701801908172487</v>
      </c>
      <c r="K141">
        <f t="shared" si="30"/>
        <v>-0.82096515177521745</v>
      </c>
      <c r="L141">
        <v>1</v>
      </c>
      <c r="M141">
        <f t="shared" si="31"/>
        <v>0.48843048752809931</v>
      </c>
      <c r="N141">
        <f t="shared" si="35"/>
        <v>0.11932664526999999</v>
      </c>
      <c r="O141">
        <f t="shared" si="33"/>
        <v>7.4925700736600001E-2</v>
      </c>
      <c r="P141">
        <f t="shared" si="34"/>
        <v>0.13828231824051818</v>
      </c>
    </row>
    <row r="142" spans="1:23" x14ac:dyDescent="0.3">
      <c r="A142">
        <v>7.1982637</v>
      </c>
      <c r="B142">
        <v>0.39751999999999998</v>
      </c>
      <c r="C142">
        <f t="shared" si="25"/>
        <v>2.8614537860239997</v>
      </c>
      <c r="D142">
        <v>1.67E-2</v>
      </c>
      <c r="E142">
        <v>1.0486000000000001E-2</v>
      </c>
      <c r="F142">
        <f t="shared" si="26"/>
        <v>1439.65274</v>
      </c>
      <c r="G142">
        <f t="shared" si="27"/>
        <v>-0.39751999999999998</v>
      </c>
      <c r="H142">
        <f t="shared" si="28"/>
        <v>-572.29075720479989</v>
      </c>
      <c r="I142">
        <v>1</v>
      </c>
      <c r="J142">
        <f t="shared" si="29"/>
        <v>0.36440193172812485</v>
      </c>
      <c r="K142">
        <f t="shared" si="30"/>
        <v>-0.82420515177521747</v>
      </c>
      <c r="L142">
        <v>1</v>
      </c>
      <c r="M142">
        <f t="shared" si="31"/>
        <v>0.48878188793094146</v>
      </c>
      <c r="N142">
        <f t="shared" si="35"/>
        <v>0.12021100378999999</v>
      </c>
      <c r="O142">
        <f t="shared" si="33"/>
        <v>7.5480993158200005E-2</v>
      </c>
      <c r="P142">
        <f t="shared" si="34"/>
        <v>0.13973126689607601</v>
      </c>
    </row>
    <row r="143" spans="1:23" x14ac:dyDescent="0.3">
      <c r="A143">
        <v>7.2507090000000005</v>
      </c>
      <c r="B143">
        <v>0.39416000000000001</v>
      </c>
      <c r="C143">
        <f t="shared" si="25"/>
        <v>2.8579394594400003</v>
      </c>
      <c r="D143">
        <v>1.67E-2</v>
      </c>
      <c r="E143">
        <v>1.0486000000000001E-2</v>
      </c>
      <c r="F143">
        <f t="shared" si="26"/>
        <v>1450.1418000000001</v>
      </c>
      <c r="G143">
        <f t="shared" si="27"/>
        <v>-0.39416000000000001</v>
      </c>
      <c r="H143">
        <f t="shared" si="28"/>
        <v>-571.58789188800006</v>
      </c>
      <c r="I143">
        <v>1</v>
      </c>
      <c r="J143">
        <f t="shared" si="29"/>
        <v>0.37166134475449758</v>
      </c>
      <c r="K143">
        <f t="shared" si="30"/>
        <v>-0.82756515177521739</v>
      </c>
      <c r="L143">
        <v>1</v>
      </c>
      <c r="M143">
        <f t="shared" si="31"/>
        <v>0.48912736339686658</v>
      </c>
      <c r="N143">
        <f t="shared" si="35"/>
        <v>0.12108684030000001</v>
      </c>
      <c r="O143">
        <f t="shared" si="33"/>
        <v>7.6030934574000009E-2</v>
      </c>
      <c r="P143">
        <f t="shared" si="34"/>
        <v>0.14132001350435081</v>
      </c>
    </row>
    <row r="144" spans="1:23" x14ac:dyDescent="0.3">
      <c r="A144">
        <v>7.3026454999999997</v>
      </c>
      <c r="B144">
        <v>0.39112000000000002</v>
      </c>
      <c r="C144">
        <f t="shared" si="25"/>
        <v>2.8562107079599999</v>
      </c>
      <c r="D144">
        <v>1.67E-2</v>
      </c>
      <c r="E144">
        <v>1.0486000000000001E-2</v>
      </c>
      <c r="F144">
        <f t="shared" si="26"/>
        <v>1460.5291</v>
      </c>
      <c r="G144">
        <f t="shared" si="27"/>
        <v>-0.39112000000000002</v>
      </c>
      <c r="H144">
        <f t="shared" si="28"/>
        <v>-571.24214159199994</v>
      </c>
      <c r="I144">
        <v>1</v>
      </c>
      <c r="J144">
        <f t="shared" si="29"/>
        <v>0.37879876733049239</v>
      </c>
      <c r="K144">
        <f t="shared" si="30"/>
        <v>-0.83060515177521743</v>
      </c>
      <c r="L144">
        <v>1</v>
      </c>
      <c r="M144">
        <f t="shared" si="31"/>
        <v>0.48946703333725816</v>
      </c>
      <c r="N144">
        <f t="shared" si="35"/>
        <v>0.12195417985</v>
      </c>
      <c r="O144">
        <f t="shared" si="33"/>
        <v>7.6575540713000004E-2</v>
      </c>
      <c r="P144">
        <f t="shared" si="34"/>
        <v>0.14260839787495927</v>
      </c>
    </row>
    <row r="145" spans="1:16" x14ac:dyDescent="0.3">
      <c r="A145">
        <v>7.3535640000000004</v>
      </c>
      <c r="B145">
        <v>0.38790999999999998</v>
      </c>
      <c r="C145">
        <f t="shared" si="25"/>
        <v>2.8525210112399999</v>
      </c>
      <c r="D145">
        <v>1.67E-2</v>
      </c>
      <c r="E145">
        <v>1.0486000000000001E-2</v>
      </c>
      <c r="F145">
        <f t="shared" si="26"/>
        <v>1470.7128</v>
      </c>
      <c r="G145">
        <f t="shared" ref="G145:G187" si="36">-B145</f>
        <v>-0.38790999999999998</v>
      </c>
      <c r="H145">
        <f t="shared" si="28"/>
        <v>-570.50420224799996</v>
      </c>
      <c r="I145">
        <v>1</v>
      </c>
      <c r="J145">
        <f t="shared" si="29"/>
        <v>0.38574718122480345</v>
      </c>
      <c r="K145">
        <f t="shared" si="30"/>
        <v>-0.83381515177521748</v>
      </c>
      <c r="L145">
        <v>1</v>
      </c>
      <c r="M145">
        <f t="shared" si="31"/>
        <v>0.48979770835448844</v>
      </c>
      <c r="N145">
        <f t="shared" ref="N145:N187" si="37">D145*A145</f>
        <v>0.1228045188</v>
      </c>
      <c r="O145">
        <f t="shared" ref="O145:O187" si="38">E145*A145</f>
        <v>7.7109472104000015E-2</v>
      </c>
      <c r="P145">
        <f t="shared" ref="P145:P187" si="39">-K145-M145-N145-O145</f>
        <v>0.14410345251672904</v>
      </c>
    </row>
    <row r="146" spans="1:16" x14ac:dyDescent="0.3">
      <c r="A146">
        <v>7.4065195000000008</v>
      </c>
      <c r="B146">
        <v>0.38507000000000002</v>
      </c>
      <c r="C146">
        <f t="shared" si="25"/>
        <v>2.8520284638650004</v>
      </c>
      <c r="D146">
        <v>1.67E-2</v>
      </c>
      <c r="E146">
        <v>1.0486000000000001E-2</v>
      </c>
      <c r="F146">
        <f t="shared" si="26"/>
        <v>1481.3039000000001</v>
      </c>
      <c r="G146">
        <f t="shared" si="36"/>
        <v>-0.38507000000000002</v>
      </c>
      <c r="H146">
        <f t="shared" si="28"/>
        <v>-570.40569277300006</v>
      </c>
      <c r="I146">
        <v>1</v>
      </c>
      <c r="J146">
        <f t="shared" si="29"/>
        <v>0.39292271342492441</v>
      </c>
      <c r="K146">
        <f t="shared" si="30"/>
        <v>-0.83665515177521743</v>
      </c>
      <c r="L146">
        <v>1</v>
      </c>
      <c r="M146">
        <f t="shared" si="31"/>
        <v>0.4901391919318922</v>
      </c>
      <c r="N146">
        <f t="shared" si="37"/>
        <v>0.12368887565000002</v>
      </c>
      <c r="O146">
        <f t="shared" si="38"/>
        <v>7.7664763477000007E-2</v>
      </c>
      <c r="P146">
        <f t="shared" si="39"/>
        <v>0.14516232071632518</v>
      </c>
    </row>
    <row r="147" spans="1:16" x14ac:dyDescent="0.3">
      <c r="A147">
        <v>7.4569282000000001</v>
      </c>
      <c r="B147">
        <v>0.38167000000000001</v>
      </c>
      <c r="C147">
        <f t="shared" si="25"/>
        <v>2.8460857860940001</v>
      </c>
      <c r="D147">
        <v>1.67E-2</v>
      </c>
      <c r="E147">
        <v>1.0486000000000001E-2</v>
      </c>
      <c r="F147">
        <f t="shared" si="26"/>
        <v>1491.38564</v>
      </c>
      <c r="G147">
        <f t="shared" si="36"/>
        <v>-0.38167000000000001</v>
      </c>
      <c r="H147">
        <f t="shared" si="28"/>
        <v>-569.21715721880003</v>
      </c>
      <c r="I147">
        <v>1</v>
      </c>
      <c r="J147">
        <f t="shared" si="29"/>
        <v>0.39970564754425764</v>
      </c>
      <c r="K147">
        <f t="shared" si="30"/>
        <v>-0.8400551517752175</v>
      </c>
      <c r="L147">
        <v>1</v>
      </c>
      <c r="M147">
        <f t="shared" si="31"/>
        <v>0.49046199176663124</v>
      </c>
      <c r="N147">
        <f t="shared" si="37"/>
        <v>0.12453070094</v>
      </c>
      <c r="O147">
        <f t="shared" si="38"/>
        <v>7.8193349105200011E-2</v>
      </c>
      <c r="P147">
        <f t="shared" si="39"/>
        <v>0.14686910996338623</v>
      </c>
    </row>
    <row r="148" spans="1:16" x14ac:dyDescent="0.3">
      <c r="A148">
        <v>7.5083564000000003</v>
      </c>
      <c r="B148">
        <v>0.37839</v>
      </c>
      <c r="C148">
        <f t="shared" si="25"/>
        <v>2.841086978196</v>
      </c>
      <c r="D148">
        <v>1.67E-2</v>
      </c>
      <c r="E148">
        <v>1.0486000000000001E-2</v>
      </c>
      <c r="F148">
        <f t="shared" si="26"/>
        <v>1501.67128</v>
      </c>
      <c r="G148">
        <f t="shared" si="36"/>
        <v>-0.37839</v>
      </c>
      <c r="H148">
        <f t="shared" si="28"/>
        <v>-568.21739563920005</v>
      </c>
      <c r="I148">
        <v>1</v>
      </c>
      <c r="J148">
        <f t="shared" si="29"/>
        <v>0.40657867452953694</v>
      </c>
      <c r="K148">
        <f t="shared" si="30"/>
        <v>-0.84333515177521745</v>
      </c>
      <c r="L148">
        <v>1</v>
      </c>
      <c r="M148">
        <f t="shared" si="31"/>
        <v>0.49078907912086067</v>
      </c>
      <c r="N148">
        <f t="shared" si="37"/>
        <v>0.12538955188000001</v>
      </c>
      <c r="O148">
        <f t="shared" si="38"/>
        <v>7.8732625210400004E-2</v>
      </c>
      <c r="P148">
        <f t="shared" si="39"/>
        <v>0.14842389556395677</v>
      </c>
    </row>
    <row r="149" spans="1:16" x14ac:dyDescent="0.3">
      <c r="A149">
        <v>7.5613115000000004</v>
      </c>
      <c r="B149">
        <v>0.37489</v>
      </c>
      <c r="C149">
        <f t="shared" si="25"/>
        <v>2.8346600682350003</v>
      </c>
      <c r="D149">
        <v>1.67E-2</v>
      </c>
      <c r="E149">
        <v>1.0486000000000001E-2</v>
      </c>
      <c r="F149">
        <f t="shared" si="26"/>
        <v>1512.2623000000001</v>
      </c>
      <c r="G149">
        <f t="shared" si="36"/>
        <v>-0.37489</v>
      </c>
      <c r="H149">
        <f t="shared" si="28"/>
        <v>-566.93201364700008</v>
      </c>
      <c r="I149">
        <v>1</v>
      </c>
      <c r="J149">
        <f t="shared" si="29"/>
        <v>0.41360674154760702</v>
      </c>
      <c r="K149">
        <f t="shared" si="30"/>
        <v>-0.84683515177521751</v>
      </c>
      <c r="L149">
        <v>1</v>
      </c>
      <c r="M149">
        <f t="shared" si="31"/>
        <v>0.49112354483025067</v>
      </c>
      <c r="N149">
        <f t="shared" si="37"/>
        <v>0.12627390205</v>
      </c>
      <c r="O149">
        <f t="shared" si="38"/>
        <v>7.9287912389000015E-2</v>
      </c>
      <c r="P149">
        <f t="shared" si="39"/>
        <v>0.15014979250596683</v>
      </c>
    </row>
    <row r="150" spans="1:16" x14ac:dyDescent="0.3">
      <c r="A150">
        <v>7.6157934999999997</v>
      </c>
      <c r="B150">
        <v>0.37168000000000001</v>
      </c>
      <c r="C150">
        <f t="shared" si="25"/>
        <v>2.8306381280799999</v>
      </c>
      <c r="D150">
        <v>1.67E-2</v>
      </c>
      <c r="E150">
        <v>1.0486000000000001E-2</v>
      </c>
      <c r="F150">
        <f t="shared" si="26"/>
        <v>1523.1587</v>
      </c>
      <c r="G150">
        <f t="shared" si="36"/>
        <v>-0.37168000000000001</v>
      </c>
      <c r="H150">
        <f t="shared" si="28"/>
        <v>-566.12762561599993</v>
      </c>
      <c r="I150">
        <v>1</v>
      </c>
      <c r="J150">
        <f t="shared" si="29"/>
        <v>0.4207862707167852</v>
      </c>
      <c r="K150">
        <f t="shared" si="30"/>
        <v>-0.85004515177521744</v>
      </c>
      <c r="L150">
        <v>1</v>
      </c>
      <c r="M150">
        <f t="shared" si="31"/>
        <v>0.49146521862341186</v>
      </c>
      <c r="N150">
        <f t="shared" si="37"/>
        <v>0.12718375144999999</v>
      </c>
      <c r="O150">
        <f t="shared" si="38"/>
        <v>7.9859210641000003E-2</v>
      </c>
      <c r="P150">
        <f t="shared" si="39"/>
        <v>0.1515369710608056</v>
      </c>
    </row>
    <row r="151" spans="1:16" x14ac:dyDescent="0.3">
      <c r="A151">
        <v>7.6667119000000001</v>
      </c>
      <c r="B151">
        <v>0.36797999999999997</v>
      </c>
      <c r="C151">
        <f t="shared" si="25"/>
        <v>2.8211966449619998</v>
      </c>
      <c r="D151">
        <v>1.67E-2</v>
      </c>
      <c r="E151">
        <v>1.0486000000000001E-2</v>
      </c>
      <c r="F151">
        <f t="shared" si="26"/>
        <v>1533.34238</v>
      </c>
      <c r="G151">
        <f t="shared" si="36"/>
        <v>-0.36797999999999997</v>
      </c>
      <c r="H151">
        <f t="shared" si="28"/>
        <v>-564.23932899239992</v>
      </c>
      <c r="I151">
        <v>1</v>
      </c>
      <c r="J151">
        <f t="shared" si="29"/>
        <v>0.42744991480953476</v>
      </c>
      <c r="K151">
        <f t="shared" si="30"/>
        <v>-0.85374515177521748</v>
      </c>
      <c r="L151">
        <v>1</v>
      </c>
      <c r="M151">
        <f t="shared" si="31"/>
        <v>0.49178234144578581</v>
      </c>
      <c r="N151">
        <f t="shared" si="37"/>
        <v>0.12803408873</v>
      </c>
      <c r="O151">
        <f t="shared" si="38"/>
        <v>8.0393140983400002E-2</v>
      </c>
      <c r="P151">
        <f t="shared" si="39"/>
        <v>0.15353558061603167</v>
      </c>
    </row>
    <row r="152" spans="1:16" x14ac:dyDescent="0.3">
      <c r="A152">
        <v>7.7252680999999992</v>
      </c>
      <c r="B152">
        <v>0.36458000000000002</v>
      </c>
      <c r="C152">
        <f t="shared" si="25"/>
        <v>2.8164782438979996</v>
      </c>
      <c r="D152">
        <v>1.67E-2</v>
      </c>
      <c r="E152">
        <v>1.0486000000000001E-2</v>
      </c>
      <c r="F152">
        <f t="shared" si="26"/>
        <v>1545.0536199999999</v>
      </c>
      <c r="G152">
        <f t="shared" si="36"/>
        <v>-0.36458000000000002</v>
      </c>
      <c r="H152">
        <f t="shared" si="28"/>
        <v>-563.2956487795999</v>
      </c>
      <c r="I152">
        <v>1</v>
      </c>
      <c r="J152">
        <f t="shared" si="29"/>
        <v>0.43505861524910494</v>
      </c>
      <c r="K152">
        <f t="shared" si="30"/>
        <v>-0.85714515177521744</v>
      </c>
      <c r="L152">
        <v>1</v>
      </c>
      <c r="M152">
        <f t="shared" si="31"/>
        <v>0.49214443949970493</v>
      </c>
      <c r="N152">
        <f t="shared" si="37"/>
        <v>0.12901197726999999</v>
      </c>
      <c r="O152">
        <f t="shared" si="38"/>
        <v>8.1007161296599989E-2</v>
      </c>
      <c r="P152">
        <f t="shared" si="39"/>
        <v>0.15498157370891252</v>
      </c>
    </row>
    <row r="153" spans="1:16" x14ac:dyDescent="0.3">
      <c r="A153">
        <v>7.7756777000000001</v>
      </c>
      <c r="B153">
        <v>0.36121999999999999</v>
      </c>
      <c r="C153">
        <f t="shared" si="25"/>
        <v>2.8087302987939999</v>
      </c>
      <c r="D153">
        <v>1.67E-2</v>
      </c>
      <c r="E153">
        <v>1.0486000000000001E-2</v>
      </c>
      <c r="F153">
        <f t="shared" si="26"/>
        <v>1555.13554</v>
      </c>
      <c r="G153">
        <f t="shared" si="36"/>
        <v>-0.36121999999999999</v>
      </c>
      <c r="H153">
        <f t="shared" si="28"/>
        <v>-561.74605975880002</v>
      </c>
      <c r="I153">
        <v>1</v>
      </c>
      <c r="J153">
        <f t="shared" si="29"/>
        <v>0.44156270581977614</v>
      </c>
      <c r="K153">
        <f t="shared" si="30"/>
        <v>-0.86050515177521747</v>
      </c>
      <c r="L153">
        <v>1</v>
      </c>
      <c r="M153">
        <f t="shared" si="31"/>
        <v>0.4924539691699632</v>
      </c>
      <c r="N153">
        <f t="shared" si="37"/>
        <v>0.12985381759</v>
      </c>
      <c r="O153">
        <f t="shared" si="38"/>
        <v>8.1535756362200007E-2</v>
      </c>
      <c r="P153">
        <f t="shared" si="39"/>
        <v>0.15666160865305426</v>
      </c>
    </row>
    <row r="154" spans="1:16" x14ac:dyDescent="0.3">
      <c r="A154">
        <v>7.8276143000000005</v>
      </c>
      <c r="B154">
        <v>0.35809000000000002</v>
      </c>
      <c r="C154">
        <f t="shared" si="25"/>
        <v>2.8029904046870002</v>
      </c>
      <c r="D154">
        <v>1.67E-2</v>
      </c>
      <c r="E154">
        <v>1.0486000000000001E-2</v>
      </c>
      <c r="F154">
        <f t="shared" si="26"/>
        <v>1565.52286</v>
      </c>
      <c r="G154">
        <f t="shared" si="36"/>
        <v>-0.35809000000000002</v>
      </c>
      <c r="H154">
        <f t="shared" si="28"/>
        <v>-560.59808093740003</v>
      </c>
      <c r="I154">
        <v>1</v>
      </c>
      <c r="J154">
        <f t="shared" si="29"/>
        <v>0.44821986404117198</v>
      </c>
      <c r="K154">
        <f t="shared" si="30"/>
        <v>-0.86363515177521744</v>
      </c>
      <c r="L154">
        <v>1</v>
      </c>
      <c r="M154">
        <f t="shared" si="31"/>
        <v>0.49277078332971941</v>
      </c>
      <c r="N154">
        <f t="shared" si="37"/>
        <v>0.13072115881000002</v>
      </c>
      <c r="O154">
        <f t="shared" si="38"/>
        <v>8.2080363549800014E-2</v>
      </c>
      <c r="P154">
        <f t="shared" si="39"/>
        <v>0.15806284608569798</v>
      </c>
    </row>
    <row r="155" spans="1:16" x14ac:dyDescent="0.3">
      <c r="A155">
        <v>7.8780234</v>
      </c>
      <c r="B155">
        <v>0.35472999999999999</v>
      </c>
      <c r="C155">
        <f t="shared" si="25"/>
        <v>2.794571240682</v>
      </c>
      <c r="D155">
        <v>1.67E-2</v>
      </c>
      <c r="E155">
        <v>1.0486000000000001E-2</v>
      </c>
      <c r="F155">
        <f t="shared" si="26"/>
        <v>1575.6046799999999</v>
      </c>
      <c r="G155">
        <f t="shared" si="36"/>
        <v>-0.35472999999999999</v>
      </c>
      <c r="H155">
        <f t="shared" si="28"/>
        <v>-558.91424813640003</v>
      </c>
      <c r="I155">
        <v>1</v>
      </c>
      <c r="J155">
        <f t="shared" si="29"/>
        <v>0.45463912240723203</v>
      </c>
      <c r="K155">
        <f t="shared" si="30"/>
        <v>-0.86699515177521747</v>
      </c>
      <c r="L155">
        <v>1</v>
      </c>
      <c r="M155">
        <f t="shared" si="31"/>
        <v>0.49307627583536018</v>
      </c>
      <c r="N155">
        <f t="shared" si="37"/>
        <v>0.13156299078</v>
      </c>
      <c r="O155">
        <f t="shared" si="38"/>
        <v>8.2608953372399999E-2</v>
      </c>
      <c r="P155">
        <f t="shared" si="39"/>
        <v>0.1597469317874573</v>
      </c>
    </row>
    <row r="156" spans="1:16" x14ac:dyDescent="0.3">
      <c r="A156">
        <v>7.9294507000000003</v>
      </c>
      <c r="B156">
        <v>0.35144999999999998</v>
      </c>
      <c r="C156">
        <f t="shared" si="25"/>
        <v>2.786805448515</v>
      </c>
      <c r="D156">
        <v>1.67E-2</v>
      </c>
      <c r="E156">
        <v>1.0486000000000001E-2</v>
      </c>
      <c r="F156">
        <f t="shared" si="26"/>
        <v>1585.89014</v>
      </c>
      <c r="G156">
        <f t="shared" si="36"/>
        <v>-0.35144999999999998</v>
      </c>
      <c r="H156">
        <f t="shared" si="28"/>
        <v>-557.36108970299995</v>
      </c>
      <c r="I156">
        <v>1</v>
      </c>
      <c r="J156">
        <f t="shared" si="29"/>
        <v>0.46114585221322379</v>
      </c>
      <c r="K156">
        <f t="shared" si="30"/>
        <v>-0.87027515177521741</v>
      </c>
      <c r="L156">
        <v>1</v>
      </c>
      <c r="M156">
        <f t="shared" si="31"/>
        <v>0.49338593110682732</v>
      </c>
      <c r="N156">
        <f t="shared" si="37"/>
        <v>0.13242182668999999</v>
      </c>
      <c r="O156">
        <f t="shared" si="38"/>
        <v>8.3148220040200005E-2</v>
      </c>
      <c r="P156">
        <f t="shared" si="39"/>
        <v>0.16131917393819009</v>
      </c>
    </row>
    <row r="157" spans="1:16" x14ac:dyDescent="0.3">
      <c r="A157">
        <v>7.9829146</v>
      </c>
      <c r="B157">
        <v>0.34811999999999999</v>
      </c>
      <c r="C157">
        <f t="shared" si="25"/>
        <v>2.779012230552</v>
      </c>
      <c r="D157">
        <v>1.67E-2</v>
      </c>
      <c r="E157">
        <v>1.0486000000000001E-2</v>
      </c>
      <c r="F157">
        <f t="shared" si="26"/>
        <v>1596.5829200000001</v>
      </c>
      <c r="G157">
        <f t="shared" si="36"/>
        <v>-0.34811999999999999</v>
      </c>
      <c r="H157">
        <f t="shared" si="28"/>
        <v>-555.80244611039996</v>
      </c>
      <c r="I157">
        <v>1</v>
      </c>
      <c r="J157">
        <f t="shared" si="29"/>
        <v>0.46786567043965843</v>
      </c>
      <c r="K157">
        <f t="shared" si="30"/>
        <v>-0.87360515177521747</v>
      </c>
      <c r="L157">
        <v>1</v>
      </c>
      <c r="M157">
        <f t="shared" si="31"/>
        <v>0.49370572725622336</v>
      </c>
      <c r="N157">
        <f t="shared" si="37"/>
        <v>0.13331467382000001</v>
      </c>
      <c r="O157">
        <f t="shared" si="38"/>
        <v>8.3708842495599997E-2</v>
      </c>
      <c r="P157">
        <f t="shared" si="39"/>
        <v>0.16287590820339409</v>
      </c>
    </row>
    <row r="158" spans="1:16" x14ac:dyDescent="0.3">
      <c r="A158">
        <v>8.0343422999999987</v>
      </c>
      <c r="B158">
        <v>0.34466999999999998</v>
      </c>
      <c r="C158">
        <f t="shared" si="25"/>
        <v>2.7691967605409995</v>
      </c>
      <c r="D158">
        <v>1.67E-2</v>
      </c>
      <c r="E158">
        <v>1.0486000000000001E-2</v>
      </c>
      <c r="F158">
        <f t="shared" si="26"/>
        <v>1606.8684599999997</v>
      </c>
      <c r="G158">
        <f t="shared" si="36"/>
        <v>-0.34466999999999998</v>
      </c>
      <c r="H158">
        <f t="shared" si="28"/>
        <v>-553.83935210819993</v>
      </c>
      <c r="I158">
        <v>1</v>
      </c>
      <c r="J158">
        <f t="shared" si="29"/>
        <v>0.47428722901806553</v>
      </c>
      <c r="K158">
        <f t="shared" si="30"/>
        <v>-0.87705515177521742</v>
      </c>
      <c r="L158">
        <v>1</v>
      </c>
      <c r="M158">
        <f t="shared" si="31"/>
        <v>0.49401132922896979</v>
      </c>
      <c r="N158">
        <f t="shared" si="37"/>
        <v>0.13417351640999997</v>
      </c>
      <c r="O158">
        <f t="shared" si="38"/>
        <v>8.4248113357799997E-2</v>
      </c>
      <c r="P158">
        <f t="shared" si="39"/>
        <v>0.16462219277844767</v>
      </c>
    </row>
    <row r="159" spans="1:16" x14ac:dyDescent="0.3">
      <c r="A159">
        <v>8.0862788000000005</v>
      </c>
      <c r="B159">
        <v>0.34145999999999999</v>
      </c>
      <c r="C159">
        <f t="shared" si="25"/>
        <v>2.7611407590480002</v>
      </c>
      <c r="D159">
        <v>1.67E-2</v>
      </c>
      <c r="E159">
        <v>1.0486000000000001E-2</v>
      </c>
      <c r="F159">
        <f t="shared" si="26"/>
        <v>1617.25576</v>
      </c>
      <c r="G159">
        <f t="shared" si="36"/>
        <v>-0.34145999999999999</v>
      </c>
      <c r="H159">
        <f t="shared" si="28"/>
        <v>-552.22815180960004</v>
      </c>
      <c r="I159">
        <v>1</v>
      </c>
      <c r="J159">
        <f t="shared" si="29"/>
        <v>0.48073073753709922</v>
      </c>
      <c r="K159">
        <f t="shared" si="30"/>
        <v>-0.88026515177521747</v>
      </c>
      <c r="L159">
        <v>1</v>
      </c>
      <c r="M159">
        <f t="shared" si="31"/>
        <v>0.49431797579939057</v>
      </c>
      <c r="N159">
        <f t="shared" si="37"/>
        <v>0.13504085596000001</v>
      </c>
      <c r="O159">
        <f t="shared" si="38"/>
        <v>8.4792719496800006E-2</v>
      </c>
      <c r="P159">
        <f t="shared" si="39"/>
        <v>0.1661136005190269</v>
      </c>
    </row>
    <row r="160" spans="1:16" x14ac:dyDescent="0.3">
      <c r="A160">
        <v>8.1366879999999995</v>
      </c>
      <c r="B160">
        <v>0.33811999999999998</v>
      </c>
      <c r="C160">
        <f t="shared" si="25"/>
        <v>2.7511769465599998</v>
      </c>
      <c r="D160">
        <v>1.67E-2</v>
      </c>
      <c r="E160">
        <v>1.0486000000000001E-2</v>
      </c>
      <c r="F160">
        <f t="shared" si="26"/>
        <v>1627.3375999999998</v>
      </c>
      <c r="G160">
        <f t="shared" si="36"/>
        <v>-0.33811999999999998</v>
      </c>
      <c r="H160">
        <f t="shared" si="28"/>
        <v>-550.23538931199994</v>
      </c>
      <c r="I160">
        <v>1</v>
      </c>
      <c r="J160">
        <f t="shared" si="29"/>
        <v>0.48694530517550172</v>
      </c>
      <c r="K160">
        <f t="shared" si="30"/>
        <v>-0.88360515177521748</v>
      </c>
      <c r="L160">
        <v>1</v>
      </c>
      <c r="M160">
        <f t="shared" si="31"/>
        <v>0.49461372707330215</v>
      </c>
      <c r="N160">
        <f t="shared" si="37"/>
        <v>0.1358826896</v>
      </c>
      <c r="O160">
        <f t="shared" si="38"/>
        <v>8.5321310368000003E-2</v>
      </c>
      <c r="P160">
        <f t="shared" si="39"/>
        <v>0.16778742473391534</v>
      </c>
    </row>
    <row r="161" spans="1:16" x14ac:dyDescent="0.3">
      <c r="A161">
        <v>8.1886244999999995</v>
      </c>
      <c r="B161">
        <v>0.33482000000000001</v>
      </c>
      <c r="C161">
        <f t="shared" si="25"/>
        <v>2.7417152550899999</v>
      </c>
      <c r="D161">
        <v>1.67E-2</v>
      </c>
      <c r="E161">
        <v>1.0486000000000001E-2</v>
      </c>
      <c r="F161">
        <f t="shared" si="26"/>
        <v>1637.7248999999999</v>
      </c>
      <c r="G161">
        <f t="shared" si="36"/>
        <v>-0.33482000000000001</v>
      </c>
      <c r="H161">
        <f t="shared" si="28"/>
        <v>-548.34305101799998</v>
      </c>
      <c r="I161">
        <v>1</v>
      </c>
      <c r="J161">
        <f t="shared" si="29"/>
        <v>0.49330802260796375</v>
      </c>
      <c r="K161">
        <f t="shared" si="30"/>
        <v>-0.88690515177521745</v>
      </c>
      <c r="L161">
        <v>1</v>
      </c>
      <c r="M161">
        <f t="shared" si="31"/>
        <v>0.49491652879591302</v>
      </c>
      <c r="N161">
        <f t="shared" si="37"/>
        <v>0.13675002914999998</v>
      </c>
      <c r="O161">
        <f t="shared" si="38"/>
        <v>8.5865916506999998E-2</v>
      </c>
      <c r="P161">
        <f t="shared" si="39"/>
        <v>0.16937267732230449</v>
      </c>
    </row>
    <row r="162" spans="1:16" x14ac:dyDescent="0.3">
      <c r="A162">
        <v>8.2420889000000006</v>
      </c>
      <c r="B162">
        <v>0.33132</v>
      </c>
      <c r="C162">
        <f t="shared" si="25"/>
        <v>2.7307688943480004</v>
      </c>
      <c r="D162">
        <v>1.67E-2</v>
      </c>
      <c r="E162">
        <v>1.0486000000000001E-2</v>
      </c>
      <c r="F162">
        <f t="shared" si="26"/>
        <v>1648.4177800000002</v>
      </c>
      <c r="G162">
        <f t="shared" si="36"/>
        <v>-0.33132</v>
      </c>
      <c r="H162">
        <f t="shared" si="28"/>
        <v>-546.15377886960005</v>
      </c>
      <c r="I162">
        <v>1</v>
      </c>
      <c r="J162">
        <f t="shared" si="29"/>
        <v>0.49981590664129216</v>
      </c>
      <c r="K162">
        <f t="shared" si="30"/>
        <v>-0.8904051517752174</v>
      </c>
      <c r="L162">
        <v>1</v>
      </c>
      <c r="M162">
        <f t="shared" si="31"/>
        <v>0.49522623899705914</v>
      </c>
      <c r="N162">
        <f t="shared" si="37"/>
        <v>0.13764288463000002</v>
      </c>
      <c r="O162">
        <f t="shared" si="38"/>
        <v>8.642654420540001E-2</v>
      </c>
      <c r="P162">
        <f t="shared" si="39"/>
        <v>0.17110948394275821</v>
      </c>
    </row>
    <row r="163" spans="1:16" x14ac:dyDescent="0.3">
      <c r="A163">
        <v>8.2975908</v>
      </c>
      <c r="B163">
        <v>0.32768000000000003</v>
      </c>
      <c r="C163">
        <f t="shared" si="25"/>
        <v>2.718954553344</v>
      </c>
      <c r="D163">
        <v>1.67E-2</v>
      </c>
      <c r="E163">
        <v>1.0486000000000001E-2</v>
      </c>
      <c r="F163">
        <f t="shared" si="26"/>
        <v>1659.5181600000001</v>
      </c>
      <c r="G163">
        <f t="shared" si="36"/>
        <v>-0.32768000000000003</v>
      </c>
      <c r="H163">
        <f t="shared" si="28"/>
        <v>-543.79091066880005</v>
      </c>
      <c r="I163">
        <v>1</v>
      </c>
      <c r="J163">
        <f t="shared" si="29"/>
        <v>0.50652729517315465</v>
      </c>
      <c r="K163">
        <f t="shared" si="30"/>
        <v>-0.89404515177521748</v>
      </c>
      <c r="L163">
        <v>1</v>
      </c>
      <c r="M163">
        <f t="shared" si="31"/>
        <v>0.49554563397729046</v>
      </c>
      <c r="N163">
        <f t="shared" si="37"/>
        <v>0.13856976635999999</v>
      </c>
      <c r="O163">
        <f t="shared" si="38"/>
        <v>8.7008537128800009E-2</v>
      </c>
      <c r="P163">
        <f t="shared" si="39"/>
        <v>0.17292121430912705</v>
      </c>
    </row>
    <row r="164" spans="1:16" x14ac:dyDescent="0.3">
      <c r="A164">
        <v>8.3479989999999997</v>
      </c>
      <c r="B164">
        <v>0.32446999999999998</v>
      </c>
      <c r="C164">
        <f t="shared" si="25"/>
        <v>2.7086752355299999</v>
      </c>
      <c r="D164">
        <v>1.67E-2</v>
      </c>
      <c r="E164">
        <v>1.0486000000000001E-2</v>
      </c>
      <c r="F164">
        <f t="shared" si="26"/>
        <v>1669.5998</v>
      </c>
      <c r="G164">
        <f t="shared" si="36"/>
        <v>-0.32446999999999998</v>
      </c>
      <c r="H164">
        <f t="shared" si="28"/>
        <v>-541.73504710600002</v>
      </c>
      <c r="I164">
        <v>1</v>
      </c>
      <c r="J164">
        <f t="shared" si="29"/>
        <v>0.51258395699167558</v>
      </c>
      <c r="K164">
        <f t="shared" si="30"/>
        <v>-0.89725515177521742</v>
      </c>
      <c r="L164">
        <v>1</v>
      </c>
      <c r="M164">
        <f t="shared" si="31"/>
        <v>0.49583387051323385</v>
      </c>
      <c r="N164">
        <f t="shared" si="37"/>
        <v>0.1394115833</v>
      </c>
      <c r="O164">
        <f t="shared" si="38"/>
        <v>8.7537117514000007E-2</v>
      </c>
      <c r="P164">
        <f t="shared" si="39"/>
        <v>0.17447258044798358</v>
      </c>
    </row>
    <row r="165" spans="1:16" x14ac:dyDescent="0.3">
      <c r="A165">
        <v>8.3989180000000001</v>
      </c>
      <c r="B165">
        <v>0.32129999999999997</v>
      </c>
      <c r="C165">
        <f t="shared" si="25"/>
        <v>2.6985723533999999</v>
      </c>
      <c r="D165">
        <v>1.67E-2</v>
      </c>
      <c r="E165">
        <v>1.0486000000000001E-2</v>
      </c>
      <c r="F165">
        <f t="shared" si="26"/>
        <v>1679.7836</v>
      </c>
      <c r="G165">
        <f t="shared" si="36"/>
        <v>-0.32129999999999997</v>
      </c>
      <c r="H165">
        <f t="shared" si="28"/>
        <v>-539.71447067999998</v>
      </c>
      <c r="I165">
        <v>1</v>
      </c>
      <c r="J165">
        <f t="shared" si="29"/>
        <v>0.51866497559469882</v>
      </c>
      <c r="K165">
        <f t="shared" si="30"/>
        <v>-0.90042515177521754</v>
      </c>
      <c r="L165">
        <v>1</v>
      </c>
      <c r="M165">
        <f t="shared" si="31"/>
        <v>0.49612326618855174</v>
      </c>
      <c r="N165">
        <f t="shared" si="37"/>
        <v>0.1402619306</v>
      </c>
      <c r="O165">
        <f t="shared" si="38"/>
        <v>8.8071054148000011E-2</v>
      </c>
      <c r="P165">
        <f t="shared" si="39"/>
        <v>0.17596890083866576</v>
      </c>
    </row>
    <row r="166" spans="1:16" x14ac:dyDescent="0.3">
      <c r="A166">
        <v>8.4518730000000009</v>
      </c>
      <c r="B166">
        <v>0.31781999999999999</v>
      </c>
      <c r="C166">
        <f t="shared" si="25"/>
        <v>2.6861742768600001</v>
      </c>
      <c r="D166">
        <v>1.67E-2</v>
      </c>
      <c r="E166">
        <v>1.0486000000000001E-2</v>
      </c>
      <c r="F166">
        <f t="shared" si="26"/>
        <v>1690.3746000000001</v>
      </c>
      <c r="G166">
        <f t="shared" si="36"/>
        <v>-0.31781999999999999</v>
      </c>
      <c r="H166">
        <f t="shared" si="28"/>
        <v>-537.23485537199997</v>
      </c>
      <c r="I166">
        <v>1</v>
      </c>
      <c r="J166">
        <f t="shared" si="29"/>
        <v>0.52495016117747595</v>
      </c>
      <c r="K166">
        <f t="shared" si="30"/>
        <v>-0.90390515177521746</v>
      </c>
      <c r="L166">
        <v>1</v>
      </c>
      <c r="M166">
        <f t="shared" si="31"/>
        <v>0.49642237817043611</v>
      </c>
      <c r="N166">
        <f t="shared" si="37"/>
        <v>0.14114627910000002</v>
      </c>
      <c r="O166">
        <f t="shared" si="38"/>
        <v>8.862634027800001E-2</v>
      </c>
      <c r="P166">
        <f t="shared" si="39"/>
        <v>0.17771015422678135</v>
      </c>
    </row>
    <row r="167" spans="1:16" x14ac:dyDescent="0.3">
      <c r="A167">
        <v>8.5033007999999999</v>
      </c>
      <c r="B167">
        <v>0.31429000000000001</v>
      </c>
      <c r="C167">
        <f t="shared" si="25"/>
        <v>2.6725024084319999</v>
      </c>
      <c r="D167">
        <v>1.67E-2</v>
      </c>
      <c r="E167">
        <v>1.0486000000000001E-2</v>
      </c>
      <c r="F167">
        <f t="shared" si="26"/>
        <v>1700.6601599999999</v>
      </c>
      <c r="G167">
        <f t="shared" si="36"/>
        <v>-0.31429000000000001</v>
      </c>
      <c r="H167">
        <f t="shared" si="28"/>
        <v>-534.50048168640001</v>
      </c>
      <c r="I167">
        <v>1</v>
      </c>
      <c r="J167">
        <f t="shared" si="29"/>
        <v>0.53101650509358334</v>
      </c>
      <c r="K167">
        <f t="shared" si="30"/>
        <v>-0.9074351517752175</v>
      </c>
      <c r="L167">
        <v>1</v>
      </c>
      <c r="M167">
        <f t="shared" si="31"/>
        <v>0.49671107547740367</v>
      </c>
      <c r="N167">
        <f t="shared" si="37"/>
        <v>0.14200512335999999</v>
      </c>
      <c r="O167">
        <f t="shared" si="38"/>
        <v>8.9165612188800009E-2</v>
      </c>
      <c r="P167">
        <f t="shared" si="39"/>
        <v>0.17955334074901383</v>
      </c>
    </row>
    <row r="168" spans="1:16" x14ac:dyDescent="0.3">
      <c r="A168">
        <v>8.5552372999999999</v>
      </c>
      <c r="B168">
        <v>0.31118000000000001</v>
      </c>
      <c r="C168">
        <f t="shared" si="25"/>
        <v>2.6622187430140003</v>
      </c>
      <c r="D168">
        <v>1.67E-2</v>
      </c>
      <c r="E168">
        <v>1.0486000000000001E-2</v>
      </c>
      <c r="F168">
        <f t="shared" si="26"/>
        <v>1711.04746</v>
      </c>
      <c r="G168">
        <f t="shared" si="36"/>
        <v>-0.31118000000000001</v>
      </c>
      <c r="H168">
        <f t="shared" si="28"/>
        <v>-532.44374860280004</v>
      </c>
      <c r="I168">
        <v>1</v>
      </c>
      <c r="J168">
        <f t="shared" si="29"/>
        <v>0.53710573269017658</v>
      </c>
      <c r="K168">
        <f t="shared" si="30"/>
        <v>-0.91054515177521744</v>
      </c>
      <c r="L168">
        <v>1</v>
      </c>
      <c r="M168">
        <f t="shared" si="31"/>
        <v>0.49700086181872555</v>
      </c>
      <c r="N168">
        <f t="shared" si="37"/>
        <v>0.14287246291</v>
      </c>
      <c r="O168">
        <f t="shared" si="38"/>
        <v>8.9710218327800004E-2</v>
      </c>
      <c r="P168">
        <f t="shared" si="39"/>
        <v>0.18096160871869188</v>
      </c>
    </row>
    <row r="169" spans="1:16" x14ac:dyDescent="0.3">
      <c r="A169">
        <v>8.6056474999999999</v>
      </c>
      <c r="B169">
        <v>0.30787999999999999</v>
      </c>
      <c r="C169">
        <f t="shared" si="25"/>
        <v>2.6495067522999998</v>
      </c>
      <c r="D169">
        <v>1.67E-2</v>
      </c>
      <c r="E169">
        <v>1.0486000000000001E-2</v>
      </c>
      <c r="F169">
        <f t="shared" si="26"/>
        <v>1721.1295</v>
      </c>
      <c r="G169">
        <f t="shared" si="36"/>
        <v>-0.30787999999999999</v>
      </c>
      <c r="H169">
        <f t="shared" si="28"/>
        <v>-529.90135046</v>
      </c>
      <c r="I169">
        <v>1</v>
      </c>
      <c r="J169">
        <f t="shared" si="29"/>
        <v>0.54298076134794071</v>
      </c>
      <c r="K169">
        <f t="shared" si="30"/>
        <v>-0.91384515177521752</v>
      </c>
      <c r="L169">
        <v>1</v>
      </c>
      <c r="M169">
        <f t="shared" si="31"/>
        <v>0.49728045443254854</v>
      </c>
      <c r="N169">
        <f t="shared" si="37"/>
        <v>0.14371431325</v>
      </c>
      <c r="O169">
        <f t="shared" si="38"/>
        <v>9.0238819684999999E-2</v>
      </c>
      <c r="P169">
        <f t="shared" si="39"/>
        <v>0.18261156440766899</v>
      </c>
    </row>
    <row r="170" spans="1:16" x14ac:dyDescent="0.3">
      <c r="A170">
        <v>8.6580927999999986</v>
      </c>
      <c r="B170">
        <v>0.30464999999999998</v>
      </c>
      <c r="C170">
        <f t="shared" si="25"/>
        <v>2.6376879715199992</v>
      </c>
      <c r="D170">
        <v>1.67E-2</v>
      </c>
      <c r="E170">
        <v>1.0486000000000001E-2</v>
      </c>
      <c r="F170">
        <f t="shared" si="26"/>
        <v>1731.6185599999997</v>
      </c>
      <c r="G170">
        <f t="shared" si="36"/>
        <v>-0.30464999999999998</v>
      </c>
      <c r="H170">
        <f t="shared" si="28"/>
        <v>-527.53759430399987</v>
      </c>
      <c r="I170">
        <v>1</v>
      </c>
      <c r="J170">
        <f t="shared" si="29"/>
        <v>0.54905655493896488</v>
      </c>
      <c r="K170">
        <f t="shared" si="30"/>
        <v>-0.91707515177521748</v>
      </c>
      <c r="L170">
        <v>1</v>
      </c>
      <c r="M170">
        <f t="shared" si="31"/>
        <v>0.49756960144954537</v>
      </c>
      <c r="N170">
        <f t="shared" si="37"/>
        <v>0.14459014975999998</v>
      </c>
      <c r="O170">
        <f t="shared" si="38"/>
        <v>9.0788761100799989E-2</v>
      </c>
      <c r="P170">
        <f t="shared" si="39"/>
        <v>0.18412663946487212</v>
      </c>
    </row>
    <row r="171" spans="1:16" x14ac:dyDescent="0.3">
      <c r="A171">
        <v>8.708501</v>
      </c>
      <c r="B171">
        <v>0.30169000000000001</v>
      </c>
      <c r="C171">
        <f t="shared" si="25"/>
        <v>2.6272676666900003</v>
      </c>
      <c r="D171">
        <v>1.67E-2</v>
      </c>
      <c r="E171">
        <v>1.0486000000000001E-2</v>
      </c>
      <c r="F171">
        <f t="shared" si="26"/>
        <v>1741.7002</v>
      </c>
      <c r="G171">
        <f t="shared" si="36"/>
        <v>-0.30169000000000001</v>
      </c>
      <c r="H171">
        <f t="shared" si="28"/>
        <v>-525.45353333800006</v>
      </c>
      <c r="I171">
        <v>1</v>
      </c>
      <c r="J171">
        <f t="shared" si="29"/>
        <v>0.55486176258593378</v>
      </c>
      <c r="K171">
        <f t="shared" si="30"/>
        <v>-0.92003515177521744</v>
      </c>
      <c r="L171">
        <v>1</v>
      </c>
      <c r="M171">
        <f t="shared" si="31"/>
        <v>0.49784587128146462</v>
      </c>
      <c r="N171">
        <f t="shared" si="37"/>
        <v>0.1454319667</v>
      </c>
      <c r="O171">
        <f t="shared" si="38"/>
        <v>9.1317341486E-2</v>
      </c>
      <c r="P171">
        <f t="shared" si="39"/>
        <v>0.18543997230775278</v>
      </c>
    </row>
    <row r="172" spans="1:16" x14ac:dyDescent="0.3">
      <c r="A172">
        <v>8.7589111000000006</v>
      </c>
      <c r="B172">
        <v>0.29804000000000003</v>
      </c>
      <c r="C172">
        <f t="shared" si="25"/>
        <v>2.6105058642440002</v>
      </c>
      <c r="D172">
        <v>1.67E-2</v>
      </c>
      <c r="E172">
        <v>1.0486000000000001E-2</v>
      </c>
      <c r="F172">
        <f t="shared" si="26"/>
        <v>1751.7822200000001</v>
      </c>
      <c r="G172">
        <f t="shared" si="36"/>
        <v>-0.29804000000000003</v>
      </c>
      <c r="H172">
        <f t="shared" si="28"/>
        <v>-522.10117284880005</v>
      </c>
      <c r="I172">
        <v>1</v>
      </c>
      <c r="J172">
        <f t="shared" si="29"/>
        <v>0.56063368113489231</v>
      </c>
      <c r="K172">
        <f t="shared" si="30"/>
        <v>-0.92368515177521737</v>
      </c>
      <c r="L172">
        <v>1</v>
      </c>
      <c r="M172">
        <f t="shared" si="31"/>
        <v>0.49812055688520956</v>
      </c>
      <c r="N172">
        <f t="shared" si="37"/>
        <v>0.14627381537</v>
      </c>
      <c r="O172">
        <f t="shared" si="38"/>
        <v>9.1845941794600011E-2</v>
      </c>
      <c r="P172">
        <f t="shared" si="39"/>
        <v>0.18744483772540779</v>
      </c>
    </row>
    <row r="173" spans="1:16" x14ac:dyDescent="0.3">
      <c r="A173">
        <v>8.8093193000000003</v>
      </c>
      <c r="B173">
        <v>0.29487000000000002</v>
      </c>
      <c r="C173">
        <f t="shared" si="25"/>
        <v>2.5976039819910004</v>
      </c>
      <c r="D173">
        <v>1.67E-2</v>
      </c>
      <c r="E173">
        <v>1.0486000000000001E-2</v>
      </c>
      <c r="F173">
        <f t="shared" si="26"/>
        <v>1761.8638600000002</v>
      </c>
      <c r="G173">
        <f t="shared" si="36"/>
        <v>-0.29487000000000002</v>
      </c>
      <c r="H173">
        <f t="shared" si="28"/>
        <v>-519.5207963982001</v>
      </c>
      <c r="I173">
        <v>1</v>
      </c>
      <c r="J173">
        <f t="shared" si="29"/>
        <v>0.56637226005674401</v>
      </c>
      <c r="K173">
        <f t="shared" si="30"/>
        <v>-0.92685515177521749</v>
      </c>
      <c r="L173">
        <v>1</v>
      </c>
      <c r="M173">
        <f t="shared" si="31"/>
        <v>0.49839365585610046</v>
      </c>
      <c r="N173">
        <f t="shared" si="37"/>
        <v>0.14711563230999999</v>
      </c>
      <c r="O173">
        <f t="shared" si="38"/>
        <v>9.2374522179800009E-2</v>
      </c>
      <c r="P173">
        <f t="shared" si="39"/>
        <v>0.18897134142931704</v>
      </c>
    </row>
    <row r="174" spans="1:16" x14ac:dyDescent="0.3">
      <c r="A174">
        <v>8.8612558999999997</v>
      </c>
      <c r="B174">
        <v>0.29191</v>
      </c>
      <c r="C174">
        <f t="shared" si="25"/>
        <v>2.5866892097689997</v>
      </c>
      <c r="D174">
        <v>1.67E-2</v>
      </c>
      <c r="E174">
        <v>1.0486000000000001E-2</v>
      </c>
      <c r="F174">
        <f t="shared" si="26"/>
        <v>1772.25118</v>
      </c>
      <c r="G174">
        <f t="shared" si="36"/>
        <v>-0.29191</v>
      </c>
      <c r="H174">
        <f t="shared" si="28"/>
        <v>-517.33784195379997</v>
      </c>
      <c r="I174">
        <v>1</v>
      </c>
      <c r="J174">
        <f t="shared" si="29"/>
        <v>0.57225059157305314</v>
      </c>
      <c r="K174">
        <f t="shared" si="30"/>
        <v>-0.92981515177521745</v>
      </c>
      <c r="L174">
        <v>1</v>
      </c>
      <c r="M174">
        <f t="shared" si="31"/>
        <v>0.49867340565296164</v>
      </c>
      <c r="N174">
        <f t="shared" si="37"/>
        <v>0.14798297352999998</v>
      </c>
      <c r="O174">
        <f t="shared" si="38"/>
        <v>9.2919129367400002E-2</v>
      </c>
      <c r="P174">
        <f t="shared" si="39"/>
        <v>0.19023964322485587</v>
      </c>
    </row>
    <row r="175" spans="1:16" x14ac:dyDescent="0.3">
      <c r="A175">
        <v>8.9116660000000003</v>
      </c>
      <c r="B175">
        <v>0.28822999999999999</v>
      </c>
      <c r="C175">
        <f t="shared" si="25"/>
        <v>2.5686094911800001</v>
      </c>
      <c r="D175">
        <v>1.67E-2</v>
      </c>
      <c r="E175">
        <v>1.0486000000000001E-2</v>
      </c>
      <c r="F175">
        <f t="shared" si="26"/>
        <v>1782.3332</v>
      </c>
      <c r="G175">
        <f t="shared" si="36"/>
        <v>-0.28822999999999999</v>
      </c>
      <c r="H175">
        <f t="shared" si="28"/>
        <v>-513.72189823600002</v>
      </c>
      <c r="I175">
        <v>1</v>
      </c>
      <c r="J175">
        <f t="shared" si="29"/>
        <v>0.57792329249017838</v>
      </c>
      <c r="K175">
        <f t="shared" si="30"/>
        <v>-0.93349515177521747</v>
      </c>
      <c r="L175">
        <v>1</v>
      </c>
      <c r="M175">
        <f t="shared" si="31"/>
        <v>0.4989433694896076</v>
      </c>
      <c r="N175">
        <f t="shared" si="37"/>
        <v>0.14882482220000001</v>
      </c>
      <c r="O175">
        <f t="shared" si="38"/>
        <v>9.3447729676000013E-2</v>
      </c>
      <c r="P175">
        <f t="shared" si="39"/>
        <v>0.19227923040960981</v>
      </c>
    </row>
    <row r="176" spans="1:16" x14ac:dyDescent="0.3">
      <c r="A176">
        <v>8.9630938000000011</v>
      </c>
      <c r="B176">
        <v>0.28514</v>
      </c>
      <c r="C176">
        <f t="shared" si="25"/>
        <v>2.5557365661320004</v>
      </c>
      <c r="D176">
        <v>1.67E-2</v>
      </c>
      <c r="E176">
        <v>1.0486000000000001E-2</v>
      </c>
      <c r="F176">
        <f t="shared" si="26"/>
        <v>1792.6187600000003</v>
      </c>
      <c r="G176">
        <f t="shared" si="36"/>
        <v>-0.28514</v>
      </c>
      <c r="H176">
        <f t="shared" si="28"/>
        <v>-511.14731322640006</v>
      </c>
      <c r="I176">
        <v>1</v>
      </c>
      <c r="J176">
        <f t="shared" si="29"/>
        <v>0.58367754513237546</v>
      </c>
      <c r="K176">
        <f t="shared" si="30"/>
        <v>-0.93658515177521751</v>
      </c>
      <c r="L176">
        <v>1</v>
      </c>
      <c r="M176">
        <f t="shared" si="31"/>
        <v>0.49921721437284977</v>
      </c>
      <c r="N176">
        <f t="shared" si="37"/>
        <v>0.14968366646</v>
      </c>
      <c r="O176">
        <f t="shared" si="38"/>
        <v>9.3987001586800012E-2</v>
      </c>
      <c r="P176">
        <f t="shared" si="39"/>
        <v>0.19369726935556769</v>
      </c>
    </row>
    <row r="177" spans="1:16" x14ac:dyDescent="0.3">
      <c r="A177">
        <v>9.0140116999999993</v>
      </c>
      <c r="B177">
        <v>0.28181</v>
      </c>
      <c r="C177">
        <f t="shared" si="25"/>
        <v>2.540238637177</v>
      </c>
      <c r="D177">
        <v>1.67E-2</v>
      </c>
      <c r="E177">
        <v>1.0486000000000001E-2</v>
      </c>
      <c r="F177">
        <f t="shared" si="26"/>
        <v>1802.80234</v>
      </c>
      <c r="G177">
        <f t="shared" si="36"/>
        <v>-0.28181</v>
      </c>
      <c r="H177">
        <f t="shared" si="28"/>
        <v>-508.04772743540002</v>
      </c>
      <c r="I177">
        <v>1</v>
      </c>
      <c r="J177">
        <f t="shared" si="29"/>
        <v>0.58934230981443236</v>
      </c>
      <c r="K177">
        <f t="shared" si="30"/>
        <v>-0.93991515177521745</v>
      </c>
      <c r="L177">
        <v>1</v>
      </c>
      <c r="M177">
        <f t="shared" si="31"/>
        <v>0.49948680052406885</v>
      </c>
      <c r="N177">
        <f t="shared" si="37"/>
        <v>0.15053399538999998</v>
      </c>
      <c r="O177">
        <f t="shared" si="38"/>
        <v>9.4520926686199991E-2</v>
      </c>
      <c r="P177">
        <f t="shared" si="39"/>
        <v>0.19537342917494865</v>
      </c>
    </row>
    <row r="178" spans="1:16" x14ac:dyDescent="0.3">
      <c r="A178">
        <v>9.0649297000000004</v>
      </c>
      <c r="B178">
        <v>0.27850999999999998</v>
      </c>
      <c r="C178">
        <f t="shared" si="25"/>
        <v>2.5246735707469998</v>
      </c>
      <c r="D178">
        <v>1.67E-2</v>
      </c>
      <c r="E178">
        <v>1.0486000000000001E-2</v>
      </c>
      <c r="F178">
        <f t="shared" si="26"/>
        <v>1812.98594</v>
      </c>
      <c r="G178">
        <f t="shared" si="36"/>
        <v>-0.27850999999999998</v>
      </c>
      <c r="H178">
        <f t="shared" si="28"/>
        <v>-504.93471414939995</v>
      </c>
      <c r="I178">
        <v>1</v>
      </c>
      <c r="J178">
        <f t="shared" si="29"/>
        <v>0.59497517664060229</v>
      </c>
      <c r="K178">
        <f t="shared" si="30"/>
        <v>-0.94321515177521742</v>
      </c>
      <c r="L178">
        <v>1</v>
      </c>
      <c r="M178">
        <f t="shared" si="31"/>
        <v>0.49975486865632629</v>
      </c>
      <c r="N178">
        <f t="shared" si="37"/>
        <v>0.15138432599000001</v>
      </c>
      <c r="O178">
        <f t="shared" si="38"/>
        <v>9.505485283420001E-2</v>
      </c>
      <c r="P178">
        <f t="shared" si="39"/>
        <v>0.19702110429469111</v>
      </c>
    </row>
    <row r="179" spans="1:16" x14ac:dyDescent="0.3">
      <c r="A179">
        <v>9.1163574000000001</v>
      </c>
      <c r="B179">
        <v>0.27506999999999998</v>
      </c>
      <c r="C179">
        <f t="shared" si="25"/>
        <v>2.5076364300179996</v>
      </c>
      <c r="D179">
        <v>1.67E-2</v>
      </c>
      <c r="E179">
        <v>1.0486000000000001E-2</v>
      </c>
      <c r="F179">
        <f t="shared" si="26"/>
        <v>1823.2714800000001</v>
      </c>
      <c r="G179">
        <f t="shared" si="36"/>
        <v>-0.27506999999999998</v>
      </c>
      <c r="H179">
        <f t="shared" si="28"/>
        <v>-501.5272860035999</v>
      </c>
      <c r="I179">
        <v>1</v>
      </c>
      <c r="J179">
        <f t="shared" si="29"/>
        <v>0.60063240397282458</v>
      </c>
      <c r="K179">
        <f t="shared" si="30"/>
        <v>-0.94665515177521753</v>
      </c>
      <c r="L179">
        <v>1</v>
      </c>
      <c r="M179">
        <f t="shared" si="31"/>
        <v>0.50002409610506671</v>
      </c>
      <c r="N179">
        <f t="shared" si="37"/>
        <v>0.15224316858</v>
      </c>
      <c r="O179">
        <f t="shared" si="38"/>
        <v>9.559412369640001E-2</v>
      </c>
      <c r="P179">
        <f t="shared" si="39"/>
        <v>0.19879376339375082</v>
      </c>
    </row>
    <row r="180" spans="1:16" x14ac:dyDescent="0.3">
      <c r="A180">
        <v>9.1672763999999987</v>
      </c>
      <c r="B180">
        <v>0.27211999999999997</v>
      </c>
      <c r="C180">
        <f t="shared" si="25"/>
        <v>2.4945992539679995</v>
      </c>
      <c r="D180">
        <v>1.67E-2</v>
      </c>
      <c r="E180">
        <v>1.0486000000000001E-2</v>
      </c>
      <c r="F180">
        <f t="shared" si="26"/>
        <v>1833.4552799999997</v>
      </c>
      <c r="G180">
        <f t="shared" si="36"/>
        <v>-0.27211999999999997</v>
      </c>
      <c r="H180">
        <f t="shared" si="28"/>
        <v>-498.91985079359989</v>
      </c>
      <c r="I180">
        <v>1</v>
      </c>
      <c r="J180">
        <f t="shared" si="29"/>
        <v>0.60620231772183653</v>
      </c>
      <c r="K180">
        <f t="shared" si="30"/>
        <v>-0.94960515177521754</v>
      </c>
      <c r="L180">
        <v>1</v>
      </c>
      <c r="M180">
        <f t="shared" si="31"/>
        <v>0.50028916830038228</v>
      </c>
      <c r="N180">
        <f t="shared" si="37"/>
        <v>0.15309351587999998</v>
      </c>
      <c r="O180">
        <f t="shared" si="38"/>
        <v>9.6128060330399986E-2</v>
      </c>
      <c r="P180">
        <f t="shared" si="39"/>
        <v>0.20009440726443528</v>
      </c>
    </row>
    <row r="181" spans="1:16" x14ac:dyDescent="0.3">
      <c r="A181">
        <v>9.2197217000000009</v>
      </c>
      <c r="B181">
        <v>0.26869999999999999</v>
      </c>
      <c r="C181">
        <f t="shared" si="25"/>
        <v>2.4773392207900002</v>
      </c>
      <c r="D181">
        <v>1.67E-2</v>
      </c>
      <c r="E181">
        <v>1.0486000000000001E-2</v>
      </c>
      <c r="F181">
        <f t="shared" si="26"/>
        <v>1843.9443400000002</v>
      </c>
      <c r="G181">
        <f t="shared" si="36"/>
        <v>-0.26869999999999999</v>
      </c>
      <c r="H181">
        <f t="shared" si="28"/>
        <v>-495.46784415800005</v>
      </c>
      <c r="I181">
        <v>1</v>
      </c>
      <c r="J181">
        <f t="shared" si="29"/>
        <v>0.61190694029706583</v>
      </c>
      <c r="K181">
        <f t="shared" si="30"/>
        <v>-0.95302515177521752</v>
      </c>
      <c r="L181">
        <v>1</v>
      </c>
      <c r="M181">
        <f t="shared" si="31"/>
        <v>0.50056065128873739</v>
      </c>
      <c r="N181">
        <f t="shared" si="37"/>
        <v>0.15396935239000001</v>
      </c>
      <c r="O181">
        <f t="shared" si="38"/>
        <v>9.6678001746200018E-2</v>
      </c>
      <c r="P181">
        <f t="shared" si="39"/>
        <v>0.20181714635028014</v>
      </c>
    </row>
    <row r="182" spans="1:16" x14ac:dyDescent="0.3">
      <c r="A182">
        <v>9.2701308999999998</v>
      </c>
      <c r="B182">
        <v>0.26584999999999998</v>
      </c>
      <c r="C182">
        <f t="shared" si="25"/>
        <v>2.4644642997649999</v>
      </c>
      <c r="D182">
        <v>1.67E-2</v>
      </c>
      <c r="E182">
        <v>1.0486000000000001E-2</v>
      </c>
      <c r="F182">
        <f t="shared" si="26"/>
        <v>1854.0261800000001</v>
      </c>
      <c r="G182">
        <f t="shared" si="36"/>
        <v>-0.26584999999999998</v>
      </c>
      <c r="H182">
        <f t="shared" si="28"/>
        <v>-492.89285995299997</v>
      </c>
      <c r="I182">
        <v>1</v>
      </c>
      <c r="J182">
        <f t="shared" si="29"/>
        <v>0.61735958786381451</v>
      </c>
      <c r="K182">
        <f t="shared" si="30"/>
        <v>-0.95587515177521754</v>
      </c>
      <c r="L182">
        <v>1</v>
      </c>
      <c r="M182">
        <f t="shared" si="31"/>
        <v>0.50082014278643894</v>
      </c>
      <c r="N182">
        <f t="shared" si="37"/>
        <v>0.15481118602999999</v>
      </c>
      <c r="O182">
        <f t="shared" si="38"/>
        <v>9.7206592617400001E-2</v>
      </c>
      <c r="P182">
        <f t="shared" si="39"/>
        <v>0.20303723034137861</v>
      </c>
    </row>
    <row r="183" spans="1:16" x14ac:dyDescent="0.3">
      <c r="A183">
        <v>9.3215585999999995</v>
      </c>
      <c r="B183">
        <v>0.26257000000000003</v>
      </c>
      <c r="C183">
        <f t="shared" si="25"/>
        <v>2.4475616416020003</v>
      </c>
      <c r="D183">
        <v>1.67E-2</v>
      </c>
      <c r="E183">
        <v>1.0486000000000001E-2</v>
      </c>
      <c r="F183">
        <f t="shared" si="26"/>
        <v>1864.3117199999999</v>
      </c>
      <c r="G183">
        <f t="shared" si="36"/>
        <v>-0.26257000000000003</v>
      </c>
      <c r="H183">
        <f t="shared" si="28"/>
        <v>-489.51232832040006</v>
      </c>
      <c r="I183">
        <v>1</v>
      </c>
      <c r="J183">
        <f t="shared" si="29"/>
        <v>0.6228919340413841</v>
      </c>
      <c r="K183">
        <f t="shared" si="30"/>
        <v>-0.95915515177521748</v>
      </c>
      <c r="L183">
        <v>1</v>
      </c>
      <c r="M183">
        <f t="shared" si="31"/>
        <v>0.50108342714102949</v>
      </c>
      <c r="N183">
        <f t="shared" si="37"/>
        <v>0.15567002861999998</v>
      </c>
      <c r="O183">
        <f t="shared" si="38"/>
        <v>9.7745863479600001E-2</v>
      </c>
      <c r="P183">
        <f t="shared" si="39"/>
        <v>0.20465583253458797</v>
      </c>
    </row>
    <row r="184" spans="1:16" x14ac:dyDescent="0.3">
      <c r="A184">
        <v>9.3780780999999998</v>
      </c>
      <c r="B184">
        <v>0.25894</v>
      </c>
      <c r="C184">
        <f t="shared" si="25"/>
        <v>2.4283595432139999</v>
      </c>
      <c r="D184">
        <v>1.67E-2</v>
      </c>
      <c r="E184">
        <v>1.0486000000000001E-2</v>
      </c>
      <c r="F184">
        <f t="shared" si="26"/>
        <v>1875.61562</v>
      </c>
      <c r="G184">
        <f t="shared" si="36"/>
        <v>-0.25894</v>
      </c>
      <c r="H184">
        <f t="shared" si="28"/>
        <v>-485.67190864279996</v>
      </c>
      <c r="I184">
        <v>1</v>
      </c>
      <c r="J184">
        <f t="shared" si="29"/>
        <v>0.62893693620032276</v>
      </c>
      <c r="K184">
        <f t="shared" si="30"/>
        <v>-0.96278515177521751</v>
      </c>
      <c r="L184">
        <v>1</v>
      </c>
      <c r="M184">
        <f t="shared" si="31"/>
        <v>0.50137110879377333</v>
      </c>
      <c r="N184">
        <f t="shared" si="37"/>
        <v>0.15661390426999999</v>
      </c>
      <c r="O184">
        <f t="shared" si="38"/>
        <v>9.8338526956600003E-2</v>
      </c>
      <c r="P184">
        <f t="shared" si="39"/>
        <v>0.20646161175484418</v>
      </c>
    </row>
    <row r="185" spans="1:16" x14ac:dyDescent="0.3">
      <c r="A185">
        <v>9.4295048999999995</v>
      </c>
      <c r="B185">
        <v>0.25545000000000001</v>
      </c>
      <c r="C185">
        <f t="shared" si="25"/>
        <v>2.4087670267050001</v>
      </c>
      <c r="D185">
        <v>1.67E-2</v>
      </c>
      <c r="E185">
        <v>1.0486000000000001E-2</v>
      </c>
      <c r="F185">
        <f t="shared" si="26"/>
        <v>1885.9009799999999</v>
      </c>
      <c r="G185">
        <f t="shared" si="36"/>
        <v>-0.25545000000000001</v>
      </c>
      <c r="H185">
        <f t="shared" si="28"/>
        <v>-481.75340534100002</v>
      </c>
      <c r="I185">
        <v>1</v>
      </c>
      <c r="J185">
        <f t="shared" si="29"/>
        <v>0.63440568018183985</v>
      </c>
      <c r="K185">
        <f t="shared" si="30"/>
        <v>-0.9662751517752175</v>
      </c>
      <c r="L185">
        <v>1</v>
      </c>
      <c r="M185">
        <f t="shared" si="31"/>
        <v>0.50163136631985383</v>
      </c>
      <c r="N185">
        <f t="shared" si="37"/>
        <v>0.15747273182999999</v>
      </c>
      <c r="O185">
        <f t="shared" si="38"/>
        <v>9.8877788381400003E-2</v>
      </c>
      <c r="P185">
        <f t="shared" si="39"/>
        <v>0.20829326524396369</v>
      </c>
    </row>
    <row r="186" spans="1:16" x14ac:dyDescent="0.3">
      <c r="A186">
        <v>9.4804238000000005</v>
      </c>
      <c r="B186">
        <v>0.25219999999999998</v>
      </c>
      <c r="C186">
        <f t="shared" si="25"/>
        <v>2.3909628823599998</v>
      </c>
      <c r="D186">
        <v>1.67E-2</v>
      </c>
      <c r="E186">
        <v>1.0486000000000001E-2</v>
      </c>
      <c r="F186">
        <f t="shared" si="26"/>
        <v>1896.0847600000002</v>
      </c>
      <c r="G186">
        <f t="shared" si="36"/>
        <v>-0.25219999999999998</v>
      </c>
      <c r="H186">
        <f t="shared" si="28"/>
        <v>-478.19257647199993</v>
      </c>
      <c r="I186">
        <v>1</v>
      </c>
      <c r="J186">
        <f t="shared" si="29"/>
        <v>0.6397911074749576</v>
      </c>
      <c r="K186">
        <f t="shared" si="30"/>
        <v>-0.96952515177521748</v>
      </c>
      <c r="L186">
        <v>1</v>
      </c>
      <c r="M186">
        <f t="shared" si="31"/>
        <v>0.50188765880473329</v>
      </c>
      <c r="N186">
        <f t="shared" si="37"/>
        <v>0.15832307746000002</v>
      </c>
      <c r="O186">
        <f t="shared" si="38"/>
        <v>9.9411723966800009E-2</v>
      </c>
      <c r="P186">
        <f t="shared" si="39"/>
        <v>0.20990269154368416</v>
      </c>
    </row>
    <row r="187" spans="1:16" x14ac:dyDescent="0.3">
      <c r="A187">
        <v>9.4855155999999994</v>
      </c>
      <c r="B187">
        <v>0.25140000000000001</v>
      </c>
      <c r="C187">
        <f t="shared" si="25"/>
        <v>2.3846586218399999</v>
      </c>
      <c r="D187">
        <v>1.67E-2</v>
      </c>
      <c r="E187">
        <v>1.0486000000000001E-2</v>
      </c>
      <c r="F187">
        <f t="shared" si="26"/>
        <v>1897.1031199999998</v>
      </c>
      <c r="G187">
        <f t="shared" si="36"/>
        <v>-0.25140000000000001</v>
      </c>
      <c r="H187">
        <f t="shared" si="28"/>
        <v>-476.931724368</v>
      </c>
      <c r="I187">
        <v>1</v>
      </c>
      <c r="J187">
        <f t="shared" si="29"/>
        <v>0.6403280489904758</v>
      </c>
      <c r="K187">
        <f t="shared" si="30"/>
        <v>-0.97032515177521739</v>
      </c>
      <c r="L187">
        <v>1</v>
      </c>
      <c r="M187">
        <f t="shared" si="31"/>
        <v>0.50191321185145676</v>
      </c>
      <c r="N187">
        <f t="shared" si="37"/>
        <v>0.15840811051999998</v>
      </c>
      <c r="O187">
        <f t="shared" si="38"/>
        <v>9.9465116581599997E-2</v>
      </c>
      <c r="P187">
        <f t="shared" si="39"/>
        <v>0.21053871282216063</v>
      </c>
    </row>
    <row r="188" spans="1:16" x14ac:dyDescent="0.3">
      <c r="C188">
        <f t="shared" si="25"/>
        <v>0</v>
      </c>
      <c r="D188">
        <v>1.67E-2</v>
      </c>
      <c r="E188">
        <v>1.0486000000000001E-2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1:16" x14ac:dyDescent="0.3">
      <c r="C189">
        <f t="shared" si="25"/>
        <v>0</v>
      </c>
      <c r="D189">
        <v>1.67E-2</v>
      </c>
      <c r="E189">
        <v>1.0486000000000001E-2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1:16" x14ac:dyDescent="0.3">
      <c r="C190">
        <f t="shared" si="25"/>
        <v>0</v>
      </c>
      <c r="D190">
        <v>1.67E-2</v>
      </c>
      <c r="E190">
        <v>1.0486000000000001E-2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1.67E-2</v>
      </c>
      <c r="E191">
        <v>1.0486000000000001E-2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1.67E-2</v>
      </c>
      <c r="E192">
        <v>1.0486000000000001E-2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1.67E-2</v>
      </c>
      <c r="E193">
        <v>1.0486000000000001E-2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1.67E-2</v>
      </c>
      <c r="E194">
        <v>1.0486000000000001E-2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1.67E-2</v>
      </c>
      <c r="E195">
        <v>1.0486000000000001E-2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1.67E-2</v>
      </c>
      <c r="E196">
        <v>1.0486000000000001E-2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1.67E-2</v>
      </c>
      <c r="E197">
        <v>1.0486000000000001E-2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1.67E-2</v>
      </c>
      <c r="E198">
        <v>1.0486000000000001E-2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1.67E-2</v>
      </c>
      <c r="E199">
        <v>1.0486000000000001E-2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1.67E-2</v>
      </c>
      <c r="E200">
        <v>1.0486000000000001E-2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1.67E-2</v>
      </c>
      <c r="E201">
        <v>1.0486000000000001E-2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1.67E-2</v>
      </c>
      <c r="E202">
        <v>1.0486000000000001E-2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1.67E-2</v>
      </c>
      <c r="E203">
        <v>1.0486000000000001E-2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1.67E-2</v>
      </c>
      <c r="E204">
        <v>1.0486000000000001E-2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1.67E-2</v>
      </c>
      <c r="E205">
        <v>1.0486000000000001E-2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1.67E-2</v>
      </c>
      <c r="E206">
        <v>1.0486000000000001E-2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1.67E-2</v>
      </c>
      <c r="E207">
        <v>1.0486000000000001E-2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1.67E-2</v>
      </c>
      <c r="E208">
        <v>1.0486000000000001E-2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1.67E-2</v>
      </c>
      <c r="E209">
        <v>1.0486000000000001E-2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1.67E-2</v>
      </c>
      <c r="E210">
        <v>1.0486000000000001E-2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1.67E-2</v>
      </c>
      <c r="E211">
        <v>1.0486000000000001E-2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1.67E-2</v>
      </c>
      <c r="E212">
        <v>1.0486000000000001E-2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1.67E-2</v>
      </c>
      <c r="E213">
        <v>1.0486000000000001E-2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1.67E-2</v>
      </c>
      <c r="E214">
        <v>1.0486000000000001E-2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1.67E-2</v>
      </c>
      <c r="E215">
        <v>1.0486000000000001E-2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1.67E-2</v>
      </c>
      <c r="E216">
        <v>1.0486000000000001E-2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1.67E-2</v>
      </c>
      <c r="E217">
        <v>1.0486000000000001E-2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1.67E-2</v>
      </c>
      <c r="E218">
        <v>1.0486000000000001E-2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1.67E-2</v>
      </c>
      <c r="E219">
        <v>1.0486000000000001E-2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1.67E-2</v>
      </c>
      <c r="E220">
        <v>1.0486000000000001E-2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1.67E-2</v>
      </c>
      <c r="E221">
        <v>1.0486000000000001E-2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1.67E-2</v>
      </c>
      <c r="E222">
        <v>1.0486000000000001E-2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1.67E-2</v>
      </c>
      <c r="E223">
        <v>1.0486000000000001E-2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1.67E-2</v>
      </c>
      <c r="E224">
        <v>1.0486000000000001E-2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1.67E-2</v>
      </c>
      <c r="E225">
        <v>1.0486000000000001E-2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1.67E-2</v>
      </c>
      <c r="E226">
        <v>1.0486000000000001E-2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1.67E-2</v>
      </c>
      <c r="E227">
        <v>1.0486000000000001E-2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1.67E-2</v>
      </c>
      <c r="E228">
        <v>1.0486000000000001E-2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1.67E-2</v>
      </c>
      <c r="E229">
        <v>1.0486000000000001E-2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1.67E-2</v>
      </c>
      <c r="E230">
        <v>1.0486000000000001E-2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1.67E-2</v>
      </c>
      <c r="E231">
        <v>1.0486000000000001E-2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1.67E-2</v>
      </c>
      <c r="E232">
        <v>1.0486000000000001E-2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1.67E-2</v>
      </c>
      <c r="E233">
        <v>1.0486000000000001E-2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1.67E-2</v>
      </c>
      <c r="E234">
        <v>1.0486000000000001E-2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1.67E-2</v>
      </c>
      <c r="E235">
        <v>1.0486000000000001E-2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1.67E-2</v>
      </c>
      <c r="E236">
        <v>1.0486000000000001E-2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1.67E-2</v>
      </c>
      <c r="E237">
        <v>1.0486000000000001E-2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1.67E-2</v>
      </c>
      <c r="E238">
        <v>1.0486000000000001E-2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1.67E-2</v>
      </c>
      <c r="E239">
        <v>1.0486000000000001E-2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1.67E-2</v>
      </c>
      <c r="E240">
        <v>1.0486000000000001E-2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1.67E-2</v>
      </c>
      <c r="E241">
        <v>1.0486000000000001E-2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1.67E-2</v>
      </c>
      <c r="E242">
        <v>1.0486000000000001E-2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1.67E-2</v>
      </c>
      <c r="E243">
        <v>1.0486000000000001E-2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1.67E-2</v>
      </c>
      <c r="E244">
        <v>1.0486000000000001E-2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1.67E-2</v>
      </c>
      <c r="E245">
        <v>1.0486000000000001E-2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1.67E-2</v>
      </c>
      <c r="E246">
        <v>1.0486000000000001E-2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1.67E-2</v>
      </c>
      <c r="E247">
        <v>1.0486000000000001E-2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1.67E-2</v>
      </c>
      <c r="E248">
        <v>1.0486000000000001E-2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1.67E-2</v>
      </c>
      <c r="E249">
        <v>1.0486000000000001E-2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1.67E-2</v>
      </c>
      <c r="E250">
        <v>1.0486000000000001E-2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1.67E-2</v>
      </c>
      <c r="E251">
        <v>1.0486000000000001E-2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1.67E-2</v>
      </c>
      <c r="E252">
        <v>1.0486000000000001E-2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1.67E-2</v>
      </c>
      <c r="E253">
        <v>1.0486000000000001E-2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1.67E-2</v>
      </c>
      <c r="E254">
        <v>1.0486000000000001E-2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1.67E-2</v>
      </c>
      <c r="E255">
        <v>1.0486000000000001E-2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1.67E-2</v>
      </c>
      <c r="E256">
        <v>1.0486000000000001E-2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1.67E-2</v>
      </c>
      <c r="E257">
        <v>1.0486000000000001E-2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1.67E-2</v>
      </c>
      <c r="E258">
        <v>1.0486000000000001E-2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1.67E-2</v>
      </c>
      <c r="E259">
        <v>1.0486000000000001E-2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1.67E-2</v>
      </c>
      <c r="E260">
        <v>1.0486000000000001E-2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1.67E-2</v>
      </c>
      <c r="E261">
        <v>1.0486000000000001E-2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1.67E-2</v>
      </c>
      <c r="E262">
        <v>1.0486000000000001E-2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1.67E-2</v>
      </c>
      <c r="E263">
        <v>1.0486000000000001E-2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1.67E-2</v>
      </c>
      <c r="E264">
        <v>1.0486000000000001E-2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1.67E-2</v>
      </c>
      <c r="E265">
        <v>1.0486000000000001E-2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1.67E-2</v>
      </c>
      <c r="E266">
        <v>1.0486000000000001E-2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1.67E-2</v>
      </c>
      <c r="E267">
        <v>1.0486000000000001E-2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1.67E-2</v>
      </c>
      <c r="E268">
        <v>1.0486000000000001E-2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1.67E-2</v>
      </c>
      <c r="E269">
        <v>1.0486000000000001E-2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1.67E-2</v>
      </c>
      <c r="E270">
        <v>1.0486000000000001E-2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1.67E-2</v>
      </c>
      <c r="E271">
        <v>1.0486000000000001E-2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1.67E-2</v>
      </c>
      <c r="E272">
        <v>1.0486000000000001E-2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1.67E-2</v>
      </c>
      <c r="E273">
        <v>1.0486000000000001E-2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1.67E-2</v>
      </c>
      <c r="E274">
        <v>1.0486000000000001E-2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1.67E-2</v>
      </c>
      <c r="E275">
        <v>1.0486000000000001E-2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1.67E-2</v>
      </c>
      <c r="E276">
        <v>1.0486000000000001E-2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1.67E-2</v>
      </c>
      <c r="E277">
        <v>1.0486000000000001E-2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1.67E-2</v>
      </c>
      <c r="E278">
        <v>1.0486000000000001E-2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1.67E-2</v>
      </c>
      <c r="E279">
        <v>1.0486000000000001E-2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1.67E-2</v>
      </c>
      <c r="E280">
        <v>1.0486000000000001E-2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1.67E-2</v>
      </c>
      <c r="E281">
        <v>1.0486000000000001E-2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1.67E-2</v>
      </c>
      <c r="E282">
        <v>1.0486000000000001E-2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1.67E-2</v>
      </c>
      <c r="E283">
        <v>1.0486000000000001E-2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1.67E-2</v>
      </c>
      <c r="E284">
        <v>1.0486000000000001E-2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1.67E-2</v>
      </c>
      <c r="E285">
        <v>1.0486000000000001E-2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1.67E-2</v>
      </c>
      <c r="E286">
        <v>1.0486000000000001E-2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1.67E-2</v>
      </c>
      <c r="E287">
        <v>1.0486000000000001E-2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1.67E-2</v>
      </c>
      <c r="E288">
        <v>1.0486000000000001E-2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1.67E-2</v>
      </c>
      <c r="E289">
        <v>1.0486000000000001E-2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1.67E-2</v>
      </c>
      <c r="E290">
        <v>1.0486000000000001E-2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1.67E-2</v>
      </c>
      <c r="E291">
        <v>1.0486000000000001E-2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1.67E-2</v>
      </c>
      <c r="E292">
        <v>1.0486000000000001E-2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1.67E-2</v>
      </c>
      <c r="E293">
        <v>1.0486000000000001E-2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1.67E-2</v>
      </c>
      <c r="E294">
        <v>1.0486000000000001E-2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1.67E-2</v>
      </c>
      <c r="E295">
        <v>1.0486000000000001E-2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1.67E-2</v>
      </c>
      <c r="E296">
        <v>1.0486000000000001E-2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1.67E-2</v>
      </c>
      <c r="E297">
        <v>1.0486000000000001E-2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1.67E-2</v>
      </c>
      <c r="E298">
        <v>1.0486000000000001E-2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1.67E-2</v>
      </c>
      <c r="E299">
        <v>1.0486000000000001E-2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1.67E-2</v>
      </c>
      <c r="E300">
        <v>1.0486000000000001E-2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1.67E-2</v>
      </c>
      <c r="E301">
        <v>1.0486000000000001E-2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1.67E-2</v>
      </c>
      <c r="E302">
        <v>1.0486000000000001E-2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1.67E-2</v>
      </c>
      <c r="E303">
        <v>1.0486000000000001E-2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2026-04-20T02:33:09Z</dcterms:modified>
</cp:coreProperties>
</file>