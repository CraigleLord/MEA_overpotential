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"/>
    </mc:Choice>
  </mc:AlternateContent>
  <xr:revisionPtr revIDLastSave="0" documentId="13_ncr:1_{513778C6-DDD7-4090-9688-12A4B99E5CA9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<sst xmlns="http://schemas.openxmlformats.org/spreadsheetml/2006/main" count="40" uniqueCount="36">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</sst>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M2" zoomScale="85" zoomScaleNormal="85" workbookViewId="0">
      <selection activeCell="V11" sqref="V11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-0.42670999999999998</v>
      </c>
      <c r="AC3" t="s">
        <v>30</v>
      </c>
    </row>
    <row r="4" spans="1:29" x14ac:dyDescent="0.3">
      <c r="A4">
        <v>2.6417000000000003E-2</v>
      </c>
      <c r="B4">
        <v>0.9839</v>
      </c>
      <c r="C4">
        <f>A4*B4</f>
        <v>2.5991686300000004E-2</v>
      </c>
      <c r="D4">
        <v>1.4999999999999999E-2</v>
      </c>
      <c r="E4">
        <v>9.9000000000000008E-3</v>
      </c>
      <c r="F4">
        <f>A4*200</f>
        <v>5.2834000000000003</v>
      </c>
      <c r="G4">
        <f>-B4</f>
        <v>-0.9839</v>
      </c>
      <c r="H4">
        <f t="shared" ref="H4" si="0">-C4*200</f>
        <v>-5.1983372600000006</v>
      </c>
      <c r="I4">
        <v>1</v>
      </c>
      <c r="J4">
        <f>LN(F4/1000)</f>
        <v>-5.2431854491100367</v>
      </c>
      <c r="K4">
        <f>((-G4)-$N$2)</f>
        <v>-0.23782515177521746</v>
      </c>
      <c r="L4">
        <v>1</v>
      </c>
      <c r="M4">
        <f>-1*($S$4+($S$5*J4))</f>
        <v>0.22191680447685339</v>
      </c>
      <c r="N4">
        <f>D4*A4</f>
        <v>3.9625500000000003E-4</v>
      </c>
      <c r="O4">
        <f>E4*A4</f>
        <v>2.6152830000000007E-4</v>
      </c>
      <c r="P4">
        <f>-K4-M4-N4-O4</f>
        <v>1.5250563998364074E-2</v>
      </c>
      <c r="R4" s="2" t="s">
        <v>16</v>
      </c>
      <c r="S4">
        <v>-0.47144000000000003</v>
      </c>
      <c r="V4">
        <v>-6</v>
      </c>
      <c r="W4">
        <f>V4*$S$5+$S$4</f>
        <v>-0.18590000000000001</v>
      </c>
      <c r="Y4">
        <v>0</v>
      </c>
      <c r="Z4">
        <f>$AB$4*Y4+$AB$3</f>
        <v>-0.42670999999999998</v>
      </c>
      <c r="AB4">
        <v>12.38261</v>
      </c>
      <c r="AC4" t="s">
        <v>31</v>
      </c>
    </row>
    <row r="5" spans="1:29" x14ac:dyDescent="0.3">
      <c r="A5">
        <v>7.9881250000000001E-2</v>
      </c>
      <c r="B5">
        <v>0.97736999999999996</v>
      </c>
      <c r="C5">
        <f t="shared" ref="C5:C68" si="1">A5*B5</f>
        <v>7.8073537312499997E-2</v>
      </c>
      <c r="D5">
        <v>1.4999999999999999E-2</v>
      </c>
      <c r="E5">
        <v>9.9000000000000008E-3</v>
      </c>
      <c r="F5">
        <f t="shared" ref="F5:F68" si="2">A5*200</f>
        <v>15.97625</v>
      </c>
      <c r="G5">
        <f t="shared" ref="G5:G68" si="3">-B5</f>
        <v>-0.97736999999999996</v>
      </c>
      <c r="H5">
        <f t="shared" ref="H5:H68" si="4">-C5*200</f>
        <v>-15.6147074625</v>
      </c>
      <c r="I5">
        <v>1</v>
      </c>
      <c r="J5">
        <f t="shared" ref="J5:J68" si="5">LN(F5/1000)</f>
        <v>-4.1366520345183497</v>
      </c>
      <c r="K5">
        <f t="shared" ref="K5:K68" si="6">((-G5)-$N$2)</f>
        <v>-0.24435515177521749</v>
      </c>
      <c r="L5">
        <v>1</v>
      </c>
      <c r="M5">
        <f t="shared" ref="M5:M68" si="7">-1*($S$4+($S$5*J5))</f>
        <v>0.27457672967727176</v>
      </c>
      <c r="N5">
        <f t="shared" ref="N5:N6" si="8">D5*A5</f>
        <v>1.1982187500000001E-3</v>
      </c>
      <c r="O5">
        <f>E5*A5</f>
        <v>7.908243750000001E-4</v>
      </c>
      <c r="P5">
        <f>-K5-M5-N5-O5</f>
        <v>-3.2210621027054263E-2</v>
      </c>
      <c r="R5" s="2" t="s">
        <v>17</v>
      </c>
      <c r="S5">
        <v>-4.759E-2</v>
      </c>
      <c r="V5">
        <v>-5.9</v>
      </c>
      <c r="W5">
        <f t="shared" ref="W5:W68" si="9">V5*$S$5+$S$4</f>
        <v>-0.19065900000000002</v>
      </c>
      <c r="Y5">
        <v>0.01</v>
      </c>
      <c r="Z5">
        <f t="shared" ref="Z5:Z31" si="10">$AB$4*Y5+$AB$3</f>
        <v>-0.30288389999999998</v>
      </c>
    </row>
    <row r="6" spans="1:29" x14ac:dyDescent="0.3">
      <c r="A6">
        <v>0.1302904</v>
      </c>
      <c r="B6">
        <v>0.91595000000000004</v>
      </c>
      <c r="C6">
        <f t="shared" si="1"/>
        <v>0.11933949188000001</v>
      </c>
      <c r="D6">
        <v>1.4999999999999999E-2</v>
      </c>
      <c r="E6">
        <v>9.9000000000000008E-3</v>
      </c>
      <c r="F6">
        <f t="shared" si="2"/>
        <v>26.05808</v>
      </c>
      <c r="G6">
        <f t="shared" si="3"/>
        <v>-0.91595000000000004</v>
      </c>
      <c r="H6">
        <f t="shared" si="4"/>
        <v>-23.867898376000003</v>
      </c>
      <c r="I6">
        <v>1</v>
      </c>
      <c r="J6">
        <f t="shared" si="5"/>
        <v>-3.6474273861316604</v>
      </c>
      <c r="K6">
        <f t="shared" si="6"/>
        <v>-0.30577515177521741</v>
      </c>
      <c r="L6">
        <v>1</v>
      </c>
      <c r="M6">
        <f t="shared" si="7"/>
        <v>0.29785893069399427</v>
      </c>
      <c r="N6">
        <f t="shared" si="8"/>
        <v>1.954356E-3</v>
      </c>
      <c r="O6">
        <f t="shared" ref="O6:O69" si="11">E6*A6</f>
        <v>1.2898749600000002E-3</v>
      </c>
      <c r="P6">
        <f t="shared" ref="P6:P69" si="12">-K6-M6-N6-O6</f>
        <v>4.67199012122314E-3</v>
      </c>
      <c r="V6">
        <v>-5.8</v>
      </c>
      <c r="W6">
        <f t="shared" si="9"/>
        <v>-0.19541800000000004</v>
      </c>
      <c r="Y6">
        <v>0.02</v>
      </c>
      <c r="Z6">
        <f t="shared" si="10"/>
        <v>-0.17905779999999999</v>
      </c>
      <c r="AB6" t="s">
        <v>32</v>
      </c>
    </row>
    <row r="7" spans="1:29" x14ac:dyDescent="0.3">
      <c r="A7">
        <v>0.18273630000000002</v>
      </c>
      <c r="B7">
        <v>0.89798</v>
      </c>
      <c r="C7">
        <f t="shared" si="1"/>
        <v>0.164093542674</v>
      </c>
      <c r="D7">
        <v>1.4999999999999999E-2</v>
      </c>
      <c r="E7">
        <v>9.9000000000000008E-3</v>
      </c>
      <c r="F7">
        <f t="shared" si="2"/>
        <v>36.547260000000001</v>
      </c>
      <c r="G7">
        <f t="shared" si="3"/>
        <v>-0.89798</v>
      </c>
      <c r="H7">
        <f t="shared" si="4"/>
        <v>-32.818708534800002</v>
      </c>
      <c r="I7">
        <v>1</v>
      </c>
      <c r="J7">
        <f t="shared" si="5"/>
        <v>-3.3091490613966994</v>
      </c>
      <c r="K7">
        <f t="shared" si="6"/>
        <v>-0.32374515177521745</v>
      </c>
      <c r="L7">
        <v>1</v>
      </c>
      <c r="M7">
        <f t="shared" si="7"/>
        <v>0.31395759616813113</v>
      </c>
      <c r="N7">
        <f t="shared" ref="N7:N70" si="13">D7*A7</f>
        <v>2.7410445000000004E-3</v>
      </c>
      <c r="O7">
        <f t="shared" si="11"/>
        <v>1.8090893700000003E-3</v>
      </c>
      <c r="P7">
        <f t="shared" si="12"/>
        <v>5.2374217370863285E-3</v>
      </c>
      <c r="V7">
        <v>-5.7</v>
      </c>
      <c r="W7">
        <f t="shared" si="9"/>
        <v>-0.20017699999999999</v>
      </c>
      <c r="Y7">
        <v>0.03</v>
      </c>
      <c r="Z7">
        <f t="shared" si="10"/>
        <v>-5.5231699999999995E-2</v>
      </c>
      <c r="AB7" t="s">
        <v>33</v>
      </c>
      <c r="AC7">
        <f>-AB3/AB4</f>
        <v>3.4460424740826043E-2</v>
      </c>
    </row>
    <row r="8" spans="1:29" x14ac:dyDescent="0.3">
      <c r="A8">
        <v>0.23721889999999998</v>
      </c>
      <c r="B8">
        <v>0.88490000000000002</v>
      </c>
      <c r="C8">
        <f t="shared" si="1"/>
        <v>0.20991500460999998</v>
      </c>
      <c r="D8">
        <v>1.4999999999999999E-2</v>
      </c>
      <c r="E8">
        <v>9.9000000000000008E-3</v>
      </c>
      <c r="F8">
        <f t="shared" si="2"/>
        <v>47.443779999999997</v>
      </c>
      <c r="G8">
        <f t="shared" si="3"/>
        <v>-0.88490000000000002</v>
      </c>
      <c r="H8">
        <f t="shared" si="4"/>
        <v>-41.983000921999995</v>
      </c>
      <c r="I8">
        <v>1</v>
      </c>
      <c r="J8">
        <f t="shared" si="5"/>
        <v>-3.0482098478716391</v>
      </c>
      <c r="K8">
        <f t="shared" si="6"/>
        <v>-0.33682515177521744</v>
      </c>
      <c r="L8">
        <v>1</v>
      </c>
      <c r="M8">
        <f t="shared" si="7"/>
        <v>0.32637569333978872</v>
      </c>
      <c r="N8">
        <f t="shared" si="13"/>
        <v>3.5582834999999995E-3</v>
      </c>
      <c r="O8">
        <f t="shared" si="11"/>
        <v>2.3484671099999999E-3</v>
      </c>
      <c r="P8">
        <f t="shared" si="12"/>
        <v>4.5427078254287167E-3</v>
      </c>
      <c r="V8">
        <v>-5.6</v>
      </c>
      <c r="W8">
        <f t="shared" si="9"/>
        <v>-0.20493600000000006</v>
      </c>
      <c r="Y8">
        <v>0.04</v>
      </c>
      <c r="Z8">
        <f t="shared" si="10"/>
        <v>6.85944E-2</v>
      </c>
    </row>
    <row r="9" spans="1:29" x14ac:dyDescent="0.3">
      <c r="A9">
        <v>0.28762805000000002</v>
      </c>
      <c r="B9">
        <v>0.87646000000000002</v>
      </c>
      <c r="C9">
        <f t="shared" si="1"/>
        <v>0.252094480703</v>
      </c>
      <c r="D9">
        <v>1.4999999999999999E-2</v>
      </c>
      <c r="E9">
        <v>9.9000000000000008E-3</v>
      </c>
      <c r="F9">
        <f t="shared" si="2"/>
        <v>57.525610000000007</v>
      </c>
      <c r="G9">
        <f t="shared" si="3"/>
        <v>-0.87646000000000002</v>
      </c>
      <c r="H9">
        <f t="shared" si="4"/>
        <v>-50.418896140599998</v>
      </c>
      <c r="I9">
        <v>1</v>
      </c>
      <c r="J9">
        <f t="shared" si="5"/>
        <v>-2.8555250390317499</v>
      </c>
      <c r="K9">
        <f t="shared" si="6"/>
        <v>-0.34526515177521744</v>
      </c>
      <c r="L9">
        <v>1</v>
      </c>
      <c r="M9">
        <f t="shared" si="7"/>
        <v>0.33554556339247904</v>
      </c>
      <c r="N9">
        <f t="shared" si="13"/>
        <v>4.3144207499999998E-3</v>
      </c>
      <c r="O9">
        <f t="shared" si="11"/>
        <v>2.8475176950000006E-3</v>
      </c>
      <c r="P9">
        <f t="shared" si="12"/>
        <v>2.5576499377383973E-3</v>
      </c>
      <c r="V9">
        <v>-5.5</v>
      </c>
      <c r="W9">
        <f t="shared" si="9"/>
        <v>-0.20969500000000002</v>
      </c>
      <c r="Y9">
        <v>0.05</v>
      </c>
      <c r="Z9">
        <f t="shared" si="10"/>
        <v>0.19242050000000005</v>
      </c>
      <c r="AB9" t="s">
        <v>35</v>
      </c>
      <c r="AC9">
        <v>3.083E-2</v>
      </c>
    </row>
    <row r="10" spans="1:29" x14ac:dyDescent="0.3">
      <c r="A10">
        <v>0.34007389999999998</v>
      </c>
      <c r="B10">
        <v>0.86748999999999998</v>
      </c>
      <c r="C10">
        <f t="shared" si="1"/>
        <v>0.295010707511</v>
      </c>
      <c r="D10">
        <v>1.4999999999999999E-2</v>
      </c>
      <c r="E10">
        <v>9.9000000000000008E-3</v>
      </c>
      <c r="F10">
        <f t="shared" si="2"/>
        <v>68.014780000000002</v>
      </c>
      <c r="G10">
        <f t="shared" si="3"/>
        <v>-0.86748999999999998</v>
      </c>
      <c r="H10">
        <f t="shared" si="4"/>
        <v>-59.002141502200004</v>
      </c>
      <c r="I10">
        <v>1</v>
      </c>
      <c r="J10">
        <f t="shared" si="5"/>
        <v>-2.6880302444825821</v>
      </c>
      <c r="K10">
        <f t="shared" si="6"/>
        <v>-0.35423515177521747</v>
      </c>
      <c r="L10">
        <v>1</v>
      </c>
      <c r="M10">
        <f t="shared" si="7"/>
        <v>0.34351664066507392</v>
      </c>
      <c r="N10">
        <f t="shared" si="13"/>
        <v>5.1011084999999998E-3</v>
      </c>
      <c r="O10">
        <f t="shared" si="11"/>
        <v>3.3667316100000001E-3</v>
      </c>
      <c r="P10">
        <f t="shared" si="12"/>
        <v>2.2506710001435472E-3</v>
      </c>
      <c r="V10">
        <v>-5.4</v>
      </c>
      <c r="W10">
        <f t="shared" si="9"/>
        <v>-0.21445400000000003</v>
      </c>
      <c r="Y10">
        <v>0.06</v>
      </c>
      <c r="Z10">
        <f t="shared" si="10"/>
        <v>0.31624659999999999</v>
      </c>
    </row>
    <row r="11" spans="1:29" x14ac:dyDescent="0.3">
      <c r="A11">
        <v>0.39099220000000001</v>
      </c>
      <c r="B11">
        <v>0.86070999999999998</v>
      </c>
      <c r="C11">
        <f t="shared" si="1"/>
        <v>0.33653089646200002</v>
      </c>
      <c r="D11">
        <v>1.4999999999999999E-2</v>
      </c>
      <c r="E11">
        <v>9.9000000000000008E-3</v>
      </c>
      <c r="F11">
        <f t="shared" si="2"/>
        <v>78.198440000000005</v>
      </c>
      <c r="G11">
        <f t="shared" si="3"/>
        <v>-0.86070999999999998</v>
      </c>
      <c r="H11">
        <f t="shared" si="4"/>
        <v>-67.306179292400003</v>
      </c>
      <c r="I11">
        <v>1</v>
      </c>
      <c r="J11">
        <f t="shared" si="5"/>
        <v>-2.5485055804789574</v>
      </c>
      <c r="K11">
        <f t="shared" si="6"/>
        <v>-0.36101515177521748</v>
      </c>
      <c r="L11">
        <v>1</v>
      </c>
      <c r="M11">
        <f t="shared" si="7"/>
        <v>0.35015661942500642</v>
      </c>
      <c r="N11">
        <f t="shared" si="13"/>
        <v>5.8648829999999996E-3</v>
      </c>
      <c r="O11">
        <f t="shared" si="11"/>
        <v>3.8708227800000002E-3</v>
      </c>
      <c r="P11">
        <f t="shared" si="12"/>
        <v>1.1228265702110589E-3</v>
      </c>
      <c r="V11">
        <v>-5.3</v>
      </c>
      <c r="W11">
        <f t="shared" si="9"/>
        <v>-0.21921300000000005</v>
      </c>
      <c r="Y11">
        <v>7.0000000000000007E-2</v>
      </c>
      <c r="Z11">
        <f t="shared" si="10"/>
        <v>0.44007270000000004</v>
      </c>
      <c r="AB11" t="s">
        <v>34</v>
      </c>
      <c r="AC11">
        <f>AC7-AC9</f>
        <v>3.630424740826043E-3</v>
      </c>
    </row>
    <row r="12" spans="1:29" x14ac:dyDescent="0.3">
      <c r="A12">
        <v>0.44241974999999995</v>
      </c>
      <c r="B12">
        <v>0.85468</v>
      </c>
      <c r="C12">
        <f t="shared" si="1"/>
        <v>0.37812731192999993</v>
      </c>
      <c r="D12">
        <v>1.4999999999999999E-2</v>
      </c>
      <c r="E12">
        <v>9.9000000000000008E-3</v>
      </c>
      <c r="F12">
        <f t="shared" si="2"/>
        <v>88.483949999999993</v>
      </c>
      <c r="G12">
        <f t="shared" si="3"/>
        <v>-0.85468</v>
      </c>
      <c r="H12">
        <f t="shared" si="4"/>
        <v>-75.625462385999981</v>
      </c>
      <c r="I12">
        <v>1</v>
      </c>
      <c r="J12">
        <f t="shared" si="5"/>
        <v>-2.4249340993474324</v>
      </c>
      <c r="K12">
        <f t="shared" si="6"/>
        <v>-0.36704515177521746</v>
      </c>
      <c r="L12">
        <v>1</v>
      </c>
      <c r="M12">
        <f t="shared" si="7"/>
        <v>0.35603738621205572</v>
      </c>
      <c r="N12">
        <f t="shared" si="13"/>
        <v>6.6362962499999989E-3</v>
      </c>
      <c r="O12">
        <f t="shared" si="11"/>
        <v>4.3799555249999997E-3</v>
      </c>
      <c r="P12">
        <f t="shared" si="12"/>
        <v>-8.4862118382563953E-6</v>
      </c>
      <c r="V12">
        <v>-5.2</v>
      </c>
      <c r="W12">
        <f t="shared" si="9"/>
        <v>-0.223972</v>
      </c>
      <c r="Y12">
        <v>0.08</v>
      </c>
      <c r="Z12">
        <f t="shared" si="10"/>
        <v>0.56389880000000003</v>
      </c>
      <c r="AC12">
        <f>AC11*3</f>
        <v>1.0891274222478129E-2</v>
      </c>
    </row>
    <row r="13" spans="1:29" x14ac:dyDescent="0.3">
      <c r="A13">
        <v>0.49333804999999997</v>
      </c>
      <c r="B13">
        <v>0.84902999999999995</v>
      </c>
      <c r="C13">
        <f t="shared" si="1"/>
        <v>0.41885880459149993</v>
      </c>
      <c r="D13">
        <v>1.4999999999999999E-2</v>
      </c>
      <c r="E13">
        <v>9.9000000000000008E-3</v>
      </c>
      <c r="F13">
        <f t="shared" si="2"/>
        <v>98.667609999999996</v>
      </c>
      <c r="G13">
        <f t="shared" si="3"/>
        <v>-0.84902999999999995</v>
      </c>
      <c r="H13">
        <f t="shared" si="4"/>
        <v>-83.771760918299989</v>
      </c>
      <c r="I13">
        <v>1</v>
      </c>
      <c r="J13">
        <f t="shared" si="5"/>
        <v>-2.31599855256108</v>
      </c>
      <c r="K13">
        <f t="shared" si="6"/>
        <v>-0.3726951517752175</v>
      </c>
      <c r="L13">
        <v>1</v>
      </c>
      <c r="M13">
        <f t="shared" si="7"/>
        <v>0.3612216288836182</v>
      </c>
      <c r="N13">
        <f t="shared" si="13"/>
        <v>7.4000707499999995E-3</v>
      </c>
      <c r="O13">
        <f t="shared" si="11"/>
        <v>4.8840466949999998E-3</v>
      </c>
      <c r="P13">
        <f t="shared" si="12"/>
        <v>-8.1059455340069114E-4</v>
      </c>
      <c r="V13">
        <v>-5.0999999999999996</v>
      </c>
      <c r="W13">
        <f t="shared" si="9"/>
        <v>-0.22873100000000005</v>
      </c>
      <c r="Y13">
        <v>0.09</v>
      </c>
      <c r="Z13">
        <f t="shared" si="10"/>
        <v>0.68772490000000008</v>
      </c>
    </row>
    <row r="14" spans="1:29" x14ac:dyDescent="0.3">
      <c r="A14">
        <v>0.54527479999999995</v>
      </c>
      <c r="B14">
        <v>0.84431</v>
      </c>
      <c r="C14">
        <f t="shared" si="1"/>
        <v>0.46038096638799997</v>
      </c>
      <c r="D14">
        <v>1.4999999999999999E-2</v>
      </c>
      <c r="E14">
        <v>9.9000000000000008E-3</v>
      </c>
      <c r="F14">
        <f t="shared" si="2"/>
        <v>109.05495999999999</v>
      </c>
      <c r="G14">
        <f t="shared" si="3"/>
        <v>-0.84431</v>
      </c>
      <c r="H14">
        <f t="shared" si="4"/>
        <v>-92.076193277599998</v>
      </c>
      <c r="I14">
        <v>1</v>
      </c>
      <c r="J14">
        <f t="shared" si="5"/>
        <v>-2.2159033036457894</v>
      </c>
      <c r="K14">
        <f t="shared" si="6"/>
        <v>-0.37741515177521745</v>
      </c>
      <c r="L14">
        <v>1</v>
      </c>
      <c r="M14">
        <f t="shared" si="7"/>
        <v>0.36598516177949691</v>
      </c>
      <c r="N14">
        <f t="shared" si="13"/>
        <v>8.1791219999999987E-3</v>
      </c>
      <c r="O14">
        <f t="shared" si="11"/>
        <v>5.3982205200000001E-3</v>
      </c>
      <c r="P14">
        <f t="shared" si="12"/>
        <v>-2.1473525242794635E-3</v>
      </c>
      <c r="V14">
        <v>-5</v>
      </c>
      <c r="W14">
        <f t="shared" si="9"/>
        <v>-0.23349000000000003</v>
      </c>
      <c r="Y14">
        <v>0.1</v>
      </c>
      <c r="Z14">
        <f t="shared" si="10"/>
        <v>0.81155100000000013</v>
      </c>
    </row>
    <row r="15" spans="1:29" x14ac:dyDescent="0.3">
      <c r="A15">
        <v>0.59721150000000001</v>
      </c>
      <c r="B15">
        <v>0.83891000000000004</v>
      </c>
      <c r="C15">
        <f t="shared" si="1"/>
        <v>0.50100669946499998</v>
      </c>
      <c r="D15">
        <v>1.4999999999999999E-2</v>
      </c>
      <c r="E15">
        <v>9.9000000000000008E-3</v>
      </c>
      <c r="F15">
        <f t="shared" si="2"/>
        <v>119.4423</v>
      </c>
      <c r="G15">
        <f t="shared" si="3"/>
        <v>-0.83891000000000004</v>
      </c>
      <c r="H15">
        <f t="shared" si="4"/>
        <v>-100.201339893</v>
      </c>
      <c r="I15">
        <v>1</v>
      </c>
      <c r="J15">
        <f t="shared" si="5"/>
        <v>-2.1249218694061311</v>
      </c>
      <c r="K15">
        <f t="shared" si="6"/>
        <v>-0.38281515177521741</v>
      </c>
      <c r="L15">
        <v>1</v>
      </c>
      <c r="M15">
        <f t="shared" si="7"/>
        <v>0.37031496823496224</v>
      </c>
      <c r="N15">
        <f t="shared" si="13"/>
        <v>8.9581725000000001E-3</v>
      </c>
      <c r="O15">
        <f t="shared" si="11"/>
        <v>5.9123938500000002E-3</v>
      </c>
      <c r="P15">
        <f t="shared" si="12"/>
        <v>-2.3703828097448284E-3</v>
      </c>
      <c r="V15">
        <v>-4.9000000000000004</v>
      </c>
      <c r="W15">
        <f t="shared" si="9"/>
        <v>-0.23824900000000002</v>
      </c>
      <c r="Y15">
        <v>0.11</v>
      </c>
      <c r="Z15">
        <f t="shared" si="10"/>
        <v>0.93537709999999996</v>
      </c>
    </row>
    <row r="16" spans="1:29" x14ac:dyDescent="0.3">
      <c r="A16">
        <v>0.6476206000000001</v>
      </c>
      <c r="B16">
        <v>0.83459000000000005</v>
      </c>
      <c r="C16">
        <f t="shared" si="1"/>
        <v>0.54049767655400016</v>
      </c>
      <c r="D16">
        <v>1.4999999999999999E-2</v>
      </c>
      <c r="E16">
        <v>9.9000000000000008E-3</v>
      </c>
      <c r="F16">
        <f t="shared" si="2"/>
        <v>129.52412000000001</v>
      </c>
      <c r="G16">
        <f t="shared" si="3"/>
        <v>-0.83459000000000005</v>
      </c>
      <c r="H16">
        <f t="shared" si="4"/>
        <v>-108.09953531080004</v>
      </c>
      <c r="I16">
        <v>1</v>
      </c>
      <c r="J16">
        <f t="shared" si="5"/>
        <v>-2.0438881603595664</v>
      </c>
      <c r="K16">
        <f t="shared" si="6"/>
        <v>-0.3871351517752174</v>
      </c>
      <c r="L16">
        <v>1</v>
      </c>
      <c r="M16">
        <f t="shared" si="7"/>
        <v>0.37417136244848825</v>
      </c>
      <c r="N16">
        <f t="shared" si="13"/>
        <v>9.7143090000000008E-3</v>
      </c>
      <c r="O16">
        <f t="shared" si="11"/>
        <v>6.4114439400000016E-3</v>
      </c>
      <c r="P16">
        <f t="shared" si="12"/>
        <v>-3.1619636132708554E-3</v>
      </c>
      <c r="V16">
        <v>-4.8</v>
      </c>
      <c r="W16">
        <f t="shared" si="9"/>
        <v>-0.24300800000000003</v>
      </c>
      <c r="Y16">
        <v>0.12</v>
      </c>
      <c r="Z16">
        <f t="shared" si="10"/>
        <v>1.0592032</v>
      </c>
    </row>
    <row r="17" spans="1:26" x14ac:dyDescent="0.3">
      <c r="A17">
        <v>0.69802969999999998</v>
      </c>
      <c r="B17">
        <v>0.83030000000000004</v>
      </c>
      <c r="C17">
        <f t="shared" si="1"/>
        <v>0.57957405990999999</v>
      </c>
      <c r="D17">
        <v>1.4999999999999999E-2</v>
      </c>
      <c r="E17">
        <v>9.9000000000000008E-3</v>
      </c>
      <c r="F17">
        <f t="shared" si="2"/>
        <v>139.60594</v>
      </c>
      <c r="G17">
        <f t="shared" si="3"/>
        <v>-0.83030000000000004</v>
      </c>
      <c r="H17">
        <f t="shared" si="4"/>
        <v>-115.914811982</v>
      </c>
      <c r="I17">
        <v>1</v>
      </c>
      <c r="J17">
        <f t="shared" si="5"/>
        <v>-1.96893153941583</v>
      </c>
      <c r="K17">
        <f t="shared" si="6"/>
        <v>-0.39142515177521742</v>
      </c>
      <c r="L17">
        <v>1</v>
      </c>
      <c r="M17">
        <f t="shared" si="7"/>
        <v>0.37773854803920071</v>
      </c>
      <c r="N17">
        <f t="shared" si="13"/>
        <v>1.04704455E-2</v>
      </c>
      <c r="O17">
        <f t="shared" si="11"/>
        <v>6.9104940300000004E-3</v>
      </c>
      <c r="P17">
        <f t="shared" si="12"/>
        <v>-3.6943357939832888E-3</v>
      </c>
      <c r="V17">
        <v>-4.7</v>
      </c>
      <c r="W17">
        <f t="shared" si="9"/>
        <v>-0.24776700000000002</v>
      </c>
      <c r="Y17">
        <v>0.13</v>
      </c>
      <c r="Z17">
        <f t="shared" si="10"/>
        <v>1.1830293000000001</v>
      </c>
    </row>
    <row r="18" spans="1:26" x14ac:dyDescent="0.3">
      <c r="A18">
        <v>0.75149394999999997</v>
      </c>
      <c r="B18">
        <v>0.82606000000000002</v>
      </c>
      <c r="C18">
        <f t="shared" si="1"/>
        <v>0.62077909233700002</v>
      </c>
      <c r="D18">
        <v>1.4999999999999999E-2</v>
      </c>
      <c r="E18">
        <v>9.9000000000000008E-3</v>
      </c>
      <c r="F18">
        <f t="shared" si="2"/>
        <v>150.29879</v>
      </c>
      <c r="G18">
        <f t="shared" si="3"/>
        <v>-0.82606000000000002</v>
      </c>
      <c r="H18">
        <f t="shared" si="4"/>
        <v>-124.1558184674</v>
      </c>
      <c r="I18">
        <v>1</v>
      </c>
      <c r="J18">
        <f t="shared" si="5"/>
        <v>-1.89513003282115</v>
      </c>
      <c r="K18">
        <f t="shared" si="6"/>
        <v>-0.39566515177521744</v>
      </c>
      <c r="L18">
        <v>1</v>
      </c>
      <c r="M18">
        <f t="shared" si="7"/>
        <v>0.38125076173804151</v>
      </c>
      <c r="N18">
        <f t="shared" si="13"/>
        <v>1.1272409249999999E-2</v>
      </c>
      <c r="O18">
        <f t="shared" si="11"/>
        <v>7.439790105E-3</v>
      </c>
      <c r="P18">
        <f t="shared" si="12"/>
        <v>-4.2978093178240705E-3</v>
      </c>
      <c r="V18">
        <v>-4.5999999999999996</v>
      </c>
      <c r="W18">
        <f t="shared" si="9"/>
        <v>-0.25252600000000003</v>
      </c>
      <c r="Y18">
        <v>0.14000000000000001</v>
      </c>
      <c r="Z18">
        <f t="shared" si="10"/>
        <v>1.3068554000000001</v>
      </c>
    </row>
    <row r="19" spans="1:26" x14ac:dyDescent="0.3">
      <c r="A19">
        <v>0.80190315000000001</v>
      </c>
      <c r="B19">
        <v>0.82216</v>
      </c>
      <c r="C19">
        <f t="shared" si="1"/>
        <v>0.65929269380400002</v>
      </c>
      <c r="D19">
        <v>1.4999999999999999E-2</v>
      </c>
      <c r="E19">
        <v>9.9000000000000008E-3</v>
      </c>
      <c r="F19">
        <f t="shared" si="2"/>
        <v>160.38063</v>
      </c>
      <c r="G19">
        <f t="shared" si="3"/>
        <v>-0.82216</v>
      </c>
      <c r="H19">
        <f t="shared" si="4"/>
        <v>-131.8585387608</v>
      </c>
      <c r="I19">
        <v>1</v>
      </c>
      <c r="J19">
        <f t="shared" si="5"/>
        <v>-1.8302053514403749</v>
      </c>
      <c r="K19">
        <f t="shared" si="6"/>
        <v>-0.39956515177521745</v>
      </c>
      <c r="L19">
        <v>1</v>
      </c>
      <c r="M19">
        <f t="shared" si="7"/>
        <v>0.38434052732495261</v>
      </c>
      <c r="N19">
        <f t="shared" si="13"/>
        <v>1.202854725E-2</v>
      </c>
      <c r="O19">
        <f t="shared" si="11"/>
        <v>7.938841185E-3</v>
      </c>
      <c r="P19">
        <f t="shared" si="12"/>
        <v>-4.7427639847351551E-3</v>
      </c>
      <c r="V19">
        <v>-4.5000000000000098</v>
      </c>
      <c r="W19">
        <f t="shared" si="9"/>
        <v>-0.25728499999999954</v>
      </c>
      <c r="Y19">
        <v>0.15</v>
      </c>
      <c r="Z19">
        <f t="shared" si="10"/>
        <v>1.4306814999999999</v>
      </c>
    </row>
    <row r="20" spans="1:26" x14ac:dyDescent="0.3">
      <c r="A20">
        <v>0.85383979999999993</v>
      </c>
      <c r="B20">
        <v>0.81850000000000001</v>
      </c>
      <c r="C20">
        <f t="shared" si="1"/>
        <v>0.69886787629999991</v>
      </c>
      <c r="D20">
        <v>1.4999999999999999E-2</v>
      </c>
      <c r="E20">
        <v>9.9000000000000008E-3</v>
      </c>
      <c r="F20">
        <f t="shared" si="2"/>
        <v>170.76795999999999</v>
      </c>
      <c r="G20">
        <f t="shared" si="3"/>
        <v>-0.81850000000000001</v>
      </c>
      <c r="H20">
        <f t="shared" si="4"/>
        <v>-139.77357525999997</v>
      </c>
      <c r="I20">
        <v>1</v>
      </c>
      <c r="J20">
        <f t="shared" si="5"/>
        <v>-1.7674496030464777</v>
      </c>
      <c r="K20">
        <f t="shared" si="6"/>
        <v>-0.40322515177521745</v>
      </c>
      <c r="L20">
        <v>1</v>
      </c>
      <c r="M20">
        <f t="shared" si="7"/>
        <v>0.38732707339101813</v>
      </c>
      <c r="N20">
        <f t="shared" si="13"/>
        <v>1.2807596999999999E-2</v>
      </c>
      <c r="O20">
        <f t="shared" si="11"/>
        <v>8.4530140199999999E-3</v>
      </c>
      <c r="P20">
        <f t="shared" si="12"/>
        <v>-5.3625326358006774E-3</v>
      </c>
      <c r="V20">
        <v>-4.4000000000000101</v>
      </c>
      <c r="W20">
        <f t="shared" si="9"/>
        <v>-0.26204399999999956</v>
      </c>
      <c r="Y20">
        <v>0.16</v>
      </c>
      <c r="Z20">
        <f t="shared" si="10"/>
        <v>1.5545076</v>
      </c>
    </row>
    <row r="21" spans="1:26" x14ac:dyDescent="0.3">
      <c r="A21">
        <v>0.90424895000000005</v>
      </c>
      <c r="B21">
        <v>0.81476999999999999</v>
      </c>
      <c r="C21">
        <f t="shared" si="1"/>
        <v>0.73675491699150009</v>
      </c>
      <c r="D21">
        <v>1.4999999999999999E-2</v>
      </c>
      <c r="E21">
        <v>9.9000000000000008E-3</v>
      </c>
      <c r="F21">
        <f t="shared" si="2"/>
        <v>180.84979000000001</v>
      </c>
      <c r="G21">
        <f t="shared" si="3"/>
        <v>-0.81476999999999999</v>
      </c>
      <c r="H21">
        <f t="shared" si="4"/>
        <v>-147.35098339830003</v>
      </c>
      <c r="I21">
        <v>1</v>
      </c>
      <c r="J21">
        <f t="shared" si="5"/>
        <v>-1.7100884817680053</v>
      </c>
      <c r="K21">
        <f t="shared" si="6"/>
        <v>-0.40695515177521746</v>
      </c>
      <c r="L21">
        <v>1</v>
      </c>
      <c r="M21">
        <f t="shared" si="7"/>
        <v>0.39005688915266068</v>
      </c>
      <c r="N21">
        <f t="shared" si="13"/>
        <v>1.3563734250000001E-2</v>
      </c>
      <c r="O21">
        <f t="shared" si="11"/>
        <v>8.9520646050000006E-3</v>
      </c>
      <c r="P21">
        <f t="shared" si="12"/>
        <v>-5.6175362324432203E-3</v>
      </c>
      <c r="V21">
        <v>-4.3000000000000096</v>
      </c>
      <c r="W21">
        <f t="shared" si="9"/>
        <v>-0.26680299999999957</v>
      </c>
      <c r="Y21">
        <v>0.17</v>
      </c>
      <c r="Z21">
        <f t="shared" si="10"/>
        <v>1.6783337</v>
      </c>
    </row>
    <row r="22" spans="1:26" x14ac:dyDescent="0.3">
      <c r="A22">
        <v>0.95771315000000001</v>
      </c>
      <c r="B22">
        <v>0.81094999999999995</v>
      </c>
      <c r="C22">
        <f t="shared" si="1"/>
        <v>0.77665747899249993</v>
      </c>
      <c r="D22">
        <v>1.4999999999999999E-2</v>
      </c>
      <c r="E22">
        <v>9.9000000000000008E-3</v>
      </c>
      <c r="F22">
        <f t="shared" si="2"/>
        <v>191.54263</v>
      </c>
      <c r="G22">
        <f t="shared" si="3"/>
        <v>-0.81094999999999995</v>
      </c>
      <c r="H22">
        <f t="shared" si="4"/>
        <v>-155.33149579849999</v>
      </c>
      <c r="I22">
        <v>1</v>
      </c>
      <c r="J22">
        <f t="shared" si="5"/>
        <v>-1.6526448841695234</v>
      </c>
      <c r="K22">
        <f t="shared" si="6"/>
        <v>-0.41077515177521751</v>
      </c>
      <c r="L22">
        <v>1</v>
      </c>
      <c r="M22">
        <f t="shared" si="7"/>
        <v>0.39279062996237241</v>
      </c>
      <c r="N22">
        <f t="shared" si="13"/>
        <v>1.436569725E-2</v>
      </c>
      <c r="O22">
        <f t="shared" si="11"/>
        <v>9.4813601850000009E-3</v>
      </c>
      <c r="P22">
        <f t="shared" si="12"/>
        <v>-5.8625356221549008E-3</v>
      </c>
      <c r="V22">
        <v>-4.2000000000000099</v>
      </c>
      <c r="W22">
        <f t="shared" si="9"/>
        <v>-0.27156199999999953</v>
      </c>
      <c r="Y22">
        <v>0.18</v>
      </c>
      <c r="Z22">
        <f t="shared" si="10"/>
        <v>1.8021598000000001</v>
      </c>
    </row>
    <row r="23" spans="1:26" x14ac:dyDescent="0.3">
      <c r="A23">
        <v>1.0096499000000001</v>
      </c>
      <c r="B23">
        <v>0.80742000000000003</v>
      </c>
      <c r="C23">
        <f t="shared" si="1"/>
        <v>0.81521152225800009</v>
      </c>
      <c r="D23">
        <v>1.4999999999999999E-2</v>
      </c>
      <c r="E23">
        <v>9.9000000000000008E-3</v>
      </c>
      <c r="F23">
        <f t="shared" si="2"/>
        <v>201.92998000000003</v>
      </c>
      <c r="G23">
        <f t="shared" si="3"/>
        <v>-0.80742000000000003</v>
      </c>
      <c r="H23">
        <f t="shared" si="4"/>
        <v>-163.04230445160002</v>
      </c>
      <c r="I23">
        <v>1</v>
      </c>
      <c r="J23">
        <f t="shared" si="5"/>
        <v>-1.5998342753356336</v>
      </c>
      <c r="K23">
        <f t="shared" si="6"/>
        <v>-0.41430515177521743</v>
      </c>
      <c r="L23">
        <v>1</v>
      </c>
      <c r="M23">
        <f t="shared" si="7"/>
        <v>0.3953038868367772</v>
      </c>
      <c r="N23">
        <f t="shared" si="13"/>
        <v>1.5144748500000001E-2</v>
      </c>
      <c r="O23">
        <f t="shared" si="11"/>
        <v>9.9955340100000012E-3</v>
      </c>
      <c r="P23">
        <f t="shared" si="12"/>
        <v>-6.1390175715597701E-3</v>
      </c>
      <c r="V23">
        <v>-4.1000000000000103</v>
      </c>
      <c r="W23">
        <f t="shared" si="9"/>
        <v>-0.27632099999999954</v>
      </c>
      <c r="Y23">
        <v>0.19</v>
      </c>
      <c r="Z23">
        <f t="shared" si="10"/>
        <v>1.9259859000000001</v>
      </c>
    </row>
    <row r="24" spans="1:26" x14ac:dyDescent="0.3">
      <c r="A24">
        <v>1.0636234</v>
      </c>
      <c r="B24">
        <v>0.80413999999999997</v>
      </c>
      <c r="C24">
        <f t="shared" si="1"/>
        <v>0.85530212087599999</v>
      </c>
      <c r="D24">
        <v>1.4999999999999999E-2</v>
      </c>
      <c r="E24">
        <v>9.9000000000000008E-3</v>
      </c>
      <c r="F24">
        <f t="shared" si="2"/>
        <v>212.72468000000001</v>
      </c>
      <c r="G24">
        <f t="shared" si="3"/>
        <v>-0.80413999999999997</v>
      </c>
      <c r="H24">
        <f t="shared" si="4"/>
        <v>-171.06042417520001</v>
      </c>
      <c r="I24">
        <v>1</v>
      </c>
      <c r="J24">
        <f t="shared" si="5"/>
        <v>-1.5477565315372233</v>
      </c>
      <c r="K24">
        <f t="shared" si="6"/>
        <v>-0.41758515177521749</v>
      </c>
      <c r="L24">
        <v>1</v>
      </c>
      <c r="M24">
        <f t="shared" si="7"/>
        <v>0.39778226666414357</v>
      </c>
      <c r="N24">
        <f t="shared" si="13"/>
        <v>1.5954350999999999E-2</v>
      </c>
      <c r="O24">
        <f t="shared" si="11"/>
        <v>1.0529871660000001E-2</v>
      </c>
      <c r="P24">
        <f t="shared" si="12"/>
        <v>-6.6813375489260789E-3</v>
      </c>
      <c r="V24">
        <v>-4.0000000000000098</v>
      </c>
      <c r="W24">
        <f t="shared" si="9"/>
        <v>-0.28107999999999955</v>
      </c>
      <c r="Y24">
        <v>0.2</v>
      </c>
      <c r="Z24">
        <f t="shared" si="10"/>
        <v>2.0498120000000002</v>
      </c>
    </row>
    <row r="25" spans="1:26" x14ac:dyDescent="0.3">
      <c r="A25">
        <v>1.115051</v>
      </c>
      <c r="B25">
        <v>0.80067999999999995</v>
      </c>
      <c r="C25">
        <f t="shared" si="1"/>
        <v>0.89279903467999999</v>
      </c>
      <c r="D25">
        <v>1.4999999999999999E-2</v>
      </c>
      <c r="E25">
        <v>9.9000000000000008E-3</v>
      </c>
      <c r="F25">
        <f t="shared" si="2"/>
        <v>223.0102</v>
      </c>
      <c r="G25">
        <f t="shared" si="3"/>
        <v>-0.80067999999999995</v>
      </c>
      <c r="H25">
        <f t="shared" si="4"/>
        <v>-178.559806936</v>
      </c>
      <c r="I25">
        <v>1</v>
      </c>
      <c r="J25">
        <f t="shared" si="5"/>
        <v>-1.5005377686577421</v>
      </c>
      <c r="K25">
        <f t="shared" si="6"/>
        <v>-0.42104515177521751</v>
      </c>
      <c r="L25">
        <v>1</v>
      </c>
      <c r="M25">
        <f t="shared" si="7"/>
        <v>0.40002940758957806</v>
      </c>
      <c r="N25">
        <f t="shared" si="13"/>
        <v>1.6725765E-2</v>
      </c>
      <c r="O25">
        <f t="shared" si="11"/>
        <v>1.1039004900000001E-2</v>
      </c>
      <c r="P25">
        <f t="shared" si="12"/>
        <v>-6.7490257143605504E-3</v>
      </c>
      <c r="V25">
        <v>-3.9000000000000101</v>
      </c>
      <c r="W25">
        <f t="shared" si="9"/>
        <v>-0.28583899999999951</v>
      </c>
      <c r="Y25">
        <v>0.21</v>
      </c>
      <c r="Z25">
        <f t="shared" si="10"/>
        <v>2.1736380999999998</v>
      </c>
    </row>
    <row r="26" spans="1:26" x14ac:dyDescent="0.3">
      <c r="A26">
        <v>1.1669877</v>
      </c>
      <c r="B26">
        <v>0.79764999999999997</v>
      </c>
      <c r="C26">
        <f t="shared" si="1"/>
        <v>0.93084773890499994</v>
      </c>
      <c r="D26">
        <v>1.4999999999999999E-2</v>
      </c>
      <c r="E26">
        <v>9.9000000000000008E-3</v>
      </c>
      <c r="F26">
        <f t="shared" si="2"/>
        <v>233.39753999999999</v>
      </c>
      <c r="G26">
        <f t="shared" si="3"/>
        <v>-0.79764999999999997</v>
      </c>
      <c r="H26">
        <f t="shared" si="4"/>
        <v>-186.16954778099998</v>
      </c>
      <c r="I26">
        <v>1</v>
      </c>
      <c r="J26">
        <f t="shared" si="5"/>
        <v>-1.4550120990309845</v>
      </c>
      <c r="K26">
        <f t="shared" si="6"/>
        <v>-0.42407515177521748</v>
      </c>
      <c r="L26">
        <v>1</v>
      </c>
      <c r="M26">
        <f t="shared" si="7"/>
        <v>0.4021959742071155</v>
      </c>
      <c r="N26">
        <f t="shared" si="13"/>
        <v>1.75048155E-2</v>
      </c>
      <c r="O26">
        <f t="shared" si="11"/>
        <v>1.1553178230000001E-2</v>
      </c>
      <c r="P26">
        <f t="shared" si="12"/>
        <v>-7.1788161618980186E-3</v>
      </c>
      <c r="V26">
        <v>-3.80000000000001</v>
      </c>
      <c r="W26">
        <f t="shared" si="9"/>
        <v>-0.29059799999999958</v>
      </c>
      <c r="Y26">
        <v>0.22</v>
      </c>
      <c r="Z26">
        <f t="shared" si="10"/>
        <v>2.2974641999999998</v>
      </c>
    </row>
    <row r="27" spans="1:26" x14ac:dyDescent="0.3">
      <c r="A27">
        <v>1.2173967000000001</v>
      </c>
      <c r="B27">
        <v>0.79435999999999996</v>
      </c>
      <c r="C27">
        <f t="shared" si="1"/>
        <v>0.96705124261200004</v>
      </c>
      <c r="D27">
        <v>1.4999999999999999E-2</v>
      </c>
      <c r="E27">
        <v>9.9000000000000008E-3</v>
      </c>
      <c r="F27">
        <f t="shared" si="2"/>
        <v>243.47934000000004</v>
      </c>
      <c r="G27">
        <f t="shared" si="3"/>
        <v>-0.79435999999999996</v>
      </c>
      <c r="H27">
        <f t="shared" si="4"/>
        <v>-193.4102485224</v>
      </c>
      <c r="I27">
        <v>1</v>
      </c>
      <c r="J27">
        <f t="shared" si="5"/>
        <v>-1.4127231860550107</v>
      </c>
      <c r="K27">
        <f t="shared" si="6"/>
        <v>-0.4273651517752175</v>
      </c>
      <c r="L27">
        <v>1</v>
      </c>
      <c r="M27">
        <f t="shared" si="7"/>
        <v>0.40420850357564209</v>
      </c>
      <c r="N27">
        <f t="shared" si="13"/>
        <v>1.8260950500000001E-2</v>
      </c>
      <c r="O27">
        <f t="shared" si="11"/>
        <v>1.2052227330000002E-2</v>
      </c>
      <c r="P27">
        <f t="shared" si="12"/>
        <v>-7.1565296304245893E-3</v>
      </c>
      <c r="V27">
        <v>-3.7000000000000099</v>
      </c>
      <c r="W27">
        <f t="shared" si="9"/>
        <v>-0.29535699999999954</v>
      </c>
      <c r="Y27">
        <v>0.23</v>
      </c>
      <c r="Z27">
        <f t="shared" si="10"/>
        <v>2.4212903000000003</v>
      </c>
    </row>
    <row r="28" spans="1:26" x14ac:dyDescent="0.3">
      <c r="A28">
        <v>1.2688242000000001</v>
      </c>
      <c r="B28">
        <v>0.79113999999999995</v>
      </c>
      <c r="C28">
        <f t="shared" si="1"/>
        <v>1.0038175775880001</v>
      </c>
      <c r="D28">
        <v>1.4999999999999999E-2</v>
      </c>
      <c r="E28">
        <v>9.9000000000000008E-3</v>
      </c>
      <c r="F28">
        <f t="shared" si="2"/>
        <v>253.76484000000002</v>
      </c>
      <c r="G28">
        <f t="shared" si="3"/>
        <v>-0.79113999999999995</v>
      </c>
      <c r="H28">
        <f t="shared" si="4"/>
        <v>-200.76351551760001</v>
      </c>
      <c r="I28">
        <v>1</v>
      </c>
      <c r="J28">
        <f t="shared" si="5"/>
        <v>-1.3713472675775689</v>
      </c>
      <c r="K28">
        <f t="shared" si="6"/>
        <v>-0.4305851517752175</v>
      </c>
      <c r="L28">
        <v>1</v>
      </c>
      <c r="M28">
        <f t="shared" si="7"/>
        <v>0.40617758353598354</v>
      </c>
      <c r="N28">
        <f t="shared" si="13"/>
        <v>1.9032363E-2</v>
      </c>
      <c r="O28">
        <f t="shared" si="11"/>
        <v>1.2561359580000002E-2</v>
      </c>
      <c r="P28">
        <f t="shared" si="12"/>
        <v>-7.1861543407660457E-3</v>
      </c>
      <c r="V28">
        <v>-3.6000000000000099</v>
      </c>
      <c r="W28">
        <f t="shared" si="9"/>
        <v>-0.30011599999999955</v>
      </c>
      <c r="Y28">
        <v>0.24</v>
      </c>
      <c r="Z28">
        <f t="shared" si="10"/>
        <v>2.5451163999999999</v>
      </c>
    </row>
    <row r="29" spans="1:26" x14ac:dyDescent="0.3">
      <c r="A29">
        <v>1.3233069</v>
      </c>
      <c r="B29">
        <v>0.78798999999999997</v>
      </c>
      <c r="C29">
        <f t="shared" si="1"/>
        <v>1.042752604131</v>
      </c>
      <c r="D29">
        <v>1.4999999999999999E-2</v>
      </c>
      <c r="E29">
        <v>9.9000000000000008E-3</v>
      </c>
      <c r="F29">
        <f t="shared" si="2"/>
        <v>264.66138000000001</v>
      </c>
      <c r="G29">
        <f t="shared" si="3"/>
        <v>-0.78798999999999997</v>
      </c>
      <c r="H29">
        <f t="shared" si="4"/>
        <v>-208.5505208262</v>
      </c>
      <c r="I29">
        <v>1</v>
      </c>
      <c r="J29">
        <f t="shared" si="5"/>
        <v>-1.3293040814136934</v>
      </c>
      <c r="K29">
        <f t="shared" si="6"/>
        <v>-0.43373515177521749</v>
      </c>
      <c r="L29">
        <v>1</v>
      </c>
      <c r="M29">
        <f t="shared" si="7"/>
        <v>0.40817841876552236</v>
      </c>
      <c r="N29">
        <f t="shared" si="13"/>
        <v>1.98496035E-2</v>
      </c>
      <c r="O29">
        <f t="shared" si="11"/>
        <v>1.310073831E-2</v>
      </c>
      <c r="P29">
        <f t="shared" si="12"/>
        <v>-7.3936088003048687E-3</v>
      </c>
      <c r="V29">
        <v>-3.5000000000000102</v>
      </c>
      <c r="W29">
        <f t="shared" si="9"/>
        <v>-0.30487499999999956</v>
      </c>
      <c r="Y29">
        <v>0.25</v>
      </c>
      <c r="Z29">
        <f t="shared" si="10"/>
        <v>2.6689425</v>
      </c>
    </row>
    <row r="30" spans="1:26" x14ac:dyDescent="0.3">
      <c r="A30">
        <v>1.3767711</v>
      </c>
      <c r="B30">
        <v>0.78473999999999999</v>
      </c>
      <c r="C30">
        <f t="shared" si="1"/>
        <v>1.0804073530139999</v>
      </c>
      <c r="D30">
        <v>1.4999999999999999E-2</v>
      </c>
      <c r="E30">
        <v>9.9000000000000008E-3</v>
      </c>
      <c r="F30">
        <f t="shared" si="2"/>
        <v>275.35422</v>
      </c>
      <c r="G30">
        <f t="shared" si="3"/>
        <v>-0.78473999999999999</v>
      </c>
      <c r="H30">
        <f t="shared" si="4"/>
        <v>-216.08147060279998</v>
      </c>
      <c r="I30">
        <v>1</v>
      </c>
      <c r="J30">
        <f t="shared" si="5"/>
        <v>-1.2896969374422953</v>
      </c>
      <c r="K30">
        <f t="shared" si="6"/>
        <v>-0.43698515177521746</v>
      </c>
      <c r="L30">
        <v>1</v>
      </c>
      <c r="M30">
        <f t="shared" si="7"/>
        <v>0.41006332274712121</v>
      </c>
      <c r="N30">
        <f t="shared" si="13"/>
        <v>2.0651566499999999E-2</v>
      </c>
      <c r="O30">
        <f t="shared" si="11"/>
        <v>1.3630033890000001E-2</v>
      </c>
      <c r="P30">
        <f t="shared" si="12"/>
        <v>-7.3597713619037441E-3</v>
      </c>
      <c r="V30">
        <v>-3.4000000000000101</v>
      </c>
      <c r="W30">
        <f t="shared" si="9"/>
        <v>-0.30963399999999952</v>
      </c>
      <c r="Y30">
        <v>0.26</v>
      </c>
      <c r="Z30">
        <f t="shared" si="10"/>
        <v>2.7927686</v>
      </c>
    </row>
    <row r="31" spans="1:26" x14ac:dyDescent="0.3">
      <c r="A31">
        <v>1.4287078</v>
      </c>
      <c r="B31">
        <v>0.78183999999999998</v>
      </c>
      <c r="C31">
        <f t="shared" si="1"/>
        <v>1.117020906352</v>
      </c>
      <c r="D31">
        <v>1.4999999999999999E-2</v>
      </c>
      <c r="E31">
        <v>9.9000000000000008E-3</v>
      </c>
      <c r="F31">
        <f t="shared" si="2"/>
        <v>285.74155999999999</v>
      </c>
      <c r="G31">
        <f t="shared" si="3"/>
        <v>-0.78183999999999998</v>
      </c>
      <c r="H31">
        <f t="shared" si="4"/>
        <v>-223.40418127040002</v>
      </c>
      <c r="I31">
        <v>1</v>
      </c>
      <c r="J31">
        <f t="shared" si="5"/>
        <v>-1.2526675130513838</v>
      </c>
      <c r="K31">
        <f t="shared" si="6"/>
        <v>-0.43988515177521748</v>
      </c>
      <c r="L31">
        <v>1</v>
      </c>
      <c r="M31">
        <f t="shared" si="7"/>
        <v>0.41182555305388469</v>
      </c>
      <c r="N31">
        <f t="shared" si="13"/>
        <v>2.1430616999999999E-2</v>
      </c>
      <c r="O31">
        <f t="shared" si="11"/>
        <v>1.4144207220000002E-2</v>
      </c>
      <c r="P31">
        <f t="shared" si="12"/>
        <v>-7.5152254986672103E-3</v>
      </c>
      <c r="V31">
        <v>-3.30000000000001</v>
      </c>
      <c r="W31">
        <f t="shared" si="9"/>
        <v>-0.31439299999999953</v>
      </c>
      <c r="Y31">
        <v>0.27</v>
      </c>
      <c r="Z31">
        <f t="shared" si="10"/>
        <v>2.9165947000000001</v>
      </c>
    </row>
    <row r="32" spans="1:26" x14ac:dyDescent="0.3">
      <c r="A32">
        <v>1.4791169</v>
      </c>
      <c r="B32">
        <v>0.77886</v>
      </c>
      <c r="C32">
        <f t="shared" si="1"/>
        <v>1.1520249887339999</v>
      </c>
      <c r="D32">
        <v>1.4999999999999999E-2</v>
      </c>
      <c r="E32">
        <v>9.9000000000000008E-3</v>
      </c>
      <c r="F32">
        <f t="shared" si="2"/>
        <v>295.82337999999999</v>
      </c>
      <c r="G32">
        <f t="shared" si="3"/>
        <v>-0.77886</v>
      </c>
      <c r="H32">
        <f t="shared" si="4"/>
        <v>-230.40499774679998</v>
      </c>
      <c r="I32">
        <v>1</v>
      </c>
      <c r="J32">
        <f t="shared" si="5"/>
        <v>-1.2179926919371067</v>
      </c>
      <c r="K32">
        <f t="shared" si="6"/>
        <v>-0.44286515177521746</v>
      </c>
      <c r="L32">
        <v>1</v>
      </c>
      <c r="M32">
        <f t="shared" si="7"/>
        <v>0.41347572779071312</v>
      </c>
      <c r="N32">
        <f t="shared" si="13"/>
        <v>2.21867535E-2</v>
      </c>
      <c r="O32">
        <f t="shared" si="11"/>
        <v>1.4643257310000001E-2</v>
      </c>
      <c r="P32">
        <f t="shared" si="12"/>
        <v>-7.4405868254956639E-3</v>
      </c>
      <c r="V32">
        <v>-3.2000000000000099</v>
      </c>
      <c r="W32">
        <f t="shared" si="9"/>
        <v>-0.31915199999999955</v>
      </c>
    </row>
    <row r="33" spans="1:23" x14ac:dyDescent="0.3">
      <c r="A33">
        <v>1.5295259999999999</v>
      </c>
      <c r="B33">
        <v>0.77615000000000001</v>
      </c>
      <c r="C33">
        <f t="shared" si="1"/>
        <v>1.1871416048999999</v>
      </c>
      <c r="D33">
        <v>1.4999999999999999E-2</v>
      </c>
      <c r="E33">
        <v>9.9000000000000008E-3</v>
      </c>
      <c r="F33">
        <f t="shared" si="2"/>
        <v>305.90519999999998</v>
      </c>
      <c r="G33">
        <f t="shared" si="3"/>
        <v>-0.77615000000000001</v>
      </c>
      <c r="H33">
        <f t="shared" si="4"/>
        <v>-237.42832097999997</v>
      </c>
      <c r="I33">
        <v>1</v>
      </c>
      <c r="J33">
        <f t="shared" si="5"/>
        <v>-1.1844800289504736</v>
      </c>
      <c r="K33">
        <f t="shared" si="6"/>
        <v>-0.44557515177521745</v>
      </c>
      <c r="L33">
        <v>1</v>
      </c>
      <c r="M33">
        <f t="shared" si="7"/>
        <v>0.415070595422247</v>
      </c>
      <c r="N33">
        <f t="shared" si="13"/>
        <v>2.2942889999999997E-2</v>
      </c>
      <c r="O33">
        <f t="shared" si="11"/>
        <v>1.5142307400000001E-2</v>
      </c>
      <c r="P33">
        <f t="shared" si="12"/>
        <v>-7.5806410470295512E-3</v>
      </c>
      <c r="V33">
        <v>-3.1000000000000099</v>
      </c>
      <c r="W33">
        <f t="shared" si="9"/>
        <v>-0.32391099999999956</v>
      </c>
    </row>
    <row r="34" spans="1:23" x14ac:dyDescent="0.3">
      <c r="A34">
        <v>1.5814629</v>
      </c>
      <c r="B34">
        <v>0.77322999999999997</v>
      </c>
      <c r="C34">
        <f t="shared" si="1"/>
        <v>1.2228345581669999</v>
      </c>
      <c r="D34">
        <v>1.4999999999999999E-2</v>
      </c>
      <c r="E34">
        <v>9.9000000000000008E-3</v>
      </c>
      <c r="F34">
        <f t="shared" si="2"/>
        <v>316.29257999999999</v>
      </c>
      <c r="G34">
        <f t="shared" si="3"/>
        <v>-0.77322999999999997</v>
      </c>
      <c r="H34">
        <f t="shared" si="4"/>
        <v>-244.5669116334</v>
      </c>
      <c r="I34">
        <v>1</v>
      </c>
      <c r="J34">
        <f t="shared" si="5"/>
        <v>-1.1510876076873955</v>
      </c>
      <c r="K34">
        <f t="shared" si="6"/>
        <v>-0.44849515177521748</v>
      </c>
      <c r="L34">
        <v>1</v>
      </c>
      <c r="M34">
        <f t="shared" si="7"/>
        <v>0.41665974075015688</v>
      </c>
      <c r="N34">
        <f t="shared" si="13"/>
        <v>2.3721943499999999E-2</v>
      </c>
      <c r="O34">
        <f t="shared" si="11"/>
        <v>1.5656482710000003E-2</v>
      </c>
      <c r="P34">
        <f t="shared" si="12"/>
        <v>-7.5430151849394007E-3</v>
      </c>
      <c r="V34">
        <v>-3.0000000000000102</v>
      </c>
      <c r="W34">
        <f t="shared" si="9"/>
        <v>-0.32866999999999957</v>
      </c>
    </row>
    <row r="35" spans="1:23" x14ac:dyDescent="0.3">
      <c r="A35">
        <v>1.6328902999999999</v>
      </c>
      <c r="B35">
        <v>0.77053000000000005</v>
      </c>
      <c r="C35">
        <f t="shared" si="1"/>
        <v>1.258190962859</v>
      </c>
      <c r="D35">
        <v>1.4999999999999999E-2</v>
      </c>
      <c r="E35">
        <v>9.9000000000000008E-3</v>
      </c>
      <c r="F35">
        <f t="shared" si="2"/>
        <v>326.57805999999999</v>
      </c>
      <c r="G35">
        <f t="shared" si="3"/>
        <v>-0.77053000000000005</v>
      </c>
      <c r="H35">
        <f t="shared" si="4"/>
        <v>-251.6381925718</v>
      </c>
      <c r="I35">
        <v>1</v>
      </c>
      <c r="J35">
        <f t="shared" si="5"/>
        <v>-1.1190862776771391</v>
      </c>
      <c r="K35">
        <f t="shared" si="6"/>
        <v>-0.45119515177521741</v>
      </c>
      <c r="L35">
        <v>1</v>
      </c>
      <c r="M35">
        <f t="shared" si="7"/>
        <v>0.41818268404534498</v>
      </c>
      <c r="N35">
        <f t="shared" si="13"/>
        <v>2.4493354499999998E-2</v>
      </c>
      <c r="O35">
        <f t="shared" si="11"/>
        <v>1.6165613969999999E-2</v>
      </c>
      <c r="P35">
        <f t="shared" si="12"/>
        <v>-7.6465007401275674E-3</v>
      </c>
      <c r="V35">
        <v>-2.9000000000000101</v>
      </c>
      <c r="W35">
        <f t="shared" si="9"/>
        <v>-0.33342899999999953</v>
      </c>
    </row>
    <row r="36" spans="1:23" x14ac:dyDescent="0.3">
      <c r="A36">
        <v>1.6832993999999999</v>
      </c>
      <c r="B36">
        <v>0.76785999999999999</v>
      </c>
      <c r="C36">
        <f t="shared" si="1"/>
        <v>1.2925382772839999</v>
      </c>
      <c r="D36">
        <v>1.4999999999999999E-2</v>
      </c>
      <c r="E36">
        <v>9.9000000000000008E-3</v>
      </c>
      <c r="F36">
        <f t="shared" si="2"/>
        <v>336.65987999999999</v>
      </c>
      <c r="G36">
        <f t="shared" si="3"/>
        <v>-0.76785999999999999</v>
      </c>
      <c r="H36">
        <f t="shared" si="4"/>
        <v>-258.50765545679997</v>
      </c>
      <c r="I36">
        <v>1</v>
      </c>
      <c r="J36">
        <f t="shared" si="5"/>
        <v>-1.0886821164339668</v>
      </c>
      <c r="K36">
        <f t="shared" si="6"/>
        <v>-0.45386515177521747</v>
      </c>
      <c r="L36">
        <v>1</v>
      </c>
      <c r="M36">
        <f t="shared" si="7"/>
        <v>0.41962961807890753</v>
      </c>
      <c r="N36">
        <f t="shared" si="13"/>
        <v>2.5249490999999999E-2</v>
      </c>
      <c r="O36">
        <f t="shared" si="11"/>
        <v>1.6664664060000001E-2</v>
      </c>
      <c r="P36">
        <f t="shared" si="12"/>
        <v>-7.6786213636900608E-3</v>
      </c>
      <c r="V36">
        <v>-2.80000000000001</v>
      </c>
      <c r="W36">
        <f t="shared" si="9"/>
        <v>-0.33818799999999954</v>
      </c>
    </row>
    <row r="37" spans="1:23" x14ac:dyDescent="0.3">
      <c r="A37">
        <v>1.7357452</v>
      </c>
      <c r="B37">
        <v>0.76505000000000001</v>
      </c>
      <c r="C37">
        <f t="shared" si="1"/>
        <v>1.3279318652600001</v>
      </c>
      <c r="D37">
        <v>1.4999999999999999E-2</v>
      </c>
      <c r="E37">
        <v>9.9000000000000008E-3</v>
      </c>
      <c r="F37">
        <f t="shared" si="2"/>
        <v>347.14904000000001</v>
      </c>
      <c r="G37">
        <f t="shared" si="3"/>
        <v>-0.76505000000000001</v>
      </c>
      <c r="H37">
        <f t="shared" si="4"/>
        <v>-265.586373052</v>
      </c>
      <c r="I37">
        <v>1</v>
      </c>
      <c r="J37">
        <f t="shared" si="5"/>
        <v>-1.0580010811618763</v>
      </c>
      <c r="K37">
        <f t="shared" si="6"/>
        <v>-0.45667515177521745</v>
      </c>
      <c r="L37">
        <v>1</v>
      </c>
      <c r="M37">
        <f t="shared" si="7"/>
        <v>0.42108972854750631</v>
      </c>
      <c r="N37">
        <f t="shared" si="13"/>
        <v>2.6036178E-2</v>
      </c>
      <c r="O37">
        <f t="shared" si="11"/>
        <v>1.7183877480000002E-2</v>
      </c>
      <c r="P37">
        <f t="shared" si="12"/>
        <v>-7.6346322522888692E-3</v>
      </c>
      <c r="V37">
        <v>-2.7000000000000099</v>
      </c>
      <c r="W37">
        <f t="shared" si="9"/>
        <v>-0.34294699999999956</v>
      </c>
    </row>
    <row r="38" spans="1:23" x14ac:dyDescent="0.3">
      <c r="A38">
        <v>1.7866636</v>
      </c>
      <c r="B38">
        <v>0.76231000000000004</v>
      </c>
      <c r="C38">
        <f t="shared" si="1"/>
        <v>1.3619915289160001</v>
      </c>
      <c r="D38">
        <v>1.4999999999999999E-2</v>
      </c>
      <c r="E38">
        <v>9.9000000000000008E-3</v>
      </c>
      <c r="F38">
        <f t="shared" si="2"/>
        <v>357.33271999999999</v>
      </c>
      <c r="G38">
        <f t="shared" si="3"/>
        <v>-0.76231000000000004</v>
      </c>
      <c r="H38">
        <f t="shared" si="4"/>
        <v>-272.39830578319999</v>
      </c>
      <c r="I38">
        <v>1</v>
      </c>
      <c r="J38">
        <f t="shared" si="5"/>
        <v>-1.029087942438883</v>
      </c>
      <c r="K38">
        <f t="shared" si="6"/>
        <v>-0.45941515177521741</v>
      </c>
      <c r="L38">
        <v>1</v>
      </c>
      <c r="M38">
        <f t="shared" si="7"/>
        <v>0.4224657048193336</v>
      </c>
      <c r="N38">
        <f t="shared" si="13"/>
        <v>2.6799954000000001E-2</v>
      </c>
      <c r="O38">
        <f t="shared" si="11"/>
        <v>1.7687969640000002E-2</v>
      </c>
      <c r="P38">
        <f t="shared" si="12"/>
        <v>-7.5384766841161896E-3</v>
      </c>
      <c r="V38">
        <v>-2.6000000000000099</v>
      </c>
      <c r="W38">
        <f t="shared" si="9"/>
        <v>-0.34770599999999957</v>
      </c>
    </row>
    <row r="39" spans="1:23" x14ac:dyDescent="0.3">
      <c r="A39">
        <v>1.8396188</v>
      </c>
      <c r="B39">
        <v>0.75973000000000002</v>
      </c>
      <c r="C39">
        <f t="shared" si="1"/>
        <v>1.3976135909239999</v>
      </c>
      <c r="D39">
        <v>1.4999999999999999E-2</v>
      </c>
      <c r="E39">
        <v>9.9000000000000008E-3</v>
      </c>
      <c r="F39">
        <f t="shared" si="2"/>
        <v>367.92376000000002</v>
      </c>
      <c r="G39">
        <f t="shared" si="3"/>
        <v>-0.75973000000000002</v>
      </c>
      <c r="H39">
        <f t="shared" si="4"/>
        <v>-279.5227181848</v>
      </c>
      <c r="I39">
        <v>1</v>
      </c>
      <c r="J39">
        <f t="shared" si="5"/>
        <v>-0.99987953618972925</v>
      </c>
      <c r="K39">
        <f t="shared" si="6"/>
        <v>-0.46199515177521744</v>
      </c>
      <c r="L39">
        <v>1</v>
      </c>
      <c r="M39">
        <f t="shared" si="7"/>
        <v>0.42385573287273082</v>
      </c>
      <c r="N39">
        <f t="shared" si="13"/>
        <v>2.7594281999999998E-2</v>
      </c>
      <c r="O39">
        <f t="shared" si="11"/>
        <v>1.8212226120000001E-2</v>
      </c>
      <c r="P39">
        <f t="shared" si="12"/>
        <v>-7.6670892175133773E-3</v>
      </c>
      <c r="V39">
        <v>-2.5000000000000102</v>
      </c>
      <c r="W39">
        <f t="shared" si="9"/>
        <v>-0.35246499999999953</v>
      </c>
    </row>
    <row r="40" spans="1:23" x14ac:dyDescent="0.3">
      <c r="A40">
        <v>1.8925737</v>
      </c>
      <c r="B40">
        <v>0.75683</v>
      </c>
      <c r="C40">
        <f t="shared" si="1"/>
        <v>1.4323565533710001</v>
      </c>
      <c r="D40">
        <v>1.4999999999999999E-2</v>
      </c>
      <c r="E40">
        <v>9.9000000000000008E-3</v>
      </c>
      <c r="F40">
        <f t="shared" si="2"/>
        <v>378.51474000000002</v>
      </c>
      <c r="G40">
        <f t="shared" si="3"/>
        <v>-0.75683</v>
      </c>
      <c r="H40">
        <f t="shared" si="4"/>
        <v>-286.47131067420003</v>
      </c>
      <c r="I40">
        <v>1</v>
      </c>
      <c r="J40">
        <f t="shared" si="5"/>
        <v>-0.97150026366607056</v>
      </c>
      <c r="K40">
        <f t="shared" si="6"/>
        <v>-0.46489515177521745</v>
      </c>
      <c r="L40">
        <v>1</v>
      </c>
      <c r="M40">
        <f t="shared" si="7"/>
        <v>0.42520630245213176</v>
      </c>
      <c r="N40">
        <f t="shared" si="13"/>
        <v>2.8388605500000001E-2</v>
      </c>
      <c r="O40">
        <f t="shared" si="11"/>
        <v>1.873647963E-2</v>
      </c>
      <c r="P40">
        <f t="shared" si="12"/>
        <v>-7.4362358069143056E-3</v>
      </c>
      <c r="V40">
        <v>-2.4000000000000101</v>
      </c>
      <c r="W40">
        <f t="shared" si="9"/>
        <v>-0.35722399999999954</v>
      </c>
    </row>
    <row r="41" spans="1:23" x14ac:dyDescent="0.3">
      <c r="A41">
        <v>1.9429829000000001</v>
      </c>
      <c r="B41">
        <v>0.75448000000000004</v>
      </c>
      <c r="C41">
        <f t="shared" si="1"/>
        <v>1.4659417383920001</v>
      </c>
      <c r="D41">
        <v>1.4999999999999999E-2</v>
      </c>
      <c r="E41">
        <v>9.9000000000000008E-3</v>
      </c>
      <c r="F41">
        <f t="shared" si="2"/>
        <v>388.59658000000002</v>
      </c>
      <c r="G41">
        <f t="shared" si="3"/>
        <v>-0.75448000000000004</v>
      </c>
      <c r="H41">
        <f t="shared" si="4"/>
        <v>-293.18834767840002</v>
      </c>
      <c r="I41">
        <v>1</v>
      </c>
      <c r="J41">
        <f t="shared" si="5"/>
        <v>-0.94521354290099358</v>
      </c>
      <c r="K41">
        <f t="shared" si="6"/>
        <v>-0.46724515177521742</v>
      </c>
      <c r="L41">
        <v>1</v>
      </c>
      <c r="M41">
        <f t="shared" si="7"/>
        <v>0.42645728749334172</v>
      </c>
      <c r="N41">
        <f t="shared" si="13"/>
        <v>2.91447435E-2</v>
      </c>
      <c r="O41">
        <f t="shared" si="11"/>
        <v>1.9235530710000004E-2</v>
      </c>
      <c r="P41">
        <f t="shared" si="12"/>
        <v>-7.5924099281243079E-3</v>
      </c>
      <c r="V41">
        <v>-2.30000000000001</v>
      </c>
      <c r="W41">
        <f t="shared" si="9"/>
        <v>-0.36198299999999956</v>
      </c>
    </row>
    <row r="42" spans="1:23" x14ac:dyDescent="0.3">
      <c r="A42">
        <v>1.9954288</v>
      </c>
      <c r="B42">
        <v>0.75166999999999995</v>
      </c>
      <c r="C42">
        <f t="shared" si="1"/>
        <v>1.4999039660959999</v>
      </c>
      <c r="D42">
        <v>1.4999999999999999E-2</v>
      </c>
      <c r="E42">
        <v>9.9000000000000008E-3</v>
      </c>
      <c r="F42">
        <f t="shared" si="2"/>
        <v>399.08575999999999</v>
      </c>
      <c r="G42">
        <f t="shared" si="3"/>
        <v>-0.75166999999999995</v>
      </c>
      <c r="H42">
        <f t="shared" si="4"/>
        <v>-299.9807932192</v>
      </c>
      <c r="I42">
        <v>1</v>
      </c>
      <c r="J42">
        <f t="shared" si="5"/>
        <v>-0.91857894784463656</v>
      </c>
      <c r="K42">
        <f t="shared" si="6"/>
        <v>-0.47005515177521751</v>
      </c>
      <c r="L42">
        <v>1</v>
      </c>
      <c r="M42">
        <f t="shared" si="7"/>
        <v>0.42772482787207378</v>
      </c>
      <c r="N42">
        <f t="shared" si="13"/>
        <v>2.9931431999999997E-2</v>
      </c>
      <c r="O42">
        <f t="shared" si="11"/>
        <v>1.975474512E-2</v>
      </c>
      <c r="P42">
        <f t="shared" si="12"/>
        <v>-7.3558532168562681E-3</v>
      </c>
      <c r="V42">
        <v>-2.2000000000000099</v>
      </c>
      <c r="W42">
        <f t="shared" si="9"/>
        <v>-0.36674199999999957</v>
      </c>
    </row>
    <row r="43" spans="1:23" x14ac:dyDescent="0.3">
      <c r="A43">
        <v>2.048384</v>
      </c>
      <c r="B43">
        <v>0.74924999999999997</v>
      </c>
      <c r="C43">
        <f t="shared" si="1"/>
        <v>1.5347517119999998</v>
      </c>
      <c r="D43">
        <v>1.4999999999999999E-2</v>
      </c>
      <c r="E43">
        <v>9.9000000000000008E-3</v>
      </c>
      <c r="F43">
        <f t="shared" si="2"/>
        <v>409.67680000000001</v>
      </c>
      <c r="G43">
        <f t="shared" si="3"/>
        <v>-0.74924999999999997</v>
      </c>
      <c r="H43">
        <f t="shared" si="4"/>
        <v>-306.95034239999995</v>
      </c>
      <c r="I43">
        <v>1</v>
      </c>
      <c r="J43">
        <f t="shared" si="5"/>
        <v>-0.8923867228327671</v>
      </c>
      <c r="K43">
        <f t="shared" si="6"/>
        <v>-0.47247515177521748</v>
      </c>
      <c r="L43">
        <v>1</v>
      </c>
      <c r="M43">
        <f t="shared" si="7"/>
        <v>0.42897131586038861</v>
      </c>
      <c r="N43">
        <f t="shared" si="13"/>
        <v>3.0725759999999998E-2</v>
      </c>
      <c r="O43">
        <f t="shared" si="11"/>
        <v>2.0279001600000002E-2</v>
      </c>
      <c r="P43">
        <f t="shared" si="12"/>
        <v>-7.5009256851711302E-3</v>
      </c>
      <c r="V43">
        <v>-2.1000000000000099</v>
      </c>
      <c r="W43">
        <f t="shared" si="9"/>
        <v>-0.37150099999999953</v>
      </c>
    </row>
    <row r="44" spans="1:23" x14ac:dyDescent="0.3">
      <c r="A44">
        <v>2.0987930000000001</v>
      </c>
      <c r="B44">
        <v>0.74678</v>
      </c>
      <c r="C44">
        <f t="shared" si="1"/>
        <v>1.5673366365400001</v>
      </c>
      <c r="D44">
        <v>1.4999999999999999E-2</v>
      </c>
      <c r="E44">
        <v>9.9000000000000008E-3</v>
      </c>
      <c r="F44">
        <f t="shared" si="2"/>
        <v>419.7586</v>
      </c>
      <c r="G44">
        <f t="shared" si="3"/>
        <v>-0.74678</v>
      </c>
      <c r="H44">
        <f t="shared" si="4"/>
        <v>-313.46732730799999</v>
      </c>
      <c r="I44">
        <v>1</v>
      </c>
      <c r="J44">
        <f t="shared" si="5"/>
        <v>-0.86807549484842694</v>
      </c>
      <c r="K44">
        <f t="shared" si="6"/>
        <v>-0.47494515177521746</v>
      </c>
      <c r="L44">
        <v>1</v>
      </c>
      <c r="M44">
        <f t="shared" si="7"/>
        <v>0.43012828720016338</v>
      </c>
      <c r="N44">
        <f t="shared" si="13"/>
        <v>3.1481895000000003E-2</v>
      </c>
      <c r="O44">
        <f t="shared" si="11"/>
        <v>2.0778050700000002E-2</v>
      </c>
      <c r="P44">
        <f t="shared" si="12"/>
        <v>-7.4430811249459328E-3</v>
      </c>
      <c r="V44">
        <v>-2.0000000000000102</v>
      </c>
      <c r="W44">
        <f t="shared" si="9"/>
        <v>-0.37625999999999954</v>
      </c>
    </row>
    <row r="45" spans="1:23" x14ac:dyDescent="0.3">
      <c r="A45">
        <v>2.1497113999999997</v>
      </c>
      <c r="B45">
        <v>0.74428000000000005</v>
      </c>
      <c r="C45">
        <f t="shared" si="1"/>
        <v>1.599987200792</v>
      </c>
      <c r="D45">
        <v>1.4999999999999999E-2</v>
      </c>
      <c r="E45">
        <v>9.9000000000000008E-3</v>
      </c>
      <c r="F45">
        <f t="shared" si="2"/>
        <v>429.94227999999993</v>
      </c>
      <c r="G45">
        <f t="shared" si="3"/>
        <v>-0.74428000000000005</v>
      </c>
      <c r="H45">
        <f t="shared" si="4"/>
        <v>-319.99744015839997</v>
      </c>
      <c r="I45">
        <v>1</v>
      </c>
      <c r="J45">
        <f t="shared" si="5"/>
        <v>-0.84410431186266488</v>
      </c>
      <c r="K45">
        <f t="shared" si="6"/>
        <v>-0.4774451517752174</v>
      </c>
      <c r="L45">
        <v>1</v>
      </c>
      <c r="M45">
        <f t="shared" si="7"/>
        <v>0.4312690757984558</v>
      </c>
      <c r="N45">
        <f t="shared" si="13"/>
        <v>3.2245670999999997E-2</v>
      </c>
      <c r="O45">
        <f t="shared" si="11"/>
        <v>2.1282142859999999E-2</v>
      </c>
      <c r="P45">
        <f t="shared" si="12"/>
        <v>-7.3517378832383962E-3</v>
      </c>
      <c r="V45">
        <v>-1.9000000000000099</v>
      </c>
      <c r="W45">
        <f t="shared" si="9"/>
        <v>-0.38101899999999955</v>
      </c>
    </row>
    <row r="46" spans="1:23" x14ac:dyDescent="0.3">
      <c r="A46">
        <v>2.2016481999999997</v>
      </c>
      <c r="B46">
        <v>0.74197000000000002</v>
      </c>
      <c r="C46">
        <f t="shared" si="1"/>
        <v>1.6335569149539999</v>
      </c>
      <c r="D46">
        <v>1.4999999999999999E-2</v>
      </c>
      <c r="E46">
        <v>9.9000000000000008E-3</v>
      </c>
      <c r="F46">
        <f t="shared" si="2"/>
        <v>440.32963999999993</v>
      </c>
      <c r="G46">
        <f t="shared" si="3"/>
        <v>-0.74197000000000002</v>
      </c>
      <c r="H46">
        <f t="shared" si="4"/>
        <v>-326.71138299079996</v>
      </c>
      <c r="I46">
        <v>1</v>
      </c>
      <c r="J46">
        <f t="shared" si="5"/>
        <v>-0.82023165074826032</v>
      </c>
      <c r="K46">
        <f t="shared" si="6"/>
        <v>-0.47975515177521744</v>
      </c>
      <c r="L46">
        <v>1</v>
      </c>
      <c r="M46">
        <f t="shared" si="7"/>
        <v>0.43240517574089032</v>
      </c>
      <c r="N46">
        <f t="shared" si="13"/>
        <v>3.3024722999999992E-2</v>
      </c>
      <c r="O46">
        <f t="shared" si="11"/>
        <v>2.179631718E-2</v>
      </c>
      <c r="P46">
        <f t="shared" si="12"/>
        <v>-7.4710641456728795E-3</v>
      </c>
      <c r="V46">
        <v>-1.80000000000001</v>
      </c>
      <c r="W46">
        <f t="shared" si="9"/>
        <v>-0.38577799999999957</v>
      </c>
    </row>
    <row r="47" spans="1:23" x14ac:dyDescent="0.3">
      <c r="A47">
        <v>2.2535847000000002</v>
      </c>
      <c r="B47">
        <v>0.73938000000000004</v>
      </c>
      <c r="C47">
        <f t="shared" si="1"/>
        <v>1.6662554554860003</v>
      </c>
      <c r="D47">
        <v>1.4999999999999999E-2</v>
      </c>
      <c r="E47">
        <v>9.9000000000000008E-3</v>
      </c>
      <c r="F47">
        <f t="shared" si="2"/>
        <v>450.71694000000002</v>
      </c>
      <c r="G47">
        <f t="shared" si="3"/>
        <v>-0.73938000000000004</v>
      </c>
      <c r="H47">
        <f t="shared" si="4"/>
        <v>-333.25109109720006</v>
      </c>
      <c r="I47">
        <v>1</v>
      </c>
      <c r="J47">
        <f t="shared" si="5"/>
        <v>-0.79691576401450104</v>
      </c>
      <c r="K47">
        <f t="shared" si="6"/>
        <v>-0.48234515177521742</v>
      </c>
      <c r="L47">
        <v>1</v>
      </c>
      <c r="M47">
        <f t="shared" si="7"/>
        <v>0.43351477879054989</v>
      </c>
      <c r="N47">
        <f t="shared" si="13"/>
        <v>3.3803770500000004E-2</v>
      </c>
      <c r="O47">
        <f t="shared" si="11"/>
        <v>2.2310488530000006E-2</v>
      </c>
      <c r="P47">
        <f t="shared" si="12"/>
        <v>-7.2838860453324841E-3</v>
      </c>
      <c r="V47">
        <v>-1.7000000000000199</v>
      </c>
      <c r="W47">
        <f t="shared" si="9"/>
        <v>-0.39053699999999908</v>
      </c>
    </row>
    <row r="48" spans="1:23" x14ac:dyDescent="0.3">
      <c r="A48">
        <v>2.3060308000000003</v>
      </c>
      <c r="B48">
        <v>0.73675999999999997</v>
      </c>
      <c r="C48">
        <f t="shared" si="1"/>
        <v>1.6989912522080002</v>
      </c>
      <c r="D48">
        <v>1.4999999999999999E-2</v>
      </c>
      <c r="E48">
        <v>9.9000000000000008E-3</v>
      </c>
      <c r="F48">
        <f t="shared" si="2"/>
        <v>461.20616000000007</v>
      </c>
      <c r="G48">
        <f t="shared" si="3"/>
        <v>-0.73675999999999997</v>
      </c>
      <c r="H48">
        <f t="shared" si="4"/>
        <v>-339.79825044160003</v>
      </c>
      <c r="I48">
        <v>1</v>
      </c>
      <c r="J48">
        <f t="shared" si="5"/>
        <v>-0.77391013421502464</v>
      </c>
      <c r="K48">
        <f t="shared" si="6"/>
        <v>-0.48496515177521748</v>
      </c>
      <c r="L48">
        <v>1</v>
      </c>
      <c r="M48">
        <f t="shared" si="7"/>
        <v>0.43460961671270698</v>
      </c>
      <c r="N48">
        <f t="shared" si="13"/>
        <v>3.4590462000000002E-2</v>
      </c>
      <c r="O48">
        <f t="shared" si="11"/>
        <v>2.2829704920000006E-2</v>
      </c>
      <c r="P48">
        <f t="shared" si="12"/>
        <v>-7.0646318574895048E-3</v>
      </c>
      <c r="V48">
        <v>-1.6000000000000201</v>
      </c>
      <c r="W48">
        <f t="shared" si="9"/>
        <v>-0.39529599999999909</v>
      </c>
    </row>
    <row r="49" spans="1:23" x14ac:dyDescent="0.3">
      <c r="A49">
        <v>2.3625503000000001</v>
      </c>
      <c r="B49">
        <v>0.73421999999999998</v>
      </c>
      <c r="C49">
        <f t="shared" si="1"/>
        <v>1.7346316812660001</v>
      </c>
      <c r="D49">
        <v>1.4999999999999999E-2</v>
      </c>
      <c r="E49">
        <v>9.9000000000000008E-3</v>
      </c>
      <c r="F49">
        <f t="shared" si="2"/>
        <v>472.51006000000001</v>
      </c>
      <c r="G49">
        <f t="shared" si="3"/>
        <v>-0.73421999999999998</v>
      </c>
      <c r="H49">
        <f t="shared" si="4"/>
        <v>-346.92633625320002</v>
      </c>
      <c r="I49">
        <v>1</v>
      </c>
      <c r="J49">
        <f t="shared" si="5"/>
        <v>-0.7496962412696988</v>
      </c>
      <c r="K49">
        <f t="shared" si="6"/>
        <v>-0.48750515177521747</v>
      </c>
      <c r="L49">
        <v>1</v>
      </c>
      <c r="M49">
        <f t="shared" si="7"/>
        <v>0.43576195587797506</v>
      </c>
      <c r="N49">
        <f t="shared" si="13"/>
        <v>3.5438254500000002E-2</v>
      </c>
      <c r="O49">
        <f t="shared" si="11"/>
        <v>2.3389247970000002E-2</v>
      </c>
      <c r="P49">
        <f t="shared" si="12"/>
        <v>-7.0843065727575934E-3</v>
      </c>
      <c r="V49">
        <v>-1.50000000000002</v>
      </c>
      <c r="W49">
        <f t="shared" si="9"/>
        <v>-0.40005499999999905</v>
      </c>
    </row>
    <row r="50" spans="1:23" x14ac:dyDescent="0.3">
      <c r="A50">
        <v>2.4185603000000002</v>
      </c>
      <c r="B50">
        <v>0.73153000000000001</v>
      </c>
      <c r="C50">
        <f t="shared" si="1"/>
        <v>1.7692494162590002</v>
      </c>
      <c r="D50">
        <v>1.4999999999999999E-2</v>
      </c>
      <c r="E50">
        <v>9.9000000000000008E-3</v>
      </c>
      <c r="F50">
        <f t="shared" si="2"/>
        <v>483.71206000000006</v>
      </c>
      <c r="G50">
        <f t="shared" si="3"/>
        <v>-0.73153000000000001</v>
      </c>
      <c r="H50">
        <f t="shared" si="4"/>
        <v>-353.84988325180007</v>
      </c>
      <c r="I50">
        <v>1</v>
      </c>
      <c r="J50">
        <f t="shared" si="5"/>
        <v>-0.72626546665442404</v>
      </c>
      <c r="K50">
        <f t="shared" si="6"/>
        <v>-0.49019515177521744</v>
      </c>
      <c r="L50">
        <v>1</v>
      </c>
      <c r="M50">
        <f t="shared" si="7"/>
        <v>0.43687702644191601</v>
      </c>
      <c r="N50">
        <f t="shared" si="13"/>
        <v>3.62784045E-2</v>
      </c>
      <c r="O50">
        <f t="shared" si="11"/>
        <v>2.3943746970000006E-2</v>
      </c>
      <c r="P50">
        <f t="shared" si="12"/>
        <v>-6.9040261366985697E-3</v>
      </c>
      <c r="V50">
        <v>-1.4000000000000199</v>
      </c>
      <c r="W50">
        <f t="shared" si="9"/>
        <v>-0.40481399999999906</v>
      </c>
    </row>
    <row r="51" spans="1:23" x14ac:dyDescent="0.3">
      <c r="A51">
        <v>2.4745702999999999</v>
      </c>
      <c r="B51">
        <v>0.72890999999999995</v>
      </c>
      <c r="C51">
        <f t="shared" si="1"/>
        <v>1.8037390373729998</v>
      </c>
      <c r="D51">
        <v>1.4999999999999999E-2</v>
      </c>
      <c r="E51">
        <v>9.9000000000000008E-3</v>
      </c>
      <c r="F51">
        <f t="shared" si="2"/>
        <v>494.91405999999995</v>
      </c>
      <c r="G51">
        <f t="shared" si="3"/>
        <v>-0.72890999999999995</v>
      </c>
      <c r="H51">
        <f t="shared" si="4"/>
        <v>-360.74780747459994</v>
      </c>
      <c r="I51">
        <v>1</v>
      </c>
      <c r="J51">
        <f t="shared" si="5"/>
        <v>-0.7033711476480935</v>
      </c>
      <c r="K51">
        <f t="shared" si="6"/>
        <v>-0.49281515177521751</v>
      </c>
      <c r="L51">
        <v>1</v>
      </c>
      <c r="M51">
        <f t="shared" si="7"/>
        <v>0.43796656708342724</v>
      </c>
      <c r="N51">
        <f t="shared" si="13"/>
        <v>3.7118554499999998E-2</v>
      </c>
      <c r="O51">
        <f t="shared" si="11"/>
        <v>2.4498245970000002E-2</v>
      </c>
      <c r="P51">
        <f t="shared" si="12"/>
        <v>-6.7682157782097303E-3</v>
      </c>
      <c r="V51">
        <v>-1.30000000000002</v>
      </c>
      <c r="W51">
        <f t="shared" si="9"/>
        <v>-0.40957299999999908</v>
      </c>
    </row>
    <row r="52" spans="1:23" x14ac:dyDescent="0.3">
      <c r="A52">
        <v>2.5259978000000003</v>
      </c>
      <c r="B52">
        <v>0.72643000000000002</v>
      </c>
      <c r="C52">
        <f t="shared" si="1"/>
        <v>1.8349605818540002</v>
      </c>
      <c r="D52">
        <v>1.4999999999999999E-2</v>
      </c>
      <c r="E52">
        <v>9.9000000000000008E-3</v>
      </c>
      <c r="F52">
        <f t="shared" si="2"/>
        <v>505.19956000000008</v>
      </c>
      <c r="G52">
        <f t="shared" si="3"/>
        <v>-0.72643000000000002</v>
      </c>
      <c r="H52">
        <f t="shared" si="4"/>
        <v>-366.99211637080003</v>
      </c>
      <c r="I52">
        <v>1</v>
      </c>
      <c r="J52">
        <f t="shared" si="5"/>
        <v>-0.68280175944838117</v>
      </c>
      <c r="K52">
        <f t="shared" si="6"/>
        <v>-0.49529515177521743</v>
      </c>
      <c r="L52">
        <v>1</v>
      </c>
      <c r="M52">
        <f t="shared" si="7"/>
        <v>0.43894546426785158</v>
      </c>
      <c r="N52">
        <f t="shared" si="13"/>
        <v>3.7889967000000004E-2</v>
      </c>
      <c r="O52">
        <f t="shared" si="11"/>
        <v>2.5007378220000005E-2</v>
      </c>
      <c r="P52">
        <f t="shared" si="12"/>
        <v>-6.5476577126341549E-3</v>
      </c>
      <c r="V52">
        <v>-1.2000000000000199</v>
      </c>
      <c r="W52">
        <f t="shared" si="9"/>
        <v>-0.41433199999999909</v>
      </c>
    </row>
    <row r="53" spans="1:23" x14ac:dyDescent="0.3">
      <c r="A53">
        <v>2.5789526</v>
      </c>
      <c r="B53">
        <v>0.72411999999999999</v>
      </c>
      <c r="C53">
        <f t="shared" si="1"/>
        <v>1.8674711567119999</v>
      </c>
      <c r="D53">
        <v>1.4999999999999999E-2</v>
      </c>
      <c r="E53">
        <v>9.9000000000000008E-3</v>
      </c>
      <c r="F53">
        <f t="shared" si="2"/>
        <v>515.79052000000001</v>
      </c>
      <c r="G53">
        <f t="shared" si="3"/>
        <v>-0.72411999999999999</v>
      </c>
      <c r="H53">
        <f t="shared" si="4"/>
        <v>-373.49423134239998</v>
      </c>
      <c r="I53">
        <v>1</v>
      </c>
      <c r="J53">
        <f t="shared" si="5"/>
        <v>-0.66205456492054315</v>
      </c>
      <c r="K53">
        <f t="shared" si="6"/>
        <v>-0.49760515177521747</v>
      </c>
      <c r="L53">
        <v>1</v>
      </c>
      <c r="M53">
        <f t="shared" si="7"/>
        <v>0.43993282325543137</v>
      </c>
      <c r="N53">
        <f t="shared" si="13"/>
        <v>3.8684288999999997E-2</v>
      </c>
      <c r="O53">
        <f t="shared" si="11"/>
        <v>2.5531630740000002E-2</v>
      </c>
      <c r="P53">
        <f t="shared" si="12"/>
        <v>-6.5435912202139006E-3</v>
      </c>
      <c r="V53">
        <v>-1.1000000000000201</v>
      </c>
      <c r="W53">
        <f t="shared" si="9"/>
        <v>-0.41909099999999905</v>
      </c>
    </row>
    <row r="54" spans="1:23" x14ac:dyDescent="0.3">
      <c r="A54">
        <v>2.6308895999999997</v>
      </c>
      <c r="B54">
        <v>0.72172999999999998</v>
      </c>
      <c r="C54">
        <f t="shared" si="1"/>
        <v>1.8987919510079998</v>
      </c>
      <c r="D54">
        <v>1.4999999999999999E-2</v>
      </c>
      <c r="E54">
        <v>9.9000000000000008E-3</v>
      </c>
      <c r="F54">
        <f t="shared" si="2"/>
        <v>526.17791999999997</v>
      </c>
      <c r="G54">
        <f t="shared" si="3"/>
        <v>-0.72172999999999998</v>
      </c>
      <c r="H54">
        <f t="shared" si="4"/>
        <v>-379.75839020159998</v>
      </c>
      <c r="I54">
        <v>1</v>
      </c>
      <c r="J54">
        <f t="shared" si="5"/>
        <v>-0.64211587248781277</v>
      </c>
      <c r="K54">
        <f t="shared" si="6"/>
        <v>-0.49999515177521747</v>
      </c>
      <c r="L54">
        <v>1</v>
      </c>
      <c r="M54">
        <f t="shared" si="7"/>
        <v>0.44088170562830503</v>
      </c>
      <c r="N54">
        <f t="shared" si="13"/>
        <v>3.9463343999999997E-2</v>
      </c>
      <c r="O54">
        <f t="shared" si="11"/>
        <v>2.6045807040000001E-2</v>
      </c>
      <c r="P54">
        <f t="shared" si="12"/>
        <v>-6.3957048930875574E-3</v>
      </c>
      <c r="V54">
        <v>-1.00000000000002</v>
      </c>
      <c r="W54">
        <f t="shared" si="9"/>
        <v>-0.42384999999999906</v>
      </c>
    </row>
    <row r="55" spans="1:23" x14ac:dyDescent="0.3">
      <c r="A55">
        <v>2.6812985999999999</v>
      </c>
      <c r="B55">
        <v>0.71938000000000002</v>
      </c>
      <c r="C55">
        <f t="shared" si="1"/>
        <v>1.9288725868679999</v>
      </c>
      <c r="D55">
        <v>1.4999999999999999E-2</v>
      </c>
      <c r="E55">
        <v>9.9000000000000008E-3</v>
      </c>
      <c r="F55">
        <f t="shared" si="2"/>
        <v>536.25972000000002</v>
      </c>
      <c r="G55">
        <f t="shared" si="3"/>
        <v>-0.71938000000000002</v>
      </c>
      <c r="H55">
        <f t="shared" si="4"/>
        <v>-385.77451737359996</v>
      </c>
      <c r="I55">
        <v>1</v>
      </c>
      <c r="J55">
        <f t="shared" si="5"/>
        <v>-0.62313668303005609</v>
      </c>
      <c r="K55">
        <f t="shared" si="6"/>
        <v>-0.50234515177521744</v>
      </c>
      <c r="L55">
        <v>1</v>
      </c>
      <c r="M55">
        <f t="shared" si="7"/>
        <v>0.44178492525459967</v>
      </c>
      <c r="N55">
        <f t="shared" si="13"/>
        <v>4.0219478999999995E-2</v>
      </c>
      <c r="O55">
        <f t="shared" si="11"/>
        <v>2.654485614E-2</v>
      </c>
      <c r="P55">
        <f t="shared" si="12"/>
        <v>-6.2041086193822294E-3</v>
      </c>
      <c r="V55">
        <v>-0.90000000000002001</v>
      </c>
      <c r="W55">
        <f t="shared" si="9"/>
        <v>-0.42860899999999907</v>
      </c>
    </row>
    <row r="56" spans="1:23" x14ac:dyDescent="0.3">
      <c r="A56">
        <v>2.7337444</v>
      </c>
      <c r="B56">
        <v>0.71686000000000005</v>
      </c>
      <c r="C56">
        <f t="shared" si="1"/>
        <v>1.959712010584</v>
      </c>
      <c r="D56">
        <v>1.4999999999999999E-2</v>
      </c>
      <c r="E56">
        <v>9.9000000000000008E-3</v>
      </c>
      <c r="F56">
        <f t="shared" si="2"/>
        <v>546.74887999999999</v>
      </c>
      <c r="G56">
        <f t="shared" si="3"/>
        <v>-0.71686000000000005</v>
      </c>
      <c r="H56">
        <f t="shared" si="4"/>
        <v>-391.9424021168</v>
      </c>
      <c r="I56">
        <v>1</v>
      </c>
      <c r="J56">
        <f t="shared" si="5"/>
        <v>-0.60376566789557928</v>
      </c>
      <c r="K56">
        <f t="shared" si="6"/>
        <v>-0.5048651517752174</v>
      </c>
      <c r="L56">
        <v>1</v>
      </c>
      <c r="M56">
        <f t="shared" si="7"/>
        <v>0.4427067918648494</v>
      </c>
      <c r="N56">
        <f t="shared" si="13"/>
        <v>4.1006165999999997E-2</v>
      </c>
      <c r="O56">
        <f t="shared" si="11"/>
        <v>2.7064069560000001E-2</v>
      </c>
      <c r="P56">
        <f t="shared" si="12"/>
        <v>-5.911875649631998E-3</v>
      </c>
      <c r="V56">
        <v>-0.80000000000002003</v>
      </c>
      <c r="W56">
        <f t="shared" si="9"/>
        <v>-0.43336799999999909</v>
      </c>
    </row>
    <row r="57" spans="1:23" x14ac:dyDescent="0.3">
      <c r="A57">
        <v>2.7866996999999998</v>
      </c>
      <c r="B57">
        <v>0.71492</v>
      </c>
      <c r="C57">
        <f t="shared" si="1"/>
        <v>1.9922673495239998</v>
      </c>
      <c r="D57">
        <v>1.4999999999999999E-2</v>
      </c>
      <c r="E57">
        <v>9.9000000000000008E-3</v>
      </c>
      <c r="F57">
        <f t="shared" si="2"/>
        <v>557.33993999999996</v>
      </c>
      <c r="G57">
        <f t="shared" si="3"/>
        <v>-0.71492</v>
      </c>
      <c r="H57">
        <f t="shared" si="4"/>
        <v>-398.45346990479993</v>
      </c>
      <c r="I57">
        <v>1</v>
      </c>
      <c r="J57">
        <f t="shared" si="5"/>
        <v>-0.58457992000887316</v>
      </c>
      <c r="K57">
        <f t="shared" si="6"/>
        <v>-0.50680515177521746</v>
      </c>
      <c r="L57">
        <v>1</v>
      </c>
      <c r="M57">
        <f t="shared" si="7"/>
        <v>0.44361984160677775</v>
      </c>
      <c r="N57">
        <f t="shared" si="13"/>
        <v>4.1800495499999993E-2</v>
      </c>
      <c r="O57">
        <f t="shared" si="11"/>
        <v>2.7588327030000002E-2</v>
      </c>
      <c r="P57">
        <f t="shared" si="12"/>
        <v>-6.2035123615602934E-3</v>
      </c>
      <c r="V57">
        <v>-0.70000000000002005</v>
      </c>
      <c r="W57">
        <f t="shared" si="9"/>
        <v>-0.43812699999999904</v>
      </c>
    </row>
    <row r="58" spans="1:23" x14ac:dyDescent="0.3">
      <c r="A58">
        <v>2.8381272000000002</v>
      </c>
      <c r="B58">
        <v>0.71235999999999999</v>
      </c>
      <c r="C58">
        <f t="shared" si="1"/>
        <v>2.0217682921920002</v>
      </c>
      <c r="D58">
        <v>1.4999999999999999E-2</v>
      </c>
      <c r="E58">
        <v>9.9000000000000008E-3</v>
      </c>
      <c r="F58">
        <f t="shared" si="2"/>
        <v>567.62544000000003</v>
      </c>
      <c r="G58">
        <f t="shared" si="3"/>
        <v>-0.71235999999999999</v>
      </c>
      <c r="H58">
        <f t="shared" si="4"/>
        <v>-404.35365843840003</v>
      </c>
      <c r="I58">
        <v>1</v>
      </c>
      <c r="J58">
        <f t="shared" si="5"/>
        <v>-0.5662935144046658</v>
      </c>
      <c r="K58">
        <f t="shared" si="6"/>
        <v>-0.50936515177521746</v>
      </c>
      <c r="L58">
        <v>1</v>
      </c>
      <c r="M58">
        <f t="shared" si="7"/>
        <v>0.444490091649482</v>
      </c>
      <c r="N58">
        <f t="shared" si="13"/>
        <v>4.2571907999999999E-2</v>
      </c>
      <c r="O58">
        <f t="shared" si="11"/>
        <v>2.8097459280000004E-2</v>
      </c>
      <c r="P58">
        <f t="shared" si="12"/>
        <v>-5.7943071542645407E-3</v>
      </c>
      <c r="V58">
        <v>-0.60000000000001996</v>
      </c>
      <c r="W58">
        <f t="shared" si="9"/>
        <v>-0.44288599999999906</v>
      </c>
    </row>
    <row r="59" spans="1:23" x14ac:dyDescent="0.3">
      <c r="A59">
        <v>2.8926099000000001</v>
      </c>
      <c r="B59">
        <v>0.71001000000000003</v>
      </c>
      <c r="C59">
        <f t="shared" si="1"/>
        <v>2.0537819550990002</v>
      </c>
      <c r="D59">
        <v>1.4999999999999999E-2</v>
      </c>
      <c r="E59">
        <v>9.9000000000000008E-3</v>
      </c>
      <c r="F59">
        <f t="shared" si="2"/>
        <v>578.52197999999999</v>
      </c>
      <c r="G59">
        <f t="shared" si="3"/>
        <v>-0.71001000000000003</v>
      </c>
      <c r="H59">
        <f t="shared" si="4"/>
        <v>-410.75639101980005</v>
      </c>
      <c r="I59">
        <v>1</v>
      </c>
      <c r="J59">
        <f t="shared" si="5"/>
        <v>-0.54727873825601592</v>
      </c>
      <c r="K59">
        <f t="shared" si="6"/>
        <v>-0.51171515177521743</v>
      </c>
      <c r="L59">
        <v>1</v>
      </c>
      <c r="M59">
        <f t="shared" si="7"/>
        <v>0.44539500484639621</v>
      </c>
      <c r="N59">
        <f t="shared" si="13"/>
        <v>4.3389148500000002E-2</v>
      </c>
      <c r="O59">
        <f t="shared" si="11"/>
        <v>2.8636838010000002E-2</v>
      </c>
      <c r="P59">
        <f t="shared" si="12"/>
        <v>-5.7058395811787933E-3</v>
      </c>
      <c r="V59">
        <v>-0.50000000000001998</v>
      </c>
      <c r="W59">
        <f t="shared" si="9"/>
        <v>-0.44764499999999907</v>
      </c>
    </row>
    <row r="60" spans="1:23" x14ac:dyDescent="0.3">
      <c r="A60">
        <v>2.9455646999999998</v>
      </c>
      <c r="B60">
        <v>0.70762000000000003</v>
      </c>
      <c r="C60">
        <f t="shared" si="1"/>
        <v>2.0843404930139999</v>
      </c>
      <c r="D60">
        <v>1.4999999999999999E-2</v>
      </c>
      <c r="E60">
        <v>9.9000000000000008E-3</v>
      </c>
      <c r="F60">
        <f t="shared" si="2"/>
        <v>589.11293999999998</v>
      </c>
      <c r="G60">
        <f t="shared" si="3"/>
        <v>-0.70762000000000003</v>
      </c>
      <c r="H60">
        <f t="shared" si="4"/>
        <v>-416.86809860279999</v>
      </c>
      <c r="I60">
        <v>1</v>
      </c>
      <c r="J60">
        <f t="shared" si="5"/>
        <v>-0.52913736498533237</v>
      </c>
      <c r="K60">
        <f t="shared" si="6"/>
        <v>-0.51410515177521743</v>
      </c>
      <c r="L60">
        <v>1</v>
      </c>
      <c r="M60">
        <f t="shared" si="7"/>
        <v>0.44625835280034803</v>
      </c>
      <c r="N60">
        <f t="shared" si="13"/>
        <v>4.4183470499999995E-2</v>
      </c>
      <c r="O60">
        <f t="shared" si="11"/>
        <v>2.9161090529999999E-2</v>
      </c>
      <c r="P60">
        <f t="shared" si="12"/>
        <v>-5.4977620551306013E-3</v>
      </c>
      <c r="V60">
        <v>-0.40000000000002001</v>
      </c>
      <c r="W60">
        <f t="shared" si="9"/>
        <v>-0.45240399999999908</v>
      </c>
    </row>
    <row r="61" spans="1:23" x14ac:dyDescent="0.3">
      <c r="A61">
        <v>2.9964832000000001</v>
      </c>
      <c r="B61">
        <v>0.70516000000000001</v>
      </c>
      <c r="C61">
        <f t="shared" si="1"/>
        <v>2.1130000933119999</v>
      </c>
      <c r="D61">
        <v>1.4999999999999999E-2</v>
      </c>
      <c r="E61">
        <v>9.9000000000000008E-3</v>
      </c>
      <c r="F61">
        <f t="shared" si="2"/>
        <v>599.29664000000002</v>
      </c>
      <c r="G61">
        <f t="shared" si="3"/>
        <v>-0.70516000000000001</v>
      </c>
      <c r="H61">
        <f t="shared" si="4"/>
        <v>-422.60001866239998</v>
      </c>
      <c r="I61">
        <v>1</v>
      </c>
      <c r="J61">
        <f t="shared" si="5"/>
        <v>-0.51199857807467852</v>
      </c>
      <c r="K61">
        <f t="shared" si="6"/>
        <v>-0.51656515177521745</v>
      </c>
      <c r="L61">
        <v>1</v>
      </c>
      <c r="M61">
        <f t="shared" si="7"/>
        <v>0.44707398766942608</v>
      </c>
      <c r="N61">
        <f t="shared" si="13"/>
        <v>4.4947248000000002E-2</v>
      </c>
      <c r="O61">
        <f t="shared" si="11"/>
        <v>2.9665183680000002E-2</v>
      </c>
      <c r="P61">
        <f t="shared" si="12"/>
        <v>-5.1212675742086343E-3</v>
      </c>
      <c r="V61">
        <v>-0.30000000000001997</v>
      </c>
      <c r="W61">
        <f t="shared" si="9"/>
        <v>-0.4571629999999991</v>
      </c>
    </row>
    <row r="62" spans="1:23" x14ac:dyDescent="0.3">
      <c r="A62">
        <v>3.0468923000000001</v>
      </c>
      <c r="B62">
        <v>0.70286999999999999</v>
      </c>
      <c r="C62">
        <f t="shared" si="1"/>
        <v>2.141569190901</v>
      </c>
      <c r="D62">
        <v>1.4999999999999999E-2</v>
      </c>
      <c r="E62">
        <v>9.9000000000000008E-3</v>
      </c>
      <c r="F62">
        <f t="shared" si="2"/>
        <v>609.37846000000002</v>
      </c>
      <c r="G62">
        <f t="shared" si="3"/>
        <v>-0.70286999999999999</v>
      </c>
      <c r="H62">
        <f t="shared" si="4"/>
        <v>-428.31383818019998</v>
      </c>
      <c r="I62">
        <v>1</v>
      </c>
      <c r="J62">
        <f t="shared" si="5"/>
        <v>-0.49531575929742688</v>
      </c>
      <c r="K62">
        <f t="shared" si="6"/>
        <v>-0.51885515177521746</v>
      </c>
      <c r="L62">
        <v>1</v>
      </c>
      <c r="M62">
        <f t="shared" si="7"/>
        <v>0.44786792301503547</v>
      </c>
      <c r="N62">
        <f t="shared" si="13"/>
        <v>4.5703384499999999E-2</v>
      </c>
      <c r="O62">
        <f t="shared" si="11"/>
        <v>3.0164233770000003E-2</v>
      </c>
      <c r="P62">
        <f t="shared" si="12"/>
        <v>-4.8803895098180165E-3</v>
      </c>
      <c r="V62">
        <v>-0.20000000000002</v>
      </c>
      <c r="W62">
        <f t="shared" si="9"/>
        <v>-0.46192199999999906</v>
      </c>
    </row>
    <row r="63" spans="1:23" x14ac:dyDescent="0.3">
      <c r="A63">
        <v>3.0973014999999999</v>
      </c>
      <c r="B63">
        <v>0.70072999999999996</v>
      </c>
      <c r="C63">
        <f t="shared" si="1"/>
        <v>2.1703720800949999</v>
      </c>
      <c r="D63">
        <v>1.4999999999999999E-2</v>
      </c>
      <c r="E63">
        <v>9.9000000000000008E-3</v>
      </c>
      <c r="F63">
        <f t="shared" si="2"/>
        <v>619.46029999999996</v>
      </c>
      <c r="G63">
        <f t="shared" si="3"/>
        <v>-0.70072999999999996</v>
      </c>
      <c r="H63">
        <f t="shared" si="4"/>
        <v>-434.07441601900001</v>
      </c>
      <c r="I63">
        <v>1</v>
      </c>
      <c r="J63">
        <f t="shared" si="5"/>
        <v>-0.47890666390506353</v>
      </c>
      <c r="K63">
        <f t="shared" si="6"/>
        <v>-0.52099515177521749</v>
      </c>
      <c r="L63">
        <v>1</v>
      </c>
      <c r="M63">
        <f t="shared" si="7"/>
        <v>0.44864883186475807</v>
      </c>
      <c r="N63">
        <f t="shared" si="13"/>
        <v>4.6459522499999996E-2</v>
      </c>
      <c r="O63">
        <f t="shared" si="11"/>
        <v>3.0663284850000003E-2</v>
      </c>
      <c r="P63">
        <f t="shared" si="12"/>
        <v>-4.7764874395405769E-3</v>
      </c>
      <c r="V63">
        <v>-0.10000000000002</v>
      </c>
      <c r="W63">
        <f t="shared" si="9"/>
        <v>-0.46668099999999907</v>
      </c>
    </row>
    <row r="64" spans="1:23" x14ac:dyDescent="0.3">
      <c r="A64">
        <v>3.1517842000000003</v>
      </c>
      <c r="B64">
        <v>0.69876000000000005</v>
      </c>
      <c r="C64">
        <f t="shared" si="1"/>
        <v>2.2023407275920004</v>
      </c>
      <c r="D64">
        <v>1.4999999999999999E-2</v>
      </c>
      <c r="E64">
        <v>9.9000000000000008E-3</v>
      </c>
      <c r="F64">
        <f t="shared" si="2"/>
        <v>630.35684000000003</v>
      </c>
      <c r="G64">
        <f t="shared" si="3"/>
        <v>-0.69876000000000005</v>
      </c>
      <c r="H64">
        <f t="shared" si="4"/>
        <v>-440.46814551840009</v>
      </c>
      <c r="I64">
        <v>1</v>
      </c>
      <c r="J64">
        <f t="shared" si="5"/>
        <v>-0.46146920724927132</v>
      </c>
      <c r="K64">
        <f t="shared" si="6"/>
        <v>-0.52296515177521741</v>
      </c>
      <c r="L64">
        <v>1</v>
      </c>
      <c r="M64">
        <f t="shared" si="7"/>
        <v>0.44947868042700723</v>
      </c>
      <c r="N64">
        <f t="shared" si="13"/>
        <v>4.7276762999999999E-2</v>
      </c>
      <c r="O64">
        <f t="shared" si="11"/>
        <v>3.1202663580000005E-2</v>
      </c>
      <c r="P64">
        <f t="shared" si="12"/>
        <v>-4.9929552317898238E-3</v>
      </c>
      <c r="V64">
        <v>-2.0428103653102899E-14</v>
      </c>
      <c r="W64">
        <f t="shared" si="9"/>
        <v>-0.47143999999999903</v>
      </c>
    </row>
    <row r="65" spans="1:23" x14ac:dyDescent="0.3">
      <c r="A65">
        <v>3.2021931000000001</v>
      </c>
      <c r="B65">
        <v>0.69623999999999997</v>
      </c>
      <c r="C65">
        <f t="shared" si="1"/>
        <v>2.2294949239439998</v>
      </c>
      <c r="D65">
        <v>1.4999999999999999E-2</v>
      </c>
      <c r="E65">
        <v>9.9000000000000008E-3</v>
      </c>
      <c r="F65">
        <f t="shared" si="2"/>
        <v>640.43862000000001</v>
      </c>
      <c r="G65">
        <f t="shared" si="3"/>
        <v>-0.69623999999999997</v>
      </c>
      <c r="H65">
        <f t="shared" si="4"/>
        <v>-445.89898478879996</v>
      </c>
      <c r="I65">
        <v>1</v>
      </c>
      <c r="J65">
        <f t="shared" si="5"/>
        <v>-0.44560199361920128</v>
      </c>
      <c r="K65">
        <f t="shared" si="6"/>
        <v>-0.52548515177521748</v>
      </c>
      <c r="L65">
        <v>1</v>
      </c>
      <c r="M65">
        <f t="shared" si="7"/>
        <v>0.45023380112366224</v>
      </c>
      <c r="N65">
        <f t="shared" si="13"/>
        <v>4.8032896499999998E-2</v>
      </c>
      <c r="O65">
        <f t="shared" si="11"/>
        <v>3.1701711690000002E-2</v>
      </c>
      <c r="P65">
        <f t="shared" si="12"/>
        <v>-4.4832575384447515E-3</v>
      </c>
      <c r="V65">
        <v>9.9999999999980105E-2</v>
      </c>
      <c r="W65">
        <f t="shared" si="9"/>
        <v>-0.4761989999999991</v>
      </c>
    </row>
    <row r="66" spans="1:23" x14ac:dyDescent="0.3">
      <c r="A66">
        <v>3.2587126</v>
      </c>
      <c r="B66">
        <v>0.69372</v>
      </c>
      <c r="C66">
        <f t="shared" si="1"/>
        <v>2.260634104872</v>
      </c>
      <c r="D66">
        <v>1.4999999999999999E-2</v>
      </c>
      <c r="E66">
        <v>9.9000000000000008E-3</v>
      </c>
      <c r="F66">
        <f t="shared" si="2"/>
        <v>651.74252000000001</v>
      </c>
      <c r="G66">
        <f t="shared" si="3"/>
        <v>-0.69372</v>
      </c>
      <c r="H66">
        <f t="shared" si="4"/>
        <v>-452.1268209744</v>
      </c>
      <c r="I66">
        <v>1</v>
      </c>
      <c r="J66">
        <f t="shared" si="5"/>
        <v>-0.42810570302763379</v>
      </c>
      <c r="K66">
        <f t="shared" si="6"/>
        <v>-0.52800515177521745</v>
      </c>
      <c r="L66">
        <v>1</v>
      </c>
      <c r="M66">
        <f t="shared" si="7"/>
        <v>0.45106644959291492</v>
      </c>
      <c r="N66">
        <f t="shared" si="13"/>
        <v>4.8880688999999998E-2</v>
      </c>
      <c r="O66">
        <f t="shared" si="11"/>
        <v>3.2261254740000002E-2</v>
      </c>
      <c r="P66">
        <f t="shared" si="12"/>
        <v>-4.203241557697468E-3</v>
      </c>
      <c r="V66">
        <v>0.19999999999998</v>
      </c>
      <c r="W66">
        <f t="shared" si="9"/>
        <v>-0.48095799999999905</v>
      </c>
    </row>
    <row r="67" spans="1:23" x14ac:dyDescent="0.3">
      <c r="A67">
        <v>3.3101398999999998</v>
      </c>
      <c r="B67">
        <v>0.69155</v>
      </c>
      <c r="C67">
        <f t="shared" si="1"/>
        <v>2.2891272478449998</v>
      </c>
      <c r="D67">
        <v>1.4999999999999999E-2</v>
      </c>
      <c r="E67">
        <v>9.9000000000000008E-3</v>
      </c>
      <c r="F67">
        <f t="shared" si="2"/>
        <v>662.02797999999996</v>
      </c>
      <c r="G67">
        <f t="shared" si="3"/>
        <v>-0.69155</v>
      </c>
      <c r="H67">
        <f t="shared" si="4"/>
        <v>-457.82544956899994</v>
      </c>
      <c r="I67">
        <v>1</v>
      </c>
      <c r="J67">
        <f t="shared" si="5"/>
        <v>-0.41244745807727806</v>
      </c>
      <c r="K67">
        <f t="shared" si="6"/>
        <v>-0.53017515177521746</v>
      </c>
      <c r="L67">
        <v>1</v>
      </c>
      <c r="M67">
        <f t="shared" si="7"/>
        <v>0.45181162547010234</v>
      </c>
      <c r="N67">
        <f t="shared" si="13"/>
        <v>4.9652098499999998E-2</v>
      </c>
      <c r="O67">
        <f t="shared" si="11"/>
        <v>3.277038501E-2</v>
      </c>
      <c r="P67">
        <f t="shared" si="12"/>
        <v>-4.0589572048848818E-3</v>
      </c>
      <c r="V67">
        <v>0.29999999999998</v>
      </c>
      <c r="W67">
        <f t="shared" si="9"/>
        <v>-0.48571699999999907</v>
      </c>
    </row>
    <row r="68" spans="1:23" x14ac:dyDescent="0.3">
      <c r="A68">
        <v>3.3636040000000005</v>
      </c>
      <c r="B68">
        <v>0.68901000000000001</v>
      </c>
      <c r="C68">
        <f t="shared" si="1"/>
        <v>2.3175567920400004</v>
      </c>
      <c r="D68">
        <v>1.4999999999999999E-2</v>
      </c>
      <c r="E68">
        <v>9.9000000000000008E-3</v>
      </c>
      <c r="F68">
        <f t="shared" si="2"/>
        <v>672.72080000000005</v>
      </c>
      <c r="G68">
        <f t="shared" si="3"/>
        <v>-0.68901000000000001</v>
      </c>
      <c r="H68">
        <f t="shared" si="4"/>
        <v>-463.51135840800009</v>
      </c>
      <c r="I68">
        <v>1</v>
      </c>
      <c r="J68">
        <f t="shared" si="5"/>
        <v>-0.39642489425615618</v>
      </c>
      <c r="K68">
        <f t="shared" si="6"/>
        <v>-0.53271515177521744</v>
      </c>
      <c r="L68">
        <v>1</v>
      </c>
      <c r="M68">
        <f t="shared" si="7"/>
        <v>0.45257413928234957</v>
      </c>
      <c r="N68">
        <f t="shared" si="13"/>
        <v>5.0454060000000002E-2</v>
      </c>
      <c r="O68">
        <f t="shared" si="11"/>
        <v>3.3299679600000007E-2</v>
      </c>
      <c r="P68">
        <f t="shared" si="12"/>
        <v>-3.6127271071321396E-3</v>
      </c>
      <c r="V68">
        <v>0.39999999999997998</v>
      </c>
      <c r="W68">
        <f t="shared" si="9"/>
        <v>-0.49047599999999908</v>
      </c>
    </row>
    <row r="69" spans="1:23" x14ac:dyDescent="0.3">
      <c r="A69">
        <v>3.4140131999999999</v>
      </c>
      <c r="B69">
        <v>0.68686999999999998</v>
      </c>
      <c r="C69">
        <f t="shared" ref="C69:C132" si="14">A69*B69</f>
        <v>2.3449832466839999</v>
      </c>
      <c r="D69">
        <v>1.4999999999999999E-2</v>
      </c>
      <c r="E69">
        <v>9.9000000000000008E-3</v>
      </c>
      <c r="F69">
        <f t="shared" ref="F69:F132" si="15">A69*200</f>
        <v>682.80264</v>
      </c>
      <c r="G69">
        <f t="shared" ref="G69:G132" si="16">-B69</f>
        <v>-0.68686999999999998</v>
      </c>
      <c r="H69">
        <f t="shared" ref="H69:H132" si="17">-C69*200</f>
        <v>-468.99664933679998</v>
      </c>
      <c r="I69">
        <v>1</v>
      </c>
      <c r="J69">
        <f t="shared" ref="J69:J132" si="18">LN(F69/1000)</f>
        <v>-0.38154942163698868</v>
      </c>
      <c r="K69">
        <f t="shared" ref="K69:K132" si="19">((-G69)-$N$2)</f>
        <v>-0.53485515177521747</v>
      </c>
      <c r="L69">
        <v>1</v>
      </c>
      <c r="M69">
        <f t="shared" ref="M69:M132" si="20">-1*($S$4+($S$5*J69))</f>
        <v>0.45328206302429574</v>
      </c>
      <c r="N69">
        <f t="shared" si="13"/>
        <v>5.1210197999999998E-2</v>
      </c>
      <c r="O69">
        <f t="shared" si="11"/>
        <v>3.379873068E-2</v>
      </c>
      <c r="P69">
        <f t="shared" si="12"/>
        <v>-3.4358399290782687E-3</v>
      </c>
      <c r="V69">
        <v>0.49999999999998002</v>
      </c>
      <c r="W69">
        <f t="shared" ref="W69:W132" si="21">V69*$S$5+$S$4</f>
        <v>-0.49523499999999909</v>
      </c>
    </row>
    <row r="70" spans="1:23" x14ac:dyDescent="0.3">
      <c r="A70">
        <v>3.4649315999999999</v>
      </c>
      <c r="B70">
        <v>0.68442999999999998</v>
      </c>
      <c r="C70">
        <f t="shared" si="14"/>
        <v>2.371503134988</v>
      </c>
      <c r="D70">
        <v>1.4999999999999999E-2</v>
      </c>
      <c r="E70">
        <v>9.9000000000000008E-3</v>
      </c>
      <c r="F70">
        <f t="shared" si="15"/>
        <v>692.98631999999998</v>
      </c>
      <c r="G70">
        <f t="shared" si="16"/>
        <v>-0.68442999999999998</v>
      </c>
      <c r="H70">
        <f t="shared" si="17"/>
        <v>-474.30062699760003</v>
      </c>
      <c r="I70">
        <v>1</v>
      </c>
      <c r="J70">
        <f t="shared" si="18"/>
        <v>-0.36674502024681566</v>
      </c>
      <c r="K70">
        <f t="shared" si="19"/>
        <v>-0.53729515177521747</v>
      </c>
      <c r="L70">
        <v>1</v>
      </c>
      <c r="M70">
        <f t="shared" si="20"/>
        <v>0.45398660448645406</v>
      </c>
      <c r="N70">
        <f t="shared" si="13"/>
        <v>5.1973973999999999E-2</v>
      </c>
      <c r="O70">
        <f t="shared" ref="O70:O133" si="22">E70*A70</f>
        <v>3.4302822840000004E-2</v>
      </c>
      <c r="P70">
        <f t="shared" ref="P70:P133" si="23">-K70-M70-N70-O70</f>
        <v>-2.9682495512365903E-3</v>
      </c>
      <c r="V70">
        <v>0.59999999999997999</v>
      </c>
      <c r="W70">
        <f t="shared" si="21"/>
        <v>-0.49999399999999905</v>
      </c>
    </row>
    <row r="71" spans="1:23" x14ac:dyDescent="0.3">
      <c r="A71">
        <v>3.5153411000000001</v>
      </c>
      <c r="B71">
        <v>0.68227000000000004</v>
      </c>
      <c r="C71">
        <f t="shared" si="14"/>
        <v>2.3984117722970004</v>
      </c>
      <c r="D71">
        <v>1.4999999999999999E-2</v>
      </c>
      <c r="E71">
        <v>9.9000000000000008E-3</v>
      </c>
      <c r="F71">
        <f t="shared" si="15"/>
        <v>703.06822</v>
      </c>
      <c r="G71">
        <f t="shared" si="16"/>
        <v>-0.68227000000000004</v>
      </c>
      <c r="H71">
        <f t="shared" si="17"/>
        <v>-479.68235445940007</v>
      </c>
      <c r="I71">
        <v>1</v>
      </c>
      <c r="J71">
        <f t="shared" si="18"/>
        <v>-0.3523013506278917</v>
      </c>
      <c r="K71">
        <f t="shared" si="19"/>
        <v>-0.53945515177521741</v>
      </c>
      <c r="L71">
        <v>1</v>
      </c>
      <c r="M71">
        <f t="shared" si="20"/>
        <v>0.45467397872361864</v>
      </c>
      <c r="N71">
        <f t="shared" ref="N71:N134" si="24">D71*A71</f>
        <v>5.27301165E-2</v>
      </c>
      <c r="O71">
        <f t="shared" si="22"/>
        <v>3.4801876890000007E-2</v>
      </c>
      <c r="P71">
        <f t="shared" si="23"/>
        <v>-2.7508203384012386E-3</v>
      </c>
      <c r="V71">
        <v>0.69999999999997997</v>
      </c>
      <c r="W71">
        <f t="shared" si="21"/>
        <v>-0.50475299999999912</v>
      </c>
    </row>
    <row r="72" spans="1:23" x14ac:dyDescent="0.3">
      <c r="A72">
        <v>3.5672775999999997</v>
      </c>
      <c r="B72">
        <v>0.68006999999999995</v>
      </c>
      <c r="C72">
        <f t="shared" si="14"/>
        <v>2.4259984774319996</v>
      </c>
      <c r="D72">
        <v>1.4999999999999999E-2</v>
      </c>
      <c r="E72">
        <v>9.9000000000000008E-3</v>
      </c>
      <c r="F72">
        <f t="shared" si="15"/>
        <v>713.45551999999998</v>
      </c>
      <c r="G72">
        <f t="shared" si="16"/>
        <v>-0.68006999999999995</v>
      </c>
      <c r="H72">
        <f t="shared" si="17"/>
        <v>-485.19969548639995</v>
      </c>
      <c r="I72">
        <v>1</v>
      </c>
      <c r="J72">
        <f t="shared" si="18"/>
        <v>-0.33763518458313241</v>
      </c>
      <c r="K72">
        <f t="shared" si="19"/>
        <v>-0.5416551517752175</v>
      </c>
      <c r="L72">
        <v>1</v>
      </c>
      <c r="M72">
        <f t="shared" si="20"/>
        <v>0.45537194156568878</v>
      </c>
      <c r="N72">
        <f t="shared" si="24"/>
        <v>5.3509163999999991E-2</v>
      </c>
      <c r="O72">
        <f t="shared" si="22"/>
        <v>3.5316048240000002E-2</v>
      </c>
      <c r="P72">
        <f t="shared" si="23"/>
        <v>-2.5420020304712659E-3</v>
      </c>
      <c r="V72">
        <v>0.79999999999997995</v>
      </c>
      <c r="W72">
        <f t="shared" si="21"/>
        <v>-0.50951199999999908</v>
      </c>
    </row>
    <row r="73" spans="1:23" x14ac:dyDescent="0.3">
      <c r="A73">
        <v>3.6176868</v>
      </c>
      <c r="B73">
        <v>0.67801</v>
      </c>
      <c r="C73">
        <f t="shared" si="14"/>
        <v>2.452827827268</v>
      </c>
      <c r="D73">
        <v>1.4999999999999999E-2</v>
      </c>
      <c r="E73">
        <v>9.9000000000000008E-3</v>
      </c>
      <c r="F73">
        <f t="shared" si="15"/>
        <v>723.53736000000004</v>
      </c>
      <c r="G73">
        <f t="shared" si="16"/>
        <v>-0.67801</v>
      </c>
      <c r="H73">
        <f t="shared" si="17"/>
        <v>-490.56556545360002</v>
      </c>
      <c r="I73">
        <v>1</v>
      </c>
      <c r="J73">
        <f t="shared" si="18"/>
        <v>-0.32360309637232926</v>
      </c>
      <c r="K73">
        <f t="shared" si="19"/>
        <v>-0.54371515177521745</v>
      </c>
      <c r="L73">
        <v>1</v>
      </c>
      <c r="M73">
        <f t="shared" si="20"/>
        <v>0.4560397286436409</v>
      </c>
      <c r="N73">
        <f t="shared" si="24"/>
        <v>5.4265301999999994E-2</v>
      </c>
      <c r="O73">
        <f t="shared" si="22"/>
        <v>3.5815099320000002E-2</v>
      </c>
      <c r="P73">
        <f t="shared" si="23"/>
        <v>-2.4049781884234386E-3</v>
      </c>
      <c r="V73">
        <v>0.89999999999998004</v>
      </c>
      <c r="W73">
        <f t="shared" si="21"/>
        <v>-0.51427099999999903</v>
      </c>
    </row>
    <row r="74" spans="1:23" x14ac:dyDescent="0.3">
      <c r="A74">
        <v>3.6686049999999999</v>
      </c>
      <c r="B74">
        <v>0.67576000000000003</v>
      </c>
      <c r="C74">
        <f t="shared" si="14"/>
        <v>2.4790965148000002</v>
      </c>
      <c r="D74">
        <v>1.4999999999999999E-2</v>
      </c>
      <c r="E74">
        <v>9.9000000000000008E-3</v>
      </c>
      <c r="F74">
        <f t="shared" si="15"/>
        <v>733.721</v>
      </c>
      <c r="G74">
        <f t="shared" si="16"/>
        <v>-0.67576000000000003</v>
      </c>
      <c r="H74">
        <f t="shared" si="17"/>
        <v>-495.81930296000002</v>
      </c>
      <c r="I74">
        <v>1</v>
      </c>
      <c r="J74">
        <f t="shared" si="18"/>
        <v>-0.30962643161918163</v>
      </c>
      <c r="K74">
        <f t="shared" si="19"/>
        <v>-0.54596515177521743</v>
      </c>
      <c r="L74">
        <v>1</v>
      </c>
      <c r="M74">
        <f t="shared" si="20"/>
        <v>0.45670487811924315</v>
      </c>
      <c r="N74">
        <f t="shared" si="24"/>
        <v>5.5029074999999997E-2</v>
      </c>
      <c r="O74">
        <f t="shared" si="22"/>
        <v>3.6319189500000001E-2</v>
      </c>
      <c r="P74">
        <f t="shared" si="23"/>
        <v>-2.0879908440257222E-3</v>
      </c>
      <c r="V74">
        <v>0.99999999999998002</v>
      </c>
      <c r="W74">
        <f t="shared" si="21"/>
        <v>-0.5190299999999991</v>
      </c>
    </row>
    <row r="75" spans="1:23" x14ac:dyDescent="0.3">
      <c r="A75">
        <v>3.7210508</v>
      </c>
      <c r="B75">
        <v>0.67349000000000003</v>
      </c>
      <c r="C75">
        <f t="shared" si="14"/>
        <v>2.506090503292</v>
      </c>
      <c r="D75">
        <v>1.4999999999999999E-2</v>
      </c>
      <c r="E75">
        <v>9.9000000000000008E-3</v>
      </c>
      <c r="F75">
        <f t="shared" si="15"/>
        <v>744.21015999999997</v>
      </c>
      <c r="G75">
        <f t="shared" si="16"/>
        <v>-0.67349000000000003</v>
      </c>
      <c r="H75">
        <f t="shared" si="17"/>
        <v>-501.21810065839998</v>
      </c>
      <c r="I75">
        <v>1</v>
      </c>
      <c r="J75">
        <f t="shared" si="18"/>
        <v>-0.29543181091878562</v>
      </c>
      <c r="K75">
        <f t="shared" si="19"/>
        <v>-0.54823515177521742</v>
      </c>
      <c r="L75">
        <v>1</v>
      </c>
      <c r="M75">
        <f t="shared" si="20"/>
        <v>0.457380400118375</v>
      </c>
      <c r="N75">
        <f t="shared" si="24"/>
        <v>5.5815761999999998E-2</v>
      </c>
      <c r="O75">
        <f t="shared" si="22"/>
        <v>3.6838402920000006E-2</v>
      </c>
      <c r="P75">
        <f t="shared" si="23"/>
        <v>-1.7994132631575788E-3</v>
      </c>
      <c r="V75">
        <v>1.0999999999999699</v>
      </c>
      <c r="W75">
        <f t="shared" si="21"/>
        <v>-0.52378899999999862</v>
      </c>
    </row>
    <row r="76" spans="1:23" x14ac:dyDescent="0.3">
      <c r="A76">
        <v>3.7719691999999996</v>
      </c>
      <c r="B76">
        <v>0.67115999999999998</v>
      </c>
      <c r="C76">
        <f t="shared" si="14"/>
        <v>2.5315948482719994</v>
      </c>
      <c r="D76">
        <v>1.4999999999999999E-2</v>
      </c>
      <c r="E76">
        <v>9.9000000000000008E-3</v>
      </c>
      <c r="F76">
        <f t="shared" si="15"/>
        <v>754.39383999999995</v>
      </c>
      <c r="G76">
        <f t="shared" si="16"/>
        <v>-0.67115999999999998</v>
      </c>
      <c r="H76">
        <f t="shared" si="17"/>
        <v>-506.31896965439989</v>
      </c>
      <c r="I76">
        <v>1</v>
      </c>
      <c r="J76">
        <f t="shared" si="18"/>
        <v>-0.28184071312570702</v>
      </c>
      <c r="K76">
        <f t="shared" si="19"/>
        <v>-0.55056515177521748</v>
      </c>
      <c r="L76">
        <v>1</v>
      </c>
      <c r="M76">
        <f t="shared" si="20"/>
        <v>0.45802720046234763</v>
      </c>
      <c r="N76">
        <f t="shared" si="24"/>
        <v>5.6579537999999992E-2</v>
      </c>
      <c r="O76">
        <f t="shared" si="22"/>
        <v>3.7342495079999996E-2</v>
      </c>
      <c r="P76">
        <f t="shared" si="23"/>
        <v>-1.3840817671301395E-3</v>
      </c>
      <c r="V76">
        <v>1.19999999999997</v>
      </c>
      <c r="W76">
        <f t="shared" si="21"/>
        <v>-0.52854799999999857</v>
      </c>
    </row>
    <row r="77" spans="1:23" x14ac:dyDescent="0.3">
      <c r="A77">
        <v>3.8228876999999999</v>
      </c>
      <c r="B77">
        <v>0.66886999999999996</v>
      </c>
      <c r="C77">
        <f t="shared" si="14"/>
        <v>2.557014895899</v>
      </c>
      <c r="D77">
        <v>1.4999999999999999E-2</v>
      </c>
      <c r="E77">
        <v>9.9000000000000008E-3</v>
      </c>
      <c r="F77">
        <f t="shared" si="15"/>
        <v>764.57754</v>
      </c>
      <c r="G77">
        <f t="shared" si="16"/>
        <v>-0.66886999999999996</v>
      </c>
      <c r="H77">
        <f t="shared" si="17"/>
        <v>-511.40297917980001</v>
      </c>
      <c r="I77">
        <v>1</v>
      </c>
      <c r="J77">
        <f t="shared" si="18"/>
        <v>-0.26843183298778944</v>
      </c>
      <c r="K77">
        <f t="shared" si="19"/>
        <v>-0.55285515177521749</v>
      </c>
      <c r="L77">
        <v>1</v>
      </c>
      <c r="M77">
        <f t="shared" si="20"/>
        <v>0.45866532906811114</v>
      </c>
      <c r="N77">
        <f t="shared" si="24"/>
        <v>5.7343315499999999E-2</v>
      </c>
      <c r="O77">
        <f t="shared" si="22"/>
        <v>3.7846588229999999E-2</v>
      </c>
      <c r="P77">
        <f t="shared" si="23"/>
        <v>-1.0000810228936452E-3</v>
      </c>
      <c r="V77">
        <v>1.2999999999999701</v>
      </c>
      <c r="W77">
        <f t="shared" si="21"/>
        <v>-0.53330699999999864</v>
      </c>
    </row>
    <row r="78" spans="1:23" x14ac:dyDescent="0.3">
      <c r="A78">
        <v>3.8743151999999998</v>
      </c>
      <c r="B78">
        <v>0.66657</v>
      </c>
      <c r="C78">
        <f t="shared" si="14"/>
        <v>2.5825022828640001</v>
      </c>
      <c r="D78">
        <v>1.4999999999999999E-2</v>
      </c>
      <c r="E78">
        <v>9.9000000000000008E-3</v>
      </c>
      <c r="F78">
        <f t="shared" si="15"/>
        <v>774.86303999999996</v>
      </c>
      <c r="G78">
        <f t="shared" si="16"/>
        <v>-0.66657</v>
      </c>
      <c r="H78">
        <f t="shared" si="17"/>
        <v>-516.50045657279998</v>
      </c>
      <c r="I78">
        <v>1</v>
      </c>
      <c r="J78">
        <f t="shared" si="18"/>
        <v>-0.2550689878267105</v>
      </c>
      <c r="K78">
        <f t="shared" si="19"/>
        <v>-0.55515515177521746</v>
      </c>
      <c r="L78">
        <v>1</v>
      </c>
      <c r="M78">
        <f t="shared" si="20"/>
        <v>0.45930126686932687</v>
      </c>
      <c r="N78">
        <f t="shared" si="24"/>
        <v>5.8114727999999997E-2</v>
      </c>
      <c r="O78">
        <f t="shared" si="22"/>
        <v>3.8355720480000001E-2</v>
      </c>
      <c r="P78">
        <f t="shared" si="23"/>
        <v>-6.1656357410941331E-4</v>
      </c>
      <c r="V78">
        <v>1.3999999999999699</v>
      </c>
      <c r="W78">
        <f t="shared" si="21"/>
        <v>-0.5380659999999986</v>
      </c>
    </row>
    <row r="79" spans="1:23" x14ac:dyDescent="0.3">
      <c r="A79">
        <v>3.9257423999999999</v>
      </c>
      <c r="B79">
        <v>0.66442000000000001</v>
      </c>
      <c r="C79">
        <f t="shared" si="14"/>
        <v>2.6083417654079999</v>
      </c>
      <c r="D79">
        <v>1.4999999999999999E-2</v>
      </c>
      <c r="E79">
        <v>9.9000000000000008E-3</v>
      </c>
      <c r="F79">
        <f t="shared" si="15"/>
        <v>785.14847999999995</v>
      </c>
      <c r="G79">
        <f t="shared" si="16"/>
        <v>-0.66442000000000001</v>
      </c>
      <c r="H79">
        <f t="shared" si="17"/>
        <v>-521.6683530816</v>
      </c>
      <c r="I79">
        <v>1</v>
      </c>
      <c r="J79">
        <f t="shared" si="18"/>
        <v>-0.24188243258885672</v>
      </c>
      <c r="K79">
        <f t="shared" si="19"/>
        <v>-0.55730515177521744</v>
      </c>
      <c r="L79">
        <v>1</v>
      </c>
      <c r="M79">
        <f t="shared" si="20"/>
        <v>0.45992881503309635</v>
      </c>
      <c r="N79">
        <f t="shared" si="24"/>
        <v>5.8886135999999999E-2</v>
      </c>
      <c r="O79">
        <f t="shared" si="22"/>
        <v>3.886484976E-2</v>
      </c>
      <c r="P79">
        <f t="shared" si="23"/>
        <v>-3.7464901787890442E-4</v>
      </c>
      <c r="V79">
        <v>1.49999999999997</v>
      </c>
      <c r="W79">
        <f t="shared" si="21"/>
        <v>-0.54282499999999856</v>
      </c>
    </row>
    <row r="80" spans="1:23" x14ac:dyDescent="0.3">
      <c r="A80">
        <v>3.9781884999999999</v>
      </c>
      <c r="B80">
        <v>0.66222000000000003</v>
      </c>
      <c r="C80">
        <f t="shared" si="14"/>
        <v>2.6344359884699999</v>
      </c>
      <c r="D80">
        <v>1.4999999999999999E-2</v>
      </c>
      <c r="E80">
        <v>9.9000000000000008E-3</v>
      </c>
      <c r="F80">
        <f t="shared" si="15"/>
        <v>795.6377</v>
      </c>
      <c r="G80">
        <f t="shared" si="16"/>
        <v>-0.66222000000000003</v>
      </c>
      <c r="H80">
        <f t="shared" si="17"/>
        <v>-526.88719769399995</v>
      </c>
      <c r="I80">
        <v>1</v>
      </c>
      <c r="J80">
        <f t="shared" si="18"/>
        <v>-0.22861134750406795</v>
      </c>
      <c r="K80">
        <f t="shared" si="19"/>
        <v>-0.55950515177521742</v>
      </c>
      <c r="L80">
        <v>1</v>
      </c>
      <c r="M80">
        <f t="shared" si="20"/>
        <v>0.46056038597228144</v>
      </c>
      <c r="N80">
        <f t="shared" si="24"/>
        <v>5.9672827499999997E-2</v>
      </c>
      <c r="O80">
        <f t="shared" si="22"/>
        <v>3.9384066150000001E-2</v>
      </c>
      <c r="P80">
        <f t="shared" si="23"/>
        <v>-1.1212784706401274E-4</v>
      </c>
      <c r="V80">
        <v>1.5999999999999699</v>
      </c>
      <c r="W80">
        <f t="shared" si="21"/>
        <v>-0.54758399999999863</v>
      </c>
    </row>
    <row r="81" spans="1:23" x14ac:dyDescent="0.3">
      <c r="A81">
        <v>4.0306343</v>
      </c>
      <c r="B81">
        <v>0.65973999999999999</v>
      </c>
      <c r="C81">
        <f t="shared" si="14"/>
        <v>2.6591706730819999</v>
      </c>
      <c r="D81">
        <v>1.4999999999999999E-2</v>
      </c>
      <c r="E81">
        <v>9.9000000000000008E-3</v>
      </c>
      <c r="F81">
        <f t="shared" si="15"/>
        <v>806.12685999999997</v>
      </c>
      <c r="G81">
        <f t="shared" si="16"/>
        <v>-0.65973999999999999</v>
      </c>
      <c r="H81">
        <f t="shared" si="17"/>
        <v>-531.83413461639998</v>
      </c>
      <c r="I81">
        <v>1</v>
      </c>
      <c r="J81">
        <f t="shared" si="18"/>
        <v>-0.21551415431978704</v>
      </c>
      <c r="K81">
        <f t="shared" si="19"/>
        <v>-0.56198515177521746</v>
      </c>
      <c r="L81">
        <v>1</v>
      </c>
      <c r="M81">
        <f t="shared" si="20"/>
        <v>0.46118368139592136</v>
      </c>
      <c r="N81">
        <f t="shared" si="24"/>
        <v>6.0459514499999999E-2</v>
      </c>
      <c r="O81">
        <f t="shared" si="22"/>
        <v>3.9903279570000005E-2</v>
      </c>
      <c r="P81">
        <f t="shared" si="23"/>
        <v>4.3867630929609464E-4</v>
      </c>
      <c r="V81">
        <v>1.69999999999997</v>
      </c>
      <c r="W81">
        <f t="shared" si="21"/>
        <v>-0.55234299999999859</v>
      </c>
    </row>
    <row r="82" spans="1:23" x14ac:dyDescent="0.3">
      <c r="A82">
        <v>4.0810434999999998</v>
      </c>
      <c r="B82">
        <v>0.65773000000000004</v>
      </c>
      <c r="C82">
        <f t="shared" si="14"/>
        <v>2.684224741255</v>
      </c>
      <c r="D82">
        <v>1.4999999999999999E-2</v>
      </c>
      <c r="E82">
        <v>9.9000000000000008E-3</v>
      </c>
      <c r="F82">
        <f t="shared" si="15"/>
        <v>816.20869999999991</v>
      </c>
      <c r="G82">
        <f t="shared" si="16"/>
        <v>-0.65773000000000004</v>
      </c>
      <c r="H82">
        <f t="shared" si="17"/>
        <v>-536.84494825100001</v>
      </c>
      <c r="I82">
        <v>1</v>
      </c>
      <c r="J82">
        <f t="shared" si="18"/>
        <v>-0.20308519691507165</v>
      </c>
      <c r="K82">
        <f t="shared" si="19"/>
        <v>-0.56399515177521742</v>
      </c>
      <c r="L82">
        <v>1</v>
      </c>
      <c r="M82">
        <f t="shared" si="20"/>
        <v>0.46177517547881175</v>
      </c>
      <c r="N82">
        <f t="shared" si="24"/>
        <v>6.1215652499999995E-2</v>
      </c>
      <c r="O82">
        <f t="shared" si="22"/>
        <v>4.0402330649999998E-2</v>
      </c>
      <c r="P82">
        <f t="shared" si="23"/>
        <v>6.0199314640567436E-4</v>
      </c>
      <c r="V82">
        <v>1.7999999999999701</v>
      </c>
      <c r="W82">
        <f t="shared" si="21"/>
        <v>-0.55710199999999865</v>
      </c>
    </row>
    <row r="83" spans="1:23" x14ac:dyDescent="0.3">
      <c r="A83">
        <v>4.1324712000000003</v>
      </c>
      <c r="B83">
        <v>0.65527000000000002</v>
      </c>
      <c r="C83">
        <f t="shared" si="14"/>
        <v>2.7078844032240004</v>
      </c>
      <c r="D83">
        <v>1.4999999999999999E-2</v>
      </c>
      <c r="E83">
        <v>9.9000000000000008E-3</v>
      </c>
      <c r="F83">
        <f t="shared" si="15"/>
        <v>826.4942400000001</v>
      </c>
      <c r="G83">
        <f t="shared" si="16"/>
        <v>-0.65527000000000002</v>
      </c>
      <c r="H83">
        <f t="shared" si="17"/>
        <v>-541.5768806448001</v>
      </c>
      <c r="I83">
        <v>1</v>
      </c>
      <c r="J83">
        <f t="shared" si="18"/>
        <v>-0.19056233089234806</v>
      </c>
      <c r="K83">
        <f t="shared" si="19"/>
        <v>-0.56645515177521744</v>
      </c>
      <c r="L83">
        <v>1</v>
      </c>
      <c r="M83">
        <f t="shared" si="20"/>
        <v>0.46237113867283319</v>
      </c>
      <c r="N83">
        <f t="shared" si="24"/>
        <v>6.1987068000000006E-2</v>
      </c>
      <c r="O83">
        <f t="shared" si="22"/>
        <v>4.0911464880000005E-2</v>
      </c>
      <c r="P83">
        <f t="shared" si="23"/>
        <v>1.1854802223842317E-3</v>
      </c>
      <c r="V83">
        <v>1.8999999999999699</v>
      </c>
      <c r="W83">
        <f t="shared" si="21"/>
        <v>-0.56186099999999861</v>
      </c>
    </row>
    <row r="84" spans="1:23" x14ac:dyDescent="0.3">
      <c r="A84">
        <v>4.1828804000000002</v>
      </c>
      <c r="B84">
        <v>0.65325</v>
      </c>
      <c r="C84">
        <f t="shared" si="14"/>
        <v>2.7324666213</v>
      </c>
      <c r="D84">
        <v>1.4999999999999999E-2</v>
      </c>
      <c r="E84">
        <v>9.9000000000000008E-3</v>
      </c>
      <c r="F84">
        <f t="shared" si="15"/>
        <v>836.57608000000005</v>
      </c>
      <c r="G84">
        <f t="shared" si="16"/>
        <v>-0.65325</v>
      </c>
      <c r="H84">
        <f t="shared" si="17"/>
        <v>-546.49332426000001</v>
      </c>
      <c r="I84">
        <v>1</v>
      </c>
      <c r="J84">
        <f t="shared" si="18"/>
        <v>-0.17843781230247055</v>
      </c>
      <c r="K84">
        <f t="shared" si="19"/>
        <v>-0.56847515177521746</v>
      </c>
      <c r="L84">
        <v>1</v>
      </c>
      <c r="M84">
        <f t="shared" si="20"/>
        <v>0.46294814451252547</v>
      </c>
      <c r="N84">
        <f t="shared" si="24"/>
        <v>6.2743205999999996E-2</v>
      </c>
      <c r="O84">
        <f t="shared" si="22"/>
        <v>4.1410515960000005E-2</v>
      </c>
      <c r="P84">
        <f t="shared" si="23"/>
        <v>1.3732853026919845E-3</v>
      </c>
      <c r="V84">
        <v>1.99999999999997</v>
      </c>
      <c r="W84">
        <f t="shared" si="21"/>
        <v>-0.56661999999999857</v>
      </c>
    </row>
    <row r="85" spans="1:23" x14ac:dyDescent="0.3">
      <c r="A85">
        <v>4.2332896</v>
      </c>
      <c r="B85">
        <v>0.65092000000000005</v>
      </c>
      <c r="C85">
        <f t="shared" si="14"/>
        <v>2.755532866432</v>
      </c>
      <c r="D85">
        <v>1.4999999999999999E-2</v>
      </c>
      <c r="E85">
        <v>9.9000000000000008E-3</v>
      </c>
      <c r="F85">
        <f t="shared" si="15"/>
        <v>846.65791999999999</v>
      </c>
      <c r="G85">
        <f t="shared" si="16"/>
        <v>-0.65092000000000005</v>
      </c>
      <c r="H85">
        <f t="shared" si="17"/>
        <v>-551.10657328640002</v>
      </c>
      <c r="I85">
        <v>1</v>
      </c>
      <c r="J85">
        <f t="shared" si="18"/>
        <v>-0.16645853839968808</v>
      </c>
      <c r="K85">
        <f t="shared" si="19"/>
        <v>-0.5708051517752174</v>
      </c>
      <c r="L85">
        <v>1</v>
      </c>
      <c r="M85">
        <f t="shared" si="20"/>
        <v>0.46351823815755888</v>
      </c>
      <c r="N85">
        <f t="shared" si="24"/>
        <v>6.3499343999999999E-2</v>
      </c>
      <c r="O85">
        <f t="shared" si="22"/>
        <v>4.1909567040000005E-2</v>
      </c>
      <c r="P85">
        <f t="shared" si="23"/>
        <v>1.8780025776585149E-3</v>
      </c>
      <c r="V85">
        <v>2.0999999999999699</v>
      </c>
      <c r="W85">
        <f t="shared" si="21"/>
        <v>-0.57137899999999864</v>
      </c>
    </row>
    <row r="86" spans="1:23" x14ac:dyDescent="0.3">
      <c r="A86">
        <v>4.2852261</v>
      </c>
      <c r="B86">
        <v>0.64854999999999996</v>
      </c>
      <c r="C86">
        <f t="shared" si="14"/>
        <v>2.7791833871549998</v>
      </c>
      <c r="D86">
        <v>1.4999999999999999E-2</v>
      </c>
      <c r="E86">
        <v>9.9000000000000008E-3</v>
      </c>
      <c r="F86">
        <f t="shared" si="15"/>
        <v>857.04521999999997</v>
      </c>
      <c r="G86">
        <f t="shared" si="16"/>
        <v>-0.64854999999999996</v>
      </c>
      <c r="H86">
        <f t="shared" si="17"/>
        <v>-555.836677431</v>
      </c>
      <c r="I86">
        <v>1</v>
      </c>
      <c r="J86">
        <f t="shared" si="18"/>
        <v>-0.15426459631549513</v>
      </c>
      <c r="K86">
        <f t="shared" si="19"/>
        <v>-0.5731751517752175</v>
      </c>
      <c r="L86">
        <v>1</v>
      </c>
      <c r="M86">
        <f t="shared" si="20"/>
        <v>0.46409854786134563</v>
      </c>
      <c r="N86">
        <f t="shared" si="24"/>
        <v>6.4278391500000004E-2</v>
      </c>
      <c r="O86">
        <f t="shared" si="22"/>
        <v>4.2423738390000007E-2</v>
      </c>
      <c r="P86">
        <f t="shared" si="23"/>
        <v>2.3744740238718504E-3</v>
      </c>
      <c r="V86">
        <v>2.19999999999997</v>
      </c>
      <c r="W86">
        <f t="shared" si="21"/>
        <v>-0.5761379999999986</v>
      </c>
    </row>
    <row r="87" spans="1:23" x14ac:dyDescent="0.3">
      <c r="A87">
        <v>4.3386903999999999</v>
      </c>
      <c r="B87">
        <v>0.64622000000000002</v>
      </c>
      <c r="C87">
        <f t="shared" si="14"/>
        <v>2.803748510288</v>
      </c>
      <c r="D87">
        <v>1.4999999999999999E-2</v>
      </c>
      <c r="E87">
        <v>9.9000000000000008E-3</v>
      </c>
      <c r="F87">
        <f t="shared" si="15"/>
        <v>867.73807999999997</v>
      </c>
      <c r="G87">
        <f t="shared" si="16"/>
        <v>-0.64622000000000002</v>
      </c>
      <c r="H87">
        <f t="shared" si="17"/>
        <v>-560.74970205759996</v>
      </c>
      <c r="I87">
        <v>1</v>
      </c>
      <c r="J87">
        <f t="shared" si="18"/>
        <v>-0.14186536100990013</v>
      </c>
      <c r="K87">
        <f t="shared" si="19"/>
        <v>-0.57550515177521744</v>
      </c>
      <c r="L87">
        <v>1</v>
      </c>
      <c r="M87">
        <f t="shared" si="20"/>
        <v>0.46468862746953887</v>
      </c>
      <c r="N87">
        <f t="shared" si="24"/>
        <v>6.5080355999999992E-2</v>
      </c>
      <c r="O87">
        <f t="shared" si="22"/>
        <v>4.2953034960000004E-2</v>
      </c>
      <c r="P87">
        <f t="shared" si="23"/>
        <v>2.7831333456785692E-3</v>
      </c>
      <c r="V87">
        <v>2.2999999999999701</v>
      </c>
      <c r="W87">
        <f t="shared" si="21"/>
        <v>-0.58089699999999866</v>
      </c>
    </row>
    <row r="88" spans="1:23" x14ac:dyDescent="0.3">
      <c r="A88">
        <v>4.3890995999999998</v>
      </c>
      <c r="B88">
        <v>0.64383000000000001</v>
      </c>
      <c r="C88">
        <f t="shared" si="14"/>
        <v>2.8258339954679998</v>
      </c>
      <c r="D88">
        <v>1.4999999999999999E-2</v>
      </c>
      <c r="E88">
        <v>9.9000000000000008E-3</v>
      </c>
      <c r="F88">
        <f t="shared" si="15"/>
        <v>877.81991999999991</v>
      </c>
      <c r="G88">
        <f t="shared" si="16"/>
        <v>-0.64383000000000001</v>
      </c>
      <c r="H88">
        <f t="shared" si="17"/>
        <v>-565.16679909359993</v>
      </c>
      <c r="I88">
        <v>1</v>
      </c>
      <c r="J88">
        <f t="shared" si="18"/>
        <v>-0.13031380888911068</v>
      </c>
      <c r="K88">
        <f t="shared" si="19"/>
        <v>-0.57789515177521744</v>
      </c>
      <c r="L88">
        <v>1</v>
      </c>
      <c r="M88">
        <f t="shared" si="20"/>
        <v>0.46523836583496725</v>
      </c>
      <c r="N88">
        <f t="shared" si="24"/>
        <v>6.5836493999999995E-2</v>
      </c>
      <c r="O88">
        <f t="shared" si="22"/>
        <v>4.3452086040000004E-2</v>
      </c>
      <c r="P88">
        <f t="shared" si="23"/>
        <v>3.368205900250193E-3</v>
      </c>
      <c r="V88">
        <v>2.3999999999999702</v>
      </c>
      <c r="W88">
        <f t="shared" si="21"/>
        <v>-0.58565599999999862</v>
      </c>
    </row>
    <row r="89" spans="1:23" x14ac:dyDescent="0.3">
      <c r="A89">
        <v>4.4395087999999996</v>
      </c>
      <c r="B89">
        <v>0.64187000000000005</v>
      </c>
      <c r="C89">
        <f t="shared" si="14"/>
        <v>2.849587513456</v>
      </c>
      <c r="D89">
        <v>1.4999999999999999E-2</v>
      </c>
      <c r="E89">
        <v>9.9000000000000008E-3</v>
      </c>
      <c r="F89">
        <f t="shared" si="15"/>
        <v>887.90175999999997</v>
      </c>
      <c r="G89">
        <f t="shared" si="16"/>
        <v>-0.64187000000000005</v>
      </c>
      <c r="H89">
        <f t="shared" si="17"/>
        <v>-569.91750269119996</v>
      </c>
      <c r="I89">
        <v>1</v>
      </c>
      <c r="J89">
        <f t="shared" si="18"/>
        <v>-0.11889417274061723</v>
      </c>
      <c r="K89">
        <f t="shared" si="19"/>
        <v>-0.5798551517752174</v>
      </c>
      <c r="L89">
        <v>1</v>
      </c>
      <c r="M89">
        <f t="shared" si="20"/>
        <v>0.46578182631927406</v>
      </c>
      <c r="N89">
        <f t="shared" si="24"/>
        <v>6.6592631999999985E-2</v>
      </c>
      <c r="O89">
        <f t="shared" si="22"/>
        <v>4.3951137119999997E-2</v>
      </c>
      <c r="P89">
        <f t="shared" si="23"/>
        <v>3.5295563359433596E-3</v>
      </c>
      <c r="V89">
        <v>2.4999999999999698</v>
      </c>
      <c r="W89">
        <f t="shared" si="21"/>
        <v>-0.59041499999999858</v>
      </c>
    </row>
    <row r="90" spans="1:23" x14ac:dyDescent="0.3">
      <c r="A90">
        <v>4.4909365000000001</v>
      </c>
      <c r="B90">
        <v>0.63951999999999998</v>
      </c>
      <c r="C90">
        <f t="shared" si="14"/>
        <v>2.8720437104799998</v>
      </c>
      <c r="D90">
        <v>1.4999999999999999E-2</v>
      </c>
      <c r="E90">
        <v>9.9000000000000008E-3</v>
      </c>
      <c r="F90">
        <f t="shared" si="15"/>
        <v>898.18730000000005</v>
      </c>
      <c r="G90">
        <f t="shared" si="16"/>
        <v>-0.63951999999999998</v>
      </c>
      <c r="H90">
        <f t="shared" si="17"/>
        <v>-574.40874209599997</v>
      </c>
      <c r="I90">
        <v>1</v>
      </c>
      <c r="J90">
        <f t="shared" si="18"/>
        <v>-0.10737665781835236</v>
      </c>
      <c r="K90">
        <f t="shared" si="19"/>
        <v>-0.58220515177521748</v>
      </c>
      <c r="L90">
        <v>1</v>
      </c>
      <c r="M90">
        <f t="shared" si="20"/>
        <v>0.46632994485442464</v>
      </c>
      <c r="N90">
        <f t="shared" si="24"/>
        <v>6.7364047499999996E-2</v>
      </c>
      <c r="O90">
        <f t="shared" si="22"/>
        <v>4.4460271350000004E-2</v>
      </c>
      <c r="P90">
        <f t="shared" si="23"/>
        <v>4.0508880707928394E-3</v>
      </c>
      <c r="V90">
        <v>2.5999999999999699</v>
      </c>
      <c r="W90">
        <f t="shared" si="21"/>
        <v>-0.59517399999999854</v>
      </c>
    </row>
    <row r="91" spans="1:23" x14ac:dyDescent="0.3">
      <c r="A91">
        <v>4.5459282000000005</v>
      </c>
      <c r="B91">
        <v>0.63736000000000004</v>
      </c>
      <c r="C91">
        <f t="shared" si="14"/>
        <v>2.8973927975520004</v>
      </c>
      <c r="D91">
        <v>1.4999999999999999E-2</v>
      </c>
      <c r="E91">
        <v>9.9000000000000008E-3</v>
      </c>
      <c r="F91">
        <f t="shared" si="15"/>
        <v>909.18564000000015</v>
      </c>
      <c r="G91">
        <f t="shared" si="16"/>
        <v>-0.63736000000000004</v>
      </c>
      <c r="H91">
        <f t="shared" si="17"/>
        <v>-579.47855951040003</v>
      </c>
      <c r="I91">
        <v>1</v>
      </c>
      <c r="J91">
        <f t="shared" si="18"/>
        <v>-9.5205981233184397E-2</v>
      </c>
      <c r="K91">
        <f t="shared" si="19"/>
        <v>-0.58436515177521742</v>
      </c>
      <c r="L91">
        <v>1</v>
      </c>
      <c r="M91">
        <f t="shared" si="20"/>
        <v>0.46690914735311279</v>
      </c>
      <c r="N91">
        <f t="shared" si="24"/>
        <v>6.8188922999999999E-2</v>
      </c>
      <c r="O91">
        <f t="shared" si="22"/>
        <v>4.5004689180000008E-2</v>
      </c>
      <c r="P91">
        <f t="shared" si="23"/>
        <v>4.2623922421046248E-3</v>
      </c>
      <c r="V91">
        <v>2.69999999999997</v>
      </c>
      <c r="W91">
        <f t="shared" si="21"/>
        <v>-0.59993299999999861</v>
      </c>
    </row>
    <row r="92" spans="1:23" x14ac:dyDescent="0.3">
      <c r="A92">
        <v>4.5993925999999998</v>
      </c>
      <c r="B92">
        <v>0.63490000000000002</v>
      </c>
      <c r="C92">
        <f t="shared" si="14"/>
        <v>2.9201543617399999</v>
      </c>
      <c r="D92">
        <v>1.4999999999999999E-2</v>
      </c>
      <c r="E92">
        <v>9.9000000000000008E-3</v>
      </c>
      <c r="F92">
        <f t="shared" si="15"/>
        <v>919.87851999999998</v>
      </c>
      <c r="G92">
        <f t="shared" si="16"/>
        <v>-0.63490000000000002</v>
      </c>
      <c r="H92">
        <f t="shared" si="17"/>
        <v>-584.030872348</v>
      </c>
      <c r="I92">
        <v>1</v>
      </c>
      <c r="J92">
        <f t="shared" si="18"/>
        <v>-8.3513661135819456E-2</v>
      </c>
      <c r="K92">
        <f t="shared" si="19"/>
        <v>-0.58682515177521744</v>
      </c>
      <c r="L92">
        <v>1</v>
      </c>
      <c r="M92">
        <f t="shared" si="20"/>
        <v>0.46746558486654638</v>
      </c>
      <c r="N92">
        <f t="shared" si="24"/>
        <v>6.8990889E-2</v>
      </c>
      <c r="O92">
        <f t="shared" si="22"/>
        <v>4.5533986740000004E-2</v>
      </c>
      <c r="P92">
        <f t="shared" si="23"/>
        <v>4.8346911686710514E-3</v>
      </c>
      <c r="V92">
        <v>2.7999999999999701</v>
      </c>
      <c r="W92">
        <f t="shared" si="21"/>
        <v>-0.60469199999999856</v>
      </c>
    </row>
    <row r="93" spans="1:23" x14ac:dyDescent="0.3">
      <c r="A93">
        <v>4.6503104999999998</v>
      </c>
      <c r="B93">
        <v>0.63254999999999995</v>
      </c>
      <c r="C93">
        <f t="shared" si="14"/>
        <v>2.9415539067749994</v>
      </c>
      <c r="D93">
        <v>1.4999999999999999E-2</v>
      </c>
      <c r="E93">
        <v>9.9000000000000008E-3</v>
      </c>
      <c r="F93">
        <f t="shared" si="15"/>
        <v>930.06209999999999</v>
      </c>
      <c r="G93">
        <f t="shared" si="16"/>
        <v>-0.63254999999999995</v>
      </c>
      <c r="H93">
        <f t="shared" si="17"/>
        <v>-588.3107813549999</v>
      </c>
      <c r="I93">
        <v>1</v>
      </c>
      <c r="J93">
        <f t="shared" si="18"/>
        <v>-7.2503920870584257E-2</v>
      </c>
      <c r="K93">
        <f t="shared" si="19"/>
        <v>-0.58917515177521751</v>
      </c>
      <c r="L93">
        <v>1</v>
      </c>
      <c r="M93">
        <f t="shared" si="20"/>
        <v>0.4679895384057689</v>
      </c>
      <c r="N93">
        <f t="shared" si="24"/>
        <v>6.9754657499999997E-2</v>
      </c>
      <c r="O93">
        <f t="shared" si="22"/>
        <v>4.6038073950000001E-2</v>
      </c>
      <c r="P93">
        <f t="shared" si="23"/>
        <v>5.3928819194486097E-3</v>
      </c>
      <c r="V93">
        <v>2.8999999999999702</v>
      </c>
      <c r="W93">
        <f t="shared" si="21"/>
        <v>-0.60945099999999863</v>
      </c>
    </row>
    <row r="94" spans="1:23" x14ac:dyDescent="0.3">
      <c r="A94">
        <v>4.7027562999999999</v>
      </c>
      <c r="B94">
        <v>0.63031999999999999</v>
      </c>
      <c r="C94">
        <f t="shared" si="14"/>
        <v>2.9642413510159997</v>
      </c>
      <c r="D94">
        <v>1.4999999999999999E-2</v>
      </c>
      <c r="E94">
        <v>9.9000000000000008E-3</v>
      </c>
      <c r="F94">
        <f t="shared" si="15"/>
        <v>940.55125999999996</v>
      </c>
      <c r="G94">
        <f t="shared" si="16"/>
        <v>-0.63031999999999999</v>
      </c>
      <c r="H94">
        <f t="shared" si="17"/>
        <v>-592.84827020319995</v>
      </c>
      <c r="I94">
        <v>1</v>
      </c>
      <c r="J94">
        <f t="shared" si="18"/>
        <v>-6.1289128802305762E-2</v>
      </c>
      <c r="K94">
        <f t="shared" si="19"/>
        <v>-0.59140515177521746</v>
      </c>
      <c r="L94">
        <v>1</v>
      </c>
      <c r="M94">
        <f t="shared" si="20"/>
        <v>0.46852325036029829</v>
      </c>
      <c r="N94">
        <f t="shared" si="24"/>
        <v>7.0541344499999992E-2</v>
      </c>
      <c r="O94">
        <f t="shared" si="22"/>
        <v>4.6557287370000006E-2</v>
      </c>
      <c r="P94">
        <f t="shared" si="23"/>
        <v>5.7832695449191729E-3</v>
      </c>
      <c r="V94">
        <v>2.9999999999999698</v>
      </c>
      <c r="W94">
        <f t="shared" si="21"/>
        <v>-0.61420999999999859</v>
      </c>
    </row>
    <row r="95" spans="1:23" x14ac:dyDescent="0.3">
      <c r="A95">
        <v>4.7608031999999998</v>
      </c>
      <c r="B95">
        <v>0.62804000000000004</v>
      </c>
      <c r="C95">
        <f t="shared" si="14"/>
        <v>2.9899748417279999</v>
      </c>
      <c r="D95">
        <v>1.4999999999999999E-2</v>
      </c>
      <c r="E95">
        <v>9.9000000000000008E-3</v>
      </c>
      <c r="F95">
        <f t="shared" si="15"/>
        <v>952.16063999999994</v>
      </c>
      <c r="G95">
        <f t="shared" si="16"/>
        <v>-0.62804000000000004</v>
      </c>
      <c r="H95">
        <f t="shared" si="17"/>
        <v>-597.9949683456</v>
      </c>
      <c r="I95">
        <v>1</v>
      </c>
      <c r="J95">
        <f t="shared" si="18"/>
        <v>-4.902151892988095E-2</v>
      </c>
      <c r="K95">
        <f t="shared" si="19"/>
        <v>-0.59368515177521741</v>
      </c>
      <c r="L95">
        <v>1</v>
      </c>
      <c r="M95">
        <f t="shared" si="20"/>
        <v>0.46910706591412699</v>
      </c>
      <c r="N95">
        <f t="shared" si="24"/>
        <v>7.1412047999999992E-2</v>
      </c>
      <c r="O95">
        <f t="shared" si="22"/>
        <v>4.7131951679999999E-2</v>
      </c>
      <c r="P95">
        <f t="shared" si="23"/>
        <v>6.0340861810904353E-3</v>
      </c>
      <c r="V95">
        <v>3.0999999999999699</v>
      </c>
      <c r="W95">
        <f t="shared" si="21"/>
        <v>-0.61896899999999855</v>
      </c>
    </row>
    <row r="96" spans="1:23" x14ac:dyDescent="0.3">
      <c r="A96">
        <v>4.8137582999999999</v>
      </c>
      <c r="B96">
        <v>0.62512000000000001</v>
      </c>
      <c r="C96">
        <f t="shared" si="14"/>
        <v>3.009176588496</v>
      </c>
      <c r="D96">
        <v>1.4999999999999999E-2</v>
      </c>
      <c r="E96">
        <v>9.9000000000000008E-3</v>
      </c>
      <c r="F96">
        <f t="shared" si="15"/>
        <v>962.75166000000002</v>
      </c>
      <c r="G96">
        <f t="shared" si="16"/>
        <v>-0.62512000000000001</v>
      </c>
      <c r="H96">
        <f t="shared" si="17"/>
        <v>-601.8353176992</v>
      </c>
      <c r="I96">
        <v>1</v>
      </c>
      <c r="J96">
        <f t="shared" si="18"/>
        <v>-3.7959782061131868E-2</v>
      </c>
      <c r="K96">
        <f t="shared" si="19"/>
        <v>-0.59660515177521745</v>
      </c>
      <c r="L96">
        <v>1</v>
      </c>
      <c r="M96">
        <f t="shared" si="20"/>
        <v>0.46963349397171078</v>
      </c>
      <c r="N96">
        <f t="shared" si="24"/>
        <v>7.220637449999999E-2</v>
      </c>
      <c r="O96">
        <f t="shared" si="22"/>
        <v>4.7656207170000006E-2</v>
      </c>
      <c r="P96">
        <f t="shared" si="23"/>
        <v>7.1090761335066699E-3</v>
      </c>
      <c r="V96">
        <v>3.19999999999997</v>
      </c>
      <c r="W96">
        <f t="shared" si="21"/>
        <v>-0.62372799999999862</v>
      </c>
    </row>
    <row r="97" spans="1:23" x14ac:dyDescent="0.3">
      <c r="A97">
        <v>4.8677318999999999</v>
      </c>
      <c r="B97">
        <v>0.62287000000000003</v>
      </c>
      <c r="C97">
        <f t="shared" si="14"/>
        <v>3.0319641685529999</v>
      </c>
      <c r="D97">
        <v>1.4999999999999999E-2</v>
      </c>
      <c r="E97">
        <v>9.9000000000000008E-3</v>
      </c>
      <c r="F97">
        <f t="shared" si="15"/>
        <v>973.54638</v>
      </c>
      <c r="G97">
        <f t="shared" si="16"/>
        <v>-0.62287000000000003</v>
      </c>
      <c r="H97">
        <f t="shared" si="17"/>
        <v>-606.39283371060003</v>
      </c>
      <c r="I97">
        <v>1</v>
      </c>
      <c r="J97">
        <f t="shared" si="18"/>
        <v>-2.6809812777787212E-2</v>
      </c>
      <c r="K97">
        <f t="shared" si="19"/>
        <v>-0.59885515177521742</v>
      </c>
      <c r="L97">
        <v>1</v>
      </c>
      <c r="M97">
        <f t="shared" si="20"/>
        <v>0.47016412100990512</v>
      </c>
      <c r="N97">
        <f t="shared" si="24"/>
        <v>7.3015978499999995E-2</v>
      </c>
      <c r="O97">
        <f t="shared" si="22"/>
        <v>4.8190545810000006E-2</v>
      </c>
      <c r="P97">
        <f t="shared" si="23"/>
        <v>7.4845064553122967E-3</v>
      </c>
      <c r="V97">
        <v>3.2999999999999701</v>
      </c>
      <c r="W97">
        <f t="shared" si="21"/>
        <v>-0.62848699999999857</v>
      </c>
    </row>
    <row r="98" spans="1:23" x14ac:dyDescent="0.3">
      <c r="A98">
        <v>4.9201781999999996</v>
      </c>
      <c r="B98">
        <v>0.62041000000000002</v>
      </c>
      <c r="C98">
        <f t="shared" si="14"/>
        <v>3.0525277570619997</v>
      </c>
      <c r="D98">
        <v>1.4999999999999999E-2</v>
      </c>
      <c r="E98">
        <v>9.9000000000000008E-3</v>
      </c>
      <c r="F98">
        <f t="shared" si="15"/>
        <v>984.03563999999994</v>
      </c>
      <c r="G98">
        <f t="shared" si="16"/>
        <v>-0.62041000000000002</v>
      </c>
      <c r="H98">
        <f t="shared" si="17"/>
        <v>-610.5055514124</v>
      </c>
      <c r="I98">
        <v>1</v>
      </c>
      <c r="J98">
        <f t="shared" si="18"/>
        <v>-1.6093163073599211E-2</v>
      </c>
      <c r="K98">
        <f t="shared" si="19"/>
        <v>-0.60131515177521744</v>
      </c>
      <c r="L98">
        <v>1</v>
      </c>
      <c r="M98">
        <f t="shared" si="20"/>
        <v>0.47067412636932743</v>
      </c>
      <c r="N98">
        <f t="shared" si="24"/>
        <v>7.3802672999999985E-2</v>
      </c>
      <c r="O98">
        <f t="shared" si="22"/>
        <v>4.8709764180000004E-2</v>
      </c>
      <c r="P98">
        <f t="shared" si="23"/>
        <v>8.1285882258900211E-3</v>
      </c>
      <c r="V98">
        <v>3.3999999999999702</v>
      </c>
      <c r="W98">
        <f t="shared" si="21"/>
        <v>-0.63324599999999864</v>
      </c>
    </row>
    <row r="99" spans="1:23" x14ac:dyDescent="0.3">
      <c r="A99">
        <v>4.9731328000000001</v>
      </c>
      <c r="B99">
        <v>0.61822999999999995</v>
      </c>
      <c r="C99">
        <f t="shared" si="14"/>
        <v>3.0745398909439996</v>
      </c>
      <c r="D99">
        <v>1.4999999999999999E-2</v>
      </c>
      <c r="E99">
        <v>9.9000000000000008E-3</v>
      </c>
      <c r="F99">
        <f t="shared" si="15"/>
        <v>994.62656000000004</v>
      </c>
      <c r="G99">
        <f t="shared" si="16"/>
        <v>-0.61822999999999995</v>
      </c>
      <c r="H99">
        <f t="shared" si="17"/>
        <v>-614.90797818879992</v>
      </c>
      <c r="I99">
        <v>1</v>
      </c>
      <c r="J99">
        <f t="shared" si="18"/>
        <v>-5.3879288553551558E-3</v>
      </c>
      <c r="K99">
        <f t="shared" si="19"/>
        <v>-0.60349515177521751</v>
      </c>
      <c r="L99">
        <v>1</v>
      </c>
      <c r="M99">
        <f t="shared" si="20"/>
        <v>0.47118358846577368</v>
      </c>
      <c r="N99">
        <f t="shared" si="24"/>
        <v>7.4596992000000001E-2</v>
      </c>
      <c r="O99">
        <f t="shared" si="22"/>
        <v>4.9234014720000004E-2</v>
      </c>
      <c r="P99">
        <f t="shared" si="23"/>
        <v>8.4805565894438203E-3</v>
      </c>
      <c r="V99">
        <v>3.4999999999999698</v>
      </c>
      <c r="W99">
        <f t="shared" si="21"/>
        <v>-0.6380049999999986</v>
      </c>
    </row>
    <row r="100" spans="1:23" x14ac:dyDescent="0.3">
      <c r="A100">
        <v>5.0296519000000002</v>
      </c>
      <c r="B100">
        <v>0.61580999999999997</v>
      </c>
      <c r="C100">
        <f t="shared" si="14"/>
        <v>3.0973099365389998</v>
      </c>
      <c r="D100">
        <v>1.4999999999999999E-2</v>
      </c>
      <c r="E100">
        <v>9.9000000000000008E-3</v>
      </c>
      <c r="F100">
        <f t="shared" si="15"/>
        <v>1005.93038</v>
      </c>
      <c r="G100">
        <f t="shared" si="16"/>
        <v>-0.61580999999999997</v>
      </c>
      <c r="H100">
        <f t="shared" si="17"/>
        <v>-619.46198730779997</v>
      </c>
      <c r="I100">
        <v>1</v>
      </c>
      <c r="J100">
        <f t="shared" si="18"/>
        <v>5.9128645114151406E-3</v>
      </c>
      <c r="K100">
        <f t="shared" si="19"/>
        <v>-0.60591515177521749</v>
      </c>
      <c r="L100">
        <v>1</v>
      </c>
      <c r="M100">
        <f t="shared" si="20"/>
        <v>0.47172139322209827</v>
      </c>
      <c r="N100">
        <f t="shared" si="24"/>
        <v>7.5444778500000004E-2</v>
      </c>
      <c r="O100">
        <f t="shared" si="22"/>
        <v>4.9793553810000009E-2</v>
      </c>
      <c r="P100">
        <f t="shared" si="23"/>
        <v>8.9554262431192008E-3</v>
      </c>
      <c r="V100">
        <v>3.5999999999999699</v>
      </c>
      <c r="W100">
        <f t="shared" si="21"/>
        <v>-0.64276399999999856</v>
      </c>
    </row>
    <row r="101" spans="1:23" x14ac:dyDescent="0.3">
      <c r="A101">
        <v>5.0826069</v>
      </c>
      <c r="B101">
        <v>0.61331999999999998</v>
      </c>
      <c r="C101">
        <f t="shared" si="14"/>
        <v>3.117264463908</v>
      </c>
      <c r="D101">
        <v>1.4999999999999999E-2</v>
      </c>
      <c r="E101">
        <v>9.9000000000000008E-3</v>
      </c>
      <c r="F101">
        <f t="shared" si="15"/>
        <v>1016.52138</v>
      </c>
      <c r="G101">
        <f t="shared" si="16"/>
        <v>-0.61331999999999998</v>
      </c>
      <c r="H101">
        <f t="shared" si="17"/>
        <v>-623.45289278159999</v>
      </c>
      <c r="I101">
        <v>1</v>
      </c>
      <c r="J101">
        <f t="shared" si="18"/>
        <v>1.6386386821297002E-2</v>
      </c>
      <c r="K101">
        <f t="shared" si="19"/>
        <v>-0.60840515177521748</v>
      </c>
      <c r="L101">
        <v>1</v>
      </c>
      <c r="M101">
        <f t="shared" si="20"/>
        <v>0.47221982814882557</v>
      </c>
      <c r="N101">
        <f t="shared" si="24"/>
        <v>7.6239103500000002E-2</v>
      </c>
      <c r="O101">
        <f t="shared" si="22"/>
        <v>5.0317808310000003E-2</v>
      </c>
      <c r="P101">
        <f t="shared" si="23"/>
        <v>9.6284118163919019E-3</v>
      </c>
      <c r="V101">
        <v>3.69999999999997</v>
      </c>
      <c r="W101">
        <f t="shared" si="21"/>
        <v>-0.64752299999999863</v>
      </c>
    </row>
    <row r="102" spans="1:23" x14ac:dyDescent="0.3">
      <c r="A102">
        <v>5.1365805999999994</v>
      </c>
      <c r="B102">
        <v>0.61094000000000004</v>
      </c>
      <c r="C102">
        <f t="shared" si="14"/>
        <v>3.138142551764</v>
      </c>
      <c r="D102">
        <v>1.4999999999999999E-2</v>
      </c>
      <c r="E102">
        <v>9.9000000000000008E-3</v>
      </c>
      <c r="F102">
        <f t="shared" si="15"/>
        <v>1027.31612</v>
      </c>
      <c r="G102">
        <f t="shared" si="16"/>
        <v>-0.61094000000000004</v>
      </c>
      <c r="H102">
        <f t="shared" si="17"/>
        <v>-627.62851035280005</v>
      </c>
      <c r="I102">
        <v>1</v>
      </c>
      <c r="J102">
        <f t="shared" si="18"/>
        <v>2.6949692735775414E-2</v>
      </c>
      <c r="K102">
        <f t="shared" si="19"/>
        <v>-0.61078515177521742</v>
      </c>
      <c r="L102">
        <v>1</v>
      </c>
      <c r="M102">
        <f t="shared" si="20"/>
        <v>0.47272253587729557</v>
      </c>
      <c r="N102">
        <f t="shared" si="24"/>
        <v>7.7048708999999993E-2</v>
      </c>
      <c r="O102">
        <f t="shared" si="22"/>
        <v>5.0852147939999995E-2</v>
      </c>
      <c r="P102">
        <f t="shared" si="23"/>
        <v>1.016175895792186E-2</v>
      </c>
      <c r="V102">
        <v>3.7999999999999701</v>
      </c>
      <c r="W102">
        <f t="shared" si="21"/>
        <v>-0.65228199999999859</v>
      </c>
    </row>
    <row r="103" spans="1:23" x14ac:dyDescent="0.3">
      <c r="A103">
        <v>5.1874989999999999</v>
      </c>
      <c r="B103">
        <v>0.60846999999999996</v>
      </c>
      <c r="C103">
        <f t="shared" si="14"/>
        <v>3.1564375165299996</v>
      </c>
      <c r="D103">
        <v>1.4999999999999999E-2</v>
      </c>
      <c r="E103">
        <v>9.9000000000000008E-3</v>
      </c>
      <c r="F103">
        <f t="shared" si="15"/>
        <v>1037.4998000000001</v>
      </c>
      <c r="G103">
        <f t="shared" si="16"/>
        <v>-0.60846999999999996</v>
      </c>
      <c r="H103">
        <f t="shared" si="17"/>
        <v>-631.28750330599996</v>
      </c>
      <c r="I103">
        <v>1</v>
      </c>
      <c r="J103">
        <f t="shared" si="18"/>
        <v>3.6813780351613368E-2</v>
      </c>
      <c r="K103">
        <f t="shared" si="19"/>
        <v>-0.6132551517752175</v>
      </c>
      <c r="L103">
        <v>1</v>
      </c>
      <c r="M103">
        <f t="shared" si="20"/>
        <v>0.47319196780693329</v>
      </c>
      <c r="N103">
        <f t="shared" si="24"/>
        <v>7.7812485000000001E-2</v>
      </c>
      <c r="O103">
        <f t="shared" si="22"/>
        <v>5.1356240100000006E-2</v>
      </c>
      <c r="P103">
        <f t="shared" si="23"/>
        <v>1.0894458868284204E-2</v>
      </c>
      <c r="V103">
        <v>3.8999999999999599</v>
      </c>
      <c r="W103">
        <f t="shared" si="21"/>
        <v>-0.6570409999999981</v>
      </c>
    </row>
    <row r="104" spans="1:23" x14ac:dyDescent="0.3">
      <c r="A104">
        <v>5.2384169999999992</v>
      </c>
      <c r="B104">
        <v>0.60636999999999996</v>
      </c>
      <c r="C104">
        <f t="shared" si="14"/>
        <v>3.1764189162899994</v>
      </c>
      <c r="D104">
        <v>1.4999999999999999E-2</v>
      </c>
      <c r="E104">
        <v>9.9000000000000008E-3</v>
      </c>
      <c r="F104">
        <f t="shared" si="15"/>
        <v>1047.6833999999999</v>
      </c>
      <c r="G104">
        <f t="shared" si="16"/>
        <v>-0.60636999999999996</v>
      </c>
      <c r="H104">
        <f t="shared" si="17"/>
        <v>-635.28378325799986</v>
      </c>
      <c r="I104">
        <v>1</v>
      </c>
      <c r="J104">
        <f t="shared" si="18"/>
        <v>4.6581441021042405E-2</v>
      </c>
      <c r="K104">
        <f t="shared" si="19"/>
        <v>-0.61535515177521749</v>
      </c>
      <c r="L104">
        <v>1</v>
      </c>
      <c r="M104">
        <f t="shared" si="20"/>
        <v>0.47365681077819144</v>
      </c>
      <c r="N104">
        <f t="shared" si="24"/>
        <v>7.8576254999999984E-2</v>
      </c>
      <c r="O104">
        <f t="shared" si="22"/>
        <v>5.1860328299999994E-2</v>
      </c>
      <c r="P104">
        <f t="shared" si="23"/>
        <v>1.1261757697026073E-2</v>
      </c>
      <c r="V104">
        <v>3.99999999999996</v>
      </c>
      <c r="W104">
        <f t="shared" si="21"/>
        <v>-0.66179999999999817</v>
      </c>
    </row>
    <row r="105" spans="1:23" x14ac:dyDescent="0.3">
      <c r="A105">
        <v>5.2888266999999995</v>
      </c>
      <c r="B105">
        <v>0.60374000000000005</v>
      </c>
      <c r="C105">
        <f t="shared" si="14"/>
        <v>3.1930762318579999</v>
      </c>
      <c r="D105">
        <v>1.4999999999999999E-2</v>
      </c>
      <c r="E105">
        <v>9.9000000000000008E-3</v>
      </c>
      <c r="F105">
        <f t="shared" si="15"/>
        <v>1057.7653399999999</v>
      </c>
      <c r="G105">
        <f t="shared" si="16"/>
        <v>-0.60374000000000005</v>
      </c>
      <c r="H105">
        <f t="shared" si="17"/>
        <v>-638.61524637159994</v>
      </c>
      <c r="I105">
        <v>1</v>
      </c>
      <c r="J105">
        <f t="shared" si="18"/>
        <v>5.6158512994562648E-2</v>
      </c>
      <c r="K105">
        <f t="shared" si="19"/>
        <v>-0.6179851517752174</v>
      </c>
      <c r="L105">
        <v>1</v>
      </c>
      <c r="M105">
        <f t="shared" si="20"/>
        <v>0.47411258363341124</v>
      </c>
      <c r="N105">
        <f t="shared" si="24"/>
        <v>7.9332400499999997E-2</v>
      </c>
      <c r="O105">
        <f t="shared" si="22"/>
        <v>5.2359384330000001E-2</v>
      </c>
      <c r="P105">
        <f t="shared" si="23"/>
        <v>1.2180783311806158E-2</v>
      </c>
      <c r="V105">
        <v>4.0999999999999996</v>
      </c>
      <c r="W105">
        <f t="shared" si="21"/>
        <v>-0.66655900000000001</v>
      </c>
    </row>
    <row r="106" spans="1:23" x14ac:dyDescent="0.3">
      <c r="A106">
        <v>5.3468730000000004</v>
      </c>
      <c r="B106">
        <v>0.60165999999999997</v>
      </c>
      <c r="C106">
        <f t="shared" si="14"/>
        <v>3.2169996091800002</v>
      </c>
      <c r="D106">
        <v>1.4999999999999999E-2</v>
      </c>
      <c r="E106">
        <v>9.9000000000000008E-3</v>
      </c>
      <c r="F106">
        <f t="shared" si="15"/>
        <v>1069.3746000000001</v>
      </c>
      <c r="G106">
        <f t="shared" si="16"/>
        <v>-0.60165999999999997</v>
      </c>
      <c r="H106">
        <f t="shared" si="17"/>
        <v>-643.39992183599998</v>
      </c>
      <c r="I106">
        <v>1</v>
      </c>
      <c r="J106">
        <f t="shared" si="18"/>
        <v>6.7073991613988068E-2</v>
      </c>
      <c r="K106">
        <f t="shared" si="19"/>
        <v>-0.62006515177521748</v>
      </c>
      <c r="L106">
        <v>1</v>
      </c>
      <c r="M106">
        <f t="shared" si="20"/>
        <v>0.47463205126090974</v>
      </c>
      <c r="N106">
        <f t="shared" si="24"/>
        <v>8.0203095000000002E-2</v>
      </c>
      <c r="O106">
        <f t="shared" si="22"/>
        <v>5.293404270000001E-2</v>
      </c>
      <c r="P106">
        <f t="shared" si="23"/>
        <v>1.2295962814307733E-2</v>
      </c>
      <c r="V106">
        <v>4.2</v>
      </c>
      <c r="W106">
        <f t="shared" si="21"/>
        <v>-0.67131800000000008</v>
      </c>
    </row>
    <row r="107" spans="1:23" x14ac:dyDescent="0.3">
      <c r="A107">
        <v>5.3988100999999995</v>
      </c>
      <c r="B107">
        <v>0.59907999999999995</v>
      </c>
      <c r="C107">
        <f t="shared" si="14"/>
        <v>3.2343191547079995</v>
      </c>
      <c r="D107">
        <v>1.4999999999999999E-2</v>
      </c>
      <c r="E107">
        <v>9.9000000000000008E-3</v>
      </c>
      <c r="F107">
        <f t="shared" si="15"/>
        <v>1079.7620199999999</v>
      </c>
      <c r="G107">
        <f t="shared" si="16"/>
        <v>-0.59907999999999995</v>
      </c>
      <c r="H107">
        <f t="shared" si="17"/>
        <v>-646.86383094159987</v>
      </c>
      <c r="I107">
        <v>1</v>
      </c>
      <c r="J107">
        <f t="shared" si="18"/>
        <v>7.6740665003240172E-2</v>
      </c>
      <c r="K107">
        <f t="shared" si="19"/>
        <v>-0.62264515177521751</v>
      </c>
      <c r="L107">
        <v>1</v>
      </c>
      <c r="M107">
        <f t="shared" si="20"/>
        <v>0.47509208824750421</v>
      </c>
      <c r="N107">
        <f t="shared" si="24"/>
        <v>8.0982151499999988E-2</v>
      </c>
      <c r="O107">
        <f t="shared" si="22"/>
        <v>5.3448219989999997E-2</v>
      </c>
      <c r="P107">
        <f t="shared" si="23"/>
        <v>1.3122692037713317E-2</v>
      </c>
      <c r="V107">
        <v>4.3</v>
      </c>
      <c r="W107">
        <f t="shared" si="21"/>
        <v>-0.67607700000000004</v>
      </c>
    </row>
    <row r="108" spans="1:23" x14ac:dyDescent="0.3">
      <c r="A108">
        <v>5.4502378</v>
      </c>
      <c r="B108">
        <v>0.59663999999999995</v>
      </c>
      <c r="C108">
        <f t="shared" si="14"/>
        <v>3.2518298809919997</v>
      </c>
      <c r="D108">
        <v>1.4999999999999999E-2</v>
      </c>
      <c r="E108">
        <v>9.9000000000000008E-3</v>
      </c>
      <c r="F108">
        <f t="shared" si="15"/>
        <v>1090.04756</v>
      </c>
      <c r="G108">
        <f t="shared" si="16"/>
        <v>-0.59663999999999995</v>
      </c>
      <c r="H108">
        <f t="shared" si="17"/>
        <v>-650.36597619839995</v>
      </c>
      <c r="I108">
        <v>1</v>
      </c>
      <c r="J108">
        <f t="shared" si="18"/>
        <v>8.6221328316682333E-2</v>
      </c>
      <c r="K108">
        <f t="shared" si="19"/>
        <v>-0.62508515177521751</v>
      </c>
      <c r="L108">
        <v>1</v>
      </c>
      <c r="M108">
        <f t="shared" si="20"/>
        <v>0.47554327301459093</v>
      </c>
      <c r="N108">
        <f t="shared" si="24"/>
        <v>8.1753566999999999E-2</v>
      </c>
      <c r="O108">
        <f t="shared" si="22"/>
        <v>5.3957354220000003E-2</v>
      </c>
      <c r="P108">
        <f t="shared" si="23"/>
        <v>1.3830957540626576E-2</v>
      </c>
      <c r="V108">
        <v>4.4000000000000004</v>
      </c>
      <c r="W108">
        <f t="shared" si="21"/>
        <v>-0.680836</v>
      </c>
    </row>
    <row r="109" spans="1:23" x14ac:dyDescent="0.3">
      <c r="A109">
        <v>5.501665</v>
      </c>
      <c r="B109">
        <v>0.59440000000000004</v>
      </c>
      <c r="C109">
        <f t="shared" si="14"/>
        <v>3.2701896760000002</v>
      </c>
      <c r="D109">
        <v>1.4999999999999999E-2</v>
      </c>
      <c r="E109">
        <v>9.9000000000000008E-3</v>
      </c>
      <c r="F109">
        <f t="shared" si="15"/>
        <v>1100.3330000000001</v>
      </c>
      <c r="G109">
        <f t="shared" si="16"/>
        <v>-0.59440000000000004</v>
      </c>
      <c r="H109">
        <f t="shared" si="17"/>
        <v>-654.03793519999999</v>
      </c>
      <c r="I109">
        <v>1</v>
      </c>
      <c r="J109">
        <f t="shared" si="18"/>
        <v>9.5612861264396901E-2</v>
      </c>
      <c r="K109">
        <f t="shared" si="19"/>
        <v>-0.62732515177521742</v>
      </c>
      <c r="L109">
        <v>1</v>
      </c>
      <c r="M109">
        <f t="shared" si="20"/>
        <v>0.47599021606757269</v>
      </c>
      <c r="N109">
        <f t="shared" si="24"/>
        <v>8.2524975E-2</v>
      </c>
      <c r="O109">
        <f t="shared" si="22"/>
        <v>5.4466483500000003E-2</v>
      </c>
      <c r="P109">
        <f t="shared" si="23"/>
        <v>1.4343477207644721E-2</v>
      </c>
      <c r="V109">
        <v>4.5</v>
      </c>
      <c r="W109">
        <f t="shared" si="21"/>
        <v>-0.68559500000000007</v>
      </c>
    </row>
    <row r="110" spans="1:23" x14ac:dyDescent="0.3">
      <c r="A110">
        <v>5.5576748</v>
      </c>
      <c r="B110">
        <v>0.59214999999999995</v>
      </c>
      <c r="C110">
        <f t="shared" si="14"/>
        <v>3.2909771328199997</v>
      </c>
      <c r="D110">
        <v>1.4999999999999999E-2</v>
      </c>
      <c r="E110">
        <v>9.9000000000000008E-3</v>
      </c>
      <c r="F110">
        <f t="shared" si="15"/>
        <v>1111.53496</v>
      </c>
      <c r="G110">
        <f t="shared" si="16"/>
        <v>-0.59214999999999995</v>
      </c>
      <c r="H110">
        <f t="shared" si="17"/>
        <v>-658.19542656399994</v>
      </c>
      <c r="I110">
        <v>1</v>
      </c>
      <c r="J110">
        <f t="shared" si="18"/>
        <v>0.1057419069189322</v>
      </c>
      <c r="K110">
        <f t="shared" si="19"/>
        <v>-0.6295751517752175</v>
      </c>
      <c r="L110">
        <v>1</v>
      </c>
      <c r="M110">
        <f t="shared" si="20"/>
        <v>0.47647225735027199</v>
      </c>
      <c r="N110">
        <f t="shared" si="24"/>
        <v>8.3365122E-2</v>
      </c>
      <c r="O110">
        <f t="shared" si="22"/>
        <v>5.5020980520000005E-2</v>
      </c>
      <c r="P110">
        <f t="shared" si="23"/>
        <v>1.4716791904945507E-2</v>
      </c>
      <c r="V110">
        <v>4.5999999999999996</v>
      </c>
      <c r="W110">
        <f t="shared" si="21"/>
        <v>-0.69035400000000002</v>
      </c>
    </row>
    <row r="111" spans="1:23" x14ac:dyDescent="0.3">
      <c r="A111">
        <v>5.6106303999999998</v>
      </c>
      <c r="B111">
        <v>0.58952000000000004</v>
      </c>
      <c r="C111">
        <f t="shared" si="14"/>
        <v>3.3075788334080003</v>
      </c>
      <c r="D111">
        <v>1.4999999999999999E-2</v>
      </c>
      <c r="E111">
        <v>9.9000000000000008E-3</v>
      </c>
      <c r="F111">
        <f t="shared" si="15"/>
        <v>1122.12608</v>
      </c>
      <c r="G111">
        <f t="shared" si="16"/>
        <v>-0.58952000000000004</v>
      </c>
      <c r="H111">
        <f t="shared" si="17"/>
        <v>-661.5157666816001</v>
      </c>
      <c r="I111">
        <v>1</v>
      </c>
      <c r="J111">
        <f t="shared" si="18"/>
        <v>0.11522517155387127</v>
      </c>
      <c r="K111">
        <f t="shared" si="19"/>
        <v>-0.63220515177521741</v>
      </c>
      <c r="L111">
        <v>1</v>
      </c>
      <c r="M111">
        <f t="shared" si="20"/>
        <v>0.47692356591424878</v>
      </c>
      <c r="N111">
        <f t="shared" si="24"/>
        <v>8.4159455999999994E-2</v>
      </c>
      <c r="O111">
        <f t="shared" si="22"/>
        <v>5.5545240960000006E-2</v>
      </c>
      <c r="P111">
        <f t="shared" si="23"/>
        <v>1.557688890096863E-2</v>
      </c>
      <c r="V111">
        <v>4.7</v>
      </c>
      <c r="W111">
        <f t="shared" si="21"/>
        <v>-0.69511300000000009</v>
      </c>
    </row>
    <row r="112" spans="1:23" x14ac:dyDescent="0.3">
      <c r="A112">
        <v>5.6615488000000003</v>
      </c>
      <c r="B112">
        <v>0.58726</v>
      </c>
      <c r="C112">
        <f t="shared" si="14"/>
        <v>3.324801148288</v>
      </c>
      <c r="D112">
        <v>1.4999999999999999E-2</v>
      </c>
      <c r="E112">
        <v>9.9000000000000008E-3</v>
      </c>
      <c r="F112">
        <f t="shared" si="15"/>
        <v>1132.3097600000001</v>
      </c>
      <c r="G112">
        <f t="shared" si="16"/>
        <v>-0.58726</v>
      </c>
      <c r="H112">
        <f t="shared" si="17"/>
        <v>-664.96022965760005</v>
      </c>
      <c r="I112">
        <v>1</v>
      </c>
      <c r="J112">
        <f t="shared" si="18"/>
        <v>0.12425958192448272</v>
      </c>
      <c r="K112">
        <f t="shared" si="19"/>
        <v>-0.63446515177521745</v>
      </c>
      <c r="L112">
        <v>1</v>
      </c>
      <c r="M112">
        <f t="shared" si="20"/>
        <v>0.47735351350378619</v>
      </c>
      <c r="N112">
        <f t="shared" si="24"/>
        <v>8.4923232000000001E-2</v>
      </c>
      <c r="O112">
        <f t="shared" si="22"/>
        <v>5.604933312000001E-2</v>
      </c>
      <c r="P112">
        <f t="shared" si="23"/>
        <v>1.6139073151431253E-2</v>
      </c>
      <c r="V112">
        <v>4.8</v>
      </c>
      <c r="W112">
        <f t="shared" si="21"/>
        <v>-0.69987200000000005</v>
      </c>
    </row>
    <row r="113" spans="1:23" x14ac:dyDescent="0.3">
      <c r="A113">
        <v>5.7150126999999999</v>
      </c>
      <c r="B113">
        <v>0.58491000000000004</v>
      </c>
      <c r="C113">
        <f t="shared" si="14"/>
        <v>3.3427680783570004</v>
      </c>
      <c r="D113">
        <v>1.4999999999999999E-2</v>
      </c>
      <c r="E113">
        <v>9.9000000000000008E-3</v>
      </c>
      <c r="F113">
        <f t="shared" si="15"/>
        <v>1143.00254</v>
      </c>
      <c r="G113">
        <f t="shared" si="16"/>
        <v>-0.58491000000000004</v>
      </c>
      <c r="H113">
        <f t="shared" si="17"/>
        <v>-668.55361567140005</v>
      </c>
      <c r="I113">
        <v>1</v>
      </c>
      <c r="J113">
        <f t="shared" si="18"/>
        <v>0.1336586070324266</v>
      </c>
      <c r="K113">
        <f t="shared" si="19"/>
        <v>-0.63681515177521741</v>
      </c>
      <c r="L113">
        <v>1</v>
      </c>
      <c r="M113">
        <f t="shared" si="20"/>
        <v>0.47780081310867323</v>
      </c>
      <c r="N113">
        <f t="shared" si="24"/>
        <v>8.5725190499999993E-2</v>
      </c>
      <c r="O113">
        <f t="shared" si="22"/>
        <v>5.6578625730000005E-2</v>
      </c>
      <c r="P113">
        <f t="shared" si="23"/>
        <v>1.6710522436544188E-2</v>
      </c>
      <c r="V113">
        <v>4.9000000000000004</v>
      </c>
      <c r="W113">
        <f t="shared" si="21"/>
        <v>-0.70463100000000001</v>
      </c>
    </row>
    <row r="114" spans="1:23" x14ac:dyDescent="0.3">
      <c r="A114">
        <v>5.7654224000000003</v>
      </c>
      <c r="B114">
        <v>0.58247000000000004</v>
      </c>
      <c r="C114">
        <f t="shared" si="14"/>
        <v>3.3581855853280005</v>
      </c>
      <c r="D114">
        <v>1.4999999999999999E-2</v>
      </c>
      <c r="E114">
        <v>9.9000000000000008E-3</v>
      </c>
      <c r="F114">
        <f t="shared" si="15"/>
        <v>1153.08448</v>
      </c>
      <c r="G114">
        <f t="shared" si="16"/>
        <v>-0.58247000000000004</v>
      </c>
      <c r="H114">
        <f t="shared" si="17"/>
        <v>-671.63711706560014</v>
      </c>
      <c r="I114">
        <v>1</v>
      </c>
      <c r="J114">
        <f t="shared" si="18"/>
        <v>0.14244050833396246</v>
      </c>
      <c r="K114">
        <f t="shared" si="19"/>
        <v>-0.63925515177521741</v>
      </c>
      <c r="L114">
        <v>1</v>
      </c>
      <c r="M114">
        <f t="shared" si="20"/>
        <v>0.47821874379161328</v>
      </c>
      <c r="N114">
        <f t="shared" si="24"/>
        <v>8.6481336000000006E-2</v>
      </c>
      <c r="O114">
        <f t="shared" si="22"/>
        <v>5.7077681760000006E-2</v>
      </c>
      <c r="P114">
        <f t="shared" si="23"/>
        <v>1.7477390223604124E-2</v>
      </c>
      <c r="V114">
        <v>5</v>
      </c>
      <c r="W114">
        <f t="shared" si="21"/>
        <v>-0.70938999999999997</v>
      </c>
    </row>
    <row r="115" spans="1:23" x14ac:dyDescent="0.3">
      <c r="A115">
        <v>5.8214320999999991</v>
      </c>
      <c r="B115">
        <v>0.58009999999999995</v>
      </c>
      <c r="C115">
        <f t="shared" si="14"/>
        <v>3.3770127612099992</v>
      </c>
      <c r="D115">
        <v>1.4999999999999999E-2</v>
      </c>
      <c r="E115">
        <v>9.9000000000000008E-3</v>
      </c>
      <c r="F115">
        <f t="shared" si="15"/>
        <v>1164.2864199999999</v>
      </c>
      <c r="G115">
        <f t="shared" si="16"/>
        <v>-0.58009999999999995</v>
      </c>
      <c r="H115">
        <f t="shared" si="17"/>
        <v>-675.40255224199984</v>
      </c>
      <c r="I115">
        <v>1</v>
      </c>
      <c r="J115">
        <f t="shared" si="18"/>
        <v>0.1521083843322435</v>
      </c>
      <c r="K115">
        <f t="shared" si="19"/>
        <v>-0.64162515177521751</v>
      </c>
      <c r="L115">
        <v>1</v>
      </c>
      <c r="M115">
        <f t="shared" si="20"/>
        <v>0.47867883801037148</v>
      </c>
      <c r="N115">
        <f t="shared" si="24"/>
        <v>8.7321481499999978E-2</v>
      </c>
      <c r="O115">
        <f t="shared" si="22"/>
        <v>5.7632177789999996E-2</v>
      </c>
      <c r="P115">
        <f t="shared" si="23"/>
        <v>1.7992654474846055E-2</v>
      </c>
      <c r="V115">
        <v>5.0999999999999996</v>
      </c>
      <c r="W115">
        <f t="shared" si="21"/>
        <v>-0.71414900000000003</v>
      </c>
    </row>
    <row r="116" spans="1:23" x14ac:dyDescent="0.3">
      <c r="A116">
        <v>5.8738783999999997</v>
      </c>
      <c r="B116">
        <v>0.57754000000000005</v>
      </c>
      <c r="C116">
        <f t="shared" si="14"/>
        <v>3.3923997311360004</v>
      </c>
      <c r="D116">
        <v>1.4999999999999999E-2</v>
      </c>
      <c r="E116">
        <v>9.9000000000000008E-3</v>
      </c>
      <c r="F116">
        <f t="shared" si="15"/>
        <v>1174.77568</v>
      </c>
      <c r="G116">
        <f t="shared" si="16"/>
        <v>-0.57754000000000005</v>
      </c>
      <c r="H116">
        <f t="shared" si="17"/>
        <v>-678.47994622720012</v>
      </c>
      <c r="I116">
        <v>1</v>
      </c>
      <c r="J116">
        <f t="shared" si="18"/>
        <v>0.16107721873206879</v>
      </c>
      <c r="K116">
        <f t="shared" si="19"/>
        <v>-0.6441851517752174</v>
      </c>
      <c r="L116">
        <v>1</v>
      </c>
      <c r="M116">
        <f t="shared" si="20"/>
        <v>0.47910566483945916</v>
      </c>
      <c r="N116">
        <f t="shared" si="24"/>
        <v>8.8108175999999996E-2</v>
      </c>
      <c r="O116">
        <f t="shared" si="22"/>
        <v>5.815139616E-2</v>
      </c>
      <c r="P116">
        <f t="shared" si="23"/>
        <v>1.8819914775758249E-2</v>
      </c>
      <c r="V116">
        <v>5.2</v>
      </c>
      <c r="W116">
        <f t="shared" si="21"/>
        <v>-0.7189080000000001</v>
      </c>
    </row>
    <row r="117" spans="1:23" x14ac:dyDescent="0.3">
      <c r="A117">
        <v>5.9278516000000003</v>
      </c>
      <c r="B117">
        <v>0.57511999999999996</v>
      </c>
      <c r="C117">
        <f t="shared" si="14"/>
        <v>3.4092260121920002</v>
      </c>
      <c r="D117">
        <v>1.4999999999999999E-2</v>
      </c>
      <c r="E117">
        <v>9.9000000000000008E-3</v>
      </c>
      <c r="F117">
        <f t="shared" si="15"/>
        <v>1185.57032</v>
      </c>
      <c r="G117">
        <f t="shared" si="16"/>
        <v>-0.57511999999999996</v>
      </c>
      <c r="H117">
        <f t="shared" si="17"/>
        <v>-681.84520243840007</v>
      </c>
      <c r="I117">
        <v>1</v>
      </c>
      <c r="J117">
        <f t="shared" si="18"/>
        <v>0.17022394150814457</v>
      </c>
      <c r="K117">
        <f t="shared" si="19"/>
        <v>-0.64660515177521749</v>
      </c>
      <c r="L117">
        <v>1</v>
      </c>
      <c r="M117">
        <f t="shared" si="20"/>
        <v>0.47954095737637265</v>
      </c>
      <c r="N117">
        <f t="shared" si="24"/>
        <v>8.8917774000000005E-2</v>
      </c>
      <c r="O117">
        <f t="shared" si="22"/>
        <v>5.8685730840000006E-2</v>
      </c>
      <c r="P117">
        <f t="shared" si="23"/>
        <v>1.9460689558844835E-2</v>
      </c>
      <c r="V117">
        <v>5.3</v>
      </c>
      <c r="W117">
        <f t="shared" si="21"/>
        <v>-0.72366700000000006</v>
      </c>
    </row>
    <row r="118" spans="1:23" x14ac:dyDescent="0.3">
      <c r="A118">
        <v>5.9782602999999996</v>
      </c>
      <c r="B118">
        <v>0.57279000000000002</v>
      </c>
      <c r="C118">
        <f t="shared" si="14"/>
        <v>3.4242877172370001</v>
      </c>
      <c r="D118">
        <v>1.4999999999999999E-2</v>
      </c>
      <c r="E118">
        <v>9.9000000000000008E-3</v>
      </c>
      <c r="F118">
        <f t="shared" si="15"/>
        <v>1195.6520599999999</v>
      </c>
      <c r="G118">
        <f t="shared" si="16"/>
        <v>-0.57279000000000002</v>
      </c>
      <c r="H118">
        <f t="shared" si="17"/>
        <v>-684.85754344740008</v>
      </c>
      <c r="I118">
        <v>1</v>
      </c>
      <c r="J118">
        <f t="shared" si="18"/>
        <v>0.17869169347064393</v>
      </c>
      <c r="K118">
        <f t="shared" si="19"/>
        <v>-0.64893515177521743</v>
      </c>
      <c r="L118">
        <v>1</v>
      </c>
      <c r="M118">
        <f t="shared" si="20"/>
        <v>0.47994393769226795</v>
      </c>
      <c r="N118">
        <f t="shared" si="24"/>
        <v>8.9673904499999985E-2</v>
      </c>
      <c r="O118">
        <f t="shared" si="22"/>
        <v>5.9184776969999998E-2</v>
      </c>
      <c r="P118">
        <f t="shared" si="23"/>
        <v>2.0132532612949498E-2</v>
      </c>
      <c r="V118">
        <v>5.4</v>
      </c>
      <c r="W118">
        <f t="shared" si="21"/>
        <v>-0.72842600000000002</v>
      </c>
    </row>
    <row r="119" spans="1:23" x14ac:dyDescent="0.3">
      <c r="A119">
        <v>6.0301973000000002</v>
      </c>
      <c r="B119">
        <v>0.57011999999999996</v>
      </c>
      <c r="C119">
        <f t="shared" si="14"/>
        <v>3.4379360846760001</v>
      </c>
      <c r="D119">
        <v>1.4999999999999999E-2</v>
      </c>
      <c r="E119">
        <v>9.9000000000000008E-3</v>
      </c>
      <c r="F119">
        <f t="shared" si="15"/>
        <v>1206.03946</v>
      </c>
      <c r="G119">
        <f t="shared" si="16"/>
        <v>-0.57011999999999996</v>
      </c>
      <c r="H119">
        <f t="shared" si="17"/>
        <v>-687.58721693519999</v>
      </c>
      <c r="I119">
        <v>1</v>
      </c>
      <c r="J119">
        <f t="shared" si="18"/>
        <v>0.18734181750437484</v>
      </c>
      <c r="K119">
        <f t="shared" si="19"/>
        <v>-0.65160515177521749</v>
      </c>
      <c r="L119">
        <v>1</v>
      </c>
      <c r="M119">
        <f t="shared" si="20"/>
        <v>0.48035559709503323</v>
      </c>
      <c r="N119">
        <f t="shared" si="24"/>
        <v>9.0452959499999999E-2</v>
      </c>
      <c r="O119">
        <f t="shared" si="22"/>
        <v>5.9698953270000008E-2</v>
      </c>
      <c r="P119">
        <f t="shared" si="23"/>
        <v>2.1097641910184262E-2</v>
      </c>
      <c r="V119">
        <v>5.5</v>
      </c>
      <c r="W119">
        <f t="shared" si="21"/>
        <v>-0.73318499999999998</v>
      </c>
    </row>
    <row r="120" spans="1:23" x14ac:dyDescent="0.3">
      <c r="A120">
        <v>6.0811157000000007</v>
      </c>
      <c r="B120">
        <v>0.56806999999999996</v>
      </c>
      <c r="C120">
        <f t="shared" si="14"/>
        <v>3.454499395699</v>
      </c>
      <c r="D120">
        <v>1.4999999999999999E-2</v>
      </c>
      <c r="E120">
        <v>9.9000000000000008E-3</v>
      </c>
      <c r="F120">
        <f t="shared" si="15"/>
        <v>1216.2231400000001</v>
      </c>
      <c r="G120">
        <f t="shared" si="16"/>
        <v>-0.56806999999999996</v>
      </c>
      <c r="H120">
        <f t="shared" si="17"/>
        <v>-690.89987913979996</v>
      </c>
      <c r="I120">
        <v>1</v>
      </c>
      <c r="J120">
        <f t="shared" si="18"/>
        <v>0.19575026999877984</v>
      </c>
      <c r="K120">
        <f t="shared" si="19"/>
        <v>-0.65365515177521749</v>
      </c>
      <c r="L120">
        <v>1</v>
      </c>
      <c r="M120">
        <f t="shared" si="20"/>
        <v>0.48075575534924198</v>
      </c>
      <c r="N120">
        <f t="shared" si="24"/>
        <v>9.1216735500000007E-2</v>
      </c>
      <c r="O120">
        <f t="shared" si="22"/>
        <v>6.0203045430000011E-2</v>
      </c>
      <c r="P120">
        <f t="shared" si="23"/>
        <v>2.1479615495975497E-2</v>
      </c>
      <c r="V120">
        <v>5.6</v>
      </c>
      <c r="W120">
        <f t="shared" si="21"/>
        <v>-0.73794399999999993</v>
      </c>
    </row>
    <row r="121" spans="1:23" x14ac:dyDescent="0.3">
      <c r="A121">
        <v>6.1320336999999991</v>
      </c>
      <c r="B121">
        <v>0.56560999999999995</v>
      </c>
      <c r="C121">
        <f t="shared" si="14"/>
        <v>3.4683395810569992</v>
      </c>
      <c r="D121">
        <v>1.4999999999999999E-2</v>
      </c>
      <c r="E121">
        <v>9.9000000000000008E-3</v>
      </c>
      <c r="F121">
        <f t="shared" si="15"/>
        <v>1226.4067399999999</v>
      </c>
      <c r="G121">
        <f t="shared" si="16"/>
        <v>-0.56560999999999995</v>
      </c>
      <c r="H121">
        <f t="shared" si="17"/>
        <v>-693.66791621139987</v>
      </c>
      <c r="I121">
        <v>1</v>
      </c>
      <c r="J121">
        <f t="shared" si="18"/>
        <v>0.20408854432031337</v>
      </c>
      <c r="K121">
        <f t="shared" si="19"/>
        <v>-0.65611515177521751</v>
      </c>
      <c r="L121">
        <v>1</v>
      </c>
      <c r="M121">
        <f t="shared" si="20"/>
        <v>0.48115257382420373</v>
      </c>
      <c r="N121">
        <f t="shared" si="24"/>
        <v>9.198050549999999E-2</v>
      </c>
      <c r="O121">
        <f t="shared" si="22"/>
        <v>6.0707133629999993E-2</v>
      </c>
      <c r="P121">
        <f t="shared" si="23"/>
        <v>2.2274938821013793E-2</v>
      </c>
      <c r="V121">
        <v>5.7</v>
      </c>
      <c r="W121">
        <f t="shared" si="21"/>
        <v>-0.74270300000000011</v>
      </c>
    </row>
    <row r="122" spans="1:23" x14ac:dyDescent="0.3">
      <c r="A122">
        <v>6.1824433999999995</v>
      </c>
      <c r="B122">
        <v>0.56333999999999995</v>
      </c>
      <c r="C122">
        <f t="shared" si="14"/>
        <v>3.4828176649559994</v>
      </c>
      <c r="D122">
        <v>1.4999999999999999E-2</v>
      </c>
      <c r="E122">
        <v>9.9000000000000008E-3</v>
      </c>
      <c r="F122">
        <f t="shared" si="15"/>
        <v>1236.4886799999999</v>
      </c>
      <c r="G122">
        <f t="shared" si="16"/>
        <v>-0.56333999999999995</v>
      </c>
      <c r="H122">
        <f t="shared" si="17"/>
        <v>-696.56353299119985</v>
      </c>
      <c r="I122">
        <v>1</v>
      </c>
      <c r="J122">
        <f t="shared" si="18"/>
        <v>0.21227565306480331</v>
      </c>
      <c r="K122">
        <f t="shared" si="19"/>
        <v>-0.6583851517752175</v>
      </c>
      <c r="L122">
        <v>1</v>
      </c>
      <c r="M122">
        <f t="shared" si="20"/>
        <v>0.48154219832935402</v>
      </c>
      <c r="N122">
        <f t="shared" si="24"/>
        <v>9.2736650999999989E-2</v>
      </c>
      <c r="O122">
        <f t="shared" si="22"/>
        <v>6.120618966E-2</v>
      </c>
      <c r="P122">
        <f t="shared" si="23"/>
        <v>2.2900112785863493E-2</v>
      </c>
      <c r="V122">
        <v>5.8</v>
      </c>
      <c r="W122">
        <f t="shared" si="21"/>
        <v>-0.74746200000000007</v>
      </c>
    </row>
    <row r="123" spans="1:23" x14ac:dyDescent="0.3">
      <c r="A123">
        <v>6.2353984000000002</v>
      </c>
      <c r="B123">
        <v>0.56106999999999996</v>
      </c>
      <c r="C123">
        <f t="shared" si="14"/>
        <v>3.4984949802879997</v>
      </c>
      <c r="D123">
        <v>1.4999999999999999E-2</v>
      </c>
      <c r="E123">
        <v>9.9000000000000008E-3</v>
      </c>
      <c r="F123">
        <f t="shared" si="15"/>
        <v>1247.0796800000001</v>
      </c>
      <c r="G123">
        <f t="shared" si="16"/>
        <v>-0.56106999999999996</v>
      </c>
      <c r="H123">
        <f t="shared" si="17"/>
        <v>-699.69899605759997</v>
      </c>
      <c r="I123">
        <v>1</v>
      </c>
      <c r="J123">
        <f t="shared" si="18"/>
        <v>0.22080456201019932</v>
      </c>
      <c r="K123">
        <f t="shared" si="19"/>
        <v>-0.6606551517752175</v>
      </c>
      <c r="L123">
        <v>1</v>
      </c>
      <c r="M123">
        <f t="shared" si="20"/>
        <v>0.4819480891060654</v>
      </c>
      <c r="N123">
        <f t="shared" si="24"/>
        <v>9.3530976000000002E-2</v>
      </c>
      <c r="O123">
        <f t="shared" si="22"/>
        <v>6.1730444160000009E-2</v>
      </c>
      <c r="P123">
        <f t="shared" si="23"/>
        <v>2.3445642509152084E-2</v>
      </c>
      <c r="V123">
        <v>5.9</v>
      </c>
      <c r="W123">
        <f t="shared" si="21"/>
        <v>-0.75222100000000003</v>
      </c>
    </row>
    <row r="124" spans="1:23" x14ac:dyDescent="0.3">
      <c r="A124">
        <v>6.2868251999999991</v>
      </c>
      <c r="B124">
        <v>0.55869999999999997</v>
      </c>
      <c r="C124">
        <f t="shared" si="14"/>
        <v>3.5124492392399995</v>
      </c>
      <c r="D124">
        <v>1.4999999999999999E-2</v>
      </c>
      <c r="E124">
        <v>9.9000000000000008E-3</v>
      </c>
      <c r="F124">
        <f t="shared" si="15"/>
        <v>1257.3650399999999</v>
      </c>
      <c r="G124">
        <f t="shared" si="16"/>
        <v>-0.55869999999999997</v>
      </c>
      <c r="H124">
        <f t="shared" si="17"/>
        <v>-702.48984784799995</v>
      </c>
      <c r="I124">
        <v>1</v>
      </c>
      <c r="J124">
        <f t="shared" si="18"/>
        <v>0.2290182931764525</v>
      </c>
      <c r="K124">
        <f t="shared" si="19"/>
        <v>-0.66302515177521748</v>
      </c>
      <c r="L124">
        <v>1</v>
      </c>
      <c r="M124">
        <f t="shared" si="20"/>
        <v>0.48233898057226743</v>
      </c>
      <c r="N124">
        <f t="shared" si="24"/>
        <v>9.4302377999999978E-2</v>
      </c>
      <c r="O124">
        <f t="shared" si="22"/>
        <v>6.223956948E-2</v>
      </c>
      <c r="P124">
        <f t="shared" si="23"/>
        <v>2.4144223722950074E-2</v>
      </c>
      <c r="V124">
        <v>6</v>
      </c>
      <c r="W124">
        <f t="shared" si="21"/>
        <v>-0.75697999999999999</v>
      </c>
    </row>
    <row r="125" spans="1:23" x14ac:dyDescent="0.3">
      <c r="A125">
        <v>6.3377436999999999</v>
      </c>
      <c r="B125">
        <v>0.55627000000000004</v>
      </c>
      <c r="C125">
        <f t="shared" si="14"/>
        <v>3.5254966879990004</v>
      </c>
      <c r="D125">
        <v>1.4999999999999999E-2</v>
      </c>
      <c r="E125">
        <v>9.9000000000000008E-3</v>
      </c>
      <c r="F125">
        <f t="shared" si="15"/>
        <v>1267.54874</v>
      </c>
      <c r="G125">
        <f t="shared" si="16"/>
        <v>-0.55627000000000004</v>
      </c>
      <c r="H125">
        <f t="shared" si="17"/>
        <v>-705.09933759980004</v>
      </c>
      <c r="I125">
        <v>1</v>
      </c>
      <c r="J125">
        <f t="shared" si="18"/>
        <v>0.23708490939279381</v>
      </c>
      <c r="K125">
        <f t="shared" si="19"/>
        <v>-0.66545515177521741</v>
      </c>
      <c r="L125">
        <v>1</v>
      </c>
      <c r="M125">
        <f t="shared" si="20"/>
        <v>0.48272287083800308</v>
      </c>
      <c r="N125">
        <f t="shared" si="24"/>
        <v>9.5066155499999999E-2</v>
      </c>
      <c r="O125">
        <f t="shared" si="22"/>
        <v>6.2743662630000002E-2</v>
      </c>
      <c r="P125">
        <f t="shared" si="23"/>
        <v>2.4922462807214329E-2</v>
      </c>
      <c r="V125">
        <v>6.1</v>
      </c>
      <c r="W125">
        <f t="shared" si="21"/>
        <v>-0.76173899999999994</v>
      </c>
    </row>
    <row r="126" spans="1:23" x14ac:dyDescent="0.3">
      <c r="A126">
        <v>6.3896801999999999</v>
      </c>
      <c r="B126">
        <v>0.55395000000000005</v>
      </c>
      <c r="C126">
        <f t="shared" si="14"/>
        <v>3.5395633467900005</v>
      </c>
      <c r="D126">
        <v>1.4999999999999999E-2</v>
      </c>
      <c r="E126">
        <v>9.9000000000000008E-3</v>
      </c>
      <c r="F126">
        <f t="shared" si="15"/>
        <v>1277.93604</v>
      </c>
      <c r="G126">
        <f t="shared" si="16"/>
        <v>-0.55395000000000005</v>
      </c>
      <c r="H126">
        <f t="shared" si="17"/>
        <v>-707.91266935800013</v>
      </c>
      <c r="I126">
        <v>1</v>
      </c>
      <c r="J126">
        <f t="shared" si="18"/>
        <v>0.24524630775459591</v>
      </c>
      <c r="K126">
        <f t="shared" si="19"/>
        <v>-0.6677751517752174</v>
      </c>
      <c r="L126">
        <v>1</v>
      </c>
      <c r="M126">
        <f t="shared" si="20"/>
        <v>0.48311127178604124</v>
      </c>
      <c r="N126">
        <f t="shared" si="24"/>
        <v>9.584520299999999E-2</v>
      </c>
      <c r="O126">
        <f t="shared" si="22"/>
        <v>6.3257833980000011E-2</v>
      </c>
      <c r="P126">
        <f t="shared" si="23"/>
        <v>2.556084300917616E-2</v>
      </c>
      <c r="V126">
        <v>6.2</v>
      </c>
      <c r="W126">
        <f t="shared" si="21"/>
        <v>-0.76649800000000001</v>
      </c>
    </row>
    <row r="127" spans="1:23" x14ac:dyDescent="0.3">
      <c r="A127">
        <v>6.4431449999999995</v>
      </c>
      <c r="B127">
        <v>0.55142000000000002</v>
      </c>
      <c r="C127">
        <f t="shared" si="14"/>
        <v>3.5528790158999999</v>
      </c>
      <c r="D127">
        <v>1.4999999999999999E-2</v>
      </c>
      <c r="E127">
        <v>9.9000000000000008E-3</v>
      </c>
      <c r="F127">
        <f t="shared" si="15"/>
        <v>1288.6289999999999</v>
      </c>
      <c r="G127">
        <f t="shared" si="16"/>
        <v>-0.55142000000000002</v>
      </c>
      <c r="H127">
        <f t="shared" si="17"/>
        <v>-710.57580317999998</v>
      </c>
      <c r="I127">
        <v>1</v>
      </c>
      <c r="J127">
        <f t="shared" si="18"/>
        <v>0.25357886251340417</v>
      </c>
      <c r="K127">
        <f t="shared" si="19"/>
        <v>-0.67030515177521743</v>
      </c>
      <c r="L127">
        <v>1</v>
      </c>
      <c r="M127">
        <f t="shared" si="20"/>
        <v>0.48350781806701293</v>
      </c>
      <c r="N127">
        <f t="shared" si="24"/>
        <v>9.6647174999999988E-2</v>
      </c>
      <c r="O127">
        <f t="shared" si="22"/>
        <v>6.3787135499999995E-2</v>
      </c>
      <c r="P127">
        <f t="shared" si="23"/>
        <v>2.6363023208204522E-2</v>
      </c>
      <c r="V127">
        <v>6.3</v>
      </c>
      <c r="W127">
        <f t="shared" si="21"/>
        <v>-0.77125700000000008</v>
      </c>
    </row>
    <row r="128" spans="1:23" x14ac:dyDescent="0.3">
      <c r="A128">
        <v>6.4955907999999996</v>
      </c>
      <c r="B128">
        <v>0.54900000000000004</v>
      </c>
      <c r="C128">
        <f t="shared" si="14"/>
        <v>3.5660793492000002</v>
      </c>
      <c r="D128">
        <v>1.4999999999999999E-2</v>
      </c>
      <c r="E128">
        <v>9.9000000000000008E-3</v>
      </c>
      <c r="F128">
        <f t="shared" si="15"/>
        <v>1299.11816</v>
      </c>
      <c r="G128">
        <f t="shared" si="16"/>
        <v>-0.54900000000000004</v>
      </c>
      <c r="H128">
        <f t="shared" si="17"/>
        <v>-713.2158698400001</v>
      </c>
      <c r="I128">
        <v>1</v>
      </c>
      <c r="J128">
        <f t="shared" si="18"/>
        <v>0.26168569583032109</v>
      </c>
      <c r="K128">
        <f t="shared" si="19"/>
        <v>-0.67272515177521741</v>
      </c>
      <c r="L128">
        <v>1</v>
      </c>
      <c r="M128">
        <f t="shared" si="20"/>
        <v>0.483893622264565</v>
      </c>
      <c r="N128">
        <f t="shared" si="24"/>
        <v>9.7433861999999996E-2</v>
      </c>
      <c r="O128">
        <f t="shared" si="22"/>
        <v>6.4306348920000006E-2</v>
      </c>
      <c r="P128">
        <f t="shared" si="23"/>
        <v>2.7091318590652405E-2</v>
      </c>
      <c r="V128">
        <v>6.4</v>
      </c>
      <c r="W128">
        <f t="shared" si="21"/>
        <v>-0.77601600000000004</v>
      </c>
    </row>
    <row r="129" spans="1:23" x14ac:dyDescent="0.3">
      <c r="A129">
        <v>6.5470180999999998</v>
      </c>
      <c r="B129">
        <v>0.54669000000000001</v>
      </c>
      <c r="C129">
        <f t="shared" si="14"/>
        <v>3.5791893250890001</v>
      </c>
      <c r="D129">
        <v>1.4999999999999999E-2</v>
      </c>
      <c r="E129">
        <v>9.9000000000000008E-3</v>
      </c>
      <c r="F129">
        <f t="shared" si="15"/>
        <v>1309.40362</v>
      </c>
      <c r="G129">
        <f t="shared" si="16"/>
        <v>-0.54669000000000001</v>
      </c>
      <c r="H129">
        <f t="shared" si="17"/>
        <v>-715.83786501780003</v>
      </c>
      <c r="I129">
        <v>1</v>
      </c>
      <c r="J129">
        <f t="shared" si="18"/>
        <v>0.26957178164605156</v>
      </c>
      <c r="K129">
        <f t="shared" si="19"/>
        <v>-0.67503515177521745</v>
      </c>
      <c r="L129">
        <v>1</v>
      </c>
      <c r="M129">
        <f t="shared" si="20"/>
        <v>0.48426892108853564</v>
      </c>
      <c r="N129">
        <f t="shared" si="24"/>
        <v>9.8205271499999996E-2</v>
      </c>
      <c r="O129">
        <f t="shared" si="22"/>
        <v>6.4815479189999997E-2</v>
      </c>
      <c r="P129">
        <f t="shared" si="23"/>
        <v>2.774547999668181E-2</v>
      </c>
      <c r="V129">
        <v>6.5</v>
      </c>
      <c r="W129">
        <f t="shared" si="21"/>
        <v>-0.780775</v>
      </c>
    </row>
    <row r="130" spans="1:23" x14ac:dyDescent="0.3">
      <c r="A130">
        <v>6.6009916999999998</v>
      </c>
      <c r="B130">
        <v>0.54400000000000004</v>
      </c>
      <c r="C130">
        <f t="shared" si="14"/>
        <v>3.5909394848000002</v>
      </c>
      <c r="D130">
        <v>1.4999999999999999E-2</v>
      </c>
      <c r="E130">
        <v>9.9000000000000008E-3</v>
      </c>
      <c r="F130">
        <f t="shared" si="15"/>
        <v>1320.1983399999999</v>
      </c>
      <c r="G130">
        <f t="shared" si="16"/>
        <v>-0.54400000000000004</v>
      </c>
      <c r="H130">
        <f t="shared" si="17"/>
        <v>-718.1878969600001</v>
      </c>
      <c r="I130">
        <v>1</v>
      </c>
      <c r="J130">
        <f t="shared" si="18"/>
        <v>0.27778198288649814</v>
      </c>
      <c r="K130">
        <f t="shared" si="19"/>
        <v>-0.67772515177521742</v>
      </c>
      <c r="L130">
        <v>1</v>
      </c>
      <c r="M130">
        <f t="shared" si="20"/>
        <v>0.48465964456556848</v>
      </c>
      <c r="N130">
        <f t="shared" si="24"/>
        <v>9.9014875499999988E-2</v>
      </c>
      <c r="O130">
        <f t="shared" si="22"/>
        <v>6.5349817830000004E-2</v>
      </c>
      <c r="P130">
        <f t="shared" si="23"/>
        <v>2.8700813879648943E-2</v>
      </c>
      <c r="V130">
        <v>6.6</v>
      </c>
      <c r="W130">
        <f t="shared" si="21"/>
        <v>-0.78553399999999995</v>
      </c>
    </row>
    <row r="131" spans="1:23" x14ac:dyDescent="0.3">
      <c r="A131">
        <v>6.6534374999999999</v>
      </c>
      <c r="B131">
        <v>0.54161000000000004</v>
      </c>
      <c r="C131">
        <f t="shared" si="14"/>
        <v>3.6035682843750001</v>
      </c>
      <c r="D131">
        <v>1.4999999999999999E-2</v>
      </c>
      <c r="E131">
        <v>9.9000000000000008E-3</v>
      </c>
      <c r="F131">
        <f t="shared" si="15"/>
        <v>1330.6875</v>
      </c>
      <c r="G131">
        <f t="shared" si="16"/>
        <v>-0.54161000000000004</v>
      </c>
      <c r="H131">
        <f t="shared" si="17"/>
        <v>-720.71365687499997</v>
      </c>
      <c r="I131">
        <v>1</v>
      </c>
      <c r="J131">
        <f t="shared" si="18"/>
        <v>0.28569572597117432</v>
      </c>
      <c r="K131">
        <f t="shared" si="19"/>
        <v>-0.68011515177521742</v>
      </c>
      <c r="L131">
        <v>1</v>
      </c>
      <c r="M131">
        <f t="shared" si="20"/>
        <v>0.48503625959896823</v>
      </c>
      <c r="N131">
        <f t="shared" si="24"/>
        <v>9.9801562499999996E-2</v>
      </c>
      <c r="O131">
        <f t="shared" si="22"/>
        <v>6.5869031250000001E-2</v>
      </c>
      <c r="P131">
        <f t="shared" si="23"/>
        <v>2.9408298426249188E-2</v>
      </c>
      <c r="V131">
        <v>6.7</v>
      </c>
      <c r="W131">
        <f t="shared" si="21"/>
        <v>-0.79029300000000002</v>
      </c>
    </row>
    <row r="132" spans="1:23" x14ac:dyDescent="0.3">
      <c r="A132">
        <v>6.7058833</v>
      </c>
      <c r="B132">
        <v>0.53922000000000003</v>
      </c>
      <c r="C132">
        <f t="shared" si="14"/>
        <v>3.6159463930260003</v>
      </c>
      <c r="D132">
        <v>1.4999999999999999E-2</v>
      </c>
      <c r="E132">
        <v>9.9000000000000008E-3</v>
      </c>
      <c r="F132">
        <f t="shared" si="15"/>
        <v>1341.1766600000001</v>
      </c>
      <c r="G132">
        <f t="shared" si="16"/>
        <v>-0.53922000000000003</v>
      </c>
      <c r="H132">
        <f t="shared" si="17"/>
        <v>-723.18927860520012</v>
      </c>
      <c r="I132">
        <v>1</v>
      </c>
      <c r="J132">
        <f t="shared" si="18"/>
        <v>0.2935473331322393</v>
      </c>
      <c r="K132">
        <f t="shared" si="19"/>
        <v>-0.68250515177521742</v>
      </c>
      <c r="L132">
        <v>1</v>
      </c>
      <c r="M132">
        <f t="shared" si="20"/>
        <v>0.48540991758376328</v>
      </c>
      <c r="N132">
        <f t="shared" si="24"/>
        <v>0.10058824949999999</v>
      </c>
      <c r="O132">
        <f t="shared" si="22"/>
        <v>6.6388244669999999E-2</v>
      </c>
      <c r="P132">
        <f t="shared" si="23"/>
        <v>3.0118740021454149E-2</v>
      </c>
      <c r="V132">
        <v>6.8</v>
      </c>
      <c r="W132">
        <f t="shared" si="21"/>
        <v>-0.79505200000000009</v>
      </c>
    </row>
    <row r="133" spans="1:23" x14ac:dyDescent="0.3">
      <c r="A133">
        <v>6.7624022999999998</v>
      </c>
      <c r="B133">
        <v>0.53659000000000001</v>
      </c>
      <c r="C133">
        <f t="shared" ref="C133:C196" si="25">A133*B133</f>
        <v>3.628637450157</v>
      </c>
      <c r="D133">
        <v>1.4999999999999999E-2</v>
      </c>
      <c r="E133">
        <v>9.9000000000000008E-3</v>
      </c>
      <c r="F133">
        <f t="shared" ref="F133:F196" si="26">A133*200</f>
        <v>1352.48046</v>
      </c>
      <c r="G133">
        <f t="shared" ref="G133:G144" si="27">-B133</f>
        <v>-0.53659000000000001</v>
      </c>
      <c r="H133">
        <f t="shared" ref="H133:H196" si="28">-C133*200</f>
        <v>-725.72749003139995</v>
      </c>
      <c r="I133">
        <v>1</v>
      </c>
      <c r="J133">
        <f t="shared" ref="J133:J196" si="29">LN(F133/1000)</f>
        <v>0.30194028431435782</v>
      </c>
      <c r="K133">
        <f t="shared" ref="K133:K187" si="30">((-G133)-$N$2)</f>
        <v>-0.68513515177521744</v>
      </c>
      <c r="L133">
        <v>1</v>
      </c>
      <c r="M133">
        <f t="shared" ref="M133:M196" si="31">-1*($S$4+($S$5*J133))</f>
        <v>0.4858093381305203</v>
      </c>
      <c r="N133">
        <f t="shared" si="24"/>
        <v>0.10143603449999999</v>
      </c>
      <c r="O133">
        <f t="shared" si="22"/>
        <v>6.6947782770000006E-2</v>
      </c>
      <c r="P133">
        <f t="shared" si="23"/>
        <v>3.0941996374697148E-2</v>
      </c>
      <c r="V133">
        <v>6.9</v>
      </c>
      <c r="W133">
        <f t="shared" ref="W133:W139" si="32">V133*$S$5+$S$4</f>
        <v>-0.79981100000000005</v>
      </c>
    </row>
    <row r="134" spans="1:23" x14ac:dyDescent="0.3">
      <c r="A134">
        <v>6.8128115000000005</v>
      </c>
      <c r="B134">
        <v>0.53434000000000004</v>
      </c>
      <c r="C134">
        <f t="shared" si="25"/>
        <v>3.6403576969100007</v>
      </c>
      <c r="D134">
        <v>1.4999999999999999E-2</v>
      </c>
      <c r="E134">
        <v>9.9000000000000008E-3</v>
      </c>
      <c r="F134">
        <f t="shared" si="26"/>
        <v>1362.5623000000001</v>
      </c>
      <c r="G134">
        <f t="shared" si="27"/>
        <v>-0.53434000000000004</v>
      </c>
      <c r="H134">
        <f t="shared" si="28"/>
        <v>-728.07153938200008</v>
      </c>
      <c r="I134">
        <v>1</v>
      </c>
      <c r="J134">
        <f t="shared" si="29"/>
        <v>0.30936697128055884</v>
      </c>
      <c r="K134">
        <f t="shared" si="30"/>
        <v>-0.68738515177521742</v>
      </c>
      <c r="L134">
        <v>1</v>
      </c>
      <c r="M134">
        <f t="shared" si="31"/>
        <v>0.48616277416324183</v>
      </c>
      <c r="N134">
        <f t="shared" si="24"/>
        <v>0.1021921725</v>
      </c>
      <c r="O134">
        <f t="shared" ref="O134:O144" si="33">E134*A134</f>
        <v>6.7446833850000013E-2</v>
      </c>
      <c r="P134">
        <f t="shared" ref="P134:P144" si="34">-K134-M134-N134-O134</f>
        <v>3.1583371261975579E-2</v>
      </c>
      <c r="V134">
        <v>7</v>
      </c>
      <c r="W134">
        <f t="shared" si="32"/>
        <v>-0.80457000000000001</v>
      </c>
    </row>
    <row r="135" spans="1:23" x14ac:dyDescent="0.3">
      <c r="A135">
        <v>6.8637300000000003</v>
      </c>
      <c r="B135">
        <v>0.53159000000000001</v>
      </c>
      <c r="C135">
        <f t="shared" si="25"/>
        <v>3.6486902307000002</v>
      </c>
      <c r="D135">
        <v>1.4999999999999999E-2</v>
      </c>
      <c r="E135">
        <v>9.9000000000000008E-3</v>
      </c>
      <c r="F135">
        <f t="shared" si="26"/>
        <v>1372.7460000000001</v>
      </c>
      <c r="G135">
        <f t="shared" si="27"/>
        <v>-0.53159000000000001</v>
      </c>
      <c r="H135">
        <f t="shared" si="28"/>
        <v>-729.73804614000005</v>
      </c>
      <c r="I135">
        <v>1</v>
      </c>
      <c r="J135">
        <f t="shared" si="29"/>
        <v>0.3168131133135576</v>
      </c>
      <c r="K135">
        <f t="shared" si="30"/>
        <v>-0.69013515177521745</v>
      </c>
      <c r="L135">
        <v>1</v>
      </c>
      <c r="M135">
        <f t="shared" si="31"/>
        <v>0.48651713606259223</v>
      </c>
      <c r="N135">
        <f t="shared" ref="N135:N144" si="35">D135*A135</f>
        <v>0.10295595</v>
      </c>
      <c r="O135">
        <f t="shared" si="33"/>
        <v>6.7950927000000008E-2</v>
      </c>
      <c r="P135">
        <f t="shared" si="34"/>
        <v>3.271113871262521E-2</v>
      </c>
      <c r="V135">
        <v>7.1</v>
      </c>
      <c r="W135">
        <f t="shared" si="32"/>
        <v>-0.80932899999999997</v>
      </c>
    </row>
    <row r="136" spans="1:23" x14ac:dyDescent="0.3">
      <c r="A136">
        <v>6.9146479000000003</v>
      </c>
      <c r="B136">
        <v>0.52947</v>
      </c>
      <c r="C136">
        <f t="shared" si="25"/>
        <v>3.6610986236130003</v>
      </c>
      <c r="D136">
        <v>1.4999999999999999E-2</v>
      </c>
      <c r="E136">
        <v>9.9000000000000008E-3</v>
      </c>
      <c r="F136">
        <f t="shared" si="26"/>
        <v>1382.92958</v>
      </c>
      <c r="G136">
        <f t="shared" si="27"/>
        <v>-0.52947</v>
      </c>
      <c r="H136">
        <f t="shared" si="28"/>
        <v>-732.21972472260006</v>
      </c>
      <c r="I136">
        <v>1</v>
      </c>
      <c r="J136">
        <f t="shared" si="29"/>
        <v>0.32420413309267604</v>
      </c>
      <c r="K136">
        <f t="shared" si="30"/>
        <v>-0.69225515177521746</v>
      </c>
      <c r="L136">
        <v>1</v>
      </c>
      <c r="M136">
        <f t="shared" si="31"/>
        <v>0.48686887469388046</v>
      </c>
      <c r="N136">
        <f t="shared" si="35"/>
        <v>0.1037197185</v>
      </c>
      <c r="O136">
        <f t="shared" si="33"/>
        <v>6.8455014210000012E-2</v>
      </c>
      <c r="P136">
        <f t="shared" si="34"/>
        <v>3.3211544371336985E-2</v>
      </c>
      <c r="V136">
        <v>7.2</v>
      </c>
      <c r="W136">
        <f t="shared" si="32"/>
        <v>-0.81408800000000003</v>
      </c>
    </row>
    <row r="137" spans="1:23" x14ac:dyDescent="0.3">
      <c r="A137">
        <v>6.9665844999999997</v>
      </c>
      <c r="B137">
        <v>0.52686999999999995</v>
      </c>
      <c r="C137">
        <f t="shared" si="25"/>
        <v>3.6704843755149996</v>
      </c>
      <c r="D137">
        <v>1.4999999999999999E-2</v>
      </c>
      <c r="E137">
        <v>9.9000000000000008E-3</v>
      </c>
      <c r="F137">
        <f t="shared" si="26"/>
        <v>1393.3169</v>
      </c>
      <c r="G137">
        <f t="shared" si="27"/>
        <v>-0.52686999999999995</v>
      </c>
      <c r="H137">
        <f t="shared" si="28"/>
        <v>-734.09687510299989</v>
      </c>
      <c r="I137">
        <v>1</v>
      </c>
      <c r="J137">
        <f t="shared" si="29"/>
        <v>0.33168716354062927</v>
      </c>
      <c r="K137">
        <f t="shared" si="30"/>
        <v>-0.69485515177521751</v>
      </c>
      <c r="L137">
        <v>1</v>
      </c>
      <c r="M137">
        <f t="shared" si="31"/>
        <v>0.48722499211289855</v>
      </c>
      <c r="N137">
        <f t="shared" si="35"/>
        <v>0.10449876749999999</v>
      </c>
      <c r="O137">
        <f t="shared" si="33"/>
        <v>6.8969186550000006E-2</v>
      </c>
      <c r="P137">
        <f t="shared" si="34"/>
        <v>3.416220561231896E-2</v>
      </c>
      <c r="V137">
        <v>7.3</v>
      </c>
      <c r="W137">
        <f t="shared" si="32"/>
        <v>-0.8188470000000001</v>
      </c>
    </row>
    <row r="138" spans="1:23" x14ac:dyDescent="0.3">
      <c r="A138">
        <v>7.0180127000000008</v>
      </c>
      <c r="B138">
        <v>0.52447999999999995</v>
      </c>
      <c r="C138">
        <f t="shared" si="25"/>
        <v>3.6808073008959998</v>
      </c>
      <c r="D138">
        <v>1.4999999999999999E-2</v>
      </c>
      <c r="E138">
        <v>9.9000000000000008E-3</v>
      </c>
      <c r="F138">
        <f t="shared" si="26"/>
        <v>1403.6025400000001</v>
      </c>
      <c r="G138">
        <f t="shared" si="27"/>
        <v>-0.52447999999999995</v>
      </c>
      <c r="H138">
        <f t="shared" si="28"/>
        <v>-736.16146017919993</v>
      </c>
      <c r="I138">
        <v>1</v>
      </c>
      <c r="J138">
        <f t="shared" si="29"/>
        <v>0.33904217435765954</v>
      </c>
      <c r="K138">
        <f t="shared" si="30"/>
        <v>-0.69724515177521751</v>
      </c>
      <c r="L138">
        <v>1</v>
      </c>
      <c r="M138">
        <f t="shared" si="31"/>
        <v>0.48757501707768103</v>
      </c>
      <c r="N138">
        <f t="shared" si="35"/>
        <v>0.10527019050000001</v>
      </c>
      <c r="O138">
        <f t="shared" si="33"/>
        <v>6.9478325730000012E-2</v>
      </c>
      <c r="P138">
        <f t="shared" si="34"/>
        <v>3.4921618467536455E-2</v>
      </c>
      <c r="V138">
        <v>7.4</v>
      </c>
      <c r="W138">
        <f t="shared" si="32"/>
        <v>-0.82360600000000006</v>
      </c>
    </row>
    <row r="139" spans="1:23" x14ac:dyDescent="0.3">
      <c r="A139">
        <v>7.0694398999999999</v>
      </c>
      <c r="B139">
        <v>0.52185000000000004</v>
      </c>
      <c r="C139">
        <f t="shared" si="25"/>
        <v>3.6891872118150002</v>
      </c>
      <c r="D139">
        <v>1.4999999999999999E-2</v>
      </c>
      <c r="E139">
        <v>9.9000000000000008E-3</v>
      </c>
      <c r="F139">
        <f t="shared" si="26"/>
        <v>1413.88798</v>
      </c>
      <c r="G139">
        <f t="shared" si="27"/>
        <v>-0.52185000000000004</v>
      </c>
      <c r="H139">
        <f t="shared" si="28"/>
        <v>-737.83744236300004</v>
      </c>
      <c r="I139">
        <v>1</v>
      </c>
      <c r="J139">
        <f t="shared" si="29"/>
        <v>0.34634334227108377</v>
      </c>
      <c r="K139">
        <f t="shared" si="30"/>
        <v>-0.69987515177521742</v>
      </c>
      <c r="L139">
        <v>1</v>
      </c>
      <c r="M139">
        <f t="shared" si="31"/>
        <v>0.48792247965868091</v>
      </c>
      <c r="N139">
        <f t="shared" si="35"/>
        <v>0.1060415985</v>
      </c>
      <c r="O139">
        <f t="shared" si="33"/>
        <v>6.9987455010000005E-2</v>
      </c>
      <c r="P139">
        <f t="shared" si="34"/>
        <v>3.5923618606536506E-2</v>
      </c>
      <c r="V139">
        <v>7.5</v>
      </c>
      <c r="W139">
        <f t="shared" si="32"/>
        <v>-0.82836500000000002</v>
      </c>
    </row>
    <row r="140" spans="1:23" x14ac:dyDescent="0.3">
      <c r="A140">
        <v>7.1208676999999998</v>
      </c>
      <c r="B140">
        <v>0.51956000000000002</v>
      </c>
      <c r="C140">
        <f t="shared" si="25"/>
        <v>3.6997180222120001</v>
      </c>
      <c r="D140">
        <v>1.4999999999999999E-2</v>
      </c>
      <c r="E140">
        <v>9.9000000000000008E-3</v>
      </c>
      <c r="F140">
        <f t="shared" si="26"/>
        <v>1424.17354</v>
      </c>
      <c r="G140">
        <f t="shared" si="27"/>
        <v>-0.51956000000000002</v>
      </c>
      <c r="H140">
        <f t="shared" si="28"/>
        <v>-739.94360444239999</v>
      </c>
      <c r="I140">
        <v>1</v>
      </c>
      <c r="J140">
        <f t="shared" si="29"/>
        <v>0.35359167354201337</v>
      </c>
      <c r="K140">
        <f t="shared" si="30"/>
        <v>-0.70216515177521743</v>
      </c>
      <c r="L140">
        <v>1</v>
      </c>
      <c r="M140">
        <f t="shared" si="31"/>
        <v>0.48826742774386445</v>
      </c>
      <c r="N140">
        <f t="shared" si="35"/>
        <v>0.1068130155</v>
      </c>
      <c r="O140">
        <f t="shared" si="33"/>
        <v>7.0496590230000003E-2</v>
      </c>
      <c r="P140">
        <f t="shared" si="34"/>
        <v>3.6588118301352987E-2</v>
      </c>
    </row>
    <row r="141" spans="1:23" x14ac:dyDescent="0.3">
      <c r="A141">
        <v>7.1722949000000007</v>
      </c>
      <c r="B141">
        <v>0.51705999999999996</v>
      </c>
      <c r="C141">
        <f t="shared" si="25"/>
        <v>3.7085068009940003</v>
      </c>
      <c r="D141">
        <v>1.4999999999999999E-2</v>
      </c>
      <c r="E141">
        <v>9.9000000000000008E-3</v>
      </c>
      <c r="F141">
        <f t="shared" si="26"/>
        <v>1434.4589800000001</v>
      </c>
      <c r="G141">
        <f t="shared" si="27"/>
        <v>-0.51705999999999996</v>
      </c>
      <c r="H141">
        <f t="shared" si="28"/>
        <v>-741.7013601988001</v>
      </c>
      <c r="I141">
        <v>1</v>
      </c>
      <c r="J141">
        <f t="shared" si="29"/>
        <v>0.36078776070104518</v>
      </c>
      <c r="K141">
        <f t="shared" si="30"/>
        <v>-0.70466515177521749</v>
      </c>
      <c r="L141">
        <v>1</v>
      </c>
      <c r="M141">
        <f t="shared" si="31"/>
        <v>0.48860988953176276</v>
      </c>
      <c r="N141">
        <f t="shared" si="35"/>
        <v>0.10758442350000001</v>
      </c>
      <c r="O141">
        <f t="shared" si="33"/>
        <v>7.1005719510000009E-2</v>
      </c>
      <c r="P141">
        <f t="shared" si="34"/>
        <v>3.7465119233454705E-2</v>
      </c>
    </row>
    <row r="142" spans="1:23" x14ac:dyDescent="0.3">
      <c r="A142">
        <v>7.2242324</v>
      </c>
      <c r="B142">
        <v>0.51485999999999998</v>
      </c>
      <c r="C142">
        <f t="shared" si="25"/>
        <v>3.7194682934639998</v>
      </c>
      <c r="D142">
        <v>1.4999999999999999E-2</v>
      </c>
      <c r="E142">
        <v>9.9000000000000008E-3</v>
      </c>
      <c r="F142">
        <f t="shared" si="26"/>
        <v>1444.8464799999999</v>
      </c>
      <c r="G142">
        <f t="shared" si="27"/>
        <v>-0.51485999999999998</v>
      </c>
      <c r="H142">
        <f t="shared" si="28"/>
        <v>-743.89365869279993</v>
      </c>
      <c r="I142">
        <v>1</v>
      </c>
      <c r="J142">
        <f t="shared" si="29"/>
        <v>0.36800307370575863</v>
      </c>
      <c r="K142">
        <f t="shared" si="30"/>
        <v>-0.70686515177521747</v>
      </c>
      <c r="L142">
        <v>1</v>
      </c>
      <c r="M142">
        <f t="shared" si="31"/>
        <v>0.48895326627765706</v>
      </c>
      <c r="N142">
        <f t="shared" si="35"/>
        <v>0.10836348599999999</v>
      </c>
      <c r="O142">
        <f t="shared" si="33"/>
        <v>7.1519900760000005E-2</v>
      </c>
      <c r="P142">
        <f t="shared" si="34"/>
        <v>3.8028498737560409E-2</v>
      </c>
    </row>
    <row r="143" spans="1:23" x14ac:dyDescent="0.3">
      <c r="A143">
        <v>7.2776962999999997</v>
      </c>
      <c r="B143">
        <v>0.51204000000000005</v>
      </c>
      <c r="C143">
        <f t="shared" si="25"/>
        <v>3.7264716134520004</v>
      </c>
      <c r="D143">
        <v>1.4999999999999999E-2</v>
      </c>
      <c r="E143">
        <v>9.9000000000000008E-3</v>
      </c>
      <c r="F143">
        <f t="shared" si="26"/>
        <v>1455.53926</v>
      </c>
      <c r="G143">
        <f t="shared" si="27"/>
        <v>-0.51204000000000005</v>
      </c>
      <c r="H143">
        <f t="shared" si="28"/>
        <v>-745.29432269040012</v>
      </c>
      <c r="I143">
        <v>1</v>
      </c>
      <c r="J143">
        <f t="shared" si="29"/>
        <v>0.37537645738837006</v>
      </c>
      <c r="K143">
        <f t="shared" si="30"/>
        <v>-0.7096851517752174</v>
      </c>
      <c r="L143">
        <v>1</v>
      </c>
      <c r="M143">
        <f t="shared" si="31"/>
        <v>0.48930416560711254</v>
      </c>
      <c r="N143">
        <f t="shared" si="35"/>
        <v>0.10916544449999999</v>
      </c>
      <c r="O143">
        <f t="shared" si="33"/>
        <v>7.204919337E-2</v>
      </c>
      <c r="P143">
        <f t="shared" si="34"/>
        <v>3.9166348298104878E-2</v>
      </c>
    </row>
    <row r="144" spans="1:23" x14ac:dyDescent="0.3">
      <c r="A144">
        <v>7.3281050000000008</v>
      </c>
      <c r="B144">
        <v>0.50939999999999996</v>
      </c>
      <c r="C144">
        <f t="shared" si="25"/>
        <v>3.732936687</v>
      </c>
      <c r="D144">
        <v>1.4999999999999999E-2</v>
      </c>
      <c r="E144">
        <v>9.9000000000000008E-3</v>
      </c>
      <c r="F144">
        <f t="shared" si="26"/>
        <v>1465.6210000000001</v>
      </c>
      <c r="G144">
        <f t="shared" si="27"/>
        <v>-0.50939999999999996</v>
      </c>
      <c r="H144">
        <f t="shared" si="28"/>
        <v>-746.58733740000002</v>
      </c>
      <c r="I144">
        <v>1</v>
      </c>
      <c r="J144">
        <f t="shared" si="29"/>
        <v>0.38227904343769548</v>
      </c>
      <c r="K144">
        <f t="shared" si="30"/>
        <v>-0.71232515177521749</v>
      </c>
      <c r="L144">
        <v>1</v>
      </c>
      <c r="M144">
        <f t="shared" si="31"/>
        <v>0.48963265967719993</v>
      </c>
      <c r="N144">
        <f t="shared" si="35"/>
        <v>0.10992157500000001</v>
      </c>
      <c r="O144">
        <f t="shared" si="33"/>
        <v>7.2548239500000014E-2</v>
      </c>
      <c r="P144">
        <f t="shared" si="34"/>
        <v>4.0222677598017537E-2</v>
      </c>
    </row>
    <row r="145" spans="1:16" x14ac:dyDescent="0.3">
      <c r="A145">
        <v>7.3790228999999998</v>
      </c>
      <c r="B145">
        <v>0.50705</v>
      </c>
      <c r="C145">
        <f t="shared" si="25"/>
        <v>3.7415335614449998</v>
      </c>
      <c r="D145">
        <v>1.4999999999999999E-2</v>
      </c>
      <c r="E145">
        <v>9.9000000000000008E-3</v>
      </c>
      <c r="F145">
        <f t="shared" si="26"/>
        <v>1475.80458</v>
      </c>
      <c r="G145">
        <f t="shared" ref="G145:G187" si="36">-B145</f>
        <v>-0.50705</v>
      </c>
      <c r="H145">
        <f t="shared" si="28"/>
        <v>-748.30671228899996</v>
      </c>
      <c r="I145">
        <v>1</v>
      </c>
      <c r="J145">
        <f t="shared" si="29"/>
        <v>0.38920331903885858</v>
      </c>
      <c r="K145">
        <f t="shared" si="30"/>
        <v>-0.71467515177521745</v>
      </c>
      <c r="L145">
        <v>1</v>
      </c>
      <c r="M145">
        <f t="shared" si="31"/>
        <v>0.48996218595305929</v>
      </c>
      <c r="N145">
        <f t="shared" ref="N145:N187" si="37">D145*A145</f>
        <v>0.11068534349999999</v>
      </c>
      <c r="O145">
        <f t="shared" ref="O145:O187" si="38">E145*A145</f>
        <v>7.3052326710000004E-2</v>
      </c>
      <c r="P145">
        <f t="shared" ref="P145:P187" si="39">-K145-M145-N145-O145</f>
        <v>4.0975295612158166E-2</v>
      </c>
    </row>
    <row r="146" spans="1:16" x14ac:dyDescent="0.3">
      <c r="A146">
        <v>7.4314692000000004</v>
      </c>
      <c r="B146">
        <v>0.50463000000000002</v>
      </c>
      <c r="C146">
        <f t="shared" si="25"/>
        <v>3.7501423023960005</v>
      </c>
      <c r="D146">
        <v>1.4999999999999999E-2</v>
      </c>
      <c r="E146">
        <v>9.9000000000000008E-3</v>
      </c>
      <c r="F146">
        <f t="shared" si="26"/>
        <v>1486.29384</v>
      </c>
      <c r="G146">
        <f t="shared" si="36"/>
        <v>-0.50463000000000002</v>
      </c>
      <c r="H146">
        <f t="shared" si="28"/>
        <v>-750.02846047920013</v>
      </c>
      <c r="I146">
        <v>1</v>
      </c>
      <c r="J146">
        <f t="shared" si="29"/>
        <v>0.39628566564417483</v>
      </c>
      <c r="K146">
        <f t="shared" si="30"/>
        <v>-0.71709515177521743</v>
      </c>
      <c r="L146">
        <v>1</v>
      </c>
      <c r="M146">
        <f t="shared" si="31"/>
        <v>0.4902992348280063</v>
      </c>
      <c r="N146">
        <f t="shared" si="37"/>
        <v>0.11147203800000001</v>
      </c>
      <c r="O146">
        <f t="shared" si="38"/>
        <v>7.3571545080000009E-2</v>
      </c>
      <c r="P146">
        <f t="shared" si="39"/>
        <v>4.1752333867211111E-2</v>
      </c>
    </row>
    <row r="147" spans="1:16" x14ac:dyDescent="0.3">
      <c r="A147">
        <v>7.4844242999999997</v>
      </c>
      <c r="B147">
        <v>0.50214999999999999</v>
      </c>
      <c r="C147">
        <f t="shared" si="25"/>
        <v>3.7583036622449999</v>
      </c>
      <c r="D147">
        <v>1.4999999999999999E-2</v>
      </c>
      <c r="E147">
        <v>9.9000000000000008E-3</v>
      </c>
      <c r="F147">
        <f t="shared" si="26"/>
        <v>1496.8848599999999</v>
      </c>
      <c r="G147">
        <f t="shared" si="36"/>
        <v>-0.50214999999999999</v>
      </c>
      <c r="H147">
        <f t="shared" si="28"/>
        <v>-751.66073244899997</v>
      </c>
      <c r="I147">
        <v>1</v>
      </c>
      <c r="J147">
        <f t="shared" si="29"/>
        <v>0.40338618865181586</v>
      </c>
      <c r="K147">
        <f t="shared" si="30"/>
        <v>-0.71957515177521747</v>
      </c>
      <c r="L147">
        <v>1</v>
      </c>
      <c r="M147">
        <f t="shared" si="31"/>
        <v>0.49063714871793995</v>
      </c>
      <c r="N147">
        <f t="shared" si="37"/>
        <v>0.11226636449999999</v>
      </c>
      <c r="O147">
        <f t="shared" si="38"/>
        <v>7.4095800570000009E-2</v>
      </c>
      <c r="P147">
        <f t="shared" si="39"/>
        <v>4.2575837987277515E-2</v>
      </c>
    </row>
    <row r="148" spans="1:16" x14ac:dyDescent="0.3">
      <c r="A148">
        <v>7.5348329999999999</v>
      </c>
      <c r="B148">
        <v>0.49931999999999999</v>
      </c>
      <c r="C148">
        <f t="shared" si="25"/>
        <v>3.7622928135599998</v>
      </c>
      <c r="D148">
        <v>1.4999999999999999E-2</v>
      </c>
      <c r="E148">
        <v>9.9000000000000008E-3</v>
      </c>
      <c r="F148">
        <f t="shared" si="26"/>
        <v>1506.9666</v>
      </c>
      <c r="G148">
        <f t="shared" si="36"/>
        <v>-0.49931999999999999</v>
      </c>
      <c r="H148">
        <f t="shared" si="28"/>
        <v>-752.458562712</v>
      </c>
      <c r="I148">
        <v>1</v>
      </c>
      <c r="J148">
        <f t="shared" si="29"/>
        <v>0.41009875616052854</v>
      </c>
      <c r="K148">
        <f t="shared" si="30"/>
        <v>-0.72240515177521747</v>
      </c>
      <c r="L148">
        <v>1</v>
      </c>
      <c r="M148">
        <f t="shared" si="31"/>
        <v>0.49095659980567957</v>
      </c>
      <c r="N148">
        <f t="shared" si="37"/>
        <v>0.113022495</v>
      </c>
      <c r="O148">
        <f t="shared" si="38"/>
        <v>7.4594846700000009E-2</v>
      </c>
      <c r="P148">
        <f t="shared" si="39"/>
        <v>4.3831210269537887E-2</v>
      </c>
    </row>
    <row r="149" spans="1:16" x14ac:dyDescent="0.3">
      <c r="A149">
        <v>7.5888071000000004</v>
      </c>
      <c r="B149">
        <v>0.49686000000000002</v>
      </c>
      <c r="C149">
        <f t="shared" si="25"/>
        <v>3.7705746957060002</v>
      </c>
      <c r="D149">
        <v>1.4999999999999999E-2</v>
      </c>
      <c r="E149">
        <v>9.9000000000000008E-3</v>
      </c>
      <c r="F149">
        <f t="shared" si="26"/>
        <v>1517.76142</v>
      </c>
      <c r="G149">
        <f t="shared" si="36"/>
        <v>-0.49686000000000002</v>
      </c>
      <c r="H149">
        <f t="shared" si="28"/>
        <v>-754.11493914120001</v>
      </c>
      <c r="I149">
        <v>1</v>
      </c>
      <c r="J149">
        <f t="shared" si="29"/>
        <v>0.41723649929593165</v>
      </c>
      <c r="K149">
        <f t="shared" si="30"/>
        <v>-0.72486515177521738</v>
      </c>
      <c r="L149">
        <v>1</v>
      </c>
      <c r="M149">
        <f t="shared" si="31"/>
        <v>0.49129628500149342</v>
      </c>
      <c r="N149">
        <f t="shared" si="37"/>
        <v>0.1138321065</v>
      </c>
      <c r="O149">
        <f t="shared" si="38"/>
        <v>7.5129190290000009E-2</v>
      </c>
      <c r="P149">
        <f t="shared" si="39"/>
        <v>4.4607569983723949E-2</v>
      </c>
    </row>
    <row r="150" spans="1:16" x14ac:dyDescent="0.3">
      <c r="A150">
        <v>7.6427808000000006</v>
      </c>
      <c r="B150">
        <v>0.49407000000000001</v>
      </c>
      <c r="C150">
        <f t="shared" si="25"/>
        <v>3.7760687098560002</v>
      </c>
      <c r="D150">
        <v>1.4999999999999999E-2</v>
      </c>
      <c r="E150">
        <v>9.9000000000000008E-3</v>
      </c>
      <c r="F150">
        <f t="shared" si="26"/>
        <v>1528.5561600000001</v>
      </c>
      <c r="G150">
        <f t="shared" si="36"/>
        <v>-0.49407000000000001</v>
      </c>
      <c r="H150">
        <f t="shared" si="28"/>
        <v>-755.21374197120008</v>
      </c>
      <c r="I150">
        <v>1</v>
      </c>
      <c r="J150">
        <f t="shared" si="29"/>
        <v>0.42432360357761234</v>
      </c>
      <c r="K150">
        <f t="shared" si="30"/>
        <v>-0.72765515177521745</v>
      </c>
      <c r="L150">
        <v>1</v>
      </c>
      <c r="M150">
        <f t="shared" si="31"/>
        <v>0.49163356029425859</v>
      </c>
      <c r="N150">
        <f t="shared" si="37"/>
        <v>0.11464171200000001</v>
      </c>
      <c r="O150">
        <f t="shared" si="38"/>
        <v>7.5663529920000014E-2</v>
      </c>
      <c r="P150">
        <f t="shared" si="39"/>
        <v>4.5716349560958838E-2</v>
      </c>
    </row>
    <row r="151" spans="1:16" x14ac:dyDescent="0.3">
      <c r="A151">
        <v>7.6942084999999993</v>
      </c>
      <c r="B151">
        <v>0.49151</v>
      </c>
      <c r="C151">
        <f t="shared" si="25"/>
        <v>3.7817804198349996</v>
      </c>
      <c r="D151">
        <v>1.4999999999999999E-2</v>
      </c>
      <c r="E151">
        <v>9.9000000000000008E-3</v>
      </c>
      <c r="F151">
        <f t="shared" si="26"/>
        <v>1538.8416999999999</v>
      </c>
      <c r="G151">
        <f t="shared" si="36"/>
        <v>-0.49151</v>
      </c>
      <c r="H151">
        <f t="shared" si="28"/>
        <v>-756.3560839669999</v>
      </c>
      <c r="I151">
        <v>1</v>
      </c>
      <c r="J151">
        <f t="shared" si="29"/>
        <v>0.43102999056704222</v>
      </c>
      <c r="K151">
        <f t="shared" si="30"/>
        <v>-0.73021515177521745</v>
      </c>
      <c r="L151">
        <v>1</v>
      </c>
      <c r="M151">
        <f t="shared" si="31"/>
        <v>0.49195271725108558</v>
      </c>
      <c r="N151">
        <f t="shared" si="37"/>
        <v>0.11541312749999999</v>
      </c>
      <c r="O151">
        <f t="shared" si="38"/>
        <v>7.617266415E-2</v>
      </c>
      <c r="P151">
        <f t="shared" si="39"/>
        <v>4.6676642874131882E-2</v>
      </c>
    </row>
    <row r="152" spans="1:16" x14ac:dyDescent="0.3">
      <c r="A152">
        <v>7.7446172000000004</v>
      </c>
      <c r="B152">
        <v>0.48925999999999997</v>
      </c>
      <c r="C152">
        <f t="shared" si="25"/>
        <v>3.7891314112719998</v>
      </c>
      <c r="D152">
        <v>1.4999999999999999E-2</v>
      </c>
      <c r="E152">
        <v>9.9000000000000008E-3</v>
      </c>
      <c r="F152">
        <f t="shared" si="26"/>
        <v>1548.92344</v>
      </c>
      <c r="G152">
        <f t="shared" si="36"/>
        <v>-0.48925999999999997</v>
      </c>
      <c r="H152">
        <f t="shared" si="28"/>
        <v>-757.82628225439998</v>
      </c>
      <c r="I152">
        <v>1</v>
      </c>
      <c r="J152">
        <f t="shared" si="29"/>
        <v>0.43756013477748951</v>
      </c>
      <c r="K152">
        <f t="shared" si="30"/>
        <v>-0.73246515177521743</v>
      </c>
      <c r="L152">
        <v>1</v>
      </c>
      <c r="M152">
        <f t="shared" si="31"/>
        <v>0.49226348681406074</v>
      </c>
      <c r="N152">
        <f t="shared" si="37"/>
        <v>0.116169258</v>
      </c>
      <c r="O152">
        <f t="shared" si="38"/>
        <v>7.6671710280000013E-2</v>
      </c>
      <c r="P152">
        <f t="shared" si="39"/>
        <v>4.736069668115668E-2</v>
      </c>
    </row>
    <row r="153" spans="1:16" x14ac:dyDescent="0.3">
      <c r="A153">
        <v>7.7985907999999995</v>
      </c>
      <c r="B153">
        <v>0.48674000000000001</v>
      </c>
      <c r="C153">
        <f t="shared" si="25"/>
        <v>3.7958860859919996</v>
      </c>
      <c r="D153">
        <v>1.4999999999999999E-2</v>
      </c>
      <c r="E153">
        <v>9.9000000000000008E-3</v>
      </c>
      <c r="F153">
        <f t="shared" si="26"/>
        <v>1559.7181599999999</v>
      </c>
      <c r="G153">
        <f t="shared" si="36"/>
        <v>-0.48674000000000001</v>
      </c>
      <c r="H153">
        <f t="shared" si="28"/>
        <v>-759.17721719839994</v>
      </c>
      <c r="I153">
        <v>1</v>
      </c>
      <c r="J153">
        <f t="shared" si="29"/>
        <v>0.44450513827259075</v>
      </c>
      <c r="K153">
        <f t="shared" si="30"/>
        <v>-0.7349851517752175</v>
      </c>
      <c r="L153">
        <v>1</v>
      </c>
      <c r="M153">
        <f t="shared" si="31"/>
        <v>0.49259399953039262</v>
      </c>
      <c r="N153">
        <f t="shared" si="37"/>
        <v>0.11697886199999999</v>
      </c>
      <c r="O153">
        <f t="shared" si="38"/>
        <v>7.7206048920000006E-2</v>
      </c>
      <c r="P153">
        <f t="shared" si="39"/>
        <v>4.8206241324824886E-2</v>
      </c>
    </row>
    <row r="154" spans="1:16" x14ac:dyDescent="0.3">
      <c r="A154">
        <v>7.8489994999999997</v>
      </c>
      <c r="B154">
        <v>0.48403000000000002</v>
      </c>
      <c r="C154">
        <f t="shared" si="25"/>
        <v>3.7991512279849999</v>
      </c>
      <c r="D154">
        <v>1.4999999999999999E-2</v>
      </c>
      <c r="E154">
        <v>9.9000000000000008E-3</v>
      </c>
      <c r="F154">
        <f t="shared" si="26"/>
        <v>1569.7999</v>
      </c>
      <c r="G154">
        <f t="shared" si="36"/>
        <v>-0.48403000000000002</v>
      </c>
      <c r="H154">
        <f t="shared" si="28"/>
        <v>-759.83024559699993</v>
      </c>
      <c r="I154">
        <v>1</v>
      </c>
      <c r="J154">
        <f t="shared" si="29"/>
        <v>0.4509481590081918</v>
      </c>
      <c r="K154">
        <f t="shared" si="30"/>
        <v>-0.73769515177521749</v>
      </c>
      <c r="L154">
        <v>1</v>
      </c>
      <c r="M154">
        <f t="shared" si="31"/>
        <v>0.49290062288719988</v>
      </c>
      <c r="N154">
        <f t="shared" si="37"/>
        <v>0.1177349925</v>
      </c>
      <c r="O154">
        <f t="shared" si="38"/>
        <v>7.7705095050000006E-2</v>
      </c>
      <c r="P154">
        <f t="shared" si="39"/>
        <v>4.9354441338017613E-2</v>
      </c>
    </row>
    <row r="155" spans="1:16" x14ac:dyDescent="0.3">
      <c r="A155">
        <v>7.9045005000000002</v>
      </c>
      <c r="B155">
        <v>0.48107</v>
      </c>
      <c r="C155">
        <f t="shared" si="25"/>
        <v>3.802618055535</v>
      </c>
      <c r="D155">
        <v>1.4999999999999999E-2</v>
      </c>
      <c r="E155">
        <v>9.9000000000000008E-3</v>
      </c>
      <c r="F155">
        <f t="shared" si="26"/>
        <v>1580.9001000000001</v>
      </c>
      <c r="G155">
        <f t="shared" si="36"/>
        <v>-0.48107</v>
      </c>
      <c r="H155">
        <f t="shared" si="28"/>
        <v>-760.52361110699997</v>
      </c>
      <c r="I155">
        <v>1</v>
      </c>
      <c r="J155">
        <f t="shared" si="29"/>
        <v>0.45799436837511087</v>
      </c>
      <c r="K155">
        <f t="shared" si="30"/>
        <v>-0.74065515177521746</v>
      </c>
      <c r="L155">
        <v>1</v>
      </c>
      <c r="M155">
        <f t="shared" si="31"/>
        <v>0.49323595199097153</v>
      </c>
      <c r="N155">
        <f t="shared" si="37"/>
        <v>0.1185675075</v>
      </c>
      <c r="O155">
        <f t="shared" si="38"/>
        <v>7.8254554950000013E-2</v>
      </c>
      <c r="P155">
        <f t="shared" si="39"/>
        <v>5.0597137334245909E-2</v>
      </c>
    </row>
    <row r="156" spans="1:16" x14ac:dyDescent="0.3">
      <c r="A156">
        <v>7.9549096999999991</v>
      </c>
      <c r="B156">
        <v>0.47843000000000002</v>
      </c>
      <c r="C156">
        <f t="shared" si="25"/>
        <v>3.8058674477709999</v>
      </c>
      <c r="D156">
        <v>1.4999999999999999E-2</v>
      </c>
      <c r="E156">
        <v>9.9000000000000008E-3</v>
      </c>
      <c r="F156">
        <f t="shared" si="26"/>
        <v>1590.9819399999999</v>
      </c>
      <c r="G156">
        <f t="shared" si="36"/>
        <v>-0.47843000000000002</v>
      </c>
      <c r="H156">
        <f t="shared" si="28"/>
        <v>-761.17348955419993</v>
      </c>
      <c r="I156">
        <v>1</v>
      </c>
      <c r="J156">
        <f t="shared" si="29"/>
        <v>0.46435139793987129</v>
      </c>
      <c r="K156">
        <f t="shared" si="30"/>
        <v>-0.74329515177521743</v>
      </c>
      <c r="L156">
        <v>1</v>
      </c>
      <c r="M156">
        <f t="shared" si="31"/>
        <v>0.4935384830279585</v>
      </c>
      <c r="N156">
        <f t="shared" si="37"/>
        <v>0.11932364549999998</v>
      </c>
      <c r="O156">
        <f t="shared" si="38"/>
        <v>7.8753606029999992E-2</v>
      </c>
      <c r="P156">
        <f t="shared" si="39"/>
        <v>5.167941721725898E-2</v>
      </c>
    </row>
    <row r="157" spans="1:16" x14ac:dyDescent="0.3">
      <c r="A157">
        <v>8.0063373999999996</v>
      </c>
      <c r="B157">
        <v>0.47566000000000003</v>
      </c>
      <c r="C157">
        <f t="shared" si="25"/>
        <v>3.8082944476840002</v>
      </c>
      <c r="D157">
        <v>1.4999999999999999E-2</v>
      </c>
      <c r="E157">
        <v>9.9000000000000008E-3</v>
      </c>
      <c r="F157">
        <f t="shared" si="26"/>
        <v>1601.26748</v>
      </c>
      <c r="G157">
        <f t="shared" si="36"/>
        <v>-0.47566000000000003</v>
      </c>
      <c r="H157">
        <f t="shared" si="28"/>
        <v>-761.65888953680007</v>
      </c>
      <c r="I157">
        <v>1</v>
      </c>
      <c r="J157">
        <f t="shared" si="29"/>
        <v>0.47079549064072934</v>
      </c>
      <c r="K157">
        <f t="shared" si="30"/>
        <v>-0.74606515177521748</v>
      </c>
      <c r="L157">
        <v>1</v>
      </c>
      <c r="M157">
        <f t="shared" si="31"/>
        <v>0.49384515739959234</v>
      </c>
      <c r="N157">
        <f t="shared" si="37"/>
        <v>0.12009506099999999</v>
      </c>
      <c r="O157">
        <f t="shared" si="38"/>
        <v>7.9262740260000006E-2</v>
      </c>
      <c r="P157">
        <f t="shared" si="39"/>
        <v>5.2862193115625136E-2</v>
      </c>
    </row>
    <row r="158" spans="1:16" x14ac:dyDescent="0.3">
      <c r="A158">
        <v>8.0613296000000005</v>
      </c>
      <c r="B158">
        <v>0.47326000000000001</v>
      </c>
      <c r="C158">
        <f t="shared" si="25"/>
        <v>3.8151048464960002</v>
      </c>
      <c r="D158">
        <v>1.4999999999999999E-2</v>
      </c>
      <c r="E158">
        <v>9.9000000000000008E-3</v>
      </c>
      <c r="F158">
        <f t="shared" si="26"/>
        <v>1612.2659200000001</v>
      </c>
      <c r="G158">
        <f t="shared" si="36"/>
        <v>-0.47326000000000001</v>
      </c>
      <c r="H158">
        <f t="shared" si="28"/>
        <v>-763.02096929920003</v>
      </c>
      <c r="I158">
        <v>1</v>
      </c>
      <c r="J158">
        <f t="shared" si="29"/>
        <v>0.47764059325872982</v>
      </c>
      <c r="K158">
        <f t="shared" si="30"/>
        <v>-0.74846515177521744</v>
      </c>
      <c r="L158">
        <v>1</v>
      </c>
      <c r="M158">
        <f t="shared" si="31"/>
        <v>0.49417091583318296</v>
      </c>
      <c r="N158">
        <f t="shared" si="37"/>
        <v>0.120919944</v>
      </c>
      <c r="O158">
        <f t="shared" si="38"/>
        <v>7.9807163040000018E-2</v>
      </c>
      <c r="P158">
        <f t="shared" si="39"/>
        <v>5.3567128902034467E-2</v>
      </c>
    </row>
    <row r="159" spans="1:16" x14ac:dyDescent="0.3">
      <c r="A159">
        <v>8.1127567999999997</v>
      </c>
      <c r="B159">
        <v>0.47038000000000002</v>
      </c>
      <c r="C159">
        <f t="shared" si="25"/>
        <v>3.8160785435840001</v>
      </c>
      <c r="D159">
        <v>1.4999999999999999E-2</v>
      </c>
      <c r="E159">
        <v>9.9000000000000008E-3</v>
      </c>
      <c r="F159">
        <f t="shared" si="26"/>
        <v>1622.5513599999999</v>
      </c>
      <c r="G159">
        <f t="shared" si="36"/>
        <v>-0.47038000000000002</v>
      </c>
      <c r="H159">
        <f t="shared" si="28"/>
        <v>-763.21570871680001</v>
      </c>
      <c r="I159">
        <v>1</v>
      </c>
      <c r="J159">
        <f t="shared" si="29"/>
        <v>0.48399982394872459</v>
      </c>
      <c r="K159">
        <f t="shared" si="30"/>
        <v>-0.75134515177521743</v>
      </c>
      <c r="L159">
        <v>1</v>
      </c>
      <c r="M159">
        <f t="shared" si="31"/>
        <v>0.49447355162171985</v>
      </c>
      <c r="N159">
        <f t="shared" si="37"/>
        <v>0.12169135199999999</v>
      </c>
      <c r="O159">
        <f t="shared" si="38"/>
        <v>8.031629232000001E-2</v>
      </c>
      <c r="P159">
        <f t="shared" si="39"/>
        <v>5.4863955833497596E-2</v>
      </c>
    </row>
    <row r="160" spans="1:16" x14ac:dyDescent="0.3">
      <c r="A160">
        <v>8.1636752999999995</v>
      </c>
      <c r="B160">
        <v>0.46786</v>
      </c>
      <c r="C160">
        <f t="shared" si="25"/>
        <v>3.8194571258579999</v>
      </c>
      <c r="D160">
        <v>1.4999999999999999E-2</v>
      </c>
      <c r="E160">
        <v>9.9000000000000008E-3</v>
      </c>
      <c r="F160">
        <f t="shared" si="26"/>
        <v>1632.73506</v>
      </c>
      <c r="G160">
        <f t="shared" si="36"/>
        <v>-0.46786</v>
      </c>
      <c r="H160">
        <f t="shared" si="28"/>
        <v>-763.89142517159996</v>
      </c>
      <c r="I160">
        <v>1</v>
      </c>
      <c r="J160">
        <f t="shared" si="29"/>
        <v>0.49025655955205955</v>
      </c>
      <c r="K160">
        <f t="shared" si="30"/>
        <v>-0.75386515177521751</v>
      </c>
      <c r="L160">
        <v>1</v>
      </c>
      <c r="M160">
        <f t="shared" si="31"/>
        <v>0.49477130966908256</v>
      </c>
      <c r="N160">
        <f t="shared" si="37"/>
        <v>0.12245512949999998</v>
      </c>
      <c r="O160">
        <f t="shared" si="38"/>
        <v>8.0820385470000006E-2</v>
      </c>
      <c r="P160">
        <f t="shared" si="39"/>
        <v>5.5818327136134965E-2</v>
      </c>
    </row>
    <row r="161" spans="1:16" x14ac:dyDescent="0.3">
      <c r="A161">
        <v>8.2171396000000012</v>
      </c>
      <c r="B161">
        <v>0.46528000000000003</v>
      </c>
      <c r="C161">
        <f t="shared" si="25"/>
        <v>3.8232707130880006</v>
      </c>
      <c r="D161">
        <v>1.4999999999999999E-2</v>
      </c>
      <c r="E161">
        <v>9.9000000000000008E-3</v>
      </c>
      <c r="F161">
        <f t="shared" si="26"/>
        <v>1643.4279200000003</v>
      </c>
      <c r="G161">
        <f t="shared" si="36"/>
        <v>-0.46528000000000003</v>
      </c>
      <c r="H161">
        <f t="shared" si="28"/>
        <v>-764.65414261760009</v>
      </c>
      <c r="I161">
        <v>1</v>
      </c>
      <c r="J161">
        <f t="shared" si="29"/>
        <v>0.49678425553943273</v>
      </c>
      <c r="K161">
        <f t="shared" si="30"/>
        <v>-0.75644515177521743</v>
      </c>
      <c r="L161">
        <v>1</v>
      </c>
      <c r="M161">
        <f t="shared" si="31"/>
        <v>0.49508196272112165</v>
      </c>
      <c r="N161">
        <f t="shared" si="37"/>
        <v>0.12325709400000001</v>
      </c>
      <c r="O161">
        <f t="shared" si="38"/>
        <v>8.1349682040000024E-2</v>
      </c>
      <c r="P161">
        <f t="shared" si="39"/>
        <v>5.6756413014095744E-2</v>
      </c>
    </row>
    <row r="162" spans="1:16" x14ac:dyDescent="0.3">
      <c r="A162">
        <v>8.2675488000000001</v>
      </c>
      <c r="B162">
        <v>0.46238000000000001</v>
      </c>
      <c r="C162">
        <f t="shared" si="25"/>
        <v>3.8227492141440003</v>
      </c>
      <c r="D162">
        <v>1.4999999999999999E-2</v>
      </c>
      <c r="E162">
        <v>9.9000000000000008E-3</v>
      </c>
      <c r="F162">
        <f t="shared" si="26"/>
        <v>1653.5097599999999</v>
      </c>
      <c r="G162">
        <f t="shared" si="36"/>
        <v>-0.46238000000000001</v>
      </c>
      <c r="H162">
        <f t="shared" si="28"/>
        <v>-764.54984282880002</v>
      </c>
      <c r="I162">
        <v>1</v>
      </c>
      <c r="J162">
        <f t="shared" si="29"/>
        <v>0.50290015605307314</v>
      </c>
      <c r="K162">
        <f t="shared" si="30"/>
        <v>-0.75934515177521744</v>
      </c>
      <c r="L162">
        <v>1</v>
      </c>
      <c r="M162">
        <f t="shared" si="31"/>
        <v>0.49537301842656578</v>
      </c>
      <c r="N162">
        <f t="shared" si="37"/>
        <v>0.124013232</v>
      </c>
      <c r="O162">
        <f t="shared" si="38"/>
        <v>8.1848733120000003E-2</v>
      </c>
      <c r="P162">
        <f t="shared" si="39"/>
        <v>5.8110168228651657E-2</v>
      </c>
    </row>
    <row r="163" spans="1:16" x14ac:dyDescent="0.3">
      <c r="A163">
        <v>8.3179579999999991</v>
      </c>
      <c r="B163">
        <v>0.45993000000000001</v>
      </c>
      <c r="C163">
        <f t="shared" si="25"/>
        <v>3.8256784229399998</v>
      </c>
      <c r="D163">
        <v>1.4999999999999999E-2</v>
      </c>
      <c r="E163">
        <v>9.9000000000000008E-3</v>
      </c>
      <c r="F163">
        <f t="shared" si="26"/>
        <v>1663.5915999999997</v>
      </c>
      <c r="G163">
        <f t="shared" si="36"/>
        <v>-0.45993000000000001</v>
      </c>
      <c r="H163">
        <f t="shared" si="28"/>
        <v>-765.135684588</v>
      </c>
      <c r="I163">
        <v>1</v>
      </c>
      <c r="J163">
        <f t="shared" si="29"/>
        <v>0.50897887958317678</v>
      </c>
      <c r="K163">
        <f t="shared" si="30"/>
        <v>-0.76179515177521751</v>
      </c>
      <c r="L163">
        <v>1</v>
      </c>
      <c r="M163">
        <f t="shared" si="31"/>
        <v>0.49566230487936341</v>
      </c>
      <c r="N163">
        <f t="shared" si="37"/>
        <v>0.12476936999999998</v>
      </c>
      <c r="O163">
        <f t="shared" si="38"/>
        <v>8.2347784199999996E-2</v>
      </c>
      <c r="P163">
        <f t="shared" si="39"/>
        <v>5.9015692695854105E-2</v>
      </c>
    </row>
    <row r="164" spans="1:16" x14ac:dyDescent="0.3">
      <c r="A164">
        <v>8.3704043000000006</v>
      </c>
      <c r="B164">
        <v>0.45705000000000001</v>
      </c>
      <c r="C164">
        <f t="shared" si="25"/>
        <v>3.8256932853150003</v>
      </c>
      <c r="D164">
        <v>1.4999999999999999E-2</v>
      </c>
      <c r="E164">
        <v>9.9000000000000008E-3</v>
      </c>
      <c r="F164">
        <f t="shared" si="26"/>
        <v>1674.08086</v>
      </c>
      <c r="G164">
        <f t="shared" si="36"/>
        <v>-0.45705000000000001</v>
      </c>
      <c r="H164">
        <f t="shared" si="28"/>
        <v>-765.1386570630001</v>
      </c>
      <c r="I164">
        <v>1</v>
      </c>
      <c r="J164">
        <f t="shared" si="29"/>
        <v>0.51526427436546396</v>
      </c>
      <c r="K164">
        <f t="shared" si="30"/>
        <v>-0.7646751517752175</v>
      </c>
      <c r="L164">
        <v>1</v>
      </c>
      <c r="M164">
        <f t="shared" si="31"/>
        <v>0.49596142681705246</v>
      </c>
      <c r="N164">
        <f t="shared" si="37"/>
        <v>0.12555606450000001</v>
      </c>
      <c r="O164">
        <f t="shared" si="38"/>
        <v>8.2867002570000015E-2</v>
      </c>
      <c r="P164">
        <f t="shared" si="39"/>
        <v>6.0290657888165011E-2</v>
      </c>
    </row>
    <row r="165" spans="1:16" x14ac:dyDescent="0.3">
      <c r="A165">
        <v>8.4213222999999999</v>
      </c>
      <c r="B165">
        <v>0.45445000000000002</v>
      </c>
      <c r="C165">
        <f t="shared" si="25"/>
        <v>3.827069919235</v>
      </c>
      <c r="D165">
        <v>1.4999999999999999E-2</v>
      </c>
      <c r="E165">
        <v>9.9000000000000008E-3</v>
      </c>
      <c r="F165">
        <f t="shared" si="26"/>
        <v>1684.2644599999999</v>
      </c>
      <c r="G165">
        <f t="shared" si="36"/>
        <v>-0.45445000000000002</v>
      </c>
      <c r="H165">
        <f t="shared" si="28"/>
        <v>-765.41398384699994</v>
      </c>
      <c r="I165">
        <v>1</v>
      </c>
      <c r="J165">
        <f t="shared" si="29"/>
        <v>0.5213289462455567</v>
      </c>
      <c r="K165">
        <f t="shared" si="30"/>
        <v>-0.76727515177521743</v>
      </c>
      <c r="L165">
        <v>1</v>
      </c>
      <c r="M165">
        <f t="shared" si="31"/>
        <v>0.49625004455182609</v>
      </c>
      <c r="N165">
        <f t="shared" si="37"/>
        <v>0.12631983450000001</v>
      </c>
      <c r="O165">
        <f t="shared" si="38"/>
        <v>8.3371090770000003E-2</v>
      </c>
      <c r="P165">
        <f t="shared" si="39"/>
        <v>6.133418195339134E-2</v>
      </c>
    </row>
    <row r="166" spans="1:16" x14ac:dyDescent="0.3">
      <c r="A166">
        <v>8.4727499999999996</v>
      </c>
      <c r="B166">
        <v>0.45178000000000001</v>
      </c>
      <c r="C166">
        <f t="shared" si="25"/>
        <v>3.8278189949999999</v>
      </c>
      <c r="D166">
        <v>1.4999999999999999E-2</v>
      </c>
      <c r="E166">
        <v>9.9000000000000008E-3</v>
      </c>
      <c r="F166">
        <f t="shared" si="26"/>
        <v>1694.55</v>
      </c>
      <c r="G166">
        <f t="shared" si="36"/>
        <v>-0.45178000000000001</v>
      </c>
      <c r="H166">
        <f t="shared" si="28"/>
        <v>-765.56379900000002</v>
      </c>
      <c r="I166">
        <v>1</v>
      </c>
      <c r="J166">
        <f t="shared" si="29"/>
        <v>0.52741721885891046</v>
      </c>
      <c r="K166">
        <f t="shared" si="30"/>
        <v>-0.76994515177521738</v>
      </c>
      <c r="L166">
        <v>1</v>
      </c>
      <c r="M166">
        <f t="shared" si="31"/>
        <v>0.4965397854454956</v>
      </c>
      <c r="N166">
        <f t="shared" si="37"/>
        <v>0.12709124999999999</v>
      </c>
      <c r="O166">
        <f t="shared" si="38"/>
        <v>8.3880225000000003E-2</v>
      </c>
      <c r="P166">
        <f t="shared" si="39"/>
        <v>6.2433891329721797E-2</v>
      </c>
    </row>
    <row r="167" spans="1:16" x14ac:dyDescent="0.3">
      <c r="A167">
        <v>8.524177700000001</v>
      </c>
      <c r="B167">
        <v>0.44925999999999999</v>
      </c>
      <c r="C167">
        <f t="shared" si="25"/>
        <v>3.8295720735020002</v>
      </c>
      <c r="D167">
        <v>1.4999999999999999E-2</v>
      </c>
      <c r="E167">
        <v>9.9000000000000008E-3</v>
      </c>
      <c r="F167">
        <f t="shared" si="26"/>
        <v>1704.8355400000003</v>
      </c>
      <c r="G167">
        <f t="shared" si="36"/>
        <v>-0.44925999999999999</v>
      </c>
      <c r="H167">
        <f t="shared" si="28"/>
        <v>-765.91441470040002</v>
      </c>
      <c r="I167">
        <v>1</v>
      </c>
      <c r="J167">
        <f t="shared" si="29"/>
        <v>0.53346864860515275</v>
      </c>
      <c r="K167">
        <f t="shared" si="30"/>
        <v>-0.77246515177521746</v>
      </c>
      <c r="L167">
        <v>1</v>
      </c>
      <c r="M167">
        <f t="shared" si="31"/>
        <v>0.49682777298711922</v>
      </c>
      <c r="N167">
        <f t="shared" si="37"/>
        <v>0.1278626655</v>
      </c>
      <c r="O167">
        <f t="shared" si="38"/>
        <v>8.4389359230000016E-2</v>
      </c>
      <c r="P167">
        <f t="shared" si="39"/>
        <v>6.3385354058098226E-2</v>
      </c>
    </row>
    <row r="168" spans="1:16" x14ac:dyDescent="0.3">
      <c r="A168">
        <v>8.5766240000000007</v>
      </c>
      <c r="B168">
        <v>0.44629999999999997</v>
      </c>
      <c r="C168">
        <f t="shared" si="25"/>
        <v>3.8277472912000001</v>
      </c>
      <c r="D168">
        <v>1.4999999999999999E-2</v>
      </c>
      <c r="E168">
        <v>9.9000000000000008E-3</v>
      </c>
      <c r="F168">
        <f t="shared" si="26"/>
        <v>1715.3248000000001</v>
      </c>
      <c r="G168">
        <f t="shared" si="36"/>
        <v>-0.44629999999999997</v>
      </c>
      <c r="H168">
        <f t="shared" si="28"/>
        <v>-765.54945824000004</v>
      </c>
      <c r="I168">
        <v>1</v>
      </c>
      <c r="J168">
        <f t="shared" si="29"/>
        <v>0.53960245044140842</v>
      </c>
      <c r="K168">
        <f t="shared" si="30"/>
        <v>-0.77542515177521754</v>
      </c>
      <c r="L168">
        <v>1</v>
      </c>
      <c r="M168">
        <f t="shared" si="31"/>
        <v>0.49711968061650663</v>
      </c>
      <c r="N168">
        <f t="shared" si="37"/>
        <v>0.12864936000000002</v>
      </c>
      <c r="O168">
        <f t="shared" si="38"/>
        <v>8.4908577600000007E-2</v>
      </c>
      <c r="P168">
        <f t="shared" si="39"/>
        <v>6.4747533558710879E-2</v>
      </c>
    </row>
    <row r="169" spans="1:16" x14ac:dyDescent="0.3">
      <c r="A169">
        <v>8.6280508000000005</v>
      </c>
      <c r="B169">
        <v>0.44372</v>
      </c>
      <c r="C169">
        <f t="shared" si="25"/>
        <v>3.8284387009760001</v>
      </c>
      <c r="D169">
        <v>1.4999999999999999E-2</v>
      </c>
      <c r="E169">
        <v>9.9000000000000008E-3</v>
      </c>
      <c r="F169">
        <f t="shared" si="26"/>
        <v>1725.6101600000002</v>
      </c>
      <c r="G169">
        <f t="shared" si="36"/>
        <v>-0.44372</v>
      </c>
      <c r="H169">
        <f t="shared" si="28"/>
        <v>-765.68774019520004</v>
      </c>
      <c r="I169">
        <v>1</v>
      </c>
      <c r="J169">
        <f t="shared" si="29"/>
        <v>0.54558070388261615</v>
      </c>
      <c r="K169">
        <f t="shared" si="30"/>
        <v>-0.77800515177521745</v>
      </c>
      <c r="L169">
        <v>1</v>
      </c>
      <c r="M169">
        <f t="shared" si="31"/>
        <v>0.49740418569777373</v>
      </c>
      <c r="N169">
        <f t="shared" si="37"/>
        <v>0.12942076199999999</v>
      </c>
      <c r="O169">
        <f t="shared" si="38"/>
        <v>8.5417702920000005E-2</v>
      </c>
      <c r="P169">
        <f t="shared" si="39"/>
        <v>6.5762501157443726E-2</v>
      </c>
    </row>
    <row r="170" spans="1:16" x14ac:dyDescent="0.3">
      <c r="A170">
        <v>8.6789687999999998</v>
      </c>
      <c r="B170">
        <v>0.44095000000000001</v>
      </c>
      <c r="C170">
        <f t="shared" si="25"/>
        <v>3.8269912923599998</v>
      </c>
      <c r="D170">
        <v>1.4999999999999999E-2</v>
      </c>
      <c r="E170">
        <v>9.9000000000000008E-3</v>
      </c>
      <c r="F170">
        <f t="shared" si="26"/>
        <v>1735.79376</v>
      </c>
      <c r="G170">
        <f t="shared" si="36"/>
        <v>-0.44095000000000001</v>
      </c>
      <c r="H170">
        <f t="shared" si="28"/>
        <v>-765.39825847199995</v>
      </c>
      <c r="I170">
        <v>1</v>
      </c>
      <c r="J170">
        <f t="shared" si="29"/>
        <v>0.55146480733734249</v>
      </c>
      <c r="K170">
        <f t="shared" si="30"/>
        <v>-0.7807751517752175</v>
      </c>
      <c r="L170">
        <v>1</v>
      </c>
      <c r="M170">
        <f t="shared" si="31"/>
        <v>0.49768421018118414</v>
      </c>
      <c r="N170">
        <f t="shared" si="37"/>
        <v>0.13018453199999999</v>
      </c>
      <c r="O170">
        <f t="shared" si="38"/>
        <v>8.5921791120000007E-2</v>
      </c>
      <c r="P170">
        <f t="shared" si="39"/>
        <v>6.6984618474033364E-2</v>
      </c>
    </row>
    <row r="171" spans="1:16" x14ac:dyDescent="0.3">
      <c r="A171">
        <v>8.7314150000000001</v>
      </c>
      <c r="B171">
        <v>0.43807000000000001</v>
      </c>
      <c r="C171">
        <f t="shared" si="25"/>
        <v>3.8249709690500002</v>
      </c>
      <c r="D171">
        <v>1.4999999999999999E-2</v>
      </c>
      <c r="E171">
        <v>9.9000000000000008E-3</v>
      </c>
      <c r="F171">
        <f t="shared" si="26"/>
        <v>1746.2830000000001</v>
      </c>
      <c r="G171">
        <f t="shared" si="36"/>
        <v>-0.43807000000000001</v>
      </c>
      <c r="H171">
        <f t="shared" si="28"/>
        <v>-764.99419381000007</v>
      </c>
      <c r="I171">
        <v>1</v>
      </c>
      <c r="J171">
        <f t="shared" si="29"/>
        <v>0.55748952904827176</v>
      </c>
      <c r="K171">
        <f t="shared" si="30"/>
        <v>-0.7836551517752175</v>
      </c>
      <c r="L171">
        <v>1</v>
      </c>
      <c r="M171">
        <f t="shared" si="31"/>
        <v>0.49797092668740728</v>
      </c>
      <c r="N171">
        <f t="shared" si="37"/>
        <v>0.130971225</v>
      </c>
      <c r="O171">
        <f t="shared" si="38"/>
        <v>8.6441008500000013E-2</v>
      </c>
      <c r="P171">
        <f t="shared" si="39"/>
        <v>6.8271991587810207E-2</v>
      </c>
    </row>
    <row r="172" spans="1:16" x14ac:dyDescent="0.3">
      <c r="A172">
        <v>8.7823329999999995</v>
      </c>
      <c r="B172">
        <v>0.43541999999999997</v>
      </c>
      <c r="C172">
        <f t="shared" si="25"/>
        <v>3.8240034348599994</v>
      </c>
      <c r="D172">
        <v>1.4999999999999999E-2</v>
      </c>
      <c r="E172">
        <v>9.9000000000000008E-3</v>
      </c>
      <c r="F172">
        <f t="shared" si="26"/>
        <v>1756.4666</v>
      </c>
      <c r="G172">
        <f t="shared" si="36"/>
        <v>-0.43541999999999997</v>
      </c>
      <c r="H172">
        <f t="shared" si="28"/>
        <v>-764.80068697199988</v>
      </c>
      <c r="I172">
        <v>1</v>
      </c>
      <c r="J172">
        <f t="shared" si="29"/>
        <v>0.56330417745613526</v>
      </c>
      <c r="K172">
        <f t="shared" si="30"/>
        <v>-0.78630515177521754</v>
      </c>
      <c r="L172">
        <v>1</v>
      </c>
      <c r="M172">
        <f t="shared" si="31"/>
        <v>0.49824764580513747</v>
      </c>
      <c r="N172">
        <f t="shared" si="37"/>
        <v>0.13173499499999999</v>
      </c>
      <c r="O172">
        <f t="shared" si="38"/>
        <v>8.6945096700000002E-2</v>
      </c>
      <c r="P172">
        <f t="shared" si="39"/>
        <v>6.9377414270080068E-2</v>
      </c>
    </row>
    <row r="173" spans="1:16" x14ac:dyDescent="0.3">
      <c r="A173">
        <v>8.8327422000000002</v>
      </c>
      <c r="B173">
        <v>0.43251000000000001</v>
      </c>
      <c r="C173">
        <f t="shared" si="25"/>
        <v>3.8202493289220003</v>
      </c>
      <c r="D173">
        <v>1.4999999999999999E-2</v>
      </c>
      <c r="E173">
        <v>9.9000000000000008E-3</v>
      </c>
      <c r="F173">
        <f t="shared" si="26"/>
        <v>1766.54844</v>
      </c>
      <c r="G173">
        <f t="shared" si="36"/>
        <v>-0.43251000000000001</v>
      </c>
      <c r="H173">
        <f t="shared" si="28"/>
        <v>-764.04986578440003</v>
      </c>
      <c r="I173">
        <v>1</v>
      </c>
      <c r="J173">
        <f t="shared" si="29"/>
        <v>0.56902760889595583</v>
      </c>
      <c r="K173">
        <f t="shared" si="30"/>
        <v>-0.7892151517752175</v>
      </c>
      <c r="L173">
        <v>1</v>
      </c>
      <c r="M173">
        <f t="shared" si="31"/>
        <v>0.49852002390735856</v>
      </c>
      <c r="N173">
        <f t="shared" si="37"/>
        <v>0.13249113300000001</v>
      </c>
      <c r="O173">
        <f t="shared" si="38"/>
        <v>8.7444147780000009E-2</v>
      </c>
      <c r="P173">
        <f t="shared" si="39"/>
        <v>7.0759847087858929E-2</v>
      </c>
    </row>
    <row r="174" spans="1:16" x14ac:dyDescent="0.3">
      <c r="A174">
        <v>8.8831514000000009</v>
      </c>
      <c r="B174">
        <v>0.43020000000000003</v>
      </c>
      <c r="C174">
        <f t="shared" si="25"/>
        <v>3.8215317322800004</v>
      </c>
      <c r="D174">
        <v>1.4999999999999999E-2</v>
      </c>
      <c r="E174">
        <v>9.9000000000000008E-3</v>
      </c>
      <c r="F174">
        <f t="shared" si="26"/>
        <v>1776.6302800000001</v>
      </c>
      <c r="G174">
        <f t="shared" si="36"/>
        <v>-0.43020000000000003</v>
      </c>
      <c r="H174">
        <f t="shared" si="28"/>
        <v>-764.30634645600003</v>
      </c>
      <c r="I174">
        <v>1</v>
      </c>
      <c r="J174">
        <f t="shared" si="29"/>
        <v>0.57471846899973167</v>
      </c>
      <c r="K174">
        <f t="shared" si="30"/>
        <v>-0.79152515177521743</v>
      </c>
      <c r="L174">
        <v>1</v>
      </c>
      <c r="M174">
        <f t="shared" si="31"/>
        <v>0.49879085193969724</v>
      </c>
      <c r="N174">
        <f t="shared" si="37"/>
        <v>0.133247271</v>
      </c>
      <c r="O174">
        <f t="shared" si="38"/>
        <v>8.7943198860000016E-2</v>
      </c>
      <c r="P174">
        <f t="shared" si="39"/>
        <v>7.1543829975520168E-2</v>
      </c>
    </row>
    <row r="175" spans="1:16" x14ac:dyDescent="0.3">
      <c r="A175">
        <v>8.9335605000000005</v>
      </c>
      <c r="B175">
        <v>0.42727999999999999</v>
      </c>
      <c r="C175">
        <f t="shared" si="25"/>
        <v>3.8171317304400003</v>
      </c>
      <c r="D175">
        <v>1.4999999999999999E-2</v>
      </c>
      <c r="E175">
        <v>9.9000000000000008E-3</v>
      </c>
      <c r="F175">
        <f t="shared" si="26"/>
        <v>1786.7121000000002</v>
      </c>
      <c r="G175">
        <f t="shared" si="36"/>
        <v>-0.42727999999999999</v>
      </c>
      <c r="H175">
        <f t="shared" si="28"/>
        <v>-763.42634608800006</v>
      </c>
      <c r="I175">
        <v>1</v>
      </c>
      <c r="J175">
        <f t="shared" si="29"/>
        <v>0.5803771151957644</v>
      </c>
      <c r="K175">
        <f t="shared" si="30"/>
        <v>-0.79444515177521746</v>
      </c>
      <c r="L175">
        <v>1</v>
      </c>
      <c r="M175">
        <f t="shared" si="31"/>
        <v>0.49906014691216644</v>
      </c>
      <c r="N175">
        <f t="shared" si="37"/>
        <v>0.1340034075</v>
      </c>
      <c r="O175">
        <f t="shared" si="38"/>
        <v>8.844224895000001E-2</v>
      </c>
      <c r="P175">
        <f t="shared" si="39"/>
        <v>7.2939348413051011E-2</v>
      </c>
    </row>
    <row r="176" spans="1:16" x14ac:dyDescent="0.3">
      <c r="A176">
        <v>8.9839696999999994</v>
      </c>
      <c r="B176">
        <v>0.42454999999999998</v>
      </c>
      <c r="C176">
        <f t="shared" si="25"/>
        <v>3.8141443361349996</v>
      </c>
      <c r="D176">
        <v>1.4999999999999999E-2</v>
      </c>
      <c r="E176">
        <v>9.9000000000000008E-3</v>
      </c>
      <c r="F176">
        <f t="shared" si="26"/>
        <v>1796.7939399999998</v>
      </c>
      <c r="G176">
        <f t="shared" si="36"/>
        <v>-0.42454999999999998</v>
      </c>
      <c r="H176">
        <f t="shared" si="28"/>
        <v>-762.82886722699993</v>
      </c>
      <c r="I176">
        <v>1</v>
      </c>
      <c r="J176">
        <f t="shared" si="29"/>
        <v>0.58600393233384296</v>
      </c>
      <c r="K176">
        <f t="shared" si="30"/>
        <v>-0.79717515177521747</v>
      </c>
      <c r="L176">
        <v>1</v>
      </c>
      <c r="M176">
        <f t="shared" si="31"/>
        <v>0.49932792713976759</v>
      </c>
      <c r="N176">
        <f t="shared" si="37"/>
        <v>0.13475954549999999</v>
      </c>
      <c r="O176">
        <f t="shared" si="38"/>
        <v>8.8941300030000003E-2</v>
      </c>
      <c r="P176">
        <f t="shared" si="39"/>
        <v>7.4146379105449883E-2</v>
      </c>
    </row>
    <row r="177" spans="1:16" x14ac:dyDescent="0.3">
      <c r="A177">
        <v>9.0369248000000013</v>
      </c>
      <c r="B177">
        <v>0.42175000000000001</v>
      </c>
      <c r="C177">
        <f t="shared" si="25"/>
        <v>3.8113230344000009</v>
      </c>
      <c r="D177">
        <v>1.4999999999999999E-2</v>
      </c>
      <c r="E177">
        <v>9.9000000000000008E-3</v>
      </c>
      <c r="F177">
        <f t="shared" si="26"/>
        <v>1807.3849600000003</v>
      </c>
      <c r="G177">
        <f t="shared" si="36"/>
        <v>-0.42175000000000001</v>
      </c>
      <c r="H177">
        <f t="shared" si="28"/>
        <v>-762.2646068800002</v>
      </c>
      <c r="I177">
        <v>1</v>
      </c>
      <c r="J177">
        <f t="shared" si="29"/>
        <v>0.5918810271055166</v>
      </c>
      <c r="K177">
        <f t="shared" si="30"/>
        <v>-0.79997515177521739</v>
      </c>
      <c r="L177">
        <v>1</v>
      </c>
      <c r="M177">
        <f t="shared" si="31"/>
        <v>0.49960761807995158</v>
      </c>
      <c r="N177">
        <f t="shared" si="37"/>
        <v>0.13555387200000002</v>
      </c>
      <c r="O177">
        <f t="shared" si="38"/>
        <v>8.9465555520000017E-2</v>
      </c>
      <c r="P177">
        <f t="shared" si="39"/>
        <v>7.5348106175265772E-2</v>
      </c>
    </row>
    <row r="178" spans="1:16" x14ac:dyDescent="0.3">
      <c r="A178">
        <v>9.0873340000000002</v>
      </c>
      <c r="B178">
        <v>0.41881000000000002</v>
      </c>
      <c r="C178">
        <f t="shared" si="25"/>
        <v>3.8058663525400003</v>
      </c>
      <c r="D178">
        <v>1.4999999999999999E-2</v>
      </c>
      <c r="E178">
        <v>9.9000000000000008E-3</v>
      </c>
      <c r="F178">
        <f t="shared" si="26"/>
        <v>1817.4668000000001</v>
      </c>
      <c r="G178">
        <f t="shared" si="36"/>
        <v>-0.41881000000000002</v>
      </c>
      <c r="H178">
        <f t="shared" si="28"/>
        <v>-761.17327050800009</v>
      </c>
      <c r="I178">
        <v>1</v>
      </c>
      <c r="J178">
        <f t="shared" si="29"/>
        <v>0.59744366340862765</v>
      </c>
      <c r="K178">
        <f t="shared" si="30"/>
        <v>-0.80291515177521744</v>
      </c>
      <c r="L178">
        <v>1</v>
      </c>
      <c r="M178">
        <f t="shared" si="31"/>
        <v>0.49987234394161661</v>
      </c>
      <c r="N178">
        <f t="shared" si="37"/>
        <v>0.13631001000000001</v>
      </c>
      <c r="O178">
        <f t="shared" si="38"/>
        <v>8.9964606600000011E-2</v>
      </c>
      <c r="P178">
        <f t="shared" si="39"/>
        <v>7.6768191233600805E-2</v>
      </c>
    </row>
    <row r="179" spans="1:16" x14ac:dyDescent="0.3">
      <c r="A179">
        <v>9.1418174000000008</v>
      </c>
      <c r="B179">
        <v>0.41581000000000001</v>
      </c>
      <c r="C179">
        <f t="shared" si="25"/>
        <v>3.8012590930940005</v>
      </c>
      <c r="D179">
        <v>1.4999999999999999E-2</v>
      </c>
      <c r="E179">
        <v>9.9000000000000008E-3</v>
      </c>
      <c r="F179">
        <f t="shared" si="26"/>
        <v>1828.3634800000002</v>
      </c>
      <c r="G179">
        <f t="shared" si="36"/>
        <v>-0.41581000000000001</v>
      </c>
      <c r="H179">
        <f t="shared" si="28"/>
        <v>-760.25181861880014</v>
      </c>
      <c r="I179">
        <v>1</v>
      </c>
      <c r="J179">
        <f t="shared" si="29"/>
        <v>0.60342129352843554</v>
      </c>
      <c r="K179">
        <f t="shared" si="30"/>
        <v>-0.80591515177521744</v>
      </c>
      <c r="L179">
        <v>1</v>
      </c>
      <c r="M179">
        <f t="shared" si="31"/>
        <v>0.50015681935901823</v>
      </c>
      <c r="N179">
        <f t="shared" si="37"/>
        <v>0.137127261</v>
      </c>
      <c r="O179">
        <f t="shared" si="38"/>
        <v>9.0503992260000013E-2</v>
      </c>
      <c r="P179">
        <f t="shared" si="39"/>
        <v>7.8127079156199195E-2</v>
      </c>
    </row>
    <row r="180" spans="1:16" x14ac:dyDescent="0.3">
      <c r="A180">
        <v>9.1927344000000009</v>
      </c>
      <c r="B180">
        <v>0.41284999999999999</v>
      </c>
      <c r="C180">
        <f t="shared" si="25"/>
        <v>3.7952203970400005</v>
      </c>
      <c r="D180">
        <v>1.4999999999999999E-2</v>
      </c>
      <c r="E180">
        <v>9.9000000000000008E-3</v>
      </c>
      <c r="F180">
        <f t="shared" si="26"/>
        <v>1838.5468800000001</v>
      </c>
      <c r="G180">
        <f t="shared" si="36"/>
        <v>-0.41284999999999999</v>
      </c>
      <c r="H180">
        <f t="shared" si="28"/>
        <v>-759.04407940800013</v>
      </c>
      <c r="I180">
        <v>1</v>
      </c>
      <c r="J180">
        <f t="shared" si="29"/>
        <v>0.60897552048223147</v>
      </c>
      <c r="K180">
        <f t="shared" si="30"/>
        <v>-0.80887515177521752</v>
      </c>
      <c r="L180">
        <v>1</v>
      </c>
      <c r="M180">
        <f t="shared" si="31"/>
        <v>0.50042114501974944</v>
      </c>
      <c r="N180">
        <f t="shared" si="37"/>
        <v>0.13789101600000001</v>
      </c>
      <c r="O180">
        <f t="shared" si="38"/>
        <v>9.1008070560000015E-2</v>
      </c>
      <c r="P180">
        <f t="shared" si="39"/>
        <v>7.955492019546806E-2</v>
      </c>
    </row>
    <row r="181" spans="1:16" x14ac:dyDescent="0.3">
      <c r="A181">
        <v>9.2451806999999988</v>
      </c>
      <c r="B181">
        <v>0.41031000000000001</v>
      </c>
      <c r="C181">
        <f t="shared" si="25"/>
        <v>3.7933900930169995</v>
      </c>
      <c r="D181">
        <v>1.4999999999999999E-2</v>
      </c>
      <c r="E181">
        <v>9.9000000000000008E-3</v>
      </c>
      <c r="F181">
        <f t="shared" si="26"/>
        <v>1849.0361399999997</v>
      </c>
      <c r="G181">
        <f t="shared" si="36"/>
        <v>-0.41031000000000001</v>
      </c>
      <c r="H181">
        <f t="shared" si="28"/>
        <v>-758.67801860339989</v>
      </c>
      <c r="I181">
        <v>1</v>
      </c>
      <c r="J181">
        <f t="shared" si="29"/>
        <v>0.61466449791435152</v>
      </c>
      <c r="K181">
        <f t="shared" si="30"/>
        <v>-0.8114151517752175</v>
      </c>
      <c r="L181">
        <v>1</v>
      </c>
      <c r="M181">
        <f t="shared" si="31"/>
        <v>0.500691883455744</v>
      </c>
      <c r="N181">
        <f t="shared" si="37"/>
        <v>0.13867771049999997</v>
      </c>
      <c r="O181">
        <f t="shared" si="38"/>
        <v>9.1527288929999992E-2</v>
      </c>
      <c r="P181">
        <f t="shared" si="39"/>
        <v>8.051826888947354E-2</v>
      </c>
    </row>
    <row r="182" spans="1:16" x14ac:dyDescent="0.3">
      <c r="A182">
        <v>9.2955898000000001</v>
      </c>
      <c r="B182">
        <v>0.40745999999999999</v>
      </c>
      <c r="C182">
        <f t="shared" si="25"/>
        <v>3.787581019908</v>
      </c>
      <c r="D182">
        <v>1.4999999999999999E-2</v>
      </c>
      <c r="E182">
        <v>9.9000000000000008E-3</v>
      </c>
      <c r="F182">
        <f t="shared" si="26"/>
        <v>1859.11796</v>
      </c>
      <c r="G182">
        <f t="shared" si="36"/>
        <v>-0.40745999999999999</v>
      </c>
      <c r="H182">
        <f t="shared" si="28"/>
        <v>-757.51620398160003</v>
      </c>
      <c r="I182">
        <v>1</v>
      </c>
      <c r="J182">
        <f t="shared" si="29"/>
        <v>0.62010216019582809</v>
      </c>
      <c r="K182">
        <f t="shared" si="30"/>
        <v>-0.81426515177521752</v>
      </c>
      <c r="L182">
        <v>1</v>
      </c>
      <c r="M182">
        <f t="shared" si="31"/>
        <v>0.5009506618037195</v>
      </c>
      <c r="N182">
        <f t="shared" si="37"/>
        <v>0.139433847</v>
      </c>
      <c r="O182">
        <f t="shared" si="38"/>
        <v>9.2026339020000014E-2</v>
      </c>
      <c r="P182">
        <f t="shared" si="39"/>
        <v>8.1854303951498009E-2</v>
      </c>
    </row>
    <row r="183" spans="1:16" x14ac:dyDescent="0.3">
      <c r="A183">
        <v>9.3505820000000011</v>
      </c>
      <c r="B183">
        <v>0.40416000000000002</v>
      </c>
      <c r="C183">
        <f t="shared" si="25"/>
        <v>3.7791312211200005</v>
      </c>
      <c r="D183">
        <v>1.4999999999999999E-2</v>
      </c>
      <c r="E183">
        <v>9.9000000000000008E-3</v>
      </c>
      <c r="F183">
        <f t="shared" si="26"/>
        <v>1870.1164000000001</v>
      </c>
      <c r="G183">
        <f t="shared" si="36"/>
        <v>-0.40416000000000002</v>
      </c>
      <c r="H183">
        <f t="shared" si="28"/>
        <v>-755.82624422400011</v>
      </c>
      <c r="I183">
        <v>1</v>
      </c>
      <c r="J183">
        <f t="shared" si="29"/>
        <v>0.6260006749185989</v>
      </c>
      <c r="K183">
        <f t="shared" si="30"/>
        <v>-0.81756515177521738</v>
      </c>
      <c r="L183">
        <v>1</v>
      </c>
      <c r="M183">
        <f t="shared" si="31"/>
        <v>0.50123137211937618</v>
      </c>
      <c r="N183">
        <f t="shared" si="37"/>
        <v>0.14025873</v>
      </c>
      <c r="O183">
        <f t="shared" si="38"/>
        <v>9.2570761800000012E-2</v>
      </c>
      <c r="P183">
        <f t="shared" si="39"/>
        <v>8.3504287855841186E-2</v>
      </c>
    </row>
    <row r="184" spans="1:16" x14ac:dyDescent="0.3">
      <c r="A184">
        <v>9.4030272999999998</v>
      </c>
      <c r="B184">
        <v>0.40157999999999999</v>
      </c>
      <c r="C184">
        <f t="shared" si="25"/>
        <v>3.7760677031339998</v>
      </c>
      <c r="D184">
        <v>1.4999999999999999E-2</v>
      </c>
      <c r="E184">
        <v>9.9000000000000008E-3</v>
      </c>
      <c r="F184">
        <f t="shared" si="26"/>
        <v>1880.60546</v>
      </c>
      <c r="G184">
        <f t="shared" si="36"/>
        <v>-0.40157999999999999</v>
      </c>
      <c r="H184">
        <f t="shared" si="28"/>
        <v>-755.21354062679995</v>
      </c>
      <c r="I184">
        <v>1</v>
      </c>
      <c r="J184">
        <f t="shared" si="29"/>
        <v>0.63159377818534967</v>
      </c>
      <c r="K184">
        <f t="shared" si="30"/>
        <v>-0.82014515177521741</v>
      </c>
      <c r="L184">
        <v>1</v>
      </c>
      <c r="M184">
        <f t="shared" si="31"/>
        <v>0.50149754790384082</v>
      </c>
      <c r="N184">
        <f t="shared" si="37"/>
        <v>0.1410454095</v>
      </c>
      <c r="O184">
        <f t="shared" si="38"/>
        <v>9.3089970270000003E-2</v>
      </c>
      <c r="P184">
        <f t="shared" si="39"/>
        <v>8.4512224101376585E-2</v>
      </c>
    </row>
    <row r="185" spans="1:16" x14ac:dyDescent="0.3">
      <c r="A185">
        <v>9.4549648000000008</v>
      </c>
      <c r="B185">
        <v>0.39843000000000001</v>
      </c>
      <c r="C185">
        <f t="shared" si="25"/>
        <v>3.7671416252640002</v>
      </c>
      <c r="D185">
        <v>1.4999999999999999E-2</v>
      </c>
      <c r="E185">
        <v>9.9000000000000008E-3</v>
      </c>
      <c r="F185">
        <f t="shared" si="26"/>
        <v>1890.9929600000003</v>
      </c>
      <c r="G185">
        <f t="shared" si="36"/>
        <v>-0.39843000000000001</v>
      </c>
      <c r="H185">
        <f t="shared" si="28"/>
        <v>-753.42832505280001</v>
      </c>
      <c r="I185">
        <v>1</v>
      </c>
      <c r="J185">
        <f t="shared" si="29"/>
        <v>0.63710206677145298</v>
      </c>
      <c r="K185">
        <f t="shared" si="30"/>
        <v>-0.82329515177521739</v>
      </c>
      <c r="L185">
        <v>1</v>
      </c>
      <c r="M185">
        <f t="shared" si="31"/>
        <v>0.50175968735765353</v>
      </c>
      <c r="N185">
        <f t="shared" si="37"/>
        <v>0.14182447200000001</v>
      </c>
      <c r="O185">
        <f t="shared" si="38"/>
        <v>9.3604151520000012E-2</v>
      </c>
      <c r="P185">
        <f t="shared" si="39"/>
        <v>8.6106840897563847E-2</v>
      </c>
    </row>
    <row r="186" spans="1:16" x14ac:dyDescent="0.3">
      <c r="A186">
        <v>9.5053739999999998</v>
      </c>
      <c r="B186">
        <v>0.39549000000000001</v>
      </c>
      <c r="C186">
        <f t="shared" si="25"/>
        <v>3.7592803632599998</v>
      </c>
      <c r="D186">
        <v>1.4999999999999999E-2</v>
      </c>
      <c r="E186">
        <v>9.9000000000000008E-3</v>
      </c>
      <c r="F186">
        <f t="shared" si="26"/>
        <v>1901.0747999999999</v>
      </c>
      <c r="G186">
        <f t="shared" si="36"/>
        <v>-0.39549000000000001</v>
      </c>
      <c r="H186">
        <f t="shared" si="28"/>
        <v>-751.85607265199997</v>
      </c>
      <c r="I186">
        <v>1</v>
      </c>
      <c r="J186">
        <f t="shared" si="29"/>
        <v>0.64241941044392181</v>
      </c>
      <c r="K186">
        <f t="shared" si="30"/>
        <v>-0.82623515177521745</v>
      </c>
      <c r="L186">
        <v>1</v>
      </c>
      <c r="M186">
        <f t="shared" si="31"/>
        <v>0.50201273974302629</v>
      </c>
      <c r="N186">
        <f t="shared" si="37"/>
        <v>0.14258061</v>
      </c>
      <c r="O186">
        <f t="shared" si="38"/>
        <v>9.4103202600000005E-2</v>
      </c>
      <c r="P186">
        <f t="shared" si="39"/>
        <v>8.7538599432191153E-2</v>
      </c>
    </row>
    <row r="187" spans="1:16" x14ac:dyDescent="0.3">
      <c r="A187">
        <v>9.5557832000000005</v>
      </c>
      <c r="B187">
        <v>0.39276</v>
      </c>
      <c r="C187">
        <f t="shared" si="25"/>
        <v>3.7531294096320003</v>
      </c>
      <c r="D187">
        <v>1.4999999999999999E-2</v>
      </c>
      <c r="E187">
        <v>9.9000000000000008E-3</v>
      </c>
      <c r="F187">
        <f t="shared" si="26"/>
        <v>1911.1566400000002</v>
      </c>
      <c r="G187">
        <f t="shared" si="36"/>
        <v>-0.39276</v>
      </c>
      <c r="H187">
        <f t="shared" si="28"/>
        <v>-750.6258819264001</v>
      </c>
      <c r="I187">
        <v>1</v>
      </c>
      <c r="J187">
        <f t="shared" si="29"/>
        <v>0.64770862945523278</v>
      </c>
      <c r="K187">
        <f t="shared" si="30"/>
        <v>-0.82896515177521746</v>
      </c>
      <c r="L187">
        <v>1</v>
      </c>
      <c r="M187">
        <f t="shared" si="31"/>
        <v>0.50226445367577455</v>
      </c>
      <c r="N187">
        <f t="shared" si="37"/>
        <v>0.14333674800000001</v>
      </c>
      <c r="O187">
        <f t="shared" si="38"/>
        <v>9.4602253680000012E-2</v>
      </c>
      <c r="P187">
        <f t="shared" si="39"/>
        <v>8.8761696419442884E-2</v>
      </c>
    </row>
    <row r="188" spans="1:16" x14ac:dyDescent="0.3">
      <c r="A188">
        <v>9.6087372999999996</v>
      </c>
      <c r="B188">
        <v>0.38985999999999998</v>
      </c>
      <c r="C188">
        <f t="shared" si="25"/>
        <v>3.7460623237779997</v>
      </c>
      <c r="D188">
        <v>1.4999999999999999E-2</v>
      </c>
      <c r="E188">
        <v>9.9000000000000008E-3</v>
      </c>
      <c r="F188">
        <f t="shared" si="26"/>
        <v>1921.7474599999998</v>
      </c>
      <c r="G188">
        <f t="shared" ref="G188:G211" si="40">-B188</f>
        <v>-0.38985999999999998</v>
      </c>
      <c r="H188">
        <f t="shared" si="28"/>
        <v>-749.21246475559997</v>
      </c>
      <c r="I188">
        <v>1</v>
      </c>
      <c r="J188">
        <f t="shared" si="29"/>
        <v>0.6532349075342494</v>
      </c>
      <c r="K188">
        <f t="shared" ref="K188:K211" si="41">((-G188)-$N$2)</f>
        <v>-0.83186515177521747</v>
      </c>
      <c r="L188">
        <v>1</v>
      </c>
      <c r="M188">
        <f t="shared" si="31"/>
        <v>0.50252744924955495</v>
      </c>
      <c r="N188">
        <f t="shared" ref="N188:N211" si="42">D188*A188</f>
        <v>0.14413105949999999</v>
      </c>
      <c r="O188">
        <f t="shared" ref="O188:O211" si="43">E188*A188</f>
        <v>9.5126499269999998E-2</v>
      </c>
      <c r="P188">
        <f t="shared" ref="P188:P211" si="44">-K188-M188-N188-O188</f>
        <v>9.0080143755662534E-2</v>
      </c>
    </row>
    <row r="189" spans="1:16" x14ac:dyDescent="0.3">
      <c r="A189">
        <v>9.6596563</v>
      </c>
      <c r="B189">
        <v>0.38707000000000003</v>
      </c>
      <c r="C189">
        <f t="shared" si="25"/>
        <v>3.7389631640410004</v>
      </c>
      <c r="D189">
        <v>1.4999999999999999E-2</v>
      </c>
      <c r="E189">
        <v>9.9000000000000008E-3</v>
      </c>
      <c r="F189">
        <f t="shared" si="26"/>
        <v>1931.9312600000001</v>
      </c>
      <c r="G189">
        <f t="shared" si="40"/>
        <v>-0.38707000000000003</v>
      </c>
      <c r="H189">
        <f t="shared" si="28"/>
        <v>-747.7926328082001</v>
      </c>
      <c r="I189">
        <v>1</v>
      </c>
      <c r="J189">
        <f t="shared" si="29"/>
        <v>0.65852015544720843</v>
      </c>
      <c r="K189">
        <f t="shared" si="41"/>
        <v>-0.83465515177521743</v>
      </c>
      <c r="L189">
        <v>1</v>
      </c>
      <c r="M189">
        <f t="shared" si="31"/>
        <v>0.50277897419773265</v>
      </c>
      <c r="N189">
        <f t="shared" si="42"/>
        <v>0.14489484449999998</v>
      </c>
      <c r="O189">
        <f t="shared" si="43"/>
        <v>9.5630597370000014E-2</v>
      </c>
      <c r="P189">
        <f t="shared" si="44"/>
        <v>9.1350735707484781E-2</v>
      </c>
    </row>
    <row r="190" spans="1:16" x14ac:dyDescent="0.3">
      <c r="A190">
        <v>9.7121016000000004</v>
      </c>
      <c r="B190">
        <v>0.38388</v>
      </c>
      <c r="C190">
        <f t="shared" si="25"/>
        <v>3.7282815622080001</v>
      </c>
      <c r="D190">
        <v>1.4999999999999999E-2</v>
      </c>
      <c r="E190">
        <v>9.9000000000000008E-3</v>
      </c>
      <c r="F190">
        <f t="shared" si="26"/>
        <v>1942.4203200000002</v>
      </c>
      <c r="G190">
        <f t="shared" si="40"/>
        <v>-0.38388</v>
      </c>
      <c r="H190">
        <f t="shared" si="28"/>
        <v>-745.65631244159999</v>
      </c>
      <c r="I190">
        <v>1</v>
      </c>
      <c r="J190">
        <f t="shared" si="29"/>
        <v>0.66393478311333154</v>
      </c>
      <c r="K190">
        <f t="shared" si="41"/>
        <v>-0.83784515177521746</v>
      </c>
      <c r="L190">
        <v>1</v>
      </c>
      <c r="M190">
        <f t="shared" si="31"/>
        <v>0.50303665632836347</v>
      </c>
      <c r="N190">
        <f t="shared" si="42"/>
        <v>0.14568152400000001</v>
      </c>
      <c r="O190">
        <f t="shared" si="43"/>
        <v>9.6149805840000019E-2</v>
      </c>
      <c r="P190">
        <f t="shared" si="44"/>
        <v>9.2977165606853956E-2</v>
      </c>
    </row>
    <row r="191" spans="1:16" x14ac:dyDescent="0.3">
      <c r="A191">
        <v>9.7635302999999993</v>
      </c>
      <c r="B191">
        <v>0.38107999999999997</v>
      </c>
      <c r="C191">
        <f t="shared" si="25"/>
        <v>3.7206861267239995</v>
      </c>
      <c r="D191">
        <v>1.4999999999999999E-2</v>
      </c>
      <c r="E191">
        <v>9.9000000000000008E-3</v>
      </c>
      <c r="F191">
        <f t="shared" si="26"/>
        <v>1952.70606</v>
      </c>
      <c r="G191">
        <f t="shared" si="40"/>
        <v>-0.38107999999999997</v>
      </c>
      <c r="H191">
        <f t="shared" si="28"/>
        <v>-744.13722534479984</v>
      </c>
      <c r="I191">
        <v>1</v>
      </c>
      <c r="J191">
        <f t="shared" si="29"/>
        <v>0.66921613365479748</v>
      </c>
      <c r="K191">
        <f t="shared" si="41"/>
        <v>-0.84064515177521748</v>
      </c>
      <c r="L191">
        <v>1</v>
      </c>
      <c r="M191">
        <f t="shared" si="31"/>
        <v>0.50328799580063188</v>
      </c>
      <c r="N191">
        <f t="shared" si="42"/>
        <v>0.14645295449999998</v>
      </c>
      <c r="O191">
        <f t="shared" si="43"/>
        <v>9.6658949970000005E-2</v>
      </c>
      <c r="P191">
        <f t="shared" si="44"/>
        <v>9.4245251504585612E-2</v>
      </c>
    </row>
    <row r="192" spans="1:16" x14ac:dyDescent="0.3">
      <c r="A192">
        <v>9.8144473000000012</v>
      </c>
      <c r="B192">
        <v>0.37827</v>
      </c>
      <c r="C192">
        <f t="shared" si="25"/>
        <v>3.7125109801710003</v>
      </c>
      <c r="D192">
        <v>1.4999999999999999E-2</v>
      </c>
      <c r="E192">
        <v>9.9000000000000008E-3</v>
      </c>
      <c r="F192">
        <f t="shared" si="26"/>
        <v>1962.8894600000003</v>
      </c>
      <c r="G192">
        <f t="shared" si="40"/>
        <v>-0.37827</v>
      </c>
      <c r="H192">
        <f t="shared" si="28"/>
        <v>-742.5021960342001</v>
      </c>
      <c r="I192">
        <v>1</v>
      </c>
      <c r="J192">
        <f t="shared" si="29"/>
        <v>0.6744176019410546</v>
      </c>
      <c r="K192">
        <f t="shared" si="41"/>
        <v>-0.84345515177521746</v>
      </c>
      <c r="L192">
        <v>1</v>
      </c>
      <c r="M192">
        <f t="shared" si="31"/>
        <v>0.50353553367637482</v>
      </c>
      <c r="N192">
        <f t="shared" si="42"/>
        <v>0.14721670950000001</v>
      </c>
      <c r="O192">
        <f t="shared" si="43"/>
        <v>9.7163028270000021E-2</v>
      </c>
      <c r="P192">
        <f t="shared" si="44"/>
        <v>9.55398803288426E-2</v>
      </c>
    </row>
    <row r="193" spans="1:16" x14ac:dyDescent="0.3">
      <c r="A193">
        <v>9.8653662000000004</v>
      </c>
      <c r="B193">
        <v>0.37509999999999999</v>
      </c>
      <c r="C193">
        <f t="shared" si="25"/>
        <v>3.7004988616199999</v>
      </c>
      <c r="D193">
        <v>1.4999999999999999E-2</v>
      </c>
      <c r="E193">
        <v>9.9000000000000008E-3</v>
      </c>
      <c r="F193">
        <f t="shared" si="26"/>
        <v>1973.0732400000002</v>
      </c>
      <c r="G193">
        <f t="shared" si="40"/>
        <v>-0.37509999999999999</v>
      </c>
      <c r="H193">
        <f t="shared" si="28"/>
        <v>-740.09977232400001</v>
      </c>
      <c r="I193">
        <v>1</v>
      </c>
      <c r="J193">
        <f t="shared" si="29"/>
        <v>0.67959234748683295</v>
      </c>
      <c r="K193">
        <f t="shared" si="41"/>
        <v>-0.84662515177521747</v>
      </c>
      <c r="L193">
        <v>1</v>
      </c>
      <c r="M193">
        <f t="shared" si="31"/>
        <v>0.50378179981689841</v>
      </c>
      <c r="N193">
        <f t="shared" si="42"/>
        <v>0.14798049299999999</v>
      </c>
      <c r="O193">
        <f t="shared" si="43"/>
        <v>9.7667125380000011E-2</v>
      </c>
      <c r="P193">
        <f t="shared" si="44"/>
        <v>9.7195733578319052E-2</v>
      </c>
    </row>
    <row r="194" spans="1:16" x14ac:dyDescent="0.3">
      <c r="A194">
        <v>9.9162841999999998</v>
      </c>
      <c r="B194">
        <v>0.37195</v>
      </c>
      <c r="C194">
        <f t="shared" si="25"/>
        <v>3.6883619081900001</v>
      </c>
      <c r="D194">
        <v>1.4999999999999999E-2</v>
      </c>
      <c r="E194">
        <v>9.9000000000000008E-3</v>
      </c>
      <c r="F194">
        <f t="shared" si="26"/>
        <v>1983.25684</v>
      </c>
      <c r="G194">
        <f t="shared" si="40"/>
        <v>-0.37195</v>
      </c>
      <c r="H194">
        <f t="shared" si="28"/>
        <v>-737.67238163800005</v>
      </c>
      <c r="I194">
        <v>1</v>
      </c>
      <c r="J194">
        <f t="shared" si="29"/>
        <v>0.68474036207843469</v>
      </c>
      <c r="K194">
        <f t="shared" si="41"/>
        <v>-0.84977515177521745</v>
      </c>
      <c r="L194">
        <v>1</v>
      </c>
      <c r="M194">
        <f t="shared" si="31"/>
        <v>0.50402679383131277</v>
      </c>
      <c r="N194">
        <f t="shared" si="42"/>
        <v>0.14874426299999999</v>
      </c>
      <c r="O194">
        <f t="shared" si="43"/>
        <v>9.817121358E-2</v>
      </c>
      <c r="P194">
        <f t="shared" si="44"/>
        <v>9.8832881363904695E-2</v>
      </c>
    </row>
    <row r="195" spans="1:16" x14ac:dyDescent="0.3">
      <c r="A195">
        <v>9.9682217000000009</v>
      </c>
      <c r="B195">
        <v>0.36913000000000001</v>
      </c>
      <c r="C195">
        <f t="shared" si="25"/>
        <v>3.6795696761210004</v>
      </c>
      <c r="D195">
        <v>1.4999999999999999E-2</v>
      </c>
      <c r="E195">
        <v>9.9000000000000008E-3</v>
      </c>
      <c r="F195">
        <f t="shared" si="26"/>
        <v>1993.6443400000003</v>
      </c>
      <c r="G195">
        <f t="shared" si="40"/>
        <v>-0.36913000000000001</v>
      </c>
      <c r="H195">
        <f t="shared" si="28"/>
        <v>-735.91393522420003</v>
      </c>
      <c r="I195">
        <v>1</v>
      </c>
      <c r="J195">
        <f t="shared" si="29"/>
        <v>0.68996429053541553</v>
      </c>
      <c r="K195">
        <f t="shared" si="41"/>
        <v>-0.8525951517752175</v>
      </c>
      <c r="L195">
        <v>1</v>
      </c>
      <c r="M195">
        <f t="shared" si="31"/>
        <v>0.50427540058658049</v>
      </c>
      <c r="N195">
        <f t="shared" si="42"/>
        <v>0.1495233255</v>
      </c>
      <c r="O195">
        <f t="shared" si="43"/>
        <v>9.8685394830000023E-2</v>
      </c>
      <c r="P195">
        <f t="shared" si="44"/>
        <v>0.10011103085863698</v>
      </c>
    </row>
    <row r="196" spans="1:16" x14ac:dyDescent="0.3">
      <c r="A196">
        <v>10.021176000000001</v>
      </c>
      <c r="B196">
        <v>0.36598000000000003</v>
      </c>
      <c r="C196">
        <f t="shared" si="25"/>
        <v>3.6675499924800006</v>
      </c>
      <c r="D196">
        <v>1.4999999999999999E-2</v>
      </c>
      <c r="E196">
        <v>9.9000000000000008E-3</v>
      </c>
      <c r="F196">
        <f t="shared" si="26"/>
        <v>2004.2352000000001</v>
      </c>
      <c r="G196">
        <f t="shared" si="40"/>
        <v>-0.36598000000000003</v>
      </c>
      <c r="H196">
        <f t="shared" si="28"/>
        <v>-733.50999849600009</v>
      </c>
      <c r="I196">
        <v>1</v>
      </c>
      <c r="J196">
        <f t="shared" si="29"/>
        <v>0.69526254160531509</v>
      </c>
      <c r="K196">
        <f t="shared" si="41"/>
        <v>-0.85574515177521748</v>
      </c>
      <c r="L196">
        <v>1</v>
      </c>
      <c r="M196">
        <f t="shared" si="31"/>
        <v>0.50452754435499703</v>
      </c>
      <c r="N196">
        <f t="shared" si="42"/>
        <v>0.15031764</v>
      </c>
      <c r="O196">
        <f t="shared" si="43"/>
        <v>9.920964240000002E-2</v>
      </c>
      <c r="P196">
        <f t="shared" si="44"/>
        <v>0.10169032502022043</v>
      </c>
    </row>
    <row r="197" spans="1:16" x14ac:dyDescent="0.3">
      <c r="A197">
        <v>10.072095000000001</v>
      </c>
      <c r="B197">
        <v>0.36342000000000002</v>
      </c>
      <c r="C197">
        <f t="shared" ref="C197:C211" si="45">A197*B197</f>
        <v>3.6604007649000003</v>
      </c>
      <c r="D197">
        <v>1.4999999999999999E-2</v>
      </c>
      <c r="E197">
        <v>9.9000000000000008E-3</v>
      </c>
      <c r="F197">
        <f t="shared" ref="F197:F260" si="46">A197*200</f>
        <v>2014.4190000000001</v>
      </c>
      <c r="G197">
        <f t="shared" si="40"/>
        <v>-0.36342000000000002</v>
      </c>
      <c r="H197">
        <f t="shared" ref="H197:H211" si="47">-C197*200</f>
        <v>-732.08015298000009</v>
      </c>
      <c r="I197">
        <v>1</v>
      </c>
      <c r="J197">
        <f t="shared" ref="J197:J260" si="48">LN(F197/1000)</f>
        <v>0.70033081635242334</v>
      </c>
      <c r="K197">
        <f t="shared" si="41"/>
        <v>-0.85830515177521738</v>
      </c>
      <c r="L197">
        <v>1</v>
      </c>
      <c r="M197">
        <f t="shared" ref="M197:M260" si="49">-1*($S$4+($S$5*J197))</f>
        <v>0.50476874355021184</v>
      </c>
      <c r="N197">
        <f t="shared" si="42"/>
        <v>0.15108142500000002</v>
      </c>
      <c r="O197">
        <f t="shared" si="43"/>
        <v>9.9713740500000023E-2</v>
      </c>
      <c r="P197">
        <f t="shared" si="44"/>
        <v>0.1027412427250055</v>
      </c>
    </row>
    <row r="198" spans="1:16" x14ac:dyDescent="0.3">
      <c r="A198">
        <v>10.123013</v>
      </c>
      <c r="B198">
        <v>0.36008000000000001</v>
      </c>
      <c r="C198">
        <f t="shared" si="45"/>
        <v>3.6450945210400003</v>
      </c>
      <c r="D198">
        <v>1.4999999999999999E-2</v>
      </c>
      <c r="E198">
        <v>9.9000000000000008E-3</v>
      </c>
      <c r="F198">
        <f t="shared" si="46"/>
        <v>2024.6026000000002</v>
      </c>
      <c r="G198">
        <f t="shared" si="40"/>
        <v>-0.36008000000000001</v>
      </c>
      <c r="H198">
        <f t="shared" si="47"/>
        <v>-729.01890420800009</v>
      </c>
      <c r="I198">
        <v>1</v>
      </c>
      <c r="J198">
        <f t="shared" si="48"/>
        <v>0.70537343438597699</v>
      </c>
      <c r="K198">
        <f t="shared" si="41"/>
        <v>-0.8616451517752175</v>
      </c>
      <c r="L198">
        <v>1</v>
      </c>
      <c r="M198">
        <f t="shared" si="49"/>
        <v>0.50500872174242861</v>
      </c>
      <c r="N198">
        <f t="shared" si="42"/>
        <v>0.15184519499999999</v>
      </c>
      <c r="O198">
        <f t="shared" si="43"/>
        <v>0.10021782870000001</v>
      </c>
      <c r="P198">
        <f t="shared" si="44"/>
        <v>0.10457340633278889</v>
      </c>
    </row>
    <row r="199" spans="1:16" x14ac:dyDescent="0.3">
      <c r="A199">
        <v>10.175459</v>
      </c>
      <c r="B199">
        <v>0.35711999999999999</v>
      </c>
      <c r="C199">
        <f t="shared" si="45"/>
        <v>3.6338599180799998</v>
      </c>
      <c r="D199">
        <v>1.4999999999999999E-2</v>
      </c>
      <c r="E199">
        <v>9.9000000000000008E-3</v>
      </c>
      <c r="F199">
        <f t="shared" si="46"/>
        <v>2035.0917999999999</v>
      </c>
      <c r="G199">
        <f t="shared" si="40"/>
        <v>-0.35711999999999999</v>
      </c>
      <c r="H199">
        <f t="shared" si="47"/>
        <v>-726.77198361599994</v>
      </c>
      <c r="I199">
        <v>1</v>
      </c>
      <c r="J199">
        <f t="shared" si="48"/>
        <v>0.71054092844221795</v>
      </c>
      <c r="K199">
        <f t="shared" si="41"/>
        <v>-0.86460515177521746</v>
      </c>
      <c r="L199">
        <v>1</v>
      </c>
      <c r="M199">
        <f t="shared" si="49"/>
        <v>0.50525464278456522</v>
      </c>
      <c r="N199">
        <f t="shared" si="42"/>
        <v>0.15263188499999999</v>
      </c>
      <c r="O199">
        <f t="shared" si="43"/>
        <v>0.10073704410000001</v>
      </c>
      <c r="P199">
        <f t="shared" si="44"/>
        <v>0.10598157989065224</v>
      </c>
    </row>
    <row r="200" spans="1:16" x14ac:dyDescent="0.3">
      <c r="A200">
        <v>10.225866999999999</v>
      </c>
      <c r="B200">
        <v>0.35432999999999998</v>
      </c>
      <c r="C200">
        <f t="shared" si="45"/>
        <v>3.6233314541099997</v>
      </c>
      <c r="D200">
        <v>1.4999999999999999E-2</v>
      </c>
      <c r="E200">
        <v>9.9000000000000008E-3</v>
      </c>
      <c r="F200">
        <f t="shared" si="46"/>
        <v>2045.1733999999999</v>
      </c>
      <c r="G200">
        <f t="shared" si="40"/>
        <v>-0.35432999999999998</v>
      </c>
      <c r="H200">
        <f t="shared" si="47"/>
        <v>-724.66629082199995</v>
      </c>
      <c r="I200">
        <v>1</v>
      </c>
      <c r="J200">
        <f t="shared" si="48"/>
        <v>0.71548257807615079</v>
      </c>
      <c r="K200">
        <f t="shared" si="41"/>
        <v>-0.86739515177521742</v>
      </c>
      <c r="L200">
        <v>1</v>
      </c>
      <c r="M200">
        <f t="shared" si="49"/>
        <v>0.50548981589064401</v>
      </c>
      <c r="N200">
        <f t="shared" si="42"/>
        <v>0.15338800499999999</v>
      </c>
      <c r="O200">
        <f t="shared" si="43"/>
        <v>0.1012360833</v>
      </c>
      <c r="P200">
        <f t="shared" si="44"/>
        <v>0.10728124758457341</v>
      </c>
    </row>
    <row r="201" spans="1:16" x14ac:dyDescent="0.3">
      <c r="A201">
        <v>10.28035</v>
      </c>
      <c r="B201">
        <v>0.35141</v>
      </c>
      <c r="C201">
        <f t="shared" si="45"/>
        <v>3.6126177935000001</v>
      </c>
      <c r="D201">
        <v>1.4999999999999999E-2</v>
      </c>
      <c r="E201">
        <v>9.9000000000000008E-3</v>
      </c>
      <c r="F201">
        <f t="shared" si="46"/>
        <v>2056.0700000000002</v>
      </c>
      <c r="G201">
        <f t="shared" si="40"/>
        <v>-0.35141</v>
      </c>
      <c r="H201">
        <f t="shared" si="47"/>
        <v>-722.52355869999997</v>
      </c>
      <c r="I201">
        <v>1</v>
      </c>
      <c r="J201">
        <f t="shared" si="48"/>
        <v>0.72079639370595028</v>
      </c>
      <c r="K201">
        <f t="shared" si="41"/>
        <v>-0.87031515177521745</v>
      </c>
      <c r="L201">
        <v>1</v>
      </c>
      <c r="M201">
        <f t="shared" si="49"/>
        <v>0.50574270037646618</v>
      </c>
      <c r="N201">
        <f t="shared" si="42"/>
        <v>0.15420524999999999</v>
      </c>
      <c r="O201">
        <f t="shared" si="43"/>
        <v>0.10177546500000001</v>
      </c>
      <c r="P201">
        <f t="shared" si="44"/>
        <v>0.10859173639875128</v>
      </c>
    </row>
    <row r="202" spans="1:16" x14ac:dyDescent="0.3">
      <c r="A202">
        <v>10.330759</v>
      </c>
      <c r="B202">
        <v>0.34841</v>
      </c>
      <c r="C202">
        <f t="shared" si="45"/>
        <v>3.5993397431900003</v>
      </c>
      <c r="D202">
        <v>1.4999999999999999E-2</v>
      </c>
      <c r="E202">
        <v>9.9000000000000008E-3</v>
      </c>
      <c r="F202">
        <f t="shared" si="46"/>
        <v>2066.1518000000001</v>
      </c>
      <c r="G202">
        <f t="shared" si="40"/>
        <v>-0.34841</v>
      </c>
      <c r="H202">
        <f t="shared" si="47"/>
        <v>-719.86794863800003</v>
      </c>
      <c r="I202">
        <v>1</v>
      </c>
      <c r="J202">
        <f t="shared" si="48"/>
        <v>0.72568784331288572</v>
      </c>
      <c r="K202">
        <f t="shared" si="41"/>
        <v>-0.87331515177521746</v>
      </c>
      <c r="L202">
        <v>1</v>
      </c>
      <c r="M202">
        <f t="shared" si="49"/>
        <v>0.50597548446326024</v>
      </c>
      <c r="N202">
        <f t="shared" si="42"/>
        <v>0.15496138500000001</v>
      </c>
      <c r="O202">
        <f t="shared" si="43"/>
        <v>0.10227451410000002</v>
      </c>
      <c r="P202">
        <f t="shared" si="44"/>
        <v>0.11010376821195719</v>
      </c>
    </row>
    <row r="203" spans="1:16" x14ac:dyDescent="0.3">
      <c r="A203">
        <v>10.381169</v>
      </c>
      <c r="B203">
        <v>0.34533999999999998</v>
      </c>
      <c r="C203">
        <f t="shared" si="45"/>
        <v>3.5850329024599996</v>
      </c>
      <c r="D203">
        <v>1.4999999999999999E-2</v>
      </c>
      <c r="E203">
        <v>9.9000000000000008E-3</v>
      </c>
      <c r="F203">
        <f t="shared" si="46"/>
        <v>2076.2338</v>
      </c>
      <c r="G203">
        <f t="shared" si="40"/>
        <v>-0.34533999999999998</v>
      </c>
      <c r="H203">
        <f t="shared" si="47"/>
        <v>-717.0065804919999</v>
      </c>
      <c r="I203">
        <v>1</v>
      </c>
      <c r="J203">
        <f t="shared" si="48"/>
        <v>0.73055557938633031</v>
      </c>
      <c r="K203">
        <f t="shared" si="41"/>
        <v>-0.87638515177521747</v>
      </c>
      <c r="L203">
        <v>1</v>
      </c>
      <c r="M203">
        <f t="shared" si="49"/>
        <v>0.50620714002299549</v>
      </c>
      <c r="N203">
        <f t="shared" si="42"/>
        <v>0.15571753499999999</v>
      </c>
      <c r="O203">
        <f t="shared" si="43"/>
        <v>0.1027735731</v>
      </c>
      <c r="P203">
        <f t="shared" si="44"/>
        <v>0.11168690365222199</v>
      </c>
    </row>
    <row r="204" spans="1:16" x14ac:dyDescent="0.3">
      <c r="A204">
        <v>10.432597000000001</v>
      </c>
      <c r="B204">
        <v>0.34233999999999998</v>
      </c>
      <c r="C204">
        <f t="shared" si="45"/>
        <v>3.57149525698</v>
      </c>
      <c r="D204">
        <v>1.4999999999999999E-2</v>
      </c>
      <c r="E204">
        <v>9.9000000000000008E-3</v>
      </c>
      <c r="F204">
        <f t="shared" si="46"/>
        <v>2086.5194000000001</v>
      </c>
      <c r="G204">
        <f t="shared" si="40"/>
        <v>-0.34233999999999998</v>
      </c>
      <c r="H204">
        <f t="shared" si="47"/>
        <v>-714.29905139599998</v>
      </c>
      <c r="I204">
        <v>1</v>
      </c>
      <c r="J204">
        <f t="shared" si="48"/>
        <v>0.73549731887348724</v>
      </c>
      <c r="K204">
        <f t="shared" si="41"/>
        <v>-0.87938515177521748</v>
      </c>
      <c r="L204">
        <v>1</v>
      </c>
      <c r="M204">
        <f t="shared" si="49"/>
        <v>0.5064423174051893</v>
      </c>
      <c r="N204">
        <f t="shared" si="42"/>
        <v>0.15648895500000001</v>
      </c>
      <c r="O204">
        <f t="shared" si="43"/>
        <v>0.10328271030000002</v>
      </c>
      <c r="P204">
        <f t="shared" si="44"/>
        <v>0.11317116907002814</v>
      </c>
    </row>
    <row r="205" spans="1:16" x14ac:dyDescent="0.3">
      <c r="A205">
        <v>10.485551000000001</v>
      </c>
      <c r="B205">
        <v>0.33925</v>
      </c>
      <c r="C205">
        <f t="shared" si="45"/>
        <v>3.5572231767500004</v>
      </c>
      <c r="D205">
        <v>1.4999999999999999E-2</v>
      </c>
      <c r="E205">
        <v>9.9000000000000008E-3</v>
      </c>
      <c r="F205">
        <f t="shared" si="46"/>
        <v>2097.1102000000001</v>
      </c>
      <c r="G205">
        <f t="shared" si="40"/>
        <v>-0.33925</v>
      </c>
      <c r="H205">
        <f t="shared" si="47"/>
        <v>-711.44463535000011</v>
      </c>
      <c r="I205">
        <v>1</v>
      </c>
      <c r="J205">
        <f t="shared" si="48"/>
        <v>0.74056030180272359</v>
      </c>
      <c r="K205">
        <f t="shared" si="41"/>
        <v>-0.8824751517752174</v>
      </c>
      <c r="L205">
        <v>1</v>
      </c>
      <c r="M205">
        <f t="shared" si="49"/>
        <v>0.50668326476279169</v>
      </c>
      <c r="N205">
        <f t="shared" si="42"/>
        <v>0.15728326500000001</v>
      </c>
      <c r="O205">
        <f t="shared" si="43"/>
        <v>0.10380695490000001</v>
      </c>
      <c r="P205">
        <f t="shared" si="44"/>
        <v>0.1147016671124257</v>
      </c>
    </row>
    <row r="206" spans="1:16" x14ac:dyDescent="0.3">
      <c r="A206">
        <v>10.53647</v>
      </c>
      <c r="B206">
        <v>0.33635999999999999</v>
      </c>
      <c r="C206">
        <f t="shared" si="45"/>
        <v>3.5440470491999996</v>
      </c>
      <c r="D206">
        <v>1.4999999999999999E-2</v>
      </c>
      <c r="E206">
        <v>9.9000000000000008E-3</v>
      </c>
      <c r="F206">
        <f t="shared" si="46"/>
        <v>2107.2939999999999</v>
      </c>
      <c r="G206">
        <f t="shared" si="40"/>
        <v>-0.33635999999999999</v>
      </c>
      <c r="H206">
        <f t="shared" si="47"/>
        <v>-708.80940983999994</v>
      </c>
      <c r="I206">
        <v>1</v>
      </c>
      <c r="J206">
        <f t="shared" si="48"/>
        <v>0.74540465997168648</v>
      </c>
      <c r="K206">
        <f t="shared" si="41"/>
        <v>-0.88536515177521746</v>
      </c>
      <c r="L206">
        <v>1</v>
      </c>
      <c r="M206">
        <f t="shared" si="49"/>
        <v>0.50691380776805262</v>
      </c>
      <c r="N206">
        <f t="shared" si="42"/>
        <v>0.15804704999999999</v>
      </c>
      <c r="O206">
        <f t="shared" si="43"/>
        <v>0.104311053</v>
      </c>
      <c r="P206">
        <f t="shared" si="44"/>
        <v>0.11609324100716485</v>
      </c>
    </row>
    <row r="207" spans="1:16" x14ac:dyDescent="0.3">
      <c r="A207">
        <v>10.587388000000001</v>
      </c>
      <c r="B207">
        <v>0.33318999999999999</v>
      </c>
      <c r="C207">
        <f t="shared" si="45"/>
        <v>3.52761180772</v>
      </c>
      <c r="D207">
        <v>1.4999999999999999E-2</v>
      </c>
      <c r="E207">
        <v>9.9000000000000008E-3</v>
      </c>
      <c r="F207">
        <f t="shared" si="46"/>
        <v>2117.4776000000002</v>
      </c>
      <c r="G207">
        <f t="shared" si="40"/>
        <v>-0.33318999999999999</v>
      </c>
      <c r="H207">
        <f t="shared" si="47"/>
        <v>-705.52236154399998</v>
      </c>
      <c r="I207">
        <v>1</v>
      </c>
      <c r="J207">
        <f t="shared" si="48"/>
        <v>0.75022556897572279</v>
      </c>
      <c r="K207">
        <f t="shared" si="41"/>
        <v>-0.88853515177521747</v>
      </c>
      <c r="L207">
        <v>1</v>
      </c>
      <c r="M207">
        <f t="shared" si="49"/>
        <v>0.50714323482755463</v>
      </c>
      <c r="N207">
        <f t="shared" si="42"/>
        <v>0.15881081999999999</v>
      </c>
      <c r="O207">
        <f t="shared" si="43"/>
        <v>0.10481514120000002</v>
      </c>
      <c r="P207">
        <f t="shared" si="44"/>
        <v>0.11776595574766283</v>
      </c>
    </row>
    <row r="208" spans="1:16" x14ac:dyDescent="0.3">
      <c r="A208">
        <v>10.638306999999999</v>
      </c>
      <c r="B208">
        <v>0.33024999999999999</v>
      </c>
      <c r="C208">
        <f t="shared" si="45"/>
        <v>3.5133008867499997</v>
      </c>
      <c r="D208">
        <v>1.4999999999999999E-2</v>
      </c>
      <c r="E208">
        <v>9.9000000000000008E-3</v>
      </c>
      <c r="F208">
        <f t="shared" si="46"/>
        <v>2127.6614</v>
      </c>
      <c r="G208">
        <f t="shared" si="40"/>
        <v>-0.33024999999999999</v>
      </c>
      <c r="H208">
        <f t="shared" si="47"/>
        <v>-702.66017734999991</v>
      </c>
      <c r="I208">
        <v>1</v>
      </c>
      <c r="J208">
        <f t="shared" si="48"/>
        <v>0.75502344227766471</v>
      </c>
      <c r="K208">
        <f t="shared" si="41"/>
        <v>-0.89147515177521752</v>
      </c>
      <c r="L208">
        <v>1</v>
      </c>
      <c r="M208">
        <f t="shared" si="49"/>
        <v>0.50737156561799412</v>
      </c>
      <c r="N208">
        <f t="shared" si="42"/>
        <v>0.15957460499999998</v>
      </c>
      <c r="O208">
        <f t="shared" si="43"/>
        <v>0.10531923930000001</v>
      </c>
      <c r="P208">
        <f t="shared" si="44"/>
        <v>0.11920974185722341</v>
      </c>
    </row>
    <row r="209" spans="1:16" x14ac:dyDescent="0.3">
      <c r="A209">
        <v>10.693298</v>
      </c>
      <c r="B209">
        <v>0.32726</v>
      </c>
      <c r="C209">
        <f t="shared" si="45"/>
        <v>3.49948870348</v>
      </c>
      <c r="D209">
        <v>1.4999999999999999E-2</v>
      </c>
      <c r="E209">
        <v>9.9000000000000008E-3</v>
      </c>
      <c r="F209">
        <f t="shared" si="46"/>
        <v>2138.6596</v>
      </c>
      <c r="G209">
        <f t="shared" si="40"/>
        <v>-0.32726</v>
      </c>
      <c r="H209">
        <f t="shared" si="47"/>
        <v>-699.89774069600003</v>
      </c>
      <c r="I209">
        <v>1</v>
      </c>
      <c r="J209">
        <f t="shared" si="48"/>
        <v>0.76017927765124316</v>
      </c>
      <c r="K209">
        <f t="shared" si="41"/>
        <v>-0.89446515177521746</v>
      </c>
      <c r="L209">
        <v>1</v>
      </c>
      <c r="M209">
        <f t="shared" si="49"/>
        <v>0.50761693182342271</v>
      </c>
      <c r="N209">
        <f t="shared" si="42"/>
        <v>0.16039946999999999</v>
      </c>
      <c r="O209">
        <f t="shared" si="43"/>
        <v>0.10586365020000001</v>
      </c>
      <c r="P209">
        <f t="shared" si="44"/>
        <v>0.12058509975179475</v>
      </c>
    </row>
    <row r="210" spans="1:16" x14ac:dyDescent="0.3">
      <c r="A210">
        <v>10.746762</v>
      </c>
      <c r="B210">
        <v>0.32401000000000002</v>
      </c>
      <c r="C210">
        <f t="shared" si="45"/>
        <v>3.4820583556200004</v>
      </c>
      <c r="D210">
        <v>1.4999999999999999E-2</v>
      </c>
      <c r="E210">
        <v>9.9000000000000008E-3</v>
      </c>
      <c r="F210">
        <f t="shared" si="46"/>
        <v>2149.3524000000002</v>
      </c>
      <c r="G210">
        <f t="shared" si="40"/>
        <v>-0.32401000000000002</v>
      </c>
      <c r="H210">
        <f t="shared" si="47"/>
        <v>-696.41167112400012</v>
      </c>
      <c r="I210">
        <v>1</v>
      </c>
      <c r="J210">
        <f t="shared" si="48"/>
        <v>0.76516658746461264</v>
      </c>
      <c r="K210">
        <f t="shared" si="41"/>
        <v>-0.89771515177521743</v>
      </c>
      <c r="L210">
        <v>1</v>
      </c>
      <c r="M210">
        <f t="shared" si="49"/>
        <v>0.50785427789744098</v>
      </c>
      <c r="N210">
        <f t="shared" si="42"/>
        <v>0.16120143000000001</v>
      </c>
      <c r="O210">
        <f t="shared" si="43"/>
        <v>0.10639294380000001</v>
      </c>
      <c r="P210">
        <f t="shared" si="44"/>
        <v>0.12226650007777644</v>
      </c>
    </row>
    <row r="211" spans="1:16" x14ac:dyDescent="0.3">
      <c r="A211">
        <v>10.797171000000001</v>
      </c>
      <c r="B211">
        <v>0.32101000000000002</v>
      </c>
      <c r="C211">
        <f t="shared" si="45"/>
        <v>3.4659998627100004</v>
      </c>
      <c r="D211">
        <v>1.4999999999999999E-2</v>
      </c>
      <c r="E211">
        <v>9.9000000000000008E-3</v>
      </c>
      <c r="F211">
        <f t="shared" si="46"/>
        <v>2159.4342000000001</v>
      </c>
      <c r="G211">
        <f t="shared" si="40"/>
        <v>-0.32101000000000002</v>
      </c>
      <c r="H211">
        <f t="shared" si="47"/>
        <v>-693.19997254200007</v>
      </c>
      <c r="I211">
        <v>1</v>
      </c>
      <c r="J211">
        <f t="shared" si="48"/>
        <v>0.76984624293819104</v>
      </c>
      <c r="K211">
        <f t="shared" si="41"/>
        <v>-0.90071515177521744</v>
      </c>
      <c r="L211">
        <v>1</v>
      </c>
      <c r="M211">
        <f t="shared" si="49"/>
        <v>0.50807698270142854</v>
      </c>
      <c r="N211">
        <f t="shared" si="42"/>
        <v>0.161957565</v>
      </c>
      <c r="O211">
        <f t="shared" si="43"/>
        <v>0.10689199290000001</v>
      </c>
      <c r="P211">
        <f t="shared" si="44"/>
        <v>0.12378861117378889</v>
      </c>
    </row>
    <row r="212" spans="1:16" x14ac:dyDescent="0.3">
      <c r="A212">
        <v>10.850125999999999</v>
      </c>
      <c r="B212">
        <v>0.31794</v>
      </c>
      <c r="C212">
        <f t="shared" ref="C212:C275" si="50">A212*B212</f>
        <v>3.4496890604399999</v>
      </c>
      <c r="D212">
        <v>1.4999999999999999E-2</v>
      </c>
      <c r="E212">
        <v>9.9000000000000008E-3</v>
      </c>
      <c r="F212">
        <f t="shared" si="46"/>
        <v>2170.0252</v>
      </c>
      <c r="G212">
        <f t="shared" ref="G212:G275" si="51">-B212</f>
        <v>-0.31794</v>
      </c>
      <c r="H212">
        <f t="shared" ref="H212:H275" si="52">-C212*200</f>
        <v>-689.93781208799999</v>
      </c>
      <c r="I212">
        <v>1</v>
      </c>
      <c r="J212">
        <f t="shared" si="48"/>
        <v>0.77473878038816479</v>
      </c>
      <c r="K212">
        <f t="shared" ref="K212:K275" si="53">((-G212)-$N$2)</f>
        <v>-0.90378515177521745</v>
      </c>
      <c r="L212">
        <v>1</v>
      </c>
      <c r="M212">
        <f t="shared" si="49"/>
        <v>0.50830981855867274</v>
      </c>
      <c r="N212">
        <f t="shared" ref="N212:N275" si="54">D212*A212</f>
        <v>0.16275188999999998</v>
      </c>
      <c r="O212">
        <f t="shared" ref="O212:O275" si="55">E212*A212</f>
        <v>0.1074162474</v>
      </c>
      <c r="P212">
        <f t="shared" ref="P212:P275" si="56">-K212-M212-N212-O212</f>
        <v>0.12530719581654473</v>
      </c>
    </row>
    <row r="213" spans="1:16" x14ac:dyDescent="0.3">
      <c r="A213">
        <v>10.900535</v>
      </c>
      <c r="B213">
        <v>0.31496000000000002</v>
      </c>
      <c r="C213">
        <f t="shared" si="50"/>
        <v>3.4332325036000002</v>
      </c>
      <c r="D213">
        <v>1.4999999999999999E-2</v>
      </c>
      <c r="E213">
        <v>9.9000000000000008E-3</v>
      </c>
      <c r="F213">
        <f t="shared" si="46"/>
        <v>2180.107</v>
      </c>
      <c r="G213">
        <f t="shared" si="51"/>
        <v>-0.31496000000000002</v>
      </c>
      <c r="H213">
        <f t="shared" si="52"/>
        <v>-686.64650072000006</v>
      </c>
      <c r="I213">
        <v>1</v>
      </c>
      <c r="J213">
        <f t="shared" si="48"/>
        <v>0.77937395816529509</v>
      </c>
      <c r="K213">
        <f t="shared" si="53"/>
        <v>-0.90676515177521744</v>
      </c>
      <c r="L213">
        <v>1</v>
      </c>
      <c r="M213">
        <f t="shared" si="49"/>
        <v>0.50853040666908644</v>
      </c>
      <c r="N213">
        <f t="shared" si="54"/>
        <v>0.163508025</v>
      </c>
      <c r="O213">
        <f t="shared" si="55"/>
        <v>0.10791529650000001</v>
      </c>
      <c r="P213">
        <f t="shared" si="56"/>
        <v>0.12681142360613099</v>
      </c>
    </row>
    <row r="214" spans="1:16" x14ac:dyDescent="0.3">
      <c r="A214">
        <v>10.953491</v>
      </c>
      <c r="B214">
        <v>0.31176999999999999</v>
      </c>
      <c r="C214">
        <f t="shared" si="50"/>
        <v>3.41496988907</v>
      </c>
      <c r="D214">
        <v>1.4999999999999999E-2</v>
      </c>
      <c r="E214">
        <v>9.9000000000000008E-3</v>
      </c>
      <c r="F214">
        <f t="shared" si="46"/>
        <v>2190.6981999999998</v>
      </c>
      <c r="G214">
        <f t="shared" si="51"/>
        <v>-0.31176999999999999</v>
      </c>
      <c r="H214">
        <f t="shared" si="52"/>
        <v>-682.993977814</v>
      </c>
      <c r="I214">
        <v>1</v>
      </c>
      <c r="J214">
        <f t="shared" si="48"/>
        <v>0.78422030580380042</v>
      </c>
      <c r="K214">
        <f t="shared" si="53"/>
        <v>-0.90995515177521746</v>
      </c>
      <c r="L214">
        <v>1</v>
      </c>
      <c r="M214">
        <f t="shared" si="49"/>
        <v>0.50876104435320291</v>
      </c>
      <c r="N214">
        <f t="shared" si="54"/>
        <v>0.16430236499999998</v>
      </c>
      <c r="O214">
        <f t="shared" si="55"/>
        <v>0.10843956090000001</v>
      </c>
      <c r="P214">
        <f t="shared" si="56"/>
        <v>0.12845218152201457</v>
      </c>
    </row>
    <row r="215" spans="1:16" x14ac:dyDescent="0.3">
      <c r="A215">
        <v>11.003900000000002</v>
      </c>
      <c r="B215">
        <v>0.30876999999999999</v>
      </c>
      <c r="C215">
        <f t="shared" si="50"/>
        <v>3.3976742030000002</v>
      </c>
      <c r="D215">
        <v>1.4999999999999999E-2</v>
      </c>
      <c r="E215">
        <v>9.9000000000000008E-3</v>
      </c>
      <c r="F215">
        <f t="shared" si="46"/>
        <v>2200.7800000000002</v>
      </c>
      <c r="G215">
        <f t="shared" si="51"/>
        <v>-0.30876999999999999</v>
      </c>
      <c r="H215">
        <f t="shared" si="52"/>
        <v>-679.53484060000005</v>
      </c>
      <c r="I215">
        <v>1</v>
      </c>
      <c r="J215">
        <f t="shared" si="48"/>
        <v>0.7888118429824279</v>
      </c>
      <c r="K215">
        <f t="shared" si="53"/>
        <v>-0.91295515177521747</v>
      </c>
      <c r="L215">
        <v>1</v>
      </c>
      <c r="M215">
        <f t="shared" si="49"/>
        <v>0.50897955560753372</v>
      </c>
      <c r="N215">
        <f t="shared" si="54"/>
        <v>0.16505850000000002</v>
      </c>
      <c r="O215">
        <f t="shared" si="55"/>
        <v>0.10893861000000002</v>
      </c>
      <c r="P215">
        <f t="shared" si="56"/>
        <v>0.1299784861676837</v>
      </c>
    </row>
    <row r="216" spans="1:16" x14ac:dyDescent="0.3">
      <c r="A216">
        <v>11.055327</v>
      </c>
      <c r="B216">
        <v>0.30564000000000002</v>
      </c>
      <c r="C216">
        <f t="shared" si="50"/>
        <v>3.3789501442800005</v>
      </c>
      <c r="D216">
        <v>1.4999999999999999E-2</v>
      </c>
      <c r="E216">
        <v>9.9000000000000008E-3</v>
      </c>
      <c r="F216">
        <f t="shared" si="46"/>
        <v>2211.0654</v>
      </c>
      <c r="G216">
        <f t="shared" si="51"/>
        <v>-0.30564000000000002</v>
      </c>
      <c r="H216">
        <f t="shared" si="52"/>
        <v>-675.79002885600005</v>
      </c>
      <c r="I216">
        <v>1</v>
      </c>
      <c r="J216">
        <f t="shared" si="48"/>
        <v>0.79347448081369609</v>
      </c>
      <c r="K216">
        <f t="shared" si="53"/>
        <v>-0.91608515177521743</v>
      </c>
      <c r="L216">
        <v>1</v>
      </c>
      <c r="M216">
        <f t="shared" si="49"/>
        <v>0.50920145054192378</v>
      </c>
      <c r="N216">
        <f t="shared" si="54"/>
        <v>0.165829905</v>
      </c>
      <c r="O216">
        <f t="shared" si="55"/>
        <v>0.10944773730000001</v>
      </c>
      <c r="P216">
        <f t="shared" si="56"/>
        <v>0.13160605893329363</v>
      </c>
    </row>
    <row r="217" spans="1:16" x14ac:dyDescent="0.3">
      <c r="A217">
        <v>11.105734999999999</v>
      </c>
      <c r="B217">
        <v>0.30265999999999998</v>
      </c>
      <c r="C217">
        <f t="shared" si="50"/>
        <v>3.3612617550999997</v>
      </c>
      <c r="D217">
        <v>1.4999999999999999E-2</v>
      </c>
      <c r="E217">
        <v>9.9000000000000008E-3</v>
      </c>
      <c r="F217">
        <f t="shared" si="46"/>
        <v>2221.1469999999999</v>
      </c>
      <c r="G217">
        <f t="shared" si="51"/>
        <v>-0.30265999999999998</v>
      </c>
      <c r="H217">
        <f t="shared" si="52"/>
        <v>-672.25235101999999</v>
      </c>
      <c r="I217">
        <v>1</v>
      </c>
      <c r="J217">
        <f t="shared" si="48"/>
        <v>0.79802372912458841</v>
      </c>
      <c r="K217">
        <f t="shared" si="53"/>
        <v>-0.91906515177521753</v>
      </c>
      <c r="L217">
        <v>1</v>
      </c>
      <c r="M217">
        <f t="shared" si="49"/>
        <v>0.50941794926903916</v>
      </c>
      <c r="N217">
        <f t="shared" si="54"/>
        <v>0.16658602499999997</v>
      </c>
      <c r="O217">
        <f t="shared" si="55"/>
        <v>0.1099467765</v>
      </c>
      <c r="P217">
        <f t="shared" si="56"/>
        <v>0.13311440100617838</v>
      </c>
    </row>
    <row r="218" spans="1:16" x14ac:dyDescent="0.3">
      <c r="A218">
        <v>11.158182</v>
      </c>
      <c r="B218">
        <v>0.29977999999999999</v>
      </c>
      <c r="C218">
        <f t="shared" si="50"/>
        <v>3.3449997999600001</v>
      </c>
      <c r="D218">
        <v>1.4999999999999999E-2</v>
      </c>
      <c r="E218">
        <v>9.9000000000000008E-3</v>
      </c>
      <c r="F218">
        <f t="shared" si="46"/>
        <v>2231.6363999999999</v>
      </c>
      <c r="G218">
        <f t="shared" si="51"/>
        <v>-0.29977999999999999</v>
      </c>
      <c r="H218">
        <f t="shared" si="52"/>
        <v>-668.99995999199996</v>
      </c>
      <c r="I218">
        <v>1</v>
      </c>
      <c r="J218">
        <f t="shared" si="48"/>
        <v>0.80273512802308622</v>
      </c>
      <c r="K218">
        <f t="shared" si="53"/>
        <v>-0.92194515177521752</v>
      </c>
      <c r="L218">
        <v>1</v>
      </c>
      <c r="M218">
        <f t="shared" si="49"/>
        <v>0.5096421647426187</v>
      </c>
      <c r="N218">
        <f t="shared" si="54"/>
        <v>0.16737273</v>
      </c>
      <c r="O218">
        <f t="shared" si="55"/>
        <v>0.1104660018</v>
      </c>
      <c r="P218">
        <f t="shared" si="56"/>
        <v>0.13446425523259881</v>
      </c>
    </row>
    <row r="219" spans="1:16" x14ac:dyDescent="0.3">
      <c r="A219">
        <v>11.209100000000001</v>
      </c>
      <c r="B219">
        <v>0.29687999999999998</v>
      </c>
      <c r="C219">
        <f t="shared" si="50"/>
        <v>3.3277576080000002</v>
      </c>
      <c r="D219">
        <v>1.4999999999999999E-2</v>
      </c>
      <c r="E219">
        <v>9.9000000000000008E-3</v>
      </c>
      <c r="F219">
        <f t="shared" si="46"/>
        <v>2241.8200000000002</v>
      </c>
      <c r="G219">
        <f t="shared" si="51"/>
        <v>-0.29687999999999998</v>
      </c>
      <c r="H219">
        <f t="shared" si="52"/>
        <v>-665.5515216</v>
      </c>
      <c r="I219">
        <v>1</v>
      </c>
      <c r="J219">
        <f t="shared" si="48"/>
        <v>0.80728803596750698</v>
      </c>
      <c r="K219">
        <f t="shared" si="53"/>
        <v>-0.92484515177521742</v>
      </c>
      <c r="L219">
        <v>1</v>
      </c>
      <c r="M219">
        <f t="shared" si="49"/>
        <v>0.50985883763169371</v>
      </c>
      <c r="N219">
        <f t="shared" si="54"/>
        <v>0.16813650000000002</v>
      </c>
      <c r="O219">
        <f t="shared" si="55"/>
        <v>0.11097009000000002</v>
      </c>
      <c r="P219">
        <f t="shared" si="56"/>
        <v>0.13587972414352367</v>
      </c>
    </row>
    <row r="220" spans="1:16" x14ac:dyDescent="0.3">
      <c r="A220">
        <v>11.261546000000001</v>
      </c>
      <c r="B220">
        <v>0.29379</v>
      </c>
      <c r="C220">
        <f t="shared" si="50"/>
        <v>3.3085295993400003</v>
      </c>
      <c r="D220">
        <v>1.4999999999999999E-2</v>
      </c>
      <c r="E220">
        <v>9.9000000000000008E-3</v>
      </c>
      <c r="F220">
        <f t="shared" si="46"/>
        <v>2252.3092000000001</v>
      </c>
      <c r="G220">
        <f t="shared" si="51"/>
        <v>-0.29379</v>
      </c>
      <c r="H220">
        <f t="shared" si="52"/>
        <v>-661.70591986800002</v>
      </c>
      <c r="I220">
        <v>1</v>
      </c>
      <c r="J220">
        <f t="shared" si="48"/>
        <v>0.81195600103025711</v>
      </c>
      <c r="K220">
        <f t="shared" si="53"/>
        <v>-0.92793515177521746</v>
      </c>
      <c r="L220">
        <v>1</v>
      </c>
      <c r="M220">
        <f t="shared" si="49"/>
        <v>0.51008098608902996</v>
      </c>
      <c r="N220">
        <f t="shared" si="54"/>
        <v>0.16892319</v>
      </c>
      <c r="O220">
        <f t="shared" si="55"/>
        <v>0.11148930540000002</v>
      </c>
      <c r="P220">
        <f t="shared" si="56"/>
        <v>0.13744167028618748</v>
      </c>
    </row>
    <row r="221" spans="1:16" x14ac:dyDescent="0.3">
      <c r="A221">
        <v>11.312465</v>
      </c>
      <c r="B221">
        <v>0.29072999999999999</v>
      </c>
      <c r="C221">
        <f t="shared" si="50"/>
        <v>3.2888729494499995</v>
      </c>
      <c r="D221">
        <v>1.4999999999999999E-2</v>
      </c>
      <c r="E221">
        <v>9.9000000000000008E-3</v>
      </c>
      <c r="F221">
        <f t="shared" si="46"/>
        <v>2262.4929999999999</v>
      </c>
      <c r="G221">
        <f t="shared" si="51"/>
        <v>-0.29072999999999999</v>
      </c>
      <c r="H221">
        <f t="shared" si="52"/>
        <v>-657.7745898899999</v>
      </c>
      <c r="I221">
        <v>1</v>
      </c>
      <c r="J221">
        <f t="shared" si="48"/>
        <v>0.81646730266450607</v>
      </c>
      <c r="K221">
        <f t="shared" si="53"/>
        <v>-0.93099515177521752</v>
      </c>
      <c r="L221">
        <v>1</v>
      </c>
      <c r="M221">
        <f t="shared" si="49"/>
        <v>0.5102956789338039</v>
      </c>
      <c r="N221">
        <f t="shared" si="54"/>
        <v>0.16968697499999999</v>
      </c>
      <c r="O221">
        <f t="shared" si="55"/>
        <v>0.1119934035</v>
      </c>
      <c r="P221">
        <f t="shared" si="56"/>
        <v>0.13901909434141366</v>
      </c>
    </row>
    <row r="222" spans="1:16" x14ac:dyDescent="0.3">
      <c r="A222">
        <v>11.36491</v>
      </c>
      <c r="B222">
        <v>0.28754000000000002</v>
      </c>
      <c r="C222">
        <f t="shared" si="50"/>
        <v>3.2678662214000003</v>
      </c>
      <c r="D222">
        <v>1.4999999999999999E-2</v>
      </c>
      <c r="E222">
        <v>9.9000000000000008E-3</v>
      </c>
      <c r="F222">
        <f t="shared" si="46"/>
        <v>2272.982</v>
      </c>
      <c r="G222">
        <f t="shared" si="51"/>
        <v>-0.28754000000000002</v>
      </c>
      <c r="H222">
        <f t="shared" si="52"/>
        <v>-653.57324428000004</v>
      </c>
      <c r="I222">
        <v>1</v>
      </c>
      <c r="J222">
        <f t="shared" si="48"/>
        <v>0.82109262578933617</v>
      </c>
      <c r="K222">
        <f t="shared" si="53"/>
        <v>-0.93418515177521744</v>
      </c>
      <c r="L222">
        <v>1</v>
      </c>
      <c r="M222">
        <f t="shared" si="49"/>
        <v>0.51051579806131453</v>
      </c>
      <c r="N222">
        <f t="shared" si="54"/>
        <v>0.17047365</v>
      </c>
      <c r="O222">
        <f t="shared" si="55"/>
        <v>0.11251260900000001</v>
      </c>
      <c r="P222">
        <f t="shared" si="56"/>
        <v>0.14068309471390286</v>
      </c>
    </row>
    <row r="223" spans="1:16" x14ac:dyDescent="0.3">
      <c r="A223">
        <v>11.415829</v>
      </c>
      <c r="B223">
        <v>0.28443000000000002</v>
      </c>
      <c r="C223">
        <f t="shared" si="50"/>
        <v>3.2470042424700005</v>
      </c>
      <c r="D223">
        <v>1.4999999999999999E-2</v>
      </c>
      <c r="E223">
        <v>9.9000000000000008E-3</v>
      </c>
      <c r="F223">
        <f t="shared" si="46"/>
        <v>2283.1658000000002</v>
      </c>
      <c r="G223">
        <f t="shared" si="51"/>
        <v>-0.28443000000000002</v>
      </c>
      <c r="H223">
        <f t="shared" si="52"/>
        <v>-649.40084849400012</v>
      </c>
      <c r="I223">
        <v>1</v>
      </c>
      <c r="J223">
        <f t="shared" si="48"/>
        <v>0.82556298865137456</v>
      </c>
      <c r="K223">
        <f t="shared" si="53"/>
        <v>-0.93729515177521749</v>
      </c>
      <c r="L223">
        <v>1</v>
      </c>
      <c r="M223">
        <f t="shared" si="49"/>
        <v>0.51072854262991896</v>
      </c>
      <c r="N223">
        <f t="shared" si="54"/>
        <v>0.17123743499999999</v>
      </c>
      <c r="O223">
        <f t="shared" si="55"/>
        <v>0.11301670710000002</v>
      </c>
      <c r="P223">
        <f t="shared" si="56"/>
        <v>0.14231246704529854</v>
      </c>
    </row>
    <row r="224" spans="1:16" x14ac:dyDescent="0.3">
      <c r="A224">
        <v>11.467255999999999</v>
      </c>
      <c r="B224">
        <v>0.28143000000000001</v>
      </c>
      <c r="C224">
        <f t="shared" si="50"/>
        <v>3.2272298560799997</v>
      </c>
      <c r="D224">
        <v>1.4999999999999999E-2</v>
      </c>
      <c r="E224">
        <v>9.9000000000000008E-3</v>
      </c>
      <c r="F224">
        <f t="shared" si="46"/>
        <v>2293.4512</v>
      </c>
      <c r="G224">
        <f t="shared" si="51"/>
        <v>-0.28143000000000001</v>
      </c>
      <c r="H224">
        <f t="shared" si="52"/>
        <v>-645.44597121599998</v>
      </c>
      <c r="I224">
        <v>1</v>
      </c>
      <c r="J224">
        <f t="shared" si="48"/>
        <v>0.83005775730528408</v>
      </c>
      <c r="K224">
        <f t="shared" si="53"/>
        <v>-0.94029515177521739</v>
      </c>
      <c r="L224">
        <v>1</v>
      </c>
      <c r="M224">
        <f t="shared" si="49"/>
        <v>0.51094244867015848</v>
      </c>
      <c r="N224">
        <f t="shared" si="54"/>
        <v>0.17200883999999997</v>
      </c>
      <c r="O224">
        <f t="shared" si="55"/>
        <v>0.1135258344</v>
      </c>
      <c r="P224">
        <f t="shared" si="56"/>
        <v>0.14381802870505897</v>
      </c>
    </row>
    <row r="225" spans="1:18" x14ac:dyDescent="0.3">
      <c r="A225">
        <v>11.517665999999998</v>
      </c>
      <c r="B225">
        <v>0.27811000000000002</v>
      </c>
      <c r="C225">
        <f t="shared" si="50"/>
        <v>3.2031780912599999</v>
      </c>
      <c r="D225">
        <v>1.4999999999999999E-2</v>
      </c>
      <c r="E225">
        <v>9.9000000000000008E-3</v>
      </c>
      <c r="F225">
        <f t="shared" si="46"/>
        <v>2303.5331999999999</v>
      </c>
      <c r="G225">
        <f t="shared" si="51"/>
        <v>-0.27811000000000002</v>
      </c>
      <c r="H225">
        <f t="shared" si="52"/>
        <v>-640.63561825199997</v>
      </c>
      <c r="I225">
        <v>1</v>
      </c>
      <c r="J225">
        <f t="shared" si="48"/>
        <v>0.83444411813998132</v>
      </c>
      <c r="K225">
        <f t="shared" si="53"/>
        <v>-0.94361515177521738</v>
      </c>
      <c r="L225">
        <v>1</v>
      </c>
      <c r="M225">
        <f t="shared" si="49"/>
        <v>0.51115119558228173</v>
      </c>
      <c r="N225">
        <f t="shared" si="54"/>
        <v>0.17276498999999998</v>
      </c>
      <c r="O225">
        <f t="shared" si="55"/>
        <v>0.11402489339999999</v>
      </c>
      <c r="P225">
        <f t="shared" si="56"/>
        <v>0.14567407279293565</v>
      </c>
      <c r="R225">
        <f>O225+N225+M225</f>
        <v>0.79794107898228173</v>
      </c>
    </row>
    <row r="226" spans="1:18" x14ac:dyDescent="0.3">
      <c r="A226">
        <v>11.570621000000001</v>
      </c>
      <c r="B226">
        <v>0.27511000000000002</v>
      </c>
      <c r="C226">
        <f t="shared" si="50"/>
        <v>3.1831935433100007</v>
      </c>
      <c r="D226">
        <v>1.4999999999999999E-2</v>
      </c>
      <c r="E226">
        <v>9.9000000000000008E-3</v>
      </c>
      <c r="F226">
        <f t="shared" si="46"/>
        <v>2314.1242000000002</v>
      </c>
      <c r="G226">
        <f t="shared" si="51"/>
        <v>-0.27511000000000002</v>
      </c>
      <c r="H226">
        <f t="shared" si="52"/>
        <v>-636.63870866200011</v>
      </c>
      <c r="I226">
        <v>1</v>
      </c>
      <c r="J226">
        <f t="shared" si="48"/>
        <v>0.83903130062412434</v>
      </c>
      <c r="K226">
        <f t="shared" si="53"/>
        <v>-0.94661515177521749</v>
      </c>
      <c r="L226">
        <v>1</v>
      </c>
      <c r="M226">
        <f t="shared" si="49"/>
        <v>0.51136949959670208</v>
      </c>
      <c r="N226">
        <f t="shared" si="54"/>
        <v>0.17355931500000002</v>
      </c>
      <c r="O226">
        <f t="shared" si="55"/>
        <v>0.11454914790000002</v>
      </c>
      <c r="P226">
        <f t="shared" si="56"/>
        <v>0.14713718927851538</v>
      </c>
    </row>
    <row r="227" spans="1:18" x14ac:dyDescent="0.3">
      <c r="A227">
        <v>11.627141</v>
      </c>
      <c r="B227">
        <v>0.27228999999999998</v>
      </c>
      <c r="C227">
        <f t="shared" si="50"/>
        <v>3.1659542228899995</v>
      </c>
      <c r="D227">
        <v>1.4999999999999999E-2</v>
      </c>
      <c r="E227">
        <v>9.9000000000000008E-3</v>
      </c>
      <c r="F227">
        <f t="shared" si="46"/>
        <v>2325.4281999999998</v>
      </c>
      <c r="G227">
        <f t="shared" si="51"/>
        <v>-0.27228999999999998</v>
      </c>
      <c r="H227">
        <f t="shared" si="52"/>
        <v>-633.19084457799988</v>
      </c>
      <c r="I227">
        <v>1</v>
      </c>
      <c r="J227">
        <f t="shared" si="48"/>
        <v>0.8439041941247416</v>
      </c>
      <c r="K227">
        <f t="shared" si="53"/>
        <v>-0.94943515177521753</v>
      </c>
      <c r="L227">
        <v>1</v>
      </c>
      <c r="M227">
        <f t="shared" si="49"/>
        <v>0.51160140059839643</v>
      </c>
      <c r="N227">
        <f t="shared" si="54"/>
        <v>0.174407115</v>
      </c>
      <c r="O227">
        <f t="shared" si="55"/>
        <v>0.1151086959</v>
      </c>
      <c r="P227">
        <f t="shared" si="56"/>
        <v>0.1483179402768211</v>
      </c>
    </row>
    <row r="228" spans="1:18" x14ac:dyDescent="0.3">
      <c r="A228">
        <v>11.679076</v>
      </c>
      <c r="B228">
        <v>0.26907999999999999</v>
      </c>
      <c r="C228">
        <f t="shared" si="50"/>
        <v>3.1426057700799999</v>
      </c>
      <c r="D228">
        <v>1.4999999999999999E-2</v>
      </c>
      <c r="E228">
        <v>9.9000000000000008E-3</v>
      </c>
      <c r="F228">
        <f t="shared" si="46"/>
        <v>2335.8152</v>
      </c>
      <c r="G228">
        <f t="shared" si="51"/>
        <v>-0.26907999999999999</v>
      </c>
      <c r="H228">
        <f t="shared" si="52"/>
        <v>-628.52115401599997</v>
      </c>
      <c r="I228">
        <v>1</v>
      </c>
      <c r="J228">
        <f t="shared" si="48"/>
        <v>0.84836095224761088</v>
      </c>
      <c r="K228">
        <f t="shared" si="53"/>
        <v>-0.95264515177521747</v>
      </c>
      <c r="L228">
        <v>1</v>
      </c>
      <c r="M228">
        <f t="shared" si="49"/>
        <v>0.51181349771746387</v>
      </c>
      <c r="N228">
        <f t="shared" si="54"/>
        <v>0.17518613999999999</v>
      </c>
      <c r="O228">
        <f t="shared" si="55"/>
        <v>0.11562285240000002</v>
      </c>
      <c r="P228">
        <f t="shared" si="56"/>
        <v>0.15002266165775358</v>
      </c>
    </row>
    <row r="229" spans="1:18" x14ac:dyDescent="0.3">
      <c r="A229">
        <v>11.729994</v>
      </c>
      <c r="B229">
        <v>0.26607999999999998</v>
      </c>
      <c r="C229">
        <f t="shared" si="50"/>
        <v>3.1211168035199996</v>
      </c>
      <c r="D229">
        <v>1.4999999999999999E-2</v>
      </c>
      <c r="E229">
        <v>9.9000000000000008E-3</v>
      </c>
      <c r="F229">
        <f t="shared" si="46"/>
        <v>2345.9987999999998</v>
      </c>
      <c r="G229">
        <f t="shared" si="51"/>
        <v>-0.26607999999999998</v>
      </c>
      <c r="H229">
        <f t="shared" si="52"/>
        <v>-624.2233607039999</v>
      </c>
      <c r="I229">
        <v>1</v>
      </c>
      <c r="J229">
        <f t="shared" si="48"/>
        <v>0.85271123872220145</v>
      </c>
      <c r="K229">
        <f t="shared" si="53"/>
        <v>-0.95564515177521747</v>
      </c>
      <c r="L229">
        <v>1</v>
      </c>
      <c r="M229">
        <f t="shared" si="49"/>
        <v>0.51202052785078955</v>
      </c>
      <c r="N229">
        <f t="shared" si="54"/>
        <v>0.17594990999999999</v>
      </c>
      <c r="O229">
        <f t="shared" si="55"/>
        <v>0.11612694060000001</v>
      </c>
      <c r="P229">
        <f t="shared" si="56"/>
        <v>0.15154777332442793</v>
      </c>
    </row>
    <row r="230" spans="1:18" x14ac:dyDescent="0.3">
      <c r="A230">
        <v>11.783968999999999</v>
      </c>
      <c r="B230">
        <v>0.26285999999999998</v>
      </c>
      <c r="C230">
        <f t="shared" si="50"/>
        <v>3.0975340913399996</v>
      </c>
      <c r="D230">
        <v>1.4999999999999999E-2</v>
      </c>
      <c r="E230">
        <v>9.9000000000000008E-3</v>
      </c>
      <c r="F230">
        <f t="shared" si="46"/>
        <v>2356.7937999999999</v>
      </c>
      <c r="G230">
        <f t="shared" si="51"/>
        <v>-0.26285999999999998</v>
      </c>
      <c r="H230">
        <f t="shared" si="52"/>
        <v>-619.50681826799996</v>
      </c>
      <c r="I230">
        <v>1</v>
      </c>
      <c r="J230">
        <f t="shared" si="48"/>
        <v>0.85730213603709293</v>
      </c>
      <c r="K230">
        <f t="shared" si="53"/>
        <v>-0.95886515177521747</v>
      </c>
      <c r="L230">
        <v>1</v>
      </c>
      <c r="M230">
        <f t="shared" si="49"/>
        <v>0.51223900865400529</v>
      </c>
      <c r="N230">
        <f t="shared" si="54"/>
        <v>0.17675953499999997</v>
      </c>
      <c r="O230">
        <f t="shared" si="55"/>
        <v>0.11666129309999999</v>
      </c>
      <c r="P230">
        <f t="shared" si="56"/>
        <v>0.15320531502121221</v>
      </c>
    </row>
    <row r="231" spans="1:18" x14ac:dyDescent="0.3">
      <c r="A231">
        <v>11.834377999999999</v>
      </c>
      <c r="B231">
        <v>0.25995000000000001</v>
      </c>
      <c r="C231">
        <f t="shared" si="50"/>
        <v>3.0763465610999998</v>
      </c>
      <c r="D231">
        <v>1.4999999999999999E-2</v>
      </c>
      <c r="E231">
        <v>9.9000000000000008E-3</v>
      </c>
      <c r="F231">
        <f t="shared" si="46"/>
        <v>2366.8755999999998</v>
      </c>
      <c r="G231">
        <f t="shared" si="51"/>
        <v>-0.25995000000000001</v>
      </c>
      <c r="H231">
        <f t="shared" si="52"/>
        <v>-615.26931221999996</v>
      </c>
      <c r="I231">
        <v>1</v>
      </c>
      <c r="J231">
        <f t="shared" si="48"/>
        <v>0.8615707731727017</v>
      </c>
      <c r="K231">
        <f t="shared" si="53"/>
        <v>-0.96177515177521744</v>
      </c>
      <c r="L231">
        <v>1</v>
      </c>
      <c r="M231">
        <f t="shared" si="49"/>
        <v>0.51244215309528895</v>
      </c>
      <c r="N231">
        <f t="shared" si="54"/>
        <v>0.17751566999999999</v>
      </c>
      <c r="O231">
        <f t="shared" si="55"/>
        <v>0.1171603422</v>
      </c>
      <c r="P231">
        <f t="shared" si="56"/>
        <v>0.15465698647992848</v>
      </c>
    </row>
    <row r="232" spans="1:18" x14ac:dyDescent="0.3">
      <c r="A232">
        <v>11.885297000000001</v>
      </c>
      <c r="B232">
        <v>0.25670999999999999</v>
      </c>
      <c r="C232">
        <f t="shared" si="50"/>
        <v>3.05107459287</v>
      </c>
      <c r="D232">
        <v>1.4999999999999999E-2</v>
      </c>
      <c r="E232">
        <v>9.9000000000000008E-3</v>
      </c>
      <c r="F232">
        <f t="shared" si="46"/>
        <v>2377.0594000000001</v>
      </c>
      <c r="G232">
        <f t="shared" si="51"/>
        <v>-0.25670999999999999</v>
      </c>
      <c r="H232">
        <f t="shared" si="52"/>
        <v>-610.21491857399997</v>
      </c>
      <c r="I232">
        <v>1</v>
      </c>
      <c r="J232">
        <f t="shared" si="48"/>
        <v>0.86586417754836609</v>
      </c>
      <c r="K232">
        <f t="shared" si="53"/>
        <v>-0.96501515177521746</v>
      </c>
      <c r="L232">
        <v>1</v>
      </c>
      <c r="M232">
        <f t="shared" si="49"/>
        <v>0.51264647620952675</v>
      </c>
      <c r="N232">
        <f t="shared" si="54"/>
        <v>0.178279455</v>
      </c>
      <c r="O232">
        <f t="shared" si="55"/>
        <v>0.11766444030000002</v>
      </c>
      <c r="P232">
        <f t="shared" si="56"/>
        <v>0.15642478026569073</v>
      </c>
    </row>
    <row r="233" spans="1:18" x14ac:dyDescent="0.3">
      <c r="A233">
        <v>11.935705</v>
      </c>
      <c r="B233">
        <v>0.25384000000000001</v>
      </c>
      <c r="C233">
        <f t="shared" si="50"/>
        <v>3.0297593572000001</v>
      </c>
      <c r="D233">
        <v>1.4999999999999999E-2</v>
      </c>
      <c r="E233">
        <v>9.9000000000000008E-3</v>
      </c>
      <c r="F233">
        <f t="shared" si="46"/>
        <v>2387.1410000000001</v>
      </c>
      <c r="G233">
        <f t="shared" si="51"/>
        <v>-0.25384000000000001</v>
      </c>
      <c r="H233">
        <f t="shared" si="52"/>
        <v>-605.95187143999999</v>
      </c>
      <c r="I233">
        <v>1</v>
      </c>
      <c r="J233">
        <f t="shared" si="48"/>
        <v>0.87009641557442741</v>
      </c>
      <c r="K233">
        <f t="shared" si="53"/>
        <v>-0.96788515177521739</v>
      </c>
      <c r="L233">
        <v>1</v>
      </c>
      <c r="M233">
        <f t="shared" si="49"/>
        <v>0.51284788841718698</v>
      </c>
      <c r="N233">
        <f t="shared" si="54"/>
        <v>0.179035575</v>
      </c>
      <c r="O233">
        <f t="shared" si="55"/>
        <v>0.11816347950000002</v>
      </c>
      <c r="P233">
        <f t="shared" si="56"/>
        <v>0.1578382088580304</v>
      </c>
    </row>
    <row r="234" spans="1:18" x14ac:dyDescent="0.3">
      <c r="A234">
        <v>11.970329999999999</v>
      </c>
      <c r="B234">
        <v>0.25151000000000001</v>
      </c>
      <c r="C234">
        <f t="shared" si="50"/>
        <v>3.0106576982999997</v>
      </c>
      <c r="D234">
        <v>1.4999999999999999E-2</v>
      </c>
      <c r="E234">
        <v>9.9000000000000008E-3</v>
      </c>
      <c r="F234">
        <f t="shared" si="46"/>
        <v>2394.0659999999998</v>
      </c>
      <c r="G234">
        <f t="shared" si="51"/>
        <v>-0.25151000000000001</v>
      </c>
      <c r="H234">
        <f t="shared" si="52"/>
        <v>-602.13153965999993</v>
      </c>
      <c r="I234">
        <v>1</v>
      </c>
      <c r="J234">
        <f t="shared" si="48"/>
        <v>0.87299317567807122</v>
      </c>
      <c r="K234">
        <f t="shared" si="53"/>
        <v>-0.97021515177521744</v>
      </c>
      <c r="L234">
        <v>1</v>
      </c>
      <c r="M234">
        <f t="shared" si="49"/>
        <v>0.51298574523051943</v>
      </c>
      <c r="N234">
        <f t="shared" si="54"/>
        <v>0.17955494999999996</v>
      </c>
      <c r="O234">
        <f t="shared" si="55"/>
        <v>0.118506267</v>
      </c>
      <c r="P234">
        <f t="shared" si="56"/>
        <v>0.15916818954469802</v>
      </c>
    </row>
    <row r="235" spans="1:18" x14ac:dyDescent="0.3">
      <c r="C235">
        <f t="shared" si="50"/>
        <v>0</v>
      </c>
      <c r="D235">
        <v>1.4999999999999999E-2</v>
      </c>
      <c r="E235">
        <v>9.9000000000000008E-3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1:18" x14ac:dyDescent="0.3">
      <c r="C236">
        <f t="shared" si="50"/>
        <v>0</v>
      </c>
      <c r="D236">
        <v>1.4999999999999999E-2</v>
      </c>
      <c r="E236">
        <v>9.9000000000000008E-3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1:18" x14ac:dyDescent="0.3">
      <c r="C237">
        <f t="shared" si="50"/>
        <v>0</v>
      </c>
      <c r="D237">
        <v>1.4999999999999999E-2</v>
      </c>
      <c r="E237">
        <v>9.9000000000000008E-3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1:18" x14ac:dyDescent="0.3">
      <c r="C238">
        <f t="shared" si="50"/>
        <v>0</v>
      </c>
      <c r="D238">
        <v>1.4999999999999999E-2</v>
      </c>
      <c r="E238">
        <v>9.9000000000000008E-3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1:18" x14ac:dyDescent="0.3">
      <c r="C239">
        <f t="shared" si="50"/>
        <v>0</v>
      </c>
      <c r="D239">
        <v>1.4999999999999999E-2</v>
      </c>
      <c r="E239">
        <v>9.9000000000000008E-3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1:18" x14ac:dyDescent="0.3">
      <c r="C240">
        <f t="shared" si="50"/>
        <v>0</v>
      </c>
      <c r="D240">
        <v>1.4999999999999999E-2</v>
      </c>
      <c r="E240">
        <v>9.9000000000000008E-3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1.4999999999999999E-2</v>
      </c>
      <c r="E241">
        <v>9.9000000000000008E-3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1.4999999999999999E-2</v>
      </c>
      <c r="E242">
        <v>9.9000000000000008E-3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1.4999999999999999E-2</v>
      </c>
      <c r="E243">
        <v>9.9000000000000008E-3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1.4999999999999999E-2</v>
      </c>
      <c r="E244">
        <v>9.9000000000000008E-3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1.4999999999999999E-2</v>
      </c>
      <c r="E245">
        <v>9.9000000000000008E-3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1.4999999999999999E-2</v>
      </c>
      <c r="E246">
        <v>9.9000000000000008E-3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1.4999999999999999E-2</v>
      </c>
      <c r="E247">
        <v>9.9000000000000008E-3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1.4999999999999999E-2</v>
      </c>
      <c r="E248">
        <v>9.9000000000000008E-3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1.4999999999999999E-2</v>
      </c>
      <c r="E249">
        <v>9.9000000000000008E-3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1.4999999999999999E-2</v>
      </c>
      <c r="E250">
        <v>9.9000000000000008E-3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1.4999999999999999E-2</v>
      </c>
      <c r="E251">
        <v>9.9000000000000008E-3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1.4999999999999999E-2</v>
      </c>
      <c r="E252">
        <v>9.9000000000000008E-3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1.4999999999999999E-2</v>
      </c>
      <c r="E253">
        <v>9.9000000000000008E-3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1.4999999999999999E-2</v>
      </c>
      <c r="E254">
        <v>9.9000000000000008E-3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1.4999999999999999E-2</v>
      </c>
      <c r="E255">
        <v>9.9000000000000008E-3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1.4999999999999999E-2</v>
      </c>
      <c r="E256">
        <v>9.9000000000000008E-3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1.4999999999999999E-2</v>
      </c>
      <c r="E257">
        <v>9.9000000000000008E-3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1.4999999999999999E-2</v>
      </c>
      <c r="E258">
        <v>9.9000000000000008E-3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1.4999999999999999E-2</v>
      </c>
      <c r="E259">
        <v>9.9000000000000008E-3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1.4999999999999999E-2</v>
      </c>
      <c r="E260">
        <v>9.9000000000000008E-3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1.4999999999999999E-2</v>
      </c>
      <c r="E261">
        <v>9.9000000000000008E-3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1.4999999999999999E-2</v>
      </c>
      <c r="E262">
        <v>9.9000000000000008E-3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1.4999999999999999E-2</v>
      </c>
      <c r="E263">
        <v>9.9000000000000008E-3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1.4999999999999999E-2</v>
      </c>
      <c r="E264">
        <v>9.9000000000000008E-3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1.4999999999999999E-2</v>
      </c>
      <c r="E265">
        <v>9.9000000000000008E-3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1.4999999999999999E-2</v>
      </c>
      <c r="E266">
        <v>9.9000000000000008E-3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1.4999999999999999E-2</v>
      </c>
      <c r="E267">
        <v>9.9000000000000008E-3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1.4999999999999999E-2</v>
      </c>
      <c r="E268">
        <v>9.9000000000000008E-3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1.4999999999999999E-2</v>
      </c>
      <c r="E269">
        <v>9.9000000000000008E-3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1.4999999999999999E-2</v>
      </c>
      <c r="E270">
        <v>9.9000000000000008E-3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1.4999999999999999E-2</v>
      </c>
      <c r="E271">
        <v>9.9000000000000008E-3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1.4999999999999999E-2</v>
      </c>
      <c r="E272">
        <v>9.9000000000000008E-3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1.4999999999999999E-2</v>
      </c>
      <c r="E273">
        <v>9.9000000000000008E-3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1.4999999999999999E-2</v>
      </c>
      <c r="E274">
        <v>9.9000000000000008E-3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1.4999999999999999E-2</v>
      </c>
      <c r="E275">
        <v>9.9000000000000008E-3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1.4999999999999999E-2</v>
      </c>
      <c r="E276">
        <v>9.9000000000000008E-3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1.4999999999999999E-2</v>
      </c>
      <c r="E277">
        <v>9.9000000000000008E-3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1.4999999999999999E-2</v>
      </c>
      <c r="E278">
        <v>9.9000000000000008E-3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1.4999999999999999E-2</v>
      </c>
      <c r="E279">
        <v>9.9000000000000008E-3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1.4999999999999999E-2</v>
      </c>
      <c r="E280">
        <v>9.9000000000000008E-3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1.4999999999999999E-2</v>
      </c>
      <c r="E281">
        <v>9.9000000000000008E-3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1.4999999999999999E-2</v>
      </c>
      <c r="E282">
        <v>9.9000000000000008E-3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1.4999999999999999E-2</v>
      </c>
      <c r="E283">
        <v>9.9000000000000008E-3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1.4999999999999999E-2</v>
      </c>
      <c r="E284">
        <v>9.9000000000000008E-3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1.4999999999999999E-2</v>
      </c>
      <c r="E285">
        <v>9.9000000000000008E-3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1.4999999999999999E-2</v>
      </c>
      <c r="E286">
        <v>9.9000000000000008E-3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1.4999999999999999E-2</v>
      </c>
      <c r="E287">
        <v>9.9000000000000008E-3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1.4999999999999999E-2</v>
      </c>
      <c r="E288">
        <v>9.9000000000000008E-3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1.4999999999999999E-2</v>
      </c>
      <c r="E289">
        <v>9.9000000000000008E-3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1.4999999999999999E-2</v>
      </c>
      <c r="E290">
        <v>9.9000000000000008E-3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1.4999999999999999E-2</v>
      </c>
      <c r="E291">
        <v>9.9000000000000008E-3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1.4999999999999999E-2</v>
      </c>
      <c r="E292">
        <v>9.9000000000000008E-3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1.4999999999999999E-2</v>
      </c>
      <c r="E293">
        <v>9.9000000000000008E-3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1.4999999999999999E-2</v>
      </c>
      <c r="E294">
        <v>9.9000000000000008E-3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1.4999999999999999E-2</v>
      </c>
      <c r="E295">
        <v>9.9000000000000008E-3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1.4999999999999999E-2</v>
      </c>
      <c r="E296">
        <v>9.9000000000000008E-3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1.4999999999999999E-2</v>
      </c>
      <c r="E297">
        <v>9.9000000000000008E-3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1.4999999999999999E-2</v>
      </c>
      <c r="E298">
        <v>9.9000000000000008E-3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1.4999999999999999E-2</v>
      </c>
      <c r="E299">
        <v>9.9000000000000008E-3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1.4999999999999999E-2</v>
      </c>
      <c r="E300">
        <v>9.9000000000000008E-3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1.4999999999999999E-2</v>
      </c>
      <c r="E301">
        <v>9.9000000000000008E-3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1.4999999999999999E-2</v>
      </c>
      <c r="E302">
        <v>9.9000000000000008E-3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1.4999999999999999E-2</v>
      </c>
      <c r="E303">
        <v>9.9000000000000008E-3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2026-03-24T08:10:21Z</dcterms:modified>
</cp:coreProperties>
</file>