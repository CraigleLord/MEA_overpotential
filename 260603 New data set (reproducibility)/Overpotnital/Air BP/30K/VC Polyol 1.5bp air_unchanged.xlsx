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260603 New data set (reproducibility)\Overpotnital\Air BP\30K\"/>
    </mc:Choice>
  </mc:AlternateContent>
  <xr:revisionPtr revIDLastSave="0" documentId="13_ncr:1_{D886AB18-3062-4610-A729-6CEFF4F3EF94}" xr6:coauthVersionLast="36" xr6:coauthVersionMax="36" xr10:uidLastSave="{00000000-0000-0000-0000-000000000000}"/>
  <bookViews>
    <workbookView xWindow="0" yWindow="0" windowWidth="23595" windowHeight="112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O232" i="2" l="1"/>
  <c r="O231" i="2"/>
  <c r="O230" i="2"/>
  <c r="O229" i="2"/>
  <c r="O228" i="2"/>
  <c r="O227" i="2"/>
  <c r="O226" i="2"/>
  <c r="O225" i="2"/>
  <c r="O224" i="2"/>
  <c r="O223" i="2"/>
  <c r="K223" i="2"/>
  <c r="I223" i="2"/>
  <c r="B223" i="2"/>
  <c r="E223" i="2" s="1"/>
  <c r="O222" i="2"/>
  <c r="I222" i="2"/>
  <c r="K222" i="2" s="1"/>
  <c r="E222" i="2"/>
  <c r="B222" i="2"/>
  <c r="O221" i="2"/>
  <c r="K221" i="2"/>
  <c r="I221" i="2"/>
  <c r="B221" i="2"/>
  <c r="E221" i="2" s="1"/>
  <c r="O220" i="2"/>
  <c r="I220" i="2"/>
  <c r="K220" i="2" s="1"/>
  <c r="E220" i="2"/>
  <c r="B220" i="2"/>
  <c r="O219" i="2"/>
  <c r="K219" i="2"/>
  <c r="I219" i="2"/>
  <c r="B219" i="2"/>
  <c r="E219" i="2" s="1"/>
  <c r="O218" i="2"/>
  <c r="I218" i="2"/>
  <c r="K218" i="2" s="1"/>
  <c r="E218" i="2"/>
  <c r="B218" i="2"/>
  <c r="O217" i="2"/>
  <c r="K217" i="2"/>
  <c r="I217" i="2"/>
  <c r="B217" i="2"/>
  <c r="E217" i="2" s="1"/>
  <c r="O216" i="2"/>
  <c r="I216" i="2"/>
  <c r="K216" i="2" s="1"/>
  <c r="E216" i="2"/>
  <c r="B216" i="2"/>
  <c r="O215" i="2"/>
  <c r="K215" i="2"/>
  <c r="I215" i="2"/>
  <c r="B215" i="2"/>
  <c r="E215" i="2" s="1"/>
  <c r="O214" i="2"/>
  <c r="I214" i="2"/>
  <c r="K214" i="2" s="1"/>
  <c r="E214" i="2"/>
  <c r="B214" i="2"/>
  <c r="O213" i="2"/>
  <c r="K213" i="2"/>
  <c r="I213" i="2"/>
  <c r="B213" i="2"/>
  <c r="E213" i="2" s="1"/>
  <c r="O212" i="2"/>
  <c r="I212" i="2"/>
  <c r="K212" i="2" s="1"/>
  <c r="E212" i="2"/>
  <c r="B212" i="2"/>
  <c r="O211" i="2"/>
  <c r="K211" i="2"/>
  <c r="I211" i="2"/>
  <c r="B211" i="2"/>
  <c r="E211" i="2" s="1"/>
  <c r="O210" i="2"/>
  <c r="I210" i="2"/>
  <c r="K210" i="2" s="1"/>
  <c r="E210" i="2"/>
  <c r="B210" i="2"/>
  <c r="O209" i="2"/>
  <c r="K209" i="2"/>
  <c r="I209" i="2"/>
  <c r="B209" i="2"/>
  <c r="E209" i="2" s="1"/>
  <c r="O208" i="2"/>
  <c r="I208" i="2"/>
  <c r="K208" i="2" s="1"/>
  <c r="E208" i="2"/>
  <c r="B208" i="2"/>
  <c r="O207" i="2"/>
  <c r="K207" i="2"/>
  <c r="I207" i="2"/>
  <c r="B207" i="2"/>
  <c r="E207" i="2" s="1"/>
  <c r="O206" i="2"/>
  <c r="I206" i="2"/>
  <c r="K206" i="2" s="1"/>
  <c r="E206" i="2"/>
  <c r="B206" i="2"/>
  <c r="O205" i="2"/>
  <c r="K205" i="2"/>
  <c r="I205" i="2"/>
  <c r="B205" i="2"/>
  <c r="E205" i="2" s="1"/>
  <c r="O204" i="2"/>
  <c r="I204" i="2"/>
  <c r="K204" i="2" s="1"/>
  <c r="E204" i="2"/>
  <c r="B204" i="2"/>
  <c r="O203" i="2"/>
  <c r="K203" i="2"/>
  <c r="I203" i="2"/>
  <c r="B203" i="2"/>
  <c r="E203" i="2" s="1"/>
  <c r="O202" i="2"/>
  <c r="I202" i="2"/>
  <c r="K202" i="2" s="1"/>
  <c r="E202" i="2"/>
  <c r="B202" i="2"/>
  <c r="O201" i="2"/>
  <c r="K201" i="2"/>
  <c r="I201" i="2"/>
  <c r="B201" i="2"/>
  <c r="E201" i="2" s="1"/>
  <c r="O200" i="2"/>
  <c r="I200" i="2"/>
  <c r="K200" i="2" s="1"/>
  <c r="E200" i="2"/>
  <c r="B200" i="2"/>
  <c r="O199" i="2"/>
  <c r="K199" i="2"/>
  <c r="I199" i="2"/>
  <c r="B199" i="2"/>
  <c r="E199" i="2" s="1"/>
  <c r="O198" i="2"/>
  <c r="I198" i="2"/>
  <c r="K198" i="2" s="1"/>
  <c r="E198" i="2"/>
  <c r="B198" i="2"/>
  <c r="O197" i="2"/>
  <c r="K197" i="2"/>
  <c r="I197" i="2"/>
  <c r="B197" i="2"/>
  <c r="E197" i="2" s="1"/>
  <c r="O196" i="2"/>
  <c r="I196" i="2"/>
  <c r="K196" i="2" s="1"/>
  <c r="E196" i="2"/>
  <c r="B196" i="2"/>
  <c r="O195" i="2"/>
  <c r="K195" i="2"/>
  <c r="I195" i="2"/>
  <c r="F195" i="2"/>
  <c r="B195" i="2"/>
  <c r="E195" i="2" s="1"/>
  <c r="O194" i="2"/>
  <c r="I194" i="2"/>
  <c r="K194" i="2" s="1"/>
  <c r="F194" i="2"/>
  <c r="B194" i="2"/>
  <c r="E194" i="2" s="1"/>
  <c r="O193" i="2"/>
  <c r="I193" i="2"/>
  <c r="K193" i="2" s="1"/>
  <c r="F193" i="2"/>
  <c r="E193" i="2"/>
  <c r="B193" i="2"/>
  <c r="O192" i="2"/>
  <c r="K192" i="2"/>
  <c r="I192" i="2"/>
  <c r="F192" i="2"/>
  <c r="E192" i="2"/>
  <c r="B192" i="2"/>
  <c r="O191" i="2"/>
  <c r="K191" i="2"/>
  <c r="I191" i="2"/>
  <c r="F191" i="2"/>
  <c r="B191" i="2"/>
  <c r="E191" i="2" s="1"/>
  <c r="O190" i="2"/>
  <c r="I190" i="2"/>
  <c r="K190" i="2" s="1"/>
  <c r="F190" i="2"/>
  <c r="B190" i="2"/>
  <c r="E190" i="2" s="1"/>
  <c r="O189" i="2"/>
  <c r="I189" i="2"/>
  <c r="F189" i="2"/>
  <c r="E189" i="2"/>
  <c r="B189" i="2"/>
  <c r="O188" i="2"/>
  <c r="K188" i="2"/>
  <c r="I188" i="2"/>
  <c r="F188" i="2"/>
  <c r="E188" i="2"/>
  <c r="B188" i="2"/>
  <c r="O187" i="2"/>
  <c r="K187" i="2"/>
  <c r="I187" i="2"/>
  <c r="F187" i="2"/>
  <c r="B187" i="2"/>
  <c r="E187" i="2" s="1"/>
  <c r="O186" i="2"/>
  <c r="I186" i="2"/>
  <c r="K186" i="2" s="1"/>
  <c r="F186" i="2"/>
  <c r="B186" i="2"/>
  <c r="E186" i="2" s="1"/>
  <c r="O185" i="2"/>
  <c r="I185" i="2"/>
  <c r="F185" i="2"/>
  <c r="E185" i="2"/>
  <c r="B185" i="2"/>
  <c r="O184" i="2"/>
  <c r="K184" i="2"/>
  <c r="I184" i="2"/>
  <c r="F184" i="2"/>
  <c r="E184" i="2"/>
  <c r="B184" i="2"/>
  <c r="O183" i="2"/>
  <c r="K183" i="2"/>
  <c r="I183" i="2"/>
  <c r="F183" i="2"/>
  <c r="B183" i="2"/>
  <c r="E183" i="2" s="1"/>
  <c r="O182" i="2"/>
  <c r="I182" i="2"/>
  <c r="K182" i="2" s="1"/>
  <c r="F182" i="2"/>
  <c r="B182" i="2"/>
  <c r="E182" i="2" s="1"/>
  <c r="O181" i="2"/>
  <c r="I181" i="2"/>
  <c r="F181" i="2"/>
  <c r="E181" i="2"/>
  <c r="B181" i="2"/>
  <c r="O180" i="2"/>
  <c r="K180" i="2"/>
  <c r="I180" i="2"/>
  <c r="F180" i="2"/>
  <c r="E180" i="2"/>
  <c r="B180" i="2"/>
  <c r="O179" i="2"/>
  <c r="K179" i="2"/>
  <c r="I179" i="2"/>
  <c r="F179" i="2"/>
  <c r="B179" i="2"/>
  <c r="E179" i="2" s="1"/>
  <c r="O178" i="2"/>
  <c r="I178" i="2"/>
  <c r="K178" i="2" s="1"/>
  <c r="F178" i="2"/>
  <c r="B178" i="2"/>
  <c r="E178" i="2" s="1"/>
  <c r="O177" i="2"/>
  <c r="I177" i="2"/>
  <c r="K177" i="2" s="1"/>
  <c r="F177" i="2"/>
  <c r="E177" i="2"/>
  <c r="B177" i="2"/>
  <c r="O176" i="2"/>
  <c r="K176" i="2"/>
  <c r="I176" i="2"/>
  <c r="F176" i="2"/>
  <c r="E176" i="2"/>
  <c r="B176" i="2"/>
  <c r="O175" i="2"/>
  <c r="K175" i="2"/>
  <c r="I175" i="2"/>
  <c r="F175" i="2"/>
  <c r="B175" i="2"/>
  <c r="E175" i="2" s="1"/>
  <c r="O174" i="2"/>
  <c r="I174" i="2"/>
  <c r="K174" i="2" s="1"/>
  <c r="F174" i="2"/>
  <c r="B174" i="2"/>
  <c r="E174" i="2" s="1"/>
  <c r="O173" i="2"/>
  <c r="I173" i="2"/>
  <c r="F173" i="2"/>
  <c r="E173" i="2"/>
  <c r="B173" i="2"/>
  <c r="O172" i="2"/>
  <c r="K172" i="2"/>
  <c r="I172" i="2"/>
  <c r="F172" i="2"/>
  <c r="E172" i="2"/>
  <c r="B172" i="2"/>
  <c r="O171" i="2"/>
  <c r="K171" i="2"/>
  <c r="I171" i="2"/>
  <c r="F171" i="2"/>
  <c r="B171" i="2"/>
  <c r="E171" i="2" s="1"/>
  <c r="O170" i="2"/>
  <c r="I170" i="2"/>
  <c r="K170" i="2" s="1"/>
  <c r="F170" i="2"/>
  <c r="B170" i="2"/>
  <c r="E170" i="2" s="1"/>
  <c r="O169" i="2"/>
  <c r="I169" i="2"/>
  <c r="F169" i="2"/>
  <c r="E169" i="2"/>
  <c r="B169" i="2"/>
  <c r="O168" i="2"/>
  <c r="K168" i="2"/>
  <c r="I168" i="2"/>
  <c r="F168" i="2"/>
  <c r="E168" i="2"/>
  <c r="B168" i="2"/>
  <c r="O167" i="2"/>
  <c r="K167" i="2"/>
  <c r="I167" i="2"/>
  <c r="F167" i="2"/>
  <c r="B167" i="2"/>
  <c r="E167" i="2" s="1"/>
  <c r="O166" i="2"/>
  <c r="I166" i="2"/>
  <c r="K166" i="2" s="1"/>
  <c r="F166" i="2"/>
  <c r="B166" i="2"/>
  <c r="E166" i="2" s="1"/>
  <c r="O165" i="2"/>
  <c r="I165" i="2"/>
  <c r="F165" i="2"/>
  <c r="E165" i="2"/>
  <c r="B165" i="2"/>
  <c r="O164" i="2"/>
  <c r="K164" i="2"/>
  <c r="I164" i="2"/>
  <c r="F164" i="2"/>
  <c r="E164" i="2"/>
  <c r="B164" i="2"/>
  <c r="O163" i="2"/>
  <c r="K163" i="2"/>
  <c r="I163" i="2"/>
  <c r="F163" i="2"/>
  <c r="B163" i="2"/>
  <c r="E163" i="2" s="1"/>
  <c r="O162" i="2"/>
  <c r="I162" i="2"/>
  <c r="K162" i="2" s="1"/>
  <c r="F162" i="2"/>
  <c r="B162" i="2"/>
  <c r="E162" i="2" s="1"/>
  <c r="O161" i="2"/>
  <c r="I161" i="2"/>
  <c r="K161" i="2" s="1"/>
  <c r="F161" i="2"/>
  <c r="E161" i="2"/>
  <c r="B161" i="2"/>
  <c r="O160" i="2"/>
  <c r="K160" i="2"/>
  <c r="I160" i="2"/>
  <c r="F160" i="2"/>
  <c r="E160" i="2"/>
  <c r="B160" i="2"/>
  <c r="O159" i="2"/>
  <c r="K159" i="2"/>
  <c r="I159" i="2"/>
  <c r="F159" i="2"/>
  <c r="B159" i="2"/>
  <c r="E159" i="2" s="1"/>
  <c r="O158" i="2"/>
  <c r="I158" i="2"/>
  <c r="K158" i="2" s="1"/>
  <c r="F158" i="2"/>
  <c r="B158" i="2"/>
  <c r="E158" i="2" s="1"/>
  <c r="O157" i="2"/>
  <c r="I157" i="2"/>
  <c r="F157" i="2"/>
  <c r="E157" i="2"/>
  <c r="B157" i="2"/>
  <c r="O156" i="2"/>
  <c r="K156" i="2"/>
  <c r="I156" i="2"/>
  <c r="F156" i="2"/>
  <c r="E156" i="2"/>
  <c r="B156" i="2"/>
  <c r="O155" i="2"/>
  <c r="K155" i="2"/>
  <c r="I155" i="2"/>
  <c r="F155" i="2"/>
  <c r="B155" i="2"/>
  <c r="E155" i="2" s="1"/>
  <c r="O154" i="2"/>
  <c r="I154" i="2"/>
  <c r="K154" i="2" s="1"/>
  <c r="F154" i="2"/>
  <c r="B154" i="2"/>
  <c r="E154" i="2" s="1"/>
  <c r="O153" i="2"/>
  <c r="I153" i="2"/>
  <c r="F153" i="2"/>
  <c r="E153" i="2"/>
  <c r="B153" i="2"/>
  <c r="O152" i="2"/>
  <c r="K152" i="2"/>
  <c r="I152" i="2"/>
  <c r="F152" i="2"/>
  <c r="E152" i="2"/>
  <c r="B152" i="2"/>
  <c r="O151" i="2"/>
  <c r="K151" i="2"/>
  <c r="I151" i="2"/>
  <c r="F151" i="2"/>
  <c r="B151" i="2"/>
  <c r="E151" i="2" s="1"/>
  <c r="O150" i="2"/>
  <c r="I150" i="2"/>
  <c r="K150" i="2" s="1"/>
  <c r="F150" i="2"/>
  <c r="B150" i="2"/>
  <c r="E150" i="2" s="1"/>
  <c r="O149" i="2"/>
  <c r="I149" i="2"/>
  <c r="F149" i="2"/>
  <c r="E149" i="2"/>
  <c r="B149" i="2"/>
  <c r="O148" i="2"/>
  <c r="K148" i="2"/>
  <c r="I148" i="2"/>
  <c r="F148" i="2"/>
  <c r="E148" i="2"/>
  <c r="B148" i="2"/>
  <c r="O147" i="2"/>
  <c r="K147" i="2"/>
  <c r="I147" i="2"/>
  <c r="F147" i="2"/>
  <c r="B147" i="2"/>
  <c r="E147" i="2" s="1"/>
  <c r="O146" i="2"/>
  <c r="I146" i="2"/>
  <c r="K146" i="2" s="1"/>
  <c r="F146" i="2"/>
  <c r="B146" i="2"/>
  <c r="E146" i="2" s="1"/>
  <c r="O145" i="2"/>
  <c r="I145" i="2"/>
  <c r="K145" i="2" s="1"/>
  <c r="F145" i="2"/>
  <c r="E145" i="2"/>
  <c r="B145" i="2"/>
  <c r="O144" i="2"/>
  <c r="K144" i="2"/>
  <c r="I144" i="2"/>
  <c r="F144" i="2"/>
  <c r="E144" i="2"/>
  <c r="B144" i="2"/>
  <c r="O143" i="2"/>
  <c r="K143" i="2"/>
  <c r="I143" i="2"/>
  <c r="F143" i="2"/>
  <c r="B143" i="2"/>
  <c r="E143" i="2" s="1"/>
  <c r="O142" i="2"/>
  <c r="I142" i="2"/>
  <c r="K142" i="2" s="1"/>
  <c r="F142" i="2"/>
  <c r="B142" i="2"/>
  <c r="E142" i="2" s="1"/>
  <c r="O141" i="2"/>
  <c r="I141" i="2"/>
  <c r="F141" i="2"/>
  <c r="E141" i="2"/>
  <c r="B141" i="2"/>
  <c r="O140" i="2"/>
  <c r="K140" i="2"/>
  <c r="I140" i="2"/>
  <c r="F140" i="2"/>
  <c r="E140" i="2"/>
  <c r="B140" i="2"/>
  <c r="O139" i="2"/>
  <c r="K139" i="2"/>
  <c r="I139" i="2"/>
  <c r="F139" i="2"/>
  <c r="B139" i="2"/>
  <c r="E139" i="2" s="1"/>
  <c r="O138" i="2"/>
  <c r="I138" i="2"/>
  <c r="K138" i="2" s="1"/>
  <c r="F138" i="2"/>
  <c r="E138" i="2"/>
  <c r="B138" i="2"/>
  <c r="O137" i="2"/>
  <c r="I137" i="2"/>
  <c r="F137" i="2"/>
  <c r="K137" i="2" s="1"/>
  <c r="E137" i="2"/>
  <c r="B137" i="2"/>
  <c r="O136" i="2"/>
  <c r="K136" i="2"/>
  <c r="I136" i="2"/>
  <c r="F136" i="2"/>
  <c r="E136" i="2"/>
  <c r="B136" i="2"/>
  <c r="O135" i="2"/>
  <c r="K135" i="2"/>
  <c r="I135" i="2"/>
  <c r="F135" i="2"/>
  <c r="B135" i="2"/>
  <c r="E135" i="2" s="1"/>
  <c r="O134" i="2"/>
  <c r="I134" i="2"/>
  <c r="K134" i="2" s="1"/>
  <c r="F134" i="2"/>
  <c r="E134" i="2"/>
  <c r="B134" i="2"/>
  <c r="O133" i="2"/>
  <c r="I133" i="2"/>
  <c r="F133" i="2"/>
  <c r="K133" i="2" s="1"/>
  <c r="E133" i="2"/>
  <c r="B133" i="2"/>
  <c r="O132" i="2"/>
  <c r="K132" i="2"/>
  <c r="I132" i="2"/>
  <c r="F132" i="2"/>
  <c r="E132" i="2"/>
  <c r="B132" i="2"/>
  <c r="O131" i="2"/>
  <c r="K131" i="2"/>
  <c r="I131" i="2"/>
  <c r="F131" i="2"/>
  <c r="B131" i="2"/>
  <c r="E131" i="2" s="1"/>
  <c r="O130" i="2"/>
  <c r="I130" i="2"/>
  <c r="K130" i="2" s="1"/>
  <c r="F130" i="2"/>
  <c r="E130" i="2"/>
  <c r="B130" i="2"/>
  <c r="O129" i="2"/>
  <c r="I129" i="2"/>
  <c r="F129" i="2"/>
  <c r="K129" i="2" s="1"/>
  <c r="E129" i="2"/>
  <c r="B129" i="2"/>
  <c r="O128" i="2"/>
  <c r="K128" i="2"/>
  <c r="I128" i="2"/>
  <c r="F128" i="2"/>
  <c r="E128" i="2"/>
  <c r="B128" i="2"/>
  <c r="O127" i="2"/>
  <c r="K127" i="2"/>
  <c r="I127" i="2"/>
  <c r="F127" i="2"/>
  <c r="B127" i="2"/>
  <c r="E127" i="2" s="1"/>
  <c r="O126" i="2"/>
  <c r="I126" i="2"/>
  <c r="K126" i="2" s="1"/>
  <c r="F126" i="2"/>
  <c r="E126" i="2"/>
  <c r="B126" i="2"/>
  <c r="O125" i="2"/>
  <c r="I125" i="2"/>
  <c r="F125" i="2"/>
  <c r="K125" i="2" s="1"/>
  <c r="E125" i="2"/>
  <c r="B125" i="2"/>
  <c r="O124" i="2"/>
  <c r="K124" i="2"/>
  <c r="I124" i="2"/>
  <c r="F124" i="2"/>
  <c r="E124" i="2"/>
  <c r="B124" i="2"/>
  <c r="O123" i="2"/>
  <c r="K123" i="2"/>
  <c r="I123" i="2"/>
  <c r="F123" i="2"/>
  <c r="B123" i="2"/>
  <c r="E123" i="2" s="1"/>
  <c r="O122" i="2"/>
  <c r="I122" i="2"/>
  <c r="K122" i="2" s="1"/>
  <c r="F122" i="2"/>
  <c r="E122" i="2"/>
  <c r="B122" i="2"/>
  <c r="O121" i="2"/>
  <c r="I121" i="2"/>
  <c r="F121" i="2"/>
  <c r="K121" i="2" s="1"/>
  <c r="E121" i="2"/>
  <c r="B121" i="2"/>
  <c r="O120" i="2"/>
  <c r="K120" i="2"/>
  <c r="I120" i="2"/>
  <c r="F120" i="2"/>
  <c r="E120" i="2"/>
  <c r="B120" i="2"/>
  <c r="O119" i="2"/>
  <c r="K119" i="2"/>
  <c r="I119" i="2"/>
  <c r="F119" i="2"/>
  <c r="B119" i="2"/>
  <c r="E119" i="2" s="1"/>
  <c r="O118" i="2"/>
  <c r="I118" i="2"/>
  <c r="K118" i="2" s="1"/>
  <c r="F118" i="2"/>
  <c r="E118" i="2"/>
  <c r="B118" i="2"/>
  <c r="O117" i="2"/>
  <c r="I117" i="2"/>
  <c r="F117" i="2"/>
  <c r="K117" i="2" s="1"/>
  <c r="E117" i="2"/>
  <c r="B117" i="2"/>
  <c r="O116" i="2"/>
  <c r="K116" i="2"/>
  <c r="I116" i="2"/>
  <c r="F116" i="2"/>
  <c r="B116" i="2"/>
  <c r="E116" i="2" s="1"/>
  <c r="O115" i="2"/>
  <c r="I115" i="2"/>
  <c r="K115" i="2" s="1"/>
  <c r="F115" i="2"/>
  <c r="B115" i="2"/>
  <c r="E115" i="2" s="1"/>
  <c r="O114" i="2"/>
  <c r="I114" i="2"/>
  <c r="F114" i="2"/>
  <c r="E114" i="2"/>
  <c r="B114" i="2"/>
  <c r="O113" i="2"/>
  <c r="I113" i="2"/>
  <c r="F113" i="2"/>
  <c r="K113" i="2" s="1"/>
  <c r="E113" i="2"/>
  <c r="B113" i="2"/>
  <c r="O112" i="2"/>
  <c r="K112" i="2"/>
  <c r="I112" i="2"/>
  <c r="F112" i="2"/>
  <c r="B112" i="2"/>
  <c r="E112" i="2" s="1"/>
  <c r="O111" i="2"/>
  <c r="I111" i="2"/>
  <c r="K111" i="2" s="1"/>
  <c r="F111" i="2"/>
  <c r="B111" i="2"/>
  <c r="E111" i="2" s="1"/>
  <c r="O110" i="2"/>
  <c r="I110" i="2"/>
  <c r="F110" i="2"/>
  <c r="E110" i="2"/>
  <c r="B110" i="2"/>
  <c r="O109" i="2"/>
  <c r="K109" i="2"/>
  <c r="I109" i="2"/>
  <c r="F109" i="2"/>
  <c r="B109" i="2"/>
  <c r="E109" i="2" s="1"/>
  <c r="O108" i="2"/>
  <c r="I108" i="2"/>
  <c r="K108" i="2" s="1"/>
  <c r="F108" i="2"/>
  <c r="B108" i="2"/>
  <c r="E108" i="2" s="1"/>
  <c r="O107" i="2"/>
  <c r="I107" i="2"/>
  <c r="K107" i="2" s="1"/>
  <c r="F107" i="2"/>
  <c r="B107" i="2"/>
  <c r="E107" i="2" s="1"/>
  <c r="O106" i="2"/>
  <c r="I106" i="2"/>
  <c r="F106" i="2"/>
  <c r="E106" i="2"/>
  <c r="B106" i="2"/>
  <c r="O105" i="2"/>
  <c r="I105" i="2"/>
  <c r="F105" i="2"/>
  <c r="K105" i="2" s="1"/>
  <c r="E105" i="2"/>
  <c r="B105" i="2"/>
  <c r="O104" i="2"/>
  <c r="K104" i="2"/>
  <c r="I104" i="2"/>
  <c r="F104" i="2"/>
  <c r="B104" i="2"/>
  <c r="E104" i="2" s="1"/>
  <c r="O103" i="2"/>
  <c r="I103" i="2"/>
  <c r="K103" i="2" s="1"/>
  <c r="F103" i="2"/>
  <c r="B103" i="2"/>
  <c r="E103" i="2" s="1"/>
  <c r="O102" i="2"/>
  <c r="K102" i="2"/>
  <c r="I102" i="2"/>
  <c r="F102" i="2"/>
  <c r="B102" i="2"/>
  <c r="E102" i="2" s="1"/>
  <c r="O101" i="2"/>
  <c r="I101" i="2"/>
  <c r="K101" i="2" s="1"/>
  <c r="F101" i="2"/>
  <c r="B101" i="2"/>
  <c r="E101" i="2" s="1"/>
  <c r="O100" i="2"/>
  <c r="I100" i="2"/>
  <c r="F100" i="2"/>
  <c r="B100" i="2"/>
  <c r="E100" i="2" s="1"/>
  <c r="O99" i="2"/>
  <c r="I99" i="2"/>
  <c r="K99" i="2" s="1"/>
  <c r="F99" i="2"/>
  <c r="E99" i="2"/>
  <c r="B99" i="2"/>
  <c r="O98" i="2"/>
  <c r="K98" i="2"/>
  <c r="I98" i="2"/>
  <c r="F98" i="2"/>
  <c r="B98" i="2"/>
  <c r="E98" i="2" s="1"/>
  <c r="O97" i="2"/>
  <c r="I97" i="2"/>
  <c r="K97" i="2" s="1"/>
  <c r="F97" i="2"/>
  <c r="B97" i="2"/>
  <c r="E97" i="2" s="1"/>
  <c r="O96" i="2"/>
  <c r="I96" i="2"/>
  <c r="K96" i="2" s="1"/>
  <c r="F96" i="2"/>
  <c r="B96" i="2"/>
  <c r="E96" i="2" s="1"/>
  <c r="O95" i="2"/>
  <c r="I95" i="2"/>
  <c r="K95" i="2" s="1"/>
  <c r="F95" i="2"/>
  <c r="E95" i="2"/>
  <c r="B95" i="2"/>
  <c r="O94" i="2"/>
  <c r="K94" i="2"/>
  <c r="I94" i="2"/>
  <c r="F94" i="2"/>
  <c r="B94" i="2"/>
  <c r="E94" i="2" s="1"/>
  <c r="O93" i="2"/>
  <c r="I93" i="2"/>
  <c r="K93" i="2" s="1"/>
  <c r="F93" i="2"/>
  <c r="B93" i="2"/>
  <c r="E93" i="2" s="1"/>
  <c r="O92" i="2"/>
  <c r="I92" i="2"/>
  <c r="F92" i="2"/>
  <c r="B92" i="2"/>
  <c r="E92" i="2" s="1"/>
  <c r="O91" i="2"/>
  <c r="I91" i="2"/>
  <c r="K91" i="2" s="1"/>
  <c r="F91" i="2"/>
  <c r="E91" i="2"/>
  <c r="B91" i="2"/>
  <c r="O90" i="2"/>
  <c r="K90" i="2"/>
  <c r="I90" i="2"/>
  <c r="F90" i="2"/>
  <c r="B90" i="2"/>
  <c r="E90" i="2" s="1"/>
  <c r="O89" i="2"/>
  <c r="I89" i="2"/>
  <c r="K89" i="2" s="1"/>
  <c r="F89" i="2"/>
  <c r="B89" i="2"/>
  <c r="E89" i="2" s="1"/>
  <c r="O88" i="2"/>
  <c r="I88" i="2"/>
  <c r="F88" i="2"/>
  <c r="B88" i="2"/>
  <c r="E88" i="2" s="1"/>
  <c r="O87" i="2"/>
  <c r="I87" i="2"/>
  <c r="K87" i="2" s="1"/>
  <c r="F87" i="2"/>
  <c r="E87" i="2"/>
  <c r="B87" i="2"/>
  <c r="O86" i="2"/>
  <c r="K86" i="2"/>
  <c r="I86" i="2"/>
  <c r="F86" i="2"/>
  <c r="B86" i="2"/>
  <c r="E86" i="2" s="1"/>
  <c r="O85" i="2"/>
  <c r="I85" i="2"/>
  <c r="K85" i="2" s="1"/>
  <c r="F85" i="2"/>
  <c r="B85" i="2"/>
  <c r="E85" i="2" s="1"/>
  <c r="O84" i="2"/>
  <c r="I84" i="2"/>
  <c r="F84" i="2"/>
  <c r="B84" i="2"/>
  <c r="E84" i="2" s="1"/>
  <c r="O83" i="2"/>
  <c r="I83" i="2"/>
  <c r="K83" i="2" s="1"/>
  <c r="F83" i="2"/>
  <c r="E83" i="2"/>
  <c r="B83" i="2"/>
  <c r="O82" i="2"/>
  <c r="K82" i="2"/>
  <c r="I82" i="2"/>
  <c r="F82" i="2"/>
  <c r="B82" i="2"/>
  <c r="E82" i="2" s="1"/>
  <c r="O81" i="2"/>
  <c r="I81" i="2"/>
  <c r="K81" i="2" s="1"/>
  <c r="F81" i="2"/>
  <c r="B81" i="2"/>
  <c r="E81" i="2" s="1"/>
  <c r="O80" i="2"/>
  <c r="I80" i="2"/>
  <c r="K80" i="2" s="1"/>
  <c r="F80" i="2"/>
  <c r="B80" i="2"/>
  <c r="E80" i="2" s="1"/>
  <c r="O79" i="2"/>
  <c r="I79" i="2"/>
  <c r="K79" i="2" s="1"/>
  <c r="F79" i="2"/>
  <c r="E79" i="2"/>
  <c r="B79" i="2"/>
  <c r="O78" i="2"/>
  <c r="K78" i="2"/>
  <c r="I78" i="2"/>
  <c r="F78" i="2"/>
  <c r="B78" i="2"/>
  <c r="E78" i="2" s="1"/>
  <c r="O77" i="2"/>
  <c r="I77" i="2"/>
  <c r="K77" i="2" s="1"/>
  <c r="F77" i="2"/>
  <c r="B77" i="2"/>
  <c r="E77" i="2" s="1"/>
  <c r="O76" i="2"/>
  <c r="I76" i="2"/>
  <c r="F76" i="2"/>
  <c r="B76" i="2"/>
  <c r="E76" i="2" s="1"/>
  <c r="O75" i="2"/>
  <c r="I75" i="2"/>
  <c r="K75" i="2" s="1"/>
  <c r="F75" i="2"/>
  <c r="E75" i="2"/>
  <c r="B75" i="2"/>
  <c r="O74" i="2"/>
  <c r="K74" i="2"/>
  <c r="I74" i="2"/>
  <c r="F74" i="2"/>
  <c r="B74" i="2"/>
  <c r="E74" i="2" s="1"/>
  <c r="O73" i="2"/>
  <c r="I73" i="2"/>
  <c r="K73" i="2" s="1"/>
  <c r="F73" i="2"/>
  <c r="B73" i="2"/>
  <c r="E73" i="2" s="1"/>
  <c r="O72" i="2"/>
  <c r="I72" i="2"/>
  <c r="F72" i="2"/>
  <c r="B72" i="2"/>
  <c r="E72" i="2" s="1"/>
  <c r="O71" i="2"/>
  <c r="I71" i="2"/>
  <c r="K71" i="2" s="1"/>
  <c r="F71" i="2"/>
  <c r="E71" i="2"/>
  <c r="B71" i="2"/>
  <c r="O70" i="2"/>
  <c r="K70" i="2"/>
  <c r="I70" i="2"/>
  <c r="F70" i="2"/>
  <c r="B70" i="2"/>
  <c r="E70" i="2" s="1"/>
  <c r="O69" i="2"/>
  <c r="I69" i="2"/>
  <c r="K69" i="2" s="1"/>
  <c r="F69" i="2"/>
  <c r="B69" i="2"/>
  <c r="E69" i="2" s="1"/>
  <c r="O68" i="2"/>
  <c r="I68" i="2"/>
  <c r="F68" i="2"/>
  <c r="B68" i="2"/>
  <c r="E68" i="2" s="1"/>
  <c r="O67" i="2"/>
  <c r="I67" i="2"/>
  <c r="K67" i="2" s="1"/>
  <c r="F67" i="2"/>
  <c r="E67" i="2"/>
  <c r="B67" i="2"/>
  <c r="O66" i="2"/>
  <c r="K66" i="2"/>
  <c r="I66" i="2"/>
  <c r="F66" i="2"/>
  <c r="B66" i="2"/>
  <c r="E66" i="2" s="1"/>
  <c r="O65" i="2"/>
  <c r="I65" i="2"/>
  <c r="K65" i="2" s="1"/>
  <c r="F65" i="2"/>
  <c r="B65" i="2"/>
  <c r="E65" i="2" s="1"/>
  <c r="O64" i="2"/>
  <c r="I64" i="2"/>
  <c r="K64" i="2" s="1"/>
  <c r="F64" i="2"/>
  <c r="B64" i="2"/>
  <c r="E64" i="2" s="1"/>
  <c r="O63" i="2"/>
  <c r="I63" i="2"/>
  <c r="K63" i="2" s="1"/>
  <c r="F63" i="2"/>
  <c r="E63" i="2"/>
  <c r="B63" i="2"/>
  <c r="O62" i="2"/>
  <c r="K62" i="2"/>
  <c r="I62" i="2"/>
  <c r="F62" i="2"/>
  <c r="B62" i="2"/>
  <c r="E62" i="2" s="1"/>
  <c r="O61" i="2"/>
  <c r="I61" i="2"/>
  <c r="K61" i="2" s="1"/>
  <c r="F61" i="2"/>
  <c r="B61" i="2"/>
  <c r="E61" i="2" s="1"/>
  <c r="O60" i="2"/>
  <c r="I60" i="2"/>
  <c r="F60" i="2"/>
  <c r="B60" i="2"/>
  <c r="E60" i="2" s="1"/>
  <c r="O59" i="2"/>
  <c r="I59" i="2"/>
  <c r="K59" i="2" s="1"/>
  <c r="F59" i="2"/>
  <c r="E59" i="2"/>
  <c r="B59" i="2"/>
  <c r="O58" i="2"/>
  <c r="K58" i="2"/>
  <c r="I58" i="2"/>
  <c r="F58" i="2"/>
  <c r="B58" i="2"/>
  <c r="E58" i="2" s="1"/>
  <c r="O57" i="2"/>
  <c r="I57" i="2"/>
  <c r="K57" i="2" s="1"/>
  <c r="F57" i="2"/>
  <c r="B57" i="2"/>
  <c r="E57" i="2" s="1"/>
  <c r="O56" i="2"/>
  <c r="I56" i="2"/>
  <c r="F56" i="2"/>
  <c r="B56" i="2"/>
  <c r="E56" i="2" s="1"/>
  <c r="O55" i="2"/>
  <c r="I55" i="2"/>
  <c r="K55" i="2" s="1"/>
  <c r="F55" i="2"/>
  <c r="E55" i="2"/>
  <c r="B55" i="2"/>
  <c r="O54" i="2"/>
  <c r="K54" i="2"/>
  <c r="I54" i="2"/>
  <c r="F54" i="2"/>
  <c r="B54" i="2"/>
  <c r="E54" i="2" s="1"/>
  <c r="O53" i="2"/>
  <c r="I53" i="2"/>
  <c r="K53" i="2" s="1"/>
  <c r="F53" i="2"/>
  <c r="B53" i="2"/>
  <c r="E53" i="2" s="1"/>
  <c r="O52" i="2"/>
  <c r="I52" i="2"/>
  <c r="F52" i="2"/>
  <c r="B52" i="2"/>
  <c r="E52" i="2" s="1"/>
  <c r="O51" i="2"/>
  <c r="I51" i="2"/>
  <c r="K51" i="2" s="1"/>
  <c r="F51" i="2"/>
  <c r="E51" i="2"/>
  <c r="B51" i="2"/>
  <c r="O50" i="2"/>
  <c r="K50" i="2"/>
  <c r="I50" i="2"/>
  <c r="F50" i="2"/>
  <c r="B50" i="2"/>
  <c r="E50" i="2" s="1"/>
  <c r="O49" i="2"/>
  <c r="I49" i="2"/>
  <c r="K49" i="2" s="1"/>
  <c r="F49" i="2"/>
  <c r="B49" i="2"/>
  <c r="E49" i="2" s="1"/>
  <c r="O48" i="2"/>
  <c r="I48" i="2"/>
  <c r="K48" i="2" s="1"/>
  <c r="F48" i="2"/>
  <c r="B48" i="2"/>
  <c r="E48" i="2" s="1"/>
  <c r="O47" i="2"/>
  <c r="I47" i="2"/>
  <c r="F47" i="2"/>
  <c r="E47" i="2"/>
  <c r="B47" i="2"/>
  <c r="O46" i="2"/>
  <c r="K46" i="2"/>
  <c r="I46" i="2"/>
  <c r="F46" i="2"/>
  <c r="B46" i="2"/>
  <c r="E46" i="2" s="1"/>
  <c r="O45" i="2"/>
  <c r="I45" i="2"/>
  <c r="K45" i="2" s="1"/>
  <c r="F45" i="2"/>
  <c r="B45" i="2"/>
  <c r="E45" i="2" s="1"/>
  <c r="O44" i="2"/>
  <c r="I44" i="2"/>
  <c r="F44" i="2"/>
  <c r="B44" i="2"/>
  <c r="E44" i="2" s="1"/>
  <c r="O43" i="2"/>
  <c r="I43" i="2"/>
  <c r="F43" i="2"/>
  <c r="E43" i="2"/>
  <c r="B43" i="2"/>
  <c r="O42" i="2"/>
  <c r="K42" i="2"/>
  <c r="I42" i="2"/>
  <c r="F42" i="2"/>
  <c r="E42" i="2"/>
  <c r="B42" i="2"/>
  <c r="O41" i="2"/>
  <c r="I41" i="2"/>
  <c r="K41" i="2" s="1"/>
  <c r="F41" i="2"/>
  <c r="B41" i="2"/>
  <c r="E41" i="2" s="1"/>
  <c r="O40" i="2"/>
  <c r="I40" i="2"/>
  <c r="K40" i="2" s="1"/>
  <c r="F40" i="2"/>
  <c r="B40" i="2"/>
  <c r="E40" i="2" s="1"/>
  <c r="O39" i="2"/>
  <c r="I39" i="2"/>
  <c r="F39" i="2"/>
  <c r="E39" i="2"/>
  <c r="B39" i="2"/>
  <c r="O38" i="2"/>
  <c r="K38" i="2"/>
  <c r="I38" i="2"/>
  <c r="F38" i="2"/>
  <c r="B38" i="2"/>
  <c r="E38" i="2" s="1"/>
  <c r="O37" i="2"/>
  <c r="I37" i="2"/>
  <c r="K37" i="2" s="1"/>
  <c r="F37" i="2"/>
  <c r="B37" i="2"/>
  <c r="E37" i="2" s="1"/>
  <c r="O36" i="2"/>
  <c r="I36" i="2"/>
  <c r="F36" i="2"/>
  <c r="B36" i="2"/>
  <c r="E36" i="2" s="1"/>
  <c r="O35" i="2"/>
  <c r="I35" i="2"/>
  <c r="F35" i="2"/>
  <c r="E35" i="2"/>
  <c r="B35" i="2"/>
  <c r="O34" i="2"/>
  <c r="I34" i="2"/>
  <c r="F34" i="2"/>
  <c r="K34" i="2" s="1"/>
  <c r="E34" i="2"/>
  <c r="B34" i="2"/>
  <c r="O33" i="2"/>
  <c r="K33" i="2"/>
  <c r="I33" i="2"/>
  <c r="F33" i="2"/>
  <c r="B33" i="2"/>
  <c r="E33" i="2" s="1"/>
  <c r="O32" i="2"/>
  <c r="I32" i="2"/>
  <c r="F32" i="2"/>
  <c r="B32" i="2"/>
  <c r="E32" i="2" s="1"/>
  <c r="O31" i="2"/>
  <c r="I31" i="2"/>
  <c r="K31" i="2" s="1"/>
  <c r="F31" i="2"/>
  <c r="E31" i="2"/>
  <c r="B31" i="2"/>
  <c r="O30" i="2"/>
  <c r="I30" i="2"/>
  <c r="F30" i="2"/>
  <c r="K30" i="2" s="1"/>
  <c r="B30" i="2"/>
  <c r="E30" i="2" s="1"/>
  <c r="O29" i="2"/>
  <c r="I29" i="2"/>
  <c r="K29" i="2" s="1"/>
  <c r="F29" i="2"/>
  <c r="E29" i="2"/>
  <c r="B29" i="2"/>
  <c r="O28" i="2"/>
  <c r="I28" i="2"/>
  <c r="K28" i="2" s="1"/>
  <c r="F28" i="2"/>
  <c r="B28" i="2"/>
  <c r="E28" i="2" s="1"/>
  <c r="O27" i="2"/>
  <c r="I27" i="2"/>
  <c r="F27" i="2"/>
  <c r="E27" i="2"/>
  <c r="B27" i="2"/>
  <c r="O26" i="2"/>
  <c r="K26" i="2"/>
  <c r="I26" i="2"/>
  <c r="F26" i="2"/>
  <c r="B26" i="2"/>
  <c r="E26" i="2" s="1"/>
  <c r="O25" i="2"/>
  <c r="I25" i="2"/>
  <c r="K25" i="2" s="1"/>
  <c r="F25" i="2"/>
  <c r="B25" i="2"/>
  <c r="E25" i="2" s="1"/>
  <c r="O24" i="2"/>
  <c r="K24" i="2"/>
  <c r="I24" i="2"/>
  <c r="F24" i="2"/>
  <c r="B24" i="2"/>
  <c r="E24" i="2" s="1"/>
  <c r="O23" i="2"/>
  <c r="I23" i="2"/>
  <c r="F23" i="2"/>
  <c r="E23" i="2"/>
  <c r="B23" i="2"/>
  <c r="O22" i="2"/>
  <c r="K22" i="2"/>
  <c r="I22" i="2"/>
  <c r="F22" i="2"/>
  <c r="B22" i="2"/>
  <c r="E22" i="2" s="1"/>
  <c r="O21" i="2"/>
  <c r="I21" i="2"/>
  <c r="K21" i="2" s="1"/>
  <c r="F21" i="2"/>
  <c r="B21" i="2"/>
  <c r="E21" i="2" s="1"/>
  <c r="O20" i="2"/>
  <c r="I20" i="2"/>
  <c r="K20" i="2" s="1"/>
  <c r="F20" i="2"/>
  <c r="B20" i="2"/>
  <c r="E20" i="2" s="1"/>
  <c r="O19" i="2"/>
  <c r="I19" i="2"/>
  <c r="F19" i="2"/>
  <c r="B19" i="2"/>
  <c r="E19" i="2" s="1"/>
  <c r="O18" i="2"/>
  <c r="I18" i="2"/>
  <c r="K18" i="2" s="1"/>
  <c r="F18" i="2"/>
  <c r="E18" i="2"/>
  <c r="B18" i="2"/>
  <c r="O17" i="2"/>
  <c r="K17" i="2"/>
  <c r="I17" i="2"/>
  <c r="F17" i="2"/>
  <c r="B17" i="2"/>
  <c r="E17" i="2" s="1"/>
  <c r="O16" i="2"/>
  <c r="I16" i="2"/>
  <c r="K16" i="2" s="1"/>
  <c r="F16" i="2"/>
  <c r="B16" i="2"/>
  <c r="E16" i="2" s="1"/>
  <c r="O15" i="2"/>
  <c r="I15" i="2"/>
  <c r="F15" i="2"/>
  <c r="B15" i="2"/>
  <c r="E15" i="2" s="1"/>
  <c r="O14" i="2"/>
  <c r="I14" i="2"/>
  <c r="K14" i="2" s="1"/>
  <c r="F14" i="2"/>
  <c r="E14" i="2"/>
  <c r="B14" i="2"/>
  <c r="O13" i="2"/>
  <c r="K13" i="2"/>
  <c r="I13" i="2"/>
  <c r="F13" i="2"/>
  <c r="B13" i="2"/>
  <c r="E13" i="2" s="1"/>
  <c r="O12" i="2"/>
  <c r="I12" i="2"/>
  <c r="K12" i="2" s="1"/>
  <c r="F12" i="2"/>
  <c r="B12" i="2"/>
  <c r="E12" i="2" s="1"/>
  <c r="O11" i="2"/>
  <c r="I11" i="2"/>
  <c r="K11" i="2" s="1"/>
  <c r="F11" i="2"/>
  <c r="B11" i="2"/>
  <c r="E11" i="2" s="1"/>
  <c r="O10" i="2"/>
  <c r="I10" i="2"/>
  <c r="K10" i="2" s="1"/>
  <c r="F10" i="2"/>
  <c r="E10" i="2"/>
  <c r="B10" i="2"/>
  <c r="O9" i="2"/>
  <c r="K9" i="2"/>
  <c r="I9" i="2"/>
  <c r="F9" i="2"/>
  <c r="B9" i="2"/>
  <c r="E9" i="2" s="1"/>
  <c r="O8" i="2"/>
  <c r="I8" i="2"/>
  <c r="K8" i="2" s="1"/>
  <c r="F8" i="2"/>
  <c r="B8" i="2"/>
  <c r="E8" i="2" s="1"/>
  <c r="O7" i="2"/>
  <c r="I7" i="2"/>
  <c r="F7" i="2"/>
  <c r="B7" i="2"/>
  <c r="E7" i="2" s="1"/>
  <c r="O6" i="2"/>
  <c r="I6" i="2"/>
  <c r="K6" i="2" s="1"/>
  <c r="F6" i="2"/>
  <c r="E6" i="2"/>
  <c r="B6" i="2"/>
  <c r="O5" i="2"/>
  <c r="K5" i="2"/>
  <c r="I5" i="2"/>
  <c r="F5" i="2"/>
  <c r="B5" i="2"/>
  <c r="E5" i="2" s="1"/>
  <c r="O4" i="2"/>
  <c r="I4" i="2"/>
  <c r="K4" i="2" s="1"/>
  <c r="F4" i="2"/>
  <c r="B4" i="2"/>
  <c r="E4" i="2" s="1"/>
  <c r="O3" i="2"/>
  <c r="I3" i="2"/>
  <c r="K3" i="2" s="1"/>
  <c r="F3" i="2"/>
  <c r="B3" i="2"/>
  <c r="E3" i="2" s="1"/>
  <c r="O2" i="2"/>
  <c r="I2" i="2"/>
  <c r="K2" i="2" s="1"/>
  <c r="F2" i="2"/>
  <c r="E2" i="2"/>
  <c r="B2" i="2"/>
  <c r="O303" i="1"/>
  <c r="N303" i="1"/>
  <c r="J303" i="1"/>
  <c r="M303" i="1" s="1"/>
  <c r="G303" i="1"/>
  <c r="F303" i="1"/>
  <c r="C303" i="1"/>
  <c r="H303" i="1" s="1"/>
  <c r="O302" i="1"/>
  <c r="N302" i="1"/>
  <c r="M302" i="1"/>
  <c r="J302" i="1"/>
  <c r="G302" i="1"/>
  <c r="F302" i="1"/>
  <c r="C302" i="1"/>
  <c r="H302" i="1" s="1"/>
  <c r="O301" i="1"/>
  <c r="N301" i="1"/>
  <c r="J301" i="1"/>
  <c r="M301" i="1" s="1"/>
  <c r="G301" i="1"/>
  <c r="F301" i="1"/>
  <c r="C301" i="1"/>
  <c r="H301" i="1" s="1"/>
  <c r="O300" i="1"/>
  <c r="N300" i="1"/>
  <c r="M300" i="1"/>
  <c r="J300" i="1"/>
  <c r="G300" i="1"/>
  <c r="F300" i="1"/>
  <c r="C300" i="1"/>
  <c r="H300" i="1" s="1"/>
  <c r="O299" i="1"/>
  <c r="N299" i="1"/>
  <c r="J299" i="1"/>
  <c r="M299" i="1" s="1"/>
  <c r="G299" i="1"/>
  <c r="F299" i="1"/>
  <c r="C299" i="1"/>
  <c r="H299" i="1" s="1"/>
  <c r="O298" i="1"/>
  <c r="N298" i="1"/>
  <c r="M298" i="1"/>
  <c r="J298" i="1"/>
  <c r="G298" i="1"/>
  <c r="F298" i="1"/>
  <c r="C298" i="1"/>
  <c r="H298" i="1" s="1"/>
  <c r="O297" i="1"/>
  <c r="N297" i="1"/>
  <c r="J297" i="1"/>
  <c r="M297" i="1" s="1"/>
  <c r="G297" i="1"/>
  <c r="F297" i="1"/>
  <c r="C297" i="1"/>
  <c r="H297" i="1" s="1"/>
  <c r="O296" i="1"/>
  <c r="N296" i="1"/>
  <c r="M296" i="1"/>
  <c r="J296" i="1"/>
  <c r="G296" i="1"/>
  <c r="F296" i="1"/>
  <c r="C296" i="1"/>
  <c r="H296" i="1" s="1"/>
  <c r="O295" i="1"/>
  <c r="N295" i="1"/>
  <c r="J295" i="1"/>
  <c r="M295" i="1" s="1"/>
  <c r="G295" i="1"/>
  <c r="F295" i="1"/>
  <c r="C295" i="1"/>
  <c r="H295" i="1" s="1"/>
  <c r="O294" i="1"/>
  <c r="N294" i="1"/>
  <c r="M294" i="1"/>
  <c r="J294" i="1"/>
  <c r="G294" i="1"/>
  <c r="F294" i="1"/>
  <c r="C294" i="1"/>
  <c r="H294" i="1" s="1"/>
  <c r="O293" i="1"/>
  <c r="N293" i="1"/>
  <c r="J293" i="1"/>
  <c r="M293" i="1" s="1"/>
  <c r="G293" i="1"/>
  <c r="F293" i="1"/>
  <c r="C293" i="1"/>
  <c r="H293" i="1" s="1"/>
  <c r="O292" i="1"/>
  <c r="N292" i="1"/>
  <c r="M292" i="1"/>
  <c r="J292" i="1"/>
  <c r="G292" i="1"/>
  <c r="F292" i="1"/>
  <c r="C292" i="1"/>
  <c r="H292" i="1" s="1"/>
  <c r="O291" i="1"/>
  <c r="N291" i="1"/>
  <c r="J291" i="1"/>
  <c r="M291" i="1" s="1"/>
  <c r="G291" i="1"/>
  <c r="F291" i="1"/>
  <c r="C291" i="1"/>
  <c r="H291" i="1" s="1"/>
  <c r="O290" i="1"/>
  <c r="N290" i="1"/>
  <c r="M290" i="1"/>
  <c r="J290" i="1"/>
  <c r="G290" i="1"/>
  <c r="F290" i="1"/>
  <c r="C290" i="1"/>
  <c r="H290" i="1" s="1"/>
  <c r="O289" i="1"/>
  <c r="N289" i="1"/>
  <c r="J289" i="1"/>
  <c r="M289" i="1" s="1"/>
  <c r="G289" i="1"/>
  <c r="F289" i="1"/>
  <c r="C289" i="1"/>
  <c r="H289" i="1" s="1"/>
  <c r="O288" i="1"/>
  <c r="N288" i="1"/>
  <c r="M288" i="1"/>
  <c r="J288" i="1"/>
  <c r="G288" i="1"/>
  <c r="F288" i="1"/>
  <c r="C288" i="1"/>
  <c r="H288" i="1" s="1"/>
  <c r="O287" i="1"/>
  <c r="N287" i="1"/>
  <c r="J287" i="1"/>
  <c r="M287" i="1" s="1"/>
  <c r="G287" i="1"/>
  <c r="F287" i="1"/>
  <c r="C287" i="1"/>
  <c r="H287" i="1" s="1"/>
  <c r="O286" i="1"/>
  <c r="N286" i="1"/>
  <c r="M286" i="1"/>
  <c r="J286" i="1"/>
  <c r="G286" i="1"/>
  <c r="F286" i="1"/>
  <c r="C286" i="1"/>
  <c r="H286" i="1" s="1"/>
  <c r="O285" i="1"/>
  <c r="N285" i="1"/>
  <c r="J285" i="1"/>
  <c r="M285" i="1" s="1"/>
  <c r="G285" i="1"/>
  <c r="F285" i="1"/>
  <c r="C285" i="1"/>
  <c r="H285" i="1" s="1"/>
  <c r="O284" i="1"/>
  <c r="N284" i="1"/>
  <c r="M284" i="1"/>
  <c r="J284" i="1"/>
  <c r="G284" i="1"/>
  <c r="F284" i="1"/>
  <c r="C284" i="1"/>
  <c r="H284" i="1" s="1"/>
  <c r="O283" i="1"/>
  <c r="N283" i="1"/>
  <c r="J283" i="1"/>
  <c r="M283" i="1" s="1"/>
  <c r="G283" i="1"/>
  <c r="F283" i="1"/>
  <c r="C283" i="1"/>
  <c r="H283" i="1" s="1"/>
  <c r="O282" i="1"/>
  <c r="N282" i="1"/>
  <c r="M282" i="1"/>
  <c r="J282" i="1"/>
  <c r="G282" i="1"/>
  <c r="F282" i="1"/>
  <c r="C282" i="1"/>
  <c r="H282" i="1" s="1"/>
  <c r="O281" i="1"/>
  <c r="N281" i="1"/>
  <c r="J281" i="1"/>
  <c r="M281" i="1" s="1"/>
  <c r="G281" i="1"/>
  <c r="F281" i="1"/>
  <c r="C281" i="1"/>
  <c r="H281" i="1" s="1"/>
  <c r="O280" i="1"/>
  <c r="N280" i="1"/>
  <c r="M280" i="1"/>
  <c r="J280" i="1"/>
  <c r="G280" i="1"/>
  <c r="F280" i="1"/>
  <c r="C280" i="1"/>
  <c r="H280" i="1" s="1"/>
  <c r="O279" i="1"/>
  <c r="N279" i="1"/>
  <c r="J279" i="1"/>
  <c r="M279" i="1" s="1"/>
  <c r="G279" i="1"/>
  <c r="F279" i="1"/>
  <c r="C279" i="1"/>
  <c r="H279" i="1" s="1"/>
  <c r="O278" i="1"/>
  <c r="N278" i="1"/>
  <c r="M278" i="1"/>
  <c r="J278" i="1"/>
  <c r="G278" i="1"/>
  <c r="F278" i="1"/>
  <c r="C278" i="1"/>
  <c r="H278" i="1" s="1"/>
  <c r="O277" i="1"/>
  <c r="N277" i="1"/>
  <c r="J277" i="1"/>
  <c r="M277" i="1" s="1"/>
  <c r="G277" i="1"/>
  <c r="F277" i="1"/>
  <c r="C277" i="1"/>
  <c r="H277" i="1" s="1"/>
  <c r="O276" i="1"/>
  <c r="N276" i="1"/>
  <c r="M276" i="1"/>
  <c r="J276" i="1"/>
  <c r="G276" i="1"/>
  <c r="F276" i="1"/>
  <c r="C276" i="1"/>
  <c r="H276" i="1" s="1"/>
  <c r="O275" i="1"/>
  <c r="N275" i="1"/>
  <c r="J275" i="1"/>
  <c r="M275" i="1" s="1"/>
  <c r="G275" i="1"/>
  <c r="F275" i="1"/>
  <c r="C275" i="1"/>
  <c r="H275" i="1" s="1"/>
  <c r="O274" i="1"/>
  <c r="N274" i="1"/>
  <c r="M274" i="1"/>
  <c r="J274" i="1"/>
  <c r="G274" i="1"/>
  <c r="F274" i="1"/>
  <c r="C274" i="1"/>
  <c r="H274" i="1" s="1"/>
  <c r="O273" i="1"/>
  <c r="N273" i="1"/>
  <c r="J273" i="1"/>
  <c r="M273" i="1" s="1"/>
  <c r="G273" i="1"/>
  <c r="F273" i="1"/>
  <c r="C273" i="1"/>
  <c r="H273" i="1" s="1"/>
  <c r="O272" i="1"/>
  <c r="N272" i="1"/>
  <c r="M272" i="1"/>
  <c r="J272" i="1"/>
  <c r="G272" i="1"/>
  <c r="F272" i="1"/>
  <c r="C272" i="1"/>
  <c r="H272" i="1" s="1"/>
  <c r="O271" i="1"/>
  <c r="N271" i="1"/>
  <c r="J271" i="1"/>
  <c r="M271" i="1" s="1"/>
  <c r="G271" i="1"/>
  <c r="F271" i="1"/>
  <c r="C271" i="1"/>
  <c r="H271" i="1" s="1"/>
  <c r="O270" i="1"/>
  <c r="N270" i="1"/>
  <c r="M270" i="1"/>
  <c r="J270" i="1"/>
  <c r="G270" i="1"/>
  <c r="F270" i="1"/>
  <c r="C270" i="1"/>
  <c r="H270" i="1" s="1"/>
  <c r="O269" i="1"/>
  <c r="N269" i="1"/>
  <c r="J269" i="1"/>
  <c r="M269" i="1" s="1"/>
  <c r="G269" i="1"/>
  <c r="F269" i="1"/>
  <c r="C269" i="1"/>
  <c r="H269" i="1" s="1"/>
  <c r="O268" i="1"/>
  <c r="N268" i="1"/>
  <c r="M268" i="1"/>
  <c r="J268" i="1"/>
  <c r="G268" i="1"/>
  <c r="F268" i="1"/>
  <c r="C268" i="1"/>
  <c r="H268" i="1" s="1"/>
  <c r="O267" i="1"/>
  <c r="N267" i="1"/>
  <c r="J267" i="1"/>
  <c r="M267" i="1" s="1"/>
  <c r="G267" i="1"/>
  <c r="F267" i="1"/>
  <c r="C267" i="1"/>
  <c r="H267" i="1" s="1"/>
  <c r="O266" i="1"/>
  <c r="N266" i="1"/>
  <c r="M266" i="1"/>
  <c r="J266" i="1"/>
  <c r="G266" i="1"/>
  <c r="F266" i="1"/>
  <c r="C266" i="1"/>
  <c r="H266" i="1" s="1"/>
  <c r="O265" i="1"/>
  <c r="N265" i="1"/>
  <c r="M265" i="1"/>
  <c r="J265" i="1"/>
  <c r="G265" i="1"/>
  <c r="F265" i="1"/>
  <c r="C265" i="1"/>
  <c r="H265" i="1" s="1"/>
  <c r="O264" i="1"/>
  <c r="N264" i="1"/>
  <c r="J264" i="1"/>
  <c r="M264" i="1" s="1"/>
  <c r="G264" i="1"/>
  <c r="F264" i="1"/>
  <c r="C264" i="1"/>
  <c r="H264" i="1" s="1"/>
  <c r="O263" i="1"/>
  <c r="N263" i="1"/>
  <c r="J263" i="1"/>
  <c r="M263" i="1" s="1"/>
  <c r="G263" i="1"/>
  <c r="F263" i="1"/>
  <c r="C263" i="1"/>
  <c r="H263" i="1" s="1"/>
  <c r="O262" i="1"/>
  <c r="N262" i="1"/>
  <c r="J262" i="1"/>
  <c r="M262" i="1" s="1"/>
  <c r="G262" i="1"/>
  <c r="F262" i="1"/>
  <c r="C262" i="1"/>
  <c r="H262" i="1" s="1"/>
  <c r="O261" i="1"/>
  <c r="N261" i="1"/>
  <c r="M261" i="1"/>
  <c r="J261" i="1"/>
  <c r="G261" i="1"/>
  <c r="F261" i="1"/>
  <c r="C261" i="1"/>
  <c r="H261" i="1" s="1"/>
  <c r="O260" i="1"/>
  <c r="N260" i="1"/>
  <c r="J260" i="1"/>
  <c r="M260" i="1" s="1"/>
  <c r="G260" i="1"/>
  <c r="F260" i="1"/>
  <c r="C260" i="1"/>
  <c r="H260" i="1" s="1"/>
  <c r="O259" i="1"/>
  <c r="N259" i="1"/>
  <c r="J259" i="1"/>
  <c r="M259" i="1" s="1"/>
  <c r="G259" i="1"/>
  <c r="F259" i="1"/>
  <c r="C259" i="1"/>
  <c r="H259" i="1" s="1"/>
  <c r="O258" i="1"/>
  <c r="N258" i="1"/>
  <c r="J258" i="1"/>
  <c r="M258" i="1" s="1"/>
  <c r="G258" i="1"/>
  <c r="F258" i="1"/>
  <c r="C258" i="1"/>
  <c r="H258" i="1" s="1"/>
  <c r="O257" i="1"/>
  <c r="N257" i="1"/>
  <c r="M257" i="1"/>
  <c r="J257" i="1"/>
  <c r="G257" i="1"/>
  <c r="F257" i="1"/>
  <c r="C257" i="1"/>
  <c r="H257" i="1" s="1"/>
  <c r="O256" i="1"/>
  <c r="N256" i="1"/>
  <c r="J256" i="1"/>
  <c r="M256" i="1" s="1"/>
  <c r="G256" i="1"/>
  <c r="F256" i="1"/>
  <c r="C256" i="1"/>
  <c r="H256" i="1" s="1"/>
  <c r="O255" i="1"/>
  <c r="N255" i="1"/>
  <c r="J255" i="1"/>
  <c r="M255" i="1" s="1"/>
  <c r="G255" i="1"/>
  <c r="F255" i="1"/>
  <c r="C255" i="1"/>
  <c r="H255" i="1" s="1"/>
  <c r="O254" i="1"/>
  <c r="N254" i="1"/>
  <c r="J254" i="1"/>
  <c r="M254" i="1" s="1"/>
  <c r="G254" i="1"/>
  <c r="F254" i="1"/>
  <c r="C254" i="1"/>
  <c r="H254" i="1" s="1"/>
  <c r="O253" i="1"/>
  <c r="N253" i="1"/>
  <c r="M253" i="1"/>
  <c r="J253" i="1"/>
  <c r="G253" i="1"/>
  <c r="F253" i="1"/>
  <c r="C253" i="1"/>
  <c r="H253" i="1" s="1"/>
  <c r="O252" i="1"/>
  <c r="N252" i="1"/>
  <c r="J252" i="1"/>
  <c r="M252" i="1" s="1"/>
  <c r="G252" i="1"/>
  <c r="F252" i="1"/>
  <c r="C252" i="1"/>
  <c r="H252" i="1" s="1"/>
  <c r="O251" i="1"/>
  <c r="N251" i="1"/>
  <c r="J251" i="1"/>
  <c r="M251" i="1" s="1"/>
  <c r="G251" i="1"/>
  <c r="F251" i="1"/>
  <c r="C251" i="1"/>
  <c r="H251" i="1" s="1"/>
  <c r="O250" i="1"/>
  <c r="N250" i="1"/>
  <c r="J250" i="1"/>
  <c r="M250" i="1" s="1"/>
  <c r="G250" i="1"/>
  <c r="F250" i="1"/>
  <c r="C250" i="1"/>
  <c r="H250" i="1" s="1"/>
  <c r="O249" i="1"/>
  <c r="N249" i="1"/>
  <c r="M249" i="1"/>
  <c r="J249" i="1"/>
  <c r="G249" i="1"/>
  <c r="F249" i="1"/>
  <c r="C249" i="1"/>
  <c r="H249" i="1" s="1"/>
  <c r="O248" i="1"/>
  <c r="N248" i="1"/>
  <c r="J248" i="1"/>
  <c r="M248" i="1" s="1"/>
  <c r="G248" i="1"/>
  <c r="F248" i="1"/>
  <c r="C248" i="1"/>
  <c r="H248" i="1" s="1"/>
  <c r="O247" i="1"/>
  <c r="N247" i="1"/>
  <c r="J247" i="1"/>
  <c r="M247" i="1" s="1"/>
  <c r="G247" i="1"/>
  <c r="F247" i="1"/>
  <c r="C247" i="1"/>
  <c r="H247" i="1" s="1"/>
  <c r="O246" i="1"/>
  <c r="N246" i="1"/>
  <c r="J246" i="1"/>
  <c r="M246" i="1" s="1"/>
  <c r="G246" i="1"/>
  <c r="F246" i="1"/>
  <c r="C246" i="1"/>
  <c r="H246" i="1" s="1"/>
  <c r="O245" i="1"/>
  <c r="N245" i="1"/>
  <c r="M245" i="1"/>
  <c r="J245" i="1"/>
  <c r="G245" i="1"/>
  <c r="F245" i="1"/>
  <c r="C245" i="1"/>
  <c r="H245" i="1" s="1"/>
  <c r="O244" i="1"/>
  <c r="N244" i="1"/>
  <c r="J244" i="1"/>
  <c r="M244" i="1" s="1"/>
  <c r="G244" i="1"/>
  <c r="F244" i="1"/>
  <c r="C244" i="1"/>
  <c r="H244" i="1" s="1"/>
  <c r="O243" i="1"/>
  <c r="N243" i="1"/>
  <c r="J243" i="1"/>
  <c r="M243" i="1" s="1"/>
  <c r="G243" i="1"/>
  <c r="F243" i="1"/>
  <c r="C243" i="1"/>
  <c r="H243" i="1" s="1"/>
  <c r="O242" i="1"/>
  <c r="N242" i="1"/>
  <c r="J242" i="1"/>
  <c r="M242" i="1" s="1"/>
  <c r="G242" i="1"/>
  <c r="F242" i="1"/>
  <c r="C242" i="1"/>
  <c r="H242" i="1" s="1"/>
  <c r="O241" i="1"/>
  <c r="N241" i="1"/>
  <c r="M241" i="1"/>
  <c r="J241" i="1"/>
  <c r="G241" i="1"/>
  <c r="F241" i="1"/>
  <c r="C241" i="1"/>
  <c r="H241" i="1" s="1"/>
  <c r="O240" i="1"/>
  <c r="N240" i="1"/>
  <c r="J240" i="1"/>
  <c r="M240" i="1" s="1"/>
  <c r="G240" i="1"/>
  <c r="F240" i="1"/>
  <c r="C240" i="1"/>
  <c r="H240" i="1" s="1"/>
  <c r="O239" i="1"/>
  <c r="N239" i="1"/>
  <c r="G239" i="1"/>
  <c r="F239" i="1"/>
  <c r="J239" i="1" s="1"/>
  <c r="M239" i="1" s="1"/>
  <c r="C239" i="1"/>
  <c r="H239" i="1" s="1"/>
  <c r="O238" i="1"/>
  <c r="N238" i="1"/>
  <c r="M238" i="1"/>
  <c r="J238" i="1"/>
  <c r="H238" i="1"/>
  <c r="G238" i="1"/>
  <c r="F238" i="1"/>
  <c r="C238" i="1"/>
  <c r="O237" i="1"/>
  <c r="N237" i="1"/>
  <c r="J237" i="1"/>
  <c r="M237" i="1" s="1"/>
  <c r="G237" i="1"/>
  <c r="F237" i="1"/>
  <c r="C237" i="1"/>
  <c r="H237" i="1" s="1"/>
  <c r="O236" i="1"/>
  <c r="N236" i="1"/>
  <c r="J236" i="1"/>
  <c r="M236" i="1" s="1"/>
  <c r="H236" i="1"/>
  <c r="G236" i="1"/>
  <c r="F236" i="1"/>
  <c r="C236" i="1"/>
  <c r="O235" i="1"/>
  <c r="N235" i="1"/>
  <c r="J235" i="1"/>
  <c r="M235" i="1" s="1"/>
  <c r="G235" i="1"/>
  <c r="F235" i="1"/>
  <c r="C235" i="1"/>
  <c r="H235" i="1" s="1"/>
  <c r="O234" i="1"/>
  <c r="N234" i="1"/>
  <c r="J234" i="1"/>
  <c r="M234" i="1" s="1"/>
  <c r="H234" i="1"/>
  <c r="G234" i="1"/>
  <c r="F234" i="1"/>
  <c r="C234" i="1"/>
  <c r="O233" i="1"/>
  <c r="N233" i="1"/>
  <c r="G233" i="1"/>
  <c r="F233" i="1"/>
  <c r="J233" i="1" s="1"/>
  <c r="M233" i="1" s="1"/>
  <c r="C233" i="1"/>
  <c r="H233" i="1" s="1"/>
  <c r="O232" i="1"/>
  <c r="N232" i="1"/>
  <c r="J232" i="1"/>
  <c r="M232" i="1" s="1"/>
  <c r="G232" i="1"/>
  <c r="F232" i="1"/>
  <c r="C232" i="1"/>
  <c r="H232" i="1" s="1"/>
  <c r="O231" i="1"/>
  <c r="N231" i="1"/>
  <c r="G231" i="1"/>
  <c r="F231" i="1"/>
  <c r="J231" i="1" s="1"/>
  <c r="M231" i="1" s="1"/>
  <c r="C231" i="1"/>
  <c r="H231" i="1" s="1"/>
  <c r="O230" i="1"/>
  <c r="N230" i="1"/>
  <c r="M230" i="1"/>
  <c r="J230" i="1"/>
  <c r="H230" i="1"/>
  <c r="G230" i="1"/>
  <c r="F230" i="1"/>
  <c r="C230" i="1"/>
  <c r="O229" i="1"/>
  <c r="N229" i="1"/>
  <c r="J229" i="1"/>
  <c r="M229" i="1" s="1"/>
  <c r="G229" i="1"/>
  <c r="F229" i="1"/>
  <c r="C229" i="1"/>
  <c r="H229" i="1" s="1"/>
  <c r="O228" i="1"/>
  <c r="N228" i="1"/>
  <c r="J228" i="1"/>
  <c r="M228" i="1" s="1"/>
  <c r="H228" i="1"/>
  <c r="G228" i="1"/>
  <c r="F228" i="1"/>
  <c r="C228" i="1"/>
  <c r="O227" i="1"/>
  <c r="N227" i="1"/>
  <c r="J227" i="1"/>
  <c r="M227" i="1" s="1"/>
  <c r="G227" i="1"/>
  <c r="F227" i="1"/>
  <c r="C227" i="1"/>
  <c r="H227" i="1" s="1"/>
  <c r="O226" i="1"/>
  <c r="N226" i="1"/>
  <c r="J226" i="1"/>
  <c r="M226" i="1" s="1"/>
  <c r="H226" i="1"/>
  <c r="G226" i="1"/>
  <c r="F226" i="1"/>
  <c r="C226" i="1"/>
  <c r="O225" i="1"/>
  <c r="N225" i="1"/>
  <c r="M225" i="1"/>
  <c r="R225" i="1" s="1"/>
  <c r="J225" i="1"/>
  <c r="H225" i="1"/>
  <c r="G225" i="1"/>
  <c r="F225" i="1"/>
  <c r="C225" i="1"/>
  <c r="O224" i="1"/>
  <c r="N224" i="1"/>
  <c r="J224" i="1"/>
  <c r="M224" i="1" s="1"/>
  <c r="G224" i="1"/>
  <c r="F224" i="1"/>
  <c r="C224" i="1"/>
  <c r="H224" i="1" s="1"/>
  <c r="O223" i="1"/>
  <c r="N223" i="1"/>
  <c r="M223" i="1"/>
  <c r="J223" i="1"/>
  <c r="H223" i="1"/>
  <c r="G223" i="1"/>
  <c r="F223" i="1"/>
  <c r="C223" i="1"/>
  <c r="O222" i="1"/>
  <c r="N222" i="1"/>
  <c r="J222" i="1"/>
  <c r="M222" i="1" s="1"/>
  <c r="G222" i="1"/>
  <c r="F222" i="1"/>
  <c r="C222" i="1"/>
  <c r="H222" i="1" s="1"/>
  <c r="O221" i="1"/>
  <c r="N221" i="1"/>
  <c r="M221" i="1"/>
  <c r="J221" i="1"/>
  <c r="H221" i="1"/>
  <c r="G221" i="1"/>
  <c r="F221" i="1"/>
  <c r="C221" i="1"/>
  <c r="O220" i="1"/>
  <c r="N220" i="1"/>
  <c r="J220" i="1"/>
  <c r="M220" i="1" s="1"/>
  <c r="G220" i="1"/>
  <c r="F220" i="1"/>
  <c r="C220" i="1"/>
  <c r="H220" i="1" s="1"/>
  <c r="O219" i="1"/>
  <c r="N219" i="1"/>
  <c r="M219" i="1"/>
  <c r="J219" i="1"/>
  <c r="H219" i="1"/>
  <c r="G219" i="1"/>
  <c r="F219" i="1"/>
  <c r="C219" i="1"/>
  <c r="O218" i="1"/>
  <c r="N218" i="1"/>
  <c r="J218" i="1"/>
  <c r="M218" i="1" s="1"/>
  <c r="G218" i="1"/>
  <c r="F218" i="1"/>
  <c r="C218" i="1"/>
  <c r="H218" i="1" s="1"/>
  <c r="O217" i="1"/>
  <c r="N217" i="1"/>
  <c r="M217" i="1"/>
  <c r="J217" i="1"/>
  <c r="G217" i="1"/>
  <c r="F217" i="1"/>
  <c r="C217" i="1"/>
  <c r="H217" i="1" s="1"/>
  <c r="O216" i="1"/>
  <c r="N216" i="1"/>
  <c r="J216" i="1"/>
  <c r="M216" i="1" s="1"/>
  <c r="G216" i="1"/>
  <c r="F216" i="1"/>
  <c r="C216" i="1"/>
  <c r="H216" i="1" s="1"/>
  <c r="O215" i="1"/>
  <c r="N215" i="1"/>
  <c r="M215" i="1"/>
  <c r="J215" i="1"/>
  <c r="G215" i="1"/>
  <c r="F215" i="1"/>
  <c r="C215" i="1"/>
  <c r="H215" i="1" s="1"/>
  <c r="O214" i="1"/>
  <c r="N214" i="1"/>
  <c r="J214" i="1"/>
  <c r="M214" i="1" s="1"/>
  <c r="G214" i="1"/>
  <c r="F214" i="1"/>
  <c r="C214" i="1"/>
  <c r="H214" i="1" s="1"/>
  <c r="O213" i="1"/>
  <c r="N213" i="1"/>
  <c r="M213" i="1"/>
  <c r="J213" i="1"/>
  <c r="G213" i="1"/>
  <c r="F213" i="1"/>
  <c r="C213" i="1"/>
  <c r="H213" i="1" s="1"/>
  <c r="O212" i="1"/>
  <c r="N212" i="1"/>
  <c r="J212" i="1"/>
  <c r="M212" i="1" s="1"/>
  <c r="G212" i="1"/>
  <c r="F212" i="1"/>
  <c r="C212" i="1"/>
  <c r="H212" i="1" s="1"/>
  <c r="O211" i="1"/>
  <c r="N211" i="1"/>
  <c r="M211" i="1"/>
  <c r="J211" i="1"/>
  <c r="G211" i="1"/>
  <c r="F211" i="1"/>
  <c r="C211" i="1"/>
  <c r="H211" i="1" s="1"/>
  <c r="O210" i="1"/>
  <c r="N210" i="1"/>
  <c r="J210" i="1"/>
  <c r="M210" i="1" s="1"/>
  <c r="G210" i="1"/>
  <c r="F210" i="1"/>
  <c r="C210" i="1"/>
  <c r="H210" i="1" s="1"/>
  <c r="O209" i="1"/>
  <c r="N209" i="1"/>
  <c r="M209" i="1"/>
  <c r="J209" i="1"/>
  <c r="G209" i="1"/>
  <c r="F209" i="1"/>
  <c r="C209" i="1"/>
  <c r="H209" i="1" s="1"/>
  <c r="O208" i="1"/>
  <c r="N208" i="1"/>
  <c r="J208" i="1"/>
  <c r="M208" i="1" s="1"/>
  <c r="G208" i="1"/>
  <c r="F208" i="1"/>
  <c r="C208" i="1"/>
  <c r="H208" i="1" s="1"/>
  <c r="O207" i="1"/>
  <c r="N207" i="1"/>
  <c r="M207" i="1"/>
  <c r="J207" i="1"/>
  <c r="G207" i="1"/>
  <c r="F207" i="1"/>
  <c r="C207" i="1"/>
  <c r="H207" i="1" s="1"/>
  <c r="O206" i="1"/>
  <c r="N206" i="1"/>
  <c r="J206" i="1"/>
  <c r="M206" i="1" s="1"/>
  <c r="G206" i="1"/>
  <c r="F206" i="1"/>
  <c r="C206" i="1"/>
  <c r="H206" i="1" s="1"/>
  <c r="O205" i="1"/>
  <c r="N205" i="1"/>
  <c r="M205" i="1"/>
  <c r="J205" i="1"/>
  <c r="G205" i="1"/>
  <c r="F205" i="1"/>
  <c r="C205" i="1"/>
  <c r="H205" i="1" s="1"/>
  <c r="O204" i="1"/>
  <c r="N204" i="1"/>
  <c r="J204" i="1"/>
  <c r="M204" i="1" s="1"/>
  <c r="G204" i="1"/>
  <c r="F204" i="1"/>
  <c r="C204" i="1"/>
  <c r="H204" i="1" s="1"/>
  <c r="O203" i="1"/>
  <c r="N203" i="1"/>
  <c r="M203" i="1"/>
  <c r="J203" i="1"/>
  <c r="G203" i="1"/>
  <c r="F203" i="1"/>
  <c r="C203" i="1"/>
  <c r="H203" i="1" s="1"/>
  <c r="O202" i="1"/>
  <c r="N202" i="1"/>
  <c r="J202" i="1"/>
  <c r="M202" i="1" s="1"/>
  <c r="G202" i="1"/>
  <c r="F202" i="1"/>
  <c r="C202" i="1"/>
  <c r="H202" i="1" s="1"/>
  <c r="O201" i="1"/>
  <c r="N201" i="1"/>
  <c r="M201" i="1"/>
  <c r="J201" i="1"/>
  <c r="G201" i="1"/>
  <c r="F201" i="1"/>
  <c r="C201" i="1"/>
  <c r="H201" i="1" s="1"/>
  <c r="O200" i="1"/>
  <c r="N200" i="1"/>
  <c r="J200" i="1"/>
  <c r="M200" i="1" s="1"/>
  <c r="G200" i="1"/>
  <c r="F200" i="1"/>
  <c r="C200" i="1"/>
  <c r="H200" i="1" s="1"/>
  <c r="O199" i="1"/>
  <c r="N199" i="1"/>
  <c r="M199" i="1"/>
  <c r="J199" i="1"/>
  <c r="G199" i="1"/>
  <c r="F199" i="1"/>
  <c r="C199" i="1"/>
  <c r="H199" i="1" s="1"/>
  <c r="O198" i="1"/>
  <c r="N198" i="1"/>
  <c r="J198" i="1"/>
  <c r="M198" i="1" s="1"/>
  <c r="G198" i="1"/>
  <c r="F198" i="1"/>
  <c r="C198" i="1"/>
  <c r="H198" i="1" s="1"/>
  <c r="O197" i="1"/>
  <c r="N197" i="1"/>
  <c r="M197" i="1"/>
  <c r="J197" i="1"/>
  <c r="G197" i="1"/>
  <c r="F197" i="1"/>
  <c r="C197" i="1"/>
  <c r="H197" i="1" s="1"/>
  <c r="O196" i="1"/>
  <c r="N196" i="1"/>
  <c r="J196" i="1"/>
  <c r="M196" i="1" s="1"/>
  <c r="G196" i="1"/>
  <c r="F196" i="1"/>
  <c r="C196" i="1"/>
  <c r="H196" i="1" s="1"/>
  <c r="O195" i="1"/>
  <c r="N195" i="1"/>
  <c r="M195" i="1"/>
  <c r="J195" i="1"/>
  <c r="G195" i="1"/>
  <c r="F195" i="1"/>
  <c r="C195" i="1"/>
  <c r="H195" i="1" s="1"/>
  <c r="O194" i="1"/>
  <c r="N194" i="1"/>
  <c r="J194" i="1"/>
  <c r="M194" i="1" s="1"/>
  <c r="G194" i="1"/>
  <c r="F194" i="1"/>
  <c r="C194" i="1"/>
  <c r="H194" i="1" s="1"/>
  <c r="O193" i="1"/>
  <c r="N193" i="1"/>
  <c r="M193" i="1"/>
  <c r="J193" i="1"/>
  <c r="G193" i="1"/>
  <c r="F193" i="1"/>
  <c r="C193" i="1"/>
  <c r="H193" i="1" s="1"/>
  <c r="O192" i="1"/>
  <c r="N192" i="1"/>
  <c r="J192" i="1"/>
  <c r="M192" i="1" s="1"/>
  <c r="G192" i="1"/>
  <c r="F192" i="1"/>
  <c r="C192" i="1"/>
  <c r="H192" i="1" s="1"/>
  <c r="O191" i="1"/>
  <c r="N191" i="1"/>
  <c r="M191" i="1"/>
  <c r="J191" i="1"/>
  <c r="G191" i="1"/>
  <c r="F191" i="1"/>
  <c r="C191" i="1"/>
  <c r="H191" i="1" s="1"/>
  <c r="O190" i="1"/>
  <c r="N190" i="1"/>
  <c r="J190" i="1"/>
  <c r="M190" i="1" s="1"/>
  <c r="G190" i="1"/>
  <c r="F190" i="1"/>
  <c r="C190" i="1"/>
  <c r="H190" i="1" s="1"/>
  <c r="O189" i="1"/>
  <c r="N189" i="1"/>
  <c r="M189" i="1"/>
  <c r="J189" i="1"/>
  <c r="G189" i="1"/>
  <c r="F189" i="1"/>
  <c r="C189" i="1"/>
  <c r="H189" i="1" s="1"/>
  <c r="O188" i="1"/>
  <c r="N188" i="1"/>
  <c r="J188" i="1"/>
  <c r="M188" i="1" s="1"/>
  <c r="G188" i="1"/>
  <c r="F188" i="1"/>
  <c r="C188" i="1"/>
  <c r="H188" i="1" s="1"/>
  <c r="O187" i="1"/>
  <c r="N187" i="1"/>
  <c r="M187" i="1"/>
  <c r="J187" i="1"/>
  <c r="G187" i="1"/>
  <c r="F187" i="1"/>
  <c r="C187" i="1"/>
  <c r="H187" i="1" s="1"/>
  <c r="O186" i="1"/>
  <c r="N186" i="1"/>
  <c r="J186" i="1"/>
  <c r="M186" i="1" s="1"/>
  <c r="G186" i="1"/>
  <c r="F186" i="1"/>
  <c r="C186" i="1"/>
  <c r="H186" i="1" s="1"/>
  <c r="O185" i="1"/>
  <c r="N185" i="1"/>
  <c r="M185" i="1"/>
  <c r="J185" i="1"/>
  <c r="G185" i="1"/>
  <c r="F185" i="1"/>
  <c r="C185" i="1"/>
  <c r="H185" i="1" s="1"/>
  <c r="O184" i="1"/>
  <c r="N184" i="1"/>
  <c r="J184" i="1"/>
  <c r="M184" i="1" s="1"/>
  <c r="G184" i="1"/>
  <c r="F184" i="1"/>
  <c r="C184" i="1"/>
  <c r="H184" i="1" s="1"/>
  <c r="O183" i="1"/>
  <c r="N183" i="1"/>
  <c r="M183" i="1"/>
  <c r="J183" i="1"/>
  <c r="G183" i="1"/>
  <c r="F183" i="1"/>
  <c r="C183" i="1"/>
  <c r="H183" i="1" s="1"/>
  <c r="O182" i="1"/>
  <c r="N182" i="1"/>
  <c r="J182" i="1"/>
  <c r="M182" i="1" s="1"/>
  <c r="G182" i="1"/>
  <c r="F182" i="1"/>
  <c r="C182" i="1"/>
  <c r="H182" i="1" s="1"/>
  <c r="O181" i="1"/>
  <c r="N181" i="1"/>
  <c r="M181" i="1"/>
  <c r="J181" i="1"/>
  <c r="G181" i="1"/>
  <c r="F181" i="1"/>
  <c r="C181" i="1"/>
  <c r="H181" i="1" s="1"/>
  <c r="O180" i="1"/>
  <c r="N180" i="1"/>
  <c r="J180" i="1"/>
  <c r="M180" i="1" s="1"/>
  <c r="G180" i="1"/>
  <c r="F180" i="1"/>
  <c r="C180" i="1"/>
  <c r="H180" i="1" s="1"/>
  <c r="O179" i="1"/>
  <c r="N179" i="1"/>
  <c r="M179" i="1"/>
  <c r="J179" i="1"/>
  <c r="G179" i="1"/>
  <c r="F179" i="1"/>
  <c r="C179" i="1"/>
  <c r="H179" i="1" s="1"/>
  <c r="O178" i="1"/>
  <c r="N178" i="1"/>
  <c r="J178" i="1"/>
  <c r="M178" i="1" s="1"/>
  <c r="G178" i="1"/>
  <c r="F178" i="1"/>
  <c r="C178" i="1"/>
  <c r="H178" i="1" s="1"/>
  <c r="O177" i="1"/>
  <c r="N177" i="1"/>
  <c r="M177" i="1"/>
  <c r="J177" i="1"/>
  <c r="G177" i="1"/>
  <c r="F177" i="1"/>
  <c r="C177" i="1"/>
  <c r="H177" i="1" s="1"/>
  <c r="O176" i="1"/>
  <c r="N176" i="1"/>
  <c r="J176" i="1"/>
  <c r="M176" i="1" s="1"/>
  <c r="G176" i="1"/>
  <c r="F176" i="1"/>
  <c r="C176" i="1"/>
  <c r="H176" i="1" s="1"/>
  <c r="O175" i="1"/>
  <c r="N175" i="1"/>
  <c r="M175" i="1"/>
  <c r="J175" i="1"/>
  <c r="G175" i="1"/>
  <c r="F175" i="1"/>
  <c r="C175" i="1"/>
  <c r="H175" i="1" s="1"/>
  <c r="O174" i="1"/>
  <c r="N174" i="1"/>
  <c r="J174" i="1"/>
  <c r="M174" i="1" s="1"/>
  <c r="G174" i="1"/>
  <c r="F174" i="1"/>
  <c r="C174" i="1"/>
  <c r="H174" i="1" s="1"/>
  <c r="O173" i="1"/>
  <c r="N173" i="1"/>
  <c r="M173" i="1"/>
  <c r="J173" i="1"/>
  <c r="G173" i="1"/>
  <c r="F173" i="1"/>
  <c r="C173" i="1"/>
  <c r="H173" i="1" s="1"/>
  <c r="O172" i="1"/>
  <c r="N172" i="1"/>
  <c r="J172" i="1"/>
  <c r="M172" i="1" s="1"/>
  <c r="G172" i="1"/>
  <c r="F172" i="1"/>
  <c r="C172" i="1"/>
  <c r="H172" i="1" s="1"/>
  <c r="O171" i="1"/>
  <c r="N171" i="1"/>
  <c r="M171" i="1"/>
  <c r="J171" i="1"/>
  <c r="G171" i="1"/>
  <c r="F171" i="1"/>
  <c r="C171" i="1"/>
  <c r="H171" i="1" s="1"/>
  <c r="O170" i="1"/>
  <c r="N170" i="1"/>
  <c r="J170" i="1"/>
  <c r="M170" i="1" s="1"/>
  <c r="G170" i="1"/>
  <c r="F170" i="1"/>
  <c r="C170" i="1"/>
  <c r="H170" i="1" s="1"/>
  <c r="O169" i="1"/>
  <c r="N169" i="1"/>
  <c r="M169" i="1"/>
  <c r="J169" i="1"/>
  <c r="G169" i="1"/>
  <c r="F169" i="1"/>
  <c r="C169" i="1"/>
  <c r="H169" i="1" s="1"/>
  <c r="O168" i="1"/>
  <c r="N168" i="1"/>
  <c r="J168" i="1"/>
  <c r="M168" i="1" s="1"/>
  <c r="G168" i="1"/>
  <c r="F168" i="1"/>
  <c r="C168" i="1"/>
  <c r="H168" i="1" s="1"/>
  <c r="O167" i="1"/>
  <c r="N167" i="1"/>
  <c r="M167" i="1"/>
  <c r="J167" i="1"/>
  <c r="G167" i="1"/>
  <c r="F167" i="1"/>
  <c r="C167" i="1"/>
  <c r="H167" i="1" s="1"/>
  <c r="O166" i="1"/>
  <c r="N166" i="1"/>
  <c r="J166" i="1"/>
  <c r="M166" i="1" s="1"/>
  <c r="G166" i="1"/>
  <c r="F166" i="1"/>
  <c r="C166" i="1"/>
  <c r="H166" i="1" s="1"/>
  <c r="O165" i="1"/>
  <c r="N165" i="1"/>
  <c r="J165" i="1"/>
  <c r="M165" i="1" s="1"/>
  <c r="G165" i="1"/>
  <c r="F165" i="1"/>
  <c r="C165" i="1"/>
  <c r="H165" i="1" s="1"/>
  <c r="O164" i="1"/>
  <c r="N164" i="1"/>
  <c r="M164" i="1"/>
  <c r="J164" i="1"/>
  <c r="G164" i="1"/>
  <c r="F164" i="1"/>
  <c r="C164" i="1"/>
  <c r="H164" i="1" s="1"/>
  <c r="O163" i="1"/>
  <c r="N163" i="1"/>
  <c r="M163" i="1"/>
  <c r="J163" i="1"/>
  <c r="G163" i="1"/>
  <c r="F163" i="1"/>
  <c r="C163" i="1"/>
  <c r="H163" i="1" s="1"/>
  <c r="O162" i="1"/>
  <c r="N162" i="1"/>
  <c r="J162" i="1"/>
  <c r="M162" i="1" s="1"/>
  <c r="G162" i="1"/>
  <c r="F162" i="1"/>
  <c r="C162" i="1"/>
  <c r="H162" i="1" s="1"/>
  <c r="O161" i="1"/>
  <c r="N161" i="1"/>
  <c r="J161" i="1"/>
  <c r="M161" i="1" s="1"/>
  <c r="G161" i="1"/>
  <c r="F161" i="1"/>
  <c r="C161" i="1"/>
  <c r="H161" i="1" s="1"/>
  <c r="O160" i="1"/>
  <c r="N160" i="1"/>
  <c r="M160" i="1"/>
  <c r="J160" i="1"/>
  <c r="G160" i="1"/>
  <c r="F160" i="1"/>
  <c r="C160" i="1"/>
  <c r="H160" i="1" s="1"/>
  <c r="O159" i="1"/>
  <c r="N159" i="1"/>
  <c r="M159" i="1"/>
  <c r="J159" i="1"/>
  <c r="G159" i="1"/>
  <c r="F159" i="1"/>
  <c r="C159" i="1"/>
  <c r="H159" i="1" s="1"/>
  <c r="O158" i="1"/>
  <c r="N158" i="1"/>
  <c r="J158" i="1"/>
  <c r="M158" i="1" s="1"/>
  <c r="G158" i="1"/>
  <c r="F158" i="1"/>
  <c r="C158" i="1"/>
  <c r="H158" i="1" s="1"/>
  <c r="O157" i="1"/>
  <c r="N157" i="1"/>
  <c r="J157" i="1"/>
  <c r="M157" i="1" s="1"/>
  <c r="G157" i="1"/>
  <c r="F157" i="1"/>
  <c r="C157" i="1"/>
  <c r="H157" i="1" s="1"/>
  <c r="O156" i="1"/>
  <c r="N156" i="1"/>
  <c r="M156" i="1"/>
  <c r="J156" i="1"/>
  <c r="G156" i="1"/>
  <c r="F156" i="1"/>
  <c r="C156" i="1"/>
  <c r="H156" i="1" s="1"/>
  <c r="O155" i="1"/>
  <c r="N155" i="1"/>
  <c r="G155" i="1"/>
  <c r="F155" i="1"/>
  <c r="J155" i="1" s="1"/>
  <c r="M155" i="1" s="1"/>
  <c r="C155" i="1"/>
  <c r="H155" i="1" s="1"/>
  <c r="O154" i="1"/>
  <c r="N154" i="1"/>
  <c r="G154" i="1"/>
  <c r="F154" i="1"/>
  <c r="J154" i="1" s="1"/>
  <c r="M154" i="1" s="1"/>
  <c r="C154" i="1"/>
  <c r="H154" i="1" s="1"/>
  <c r="O153" i="1"/>
  <c r="N153" i="1"/>
  <c r="G153" i="1"/>
  <c r="F153" i="1"/>
  <c r="J153" i="1" s="1"/>
  <c r="M153" i="1" s="1"/>
  <c r="C153" i="1"/>
  <c r="H153" i="1" s="1"/>
  <c r="O152" i="1"/>
  <c r="N152" i="1"/>
  <c r="J152" i="1"/>
  <c r="M152" i="1" s="1"/>
  <c r="G152" i="1"/>
  <c r="F152" i="1"/>
  <c r="C152" i="1"/>
  <c r="H152" i="1" s="1"/>
  <c r="O151" i="1"/>
  <c r="N151" i="1"/>
  <c r="J151" i="1"/>
  <c r="M151" i="1" s="1"/>
  <c r="G151" i="1"/>
  <c r="F151" i="1"/>
  <c r="C151" i="1"/>
  <c r="H151" i="1" s="1"/>
  <c r="O150" i="1"/>
  <c r="N150" i="1"/>
  <c r="G150" i="1"/>
  <c r="F150" i="1"/>
  <c r="J150" i="1" s="1"/>
  <c r="M150" i="1" s="1"/>
  <c r="C150" i="1"/>
  <c r="H150" i="1" s="1"/>
  <c r="O149" i="1"/>
  <c r="N149" i="1"/>
  <c r="J149" i="1"/>
  <c r="M149" i="1" s="1"/>
  <c r="G149" i="1"/>
  <c r="F149" i="1"/>
  <c r="C149" i="1"/>
  <c r="H149" i="1" s="1"/>
  <c r="O148" i="1"/>
  <c r="N148" i="1"/>
  <c r="G148" i="1"/>
  <c r="F148" i="1"/>
  <c r="J148" i="1" s="1"/>
  <c r="M148" i="1" s="1"/>
  <c r="C148" i="1"/>
  <c r="H148" i="1" s="1"/>
  <c r="O147" i="1"/>
  <c r="N147" i="1"/>
  <c r="G147" i="1"/>
  <c r="F147" i="1"/>
  <c r="J147" i="1" s="1"/>
  <c r="M147" i="1" s="1"/>
  <c r="C147" i="1"/>
  <c r="H147" i="1" s="1"/>
  <c r="O146" i="1"/>
  <c r="N146" i="1"/>
  <c r="J146" i="1"/>
  <c r="M146" i="1" s="1"/>
  <c r="G146" i="1"/>
  <c r="F146" i="1"/>
  <c r="C146" i="1"/>
  <c r="H146" i="1" s="1"/>
  <c r="O145" i="1"/>
  <c r="N145" i="1"/>
  <c r="G145" i="1"/>
  <c r="F145" i="1"/>
  <c r="J145" i="1" s="1"/>
  <c r="M145" i="1" s="1"/>
  <c r="C145" i="1"/>
  <c r="H145" i="1" s="1"/>
  <c r="O144" i="1"/>
  <c r="N144" i="1"/>
  <c r="M144" i="1"/>
  <c r="J144" i="1"/>
  <c r="G144" i="1"/>
  <c r="F144" i="1"/>
  <c r="C144" i="1"/>
  <c r="H144" i="1" s="1"/>
  <c r="O143" i="1"/>
  <c r="N143" i="1"/>
  <c r="J143" i="1"/>
  <c r="M143" i="1" s="1"/>
  <c r="G143" i="1"/>
  <c r="F143" i="1"/>
  <c r="C143" i="1"/>
  <c r="H143" i="1" s="1"/>
  <c r="O142" i="1"/>
  <c r="N142" i="1"/>
  <c r="G142" i="1"/>
  <c r="F142" i="1"/>
  <c r="J142" i="1" s="1"/>
  <c r="M142" i="1" s="1"/>
  <c r="C142" i="1"/>
  <c r="H142" i="1" s="1"/>
  <c r="O141" i="1"/>
  <c r="N141" i="1"/>
  <c r="J141" i="1"/>
  <c r="M141" i="1" s="1"/>
  <c r="G141" i="1"/>
  <c r="F141" i="1"/>
  <c r="C141" i="1"/>
  <c r="H141" i="1" s="1"/>
  <c r="O140" i="1"/>
  <c r="N140" i="1"/>
  <c r="G140" i="1"/>
  <c r="F140" i="1"/>
  <c r="J140" i="1" s="1"/>
  <c r="M140" i="1" s="1"/>
  <c r="C140" i="1"/>
  <c r="H140" i="1" s="1"/>
  <c r="W139" i="1"/>
  <c r="O139" i="1"/>
  <c r="N139" i="1"/>
  <c r="G139" i="1"/>
  <c r="F139" i="1"/>
  <c r="J139" i="1" s="1"/>
  <c r="M139" i="1" s="1"/>
  <c r="C139" i="1"/>
  <c r="H139" i="1" s="1"/>
  <c r="W138" i="1"/>
  <c r="O138" i="1"/>
  <c r="N138" i="1"/>
  <c r="J138" i="1"/>
  <c r="M138" i="1" s="1"/>
  <c r="G138" i="1"/>
  <c r="F138" i="1"/>
  <c r="C138" i="1"/>
  <c r="H138" i="1" s="1"/>
  <c r="W137" i="1"/>
  <c r="O137" i="1"/>
  <c r="N137" i="1"/>
  <c r="G137" i="1"/>
  <c r="F137" i="1"/>
  <c r="J137" i="1" s="1"/>
  <c r="M137" i="1" s="1"/>
  <c r="C137" i="1"/>
  <c r="H137" i="1" s="1"/>
  <c r="W136" i="1"/>
  <c r="O136" i="1"/>
  <c r="N136" i="1"/>
  <c r="G136" i="1"/>
  <c r="F136" i="1"/>
  <c r="J136" i="1" s="1"/>
  <c r="M136" i="1" s="1"/>
  <c r="C136" i="1"/>
  <c r="H136" i="1" s="1"/>
  <c r="W135" i="1"/>
  <c r="O135" i="1"/>
  <c r="N135" i="1"/>
  <c r="G135" i="1"/>
  <c r="F135" i="1"/>
  <c r="J135" i="1" s="1"/>
  <c r="M135" i="1" s="1"/>
  <c r="C135" i="1"/>
  <c r="H135" i="1" s="1"/>
  <c r="W134" i="1"/>
  <c r="O134" i="1"/>
  <c r="N134" i="1"/>
  <c r="G134" i="1"/>
  <c r="F134" i="1"/>
  <c r="J134" i="1" s="1"/>
  <c r="M134" i="1" s="1"/>
  <c r="C134" i="1"/>
  <c r="H134" i="1" s="1"/>
  <c r="W133" i="1"/>
  <c r="O133" i="1"/>
  <c r="N133" i="1"/>
  <c r="G133" i="1"/>
  <c r="F133" i="1"/>
  <c r="J133" i="1" s="1"/>
  <c r="M133" i="1" s="1"/>
  <c r="C133" i="1"/>
  <c r="H133" i="1" s="1"/>
  <c r="W132" i="1"/>
  <c r="O132" i="1"/>
  <c r="N132" i="1"/>
  <c r="G132" i="1"/>
  <c r="F132" i="1"/>
  <c r="J132" i="1" s="1"/>
  <c r="M132" i="1" s="1"/>
  <c r="C132" i="1"/>
  <c r="H132" i="1" s="1"/>
  <c r="W131" i="1"/>
  <c r="O131" i="1"/>
  <c r="N131" i="1"/>
  <c r="G131" i="1"/>
  <c r="F131" i="1"/>
  <c r="J131" i="1" s="1"/>
  <c r="M131" i="1" s="1"/>
  <c r="C131" i="1"/>
  <c r="H131" i="1" s="1"/>
  <c r="W130" i="1"/>
  <c r="O130" i="1"/>
  <c r="N130" i="1"/>
  <c r="G130" i="1"/>
  <c r="F130" i="1"/>
  <c r="J130" i="1" s="1"/>
  <c r="M130" i="1" s="1"/>
  <c r="C130" i="1"/>
  <c r="H130" i="1" s="1"/>
  <c r="W129" i="1"/>
  <c r="O129" i="1"/>
  <c r="N129" i="1"/>
  <c r="G129" i="1"/>
  <c r="F129" i="1"/>
  <c r="J129" i="1" s="1"/>
  <c r="M129" i="1" s="1"/>
  <c r="C129" i="1"/>
  <c r="H129" i="1" s="1"/>
  <c r="W128" i="1"/>
  <c r="O128" i="1"/>
  <c r="N128" i="1"/>
  <c r="G128" i="1"/>
  <c r="F128" i="1"/>
  <c r="J128" i="1" s="1"/>
  <c r="M128" i="1" s="1"/>
  <c r="C128" i="1"/>
  <c r="H128" i="1" s="1"/>
  <c r="W127" i="1"/>
  <c r="O127" i="1"/>
  <c r="N127" i="1"/>
  <c r="G127" i="1"/>
  <c r="F127" i="1"/>
  <c r="J127" i="1" s="1"/>
  <c r="M127" i="1" s="1"/>
  <c r="C127" i="1"/>
  <c r="H127" i="1" s="1"/>
  <c r="W126" i="1"/>
  <c r="O126" i="1"/>
  <c r="N126" i="1"/>
  <c r="G126" i="1"/>
  <c r="F126" i="1"/>
  <c r="J126" i="1" s="1"/>
  <c r="M126" i="1" s="1"/>
  <c r="C126" i="1"/>
  <c r="H126" i="1" s="1"/>
  <c r="W125" i="1"/>
  <c r="O125" i="1"/>
  <c r="N125" i="1"/>
  <c r="G125" i="1"/>
  <c r="F125" i="1"/>
  <c r="J125" i="1" s="1"/>
  <c r="M125" i="1" s="1"/>
  <c r="C125" i="1"/>
  <c r="H125" i="1" s="1"/>
  <c r="W124" i="1"/>
  <c r="O124" i="1"/>
  <c r="N124" i="1"/>
  <c r="G124" i="1"/>
  <c r="F124" i="1"/>
  <c r="J124" i="1" s="1"/>
  <c r="M124" i="1" s="1"/>
  <c r="C124" i="1"/>
  <c r="H124" i="1" s="1"/>
  <c r="W123" i="1"/>
  <c r="O123" i="1"/>
  <c r="N123" i="1"/>
  <c r="G123" i="1"/>
  <c r="F123" i="1"/>
  <c r="J123" i="1" s="1"/>
  <c r="M123" i="1" s="1"/>
  <c r="C123" i="1"/>
  <c r="H123" i="1" s="1"/>
  <c r="W122" i="1"/>
  <c r="O122" i="1"/>
  <c r="N122" i="1"/>
  <c r="G122" i="1"/>
  <c r="F122" i="1"/>
  <c r="J122" i="1" s="1"/>
  <c r="M122" i="1" s="1"/>
  <c r="C122" i="1"/>
  <c r="H122" i="1" s="1"/>
  <c r="W121" i="1"/>
  <c r="O121" i="1"/>
  <c r="N121" i="1"/>
  <c r="H121" i="1"/>
  <c r="G121" i="1"/>
  <c r="F121" i="1"/>
  <c r="J121" i="1" s="1"/>
  <c r="M121" i="1" s="1"/>
  <c r="C121" i="1"/>
  <c r="W120" i="1"/>
  <c r="O120" i="1"/>
  <c r="N120" i="1"/>
  <c r="G120" i="1"/>
  <c r="F120" i="1"/>
  <c r="J120" i="1" s="1"/>
  <c r="M120" i="1" s="1"/>
  <c r="C120" i="1"/>
  <c r="H120" i="1" s="1"/>
  <c r="W119" i="1"/>
  <c r="O119" i="1"/>
  <c r="N119" i="1"/>
  <c r="G119" i="1"/>
  <c r="F119" i="1"/>
  <c r="J119" i="1" s="1"/>
  <c r="M119" i="1" s="1"/>
  <c r="C119" i="1"/>
  <c r="H119" i="1" s="1"/>
  <c r="W118" i="1"/>
  <c r="O118" i="1"/>
  <c r="N118" i="1"/>
  <c r="G118" i="1"/>
  <c r="F118" i="1"/>
  <c r="J118" i="1" s="1"/>
  <c r="M118" i="1" s="1"/>
  <c r="C118" i="1"/>
  <c r="H118" i="1" s="1"/>
  <c r="W117" i="1"/>
  <c r="O117" i="1"/>
  <c r="N117" i="1"/>
  <c r="H117" i="1"/>
  <c r="G117" i="1"/>
  <c r="F117" i="1"/>
  <c r="J117" i="1" s="1"/>
  <c r="M117" i="1" s="1"/>
  <c r="C117" i="1"/>
  <c r="W116" i="1"/>
  <c r="O116" i="1"/>
  <c r="N116" i="1"/>
  <c r="G116" i="1"/>
  <c r="F116" i="1"/>
  <c r="J116" i="1" s="1"/>
  <c r="M116" i="1" s="1"/>
  <c r="C116" i="1"/>
  <c r="H116" i="1" s="1"/>
  <c r="W115" i="1"/>
  <c r="O115" i="1"/>
  <c r="N115" i="1"/>
  <c r="G115" i="1"/>
  <c r="F115" i="1"/>
  <c r="J115" i="1" s="1"/>
  <c r="M115" i="1" s="1"/>
  <c r="C115" i="1"/>
  <c r="H115" i="1" s="1"/>
  <c r="W114" i="1"/>
  <c r="O114" i="1"/>
  <c r="N114" i="1"/>
  <c r="G114" i="1"/>
  <c r="F114" i="1"/>
  <c r="J114" i="1" s="1"/>
  <c r="M114" i="1" s="1"/>
  <c r="C114" i="1"/>
  <c r="H114" i="1" s="1"/>
  <c r="W113" i="1"/>
  <c r="O113" i="1"/>
  <c r="N113" i="1"/>
  <c r="H113" i="1"/>
  <c r="G113" i="1"/>
  <c r="F113" i="1"/>
  <c r="J113" i="1" s="1"/>
  <c r="M113" i="1" s="1"/>
  <c r="C113" i="1"/>
  <c r="W112" i="1"/>
  <c r="O112" i="1"/>
  <c r="N112" i="1"/>
  <c r="G112" i="1"/>
  <c r="F112" i="1"/>
  <c r="J112" i="1" s="1"/>
  <c r="M112" i="1" s="1"/>
  <c r="C112" i="1"/>
  <c r="H112" i="1" s="1"/>
  <c r="W111" i="1"/>
  <c r="O111" i="1"/>
  <c r="N111" i="1"/>
  <c r="G111" i="1"/>
  <c r="F111" i="1"/>
  <c r="J111" i="1" s="1"/>
  <c r="M111" i="1" s="1"/>
  <c r="C111" i="1"/>
  <c r="H111" i="1" s="1"/>
  <c r="W110" i="1"/>
  <c r="O110" i="1"/>
  <c r="N110" i="1"/>
  <c r="G110" i="1"/>
  <c r="F110" i="1"/>
  <c r="J110" i="1" s="1"/>
  <c r="M110" i="1" s="1"/>
  <c r="C110" i="1"/>
  <c r="H110" i="1" s="1"/>
  <c r="W109" i="1"/>
  <c r="O109" i="1"/>
  <c r="N109" i="1"/>
  <c r="H109" i="1"/>
  <c r="G109" i="1"/>
  <c r="F109" i="1"/>
  <c r="J109" i="1" s="1"/>
  <c r="M109" i="1" s="1"/>
  <c r="C109" i="1"/>
  <c r="W108" i="1"/>
  <c r="O108" i="1"/>
  <c r="N108" i="1"/>
  <c r="G108" i="1"/>
  <c r="F108" i="1"/>
  <c r="J108" i="1" s="1"/>
  <c r="M108" i="1" s="1"/>
  <c r="C108" i="1"/>
  <c r="H108" i="1" s="1"/>
  <c r="W107" i="1"/>
  <c r="O107" i="1"/>
  <c r="N107" i="1"/>
  <c r="G107" i="1"/>
  <c r="F107" i="1"/>
  <c r="J107" i="1" s="1"/>
  <c r="M107" i="1" s="1"/>
  <c r="C107" i="1"/>
  <c r="H107" i="1" s="1"/>
  <c r="W106" i="1"/>
  <c r="O106" i="1"/>
  <c r="N106" i="1"/>
  <c r="G106" i="1"/>
  <c r="F106" i="1"/>
  <c r="J106" i="1" s="1"/>
  <c r="M106" i="1" s="1"/>
  <c r="C106" i="1"/>
  <c r="H106" i="1" s="1"/>
  <c r="W105" i="1"/>
  <c r="O105" i="1"/>
  <c r="N105" i="1"/>
  <c r="H105" i="1"/>
  <c r="G105" i="1"/>
  <c r="F105" i="1"/>
  <c r="J105" i="1" s="1"/>
  <c r="M105" i="1" s="1"/>
  <c r="C105" i="1"/>
  <c r="W104" i="1"/>
  <c r="O104" i="1"/>
  <c r="N104" i="1"/>
  <c r="G104" i="1"/>
  <c r="F104" i="1"/>
  <c r="J104" i="1" s="1"/>
  <c r="M104" i="1" s="1"/>
  <c r="C104" i="1"/>
  <c r="H104" i="1" s="1"/>
  <c r="W103" i="1"/>
  <c r="O103" i="1"/>
  <c r="N103" i="1"/>
  <c r="G103" i="1"/>
  <c r="F103" i="1"/>
  <c r="J103" i="1" s="1"/>
  <c r="M103" i="1" s="1"/>
  <c r="C103" i="1"/>
  <c r="H103" i="1" s="1"/>
  <c r="W102" i="1"/>
  <c r="O102" i="1"/>
  <c r="N102" i="1"/>
  <c r="G102" i="1"/>
  <c r="F102" i="1"/>
  <c r="J102" i="1" s="1"/>
  <c r="M102" i="1" s="1"/>
  <c r="C102" i="1"/>
  <c r="H102" i="1" s="1"/>
  <c r="W101" i="1"/>
  <c r="O101" i="1"/>
  <c r="N101" i="1"/>
  <c r="H101" i="1"/>
  <c r="G101" i="1"/>
  <c r="F101" i="1"/>
  <c r="J101" i="1" s="1"/>
  <c r="M101" i="1" s="1"/>
  <c r="C101" i="1"/>
  <c r="W100" i="1"/>
  <c r="O100" i="1"/>
  <c r="N100" i="1"/>
  <c r="G100" i="1"/>
  <c r="F100" i="1"/>
  <c r="J100" i="1" s="1"/>
  <c r="M100" i="1" s="1"/>
  <c r="C100" i="1"/>
  <c r="H100" i="1" s="1"/>
  <c r="W99" i="1"/>
  <c r="O99" i="1"/>
  <c r="N99" i="1"/>
  <c r="G99" i="1"/>
  <c r="F99" i="1"/>
  <c r="J99" i="1" s="1"/>
  <c r="M99" i="1" s="1"/>
  <c r="C99" i="1"/>
  <c r="H99" i="1" s="1"/>
  <c r="W98" i="1"/>
  <c r="O98" i="1"/>
  <c r="N98" i="1"/>
  <c r="G98" i="1"/>
  <c r="F98" i="1"/>
  <c r="J98" i="1" s="1"/>
  <c r="M98" i="1" s="1"/>
  <c r="C98" i="1"/>
  <c r="H98" i="1" s="1"/>
  <c r="W97" i="1"/>
  <c r="O97" i="1"/>
  <c r="N97" i="1"/>
  <c r="M97" i="1"/>
  <c r="G97" i="1"/>
  <c r="F97" i="1"/>
  <c r="J97" i="1" s="1"/>
  <c r="C97" i="1"/>
  <c r="H97" i="1" s="1"/>
  <c r="W96" i="1"/>
  <c r="O96" i="1"/>
  <c r="N96" i="1"/>
  <c r="G96" i="1"/>
  <c r="F96" i="1"/>
  <c r="J96" i="1" s="1"/>
  <c r="M96" i="1" s="1"/>
  <c r="C96" i="1"/>
  <c r="H96" i="1" s="1"/>
  <c r="W95" i="1"/>
  <c r="O95" i="1"/>
  <c r="N95" i="1"/>
  <c r="G95" i="1"/>
  <c r="F95" i="1"/>
  <c r="J95" i="1" s="1"/>
  <c r="M95" i="1" s="1"/>
  <c r="C95" i="1"/>
  <c r="H95" i="1" s="1"/>
  <c r="W94" i="1"/>
  <c r="O94" i="1"/>
  <c r="N94" i="1"/>
  <c r="J94" i="1"/>
  <c r="M94" i="1" s="1"/>
  <c r="G94" i="1"/>
  <c r="F94" i="1"/>
  <c r="C94" i="1"/>
  <c r="H94" i="1" s="1"/>
  <c r="W93" i="1"/>
  <c r="O93" i="1"/>
  <c r="N93" i="1"/>
  <c r="G93" i="1"/>
  <c r="F93" i="1"/>
  <c r="J93" i="1" s="1"/>
  <c r="M93" i="1" s="1"/>
  <c r="C93" i="1"/>
  <c r="H93" i="1" s="1"/>
  <c r="W92" i="1"/>
  <c r="O92" i="1"/>
  <c r="N92" i="1"/>
  <c r="G92" i="1"/>
  <c r="F92" i="1"/>
  <c r="J92" i="1" s="1"/>
  <c r="M92" i="1" s="1"/>
  <c r="C92" i="1"/>
  <c r="H92" i="1" s="1"/>
  <c r="W91" i="1"/>
  <c r="O91" i="1"/>
  <c r="N91" i="1"/>
  <c r="G91" i="1"/>
  <c r="F91" i="1"/>
  <c r="J91" i="1" s="1"/>
  <c r="M91" i="1" s="1"/>
  <c r="C91" i="1"/>
  <c r="H91" i="1" s="1"/>
  <c r="W90" i="1"/>
  <c r="O90" i="1"/>
  <c r="N90" i="1"/>
  <c r="G90" i="1"/>
  <c r="F90" i="1"/>
  <c r="J90" i="1" s="1"/>
  <c r="M90" i="1" s="1"/>
  <c r="C90" i="1"/>
  <c r="H90" i="1" s="1"/>
  <c r="W89" i="1"/>
  <c r="O89" i="1"/>
  <c r="N89" i="1"/>
  <c r="M89" i="1"/>
  <c r="G89" i="1"/>
  <c r="F89" i="1"/>
  <c r="J89" i="1" s="1"/>
  <c r="C89" i="1"/>
  <c r="H89" i="1" s="1"/>
  <c r="W88" i="1"/>
  <c r="O88" i="1"/>
  <c r="N88" i="1"/>
  <c r="G88" i="1"/>
  <c r="F88" i="1"/>
  <c r="J88" i="1" s="1"/>
  <c r="M88" i="1" s="1"/>
  <c r="C88" i="1"/>
  <c r="H88" i="1" s="1"/>
  <c r="W87" i="1"/>
  <c r="O87" i="1"/>
  <c r="N87" i="1"/>
  <c r="G87" i="1"/>
  <c r="F87" i="1"/>
  <c r="J87" i="1" s="1"/>
  <c r="M87" i="1" s="1"/>
  <c r="C87" i="1"/>
  <c r="H87" i="1" s="1"/>
  <c r="W86" i="1"/>
  <c r="O86" i="1"/>
  <c r="N86" i="1"/>
  <c r="J86" i="1"/>
  <c r="M86" i="1" s="1"/>
  <c r="G86" i="1"/>
  <c r="F86" i="1"/>
  <c r="C86" i="1"/>
  <c r="H86" i="1" s="1"/>
  <c r="W85" i="1"/>
  <c r="O85" i="1"/>
  <c r="N85" i="1"/>
  <c r="G85" i="1"/>
  <c r="F85" i="1"/>
  <c r="J85" i="1" s="1"/>
  <c r="M85" i="1" s="1"/>
  <c r="C85" i="1"/>
  <c r="H85" i="1" s="1"/>
  <c r="W84" i="1"/>
  <c r="O84" i="1"/>
  <c r="N84" i="1"/>
  <c r="G84" i="1"/>
  <c r="F84" i="1"/>
  <c r="J84" i="1" s="1"/>
  <c r="M84" i="1" s="1"/>
  <c r="C84" i="1"/>
  <c r="H84" i="1" s="1"/>
  <c r="W83" i="1"/>
  <c r="O83" i="1"/>
  <c r="N83" i="1"/>
  <c r="G83" i="1"/>
  <c r="F83" i="1"/>
  <c r="J83" i="1" s="1"/>
  <c r="M83" i="1" s="1"/>
  <c r="C83" i="1"/>
  <c r="H83" i="1" s="1"/>
  <c r="W82" i="1"/>
  <c r="O82" i="1"/>
  <c r="N82" i="1"/>
  <c r="H82" i="1"/>
  <c r="G82" i="1"/>
  <c r="F82" i="1"/>
  <c r="J82" i="1" s="1"/>
  <c r="M82" i="1" s="1"/>
  <c r="C82" i="1"/>
  <c r="W81" i="1"/>
  <c r="O81" i="1"/>
  <c r="N81" i="1"/>
  <c r="G81" i="1"/>
  <c r="F81" i="1"/>
  <c r="J81" i="1" s="1"/>
  <c r="M81" i="1" s="1"/>
  <c r="C81" i="1"/>
  <c r="H81" i="1" s="1"/>
  <c r="W80" i="1"/>
  <c r="O80" i="1"/>
  <c r="N80" i="1"/>
  <c r="G80" i="1"/>
  <c r="F80" i="1"/>
  <c r="J80" i="1" s="1"/>
  <c r="M80" i="1" s="1"/>
  <c r="C80" i="1"/>
  <c r="H80" i="1" s="1"/>
  <c r="W79" i="1"/>
  <c r="O79" i="1"/>
  <c r="N79" i="1"/>
  <c r="G79" i="1"/>
  <c r="F79" i="1"/>
  <c r="J79" i="1" s="1"/>
  <c r="M79" i="1" s="1"/>
  <c r="C79" i="1"/>
  <c r="H79" i="1" s="1"/>
  <c r="W78" i="1"/>
  <c r="O78" i="1"/>
  <c r="N78" i="1"/>
  <c r="J78" i="1"/>
  <c r="M78" i="1" s="1"/>
  <c r="G78" i="1"/>
  <c r="F78" i="1"/>
  <c r="C78" i="1"/>
  <c r="H78" i="1" s="1"/>
  <c r="W77" i="1"/>
  <c r="O77" i="1"/>
  <c r="N77" i="1"/>
  <c r="G77" i="1"/>
  <c r="F77" i="1"/>
  <c r="J77" i="1" s="1"/>
  <c r="M77" i="1" s="1"/>
  <c r="C77" i="1"/>
  <c r="H77" i="1" s="1"/>
  <c r="W76" i="1"/>
  <c r="O76" i="1"/>
  <c r="N76" i="1"/>
  <c r="G76" i="1"/>
  <c r="F76" i="1"/>
  <c r="J76" i="1" s="1"/>
  <c r="M76" i="1" s="1"/>
  <c r="C76" i="1"/>
  <c r="H76" i="1" s="1"/>
  <c r="W75" i="1"/>
  <c r="O75" i="1"/>
  <c r="N75" i="1"/>
  <c r="G75" i="1"/>
  <c r="F75" i="1"/>
  <c r="J75" i="1" s="1"/>
  <c r="M75" i="1" s="1"/>
  <c r="C75" i="1"/>
  <c r="H75" i="1" s="1"/>
  <c r="W74" i="1"/>
  <c r="O74" i="1"/>
  <c r="N74" i="1"/>
  <c r="G74" i="1"/>
  <c r="F74" i="1"/>
  <c r="J74" i="1" s="1"/>
  <c r="M74" i="1" s="1"/>
  <c r="C74" i="1"/>
  <c r="H74" i="1" s="1"/>
  <c r="W73" i="1"/>
  <c r="O73" i="1"/>
  <c r="N73" i="1"/>
  <c r="G73" i="1"/>
  <c r="F73" i="1"/>
  <c r="J73" i="1" s="1"/>
  <c r="M73" i="1" s="1"/>
  <c r="C73" i="1"/>
  <c r="H73" i="1" s="1"/>
  <c r="W72" i="1"/>
  <c r="O72" i="1"/>
  <c r="N72" i="1"/>
  <c r="G72" i="1"/>
  <c r="F72" i="1"/>
  <c r="J72" i="1" s="1"/>
  <c r="M72" i="1" s="1"/>
  <c r="C72" i="1"/>
  <c r="H72" i="1" s="1"/>
  <c r="W71" i="1"/>
  <c r="O71" i="1"/>
  <c r="N71" i="1"/>
  <c r="H71" i="1"/>
  <c r="G71" i="1"/>
  <c r="F71" i="1"/>
  <c r="J71" i="1" s="1"/>
  <c r="M71" i="1" s="1"/>
  <c r="C71" i="1"/>
  <c r="W70" i="1"/>
  <c r="O70" i="1"/>
  <c r="N70" i="1"/>
  <c r="J70" i="1"/>
  <c r="M70" i="1" s="1"/>
  <c r="G70" i="1"/>
  <c r="F70" i="1"/>
  <c r="C70" i="1"/>
  <c r="H70" i="1" s="1"/>
  <c r="W69" i="1"/>
  <c r="O69" i="1"/>
  <c r="N69" i="1"/>
  <c r="H69" i="1"/>
  <c r="G69" i="1"/>
  <c r="F69" i="1"/>
  <c r="J69" i="1" s="1"/>
  <c r="M69" i="1" s="1"/>
  <c r="C69" i="1"/>
  <c r="W68" i="1"/>
  <c r="O68" i="1"/>
  <c r="N68" i="1"/>
  <c r="G68" i="1"/>
  <c r="F68" i="1"/>
  <c r="J68" i="1" s="1"/>
  <c r="M68" i="1" s="1"/>
  <c r="C68" i="1"/>
  <c r="H68" i="1" s="1"/>
  <c r="W67" i="1"/>
  <c r="O67" i="1"/>
  <c r="N67" i="1"/>
  <c r="G67" i="1"/>
  <c r="F67" i="1"/>
  <c r="J67" i="1" s="1"/>
  <c r="M67" i="1" s="1"/>
  <c r="C67" i="1"/>
  <c r="H67" i="1" s="1"/>
  <c r="W66" i="1"/>
  <c r="O66" i="1"/>
  <c r="N66" i="1"/>
  <c r="G66" i="1"/>
  <c r="F66" i="1"/>
  <c r="J66" i="1" s="1"/>
  <c r="M66" i="1" s="1"/>
  <c r="C66" i="1"/>
  <c r="H66" i="1" s="1"/>
  <c r="W65" i="1"/>
  <c r="O65" i="1"/>
  <c r="N65" i="1"/>
  <c r="G65" i="1"/>
  <c r="F65" i="1"/>
  <c r="J65" i="1" s="1"/>
  <c r="M65" i="1" s="1"/>
  <c r="C65" i="1"/>
  <c r="H65" i="1" s="1"/>
  <c r="W64" i="1"/>
  <c r="O64" i="1"/>
  <c r="N64" i="1"/>
  <c r="G64" i="1"/>
  <c r="F64" i="1"/>
  <c r="J64" i="1" s="1"/>
  <c r="M64" i="1" s="1"/>
  <c r="C64" i="1"/>
  <c r="H64" i="1" s="1"/>
  <c r="W63" i="1"/>
  <c r="O63" i="1"/>
  <c r="N63" i="1"/>
  <c r="J63" i="1"/>
  <c r="M63" i="1" s="1"/>
  <c r="G63" i="1"/>
  <c r="F63" i="1"/>
  <c r="C63" i="1"/>
  <c r="H63" i="1" s="1"/>
  <c r="W62" i="1"/>
  <c r="O62" i="1"/>
  <c r="N62" i="1"/>
  <c r="G62" i="1"/>
  <c r="F62" i="1"/>
  <c r="J62" i="1" s="1"/>
  <c r="M62" i="1" s="1"/>
  <c r="C62" i="1"/>
  <c r="H62" i="1" s="1"/>
  <c r="W61" i="1"/>
  <c r="O61" i="1"/>
  <c r="N61" i="1"/>
  <c r="G61" i="1"/>
  <c r="F61" i="1"/>
  <c r="J61" i="1" s="1"/>
  <c r="M61" i="1" s="1"/>
  <c r="C61" i="1"/>
  <c r="H61" i="1" s="1"/>
  <c r="W60" i="1"/>
  <c r="O60" i="1"/>
  <c r="N60" i="1"/>
  <c r="G60" i="1"/>
  <c r="F60" i="1"/>
  <c r="J60" i="1" s="1"/>
  <c r="M60" i="1" s="1"/>
  <c r="C60" i="1"/>
  <c r="H60" i="1" s="1"/>
  <c r="W59" i="1"/>
  <c r="O59" i="1"/>
  <c r="N59" i="1"/>
  <c r="G59" i="1"/>
  <c r="F59" i="1"/>
  <c r="J59" i="1" s="1"/>
  <c r="M59" i="1" s="1"/>
  <c r="C59" i="1"/>
  <c r="H59" i="1" s="1"/>
  <c r="W58" i="1"/>
  <c r="O58" i="1"/>
  <c r="N58" i="1"/>
  <c r="H58" i="1"/>
  <c r="G58" i="1"/>
  <c r="F58" i="1"/>
  <c r="J58" i="1" s="1"/>
  <c r="M58" i="1" s="1"/>
  <c r="C58" i="1"/>
  <c r="W57" i="1"/>
  <c r="O57" i="1"/>
  <c r="N57" i="1"/>
  <c r="G57" i="1"/>
  <c r="F57" i="1"/>
  <c r="J57" i="1" s="1"/>
  <c r="M57" i="1" s="1"/>
  <c r="C57" i="1"/>
  <c r="H57" i="1" s="1"/>
  <c r="W56" i="1"/>
  <c r="O56" i="1"/>
  <c r="N56" i="1"/>
  <c r="G56" i="1"/>
  <c r="F56" i="1"/>
  <c r="J56" i="1" s="1"/>
  <c r="M56" i="1" s="1"/>
  <c r="C56" i="1"/>
  <c r="H56" i="1" s="1"/>
  <c r="W55" i="1"/>
  <c r="O55" i="1"/>
  <c r="N55" i="1"/>
  <c r="J55" i="1"/>
  <c r="M55" i="1" s="1"/>
  <c r="G55" i="1"/>
  <c r="F55" i="1"/>
  <c r="C55" i="1"/>
  <c r="H55" i="1" s="1"/>
  <c r="W54" i="1"/>
  <c r="O54" i="1"/>
  <c r="N54" i="1"/>
  <c r="H54" i="1"/>
  <c r="G54" i="1"/>
  <c r="F54" i="1"/>
  <c r="J54" i="1" s="1"/>
  <c r="M54" i="1" s="1"/>
  <c r="C54" i="1"/>
  <c r="W53" i="1"/>
  <c r="O53" i="1"/>
  <c r="N53" i="1"/>
  <c r="G53" i="1"/>
  <c r="F53" i="1"/>
  <c r="J53" i="1" s="1"/>
  <c r="M53" i="1" s="1"/>
  <c r="C53" i="1"/>
  <c r="H53" i="1" s="1"/>
  <c r="W52" i="1"/>
  <c r="O52" i="1"/>
  <c r="N52" i="1"/>
  <c r="G52" i="1"/>
  <c r="F52" i="1"/>
  <c r="J52" i="1" s="1"/>
  <c r="M52" i="1" s="1"/>
  <c r="C52" i="1"/>
  <c r="H52" i="1" s="1"/>
  <c r="W51" i="1"/>
  <c r="O51" i="1"/>
  <c r="N51" i="1"/>
  <c r="G51" i="1"/>
  <c r="F51" i="1"/>
  <c r="J51" i="1" s="1"/>
  <c r="M51" i="1" s="1"/>
  <c r="C51" i="1"/>
  <c r="H51" i="1" s="1"/>
  <c r="W50" i="1"/>
  <c r="O50" i="1"/>
  <c r="N50" i="1"/>
  <c r="G50" i="1"/>
  <c r="F50" i="1"/>
  <c r="J50" i="1" s="1"/>
  <c r="M50" i="1" s="1"/>
  <c r="C50" i="1"/>
  <c r="H50" i="1" s="1"/>
  <c r="W49" i="1"/>
  <c r="O49" i="1"/>
  <c r="N49" i="1"/>
  <c r="G49" i="1"/>
  <c r="F49" i="1"/>
  <c r="J49" i="1" s="1"/>
  <c r="M49" i="1" s="1"/>
  <c r="C49" i="1"/>
  <c r="H49" i="1" s="1"/>
  <c r="W48" i="1"/>
  <c r="O48" i="1"/>
  <c r="N48" i="1"/>
  <c r="G48" i="1"/>
  <c r="F48" i="1"/>
  <c r="J48" i="1" s="1"/>
  <c r="M48" i="1" s="1"/>
  <c r="C48" i="1"/>
  <c r="H48" i="1" s="1"/>
  <c r="W47" i="1"/>
  <c r="O47" i="1"/>
  <c r="N47" i="1"/>
  <c r="G47" i="1"/>
  <c r="F47" i="1"/>
  <c r="J47" i="1" s="1"/>
  <c r="M47" i="1" s="1"/>
  <c r="C47" i="1"/>
  <c r="H47" i="1" s="1"/>
  <c r="W46" i="1"/>
  <c r="O46" i="1"/>
  <c r="N46" i="1"/>
  <c r="G46" i="1"/>
  <c r="F46" i="1"/>
  <c r="J46" i="1" s="1"/>
  <c r="M46" i="1" s="1"/>
  <c r="C46" i="1"/>
  <c r="H46" i="1" s="1"/>
  <c r="W45" i="1"/>
  <c r="O45" i="1"/>
  <c r="N45" i="1"/>
  <c r="G45" i="1"/>
  <c r="F45" i="1"/>
  <c r="J45" i="1" s="1"/>
  <c r="M45" i="1" s="1"/>
  <c r="C45" i="1"/>
  <c r="H45" i="1" s="1"/>
  <c r="W44" i="1"/>
  <c r="O44" i="1"/>
  <c r="N44" i="1"/>
  <c r="G44" i="1"/>
  <c r="F44" i="1"/>
  <c r="J44" i="1" s="1"/>
  <c r="M44" i="1" s="1"/>
  <c r="C44" i="1"/>
  <c r="H44" i="1" s="1"/>
  <c r="W43" i="1"/>
  <c r="O43" i="1"/>
  <c r="N43" i="1"/>
  <c r="G43" i="1"/>
  <c r="F43" i="1"/>
  <c r="J43" i="1" s="1"/>
  <c r="M43" i="1" s="1"/>
  <c r="C43" i="1"/>
  <c r="H43" i="1" s="1"/>
  <c r="W42" i="1"/>
  <c r="O42" i="1"/>
  <c r="N42" i="1"/>
  <c r="H42" i="1"/>
  <c r="G42" i="1"/>
  <c r="F42" i="1"/>
  <c r="J42" i="1" s="1"/>
  <c r="M42" i="1" s="1"/>
  <c r="C42" i="1"/>
  <c r="W41" i="1"/>
  <c r="O41" i="1"/>
  <c r="N41" i="1"/>
  <c r="G41" i="1"/>
  <c r="F41" i="1"/>
  <c r="J41" i="1" s="1"/>
  <c r="M41" i="1" s="1"/>
  <c r="C41" i="1"/>
  <c r="H41" i="1" s="1"/>
  <c r="W40" i="1"/>
  <c r="O40" i="1"/>
  <c r="N40" i="1"/>
  <c r="G40" i="1"/>
  <c r="F40" i="1"/>
  <c r="J40" i="1" s="1"/>
  <c r="M40" i="1" s="1"/>
  <c r="C40" i="1"/>
  <c r="H40" i="1" s="1"/>
  <c r="W39" i="1"/>
  <c r="O39" i="1"/>
  <c r="N39" i="1"/>
  <c r="G39" i="1"/>
  <c r="F39" i="1"/>
  <c r="J39" i="1" s="1"/>
  <c r="M39" i="1" s="1"/>
  <c r="C39" i="1"/>
  <c r="H39" i="1" s="1"/>
  <c r="W38" i="1"/>
  <c r="O38" i="1"/>
  <c r="N38" i="1"/>
  <c r="H38" i="1"/>
  <c r="G38" i="1"/>
  <c r="F38" i="1"/>
  <c r="J38" i="1" s="1"/>
  <c r="M38" i="1" s="1"/>
  <c r="C38" i="1"/>
  <c r="W37" i="1"/>
  <c r="O37" i="1"/>
  <c r="N37" i="1"/>
  <c r="G37" i="1"/>
  <c r="F37" i="1"/>
  <c r="J37" i="1" s="1"/>
  <c r="M37" i="1" s="1"/>
  <c r="C37" i="1"/>
  <c r="H37" i="1" s="1"/>
  <c r="W36" i="1"/>
  <c r="O36" i="1"/>
  <c r="N36" i="1"/>
  <c r="G36" i="1"/>
  <c r="F36" i="1"/>
  <c r="J36" i="1" s="1"/>
  <c r="M36" i="1" s="1"/>
  <c r="C36" i="1"/>
  <c r="H36" i="1" s="1"/>
  <c r="W35" i="1"/>
  <c r="O35" i="1"/>
  <c r="N35" i="1"/>
  <c r="G35" i="1"/>
  <c r="F35" i="1"/>
  <c r="J35" i="1" s="1"/>
  <c r="M35" i="1" s="1"/>
  <c r="C35" i="1"/>
  <c r="H35" i="1" s="1"/>
  <c r="W34" i="1"/>
  <c r="O34" i="1"/>
  <c r="N34" i="1"/>
  <c r="G34" i="1"/>
  <c r="F34" i="1"/>
  <c r="J34" i="1" s="1"/>
  <c r="M34" i="1" s="1"/>
  <c r="C34" i="1"/>
  <c r="H34" i="1" s="1"/>
  <c r="W33" i="1"/>
  <c r="O33" i="1"/>
  <c r="N33" i="1"/>
  <c r="G33" i="1"/>
  <c r="F33" i="1"/>
  <c r="J33" i="1" s="1"/>
  <c r="M33" i="1" s="1"/>
  <c r="C33" i="1"/>
  <c r="H33" i="1" s="1"/>
  <c r="W32" i="1"/>
  <c r="O32" i="1"/>
  <c r="N32" i="1"/>
  <c r="G32" i="1"/>
  <c r="F32" i="1"/>
  <c r="J32" i="1" s="1"/>
  <c r="M32" i="1" s="1"/>
  <c r="C32" i="1"/>
  <c r="H32" i="1" s="1"/>
  <c r="Z31" i="1"/>
  <c r="W31" i="1"/>
  <c r="O31" i="1"/>
  <c r="N31" i="1"/>
  <c r="G31" i="1"/>
  <c r="F31" i="1"/>
  <c r="J31" i="1" s="1"/>
  <c r="M31" i="1" s="1"/>
  <c r="C31" i="1"/>
  <c r="H31" i="1" s="1"/>
  <c r="Z30" i="1"/>
  <c r="W30" i="1"/>
  <c r="O30" i="1"/>
  <c r="N30" i="1"/>
  <c r="G30" i="1"/>
  <c r="F30" i="1"/>
  <c r="J30" i="1" s="1"/>
  <c r="M30" i="1" s="1"/>
  <c r="C30" i="1"/>
  <c r="H30" i="1" s="1"/>
  <c r="Z29" i="1"/>
  <c r="W29" i="1"/>
  <c r="O29" i="1"/>
  <c r="N29" i="1"/>
  <c r="G29" i="1"/>
  <c r="F29" i="1"/>
  <c r="J29" i="1" s="1"/>
  <c r="M29" i="1" s="1"/>
  <c r="C29" i="1"/>
  <c r="H29" i="1" s="1"/>
  <c r="Z28" i="1"/>
  <c r="W28" i="1"/>
  <c r="O28" i="1"/>
  <c r="N28" i="1"/>
  <c r="G28" i="1"/>
  <c r="F28" i="1"/>
  <c r="J28" i="1" s="1"/>
  <c r="M28" i="1" s="1"/>
  <c r="C28" i="1"/>
  <c r="H28" i="1" s="1"/>
  <c r="Z27" i="1"/>
  <c r="W27" i="1"/>
  <c r="O27" i="1"/>
  <c r="N27" i="1"/>
  <c r="G27" i="1"/>
  <c r="F27" i="1"/>
  <c r="J27" i="1" s="1"/>
  <c r="M27" i="1" s="1"/>
  <c r="C27" i="1"/>
  <c r="H27" i="1" s="1"/>
  <c r="Z26" i="1"/>
  <c r="W26" i="1"/>
  <c r="O26" i="1"/>
  <c r="N26" i="1"/>
  <c r="G26" i="1"/>
  <c r="F26" i="1"/>
  <c r="J26" i="1" s="1"/>
  <c r="M26" i="1" s="1"/>
  <c r="C26" i="1"/>
  <c r="H26" i="1" s="1"/>
  <c r="Z25" i="1"/>
  <c r="W25" i="1"/>
  <c r="O25" i="1"/>
  <c r="N25" i="1"/>
  <c r="G25" i="1"/>
  <c r="F25" i="1"/>
  <c r="J25" i="1" s="1"/>
  <c r="M25" i="1" s="1"/>
  <c r="C25" i="1"/>
  <c r="H25" i="1" s="1"/>
  <c r="Z24" i="1"/>
  <c r="W24" i="1"/>
  <c r="O24" i="1"/>
  <c r="N24" i="1"/>
  <c r="G24" i="1"/>
  <c r="F24" i="1"/>
  <c r="J24" i="1" s="1"/>
  <c r="M24" i="1" s="1"/>
  <c r="C24" i="1"/>
  <c r="H24" i="1" s="1"/>
  <c r="Z23" i="1"/>
  <c r="W23" i="1"/>
  <c r="O23" i="1"/>
  <c r="N23" i="1"/>
  <c r="G23" i="1"/>
  <c r="F23" i="1"/>
  <c r="J23" i="1" s="1"/>
  <c r="M23" i="1" s="1"/>
  <c r="C23" i="1"/>
  <c r="H23" i="1" s="1"/>
  <c r="Z22" i="1"/>
  <c r="W22" i="1"/>
  <c r="O22" i="1"/>
  <c r="N22" i="1"/>
  <c r="G22" i="1"/>
  <c r="F22" i="1"/>
  <c r="J22" i="1" s="1"/>
  <c r="M22" i="1" s="1"/>
  <c r="C22" i="1"/>
  <c r="H22" i="1" s="1"/>
  <c r="Z21" i="1"/>
  <c r="W21" i="1"/>
  <c r="O21" i="1"/>
  <c r="N21" i="1"/>
  <c r="G21" i="1"/>
  <c r="F21" i="1"/>
  <c r="J21" i="1" s="1"/>
  <c r="M21" i="1" s="1"/>
  <c r="C21" i="1"/>
  <c r="H21" i="1" s="1"/>
  <c r="Z20" i="1"/>
  <c r="W20" i="1"/>
  <c r="O20" i="1"/>
  <c r="N20" i="1"/>
  <c r="G20" i="1"/>
  <c r="F20" i="1"/>
  <c r="J20" i="1" s="1"/>
  <c r="M20" i="1" s="1"/>
  <c r="C20" i="1"/>
  <c r="H20" i="1" s="1"/>
  <c r="Z19" i="1"/>
  <c r="W19" i="1"/>
  <c r="O19" i="1"/>
  <c r="N19" i="1"/>
  <c r="G19" i="1"/>
  <c r="F19" i="1"/>
  <c r="J19" i="1" s="1"/>
  <c r="M19" i="1" s="1"/>
  <c r="C19" i="1"/>
  <c r="H19" i="1" s="1"/>
  <c r="Z18" i="1"/>
  <c r="W18" i="1"/>
  <c r="O18" i="1"/>
  <c r="N18" i="1"/>
  <c r="G18" i="1"/>
  <c r="F18" i="1"/>
  <c r="J18" i="1" s="1"/>
  <c r="M18" i="1" s="1"/>
  <c r="C18" i="1"/>
  <c r="H18" i="1" s="1"/>
  <c r="Z17" i="1"/>
  <c r="W17" i="1"/>
  <c r="O17" i="1"/>
  <c r="N17" i="1"/>
  <c r="G17" i="1"/>
  <c r="F17" i="1"/>
  <c r="J17" i="1" s="1"/>
  <c r="M17" i="1" s="1"/>
  <c r="C17" i="1"/>
  <c r="H17" i="1" s="1"/>
  <c r="Z16" i="1"/>
  <c r="W16" i="1"/>
  <c r="O16" i="1"/>
  <c r="N16" i="1"/>
  <c r="G16" i="1"/>
  <c r="F16" i="1"/>
  <c r="J16" i="1" s="1"/>
  <c r="M16" i="1" s="1"/>
  <c r="C16" i="1"/>
  <c r="H16" i="1" s="1"/>
  <c r="Z15" i="1"/>
  <c r="W15" i="1"/>
  <c r="O15" i="1"/>
  <c r="N15" i="1"/>
  <c r="G15" i="1"/>
  <c r="F15" i="1"/>
  <c r="J15" i="1" s="1"/>
  <c r="M15" i="1" s="1"/>
  <c r="C15" i="1"/>
  <c r="H15" i="1" s="1"/>
  <c r="Z14" i="1"/>
  <c r="W14" i="1"/>
  <c r="O14" i="1"/>
  <c r="N14" i="1"/>
  <c r="G14" i="1"/>
  <c r="F14" i="1"/>
  <c r="J14" i="1" s="1"/>
  <c r="M14" i="1" s="1"/>
  <c r="C14" i="1"/>
  <c r="H14" i="1" s="1"/>
  <c r="Z13" i="1"/>
  <c r="W13" i="1"/>
  <c r="O13" i="1"/>
  <c r="N13" i="1"/>
  <c r="G13" i="1"/>
  <c r="F13" i="1"/>
  <c r="J13" i="1" s="1"/>
  <c r="M13" i="1" s="1"/>
  <c r="C13" i="1"/>
  <c r="H13" i="1" s="1"/>
  <c r="Z12" i="1"/>
  <c r="W12" i="1"/>
  <c r="O12" i="1"/>
  <c r="N12" i="1"/>
  <c r="G12" i="1"/>
  <c r="F12" i="1"/>
  <c r="J12" i="1" s="1"/>
  <c r="M12" i="1" s="1"/>
  <c r="C12" i="1"/>
  <c r="H12" i="1" s="1"/>
  <c r="Z11" i="1"/>
  <c r="W11" i="1"/>
  <c r="O11" i="1"/>
  <c r="N11" i="1"/>
  <c r="G11" i="1"/>
  <c r="F11" i="1"/>
  <c r="J11" i="1" s="1"/>
  <c r="M11" i="1" s="1"/>
  <c r="C11" i="1"/>
  <c r="H11" i="1" s="1"/>
  <c r="Z10" i="1"/>
  <c r="W10" i="1"/>
  <c r="O10" i="1"/>
  <c r="N10" i="1"/>
  <c r="G10" i="1"/>
  <c r="F10" i="1"/>
  <c r="J10" i="1" s="1"/>
  <c r="M10" i="1" s="1"/>
  <c r="C10" i="1"/>
  <c r="H10" i="1" s="1"/>
  <c r="Z9" i="1"/>
  <c r="W9" i="1"/>
  <c r="O9" i="1"/>
  <c r="N9" i="1"/>
  <c r="G9" i="1"/>
  <c r="F9" i="1"/>
  <c r="J9" i="1" s="1"/>
  <c r="M9" i="1" s="1"/>
  <c r="C9" i="1"/>
  <c r="H9" i="1" s="1"/>
  <c r="Z8" i="1"/>
  <c r="W8" i="1"/>
  <c r="O8" i="1"/>
  <c r="N8" i="1"/>
  <c r="G8" i="1"/>
  <c r="F8" i="1"/>
  <c r="J8" i="1" s="1"/>
  <c r="M8" i="1" s="1"/>
  <c r="C8" i="1"/>
  <c r="H8" i="1" s="1"/>
  <c r="AC7" i="1"/>
  <c r="AC11" i="1" s="1"/>
  <c r="AC12" i="1" s="1"/>
  <c r="Z7" i="1"/>
  <c r="W7" i="1"/>
  <c r="O7" i="1"/>
  <c r="N7" i="1"/>
  <c r="J7" i="1"/>
  <c r="M7" i="1" s="1"/>
  <c r="G7" i="1"/>
  <c r="F7" i="1"/>
  <c r="C7" i="1"/>
  <c r="H7" i="1" s="1"/>
  <c r="Z6" i="1"/>
  <c r="W6" i="1"/>
  <c r="O6" i="1"/>
  <c r="N6" i="1"/>
  <c r="H6" i="1"/>
  <c r="G6" i="1"/>
  <c r="F6" i="1"/>
  <c r="J6" i="1" s="1"/>
  <c r="M6" i="1" s="1"/>
  <c r="C6" i="1"/>
  <c r="Z5" i="1"/>
  <c r="W5" i="1"/>
  <c r="O5" i="1"/>
  <c r="N5" i="1"/>
  <c r="J5" i="1"/>
  <c r="M5" i="1" s="1"/>
  <c r="G5" i="1"/>
  <c r="F5" i="1"/>
  <c r="C5" i="1"/>
  <c r="H5" i="1" s="1"/>
  <c r="Z4" i="1"/>
  <c r="W4" i="1"/>
  <c r="O4" i="1"/>
  <c r="N4" i="1"/>
  <c r="H4" i="1"/>
  <c r="G4" i="1"/>
  <c r="F4" i="1"/>
  <c r="J4" i="1" s="1"/>
  <c r="M4" i="1" s="1"/>
  <c r="C4" i="1"/>
  <c r="S2" i="1"/>
  <c r="N2" i="1" s="1"/>
  <c r="K7" i="1" l="1"/>
  <c r="P7" i="1" s="1"/>
  <c r="K39" i="1"/>
  <c r="P39" i="1" s="1"/>
  <c r="K47" i="1"/>
  <c r="P47" i="1" s="1"/>
  <c r="K55" i="1"/>
  <c r="P55" i="1" s="1"/>
  <c r="K63" i="1"/>
  <c r="P63" i="1" s="1"/>
  <c r="K73" i="1"/>
  <c r="P73" i="1" s="1"/>
  <c r="I1" i="2"/>
  <c r="K303" i="1"/>
  <c r="P303" i="1" s="1"/>
  <c r="K235" i="1"/>
  <c r="P235" i="1" s="1"/>
  <c r="K227" i="1"/>
  <c r="P227" i="1" s="1"/>
  <c r="K224" i="1"/>
  <c r="P224" i="1" s="1"/>
  <c r="K222" i="1"/>
  <c r="P222" i="1" s="1"/>
  <c r="K220" i="1"/>
  <c r="P220" i="1" s="1"/>
  <c r="K218" i="1"/>
  <c r="P218" i="1" s="1"/>
  <c r="K233" i="1"/>
  <c r="P233" i="1" s="1"/>
  <c r="K131" i="1"/>
  <c r="P131" i="1" s="1"/>
  <c r="K140" i="1"/>
  <c r="P140" i="1" s="1"/>
  <c r="K135" i="1"/>
  <c r="P135" i="1" s="1"/>
  <c r="K133" i="1"/>
  <c r="P133" i="1" s="1"/>
  <c r="K123" i="1"/>
  <c r="P123" i="1" s="1"/>
  <c r="K119" i="1"/>
  <c r="P119" i="1" s="1"/>
  <c r="K115" i="1"/>
  <c r="P115" i="1" s="1"/>
  <c r="K111" i="1"/>
  <c r="P111" i="1" s="1"/>
  <c r="K107" i="1"/>
  <c r="P107" i="1" s="1"/>
  <c r="K103" i="1"/>
  <c r="P103" i="1" s="1"/>
  <c r="K99" i="1"/>
  <c r="P99" i="1" s="1"/>
  <c r="K139" i="1"/>
  <c r="P139" i="1" s="1"/>
  <c r="K137" i="1"/>
  <c r="P137" i="1" s="1"/>
  <c r="K128" i="1"/>
  <c r="P128" i="1" s="1"/>
  <c r="K124" i="1"/>
  <c r="P124" i="1" s="1"/>
  <c r="K120" i="1"/>
  <c r="P120" i="1" s="1"/>
  <c r="K116" i="1"/>
  <c r="P116" i="1" s="1"/>
  <c r="K112" i="1"/>
  <c r="P112" i="1" s="1"/>
  <c r="K108" i="1"/>
  <c r="P108" i="1" s="1"/>
  <c r="K104" i="1"/>
  <c r="P104" i="1" s="1"/>
  <c r="K100" i="1"/>
  <c r="P100" i="1" s="1"/>
  <c r="K127" i="1"/>
  <c r="P127" i="1" s="1"/>
  <c r="K83" i="1"/>
  <c r="P83" i="1" s="1"/>
  <c r="K81" i="1"/>
  <c r="P81" i="1" s="1"/>
  <c r="K72" i="1"/>
  <c r="P72" i="1" s="1"/>
  <c r="K67" i="1"/>
  <c r="P67" i="1" s="1"/>
  <c r="K12" i="1"/>
  <c r="P12" i="1" s="1"/>
  <c r="K96" i="1"/>
  <c r="P96" i="1" s="1"/>
  <c r="K95" i="1"/>
  <c r="P95" i="1" s="1"/>
  <c r="K88" i="1"/>
  <c r="P88" i="1" s="1"/>
  <c r="K87" i="1"/>
  <c r="P87" i="1" s="1"/>
  <c r="K71" i="1"/>
  <c r="P71" i="1" s="1"/>
  <c r="K75" i="1"/>
  <c r="P75" i="1" s="1"/>
  <c r="K22" i="1"/>
  <c r="P22" i="1" s="1"/>
  <c r="K20" i="1"/>
  <c r="P20" i="1" s="1"/>
  <c r="K18" i="1"/>
  <c r="P18" i="1" s="1"/>
  <c r="K16" i="1"/>
  <c r="P16" i="1" s="1"/>
  <c r="K15" i="1"/>
  <c r="P15" i="1" s="1"/>
  <c r="K92" i="1"/>
  <c r="P92" i="1" s="1"/>
  <c r="K91" i="1"/>
  <c r="P91" i="1" s="1"/>
  <c r="K84" i="1"/>
  <c r="P84" i="1" s="1"/>
  <c r="K79" i="1"/>
  <c r="P79" i="1" s="1"/>
  <c r="K77" i="1"/>
  <c r="P77" i="1" s="1"/>
  <c r="K68" i="1"/>
  <c r="P68" i="1" s="1"/>
  <c r="K64" i="1"/>
  <c r="P64" i="1" s="1"/>
  <c r="K60" i="1"/>
  <c r="P60" i="1" s="1"/>
  <c r="K56" i="1"/>
  <c r="P56" i="1" s="1"/>
  <c r="K52" i="1"/>
  <c r="P52" i="1" s="1"/>
  <c r="K48" i="1"/>
  <c r="P48" i="1" s="1"/>
  <c r="K44" i="1"/>
  <c r="P44" i="1" s="1"/>
  <c r="K40" i="1"/>
  <c r="P40" i="1" s="1"/>
  <c r="K36" i="1"/>
  <c r="P36" i="1" s="1"/>
  <c r="K32" i="1"/>
  <c r="P32" i="1" s="1"/>
  <c r="K31" i="1"/>
  <c r="P31" i="1" s="1"/>
  <c r="K30" i="1"/>
  <c r="P30" i="1" s="1"/>
  <c r="K29" i="1"/>
  <c r="P29" i="1" s="1"/>
  <c r="K28" i="1"/>
  <c r="P28" i="1" s="1"/>
  <c r="K27" i="1"/>
  <c r="P27" i="1" s="1"/>
  <c r="K26" i="1"/>
  <c r="P26" i="1" s="1"/>
  <c r="K25" i="1"/>
  <c r="P25" i="1" s="1"/>
  <c r="K24" i="1"/>
  <c r="P24" i="1" s="1"/>
  <c r="K23" i="1"/>
  <c r="P23" i="1" s="1"/>
  <c r="K21" i="1"/>
  <c r="P21" i="1" s="1"/>
  <c r="K19" i="1"/>
  <c r="P19" i="1" s="1"/>
  <c r="K17" i="1"/>
  <c r="P17" i="1" s="1"/>
  <c r="K14" i="1"/>
  <c r="P14" i="1" s="1"/>
  <c r="K13" i="1"/>
  <c r="P13" i="1" s="1"/>
  <c r="K4" i="1"/>
  <c r="P4" i="1" s="1"/>
  <c r="K33" i="1"/>
  <c r="P33" i="1" s="1"/>
  <c r="K38" i="1"/>
  <c r="P38" i="1" s="1"/>
  <c r="K41" i="1"/>
  <c r="P41" i="1" s="1"/>
  <c r="K46" i="1"/>
  <c r="P46" i="1" s="1"/>
  <c r="K49" i="1"/>
  <c r="P49" i="1" s="1"/>
  <c r="K54" i="1"/>
  <c r="P54" i="1" s="1"/>
  <c r="K57" i="1"/>
  <c r="P57" i="1" s="1"/>
  <c r="K62" i="1"/>
  <c r="P62" i="1" s="1"/>
  <c r="K65" i="1"/>
  <c r="P65" i="1" s="1"/>
  <c r="K69" i="1"/>
  <c r="P69" i="1" s="1"/>
  <c r="K80" i="1"/>
  <c r="P80" i="1" s="1"/>
  <c r="K85" i="1"/>
  <c r="P85" i="1" s="1"/>
  <c r="K10" i="1"/>
  <c r="P10" i="1" s="1"/>
  <c r="K35" i="1"/>
  <c r="P35" i="1" s="1"/>
  <c r="K43" i="1"/>
  <c r="P43" i="1" s="1"/>
  <c r="K51" i="1"/>
  <c r="P51" i="1" s="1"/>
  <c r="K59" i="1"/>
  <c r="P59" i="1" s="1"/>
  <c r="K76" i="1"/>
  <c r="P76" i="1" s="1"/>
  <c r="K5" i="1"/>
  <c r="P5" i="1" s="1"/>
  <c r="K8" i="1"/>
  <c r="P8" i="1" s="1"/>
  <c r="K9" i="1"/>
  <c r="P9" i="1" s="1"/>
  <c r="K11" i="1"/>
  <c r="P11" i="1" s="1"/>
  <c r="K6" i="1"/>
  <c r="P6" i="1" s="1"/>
  <c r="K34" i="1"/>
  <c r="P34" i="1" s="1"/>
  <c r="K37" i="1"/>
  <c r="P37" i="1" s="1"/>
  <c r="K42" i="1"/>
  <c r="P42" i="1" s="1"/>
  <c r="K45" i="1"/>
  <c r="P45" i="1" s="1"/>
  <c r="K50" i="1"/>
  <c r="P50" i="1" s="1"/>
  <c r="K53" i="1"/>
  <c r="P53" i="1" s="1"/>
  <c r="K58" i="1"/>
  <c r="P58" i="1" s="1"/>
  <c r="K61" i="1"/>
  <c r="P61" i="1" s="1"/>
  <c r="K78" i="1"/>
  <c r="P78" i="1" s="1"/>
  <c r="K93" i="1"/>
  <c r="P93" i="1" s="1"/>
  <c r="K94" i="1"/>
  <c r="P94" i="1" s="1"/>
  <c r="K74" i="1"/>
  <c r="P74" i="1" s="1"/>
  <c r="K132" i="1"/>
  <c r="P132" i="1" s="1"/>
  <c r="K136" i="1"/>
  <c r="P136" i="1" s="1"/>
  <c r="K70" i="1"/>
  <c r="P70" i="1" s="1"/>
  <c r="K86" i="1"/>
  <c r="P86" i="1" s="1"/>
  <c r="K89" i="1"/>
  <c r="P89" i="1" s="1"/>
  <c r="K90" i="1"/>
  <c r="P90" i="1" s="1"/>
  <c r="K97" i="1"/>
  <c r="P97" i="1" s="1"/>
  <c r="K98" i="1"/>
  <c r="P98" i="1" s="1"/>
  <c r="K102" i="1"/>
  <c r="P102" i="1" s="1"/>
  <c r="K106" i="1"/>
  <c r="P106" i="1" s="1"/>
  <c r="K110" i="1"/>
  <c r="P110" i="1" s="1"/>
  <c r="K114" i="1"/>
  <c r="P114" i="1" s="1"/>
  <c r="K118" i="1"/>
  <c r="P118" i="1" s="1"/>
  <c r="K122" i="1"/>
  <c r="P122" i="1" s="1"/>
  <c r="K66" i="1"/>
  <c r="P66" i="1" s="1"/>
  <c r="K82" i="1"/>
  <c r="P82" i="1" s="1"/>
  <c r="K101" i="1"/>
  <c r="P101" i="1" s="1"/>
  <c r="K105" i="1"/>
  <c r="P105" i="1" s="1"/>
  <c r="K109" i="1"/>
  <c r="P109" i="1" s="1"/>
  <c r="K113" i="1"/>
  <c r="P113" i="1" s="1"/>
  <c r="K117" i="1"/>
  <c r="P117" i="1" s="1"/>
  <c r="K121" i="1"/>
  <c r="P121" i="1" s="1"/>
  <c r="K125" i="1"/>
  <c r="P125" i="1" s="1"/>
  <c r="K129" i="1"/>
  <c r="P129" i="1" s="1"/>
  <c r="K126" i="1"/>
  <c r="P126" i="1" s="1"/>
  <c r="K142" i="1"/>
  <c r="P142" i="1" s="1"/>
  <c r="K146" i="1"/>
  <c r="P146" i="1" s="1"/>
  <c r="K150" i="1"/>
  <c r="P150" i="1" s="1"/>
  <c r="K154" i="1"/>
  <c r="P154" i="1" s="1"/>
  <c r="K158" i="1"/>
  <c r="P158" i="1" s="1"/>
  <c r="K162" i="1"/>
  <c r="P162" i="1" s="1"/>
  <c r="K166" i="1"/>
  <c r="P166" i="1" s="1"/>
  <c r="K169" i="1"/>
  <c r="P169" i="1" s="1"/>
  <c r="K172" i="1"/>
  <c r="P172" i="1" s="1"/>
  <c r="K177" i="1"/>
  <c r="P177" i="1" s="1"/>
  <c r="K180" i="1"/>
  <c r="P180" i="1" s="1"/>
  <c r="K185" i="1"/>
  <c r="P185" i="1" s="1"/>
  <c r="K188" i="1"/>
  <c r="P188" i="1" s="1"/>
  <c r="K193" i="1"/>
  <c r="P193" i="1" s="1"/>
  <c r="K196" i="1"/>
  <c r="P196" i="1" s="1"/>
  <c r="K201" i="1"/>
  <c r="P201" i="1" s="1"/>
  <c r="K204" i="1"/>
  <c r="P204" i="1" s="1"/>
  <c r="K209" i="1"/>
  <c r="P209" i="1" s="1"/>
  <c r="K212" i="1"/>
  <c r="P212" i="1" s="1"/>
  <c r="K217" i="1"/>
  <c r="P217" i="1" s="1"/>
  <c r="K229" i="1"/>
  <c r="P229" i="1" s="1"/>
  <c r="K243" i="1"/>
  <c r="P243" i="1" s="1"/>
  <c r="K259" i="1"/>
  <c r="P259" i="1" s="1"/>
  <c r="L18" i="2"/>
  <c r="L34" i="2"/>
  <c r="K138" i="1"/>
  <c r="P138" i="1" s="1"/>
  <c r="K141" i="1"/>
  <c r="P141" i="1" s="1"/>
  <c r="K145" i="1"/>
  <c r="P145" i="1" s="1"/>
  <c r="K149" i="1"/>
  <c r="P149" i="1" s="1"/>
  <c r="K153" i="1"/>
  <c r="P153" i="1" s="1"/>
  <c r="K157" i="1"/>
  <c r="P157" i="1" s="1"/>
  <c r="K161" i="1"/>
  <c r="P161" i="1" s="1"/>
  <c r="K165" i="1"/>
  <c r="P165" i="1" s="1"/>
  <c r="K171" i="1"/>
  <c r="P171" i="1" s="1"/>
  <c r="K174" i="1"/>
  <c r="P174" i="1" s="1"/>
  <c r="K179" i="1"/>
  <c r="P179" i="1" s="1"/>
  <c r="K182" i="1"/>
  <c r="P182" i="1" s="1"/>
  <c r="K187" i="1"/>
  <c r="P187" i="1" s="1"/>
  <c r="K190" i="1"/>
  <c r="P190" i="1" s="1"/>
  <c r="K195" i="1"/>
  <c r="P195" i="1" s="1"/>
  <c r="K198" i="1"/>
  <c r="P198" i="1" s="1"/>
  <c r="K203" i="1"/>
  <c r="P203" i="1" s="1"/>
  <c r="K206" i="1"/>
  <c r="P206" i="1" s="1"/>
  <c r="K211" i="1"/>
  <c r="P211" i="1" s="1"/>
  <c r="K214" i="1"/>
  <c r="P214" i="1" s="1"/>
  <c r="K219" i="1"/>
  <c r="P219" i="1" s="1"/>
  <c r="K223" i="1"/>
  <c r="P223" i="1" s="1"/>
  <c r="K228" i="1"/>
  <c r="P228" i="1" s="1"/>
  <c r="K237" i="1"/>
  <c r="P237" i="1" s="1"/>
  <c r="K247" i="1"/>
  <c r="P247" i="1" s="1"/>
  <c r="K134" i="1"/>
  <c r="P134" i="1" s="1"/>
  <c r="K144" i="1"/>
  <c r="P144" i="1" s="1"/>
  <c r="K148" i="1"/>
  <c r="P148" i="1" s="1"/>
  <c r="K152" i="1"/>
  <c r="P152" i="1" s="1"/>
  <c r="K156" i="1"/>
  <c r="P156" i="1" s="1"/>
  <c r="K160" i="1"/>
  <c r="P160" i="1" s="1"/>
  <c r="K164" i="1"/>
  <c r="P164" i="1" s="1"/>
  <c r="K168" i="1"/>
  <c r="P168" i="1" s="1"/>
  <c r="K173" i="1"/>
  <c r="P173" i="1" s="1"/>
  <c r="K176" i="1"/>
  <c r="P176" i="1" s="1"/>
  <c r="K181" i="1"/>
  <c r="P181" i="1" s="1"/>
  <c r="K184" i="1"/>
  <c r="P184" i="1" s="1"/>
  <c r="K189" i="1"/>
  <c r="P189" i="1" s="1"/>
  <c r="K192" i="1"/>
  <c r="P192" i="1" s="1"/>
  <c r="K197" i="1"/>
  <c r="P197" i="1" s="1"/>
  <c r="K200" i="1"/>
  <c r="P200" i="1" s="1"/>
  <c r="K205" i="1"/>
  <c r="P205" i="1" s="1"/>
  <c r="K208" i="1"/>
  <c r="P208" i="1" s="1"/>
  <c r="K213" i="1"/>
  <c r="P213" i="1" s="1"/>
  <c r="K216" i="1"/>
  <c r="P216" i="1" s="1"/>
  <c r="K231" i="1"/>
  <c r="P231" i="1" s="1"/>
  <c r="K236" i="1"/>
  <c r="P236" i="1" s="1"/>
  <c r="K251" i="1"/>
  <c r="P251" i="1" s="1"/>
  <c r="L6" i="2"/>
  <c r="L14" i="2"/>
  <c r="L29" i="2"/>
  <c r="K130" i="1"/>
  <c r="P130" i="1" s="1"/>
  <c r="K143" i="1"/>
  <c r="P143" i="1" s="1"/>
  <c r="K147" i="1"/>
  <c r="P147" i="1" s="1"/>
  <c r="K151" i="1"/>
  <c r="P151" i="1" s="1"/>
  <c r="K155" i="1"/>
  <c r="P155" i="1" s="1"/>
  <c r="K159" i="1"/>
  <c r="P159" i="1" s="1"/>
  <c r="K163" i="1"/>
  <c r="P163" i="1" s="1"/>
  <c r="K167" i="1"/>
  <c r="P167" i="1" s="1"/>
  <c r="K170" i="1"/>
  <c r="P170" i="1" s="1"/>
  <c r="K175" i="1"/>
  <c r="P175" i="1" s="1"/>
  <c r="K178" i="1"/>
  <c r="P178" i="1" s="1"/>
  <c r="K183" i="1"/>
  <c r="P183" i="1" s="1"/>
  <c r="K186" i="1"/>
  <c r="P186" i="1" s="1"/>
  <c r="K191" i="1"/>
  <c r="P191" i="1" s="1"/>
  <c r="K194" i="1"/>
  <c r="P194" i="1" s="1"/>
  <c r="K199" i="1"/>
  <c r="P199" i="1" s="1"/>
  <c r="K202" i="1"/>
  <c r="P202" i="1" s="1"/>
  <c r="K207" i="1"/>
  <c r="P207" i="1" s="1"/>
  <c r="K210" i="1"/>
  <c r="P210" i="1" s="1"/>
  <c r="K215" i="1"/>
  <c r="P215" i="1" s="1"/>
  <c r="K221" i="1"/>
  <c r="P221" i="1" s="1"/>
  <c r="K225" i="1"/>
  <c r="P225" i="1" s="1"/>
  <c r="K239" i="1"/>
  <c r="P239" i="1" s="1"/>
  <c r="K255" i="1"/>
  <c r="P255" i="1" s="1"/>
  <c r="K263" i="1"/>
  <c r="P263" i="1" s="1"/>
  <c r="K267" i="1"/>
  <c r="P267" i="1" s="1"/>
  <c r="K272" i="1"/>
  <c r="P272" i="1" s="1"/>
  <c r="K275" i="1"/>
  <c r="P275" i="1" s="1"/>
  <c r="K280" i="1"/>
  <c r="P280" i="1" s="1"/>
  <c r="K283" i="1"/>
  <c r="P283" i="1" s="1"/>
  <c r="K288" i="1"/>
  <c r="P288" i="1" s="1"/>
  <c r="K291" i="1"/>
  <c r="P291" i="1" s="1"/>
  <c r="K296" i="1"/>
  <c r="P296" i="1" s="1"/>
  <c r="K299" i="1"/>
  <c r="P299" i="1" s="1"/>
  <c r="L11" i="2"/>
  <c r="L12" i="2"/>
  <c r="L17" i="2"/>
  <c r="L28" i="2"/>
  <c r="L33" i="2"/>
  <c r="L38" i="2"/>
  <c r="L54" i="2"/>
  <c r="L67" i="2"/>
  <c r="L75" i="2"/>
  <c r="L96" i="2"/>
  <c r="L97" i="2"/>
  <c r="L105" i="2"/>
  <c r="L126" i="2"/>
  <c r="L129" i="2"/>
  <c r="L193" i="2"/>
  <c r="L194" i="2"/>
  <c r="K230" i="1"/>
  <c r="P230" i="1" s="1"/>
  <c r="K238" i="1"/>
  <c r="P238" i="1" s="1"/>
  <c r="K242" i="1"/>
  <c r="P242" i="1" s="1"/>
  <c r="K246" i="1"/>
  <c r="P246" i="1" s="1"/>
  <c r="K250" i="1"/>
  <c r="P250" i="1" s="1"/>
  <c r="K254" i="1"/>
  <c r="P254" i="1" s="1"/>
  <c r="K258" i="1"/>
  <c r="P258" i="1" s="1"/>
  <c r="K262" i="1"/>
  <c r="P262" i="1" s="1"/>
  <c r="K266" i="1"/>
  <c r="P266" i="1" s="1"/>
  <c r="K269" i="1"/>
  <c r="P269" i="1" s="1"/>
  <c r="K274" i="1"/>
  <c r="P274" i="1" s="1"/>
  <c r="K277" i="1"/>
  <c r="P277" i="1" s="1"/>
  <c r="K282" i="1"/>
  <c r="P282" i="1" s="1"/>
  <c r="K285" i="1"/>
  <c r="P285" i="1" s="1"/>
  <c r="K290" i="1"/>
  <c r="P290" i="1" s="1"/>
  <c r="K293" i="1"/>
  <c r="P293" i="1" s="1"/>
  <c r="K298" i="1"/>
  <c r="P298" i="1" s="1"/>
  <c r="K301" i="1"/>
  <c r="P301" i="1" s="1"/>
  <c r="K7" i="2"/>
  <c r="L7" i="2" s="1"/>
  <c r="L8" i="2"/>
  <c r="L13" i="2"/>
  <c r="L24" i="2"/>
  <c r="L25" i="2"/>
  <c r="L30" i="2"/>
  <c r="L48" i="2"/>
  <c r="L49" i="2"/>
  <c r="L55" i="2"/>
  <c r="L70" i="2"/>
  <c r="L83" i="2"/>
  <c r="L91" i="2"/>
  <c r="L175" i="2"/>
  <c r="K232" i="1"/>
  <c r="P232" i="1" s="1"/>
  <c r="K240" i="1"/>
  <c r="P240" i="1" s="1"/>
  <c r="K241" i="1"/>
  <c r="P241" i="1" s="1"/>
  <c r="K245" i="1"/>
  <c r="P245" i="1" s="1"/>
  <c r="K249" i="1"/>
  <c r="P249" i="1" s="1"/>
  <c r="K253" i="1"/>
  <c r="P253" i="1" s="1"/>
  <c r="K257" i="1"/>
  <c r="P257" i="1" s="1"/>
  <c r="K261" i="1"/>
  <c r="P261" i="1" s="1"/>
  <c r="K265" i="1"/>
  <c r="P265" i="1" s="1"/>
  <c r="K268" i="1"/>
  <c r="P268" i="1" s="1"/>
  <c r="K271" i="1"/>
  <c r="P271" i="1" s="1"/>
  <c r="K276" i="1"/>
  <c r="P276" i="1" s="1"/>
  <c r="K279" i="1"/>
  <c r="P279" i="1" s="1"/>
  <c r="K284" i="1"/>
  <c r="P284" i="1" s="1"/>
  <c r="K287" i="1"/>
  <c r="P287" i="1" s="1"/>
  <c r="K292" i="1"/>
  <c r="P292" i="1" s="1"/>
  <c r="K295" i="1"/>
  <c r="P295" i="1" s="1"/>
  <c r="K300" i="1"/>
  <c r="P300" i="1" s="1"/>
  <c r="L3" i="2"/>
  <c r="L4" i="2"/>
  <c r="L9" i="2"/>
  <c r="L20" i="2"/>
  <c r="L21" i="2"/>
  <c r="L26" i="2"/>
  <c r="L40" i="2"/>
  <c r="L41" i="2"/>
  <c r="L45" i="2"/>
  <c r="L64" i="2"/>
  <c r="L65" i="2"/>
  <c r="L71" i="2"/>
  <c r="L86" i="2"/>
  <c r="L99" i="2"/>
  <c r="L107" i="2"/>
  <c r="L108" i="2"/>
  <c r="K226" i="1"/>
  <c r="P226" i="1" s="1"/>
  <c r="K234" i="1"/>
  <c r="P234" i="1" s="1"/>
  <c r="K244" i="1"/>
  <c r="P244" i="1" s="1"/>
  <c r="K248" i="1"/>
  <c r="P248" i="1" s="1"/>
  <c r="K252" i="1"/>
  <c r="P252" i="1" s="1"/>
  <c r="K256" i="1"/>
  <c r="P256" i="1" s="1"/>
  <c r="K260" i="1"/>
  <c r="P260" i="1" s="1"/>
  <c r="K264" i="1"/>
  <c r="P264" i="1" s="1"/>
  <c r="K270" i="1"/>
  <c r="P270" i="1" s="1"/>
  <c r="K273" i="1"/>
  <c r="P273" i="1" s="1"/>
  <c r="K278" i="1"/>
  <c r="P278" i="1" s="1"/>
  <c r="K281" i="1"/>
  <c r="P281" i="1" s="1"/>
  <c r="K286" i="1"/>
  <c r="P286" i="1" s="1"/>
  <c r="K289" i="1"/>
  <c r="P289" i="1" s="1"/>
  <c r="K294" i="1"/>
  <c r="P294" i="1" s="1"/>
  <c r="K297" i="1"/>
  <c r="P297" i="1" s="1"/>
  <c r="K302" i="1"/>
  <c r="P302" i="1" s="1"/>
  <c r="L5" i="2"/>
  <c r="K15" i="2"/>
  <c r="L15" i="2" s="1"/>
  <c r="L16" i="2"/>
  <c r="L22" i="2"/>
  <c r="L31" i="2"/>
  <c r="K32" i="2"/>
  <c r="L32" i="2" s="1"/>
  <c r="L37" i="2"/>
  <c r="L46" i="2"/>
  <c r="L51" i="2"/>
  <c r="L59" i="2"/>
  <c r="L80" i="2"/>
  <c r="L81" i="2"/>
  <c r="L87" i="2"/>
  <c r="L102" i="2"/>
  <c r="L103" i="2"/>
  <c r="K19" i="2"/>
  <c r="L19" i="2" s="1"/>
  <c r="K35" i="2"/>
  <c r="L35" i="2" s="1"/>
  <c r="K43" i="2"/>
  <c r="L43" i="2" s="1"/>
  <c r="L50" i="2"/>
  <c r="K60" i="2"/>
  <c r="L60" i="2" s="1"/>
  <c r="L61" i="2"/>
  <c r="L66" i="2"/>
  <c r="K76" i="2"/>
  <c r="L76" i="2" s="1"/>
  <c r="L77" i="2"/>
  <c r="L82" i="2"/>
  <c r="K92" i="2"/>
  <c r="L92" i="2" s="1"/>
  <c r="L93" i="2"/>
  <c r="L98" i="2"/>
  <c r="L104" i="2"/>
  <c r="L109" i="2"/>
  <c r="L118" i="2"/>
  <c r="L121" i="2"/>
  <c r="L145" i="2"/>
  <c r="L146" i="2"/>
  <c r="L191" i="2"/>
  <c r="K23" i="2"/>
  <c r="L23" i="2" s="1"/>
  <c r="K36" i="2"/>
  <c r="L36" i="2" s="1"/>
  <c r="K44" i="2"/>
  <c r="L44" i="2" s="1"/>
  <c r="K56" i="2"/>
  <c r="L56" i="2" s="1"/>
  <c r="L57" i="2"/>
  <c r="L62" i="2"/>
  <c r="K72" i="2"/>
  <c r="L72" i="2" s="1"/>
  <c r="L73" i="2"/>
  <c r="L78" i="2"/>
  <c r="K88" i="2"/>
  <c r="L88" i="2" s="1"/>
  <c r="L89" i="2"/>
  <c r="L94" i="2"/>
  <c r="L111" i="2"/>
  <c r="L115" i="2"/>
  <c r="L143" i="2"/>
  <c r="L161" i="2"/>
  <c r="L162" i="2"/>
  <c r="K27" i="2"/>
  <c r="L27" i="2" s="1"/>
  <c r="K39" i="2"/>
  <c r="L39" i="2" s="1"/>
  <c r="K47" i="2"/>
  <c r="L47" i="2" s="1"/>
  <c r="K52" i="2"/>
  <c r="L52" i="2" s="1"/>
  <c r="L53" i="2"/>
  <c r="L58" i="2"/>
  <c r="K68" i="2"/>
  <c r="L68" i="2" s="1"/>
  <c r="L69" i="2"/>
  <c r="L74" i="2"/>
  <c r="K84" i="2"/>
  <c r="L84" i="2" s="1"/>
  <c r="L85" i="2"/>
  <c r="L90" i="2"/>
  <c r="K100" i="2"/>
  <c r="L100" i="2" s="1"/>
  <c r="L101" i="2"/>
  <c r="L112" i="2"/>
  <c r="L116" i="2"/>
  <c r="L117" i="2"/>
  <c r="L134" i="2"/>
  <c r="L137" i="2"/>
  <c r="L159" i="2"/>
  <c r="L177" i="2"/>
  <c r="L178" i="2"/>
  <c r="K106" i="2"/>
  <c r="L106" i="2" s="1"/>
  <c r="K114" i="2"/>
  <c r="L114" i="2" s="1"/>
  <c r="L119" i="2"/>
  <c r="L127" i="2"/>
  <c r="L135" i="2"/>
  <c r="L147" i="2"/>
  <c r="K149" i="2"/>
  <c r="L149" i="2" s="1"/>
  <c r="L150" i="2"/>
  <c r="L163" i="2"/>
  <c r="K165" i="2"/>
  <c r="L165" i="2" s="1"/>
  <c r="L166" i="2"/>
  <c r="L179" i="2"/>
  <c r="K181" i="2"/>
  <c r="L181" i="2" s="1"/>
  <c r="L182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K110" i="2"/>
  <c r="L110" i="2" s="1"/>
  <c r="L122" i="2"/>
  <c r="L125" i="2"/>
  <c r="L130" i="2"/>
  <c r="L133" i="2"/>
  <c r="L138" i="2"/>
  <c r="L151" i="2"/>
  <c r="K153" i="2"/>
  <c r="L153" i="2" s="1"/>
  <c r="L154" i="2"/>
  <c r="L167" i="2"/>
  <c r="K169" i="2"/>
  <c r="L169" i="2" s="1"/>
  <c r="L170" i="2"/>
  <c r="L183" i="2"/>
  <c r="K185" i="2"/>
  <c r="L185" i="2" s="1"/>
  <c r="L186" i="2"/>
  <c r="L123" i="2"/>
  <c r="L131" i="2"/>
  <c r="L139" i="2"/>
  <c r="K141" i="2"/>
  <c r="L141" i="2" s="1"/>
  <c r="L142" i="2"/>
  <c r="L155" i="2"/>
  <c r="K157" i="2"/>
  <c r="L157" i="2" s="1"/>
  <c r="L158" i="2"/>
  <c r="L171" i="2"/>
  <c r="K173" i="2"/>
  <c r="L173" i="2" s="1"/>
  <c r="L174" i="2"/>
  <c r="L187" i="2"/>
  <c r="K189" i="2"/>
  <c r="L189" i="2" s="1"/>
  <c r="L190" i="2"/>
  <c r="L192" i="2" l="1"/>
  <c r="L176" i="2"/>
  <c r="L160" i="2"/>
  <c r="L144" i="2"/>
  <c r="L188" i="2"/>
  <c r="L172" i="2"/>
  <c r="L156" i="2"/>
  <c r="L140" i="2"/>
  <c r="L132" i="2"/>
  <c r="L124" i="2"/>
  <c r="L184" i="2"/>
  <c r="L168" i="2"/>
  <c r="L152" i="2"/>
  <c r="L180" i="2"/>
  <c r="L136" i="2"/>
  <c r="L164" i="2"/>
  <c r="L148" i="2"/>
  <c r="L120" i="2"/>
  <c r="L113" i="2"/>
  <c r="L79" i="2"/>
  <c r="L63" i="2"/>
  <c r="L2" i="2"/>
  <c r="L42" i="2"/>
  <c r="L128" i="2"/>
  <c r="L95" i="2"/>
  <c r="L10" i="2"/>
</calcChain>
</file>

<file path=xl/sharedStrings.xml><?xml version="1.0" encoding="utf-8"?>
<sst xmlns="http://schemas.openxmlformats.org/spreadsheetml/2006/main" count="40" uniqueCount="33">
  <si>
    <t>Overpotential Calculation</t>
  </si>
  <si>
    <t>T</t>
  </si>
  <si>
    <t>Log()</t>
  </si>
  <si>
    <t>P_H2</t>
  </si>
  <si>
    <t>P_O2</t>
  </si>
  <si>
    <t>Raw</t>
  </si>
  <si>
    <t>mA/cm2</t>
  </si>
  <si>
    <t>mW/cm2</t>
  </si>
  <si>
    <t>Total Opot</t>
  </si>
  <si>
    <t>Erev</t>
  </si>
  <si>
    <t>EIS</t>
  </si>
  <si>
    <t>I</t>
  </si>
  <si>
    <t>V</t>
  </si>
  <si>
    <t>P</t>
  </si>
  <si>
    <t>IR</t>
  </si>
  <si>
    <t>Ln(i)</t>
  </si>
  <si>
    <t>Kin Opot</t>
  </si>
  <si>
    <t>Ohmic</t>
  </si>
  <si>
    <t>proton</t>
  </si>
  <si>
    <t>Mass</t>
  </si>
  <si>
    <t>x</t>
  </si>
  <si>
    <t>y</t>
  </si>
  <si>
    <t>X</t>
  </si>
  <si>
    <t>Y</t>
  </si>
  <si>
    <t>intercept</t>
  </si>
  <si>
    <t>Intercept</t>
  </si>
  <si>
    <t>slope</t>
  </si>
  <si>
    <t>Slope</t>
  </si>
  <si>
    <t>y=0</t>
  </si>
  <si>
    <t>x=</t>
  </si>
  <si>
    <t>y intercept EIS</t>
  </si>
  <si>
    <t>R=</t>
  </si>
  <si>
    <t>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</si>
</sst>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3"/>
  <sheetViews>
    <sheetView tabSelected="1" topLeftCell="D269" zoomScale="85" zoomScaleNormal="85" workbookViewId="0">
      <selection activeCell="J274" sqref="J274"/>
    </sheetView>
  </sheetViews>
  <sheetFormatPr defaultRowHeight="16.5" x14ac:dyDescent="0.3"/>
  <cols>
    <col min="10" max="10" width="12.25" style="1" customWidth="1"/>
    <col min="11" max="11" width="13.625" style="1" bestFit="1" customWidth="1"/>
    <col min="28" max="28" width="14" style="1" bestFit="1" customWidth="1"/>
  </cols>
  <sheetData>
    <row r="1" spans="1:29" x14ac:dyDescent="0.3">
      <c r="A1" s="2" t="s">
        <v>0</v>
      </c>
      <c r="R1" s="3" t="s">
        <v>1</v>
      </c>
      <c r="S1" s="3" t="s">
        <v>2</v>
      </c>
      <c r="T1" s="3" t="s">
        <v>3</v>
      </c>
      <c r="U1" s="3" t="s">
        <v>4</v>
      </c>
    </row>
    <row r="2" spans="1:29" x14ac:dyDescent="0.3">
      <c r="A2" t="s">
        <v>5</v>
      </c>
      <c r="F2" t="s">
        <v>6</v>
      </c>
      <c r="H2" t="s">
        <v>7</v>
      </c>
      <c r="J2" s="2" t="s">
        <v>8</v>
      </c>
      <c r="M2" t="s">
        <v>9</v>
      </c>
      <c r="N2" s="2">
        <f>1.23-0.0009*(R2-298)+(2.303*8.314*R2/(4*96485))*LOG(S2)</f>
        <v>1.2217251517752175</v>
      </c>
      <c r="R2" s="4">
        <v>353</v>
      </c>
      <c r="S2" s="4">
        <f>(((T2/101.3)^2)*((U2/101.3)))^2</f>
        <v>225.93493049352588</v>
      </c>
      <c r="T2" s="4">
        <v>250</v>
      </c>
      <c r="U2" s="4">
        <v>250</v>
      </c>
      <c r="Y2" t="s">
        <v>10</v>
      </c>
    </row>
    <row r="3" spans="1:29" x14ac:dyDescent="0.3">
      <c r="A3" t="s">
        <v>11</v>
      </c>
      <c r="B3" t="s">
        <v>12</v>
      </c>
      <c r="C3" t="s">
        <v>13</v>
      </c>
      <c r="D3" t="s">
        <v>14</v>
      </c>
      <c r="F3" t="s">
        <v>11</v>
      </c>
      <c r="G3" t="s">
        <v>12</v>
      </c>
      <c r="H3" t="s">
        <v>13</v>
      </c>
      <c r="J3" t="s">
        <v>15</v>
      </c>
      <c r="K3" t="s">
        <v>8</v>
      </c>
      <c r="M3" t="s">
        <v>16</v>
      </c>
      <c r="N3" t="s">
        <v>17</v>
      </c>
      <c r="O3" t="s">
        <v>18</v>
      </c>
      <c r="P3" t="s">
        <v>19</v>
      </c>
      <c r="V3" t="s">
        <v>20</v>
      </c>
      <c r="W3" t="s">
        <v>21</v>
      </c>
      <c r="Y3" t="s">
        <v>22</v>
      </c>
      <c r="Z3" t="s">
        <v>23</v>
      </c>
      <c r="AB3">
        <v>-0.33889000000000002</v>
      </c>
      <c r="AC3" t="s">
        <v>24</v>
      </c>
    </row>
    <row r="4" spans="1:29" x14ac:dyDescent="0.3">
      <c r="A4" s="1">
        <v>4.5765964999999999E-2</v>
      </c>
      <c r="B4" s="1">
        <v>0.92645144000000001</v>
      </c>
      <c r="C4">
        <f t="shared" ref="C4:C67" si="0">A4*B4</f>
        <v>4.23999441772396E-2</v>
      </c>
      <c r="D4">
        <v>1.5900000000000001E-2</v>
      </c>
      <c r="E4">
        <v>2.9099999999999998E-3</v>
      </c>
      <c r="F4">
        <f t="shared" ref="F4:F67" si="1">A4*200</f>
        <v>9.1531929999999999</v>
      </c>
      <c r="G4">
        <f t="shared" ref="G4:G67" si="2">-B4</f>
        <v>-0.92645144000000001</v>
      </c>
      <c r="H4">
        <f t="shared" ref="H4:H67" si="3">-C4*200</f>
        <v>-8.4799888354479194</v>
      </c>
      <c r="I4">
        <v>1</v>
      </c>
      <c r="J4">
        <f t="shared" ref="J4:J67" si="4">LN(F4/1000)</f>
        <v>-4.6936524988190627</v>
      </c>
      <c r="K4">
        <f t="shared" ref="K4:K67" si="5">((-G4)-$N$2)</f>
        <v>-0.29527371177521744</v>
      </c>
      <c r="L4">
        <v>1</v>
      </c>
      <c r="M4">
        <f t="shared" ref="M4:M67" si="6">-1*($S$4+($S$5*J4))</f>
        <v>0.30217127776844749</v>
      </c>
      <c r="N4">
        <f t="shared" ref="N4:N67" si="7">D4*A4</f>
        <v>7.2767884350000004E-4</v>
      </c>
      <c r="O4">
        <f t="shared" ref="O4:O67" si="8">E4*A4</f>
        <v>1.3317895814999998E-4</v>
      </c>
      <c r="P4">
        <f t="shared" ref="P4:P67" si="9">-K4-M4-N4-O4</f>
        <v>-7.7584237948800476E-3</v>
      </c>
      <c r="R4" s="2" t="s">
        <v>25</v>
      </c>
      <c r="S4">
        <v>-0.67357999999999996</v>
      </c>
      <c r="V4">
        <v>-6</v>
      </c>
      <c r="W4">
        <f t="shared" ref="W4:W35" si="10">V4*$S$5+$S$4</f>
        <v>-0.19879999999999992</v>
      </c>
      <c r="Y4">
        <v>0</v>
      </c>
      <c r="Z4">
        <f t="shared" ref="Z4:Z31" si="11">$AB$4*Y4+$AB$3</f>
        <v>-0.33889000000000002</v>
      </c>
      <c r="AB4">
        <v>8.4570399999999992</v>
      </c>
      <c r="AC4" t="s">
        <v>26</v>
      </c>
    </row>
    <row r="5" spans="1:29" x14ac:dyDescent="0.3">
      <c r="A5" s="1">
        <v>9.6684295999999989E-2</v>
      </c>
      <c r="B5" s="1">
        <v>0.86035192000000005</v>
      </c>
      <c r="C5">
        <f t="shared" si="0"/>
        <v>8.3182519697448318E-2</v>
      </c>
      <c r="D5">
        <v>1.5900000000000001E-2</v>
      </c>
      <c r="E5">
        <v>2.9099999999999998E-3</v>
      </c>
      <c r="F5">
        <f t="shared" si="1"/>
        <v>19.336859199999999</v>
      </c>
      <c r="G5">
        <f t="shared" si="2"/>
        <v>-0.86035192000000005</v>
      </c>
      <c r="H5">
        <f t="shared" si="3"/>
        <v>-16.636503939489664</v>
      </c>
      <c r="I5">
        <v>1</v>
      </c>
      <c r="J5">
        <f t="shared" si="4"/>
        <v>-3.9457422013178611</v>
      </c>
      <c r="K5">
        <f t="shared" si="5"/>
        <v>-0.36137323177521741</v>
      </c>
      <c r="L5">
        <v>1</v>
      </c>
      <c r="M5">
        <f t="shared" si="6"/>
        <v>0.36135341960971756</v>
      </c>
      <c r="N5">
        <f t="shared" si="7"/>
        <v>1.5372803064E-3</v>
      </c>
      <c r="O5">
        <f t="shared" si="8"/>
        <v>2.8135130135999994E-4</v>
      </c>
      <c r="P5">
        <f t="shared" si="9"/>
        <v>-1.7988194422601559E-3</v>
      </c>
      <c r="R5" s="2" t="s">
        <v>27</v>
      </c>
      <c r="S5">
        <v>-7.9130000000000006E-2</v>
      </c>
      <c r="V5">
        <v>-5.9</v>
      </c>
      <c r="W5">
        <f t="shared" si="10"/>
        <v>-0.20671299999999987</v>
      </c>
      <c r="Y5">
        <v>0.01</v>
      </c>
      <c r="Z5">
        <f t="shared" si="11"/>
        <v>-0.25431960000000003</v>
      </c>
    </row>
    <row r="6" spans="1:29" x14ac:dyDescent="0.3">
      <c r="A6" s="1">
        <v>0.14913019</v>
      </c>
      <c r="B6" s="1">
        <v>0.81779396999999998</v>
      </c>
      <c r="C6">
        <f t="shared" si="0"/>
        <v>0.12195777012695429</v>
      </c>
      <c r="D6">
        <v>1.5900000000000001E-2</v>
      </c>
      <c r="E6">
        <v>2.9099999999999998E-3</v>
      </c>
      <c r="F6">
        <f t="shared" si="1"/>
        <v>29.826038</v>
      </c>
      <c r="G6">
        <f t="shared" si="2"/>
        <v>-0.81779396999999998</v>
      </c>
      <c r="H6">
        <f t="shared" si="3"/>
        <v>-24.391554025390857</v>
      </c>
      <c r="I6">
        <v>1</v>
      </c>
      <c r="J6">
        <f t="shared" si="4"/>
        <v>-3.5123735085861654</v>
      </c>
      <c r="K6">
        <f t="shared" si="5"/>
        <v>-0.40393118177521747</v>
      </c>
      <c r="L6">
        <v>1</v>
      </c>
      <c r="M6">
        <f t="shared" si="6"/>
        <v>0.39564588426557667</v>
      </c>
      <c r="N6">
        <f t="shared" si="7"/>
        <v>2.3711700210000001E-3</v>
      </c>
      <c r="O6">
        <f t="shared" si="8"/>
        <v>4.3396885289999994E-4</v>
      </c>
      <c r="P6">
        <f t="shared" si="9"/>
        <v>5.4801586357407991E-3</v>
      </c>
      <c r="V6">
        <v>-5.8</v>
      </c>
      <c r="W6">
        <f t="shared" si="10"/>
        <v>-0.21462599999999993</v>
      </c>
      <c r="Y6">
        <v>0.02</v>
      </c>
      <c r="Z6">
        <f t="shared" si="11"/>
        <v>-0.16974920000000004</v>
      </c>
      <c r="AB6" t="s">
        <v>28</v>
      </c>
    </row>
    <row r="7" spans="1:29" x14ac:dyDescent="0.3">
      <c r="A7" s="1">
        <v>0.19953931999999999</v>
      </c>
      <c r="B7" s="1">
        <v>0.79898751000000001</v>
      </c>
      <c r="C7">
        <f t="shared" si="0"/>
        <v>0.15942942443389319</v>
      </c>
      <c r="D7">
        <v>1.5900000000000001E-2</v>
      </c>
      <c r="E7">
        <v>2.9099999999999998E-3</v>
      </c>
      <c r="F7">
        <f t="shared" si="1"/>
        <v>39.907863999999996</v>
      </c>
      <c r="G7">
        <f t="shared" si="2"/>
        <v>-0.79898751000000001</v>
      </c>
      <c r="H7">
        <f t="shared" si="3"/>
        <v>-31.885884886778637</v>
      </c>
      <c r="I7">
        <v>1</v>
      </c>
      <c r="J7">
        <f t="shared" si="4"/>
        <v>-3.2211818817747107</v>
      </c>
      <c r="K7">
        <f t="shared" si="5"/>
        <v>-0.42273764177521744</v>
      </c>
      <c r="L7">
        <v>1</v>
      </c>
      <c r="M7">
        <f t="shared" si="6"/>
        <v>0.41868787769516708</v>
      </c>
      <c r="N7">
        <f t="shared" si="7"/>
        <v>3.1726751879999999E-3</v>
      </c>
      <c r="O7">
        <f t="shared" si="8"/>
        <v>5.8065942119999998E-4</v>
      </c>
      <c r="P7">
        <f t="shared" si="9"/>
        <v>2.9642947085036658E-4</v>
      </c>
      <c r="V7">
        <v>-5.7</v>
      </c>
      <c r="W7">
        <f t="shared" si="10"/>
        <v>-0.22253899999999993</v>
      </c>
      <c r="Y7">
        <v>0.03</v>
      </c>
      <c r="Z7">
        <f t="shared" si="11"/>
        <v>-8.5178800000000054E-2</v>
      </c>
      <c r="AB7" t="s">
        <v>29</v>
      </c>
      <c r="AC7">
        <f>-AB3/AB4</f>
        <v>4.0071940064135919E-2</v>
      </c>
    </row>
    <row r="8" spans="1:29" x14ac:dyDescent="0.3">
      <c r="A8" s="1">
        <v>0.25045763999999998</v>
      </c>
      <c r="B8" s="1">
        <v>0.78302585999999996</v>
      </c>
      <c r="C8">
        <f t="shared" si="0"/>
        <v>0.19611480895457037</v>
      </c>
      <c r="D8">
        <v>1.5900000000000001E-2</v>
      </c>
      <c r="E8">
        <v>2.9099999999999998E-3</v>
      </c>
      <c r="F8">
        <f t="shared" si="1"/>
        <v>50.091527999999997</v>
      </c>
      <c r="G8">
        <f t="shared" si="2"/>
        <v>-0.78302585999999996</v>
      </c>
      <c r="H8">
        <f t="shared" si="3"/>
        <v>-39.222961790914077</v>
      </c>
      <c r="I8">
        <v>1</v>
      </c>
      <c r="J8">
        <f t="shared" si="4"/>
        <v>-2.9939033869870459</v>
      </c>
      <c r="K8">
        <f t="shared" si="5"/>
        <v>-0.43869929177521749</v>
      </c>
      <c r="L8">
        <v>1</v>
      </c>
      <c r="M8">
        <f t="shared" si="6"/>
        <v>0.43667242498771497</v>
      </c>
      <c r="N8">
        <f t="shared" si="7"/>
        <v>3.9822764759999997E-3</v>
      </c>
      <c r="O8">
        <f t="shared" si="8"/>
        <v>7.288317323999999E-4</v>
      </c>
      <c r="P8">
        <f t="shared" si="9"/>
        <v>-2.6842414208974761E-3</v>
      </c>
      <c r="V8">
        <v>-5.6</v>
      </c>
      <c r="W8">
        <f t="shared" si="10"/>
        <v>-0.23045199999999993</v>
      </c>
      <c r="Y8">
        <v>0.04</v>
      </c>
      <c r="Z8">
        <f t="shared" si="11"/>
        <v>-6.0840000000006444E-4</v>
      </c>
    </row>
    <row r="9" spans="1:29" x14ac:dyDescent="0.3">
      <c r="A9" s="1">
        <v>0.30086681999999998</v>
      </c>
      <c r="B9" s="1">
        <v>0.77021455999999999</v>
      </c>
      <c r="C9">
        <f t="shared" si="0"/>
        <v>0.23173200538489919</v>
      </c>
      <c r="D9">
        <v>1.5900000000000001E-2</v>
      </c>
      <c r="E9">
        <v>2.9099999999999998E-3</v>
      </c>
      <c r="F9">
        <f t="shared" si="1"/>
        <v>60.173363999999992</v>
      </c>
      <c r="G9">
        <f t="shared" si="2"/>
        <v>-0.77021455999999999</v>
      </c>
      <c r="H9">
        <f t="shared" si="3"/>
        <v>-46.346401076979838</v>
      </c>
      <c r="I9">
        <v>1</v>
      </c>
      <c r="J9">
        <f t="shared" si="4"/>
        <v>-2.8105254830527553</v>
      </c>
      <c r="K9">
        <f t="shared" si="5"/>
        <v>-0.45151059177521746</v>
      </c>
      <c r="L9">
        <v>1</v>
      </c>
      <c r="M9">
        <f t="shared" si="6"/>
        <v>0.45118311852603543</v>
      </c>
      <c r="N9">
        <f t="shared" si="7"/>
        <v>4.7837824380000003E-3</v>
      </c>
      <c r="O9">
        <f t="shared" si="8"/>
        <v>8.7552244619999991E-4</v>
      </c>
      <c r="P9">
        <f t="shared" si="9"/>
        <v>-5.3318316350179692E-3</v>
      </c>
      <c r="V9">
        <v>-5.5</v>
      </c>
      <c r="W9">
        <f t="shared" si="10"/>
        <v>-0.23836499999999994</v>
      </c>
      <c r="Y9">
        <v>0.05</v>
      </c>
      <c r="Z9">
        <f t="shared" si="11"/>
        <v>8.3961999999999981E-2</v>
      </c>
      <c r="AB9" t="s">
        <v>30</v>
      </c>
      <c r="AC9">
        <v>3.8800000000000001E-2</v>
      </c>
    </row>
    <row r="10" spans="1:29" x14ac:dyDescent="0.3">
      <c r="A10" s="1">
        <v>0.35382186999999998</v>
      </c>
      <c r="B10" s="1">
        <v>0.75919795000000001</v>
      </c>
      <c r="C10">
        <f t="shared" si="0"/>
        <v>0.2686208383691665</v>
      </c>
      <c r="D10">
        <v>1.5900000000000001E-2</v>
      </c>
      <c r="E10">
        <v>2.9099999999999998E-3</v>
      </c>
      <c r="F10">
        <f t="shared" si="1"/>
        <v>70.764374000000004</v>
      </c>
      <c r="G10">
        <f t="shared" si="2"/>
        <v>-0.75919795000000001</v>
      </c>
      <c r="H10">
        <f t="shared" si="3"/>
        <v>-53.7241676738333</v>
      </c>
      <c r="I10">
        <v>1</v>
      </c>
      <c r="J10">
        <f t="shared" si="4"/>
        <v>-2.6483995970164842</v>
      </c>
      <c r="K10">
        <f t="shared" si="5"/>
        <v>-0.46252720177521744</v>
      </c>
      <c r="L10">
        <v>1</v>
      </c>
      <c r="M10">
        <f t="shared" si="6"/>
        <v>0.46401213988808554</v>
      </c>
      <c r="N10">
        <f t="shared" si="7"/>
        <v>5.6257677330000004E-3</v>
      </c>
      <c r="O10">
        <f t="shared" si="8"/>
        <v>1.0296216416999999E-3</v>
      </c>
      <c r="P10">
        <f t="shared" si="9"/>
        <v>-8.1403274875680946E-3</v>
      </c>
      <c r="V10">
        <v>-5.4</v>
      </c>
      <c r="W10">
        <f t="shared" si="10"/>
        <v>-0.24627799999999989</v>
      </c>
      <c r="Y10">
        <v>0.06</v>
      </c>
      <c r="Z10">
        <f t="shared" si="11"/>
        <v>0.16853239999999992</v>
      </c>
    </row>
    <row r="11" spans="1:29" x14ac:dyDescent="0.3">
      <c r="A11" s="1">
        <v>0.40474017000000001</v>
      </c>
      <c r="B11" s="1">
        <v>0.74877327999999999</v>
      </c>
      <c r="C11">
        <f t="shared" si="0"/>
        <v>0.30305862463865763</v>
      </c>
      <c r="D11">
        <v>1.5900000000000001E-2</v>
      </c>
      <c r="E11">
        <v>2.9099999999999998E-3</v>
      </c>
      <c r="F11">
        <f t="shared" si="1"/>
        <v>80.948034000000007</v>
      </c>
      <c r="G11">
        <f t="shared" si="2"/>
        <v>-0.74877327999999999</v>
      </c>
      <c r="H11">
        <f t="shared" si="3"/>
        <v>-60.611724927731522</v>
      </c>
      <c r="I11">
        <v>1</v>
      </c>
      <c r="J11">
        <f t="shared" si="4"/>
        <v>-2.5139478857500817</v>
      </c>
      <c r="K11">
        <f t="shared" si="5"/>
        <v>-0.47295187177521747</v>
      </c>
      <c r="L11">
        <v>1</v>
      </c>
      <c r="M11">
        <f t="shared" si="6"/>
        <v>0.47465130380059595</v>
      </c>
      <c r="N11">
        <f t="shared" si="7"/>
        <v>6.4353687030000006E-3</v>
      </c>
      <c r="O11">
        <f t="shared" si="8"/>
        <v>1.1777938947E-3</v>
      </c>
      <c r="P11">
        <f t="shared" si="9"/>
        <v>-9.3125946230784781E-3</v>
      </c>
      <c r="V11">
        <v>-5.3</v>
      </c>
      <c r="W11">
        <f t="shared" si="10"/>
        <v>-0.25419099999999994</v>
      </c>
      <c r="Y11">
        <v>7.0000000000000007E-2</v>
      </c>
      <c r="Z11">
        <f t="shared" si="11"/>
        <v>0.25310279999999996</v>
      </c>
      <c r="AB11" t="s">
        <v>31</v>
      </c>
      <c r="AC11">
        <f>AC7-AC9</f>
        <v>1.271940064135918E-3</v>
      </c>
    </row>
    <row r="12" spans="1:29" x14ac:dyDescent="0.3">
      <c r="A12" s="1">
        <v>0.45514932000000002</v>
      </c>
      <c r="B12" s="1">
        <v>0.73878770999999999</v>
      </c>
      <c r="C12">
        <f t="shared" si="0"/>
        <v>0.3362587238308572</v>
      </c>
      <c r="D12">
        <v>1.5900000000000001E-2</v>
      </c>
      <c r="E12">
        <v>2.9099999999999998E-3</v>
      </c>
      <c r="F12">
        <f t="shared" si="1"/>
        <v>91.029864000000003</v>
      </c>
      <c r="G12">
        <f t="shared" si="2"/>
        <v>-0.73878770999999999</v>
      </c>
      <c r="H12">
        <f t="shared" si="3"/>
        <v>-67.251744766171441</v>
      </c>
      <c r="I12">
        <v>1</v>
      </c>
      <c r="J12">
        <f t="shared" si="4"/>
        <v>-2.3965676504790183</v>
      </c>
      <c r="K12">
        <f t="shared" si="5"/>
        <v>-0.48293744177521747</v>
      </c>
      <c r="L12">
        <v>1</v>
      </c>
      <c r="M12">
        <f t="shared" si="6"/>
        <v>0.48393960181759521</v>
      </c>
      <c r="N12">
        <f t="shared" si="7"/>
        <v>7.2368741880000009E-3</v>
      </c>
      <c r="O12">
        <f t="shared" si="8"/>
        <v>1.3244845211999999E-3</v>
      </c>
      <c r="P12">
        <f t="shared" si="9"/>
        <v>-9.5635187515777445E-3</v>
      </c>
      <c r="V12">
        <v>-5.2</v>
      </c>
      <c r="W12">
        <f t="shared" si="10"/>
        <v>-0.26210399999999989</v>
      </c>
      <c r="Y12">
        <v>0.08</v>
      </c>
      <c r="Z12">
        <f t="shared" si="11"/>
        <v>0.3376731999999999</v>
      </c>
      <c r="AC12">
        <f>AC11*3</f>
        <v>3.8158201924077539E-3</v>
      </c>
    </row>
    <row r="13" spans="1:29" x14ac:dyDescent="0.3">
      <c r="A13" s="1">
        <v>0.50555850000000002</v>
      </c>
      <c r="B13" s="1">
        <v>0.73025315999999996</v>
      </c>
      <c r="C13">
        <f t="shared" si="0"/>
        <v>0.36918569218985997</v>
      </c>
      <c r="D13">
        <v>1.5900000000000001E-2</v>
      </c>
      <c r="E13">
        <v>2.9099999999999998E-3</v>
      </c>
      <c r="F13">
        <f t="shared" si="1"/>
        <v>101.1117</v>
      </c>
      <c r="G13">
        <f t="shared" si="2"/>
        <v>-0.73025315999999996</v>
      </c>
      <c r="H13">
        <f t="shared" si="3"/>
        <v>-73.837138437971987</v>
      </c>
      <c r="I13">
        <v>1</v>
      </c>
      <c r="J13">
        <f t="shared" si="4"/>
        <v>-2.2915294326485971</v>
      </c>
      <c r="K13">
        <f t="shared" si="5"/>
        <v>-0.4914719917752175</v>
      </c>
      <c r="L13">
        <v>1</v>
      </c>
      <c r="M13">
        <f t="shared" si="6"/>
        <v>0.49225127599451646</v>
      </c>
      <c r="N13">
        <f t="shared" si="7"/>
        <v>8.0383801500000015E-3</v>
      </c>
      <c r="O13">
        <f t="shared" si="8"/>
        <v>1.4711752350000001E-3</v>
      </c>
      <c r="P13">
        <f t="shared" si="9"/>
        <v>-1.0288839604298961E-2</v>
      </c>
      <c r="V13">
        <v>-5.0999999999999996</v>
      </c>
      <c r="W13">
        <f t="shared" si="10"/>
        <v>-0.27001699999999995</v>
      </c>
      <c r="Y13">
        <v>0.09</v>
      </c>
      <c r="Z13">
        <f t="shared" si="11"/>
        <v>0.42224359999999983</v>
      </c>
    </row>
    <row r="14" spans="1:29" x14ac:dyDescent="0.3">
      <c r="A14" s="1">
        <v>0.55647681000000004</v>
      </c>
      <c r="B14" s="1">
        <v>0.72168045999999997</v>
      </c>
      <c r="C14">
        <f t="shared" si="0"/>
        <v>0.40159844022013264</v>
      </c>
      <c r="D14">
        <v>1.5900000000000001E-2</v>
      </c>
      <c r="E14">
        <v>2.9099999999999998E-3</v>
      </c>
      <c r="F14">
        <f t="shared" si="1"/>
        <v>111.29536200000001</v>
      </c>
      <c r="G14">
        <f t="shared" si="2"/>
        <v>-0.72168045999999997</v>
      </c>
      <c r="H14">
        <f t="shared" si="3"/>
        <v>-80.31968804402652</v>
      </c>
      <c r="I14">
        <v>1</v>
      </c>
      <c r="J14">
        <f t="shared" si="4"/>
        <v>-2.1955676927279342</v>
      </c>
      <c r="K14">
        <f t="shared" si="5"/>
        <v>-0.50004469177521749</v>
      </c>
      <c r="L14">
        <v>1</v>
      </c>
      <c r="M14">
        <f t="shared" si="6"/>
        <v>0.4998447284744385</v>
      </c>
      <c r="N14">
        <f t="shared" si="7"/>
        <v>8.8479812790000015E-3</v>
      </c>
      <c r="O14">
        <f t="shared" si="8"/>
        <v>1.6193475171000001E-3</v>
      </c>
      <c r="P14">
        <f t="shared" si="9"/>
        <v>-1.0267365495321019E-2</v>
      </c>
      <c r="V14">
        <v>-5</v>
      </c>
      <c r="W14">
        <f t="shared" si="10"/>
        <v>-0.2779299999999999</v>
      </c>
      <c r="Y14">
        <v>0.1</v>
      </c>
      <c r="Z14">
        <f t="shared" si="11"/>
        <v>0.50681399999999999</v>
      </c>
    </row>
    <row r="15" spans="1:29" x14ac:dyDescent="0.3">
      <c r="A15" s="1">
        <v>0.60688598999999999</v>
      </c>
      <c r="B15" s="1">
        <v>0.71444428000000004</v>
      </c>
      <c r="C15">
        <f t="shared" si="0"/>
        <v>0.4335862241676372</v>
      </c>
      <c r="D15">
        <v>1.5900000000000001E-2</v>
      </c>
      <c r="E15">
        <v>2.9099999999999998E-3</v>
      </c>
      <c r="F15">
        <f t="shared" si="1"/>
        <v>121.37719799999999</v>
      </c>
      <c r="G15">
        <f t="shared" si="2"/>
        <v>-0.71444428000000004</v>
      </c>
      <c r="H15">
        <f t="shared" si="3"/>
        <v>-86.717244833527445</v>
      </c>
      <c r="I15">
        <v>1</v>
      </c>
      <c r="J15">
        <f t="shared" si="4"/>
        <v>-2.1088522433688088</v>
      </c>
      <c r="K15">
        <f t="shared" si="5"/>
        <v>-0.50728087177521741</v>
      </c>
      <c r="L15">
        <v>1</v>
      </c>
      <c r="M15">
        <f t="shared" si="6"/>
        <v>0.5067065219822261</v>
      </c>
      <c r="N15">
        <f t="shared" si="7"/>
        <v>9.6494872410000012E-3</v>
      </c>
      <c r="O15">
        <f t="shared" si="8"/>
        <v>1.7660382308999998E-3</v>
      </c>
      <c r="P15">
        <f t="shared" si="9"/>
        <v>-1.0841175678908688E-2</v>
      </c>
      <c r="V15">
        <v>-4.9000000000000004</v>
      </c>
      <c r="W15">
        <f t="shared" si="10"/>
        <v>-0.2858429999999999</v>
      </c>
      <c r="Y15">
        <v>0.11</v>
      </c>
      <c r="Z15">
        <f t="shared" si="11"/>
        <v>0.59138439999999992</v>
      </c>
    </row>
    <row r="16" spans="1:29" x14ac:dyDescent="0.3">
      <c r="A16" s="1">
        <v>0.65729510000000002</v>
      </c>
      <c r="B16" s="1">
        <v>0.70692169999999999</v>
      </c>
      <c r="C16">
        <f t="shared" si="0"/>
        <v>0.46465616949367</v>
      </c>
      <c r="D16">
        <v>1.5900000000000001E-2</v>
      </c>
      <c r="E16">
        <v>2.9099999999999998E-3</v>
      </c>
      <c r="F16">
        <f t="shared" si="1"/>
        <v>131.45902000000001</v>
      </c>
      <c r="G16">
        <f t="shared" si="2"/>
        <v>-0.70692169999999999</v>
      </c>
      <c r="H16">
        <f t="shared" si="3"/>
        <v>-92.931233898734007</v>
      </c>
      <c r="I16">
        <v>1</v>
      </c>
      <c r="J16">
        <f t="shared" si="4"/>
        <v>-2.0290601109135777</v>
      </c>
      <c r="K16">
        <f t="shared" si="5"/>
        <v>-0.51480345177521747</v>
      </c>
      <c r="L16">
        <v>1</v>
      </c>
      <c r="M16">
        <f t="shared" si="6"/>
        <v>0.51302047342340851</v>
      </c>
      <c r="N16">
        <f t="shared" si="7"/>
        <v>1.0450992090000001E-2</v>
      </c>
      <c r="O16">
        <f t="shared" si="8"/>
        <v>1.9127287409999999E-3</v>
      </c>
      <c r="P16">
        <f t="shared" si="9"/>
        <v>-1.058074247919104E-2</v>
      </c>
      <c r="V16">
        <v>-4.8</v>
      </c>
      <c r="W16">
        <f t="shared" si="10"/>
        <v>-0.29375599999999996</v>
      </c>
      <c r="Y16">
        <v>0.12</v>
      </c>
      <c r="Z16">
        <f t="shared" si="11"/>
        <v>0.67595479999999986</v>
      </c>
    </row>
    <row r="17" spans="1:26" x14ac:dyDescent="0.3">
      <c r="A17" s="1">
        <v>0.70770421999999999</v>
      </c>
      <c r="B17" s="1">
        <v>0.69995284000000002</v>
      </c>
      <c r="C17">
        <f t="shared" si="0"/>
        <v>0.49535957866898483</v>
      </c>
      <c r="D17">
        <v>1.5900000000000001E-2</v>
      </c>
      <c r="E17">
        <v>2.9099999999999998E-3</v>
      </c>
      <c r="F17">
        <f t="shared" si="1"/>
        <v>141.54084399999999</v>
      </c>
      <c r="G17">
        <f t="shared" si="2"/>
        <v>-0.69995284000000002</v>
      </c>
      <c r="H17">
        <f t="shared" si="3"/>
        <v>-99.07191573379697</v>
      </c>
      <c r="I17">
        <v>1</v>
      </c>
      <c r="J17">
        <f t="shared" si="4"/>
        <v>-1.9551669533736136</v>
      </c>
      <c r="K17">
        <f t="shared" si="5"/>
        <v>-0.52177231177521743</v>
      </c>
      <c r="L17">
        <v>1</v>
      </c>
      <c r="M17">
        <f t="shared" si="6"/>
        <v>0.51886763897954591</v>
      </c>
      <c r="N17">
        <f t="shared" si="7"/>
        <v>1.1252497098000001E-2</v>
      </c>
      <c r="O17">
        <f t="shared" si="8"/>
        <v>2.0594192801999998E-3</v>
      </c>
      <c r="P17">
        <f t="shared" si="9"/>
        <v>-1.0407243582528475E-2</v>
      </c>
      <c r="V17">
        <v>-4.7</v>
      </c>
      <c r="W17">
        <f t="shared" si="10"/>
        <v>-0.30166899999999991</v>
      </c>
      <c r="Y17">
        <v>0.13</v>
      </c>
      <c r="Z17">
        <f t="shared" si="11"/>
        <v>0.7605251999999999</v>
      </c>
    </row>
    <row r="18" spans="1:26" x14ac:dyDescent="0.3">
      <c r="A18" s="1">
        <v>0.75811333999999997</v>
      </c>
      <c r="B18" s="1">
        <v>0.69346123999999998</v>
      </c>
      <c r="C18">
        <f t="shared" si="0"/>
        <v>0.52572221681694153</v>
      </c>
      <c r="D18">
        <v>1.5900000000000001E-2</v>
      </c>
      <c r="E18">
        <v>2.9099999999999998E-3</v>
      </c>
      <c r="F18">
        <f t="shared" si="1"/>
        <v>151.622668</v>
      </c>
      <c r="G18">
        <f t="shared" si="2"/>
        <v>-0.69346123999999998</v>
      </c>
      <c r="H18">
        <f t="shared" si="3"/>
        <v>-105.14444336338831</v>
      </c>
      <c r="I18">
        <v>1</v>
      </c>
      <c r="J18">
        <f t="shared" si="4"/>
        <v>-1.886360291885661</v>
      </c>
      <c r="K18">
        <f t="shared" si="5"/>
        <v>-0.52826391177521748</v>
      </c>
      <c r="L18">
        <v>1</v>
      </c>
      <c r="M18">
        <f t="shared" si="6"/>
        <v>0.52431231010308754</v>
      </c>
      <c r="N18">
        <f t="shared" si="7"/>
        <v>1.2054002106E-2</v>
      </c>
      <c r="O18">
        <f t="shared" si="8"/>
        <v>2.2061098193999996E-3</v>
      </c>
      <c r="P18">
        <f t="shared" si="9"/>
        <v>-1.0308510253270065E-2</v>
      </c>
      <c r="V18">
        <v>-4.5999999999999996</v>
      </c>
      <c r="W18">
        <f t="shared" si="10"/>
        <v>-0.30958199999999997</v>
      </c>
      <c r="Y18">
        <v>0.14000000000000001</v>
      </c>
      <c r="Z18">
        <f t="shared" si="11"/>
        <v>0.84509559999999995</v>
      </c>
    </row>
    <row r="19" spans="1:26" x14ac:dyDescent="0.3">
      <c r="A19" s="1">
        <v>0.80903167999999992</v>
      </c>
      <c r="B19" s="1">
        <v>0.68691236</v>
      </c>
      <c r="C19">
        <f t="shared" si="0"/>
        <v>0.55573386062356478</v>
      </c>
      <c r="D19">
        <v>1.5900000000000001E-2</v>
      </c>
      <c r="E19">
        <v>2.9099999999999998E-3</v>
      </c>
      <c r="F19">
        <f t="shared" si="1"/>
        <v>161.80633599999999</v>
      </c>
      <c r="G19">
        <f t="shared" si="2"/>
        <v>-0.68691236</v>
      </c>
      <c r="H19">
        <f t="shared" si="3"/>
        <v>-111.14677212471295</v>
      </c>
      <c r="I19">
        <v>1</v>
      </c>
      <c r="J19">
        <f t="shared" si="4"/>
        <v>-1.8213551156683385</v>
      </c>
      <c r="K19">
        <f t="shared" si="5"/>
        <v>-0.53481279177521746</v>
      </c>
      <c r="L19">
        <v>1</v>
      </c>
      <c r="M19">
        <f t="shared" si="6"/>
        <v>0.52945616969716436</v>
      </c>
      <c r="N19">
        <f t="shared" si="7"/>
        <v>1.2863603712E-2</v>
      </c>
      <c r="O19">
        <f t="shared" si="8"/>
        <v>2.3542821887999996E-3</v>
      </c>
      <c r="P19">
        <f t="shared" si="9"/>
        <v>-9.8612638227469022E-3</v>
      </c>
      <c r="V19">
        <v>-4.5000000000000098</v>
      </c>
      <c r="W19">
        <f t="shared" si="10"/>
        <v>-0.31749499999999914</v>
      </c>
      <c r="Y19">
        <v>0.15</v>
      </c>
      <c r="Z19">
        <f t="shared" si="11"/>
        <v>0.92966599999999977</v>
      </c>
    </row>
    <row r="20" spans="1:26" x14ac:dyDescent="0.3">
      <c r="A20" s="1">
        <v>0.86045923000000002</v>
      </c>
      <c r="B20" s="1">
        <v>0.68129909</v>
      </c>
      <c r="C20">
        <f t="shared" si="0"/>
        <v>0.58623009038110074</v>
      </c>
      <c r="D20">
        <v>1.5900000000000001E-2</v>
      </c>
      <c r="E20">
        <v>2.9099999999999998E-3</v>
      </c>
      <c r="F20">
        <f t="shared" si="1"/>
        <v>172.091846</v>
      </c>
      <c r="G20">
        <f t="shared" si="2"/>
        <v>-0.68129909</v>
      </c>
      <c r="H20">
        <f t="shared" si="3"/>
        <v>-117.24601807622015</v>
      </c>
      <c r="I20">
        <v>1</v>
      </c>
      <c r="J20">
        <f t="shared" si="4"/>
        <v>-1.7597269563176476</v>
      </c>
      <c r="K20">
        <f t="shared" si="5"/>
        <v>-0.54042606177521746</v>
      </c>
      <c r="L20">
        <v>1</v>
      </c>
      <c r="M20">
        <f t="shared" si="6"/>
        <v>0.5343328059465845</v>
      </c>
      <c r="N20">
        <f t="shared" si="7"/>
        <v>1.3681301757000001E-2</v>
      </c>
      <c r="O20">
        <f t="shared" si="8"/>
        <v>2.5039363592999999E-3</v>
      </c>
      <c r="P20">
        <f t="shared" si="9"/>
        <v>-1.0091982287667041E-2</v>
      </c>
      <c r="V20">
        <v>-4.4000000000000101</v>
      </c>
      <c r="W20">
        <f t="shared" si="10"/>
        <v>-0.32540799999999914</v>
      </c>
      <c r="Y20">
        <v>0.16</v>
      </c>
      <c r="Z20">
        <f t="shared" si="11"/>
        <v>1.0142363999999997</v>
      </c>
    </row>
    <row r="21" spans="1:26" x14ac:dyDescent="0.3">
      <c r="A21" s="1">
        <v>0.91137755999999992</v>
      </c>
      <c r="B21" s="1">
        <v>0.67539936</v>
      </c>
      <c r="C21">
        <f t="shared" si="0"/>
        <v>0.61554382074236158</v>
      </c>
      <c r="D21">
        <v>1.5900000000000001E-2</v>
      </c>
      <c r="E21">
        <v>2.9099999999999998E-3</v>
      </c>
      <c r="F21">
        <f t="shared" si="1"/>
        <v>182.27551199999999</v>
      </c>
      <c r="G21">
        <f t="shared" si="2"/>
        <v>-0.67539936</v>
      </c>
      <c r="H21">
        <f t="shared" si="3"/>
        <v>-123.10876414847232</v>
      </c>
      <c r="I21">
        <v>1</v>
      </c>
      <c r="J21">
        <f t="shared" si="4"/>
        <v>-1.7022359343510562</v>
      </c>
      <c r="K21">
        <f t="shared" si="5"/>
        <v>-0.54632579177521745</v>
      </c>
      <c r="L21">
        <v>1</v>
      </c>
      <c r="M21">
        <f t="shared" si="6"/>
        <v>0.53888207051480086</v>
      </c>
      <c r="N21">
        <f t="shared" si="7"/>
        <v>1.4490903204E-2</v>
      </c>
      <c r="O21">
        <f t="shared" si="8"/>
        <v>2.6521086995999997E-3</v>
      </c>
      <c r="P21">
        <f t="shared" si="9"/>
        <v>-9.6992906431834086E-3</v>
      </c>
      <c r="V21">
        <v>-4.3000000000000096</v>
      </c>
      <c r="W21">
        <f t="shared" si="10"/>
        <v>-0.33332099999999915</v>
      </c>
      <c r="Y21">
        <v>0.17</v>
      </c>
      <c r="Z21">
        <f t="shared" si="11"/>
        <v>1.0988067999999998</v>
      </c>
    </row>
    <row r="22" spans="1:26" x14ac:dyDescent="0.3">
      <c r="A22" s="1">
        <v>0.96178668</v>
      </c>
      <c r="B22" s="1">
        <v>0.67014885000000002</v>
      </c>
      <c r="C22">
        <f t="shared" si="0"/>
        <v>0.64454023754731804</v>
      </c>
      <c r="D22">
        <v>1.5900000000000001E-2</v>
      </c>
      <c r="E22">
        <v>2.9099999999999998E-3</v>
      </c>
      <c r="F22">
        <f t="shared" si="1"/>
        <v>192.357336</v>
      </c>
      <c r="G22">
        <f t="shared" si="2"/>
        <v>-0.67014885000000002</v>
      </c>
      <c r="H22">
        <f t="shared" si="3"/>
        <v>-128.90804750946361</v>
      </c>
      <c r="I22">
        <v>1</v>
      </c>
      <c r="J22">
        <f t="shared" si="4"/>
        <v>-1.6484005117016369</v>
      </c>
      <c r="K22">
        <f t="shared" si="5"/>
        <v>-0.55157630177521744</v>
      </c>
      <c r="L22">
        <v>1</v>
      </c>
      <c r="M22">
        <f t="shared" si="6"/>
        <v>0.54314206750904948</v>
      </c>
      <c r="N22">
        <f t="shared" si="7"/>
        <v>1.5292408212000001E-2</v>
      </c>
      <c r="O22">
        <f t="shared" si="8"/>
        <v>2.7987992388E-3</v>
      </c>
      <c r="P22">
        <f t="shared" si="9"/>
        <v>-9.6569731846320398E-3</v>
      </c>
      <c r="V22">
        <v>-4.2000000000000099</v>
      </c>
      <c r="W22">
        <f t="shared" si="10"/>
        <v>-0.34123399999999915</v>
      </c>
      <c r="Y22">
        <v>0.18</v>
      </c>
      <c r="Z22">
        <f t="shared" si="11"/>
        <v>1.1833771999999998</v>
      </c>
    </row>
    <row r="23" spans="1:26" x14ac:dyDescent="0.3">
      <c r="A23" s="1">
        <v>1.0121958</v>
      </c>
      <c r="B23" s="1">
        <v>0.66482191999999996</v>
      </c>
      <c r="C23">
        <f t="shared" si="0"/>
        <v>0.67292995517193599</v>
      </c>
      <c r="D23">
        <v>1.5900000000000001E-2</v>
      </c>
      <c r="E23">
        <v>2.9099999999999998E-3</v>
      </c>
      <c r="F23">
        <f t="shared" si="1"/>
        <v>202.43915999999999</v>
      </c>
      <c r="G23">
        <f t="shared" si="2"/>
        <v>-0.66482191999999996</v>
      </c>
      <c r="H23">
        <f t="shared" si="3"/>
        <v>-134.58599103438721</v>
      </c>
      <c r="I23">
        <v>1</v>
      </c>
      <c r="J23">
        <f t="shared" si="4"/>
        <v>-1.597315882022462</v>
      </c>
      <c r="K23">
        <f t="shared" si="5"/>
        <v>-0.5569032317752175</v>
      </c>
      <c r="L23">
        <v>1</v>
      </c>
      <c r="M23">
        <f t="shared" si="6"/>
        <v>0.54718439425556253</v>
      </c>
      <c r="N23">
        <f t="shared" si="7"/>
        <v>1.6093913220000002E-2</v>
      </c>
      <c r="O23">
        <f t="shared" si="8"/>
        <v>2.9454897779999998E-3</v>
      </c>
      <c r="P23">
        <f t="shared" si="9"/>
        <v>-9.3205654783450366E-3</v>
      </c>
      <c r="V23">
        <v>-4.1000000000000103</v>
      </c>
      <c r="W23">
        <f t="shared" si="10"/>
        <v>-0.3491469999999991</v>
      </c>
      <c r="Y23">
        <v>0.19</v>
      </c>
      <c r="Z23">
        <f t="shared" si="11"/>
        <v>1.2679475999999998</v>
      </c>
    </row>
    <row r="24" spans="1:26" x14ac:dyDescent="0.3">
      <c r="A24" s="1">
        <v>1.062605</v>
      </c>
      <c r="B24" s="1">
        <v>0.65960962000000001</v>
      </c>
      <c r="C24">
        <f t="shared" si="0"/>
        <v>0.70090448026009999</v>
      </c>
      <c r="D24">
        <v>1.5900000000000001E-2</v>
      </c>
      <c r="E24">
        <v>2.9099999999999998E-3</v>
      </c>
      <c r="F24">
        <f t="shared" si="1"/>
        <v>212.52100000000002</v>
      </c>
      <c r="G24">
        <f t="shared" si="2"/>
        <v>-0.65960962000000001</v>
      </c>
      <c r="H24">
        <f t="shared" si="3"/>
        <v>-140.18089605201999</v>
      </c>
      <c r="I24">
        <v>1</v>
      </c>
      <c r="J24">
        <f t="shared" si="4"/>
        <v>-1.5487144719709769</v>
      </c>
      <c r="K24">
        <f t="shared" si="5"/>
        <v>-0.56211553177521745</v>
      </c>
      <c r="L24">
        <v>1</v>
      </c>
      <c r="M24">
        <f t="shared" si="6"/>
        <v>0.55103022383293654</v>
      </c>
      <c r="N24">
        <f t="shared" si="7"/>
        <v>1.6895419500000002E-2</v>
      </c>
      <c r="O24">
        <f t="shared" si="8"/>
        <v>3.0921805499999999E-3</v>
      </c>
      <c r="P24">
        <f t="shared" si="9"/>
        <v>-8.9022921077190932E-3</v>
      </c>
      <c r="V24">
        <v>-4.0000000000000098</v>
      </c>
      <c r="W24">
        <f t="shared" si="10"/>
        <v>-0.35705999999999916</v>
      </c>
      <c r="Y24">
        <v>0.2</v>
      </c>
      <c r="Z24">
        <f t="shared" si="11"/>
        <v>1.3525179999999999</v>
      </c>
    </row>
    <row r="25" spans="1:26" x14ac:dyDescent="0.3">
      <c r="A25" s="1">
        <v>1.1130142000000001</v>
      </c>
      <c r="B25" s="1">
        <v>0.65449274000000002</v>
      </c>
      <c r="C25">
        <f t="shared" si="0"/>
        <v>0.72845971341690807</v>
      </c>
      <c r="D25">
        <v>1.5900000000000001E-2</v>
      </c>
      <c r="E25">
        <v>2.9099999999999998E-3</v>
      </c>
      <c r="F25">
        <f t="shared" si="1"/>
        <v>222.60284000000001</v>
      </c>
      <c r="G25">
        <f t="shared" si="2"/>
        <v>-0.65449274000000002</v>
      </c>
      <c r="H25">
        <f t="shared" si="3"/>
        <v>-145.69194268338163</v>
      </c>
      <c r="I25">
        <v>1</v>
      </c>
      <c r="J25">
        <f t="shared" si="4"/>
        <v>-1.5023660819112075</v>
      </c>
      <c r="K25">
        <f t="shared" si="5"/>
        <v>-0.56723241177521744</v>
      </c>
      <c r="L25">
        <v>1</v>
      </c>
      <c r="M25">
        <f t="shared" si="6"/>
        <v>0.55469777193836611</v>
      </c>
      <c r="N25">
        <f t="shared" si="7"/>
        <v>1.7696925780000001E-2</v>
      </c>
      <c r="O25">
        <f t="shared" si="8"/>
        <v>3.238871322E-3</v>
      </c>
      <c r="P25">
        <f t="shared" si="9"/>
        <v>-8.4011572651486767E-3</v>
      </c>
      <c r="V25">
        <v>-3.9000000000000101</v>
      </c>
      <c r="W25">
        <f t="shared" si="10"/>
        <v>-0.36497299999999916</v>
      </c>
      <c r="Y25">
        <v>0.21</v>
      </c>
      <c r="Z25">
        <f t="shared" si="11"/>
        <v>1.4370883999999999</v>
      </c>
    </row>
    <row r="26" spans="1:26" x14ac:dyDescent="0.3">
      <c r="A26" s="1">
        <v>1.1669877</v>
      </c>
      <c r="B26" s="1">
        <v>0.65029227999999994</v>
      </c>
      <c r="C26">
        <f t="shared" si="0"/>
        <v>0.75888309216495586</v>
      </c>
      <c r="D26">
        <v>1.5900000000000001E-2</v>
      </c>
      <c r="E26">
        <v>2.9099999999999998E-3</v>
      </c>
      <c r="F26">
        <f t="shared" si="1"/>
        <v>233.39753999999999</v>
      </c>
      <c r="G26">
        <f t="shared" si="2"/>
        <v>-0.65029227999999994</v>
      </c>
      <c r="H26">
        <f t="shared" si="3"/>
        <v>-151.77661843299117</v>
      </c>
      <c r="I26">
        <v>1</v>
      </c>
      <c r="J26">
        <f t="shared" si="4"/>
        <v>-1.4550120990309845</v>
      </c>
      <c r="K26">
        <f t="shared" si="5"/>
        <v>-0.57143287177521751</v>
      </c>
      <c r="L26">
        <v>1</v>
      </c>
      <c r="M26">
        <f t="shared" si="6"/>
        <v>0.55844489260367813</v>
      </c>
      <c r="N26">
        <f t="shared" si="7"/>
        <v>1.855510443E-2</v>
      </c>
      <c r="O26">
        <f t="shared" si="8"/>
        <v>3.3959342069999998E-3</v>
      </c>
      <c r="P26">
        <f t="shared" si="9"/>
        <v>-8.9630594654606238E-3</v>
      </c>
      <c r="V26">
        <v>-3.80000000000001</v>
      </c>
      <c r="W26">
        <f t="shared" si="10"/>
        <v>-0.37288599999999916</v>
      </c>
      <c r="Y26">
        <v>0.22</v>
      </c>
      <c r="Z26">
        <f t="shared" si="11"/>
        <v>1.5216588</v>
      </c>
    </row>
    <row r="27" spans="1:26" x14ac:dyDescent="0.3">
      <c r="A27" s="1">
        <v>1.2173967000000001</v>
      </c>
      <c r="B27" s="1">
        <v>0.64479350999999996</v>
      </c>
      <c r="C27">
        <f t="shared" si="0"/>
        <v>0.78496949125541704</v>
      </c>
      <c r="D27">
        <v>1.5900000000000001E-2</v>
      </c>
      <c r="E27">
        <v>2.9099999999999998E-3</v>
      </c>
      <c r="F27">
        <f t="shared" si="1"/>
        <v>243.47934000000004</v>
      </c>
      <c r="G27">
        <f t="shared" si="2"/>
        <v>-0.64479350999999996</v>
      </c>
      <c r="H27">
        <f t="shared" si="3"/>
        <v>-156.99389825108341</v>
      </c>
      <c r="I27">
        <v>1</v>
      </c>
      <c r="J27">
        <f t="shared" si="4"/>
        <v>-1.4127231860550107</v>
      </c>
      <c r="K27">
        <f t="shared" si="5"/>
        <v>-0.5769316417752175</v>
      </c>
      <c r="L27">
        <v>1</v>
      </c>
      <c r="M27">
        <f t="shared" si="6"/>
        <v>0.56179121428746692</v>
      </c>
      <c r="N27">
        <f t="shared" si="7"/>
        <v>1.9356607530000004E-2</v>
      </c>
      <c r="O27">
        <f t="shared" si="8"/>
        <v>3.542624397E-3</v>
      </c>
      <c r="P27">
        <f t="shared" si="9"/>
        <v>-7.7588044392494296E-3</v>
      </c>
      <c r="V27">
        <v>-3.7000000000000099</v>
      </c>
      <c r="W27">
        <f t="shared" si="10"/>
        <v>-0.38079899999999917</v>
      </c>
      <c r="Y27">
        <v>0.23</v>
      </c>
      <c r="Z27">
        <f t="shared" si="11"/>
        <v>1.6062292</v>
      </c>
    </row>
    <row r="28" spans="1:26" x14ac:dyDescent="0.3">
      <c r="A28" s="1">
        <v>1.2688242000000001</v>
      </c>
      <c r="B28" s="1">
        <v>0.64065039000000001</v>
      </c>
      <c r="C28">
        <f t="shared" si="0"/>
        <v>0.81287271857143806</v>
      </c>
      <c r="D28">
        <v>1.5900000000000001E-2</v>
      </c>
      <c r="E28">
        <v>2.9099999999999998E-3</v>
      </c>
      <c r="F28">
        <f t="shared" si="1"/>
        <v>253.76484000000002</v>
      </c>
      <c r="G28">
        <f t="shared" si="2"/>
        <v>-0.64065039000000001</v>
      </c>
      <c r="H28">
        <f t="shared" si="3"/>
        <v>-162.57454371428761</v>
      </c>
      <c r="I28">
        <v>1</v>
      </c>
      <c r="J28">
        <f t="shared" si="4"/>
        <v>-1.3713472675775689</v>
      </c>
      <c r="K28">
        <f t="shared" si="5"/>
        <v>-0.58107476177521744</v>
      </c>
      <c r="L28">
        <v>1</v>
      </c>
      <c r="M28">
        <f t="shared" si="6"/>
        <v>0.56506529071658695</v>
      </c>
      <c r="N28">
        <f t="shared" si="7"/>
        <v>2.0174304780000003E-2</v>
      </c>
      <c r="O28">
        <f t="shared" si="8"/>
        <v>3.6922784219999998E-3</v>
      </c>
      <c r="P28">
        <f t="shared" si="9"/>
        <v>-7.8571121433695153E-3</v>
      </c>
      <c r="V28">
        <v>-3.6000000000000099</v>
      </c>
      <c r="W28">
        <f t="shared" si="10"/>
        <v>-0.38871199999999917</v>
      </c>
      <c r="Y28">
        <v>0.24</v>
      </c>
      <c r="Z28">
        <f t="shared" si="11"/>
        <v>1.6907995999999996</v>
      </c>
    </row>
    <row r="29" spans="1:26" x14ac:dyDescent="0.3">
      <c r="A29" s="1">
        <v>1.3207609</v>
      </c>
      <c r="B29" s="1">
        <v>0.63595354999999998</v>
      </c>
      <c r="C29">
        <f t="shared" si="0"/>
        <v>0.83994258305619496</v>
      </c>
      <c r="D29">
        <v>1.5900000000000001E-2</v>
      </c>
      <c r="E29">
        <v>2.9099999999999998E-3</v>
      </c>
      <c r="F29">
        <f t="shared" si="1"/>
        <v>264.15217999999999</v>
      </c>
      <c r="G29">
        <f t="shared" si="2"/>
        <v>-0.63595354999999998</v>
      </c>
      <c r="H29">
        <f t="shared" si="3"/>
        <v>-167.98851661123899</v>
      </c>
      <c r="I29">
        <v>1</v>
      </c>
      <c r="J29">
        <f t="shared" si="4"/>
        <v>-1.3312299025192496</v>
      </c>
      <c r="K29">
        <f t="shared" si="5"/>
        <v>-0.58577160177521748</v>
      </c>
      <c r="L29">
        <v>1</v>
      </c>
      <c r="M29">
        <f t="shared" si="6"/>
        <v>0.56823977781365176</v>
      </c>
      <c r="N29">
        <f t="shared" si="7"/>
        <v>2.1000098310000003E-2</v>
      </c>
      <c r="O29">
        <f t="shared" si="8"/>
        <v>3.8434142189999999E-3</v>
      </c>
      <c r="P29">
        <f t="shared" si="9"/>
        <v>-7.3116885674342855E-3</v>
      </c>
      <c r="V29">
        <v>-3.5000000000000102</v>
      </c>
      <c r="W29">
        <f t="shared" si="10"/>
        <v>-0.39662499999999912</v>
      </c>
      <c r="Y29">
        <v>0.25</v>
      </c>
      <c r="Z29">
        <f t="shared" si="11"/>
        <v>1.7753699999999997</v>
      </c>
    </row>
    <row r="30" spans="1:26" x14ac:dyDescent="0.3">
      <c r="A30" s="1">
        <v>1.3721884</v>
      </c>
      <c r="B30" s="1">
        <v>0.63158124999999998</v>
      </c>
      <c r="C30">
        <f t="shared" si="0"/>
        <v>0.86664846490749992</v>
      </c>
      <c r="D30">
        <v>1.5900000000000001E-2</v>
      </c>
      <c r="E30">
        <v>2.9099999999999998E-3</v>
      </c>
      <c r="F30">
        <f t="shared" si="1"/>
        <v>274.43768</v>
      </c>
      <c r="G30">
        <f t="shared" si="2"/>
        <v>-0.63158124999999998</v>
      </c>
      <c r="H30">
        <f t="shared" si="3"/>
        <v>-173.32969298149999</v>
      </c>
      <c r="I30">
        <v>1</v>
      </c>
      <c r="J30">
        <f t="shared" si="4"/>
        <v>-1.2930310747733742</v>
      </c>
      <c r="K30">
        <f t="shared" si="5"/>
        <v>-0.59014390177521747</v>
      </c>
      <c r="L30">
        <v>1</v>
      </c>
      <c r="M30">
        <f t="shared" si="6"/>
        <v>0.57126245105318285</v>
      </c>
      <c r="N30">
        <f t="shared" si="7"/>
        <v>2.1817795560000002E-2</v>
      </c>
      <c r="O30">
        <f t="shared" si="8"/>
        <v>3.9930682439999997E-3</v>
      </c>
      <c r="P30">
        <f t="shared" si="9"/>
        <v>-6.9294130819653812E-3</v>
      </c>
      <c r="V30">
        <v>-3.4000000000000101</v>
      </c>
      <c r="W30">
        <f t="shared" si="10"/>
        <v>-0.40453799999999912</v>
      </c>
      <c r="Y30">
        <v>0.26</v>
      </c>
      <c r="Z30">
        <f t="shared" si="11"/>
        <v>1.8599403999999997</v>
      </c>
    </row>
    <row r="31" spans="1:26" x14ac:dyDescent="0.3">
      <c r="A31" s="1">
        <v>1.4231066999999999</v>
      </c>
      <c r="B31" s="1">
        <v>0.62717080000000003</v>
      </c>
      <c r="C31">
        <f t="shared" si="0"/>
        <v>0.89253096752436001</v>
      </c>
      <c r="D31">
        <v>1.5900000000000001E-2</v>
      </c>
      <c r="E31">
        <v>2.9099999999999998E-3</v>
      </c>
      <c r="F31">
        <f t="shared" si="1"/>
        <v>284.62133999999998</v>
      </c>
      <c r="G31">
        <f t="shared" si="2"/>
        <v>-0.62717080000000003</v>
      </c>
      <c r="H31">
        <f t="shared" si="3"/>
        <v>-178.50619350487199</v>
      </c>
      <c r="I31">
        <v>1</v>
      </c>
      <c r="J31">
        <f t="shared" si="4"/>
        <v>-1.2565956137059442</v>
      </c>
      <c r="K31">
        <f t="shared" si="5"/>
        <v>-0.59455435177521743</v>
      </c>
      <c r="L31">
        <v>1</v>
      </c>
      <c r="M31">
        <f t="shared" si="6"/>
        <v>0.57414558908744862</v>
      </c>
      <c r="N31">
        <f t="shared" si="7"/>
        <v>2.262739653E-2</v>
      </c>
      <c r="O31">
        <f t="shared" si="8"/>
        <v>4.1412404969999993E-3</v>
      </c>
      <c r="P31">
        <f t="shared" si="9"/>
        <v>-6.359874339231188E-3</v>
      </c>
      <c r="V31">
        <v>-3.30000000000001</v>
      </c>
      <c r="W31">
        <f t="shared" si="10"/>
        <v>-0.41245099999999912</v>
      </c>
      <c r="Y31">
        <v>0.27</v>
      </c>
      <c r="Z31">
        <f t="shared" si="11"/>
        <v>1.9445107999999998</v>
      </c>
    </row>
    <row r="32" spans="1:26" x14ac:dyDescent="0.3">
      <c r="A32" s="1">
        <v>1.4735159</v>
      </c>
      <c r="B32" s="1">
        <v>0.62350499999999998</v>
      </c>
      <c r="C32">
        <f t="shared" si="0"/>
        <v>0.91874453122949995</v>
      </c>
      <c r="D32">
        <v>1.5900000000000001E-2</v>
      </c>
      <c r="E32">
        <v>2.9099999999999998E-3</v>
      </c>
      <c r="F32">
        <f t="shared" si="1"/>
        <v>294.70317999999997</v>
      </c>
      <c r="G32">
        <f t="shared" si="2"/>
        <v>-0.62350499999999998</v>
      </c>
      <c r="H32">
        <f t="shared" si="3"/>
        <v>-183.7489062459</v>
      </c>
      <c r="I32">
        <v>1</v>
      </c>
      <c r="J32">
        <f t="shared" si="4"/>
        <v>-1.221786598662163</v>
      </c>
      <c r="K32">
        <f t="shared" si="5"/>
        <v>-0.59822015177521748</v>
      </c>
      <c r="L32">
        <v>1</v>
      </c>
      <c r="M32">
        <f t="shared" si="6"/>
        <v>0.57690002644786298</v>
      </c>
      <c r="N32">
        <f t="shared" si="7"/>
        <v>2.3428902810000003E-2</v>
      </c>
      <c r="O32">
        <f t="shared" si="8"/>
        <v>4.2879312689999994E-3</v>
      </c>
      <c r="P32">
        <f t="shared" si="9"/>
        <v>-6.396708751645502E-3</v>
      </c>
      <c r="V32">
        <v>-3.2000000000000099</v>
      </c>
      <c r="W32">
        <f t="shared" si="10"/>
        <v>-0.42036399999999913</v>
      </c>
    </row>
    <row r="33" spans="1:23" x14ac:dyDescent="0.3">
      <c r="A33" s="1">
        <v>1.5264709000000001</v>
      </c>
      <c r="B33" s="1">
        <v>0.61926639000000006</v>
      </c>
      <c r="C33">
        <f t="shared" si="0"/>
        <v>0.94529212368305116</v>
      </c>
      <c r="D33">
        <v>1.5900000000000001E-2</v>
      </c>
      <c r="E33">
        <v>2.9099999999999998E-3</v>
      </c>
      <c r="F33">
        <f t="shared" si="1"/>
        <v>305.29418000000004</v>
      </c>
      <c r="G33">
        <f t="shared" si="2"/>
        <v>-0.61926639000000006</v>
      </c>
      <c r="H33">
        <f t="shared" si="3"/>
        <v>-189.05842473661022</v>
      </c>
      <c r="I33">
        <v>1</v>
      </c>
      <c r="J33">
        <f t="shared" si="4"/>
        <v>-1.1864794426395187</v>
      </c>
      <c r="K33">
        <f t="shared" si="5"/>
        <v>-0.6024587617752174</v>
      </c>
      <c r="L33">
        <v>1</v>
      </c>
      <c r="M33">
        <f t="shared" si="6"/>
        <v>0.57969388170393488</v>
      </c>
      <c r="N33">
        <f t="shared" si="7"/>
        <v>2.4270887310000003E-2</v>
      </c>
      <c r="O33">
        <f t="shared" si="8"/>
        <v>4.4420303189999996E-3</v>
      </c>
      <c r="P33">
        <f t="shared" si="9"/>
        <v>-5.9480375577174796E-3</v>
      </c>
      <c r="V33">
        <v>-3.1000000000000099</v>
      </c>
      <c r="W33">
        <f t="shared" si="10"/>
        <v>-0.42827699999999913</v>
      </c>
    </row>
    <row r="34" spans="1:23" x14ac:dyDescent="0.3">
      <c r="A34" s="1">
        <v>1.5768800999999999</v>
      </c>
      <c r="B34" s="1">
        <v>0.61539054000000004</v>
      </c>
      <c r="C34">
        <f t="shared" si="0"/>
        <v>0.97039709625425397</v>
      </c>
      <c r="D34">
        <v>1.5900000000000001E-2</v>
      </c>
      <c r="E34">
        <v>2.9099999999999998E-3</v>
      </c>
      <c r="F34">
        <f t="shared" si="1"/>
        <v>315.37601999999998</v>
      </c>
      <c r="G34">
        <f t="shared" si="2"/>
        <v>-0.61539054000000004</v>
      </c>
      <c r="H34">
        <f t="shared" si="3"/>
        <v>-194.0794192508508</v>
      </c>
      <c r="I34">
        <v>1</v>
      </c>
      <c r="J34">
        <f t="shared" si="4"/>
        <v>-1.1539896377811989</v>
      </c>
      <c r="K34">
        <f t="shared" si="5"/>
        <v>-0.60633461177521741</v>
      </c>
      <c r="L34">
        <v>1</v>
      </c>
      <c r="M34">
        <f t="shared" si="6"/>
        <v>0.58226479996237368</v>
      </c>
      <c r="N34">
        <f t="shared" si="7"/>
        <v>2.5072393589999999E-2</v>
      </c>
      <c r="O34">
        <f t="shared" si="8"/>
        <v>4.5887210909999997E-3</v>
      </c>
      <c r="P34">
        <f t="shared" si="9"/>
        <v>-5.591302868156265E-3</v>
      </c>
      <c r="V34">
        <v>-3.0000000000000102</v>
      </c>
      <c r="W34">
        <f t="shared" si="10"/>
        <v>-0.43618999999999913</v>
      </c>
    </row>
    <row r="35" spans="1:23" x14ac:dyDescent="0.3">
      <c r="A35" s="1">
        <v>1.6303445000000001</v>
      </c>
      <c r="B35" s="1">
        <v>0.61115193000000001</v>
      </c>
      <c r="C35">
        <f t="shared" si="0"/>
        <v>0.99638818773988502</v>
      </c>
      <c r="D35">
        <v>1.5900000000000001E-2</v>
      </c>
      <c r="E35">
        <v>2.9099999999999998E-3</v>
      </c>
      <c r="F35">
        <f t="shared" si="1"/>
        <v>326.06890000000004</v>
      </c>
      <c r="G35">
        <f t="shared" si="2"/>
        <v>-0.61115193000000001</v>
      </c>
      <c r="H35">
        <f t="shared" si="3"/>
        <v>-199.27763754797701</v>
      </c>
      <c r="I35">
        <v>1</v>
      </c>
      <c r="J35">
        <f t="shared" si="4"/>
        <v>-1.1206465702533777</v>
      </c>
      <c r="K35">
        <f t="shared" si="5"/>
        <v>-0.61057322177521745</v>
      </c>
      <c r="L35">
        <v>1</v>
      </c>
      <c r="M35">
        <f t="shared" si="6"/>
        <v>0.58490323689585022</v>
      </c>
      <c r="N35">
        <f t="shared" si="7"/>
        <v>2.5922477550000003E-2</v>
      </c>
      <c r="O35">
        <f t="shared" si="8"/>
        <v>4.7443024949999999E-3</v>
      </c>
      <c r="P35">
        <f t="shared" si="9"/>
        <v>-4.9967951656327784E-3</v>
      </c>
      <c r="V35">
        <v>-2.9000000000000101</v>
      </c>
      <c r="W35">
        <f t="shared" si="10"/>
        <v>-0.44410299999999914</v>
      </c>
    </row>
    <row r="36" spans="1:23" x14ac:dyDescent="0.3">
      <c r="A36" s="1">
        <v>1.6817717000000001</v>
      </c>
      <c r="B36" s="1">
        <v>0.60740972000000004</v>
      </c>
      <c r="C36">
        <f t="shared" si="0"/>
        <v>1.0215244774009242</v>
      </c>
      <c r="D36">
        <v>1.5900000000000001E-2</v>
      </c>
      <c r="E36">
        <v>2.9099999999999998E-3</v>
      </c>
      <c r="F36">
        <f t="shared" si="1"/>
        <v>336.35434000000004</v>
      </c>
      <c r="G36">
        <f t="shared" si="2"/>
        <v>-0.60740972000000004</v>
      </c>
      <c r="H36">
        <f t="shared" si="3"/>
        <v>-204.30489548018485</v>
      </c>
      <c r="I36">
        <v>1</v>
      </c>
      <c r="J36">
        <f t="shared" si="4"/>
        <v>-1.0895900913679617</v>
      </c>
      <c r="K36">
        <f t="shared" si="5"/>
        <v>-0.61431543177521741</v>
      </c>
      <c r="L36">
        <v>1</v>
      </c>
      <c r="M36">
        <f t="shared" si="6"/>
        <v>0.58736073607005312</v>
      </c>
      <c r="N36">
        <f t="shared" si="7"/>
        <v>2.6740170030000003E-2</v>
      </c>
      <c r="O36">
        <f t="shared" si="8"/>
        <v>4.8939556469999998E-3</v>
      </c>
      <c r="P36">
        <f t="shared" si="9"/>
        <v>-4.679429971835714E-3</v>
      </c>
      <c r="V36">
        <v>-2.80000000000001</v>
      </c>
      <c r="W36">
        <f t="shared" ref="W36:W67" si="12">V36*$S$5+$S$4</f>
        <v>-0.45201599999999914</v>
      </c>
    </row>
    <row r="37" spans="1:23" x14ac:dyDescent="0.3">
      <c r="A37" s="1">
        <v>1.7377819999999999</v>
      </c>
      <c r="B37" s="1">
        <v>0.6033811</v>
      </c>
      <c r="C37">
        <f t="shared" si="0"/>
        <v>1.0485448147201999</v>
      </c>
      <c r="D37">
        <v>1.5900000000000001E-2</v>
      </c>
      <c r="E37">
        <v>2.9099999999999998E-3</v>
      </c>
      <c r="F37">
        <f t="shared" si="1"/>
        <v>347.5564</v>
      </c>
      <c r="G37">
        <f t="shared" si="2"/>
        <v>-0.6033811</v>
      </c>
      <c r="H37">
        <f t="shared" si="3"/>
        <v>-209.70896294403997</v>
      </c>
      <c r="I37">
        <v>1</v>
      </c>
      <c r="J37">
        <f t="shared" si="4"/>
        <v>-1.0568283249885873</v>
      </c>
      <c r="K37">
        <f t="shared" si="5"/>
        <v>-0.61834405177521745</v>
      </c>
      <c r="L37">
        <v>1</v>
      </c>
      <c r="M37">
        <f t="shared" si="6"/>
        <v>0.58995317464365304</v>
      </c>
      <c r="N37">
        <f t="shared" si="7"/>
        <v>2.7630733800000001E-2</v>
      </c>
      <c r="O37">
        <f t="shared" si="8"/>
        <v>5.0569456199999994E-3</v>
      </c>
      <c r="P37">
        <f t="shared" si="9"/>
        <v>-4.2968022884355937E-3</v>
      </c>
      <c r="V37">
        <v>-2.7000000000000099</v>
      </c>
      <c r="W37">
        <f t="shared" si="12"/>
        <v>-0.45992899999999914</v>
      </c>
    </row>
    <row r="38" spans="1:23" x14ac:dyDescent="0.3">
      <c r="A38" s="1">
        <v>1.7881912</v>
      </c>
      <c r="B38" s="1">
        <v>0.59965800999999996</v>
      </c>
      <c r="C38">
        <f t="shared" si="0"/>
        <v>1.0723031764915119</v>
      </c>
      <c r="D38">
        <v>1.5900000000000001E-2</v>
      </c>
      <c r="E38">
        <v>2.9099999999999998E-3</v>
      </c>
      <c r="F38">
        <f t="shared" si="1"/>
        <v>357.63824</v>
      </c>
      <c r="G38">
        <f t="shared" si="2"/>
        <v>-0.59965800999999996</v>
      </c>
      <c r="H38">
        <f t="shared" si="3"/>
        <v>-214.46063529830238</v>
      </c>
      <c r="I38">
        <v>1</v>
      </c>
      <c r="J38">
        <f t="shared" si="4"/>
        <v>-1.0282333062768882</v>
      </c>
      <c r="K38">
        <f t="shared" si="5"/>
        <v>-0.62206714177521749</v>
      </c>
      <c r="L38">
        <v>1</v>
      </c>
      <c r="M38">
        <f t="shared" si="6"/>
        <v>0.59221589847430978</v>
      </c>
      <c r="N38">
        <f t="shared" si="7"/>
        <v>2.8432240080000001E-2</v>
      </c>
      <c r="O38">
        <f t="shared" si="8"/>
        <v>5.2036363919999995E-3</v>
      </c>
      <c r="P38">
        <f t="shared" si="9"/>
        <v>-3.7846331710922852E-3</v>
      </c>
      <c r="V38">
        <v>-2.6000000000000099</v>
      </c>
      <c r="W38">
        <f t="shared" si="12"/>
        <v>-0.46784199999999915</v>
      </c>
    </row>
    <row r="39" spans="1:23" x14ac:dyDescent="0.3">
      <c r="A39" s="1">
        <v>1.8386001999999999</v>
      </c>
      <c r="B39" s="1">
        <v>0.59603035000000004</v>
      </c>
      <c r="C39">
        <f t="shared" si="0"/>
        <v>1.09586152071607</v>
      </c>
      <c r="D39">
        <v>1.5900000000000001E-2</v>
      </c>
      <c r="E39">
        <v>2.9099999999999998E-3</v>
      </c>
      <c r="F39">
        <f t="shared" si="1"/>
        <v>367.72003999999998</v>
      </c>
      <c r="G39">
        <f t="shared" si="2"/>
        <v>-0.59603035000000004</v>
      </c>
      <c r="H39">
        <f t="shared" si="3"/>
        <v>-219.17230414321401</v>
      </c>
      <c r="I39">
        <v>1</v>
      </c>
      <c r="J39">
        <f t="shared" si="4"/>
        <v>-1.0004333912081709</v>
      </c>
      <c r="K39">
        <f t="shared" si="5"/>
        <v>-0.62569480177521741</v>
      </c>
      <c r="L39">
        <v>1</v>
      </c>
      <c r="M39">
        <f t="shared" si="6"/>
        <v>0.5944157057536974</v>
      </c>
      <c r="N39">
        <f t="shared" si="7"/>
        <v>2.9233743180000001E-2</v>
      </c>
      <c r="O39">
        <f t="shared" si="8"/>
        <v>5.3503265819999993E-3</v>
      </c>
      <c r="P39">
        <f t="shared" si="9"/>
        <v>-3.3049737404799856E-3</v>
      </c>
      <c r="V39">
        <v>-2.5000000000000102</v>
      </c>
      <c r="W39">
        <f t="shared" si="12"/>
        <v>-0.47575499999999915</v>
      </c>
    </row>
    <row r="40" spans="1:23" x14ac:dyDescent="0.3">
      <c r="A40" s="1">
        <v>1.8890093999999999</v>
      </c>
      <c r="B40" s="1">
        <v>0.59232633999999995</v>
      </c>
      <c r="C40">
        <f t="shared" si="0"/>
        <v>1.1189100241275958</v>
      </c>
      <c r="D40">
        <v>1.5900000000000001E-2</v>
      </c>
      <c r="E40">
        <v>2.9099999999999998E-3</v>
      </c>
      <c r="F40">
        <f t="shared" si="1"/>
        <v>377.80187999999998</v>
      </c>
      <c r="G40">
        <f t="shared" si="2"/>
        <v>-0.59232633999999995</v>
      </c>
      <c r="H40">
        <f t="shared" si="3"/>
        <v>-223.78200482551915</v>
      </c>
      <c r="I40">
        <v>1</v>
      </c>
      <c r="J40">
        <f t="shared" si="4"/>
        <v>-0.97338534774923713</v>
      </c>
      <c r="K40">
        <f t="shared" si="5"/>
        <v>-0.6293988117752175</v>
      </c>
      <c r="L40">
        <v>1</v>
      </c>
      <c r="M40">
        <f t="shared" si="6"/>
        <v>0.59655601743260278</v>
      </c>
      <c r="N40">
        <f t="shared" si="7"/>
        <v>3.003524946E-2</v>
      </c>
      <c r="O40">
        <f t="shared" si="8"/>
        <v>5.4970173539999993E-3</v>
      </c>
      <c r="P40">
        <f t="shared" si="9"/>
        <v>-2.6894724713852763E-3</v>
      </c>
      <c r="V40">
        <v>-2.4000000000000101</v>
      </c>
      <c r="W40">
        <f t="shared" si="12"/>
        <v>-0.48366799999999915</v>
      </c>
    </row>
    <row r="41" spans="1:23" x14ac:dyDescent="0.3">
      <c r="A41" s="1">
        <v>1.9394186</v>
      </c>
      <c r="B41" s="1">
        <v>0.58892781000000005</v>
      </c>
      <c r="C41">
        <f t="shared" si="0"/>
        <v>1.1421775487712662</v>
      </c>
      <c r="D41">
        <v>1.5900000000000001E-2</v>
      </c>
      <c r="E41">
        <v>2.9099999999999998E-3</v>
      </c>
      <c r="F41">
        <f t="shared" si="1"/>
        <v>387.88371999999998</v>
      </c>
      <c r="G41">
        <f t="shared" si="2"/>
        <v>-0.58892781000000005</v>
      </c>
      <c r="H41">
        <f t="shared" si="3"/>
        <v>-228.43550975425325</v>
      </c>
      <c r="I41">
        <v>1</v>
      </c>
      <c r="J41">
        <f t="shared" si="4"/>
        <v>-0.94704967499675163</v>
      </c>
      <c r="K41">
        <f t="shared" si="5"/>
        <v>-0.6327973417752174</v>
      </c>
      <c r="L41">
        <v>1</v>
      </c>
      <c r="M41">
        <f t="shared" si="6"/>
        <v>0.59863995921750701</v>
      </c>
      <c r="N41">
        <f t="shared" si="7"/>
        <v>3.0836755740000003E-2</v>
      </c>
      <c r="O41">
        <f t="shared" si="8"/>
        <v>5.6437081259999994E-3</v>
      </c>
      <c r="P41">
        <f t="shared" si="9"/>
        <v>-2.3230813082896103E-3</v>
      </c>
      <c r="V41">
        <v>-2.30000000000001</v>
      </c>
      <c r="W41">
        <f t="shared" si="12"/>
        <v>-0.49158099999999916</v>
      </c>
    </row>
    <row r="42" spans="1:23" x14ac:dyDescent="0.3">
      <c r="A42" s="1">
        <v>1.990337</v>
      </c>
      <c r="B42" s="1">
        <v>0.58581567000000001</v>
      </c>
      <c r="C42">
        <f t="shared" si="0"/>
        <v>1.1659706031807899</v>
      </c>
      <c r="D42">
        <v>1.5900000000000001E-2</v>
      </c>
      <c r="E42">
        <v>2.9099999999999998E-3</v>
      </c>
      <c r="F42">
        <f t="shared" si="1"/>
        <v>398.06740000000002</v>
      </c>
      <c r="G42">
        <f t="shared" si="2"/>
        <v>-0.58581567000000001</v>
      </c>
      <c r="H42">
        <f t="shared" si="3"/>
        <v>-233.19412063615798</v>
      </c>
      <c r="I42">
        <v>1</v>
      </c>
      <c r="J42">
        <f t="shared" si="4"/>
        <v>-0.92113394130157045</v>
      </c>
      <c r="K42">
        <f t="shared" si="5"/>
        <v>-0.63590948177521744</v>
      </c>
      <c r="L42">
        <v>1</v>
      </c>
      <c r="M42">
        <f t="shared" si="6"/>
        <v>0.60069067122480668</v>
      </c>
      <c r="N42">
        <f t="shared" si="7"/>
        <v>3.1646358300000003E-2</v>
      </c>
      <c r="O42">
        <f t="shared" si="8"/>
        <v>5.79188067E-3</v>
      </c>
      <c r="P42">
        <f t="shared" si="9"/>
        <v>-2.2194284195892417E-3</v>
      </c>
      <c r="V42">
        <v>-2.2000000000000099</v>
      </c>
      <c r="W42">
        <f t="shared" si="12"/>
        <v>-0.49949399999999916</v>
      </c>
    </row>
    <row r="43" spans="1:23" x14ac:dyDescent="0.3">
      <c r="A43" s="1">
        <v>2.0412552000000002</v>
      </c>
      <c r="B43" s="1">
        <v>0.58203530000000003</v>
      </c>
      <c r="C43">
        <f t="shared" si="0"/>
        <v>1.1880825827085602</v>
      </c>
      <c r="D43">
        <v>1.5900000000000001E-2</v>
      </c>
      <c r="E43">
        <v>2.9099999999999998E-3</v>
      </c>
      <c r="F43">
        <f t="shared" si="1"/>
        <v>408.25104000000005</v>
      </c>
      <c r="G43">
        <f t="shared" si="2"/>
        <v>-0.58203530000000003</v>
      </c>
      <c r="H43">
        <f t="shared" si="3"/>
        <v>-237.61651654171203</v>
      </c>
      <c r="I43">
        <v>1</v>
      </c>
      <c r="J43">
        <f t="shared" si="4"/>
        <v>-0.89587299967614209</v>
      </c>
      <c r="K43">
        <f t="shared" si="5"/>
        <v>-0.63968985177521742</v>
      </c>
      <c r="L43">
        <v>1</v>
      </c>
      <c r="M43">
        <f t="shared" si="6"/>
        <v>0.6026895695356268</v>
      </c>
      <c r="N43">
        <f t="shared" si="7"/>
        <v>3.2455957680000001E-2</v>
      </c>
      <c r="O43">
        <f t="shared" si="8"/>
        <v>5.9400526320000004E-3</v>
      </c>
      <c r="P43">
        <f t="shared" si="9"/>
        <v>-1.3957280724093812E-3</v>
      </c>
      <c r="V43">
        <v>-2.1000000000000099</v>
      </c>
      <c r="W43">
        <f t="shared" si="12"/>
        <v>-0.50740699999999916</v>
      </c>
    </row>
    <row r="44" spans="1:23" x14ac:dyDescent="0.3">
      <c r="A44" s="1">
        <v>2.0942104000000001</v>
      </c>
      <c r="B44" s="1">
        <v>0.57856041000000002</v>
      </c>
      <c r="C44">
        <f t="shared" si="0"/>
        <v>1.2116272276502642</v>
      </c>
      <c r="D44">
        <v>1.5900000000000001E-2</v>
      </c>
      <c r="E44">
        <v>2.9099999999999998E-3</v>
      </c>
      <c r="F44">
        <f t="shared" si="1"/>
        <v>418.84208000000001</v>
      </c>
      <c r="G44">
        <f t="shared" si="2"/>
        <v>-0.57856041000000002</v>
      </c>
      <c r="H44">
        <f t="shared" si="3"/>
        <v>-242.32544553005283</v>
      </c>
      <c r="I44">
        <v>1</v>
      </c>
      <c r="J44">
        <f t="shared" si="4"/>
        <v>-0.87026132747836782</v>
      </c>
      <c r="K44">
        <f t="shared" si="5"/>
        <v>-0.64316474177521743</v>
      </c>
      <c r="L44">
        <v>1</v>
      </c>
      <c r="M44">
        <f t="shared" si="6"/>
        <v>0.6047162211566367</v>
      </c>
      <c r="N44">
        <f t="shared" si="7"/>
        <v>3.3297945360000004E-2</v>
      </c>
      <c r="O44">
        <f t="shared" si="8"/>
        <v>6.0941522640000001E-3</v>
      </c>
      <c r="P44">
        <f t="shared" si="9"/>
        <v>-9.4357700541927627E-4</v>
      </c>
      <c r="V44">
        <v>-2.0000000000000102</v>
      </c>
      <c r="W44">
        <f t="shared" si="12"/>
        <v>-0.51531999999999911</v>
      </c>
    </row>
    <row r="45" spans="1:23" x14ac:dyDescent="0.3">
      <c r="A45" s="1">
        <v>2.146147</v>
      </c>
      <c r="B45" s="1">
        <v>0.57525729999999997</v>
      </c>
      <c r="C45">
        <f t="shared" si="0"/>
        <v>1.2345867286231</v>
      </c>
      <c r="D45">
        <v>1.5900000000000001E-2</v>
      </c>
      <c r="E45">
        <v>2.9099999999999998E-3</v>
      </c>
      <c r="F45">
        <f t="shared" si="1"/>
        <v>429.2294</v>
      </c>
      <c r="G45">
        <f t="shared" si="2"/>
        <v>-0.57525729999999997</v>
      </c>
      <c r="H45">
        <f t="shared" si="3"/>
        <v>-246.91734572462002</v>
      </c>
      <c r="I45">
        <v>1</v>
      </c>
      <c r="J45">
        <f t="shared" si="4"/>
        <v>-0.84576377103756284</v>
      </c>
      <c r="K45">
        <f t="shared" si="5"/>
        <v>-0.64646785177521748</v>
      </c>
      <c r="L45">
        <v>1</v>
      </c>
      <c r="M45">
        <f t="shared" si="6"/>
        <v>0.60665471279779759</v>
      </c>
      <c r="N45">
        <f t="shared" si="7"/>
        <v>3.4123737300000005E-2</v>
      </c>
      <c r="O45">
        <f t="shared" si="8"/>
        <v>6.2452877699999999E-3</v>
      </c>
      <c r="P45">
        <f t="shared" si="9"/>
        <v>-5.5588609258011221E-4</v>
      </c>
      <c r="V45">
        <v>-1.9000000000000099</v>
      </c>
      <c r="W45">
        <f t="shared" si="12"/>
        <v>-0.52323299999999917</v>
      </c>
    </row>
    <row r="46" spans="1:23" x14ac:dyDescent="0.3">
      <c r="A46" s="1">
        <v>2.1985929999999998</v>
      </c>
      <c r="B46" s="1">
        <v>0.57185881999999999</v>
      </c>
      <c r="C46">
        <f t="shared" si="0"/>
        <v>1.2572847986402598</v>
      </c>
      <c r="D46">
        <v>1.5900000000000001E-2</v>
      </c>
      <c r="E46">
        <v>2.9099999999999998E-3</v>
      </c>
      <c r="F46">
        <f t="shared" si="1"/>
        <v>439.71859999999998</v>
      </c>
      <c r="G46">
        <f t="shared" si="2"/>
        <v>-0.57185881999999999</v>
      </c>
      <c r="H46">
        <f t="shared" si="3"/>
        <v>-251.45695972805194</v>
      </c>
      <c r="I46">
        <v>1</v>
      </c>
      <c r="J46">
        <f t="shared" si="4"/>
        <v>-0.82162030212080706</v>
      </c>
      <c r="K46">
        <f t="shared" si="5"/>
        <v>-0.64986633177521747</v>
      </c>
      <c r="L46">
        <v>1</v>
      </c>
      <c r="M46">
        <f t="shared" si="6"/>
        <v>0.6085651854931805</v>
      </c>
      <c r="N46">
        <f t="shared" si="7"/>
        <v>3.49576287E-2</v>
      </c>
      <c r="O46">
        <f t="shared" si="8"/>
        <v>6.397905629999999E-3</v>
      </c>
      <c r="P46">
        <f t="shared" si="9"/>
        <v>-5.4388047963038755E-5</v>
      </c>
      <c r="V46">
        <v>-1.80000000000001</v>
      </c>
      <c r="W46">
        <f t="shared" si="12"/>
        <v>-0.53114599999999912</v>
      </c>
    </row>
    <row r="47" spans="1:23" x14ac:dyDescent="0.3">
      <c r="A47" s="1">
        <v>2.2495115000000001</v>
      </c>
      <c r="B47" s="1">
        <v>0.56878483000000002</v>
      </c>
      <c r="C47">
        <f t="shared" si="0"/>
        <v>1.2794880161105451</v>
      </c>
      <c r="D47">
        <v>1.5900000000000001E-2</v>
      </c>
      <c r="E47">
        <v>2.9099999999999998E-3</v>
      </c>
      <c r="F47">
        <f t="shared" si="1"/>
        <v>449.90230000000003</v>
      </c>
      <c r="G47">
        <f t="shared" si="2"/>
        <v>-0.56878483000000002</v>
      </c>
      <c r="H47">
        <f t="shared" si="3"/>
        <v>-255.89760322210901</v>
      </c>
      <c r="I47">
        <v>1</v>
      </c>
      <c r="J47">
        <f t="shared" si="4"/>
        <v>-0.79872483090091184</v>
      </c>
      <c r="K47">
        <f t="shared" si="5"/>
        <v>-0.65294032177521744</v>
      </c>
      <c r="L47">
        <v>1</v>
      </c>
      <c r="M47">
        <f t="shared" si="6"/>
        <v>0.6103769041308108</v>
      </c>
      <c r="N47">
        <f t="shared" si="7"/>
        <v>3.5767232850000004E-2</v>
      </c>
      <c r="O47">
        <f t="shared" si="8"/>
        <v>6.5460784649999998E-3</v>
      </c>
      <c r="P47">
        <f t="shared" si="9"/>
        <v>2.5010632940662778E-4</v>
      </c>
      <c r="V47">
        <v>-1.7000000000000199</v>
      </c>
      <c r="W47">
        <f t="shared" si="12"/>
        <v>-0.5390589999999984</v>
      </c>
    </row>
    <row r="48" spans="1:23" x14ac:dyDescent="0.3">
      <c r="A48" s="1">
        <v>2.3024665999999998</v>
      </c>
      <c r="B48" s="1">
        <v>0.56551998999999997</v>
      </c>
      <c r="C48">
        <f t="shared" si="0"/>
        <v>1.3020908886073339</v>
      </c>
      <c r="D48">
        <v>1.5900000000000001E-2</v>
      </c>
      <c r="E48">
        <v>2.9099999999999998E-3</v>
      </c>
      <c r="F48">
        <f t="shared" si="1"/>
        <v>460.49331999999998</v>
      </c>
      <c r="G48">
        <f t="shared" si="2"/>
        <v>-0.56551998999999997</v>
      </c>
      <c r="H48">
        <f t="shared" si="3"/>
        <v>-260.4181777214668</v>
      </c>
      <c r="I48">
        <v>1</v>
      </c>
      <c r="J48">
        <f t="shared" si="4"/>
        <v>-0.77545692936375799</v>
      </c>
      <c r="K48">
        <f t="shared" si="5"/>
        <v>-0.65620516177521748</v>
      </c>
      <c r="L48">
        <v>1</v>
      </c>
      <c r="M48">
        <f t="shared" si="6"/>
        <v>0.61221809317944575</v>
      </c>
      <c r="N48">
        <f t="shared" si="7"/>
        <v>3.660921894E-2</v>
      </c>
      <c r="O48">
        <f t="shared" si="8"/>
        <v>6.7001778059999993E-3</v>
      </c>
      <c r="P48">
        <f t="shared" si="9"/>
        <v>6.7767184977172816E-4</v>
      </c>
      <c r="V48">
        <v>-1.6000000000000201</v>
      </c>
      <c r="W48">
        <f t="shared" si="12"/>
        <v>-0.54697199999999835</v>
      </c>
    </row>
    <row r="49" spans="1:23" x14ac:dyDescent="0.3">
      <c r="A49" s="1">
        <v>2.3544030999999999</v>
      </c>
      <c r="B49" s="1">
        <v>0.56200689000000004</v>
      </c>
      <c r="C49">
        <f t="shared" si="0"/>
        <v>1.323190764037359</v>
      </c>
      <c r="D49">
        <v>1.5900000000000001E-2</v>
      </c>
      <c r="E49">
        <v>2.9099999999999998E-3</v>
      </c>
      <c r="F49">
        <f t="shared" si="1"/>
        <v>470.88061999999996</v>
      </c>
      <c r="G49">
        <f t="shared" si="2"/>
        <v>-0.56200689000000004</v>
      </c>
      <c r="H49">
        <f t="shared" si="3"/>
        <v>-264.63815280747178</v>
      </c>
      <c r="I49">
        <v>1</v>
      </c>
      <c r="J49">
        <f t="shared" si="4"/>
        <v>-0.75315067781418521</v>
      </c>
      <c r="K49">
        <f t="shared" si="5"/>
        <v>-0.65971826177521742</v>
      </c>
      <c r="L49">
        <v>1</v>
      </c>
      <c r="M49">
        <f t="shared" si="6"/>
        <v>0.61398318686456343</v>
      </c>
      <c r="N49">
        <f t="shared" si="7"/>
        <v>3.7435009290000001E-2</v>
      </c>
      <c r="O49">
        <f t="shared" si="8"/>
        <v>6.851313020999999E-3</v>
      </c>
      <c r="P49">
        <f t="shared" si="9"/>
        <v>1.4487525996539829E-3</v>
      </c>
      <c r="V49">
        <v>-1.50000000000002</v>
      </c>
      <c r="W49">
        <f t="shared" si="12"/>
        <v>-0.55488499999999841</v>
      </c>
    </row>
    <row r="50" spans="1:23" x14ac:dyDescent="0.3">
      <c r="A50" s="1">
        <v>2.4053214999999999</v>
      </c>
      <c r="B50" s="1">
        <v>0.55872290999999996</v>
      </c>
      <c r="C50">
        <f t="shared" si="0"/>
        <v>1.3439082279655648</v>
      </c>
      <c r="D50">
        <v>1.5900000000000001E-2</v>
      </c>
      <c r="E50">
        <v>2.9099999999999998E-3</v>
      </c>
      <c r="F50">
        <f t="shared" si="1"/>
        <v>481.0643</v>
      </c>
      <c r="G50">
        <f t="shared" si="2"/>
        <v>-0.55872290999999996</v>
      </c>
      <c r="H50">
        <f t="shared" si="3"/>
        <v>-268.78164559311296</v>
      </c>
      <c r="I50">
        <v>1</v>
      </c>
      <c r="J50">
        <f t="shared" si="4"/>
        <v>-0.73175433797704881</v>
      </c>
      <c r="K50">
        <f t="shared" si="5"/>
        <v>-0.66300224177521749</v>
      </c>
      <c r="L50">
        <v>1</v>
      </c>
      <c r="M50">
        <f t="shared" si="6"/>
        <v>0.61567627923587609</v>
      </c>
      <c r="N50">
        <f t="shared" si="7"/>
        <v>3.8244611849999999E-2</v>
      </c>
      <c r="O50">
        <f t="shared" si="8"/>
        <v>6.9994855649999996E-3</v>
      </c>
      <c r="P50">
        <f t="shared" si="9"/>
        <v>2.0818651243414057E-3</v>
      </c>
      <c r="V50">
        <v>-1.4000000000000199</v>
      </c>
      <c r="W50">
        <f t="shared" si="12"/>
        <v>-0.56279799999999836</v>
      </c>
    </row>
    <row r="51" spans="1:23" x14ac:dyDescent="0.3">
      <c r="A51" s="1">
        <v>2.4557307000000002</v>
      </c>
      <c r="B51" s="1">
        <v>0.55545800999999995</v>
      </c>
      <c r="C51">
        <f t="shared" si="0"/>
        <v>1.3640552877179069</v>
      </c>
      <c r="D51">
        <v>1.5900000000000001E-2</v>
      </c>
      <c r="E51">
        <v>2.9099999999999998E-3</v>
      </c>
      <c r="F51">
        <f t="shared" si="1"/>
        <v>491.14614000000006</v>
      </c>
      <c r="G51">
        <f t="shared" si="2"/>
        <v>-0.55545800999999995</v>
      </c>
      <c r="H51">
        <f t="shared" si="3"/>
        <v>-272.81105754358134</v>
      </c>
      <c r="I51">
        <v>1</v>
      </c>
      <c r="J51">
        <f t="shared" si="4"/>
        <v>-0.71101355799832067</v>
      </c>
      <c r="K51">
        <f t="shared" si="5"/>
        <v>-0.66626714177521751</v>
      </c>
      <c r="L51">
        <v>1</v>
      </c>
      <c r="M51">
        <f t="shared" si="6"/>
        <v>0.61731749715559281</v>
      </c>
      <c r="N51">
        <f t="shared" si="7"/>
        <v>3.9046118130000002E-2</v>
      </c>
      <c r="O51">
        <f t="shared" si="8"/>
        <v>7.1461763369999997E-3</v>
      </c>
      <c r="P51">
        <f t="shared" si="9"/>
        <v>2.757350152624698E-3</v>
      </c>
      <c r="V51">
        <v>-1.30000000000002</v>
      </c>
      <c r="W51">
        <f t="shared" si="12"/>
        <v>-0.57071099999999841</v>
      </c>
    </row>
    <row r="52" spans="1:23" x14ac:dyDescent="0.3">
      <c r="A52" s="1">
        <v>2.5066487</v>
      </c>
      <c r="B52" s="1">
        <v>0.55242228999999998</v>
      </c>
      <c r="C52">
        <f t="shared" si="0"/>
        <v>1.3847286150795228</v>
      </c>
      <c r="D52">
        <v>1.5900000000000001E-2</v>
      </c>
      <c r="E52">
        <v>2.9099999999999998E-3</v>
      </c>
      <c r="F52">
        <f t="shared" si="1"/>
        <v>501.32974000000002</v>
      </c>
      <c r="G52">
        <f t="shared" si="2"/>
        <v>-0.55242228999999998</v>
      </c>
      <c r="H52">
        <f t="shared" si="3"/>
        <v>-276.94572301590455</v>
      </c>
      <c r="I52">
        <v>1</v>
      </c>
      <c r="J52">
        <f t="shared" si="4"/>
        <v>-0.69049123071934015</v>
      </c>
      <c r="K52">
        <f t="shared" si="5"/>
        <v>-0.66930286177521747</v>
      </c>
      <c r="L52">
        <v>1</v>
      </c>
      <c r="M52">
        <f t="shared" si="6"/>
        <v>0.6189414289131786</v>
      </c>
      <c r="N52">
        <f t="shared" si="7"/>
        <v>3.985571433E-2</v>
      </c>
      <c r="O52">
        <f t="shared" si="8"/>
        <v>7.2943477169999998E-3</v>
      </c>
      <c r="P52">
        <f t="shared" si="9"/>
        <v>3.2113708150388687E-3</v>
      </c>
      <c r="V52">
        <v>-1.2000000000000199</v>
      </c>
      <c r="W52">
        <f t="shared" si="12"/>
        <v>-0.57862399999999836</v>
      </c>
    </row>
    <row r="53" spans="1:23" x14ac:dyDescent="0.3">
      <c r="A53" s="1">
        <v>2.5585854000000001</v>
      </c>
      <c r="B53" s="1">
        <v>0.54936742999999999</v>
      </c>
      <c r="C53">
        <f t="shared" si="0"/>
        <v>1.405603485633522</v>
      </c>
      <c r="D53">
        <v>1.5900000000000001E-2</v>
      </c>
      <c r="E53">
        <v>2.9099999999999998E-3</v>
      </c>
      <c r="F53">
        <f t="shared" si="1"/>
        <v>511.71708000000001</v>
      </c>
      <c r="G53">
        <f t="shared" si="2"/>
        <v>-0.54936742999999999</v>
      </c>
      <c r="H53">
        <f t="shared" si="3"/>
        <v>-281.12069712670439</v>
      </c>
      <c r="I53">
        <v>1</v>
      </c>
      <c r="J53">
        <f t="shared" si="4"/>
        <v>-0.66998338479518649</v>
      </c>
      <c r="K53">
        <f t="shared" si="5"/>
        <v>-0.67235772177521747</v>
      </c>
      <c r="L53">
        <v>1</v>
      </c>
      <c r="M53">
        <f t="shared" si="6"/>
        <v>0.62056421476115686</v>
      </c>
      <c r="N53">
        <f t="shared" si="7"/>
        <v>4.0681507860000007E-2</v>
      </c>
      <c r="O53">
        <f t="shared" si="8"/>
        <v>7.4454835139999998E-3</v>
      </c>
      <c r="P53">
        <f t="shared" si="9"/>
        <v>3.6665156400605952E-3</v>
      </c>
      <c r="V53">
        <v>-1.1000000000000201</v>
      </c>
      <c r="W53">
        <f t="shared" si="12"/>
        <v>-0.58653699999999831</v>
      </c>
    </row>
    <row r="54" spans="1:23" x14ac:dyDescent="0.3">
      <c r="A54" s="1">
        <v>2.610522</v>
      </c>
      <c r="B54" s="1">
        <v>0.54610252000000004</v>
      </c>
      <c r="C54">
        <f t="shared" si="0"/>
        <v>1.4256126427154401</v>
      </c>
      <c r="D54">
        <v>1.5900000000000001E-2</v>
      </c>
      <c r="E54">
        <v>2.9099999999999998E-3</v>
      </c>
      <c r="F54">
        <f t="shared" si="1"/>
        <v>522.10440000000006</v>
      </c>
      <c r="G54">
        <f t="shared" si="2"/>
        <v>-0.54610252000000004</v>
      </c>
      <c r="H54">
        <f t="shared" si="3"/>
        <v>-285.12252854308804</v>
      </c>
      <c r="I54">
        <v>1</v>
      </c>
      <c r="J54">
        <f t="shared" si="4"/>
        <v>-0.64988771109683197</v>
      </c>
      <c r="K54">
        <f t="shared" si="5"/>
        <v>-0.67562263177521742</v>
      </c>
      <c r="L54">
        <v>1</v>
      </c>
      <c r="M54">
        <f t="shared" si="6"/>
        <v>0.62215438542090762</v>
      </c>
      <c r="N54">
        <f t="shared" si="7"/>
        <v>4.1507299800000001E-2</v>
      </c>
      <c r="O54">
        <f t="shared" si="8"/>
        <v>7.5966190199999997E-3</v>
      </c>
      <c r="P54">
        <f t="shared" si="9"/>
        <v>4.3643275343097998E-3</v>
      </c>
      <c r="V54">
        <v>-1.00000000000002</v>
      </c>
      <c r="W54">
        <f t="shared" si="12"/>
        <v>-0.59444999999999837</v>
      </c>
    </row>
    <row r="55" spans="1:23" x14ac:dyDescent="0.3">
      <c r="A55" s="1">
        <v>2.665513900000001</v>
      </c>
      <c r="B55" s="1">
        <v>0.54314315000000002</v>
      </c>
      <c r="C55">
        <f t="shared" si="0"/>
        <v>1.4477556160147855</v>
      </c>
      <c r="D55">
        <v>1.5900000000000001E-2</v>
      </c>
      <c r="E55">
        <v>2.9099999999999998E-3</v>
      </c>
      <c r="F55">
        <f t="shared" si="1"/>
        <v>533.10278000000017</v>
      </c>
      <c r="G55">
        <f t="shared" si="2"/>
        <v>-0.54314315000000002</v>
      </c>
      <c r="H55">
        <f t="shared" si="3"/>
        <v>-289.55112320295711</v>
      </c>
      <c r="I55">
        <v>1</v>
      </c>
      <c r="J55">
        <f t="shared" si="4"/>
        <v>-0.62904104038555131</v>
      </c>
      <c r="K55">
        <f t="shared" si="5"/>
        <v>-0.67858200177521744</v>
      </c>
      <c r="L55">
        <v>1</v>
      </c>
      <c r="M55">
        <f t="shared" si="6"/>
        <v>0.62380398247429125</v>
      </c>
      <c r="N55">
        <f t="shared" si="7"/>
        <v>4.2381671010000017E-2</v>
      </c>
      <c r="O55">
        <f t="shared" si="8"/>
        <v>7.7566454490000025E-3</v>
      </c>
      <c r="P55">
        <f t="shared" si="9"/>
        <v>4.6397028419261641E-3</v>
      </c>
      <c r="V55">
        <v>-0.90000000000002001</v>
      </c>
      <c r="W55">
        <f t="shared" si="12"/>
        <v>-0.60236299999999843</v>
      </c>
    </row>
    <row r="56" spans="1:23" x14ac:dyDescent="0.3">
      <c r="A56" s="1">
        <v>2.7159230999999999</v>
      </c>
      <c r="B56" s="1">
        <v>0.53974462000000001</v>
      </c>
      <c r="C56">
        <f t="shared" si="0"/>
        <v>1.4659048815587219</v>
      </c>
      <c r="D56">
        <v>1.5900000000000001E-2</v>
      </c>
      <c r="E56">
        <v>2.9099999999999998E-3</v>
      </c>
      <c r="F56">
        <f t="shared" si="1"/>
        <v>543.18462</v>
      </c>
      <c r="G56">
        <f t="shared" si="2"/>
        <v>-0.53974462000000001</v>
      </c>
      <c r="H56">
        <f t="shared" si="3"/>
        <v>-293.18097631174436</v>
      </c>
      <c r="I56">
        <v>1</v>
      </c>
      <c r="J56">
        <f t="shared" si="4"/>
        <v>-0.61030601683510366</v>
      </c>
      <c r="K56">
        <f t="shared" si="5"/>
        <v>-0.68198053177521745</v>
      </c>
      <c r="L56">
        <v>1</v>
      </c>
      <c r="M56">
        <f t="shared" si="6"/>
        <v>0.62528648488783822</v>
      </c>
      <c r="N56">
        <f t="shared" si="7"/>
        <v>4.3183177289999999E-2</v>
      </c>
      <c r="O56">
        <f t="shared" si="8"/>
        <v>7.9033362209999999E-3</v>
      </c>
      <c r="P56">
        <f t="shared" si="9"/>
        <v>5.6075333763792243E-3</v>
      </c>
      <c r="V56">
        <v>-0.80000000000002003</v>
      </c>
      <c r="W56">
        <f t="shared" si="12"/>
        <v>-0.61027599999999838</v>
      </c>
    </row>
    <row r="57" spans="1:23" x14ac:dyDescent="0.3">
      <c r="A57" s="1">
        <v>2.7683691000000001</v>
      </c>
      <c r="B57" s="1">
        <v>0.53699523000000005</v>
      </c>
      <c r="C57">
        <f t="shared" si="0"/>
        <v>1.4866010015793931</v>
      </c>
      <c r="D57">
        <v>1.5900000000000001E-2</v>
      </c>
      <c r="E57">
        <v>2.9099999999999998E-3</v>
      </c>
      <c r="F57">
        <f t="shared" si="1"/>
        <v>553.67381999999998</v>
      </c>
      <c r="G57">
        <f t="shared" si="2"/>
        <v>-0.53699523000000005</v>
      </c>
      <c r="H57">
        <f t="shared" si="3"/>
        <v>-297.32020031587865</v>
      </c>
      <c r="I57">
        <v>1</v>
      </c>
      <c r="J57">
        <f t="shared" si="4"/>
        <v>-0.59117953819265912</v>
      </c>
      <c r="K57">
        <f t="shared" si="5"/>
        <v>-0.68472992177521741</v>
      </c>
      <c r="L57">
        <v>1</v>
      </c>
      <c r="M57">
        <f t="shared" si="6"/>
        <v>0.62679996314281483</v>
      </c>
      <c r="N57">
        <f t="shared" si="7"/>
        <v>4.4017068690000008E-2</v>
      </c>
      <c r="O57">
        <f t="shared" si="8"/>
        <v>8.0559540810000007E-3</v>
      </c>
      <c r="P57">
        <f t="shared" si="9"/>
        <v>5.8569358614025697E-3</v>
      </c>
      <c r="V57">
        <v>-0.70000000000002005</v>
      </c>
      <c r="W57">
        <f t="shared" si="12"/>
        <v>-0.61818899999999832</v>
      </c>
    </row>
    <row r="58" spans="1:23" x14ac:dyDescent="0.3">
      <c r="A58" s="1">
        <v>2.8218333000000002</v>
      </c>
      <c r="B58" s="1">
        <v>0.53353941000000005</v>
      </c>
      <c r="C58">
        <f t="shared" si="0"/>
        <v>1.5055592740003532</v>
      </c>
      <c r="D58">
        <v>1.5900000000000001E-2</v>
      </c>
      <c r="E58">
        <v>2.9099999999999998E-3</v>
      </c>
      <c r="F58">
        <f t="shared" si="1"/>
        <v>564.36666000000002</v>
      </c>
      <c r="G58">
        <f t="shared" si="2"/>
        <v>-0.53353941000000005</v>
      </c>
      <c r="H58">
        <f t="shared" si="3"/>
        <v>-301.11185480007066</v>
      </c>
      <c r="I58">
        <v>1</v>
      </c>
      <c r="J58">
        <f t="shared" si="4"/>
        <v>-0.57205113232871196</v>
      </c>
      <c r="K58">
        <f t="shared" si="5"/>
        <v>-0.68818574177521741</v>
      </c>
      <c r="L58">
        <v>1</v>
      </c>
      <c r="M58">
        <f t="shared" si="6"/>
        <v>0.62831359389882901</v>
      </c>
      <c r="N58">
        <f t="shared" si="7"/>
        <v>4.4867149470000006E-2</v>
      </c>
      <c r="O58">
        <f t="shared" si="8"/>
        <v>8.2115349030000007E-3</v>
      </c>
      <c r="P58">
        <f t="shared" si="9"/>
        <v>6.7934635033883861E-3</v>
      </c>
      <c r="V58">
        <v>-0.60000000000001996</v>
      </c>
      <c r="W58">
        <f t="shared" si="12"/>
        <v>-0.62610199999999838</v>
      </c>
    </row>
    <row r="59" spans="1:23" x14ac:dyDescent="0.3">
      <c r="A59" s="1">
        <v>2.8727516999999998</v>
      </c>
      <c r="B59" s="1">
        <v>0.53054184000000004</v>
      </c>
      <c r="C59">
        <f t="shared" si="0"/>
        <v>1.5241149727811281</v>
      </c>
      <c r="D59">
        <v>1.5900000000000001E-2</v>
      </c>
      <c r="E59">
        <v>2.9099999999999998E-3</v>
      </c>
      <c r="F59">
        <f t="shared" si="1"/>
        <v>574.55034000000001</v>
      </c>
      <c r="G59">
        <f t="shared" si="2"/>
        <v>-0.53054184000000004</v>
      </c>
      <c r="H59">
        <f t="shared" si="3"/>
        <v>-304.82299455622564</v>
      </c>
      <c r="I59">
        <v>1</v>
      </c>
      <c r="J59">
        <f t="shared" si="4"/>
        <v>-0.55416756151119917</v>
      </c>
      <c r="K59">
        <f t="shared" si="5"/>
        <v>-0.69118331177521741</v>
      </c>
      <c r="L59">
        <v>1</v>
      </c>
      <c r="M59">
        <f t="shared" si="6"/>
        <v>0.62972872085761877</v>
      </c>
      <c r="N59">
        <f t="shared" si="7"/>
        <v>4.5676752029999997E-2</v>
      </c>
      <c r="O59">
        <f t="shared" si="8"/>
        <v>8.3597074469999987E-3</v>
      </c>
      <c r="P59">
        <f t="shared" si="9"/>
        <v>7.4181314405986441E-3</v>
      </c>
      <c r="V59">
        <v>-0.50000000000001998</v>
      </c>
      <c r="W59">
        <f t="shared" si="12"/>
        <v>-0.63401499999999833</v>
      </c>
    </row>
    <row r="60" spans="1:23" x14ac:dyDescent="0.3">
      <c r="A60" s="1">
        <v>2.9267249</v>
      </c>
      <c r="B60" s="1">
        <v>0.52754425999999999</v>
      </c>
      <c r="C60">
        <f t="shared" si="0"/>
        <v>1.543976921594074</v>
      </c>
      <c r="D60">
        <v>1.5900000000000001E-2</v>
      </c>
      <c r="E60">
        <v>2.9099999999999998E-3</v>
      </c>
      <c r="F60">
        <f t="shared" si="1"/>
        <v>585.34497999999996</v>
      </c>
      <c r="G60">
        <f t="shared" si="2"/>
        <v>-0.52754425999999999</v>
      </c>
      <c r="H60">
        <f t="shared" si="3"/>
        <v>-308.7953843188148</v>
      </c>
      <c r="I60">
        <v>1</v>
      </c>
      <c r="J60">
        <f t="shared" si="4"/>
        <v>-0.53555389615883198</v>
      </c>
      <c r="K60">
        <f t="shared" si="5"/>
        <v>-0.69418089177521747</v>
      </c>
      <c r="L60">
        <v>1</v>
      </c>
      <c r="M60">
        <f t="shared" si="6"/>
        <v>0.63120162019695158</v>
      </c>
      <c r="N60">
        <f t="shared" si="7"/>
        <v>4.6534925910000004E-2</v>
      </c>
      <c r="O60">
        <f t="shared" si="8"/>
        <v>8.5167694589999999E-3</v>
      </c>
      <c r="P60">
        <f t="shared" si="9"/>
        <v>7.9275762092658793E-3</v>
      </c>
      <c r="V60">
        <v>-0.40000000000002001</v>
      </c>
      <c r="W60">
        <f t="shared" si="12"/>
        <v>-0.64192799999999839</v>
      </c>
    </row>
    <row r="61" spans="1:23" x14ac:dyDescent="0.3">
      <c r="A61" s="1">
        <v>2.9827351000000002</v>
      </c>
      <c r="B61" s="1">
        <v>0.52437484000000001</v>
      </c>
      <c r="C61">
        <f t="shared" si="0"/>
        <v>1.564071240824884</v>
      </c>
      <c r="D61">
        <v>1.5900000000000001E-2</v>
      </c>
      <c r="E61">
        <v>2.9099999999999998E-3</v>
      </c>
      <c r="F61">
        <f t="shared" si="1"/>
        <v>596.54702000000009</v>
      </c>
      <c r="G61">
        <f t="shared" si="2"/>
        <v>-0.52437484000000001</v>
      </c>
      <c r="H61">
        <f t="shared" si="3"/>
        <v>-312.81424816497679</v>
      </c>
      <c r="I61">
        <v>1</v>
      </c>
      <c r="J61">
        <f t="shared" si="4"/>
        <v>-0.51659721406296477</v>
      </c>
      <c r="K61">
        <f t="shared" si="5"/>
        <v>-0.69735031177521745</v>
      </c>
      <c r="L61">
        <v>1</v>
      </c>
      <c r="M61">
        <f t="shared" si="6"/>
        <v>0.63270166245119752</v>
      </c>
      <c r="N61">
        <f t="shared" si="7"/>
        <v>4.7425488090000009E-2</v>
      </c>
      <c r="O61">
        <f t="shared" si="8"/>
        <v>8.6797591410000003E-3</v>
      </c>
      <c r="P61">
        <f t="shared" si="9"/>
        <v>8.543402093019915E-3</v>
      </c>
      <c r="V61">
        <v>-0.30000000000001997</v>
      </c>
      <c r="W61">
        <f t="shared" si="12"/>
        <v>-0.64984099999999834</v>
      </c>
    </row>
    <row r="62" spans="1:23" x14ac:dyDescent="0.3">
      <c r="A62" s="1">
        <v>3.0346719000000002</v>
      </c>
      <c r="B62" s="1">
        <v>0.52097631</v>
      </c>
      <c r="C62">
        <f t="shared" si="0"/>
        <v>1.5809921685226891</v>
      </c>
      <c r="D62">
        <v>1.5900000000000001E-2</v>
      </c>
      <c r="E62">
        <v>2.9099999999999998E-3</v>
      </c>
      <c r="F62">
        <f t="shared" si="1"/>
        <v>606.93438000000003</v>
      </c>
      <c r="G62">
        <f t="shared" si="2"/>
        <v>-0.52097631</v>
      </c>
      <c r="H62">
        <f t="shared" si="3"/>
        <v>-316.19843370453782</v>
      </c>
      <c r="I62">
        <v>1</v>
      </c>
      <c r="J62">
        <f t="shared" si="4"/>
        <v>-0.49933459920302598</v>
      </c>
      <c r="K62">
        <f t="shared" si="5"/>
        <v>-0.70074884177521746</v>
      </c>
      <c r="L62">
        <v>1</v>
      </c>
      <c r="M62">
        <f t="shared" si="6"/>
        <v>0.63406765316506453</v>
      </c>
      <c r="N62">
        <f t="shared" si="7"/>
        <v>4.8251283210000009E-2</v>
      </c>
      <c r="O62">
        <f t="shared" si="8"/>
        <v>8.8308952289999996E-3</v>
      </c>
      <c r="P62">
        <f t="shared" si="9"/>
        <v>9.5990101711529215E-3</v>
      </c>
      <c r="V62">
        <v>-0.20000000000002</v>
      </c>
      <c r="W62">
        <f t="shared" si="12"/>
        <v>-0.6577539999999984</v>
      </c>
    </row>
    <row r="63" spans="1:23" x14ac:dyDescent="0.3">
      <c r="A63" s="1">
        <v>3.0855901000000001</v>
      </c>
      <c r="B63" s="1">
        <v>0.51797873000000005</v>
      </c>
      <c r="C63">
        <f t="shared" si="0"/>
        <v>1.5982700412985733</v>
      </c>
      <c r="D63">
        <v>1.5900000000000001E-2</v>
      </c>
      <c r="E63">
        <v>2.9099999999999998E-3</v>
      </c>
      <c r="F63">
        <f t="shared" si="1"/>
        <v>617.11802</v>
      </c>
      <c r="G63">
        <f t="shared" si="2"/>
        <v>-0.51797873000000005</v>
      </c>
      <c r="H63">
        <f t="shared" si="3"/>
        <v>-319.65400825971466</v>
      </c>
      <c r="I63">
        <v>1</v>
      </c>
      <c r="J63">
        <f t="shared" si="4"/>
        <v>-0.48269499297953128</v>
      </c>
      <c r="K63">
        <f t="shared" si="5"/>
        <v>-0.7037464217752174</v>
      </c>
      <c r="L63">
        <v>1</v>
      </c>
      <c r="M63">
        <f t="shared" si="6"/>
        <v>0.63538434520552967</v>
      </c>
      <c r="N63">
        <f t="shared" si="7"/>
        <v>4.9060882590000007E-2</v>
      </c>
      <c r="O63">
        <f t="shared" si="8"/>
        <v>8.9790671909999991E-3</v>
      </c>
      <c r="P63">
        <f t="shared" si="9"/>
        <v>1.0322126788687729E-2</v>
      </c>
      <c r="V63">
        <v>-0.10000000000002</v>
      </c>
      <c r="W63">
        <f t="shared" si="12"/>
        <v>-0.66566699999999834</v>
      </c>
    </row>
    <row r="64" spans="1:23" x14ac:dyDescent="0.3">
      <c r="A64" s="1">
        <v>3.1380360999999999</v>
      </c>
      <c r="B64" s="1">
        <v>0.51507663999999997</v>
      </c>
      <c r="C64">
        <f t="shared" si="0"/>
        <v>1.6163290905867038</v>
      </c>
      <c r="D64">
        <v>1.5900000000000001E-2</v>
      </c>
      <c r="E64">
        <v>2.9099999999999998E-3</v>
      </c>
      <c r="F64">
        <f t="shared" si="1"/>
        <v>627.60721999999998</v>
      </c>
      <c r="G64">
        <f t="shared" si="2"/>
        <v>-0.51507663999999997</v>
      </c>
      <c r="H64">
        <f t="shared" si="3"/>
        <v>-323.26581811734076</v>
      </c>
      <c r="I64">
        <v>1</v>
      </c>
      <c r="J64">
        <f t="shared" si="4"/>
        <v>-0.46584075404666553</v>
      </c>
      <c r="K64">
        <f t="shared" si="5"/>
        <v>-0.70664851177521748</v>
      </c>
      <c r="L64">
        <v>1</v>
      </c>
      <c r="M64">
        <f t="shared" si="6"/>
        <v>0.63671802113228726</v>
      </c>
      <c r="N64">
        <f t="shared" si="7"/>
        <v>4.9894773990000002E-2</v>
      </c>
      <c r="O64">
        <f t="shared" si="8"/>
        <v>9.1316850509999999E-3</v>
      </c>
      <c r="P64">
        <f t="shared" si="9"/>
        <v>1.0904031601930219E-2</v>
      </c>
      <c r="V64">
        <v>-2.0428103653102899E-14</v>
      </c>
      <c r="W64">
        <f t="shared" si="12"/>
        <v>-0.67357999999999829</v>
      </c>
    </row>
    <row r="65" spans="1:23" x14ac:dyDescent="0.3">
      <c r="A65" s="1">
        <v>3.1899727000000002</v>
      </c>
      <c r="B65" s="1">
        <v>0.51207906000000003</v>
      </c>
      <c r="C65">
        <f t="shared" si="0"/>
        <v>1.6335182216416622</v>
      </c>
      <c r="D65">
        <v>1.5900000000000001E-2</v>
      </c>
      <c r="E65">
        <v>2.9099999999999998E-3</v>
      </c>
      <c r="F65">
        <f t="shared" si="1"/>
        <v>637.99454000000003</v>
      </c>
      <c r="G65">
        <f t="shared" si="2"/>
        <v>-0.51207906000000003</v>
      </c>
      <c r="H65">
        <f t="shared" si="3"/>
        <v>-326.70364432833242</v>
      </c>
      <c r="I65">
        <v>1</v>
      </c>
      <c r="J65">
        <f t="shared" si="4"/>
        <v>-0.44942555366769743</v>
      </c>
      <c r="K65">
        <f t="shared" si="5"/>
        <v>-0.70964609177521742</v>
      </c>
      <c r="L65">
        <v>1</v>
      </c>
      <c r="M65">
        <f t="shared" si="6"/>
        <v>0.63801695593827501</v>
      </c>
      <c r="N65">
        <f t="shared" si="7"/>
        <v>5.072056593000001E-2</v>
      </c>
      <c r="O65">
        <f t="shared" si="8"/>
        <v>9.2828205570000006E-3</v>
      </c>
      <c r="P65">
        <f t="shared" si="9"/>
        <v>1.1625749349942404E-2</v>
      </c>
      <c r="V65">
        <v>9.9999999999980105E-2</v>
      </c>
      <c r="W65">
        <f t="shared" si="12"/>
        <v>-0.68149299999999835</v>
      </c>
    </row>
    <row r="66" spans="1:23" x14ac:dyDescent="0.3">
      <c r="A66" s="1">
        <v>3.2408909000000001</v>
      </c>
      <c r="B66" s="1">
        <v>0.50904327999999999</v>
      </c>
      <c r="C66">
        <f t="shared" si="0"/>
        <v>1.649753733858152</v>
      </c>
      <c r="D66">
        <v>1.5900000000000001E-2</v>
      </c>
      <c r="E66">
        <v>2.9099999999999998E-3</v>
      </c>
      <c r="F66">
        <f t="shared" si="1"/>
        <v>648.17818</v>
      </c>
      <c r="G66">
        <f t="shared" si="2"/>
        <v>-0.50904327999999999</v>
      </c>
      <c r="H66">
        <f t="shared" si="3"/>
        <v>-329.95074677163041</v>
      </c>
      <c r="I66">
        <v>1</v>
      </c>
      <c r="J66">
        <f t="shared" si="4"/>
        <v>-0.43358965129114413</v>
      </c>
      <c r="K66">
        <f t="shared" si="5"/>
        <v>-0.71268187177521747</v>
      </c>
      <c r="L66">
        <v>1</v>
      </c>
      <c r="M66">
        <f t="shared" si="6"/>
        <v>0.63927005089333178</v>
      </c>
      <c r="N66">
        <f t="shared" si="7"/>
        <v>5.1530165310000008E-2</v>
      </c>
      <c r="O66">
        <f t="shared" si="8"/>
        <v>9.4309925190000001E-3</v>
      </c>
      <c r="P66">
        <f t="shared" si="9"/>
        <v>1.2450663052885684E-2</v>
      </c>
      <c r="V66">
        <v>0.19999999999998</v>
      </c>
      <c r="W66">
        <f t="shared" si="12"/>
        <v>-0.68940599999999841</v>
      </c>
    </row>
    <row r="67" spans="1:23" x14ac:dyDescent="0.3">
      <c r="A67" s="1">
        <v>3.2928275999999999</v>
      </c>
      <c r="B67" s="1">
        <v>0.50612204999999999</v>
      </c>
      <c r="C67">
        <f t="shared" si="0"/>
        <v>1.66657265520858</v>
      </c>
      <c r="D67">
        <v>1.5900000000000001E-2</v>
      </c>
      <c r="E67">
        <v>2.9099999999999998E-3</v>
      </c>
      <c r="F67">
        <f t="shared" si="1"/>
        <v>658.56551999999999</v>
      </c>
      <c r="G67">
        <f t="shared" si="2"/>
        <v>-0.50612204999999999</v>
      </c>
      <c r="H67">
        <f t="shared" si="3"/>
        <v>-333.31453104171601</v>
      </c>
      <c r="I67">
        <v>1</v>
      </c>
      <c r="J67">
        <f t="shared" si="4"/>
        <v>-0.41769126388743683</v>
      </c>
      <c r="K67">
        <f t="shared" si="5"/>
        <v>-0.71560310177521746</v>
      </c>
      <c r="L67">
        <v>1</v>
      </c>
      <c r="M67">
        <f t="shared" si="6"/>
        <v>0.64052809028858704</v>
      </c>
      <c r="N67">
        <f t="shared" si="7"/>
        <v>5.2355958840000001E-2</v>
      </c>
      <c r="O67">
        <f t="shared" si="8"/>
        <v>9.5821283159999993E-3</v>
      </c>
      <c r="P67">
        <f t="shared" si="9"/>
        <v>1.3136924330630427E-2</v>
      </c>
      <c r="V67">
        <v>0.29999999999998</v>
      </c>
      <c r="W67">
        <f t="shared" si="12"/>
        <v>-0.69731899999999836</v>
      </c>
    </row>
    <row r="68" spans="1:23" x14ac:dyDescent="0.3">
      <c r="A68" s="1">
        <v>3.3432368000000001</v>
      </c>
      <c r="B68" s="1">
        <v>0.50295263999999995</v>
      </c>
      <c r="C68">
        <f t="shared" ref="C68:C131" si="13">A68*B68</f>
        <v>1.6814897747051518</v>
      </c>
      <c r="D68">
        <v>1.5900000000000001E-2</v>
      </c>
      <c r="E68">
        <v>2.9099999999999998E-3</v>
      </c>
      <c r="F68">
        <f t="shared" ref="F68:F131" si="14">A68*200</f>
        <v>668.64736000000005</v>
      </c>
      <c r="G68">
        <f t="shared" ref="G68:G131" si="15">-B68</f>
        <v>-0.50295263999999995</v>
      </c>
      <c r="H68">
        <f t="shared" ref="H68:H131" si="16">-C68*200</f>
        <v>-336.29795494103035</v>
      </c>
      <c r="I68">
        <v>1</v>
      </c>
      <c r="J68">
        <f t="shared" ref="J68:J131" si="17">LN(F68/1000)</f>
        <v>-0.40249847292507035</v>
      </c>
      <c r="K68">
        <f t="shared" ref="K68:K131" si="18">((-G68)-$N$2)</f>
        <v>-0.7187725117752175</v>
      </c>
      <c r="L68">
        <v>1</v>
      </c>
      <c r="M68">
        <f t="shared" ref="M68:M131" si="19">-1*($S$4+($S$5*J68))</f>
        <v>0.64173029583743912</v>
      </c>
      <c r="N68">
        <f t="shared" ref="N68:N131" si="20">D68*A68</f>
        <v>5.3157465120000004E-2</v>
      </c>
      <c r="O68">
        <f t="shared" ref="O68:O131" si="21">E68*A68</f>
        <v>9.7288190879999993E-3</v>
      </c>
      <c r="P68">
        <f t="shared" ref="P68:P131" si="22">-K68-M68-N68-O68</f>
        <v>1.4155931729778377E-2</v>
      </c>
      <c r="V68">
        <v>0.39999999999997998</v>
      </c>
      <c r="W68">
        <f t="shared" ref="W68:W99" si="23">V68*$S$5+$S$4</f>
        <v>-0.70523199999999842</v>
      </c>
    </row>
    <row r="69" spans="1:23" x14ac:dyDescent="0.3">
      <c r="A69" s="1">
        <v>3.3936459999999999</v>
      </c>
      <c r="B69" s="1">
        <v>0.50048965000000001</v>
      </c>
      <c r="C69">
        <f t="shared" si="13"/>
        <v>1.6984846987639</v>
      </c>
      <c r="D69">
        <v>1.5900000000000001E-2</v>
      </c>
      <c r="E69">
        <v>2.9099999999999998E-3</v>
      </c>
      <c r="F69">
        <f t="shared" si="14"/>
        <v>678.72919999999999</v>
      </c>
      <c r="G69">
        <f t="shared" si="15"/>
        <v>-0.50048965000000001</v>
      </c>
      <c r="H69">
        <f t="shared" si="16"/>
        <v>-339.69693975278</v>
      </c>
      <c r="I69">
        <v>1</v>
      </c>
      <c r="J69">
        <f t="shared" si="17"/>
        <v>-0.38753305277076533</v>
      </c>
      <c r="K69">
        <f t="shared" si="18"/>
        <v>-0.72123550177521745</v>
      </c>
      <c r="L69">
        <v>1</v>
      </c>
      <c r="M69">
        <f t="shared" si="19"/>
        <v>0.64291450953424933</v>
      </c>
      <c r="N69">
        <f t="shared" si="20"/>
        <v>5.39589714E-2</v>
      </c>
      <c r="O69">
        <f t="shared" si="21"/>
        <v>9.8755098599999994E-3</v>
      </c>
      <c r="P69">
        <f t="shared" si="22"/>
        <v>1.4486510980968113E-2</v>
      </c>
      <c r="V69">
        <v>0.49999999999998002</v>
      </c>
      <c r="W69">
        <f t="shared" si="23"/>
        <v>-0.71314499999999836</v>
      </c>
    </row>
    <row r="70" spans="1:23" x14ac:dyDescent="0.3">
      <c r="A70" s="1">
        <v>3.4450737</v>
      </c>
      <c r="B70" s="1">
        <v>0.49720569999999997</v>
      </c>
      <c r="C70">
        <f t="shared" si="13"/>
        <v>1.71291028056009</v>
      </c>
      <c r="D70">
        <v>1.5900000000000001E-2</v>
      </c>
      <c r="E70">
        <v>2.9099999999999998E-3</v>
      </c>
      <c r="F70">
        <f t="shared" si="14"/>
        <v>689.01473999999996</v>
      </c>
      <c r="G70">
        <f t="shared" si="15"/>
        <v>-0.49720569999999997</v>
      </c>
      <c r="H70">
        <f t="shared" si="16"/>
        <v>-342.58205611201799</v>
      </c>
      <c r="I70">
        <v>1</v>
      </c>
      <c r="J70">
        <f t="shared" si="17"/>
        <v>-0.37249261487365493</v>
      </c>
      <c r="K70">
        <f t="shared" si="18"/>
        <v>-0.72451945177521748</v>
      </c>
      <c r="L70">
        <v>1</v>
      </c>
      <c r="M70">
        <f t="shared" si="19"/>
        <v>0.64410465938504768</v>
      </c>
      <c r="N70">
        <f t="shared" si="20"/>
        <v>5.4776671830000005E-2</v>
      </c>
      <c r="O70">
        <f t="shared" si="21"/>
        <v>1.0025164466999999E-2</v>
      </c>
      <c r="P70">
        <f t="shared" si="22"/>
        <v>1.5612956093169794E-2</v>
      </c>
      <c r="V70">
        <v>0.59999999999997999</v>
      </c>
      <c r="W70">
        <f t="shared" si="23"/>
        <v>-0.72105799999999842</v>
      </c>
    </row>
    <row r="71" spans="1:23" x14ac:dyDescent="0.3">
      <c r="A71" s="1">
        <v>3.4959918999999999</v>
      </c>
      <c r="B71" s="1">
        <v>0.49441814000000001</v>
      </c>
      <c r="C71">
        <f t="shared" si="13"/>
        <v>1.7284818126530659</v>
      </c>
      <c r="D71">
        <v>1.5900000000000001E-2</v>
      </c>
      <c r="E71">
        <v>2.9099999999999998E-3</v>
      </c>
      <c r="F71">
        <f t="shared" si="14"/>
        <v>699.19838000000004</v>
      </c>
      <c r="G71">
        <f t="shared" si="15"/>
        <v>-0.49441814000000001</v>
      </c>
      <c r="H71">
        <f t="shared" si="16"/>
        <v>-345.69636253061316</v>
      </c>
      <c r="I71">
        <v>1</v>
      </c>
      <c r="J71">
        <f t="shared" si="17"/>
        <v>-0.35782077157713388</v>
      </c>
      <c r="K71">
        <f t="shared" si="18"/>
        <v>-0.72730701177521739</v>
      </c>
      <c r="L71">
        <v>1</v>
      </c>
      <c r="M71">
        <f t="shared" si="19"/>
        <v>0.64526564234510131</v>
      </c>
      <c r="N71">
        <f t="shared" si="20"/>
        <v>5.5586271210000003E-2</v>
      </c>
      <c r="O71">
        <f t="shared" si="21"/>
        <v>1.0173336428999999E-2</v>
      </c>
      <c r="P71">
        <f t="shared" si="22"/>
        <v>1.6281761791116081E-2</v>
      </c>
      <c r="V71">
        <v>0.69999999999997997</v>
      </c>
      <c r="W71">
        <f t="shared" si="23"/>
        <v>-0.72897099999999837</v>
      </c>
    </row>
    <row r="72" spans="1:23" x14ac:dyDescent="0.3">
      <c r="A72" s="1">
        <v>3.5469102000000001</v>
      </c>
      <c r="B72" s="1">
        <v>0.49142057</v>
      </c>
      <c r="C72">
        <f t="shared" si="13"/>
        <v>1.743024632222814</v>
      </c>
      <c r="D72">
        <v>1.5900000000000001E-2</v>
      </c>
      <c r="E72">
        <v>2.9099999999999998E-3</v>
      </c>
      <c r="F72">
        <f t="shared" si="14"/>
        <v>709.38204000000007</v>
      </c>
      <c r="G72">
        <f t="shared" si="15"/>
        <v>-0.49142057</v>
      </c>
      <c r="H72">
        <f t="shared" si="16"/>
        <v>-348.60492644456281</v>
      </c>
      <c r="I72">
        <v>1</v>
      </c>
      <c r="J72">
        <f t="shared" si="17"/>
        <v>-0.34336105413253942</v>
      </c>
      <c r="K72">
        <f t="shared" si="18"/>
        <v>-0.7303045817752174</v>
      </c>
      <c r="L72">
        <v>1</v>
      </c>
      <c r="M72">
        <f t="shared" si="19"/>
        <v>0.64640983978649214</v>
      </c>
      <c r="N72">
        <f t="shared" si="20"/>
        <v>5.6395872180000008E-2</v>
      </c>
      <c r="O72">
        <f t="shared" si="21"/>
        <v>1.0321508682E-2</v>
      </c>
      <c r="P72">
        <f t="shared" si="22"/>
        <v>1.7177361126725257E-2</v>
      </c>
      <c r="V72">
        <v>0.79999999999997995</v>
      </c>
      <c r="W72">
        <f t="shared" si="23"/>
        <v>-0.73688399999999832</v>
      </c>
    </row>
    <row r="73" spans="1:23" x14ac:dyDescent="0.3">
      <c r="A73" s="1">
        <v>3.5973193000000001</v>
      </c>
      <c r="B73" s="1">
        <v>0.48844206000000001</v>
      </c>
      <c r="C73">
        <f t="shared" si="13"/>
        <v>1.7570820493697581</v>
      </c>
      <c r="D73">
        <v>1.5900000000000001E-2</v>
      </c>
      <c r="E73">
        <v>2.9099999999999998E-3</v>
      </c>
      <c r="F73">
        <f t="shared" si="14"/>
        <v>719.46386000000007</v>
      </c>
      <c r="G73">
        <f t="shared" si="15"/>
        <v>-0.48844206000000001</v>
      </c>
      <c r="H73">
        <f t="shared" si="16"/>
        <v>-351.41640987395164</v>
      </c>
      <c r="I73">
        <v>1</v>
      </c>
      <c r="J73">
        <f t="shared" si="17"/>
        <v>-0.32924898324217006</v>
      </c>
      <c r="K73">
        <f t="shared" si="18"/>
        <v>-0.73328309177521744</v>
      </c>
      <c r="L73">
        <v>1</v>
      </c>
      <c r="M73">
        <f t="shared" si="19"/>
        <v>0.64752652795604704</v>
      </c>
      <c r="N73">
        <f t="shared" si="20"/>
        <v>5.7197376870000004E-2</v>
      </c>
      <c r="O73">
        <f t="shared" si="21"/>
        <v>1.0468199163E-2</v>
      </c>
      <c r="P73">
        <f t="shared" si="22"/>
        <v>1.8090987786170402E-2</v>
      </c>
      <c r="V73">
        <v>0.89999999999998004</v>
      </c>
      <c r="W73">
        <f t="shared" si="23"/>
        <v>-0.74479699999999838</v>
      </c>
    </row>
    <row r="74" spans="1:23" x14ac:dyDescent="0.3">
      <c r="A74" s="1">
        <v>3.6482378</v>
      </c>
      <c r="B74" s="1">
        <v>0.48561632999999998</v>
      </c>
      <c r="C74">
        <f t="shared" si="13"/>
        <v>1.771643851403274</v>
      </c>
      <c r="D74">
        <v>1.5900000000000001E-2</v>
      </c>
      <c r="E74">
        <v>2.9099999999999998E-3</v>
      </c>
      <c r="F74">
        <f t="shared" si="14"/>
        <v>729.64756</v>
      </c>
      <c r="G74">
        <f t="shared" si="15"/>
        <v>-0.48561632999999998</v>
      </c>
      <c r="H74">
        <f t="shared" si="16"/>
        <v>-354.32877028065479</v>
      </c>
      <c r="I74">
        <v>1</v>
      </c>
      <c r="J74">
        <f t="shared" si="17"/>
        <v>-0.31519365594304793</v>
      </c>
      <c r="K74">
        <f t="shared" si="18"/>
        <v>-0.73610882177521741</v>
      </c>
      <c r="L74">
        <v>1</v>
      </c>
      <c r="M74">
        <f t="shared" si="19"/>
        <v>0.64863872600522654</v>
      </c>
      <c r="N74">
        <f t="shared" si="20"/>
        <v>5.8006981020000001E-2</v>
      </c>
      <c r="O74">
        <f t="shared" si="21"/>
        <v>1.0616371998E-2</v>
      </c>
      <c r="P74">
        <f t="shared" si="22"/>
        <v>1.8846742751990872E-2</v>
      </c>
      <c r="V74">
        <v>0.99999999999998002</v>
      </c>
      <c r="W74">
        <f t="shared" si="23"/>
        <v>-0.75270999999999844</v>
      </c>
    </row>
    <row r="75" spans="1:23" x14ac:dyDescent="0.3">
      <c r="A75" s="1">
        <v>3.7011926000000002</v>
      </c>
      <c r="B75" s="1">
        <v>0.48275237999999998</v>
      </c>
      <c r="C75">
        <f t="shared" si="13"/>
        <v>1.7867595364883879</v>
      </c>
      <c r="D75">
        <v>1.5900000000000001E-2</v>
      </c>
      <c r="E75">
        <v>2.9099999999999998E-3</v>
      </c>
      <c r="F75">
        <f t="shared" si="14"/>
        <v>740.23851999999999</v>
      </c>
      <c r="G75">
        <f t="shared" si="15"/>
        <v>-0.48275237999999998</v>
      </c>
      <c r="H75">
        <f t="shared" si="16"/>
        <v>-357.3519072976776</v>
      </c>
      <c r="I75">
        <v>1</v>
      </c>
      <c r="J75">
        <f t="shared" si="17"/>
        <v>-0.3007828203949226</v>
      </c>
      <c r="K75">
        <f t="shared" si="18"/>
        <v>-0.73897277177521747</v>
      </c>
      <c r="L75">
        <v>1</v>
      </c>
      <c r="M75">
        <f t="shared" si="19"/>
        <v>0.64977905542214975</v>
      </c>
      <c r="N75">
        <f t="shared" si="20"/>
        <v>5.8848962340000005E-2</v>
      </c>
      <c r="O75">
        <f t="shared" si="21"/>
        <v>1.0770470466E-2</v>
      </c>
      <c r="P75">
        <f t="shared" si="22"/>
        <v>1.9574283547067715E-2</v>
      </c>
      <c r="V75">
        <v>1.0999999999999699</v>
      </c>
      <c r="W75">
        <f t="shared" si="23"/>
        <v>-0.76062299999999761</v>
      </c>
    </row>
    <row r="76" spans="1:23" x14ac:dyDescent="0.3">
      <c r="A76" s="1">
        <v>3.7531294000000002</v>
      </c>
      <c r="B76" s="1">
        <v>0.47975480999999998</v>
      </c>
      <c r="C76">
        <f t="shared" si="13"/>
        <v>1.800581882202414</v>
      </c>
      <c r="D76">
        <v>1.5900000000000001E-2</v>
      </c>
      <c r="E76">
        <v>2.9099999999999998E-3</v>
      </c>
      <c r="F76">
        <f t="shared" si="14"/>
        <v>750.62588000000005</v>
      </c>
      <c r="G76">
        <f t="shared" si="15"/>
        <v>-0.47975480999999998</v>
      </c>
      <c r="H76">
        <f t="shared" si="16"/>
        <v>-360.11637644048278</v>
      </c>
      <c r="I76">
        <v>1</v>
      </c>
      <c r="J76">
        <f t="shared" si="17"/>
        <v>-0.28684791379220648</v>
      </c>
      <c r="K76">
        <f t="shared" si="18"/>
        <v>-0.74197034177521748</v>
      </c>
      <c r="L76">
        <v>1</v>
      </c>
      <c r="M76">
        <f t="shared" si="19"/>
        <v>0.65088172458162263</v>
      </c>
      <c r="N76">
        <f t="shared" si="20"/>
        <v>5.9674757460000005E-2</v>
      </c>
      <c r="O76">
        <f t="shared" si="21"/>
        <v>1.0921606553999999E-2</v>
      </c>
      <c r="P76">
        <f t="shared" si="22"/>
        <v>2.0492253179594841E-2</v>
      </c>
      <c r="V76">
        <v>1.19999999999997</v>
      </c>
      <c r="W76">
        <f t="shared" si="23"/>
        <v>-0.76853599999999755</v>
      </c>
    </row>
    <row r="77" spans="1:23" x14ac:dyDescent="0.3">
      <c r="A77" s="1">
        <v>3.8040479</v>
      </c>
      <c r="B77" s="1">
        <v>0.47641358</v>
      </c>
      <c r="C77">
        <f t="shared" si="13"/>
        <v>1.8123000785304821</v>
      </c>
      <c r="D77">
        <v>1.5900000000000001E-2</v>
      </c>
      <c r="E77">
        <v>2.9099999999999998E-3</v>
      </c>
      <c r="F77">
        <f t="shared" si="14"/>
        <v>760.80957999999998</v>
      </c>
      <c r="G77">
        <f t="shared" si="15"/>
        <v>-0.47641358</v>
      </c>
      <c r="H77">
        <f t="shared" si="16"/>
        <v>-362.46001570609644</v>
      </c>
      <c r="I77">
        <v>1</v>
      </c>
      <c r="J77">
        <f t="shared" si="17"/>
        <v>-0.27337217582182299</v>
      </c>
      <c r="K77">
        <f t="shared" si="18"/>
        <v>-0.74531157177521745</v>
      </c>
      <c r="L77">
        <v>1</v>
      </c>
      <c r="M77">
        <f t="shared" si="19"/>
        <v>0.65194805972721914</v>
      </c>
      <c r="N77">
        <f t="shared" si="20"/>
        <v>6.0484361610000002E-2</v>
      </c>
      <c r="O77">
        <f t="shared" si="21"/>
        <v>1.1069779388999999E-2</v>
      </c>
      <c r="P77">
        <f t="shared" si="22"/>
        <v>2.1809371048998306E-2</v>
      </c>
      <c r="V77">
        <v>1.2999999999999701</v>
      </c>
      <c r="W77">
        <f t="shared" si="23"/>
        <v>-0.77644899999999761</v>
      </c>
    </row>
    <row r="78" spans="1:23" x14ac:dyDescent="0.3">
      <c r="A78" s="1">
        <v>3.8549661</v>
      </c>
      <c r="B78" s="1">
        <v>0.47377875000000003</v>
      </c>
      <c r="C78">
        <f t="shared" si="13"/>
        <v>1.8264010201503751</v>
      </c>
      <c r="D78">
        <v>1.5900000000000001E-2</v>
      </c>
      <c r="E78">
        <v>2.9099999999999998E-3</v>
      </c>
      <c r="F78">
        <f t="shared" si="14"/>
        <v>770.99321999999995</v>
      </c>
      <c r="G78">
        <f t="shared" si="15"/>
        <v>-0.47377875000000003</v>
      </c>
      <c r="H78">
        <f t="shared" si="16"/>
        <v>-365.28020403007503</v>
      </c>
      <c r="I78">
        <v>1</v>
      </c>
      <c r="J78">
        <f t="shared" si="17"/>
        <v>-0.26007569923179219</v>
      </c>
      <c r="K78">
        <f t="shared" si="18"/>
        <v>-0.74794640177521743</v>
      </c>
      <c r="L78">
        <v>1</v>
      </c>
      <c r="M78">
        <f t="shared" si="19"/>
        <v>0.65300020991978824</v>
      </c>
      <c r="N78">
        <f t="shared" si="20"/>
        <v>6.129396099E-2</v>
      </c>
      <c r="O78">
        <f t="shared" si="21"/>
        <v>1.1217951350999998E-2</v>
      </c>
      <c r="P78">
        <f t="shared" si="22"/>
        <v>2.2434279514429188E-2</v>
      </c>
      <c r="V78">
        <v>1.3999999999999699</v>
      </c>
      <c r="W78">
        <f t="shared" si="23"/>
        <v>-0.78436199999999756</v>
      </c>
    </row>
    <row r="79" spans="1:23" x14ac:dyDescent="0.3">
      <c r="A79" s="1">
        <v>3.9074119</v>
      </c>
      <c r="B79" s="1">
        <v>0.47091481000000002</v>
      </c>
      <c r="C79">
        <f t="shared" si="13"/>
        <v>1.8400581324802392</v>
      </c>
      <c r="D79">
        <v>1.5900000000000001E-2</v>
      </c>
      <c r="E79">
        <v>2.9099999999999998E-3</v>
      </c>
      <c r="F79">
        <f t="shared" si="14"/>
        <v>781.48238000000003</v>
      </c>
      <c r="G79">
        <f t="shared" si="15"/>
        <v>-0.47091481000000002</v>
      </c>
      <c r="H79">
        <f t="shared" si="16"/>
        <v>-368.01162649604782</v>
      </c>
      <c r="I79">
        <v>1</v>
      </c>
      <c r="J79">
        <f t="shared" si="17"/>
        <v>-0.24656267575993601</v>
      </c>
      <c r="K79">
        <f t="shared" si="18"/>
        <v>-0.75081034177521744</v>
      </c>
      <c r="L79">
        <v>1</v>
      </c>
      <c r="M79">
        <f t="shared" si="19"/>
        <v>0.65406949546711624</v>
      </c>
      <c r="N79">
        <f t="shared" si="20"/>
        <v>6.2127849210000002E-2</v>
      </c>
      <c r="O79">
        <f t="shared" si="21"/>
        <v>1.1370568628999999E-2</v>
      </c>
      <c r="P79">
        <f t="shared" si="22"/>
        <v>2.3242428469101201E-2</v>
      </c>
      <c r="V79">
        <v>1.49999999999997</v>
      </c>
      <c r="W79">
        <f t="shared" si="23"/>
        <v>-0.79227499999999762</v>
      </c>
    </row>
    <row r="80" spans="1:23" x14ac:dyDescent="0.3">
      <c r="A80" s="1">
        <v>3.9624036</v>
      </c>
      <c r="B80" s="1">
        <v>0.46763085999999998</v>
      </c>
      <c r="C80">
        <f t="shared" si="13"/>
        <v>1.8529422031350959</v>
      </c>
      <c r="D80">
        <v>1.5900000000000001E-2</v>
      </c>
      <c r="E80">
        <v>2.9099999999999998E-3</v>
      </c>
      <c r="F80">
        <f t="shared" si="14"/>
        <v>792.48072000000002</v>
      </c>
      <c r="G80">
        <f t="shared" si="15"/>
        <v>-0.46763085999999998</v>
      </c>
      <c r="H80">
        <f t="shared" si="16"/>
        <v>-370.58844062701917</v>
      </c>
      <c r="I80">
        <v>1</v>
      </c>
      <c r="J80">
        <f t="shared" si="17"/>
        <v>-0.23258710160234355</v>
      </c>
      <c r="K80">
        <f t="shared" si="18"/>
        <v>-0.75409429177521747</v>
      </c>
      <c r="L80">
        <v>1</v>
      </c>
      <c r="M80">
        <f t="shared" si="19"/>
        <v>0.65517538265020647</v>
      </c>
      <c r="N80">
        <f t="shared" si="20"/>
        <v>6.3002217240000005E-2</v>
      </c>
      <c r="O80">
        <f t="shared" si="21"/>
        <v>1.1530594476E-2</v>
      </c>
      <c r="P80">
        <f t="shared" si="22"/>
        <v>2.4386097409010994E-2</v>
      </c>
      <c r="V80">
        <v>1.5999999999999699</v>
      </c>
      <c r="W80">
        <f t="shared" si="23"/>
        <v>-0.80018799999999757</v>
      </c>
    </row>
    <row r="81" spans="1:23" x14ac:dyDescent="0.3">
      <c r="A81" s="1">
        <v>4.0128126999999996</v>
      </c>
      <c r="B81" s="1">
        <v>0.46457600999999998</v>
      </c>
      <c r="C81">
        <f t="shared" si="13"/>
        <v>1.8642565130433266</v>
      </c>
      <c r="D81">
        <v>1.5900000000000001E-2</v>
      </c>
      <c r="E81">
        <v>2.9099999999999998E-3</v>
      </c>
      <c r="F81">
        <f t="shared" si="14"/>
        <v>802.5625399999999</v>
      </c>
      <c r="G81">
        <f t="shared" si="15"/>
        <v>-0.46457600999999998</v>
      </c>
      <c r="H81">
        <f t="shared" si="16"/>
        <v>-372.85130260866532</v>
      </c>
      <c r="I81">
        <v>1</v>
      </c>
      <c r="J81">
        <f t="shared" si="17"/>
        <v>-0.21994549555029055</v>
      </c>
      <c r="K81">
        <f t="shared" si="18"/>
        <v>-0.75714914177521742</v>
      </c>
      <c r="L81">
        <v>1</v>
      </c>
      <c r="M81">
        <f t="shared" si="19"/>
        <v>0.65617571293710542</v>
      </c>
      <c r="N81">
        <f t="shared" si="20"/>
        <v>6.3803721930000001E-2</v>
      </c>
      <c r="O81">
        <f t="shared" si="21"/>
        <v>1.1677284956999998E-2</v>
      </c>
      <c r="P81">
        <f t="shared" si="22"/>
        <v>2.5492421951112003E-2</v>
      </c>
      <c r="V81">
        <v>1.69999999999997</v>
      </c>
      <c r="W81">
        <f t="shared" si="23"/>
        <v>-0.80810099999999763</v>
      </c>
    </row>
    <row r="82" spans="1:23" x14ac:dyDescent="0.3">
      <c r="A82" s="1">
        <v>4.0632218999999994</v>
      </c>
      <c r="B82" s="1">
        <v>0.4615784</v>
      </c>
      <c r="C82">
        <f t="shared" si="13"/>
        <v>1.8754954634469596</v>
      </c>
      <c r="D82">
        <v>1.5900000000000001E-2</v>
      </c>
      <c r="E82">
        <v>2.9099999999999998E-3</v>
      </c>
      <c r="F82">
        <f t="shared" si="14"/>
        <v>812.64437999999984</v>
      </c>
      <c r="G82">
        <f t="shared" si="15"/>
        <v>-0.4615784</v>
      </c>
      <c r="H82">
        <f t="shared" si="16"/>
        <v>-375.09909268939191</v>
      </c>
      <c r="I82">
        <v>1</v>
      </c>
      <c r="J82">
        <f t="shared" si="17"/>
        <v>-0.20746168210320773</v>
      </c>
      <c r="K82">
        <f t="shared" si="18"/>
        <v>-0.7601467517752174</v>
      </c>
      <c r="L82">
        <v>1</v>
      </c>
      <c r="M82">
        <f t="shared" si="19"/>
        <v>0.65716355709517316</v>
      </c>
      <c r="N82">
        <f t="shared" si="20"/>
        <v>6.460522820999999E-2</v>
      </c>
      <c r="O82">
        <f t="shared" si="21"/>
        <v>1.1823975728999998E-2</v>
      </c>
      <c r="P82">
        <f t="shared" si="22"/>
        <v>2.6553990741044253E-2</v>
      </c>
      <c r="V82">
        <v>1.7999999999999701</v>
      </c>
      <c r="W82">
        <f t="shared" si="23"/>
        <v>-0.81601399999999757</v>
      </c>
    </row>
    <row r="83" spans="1:23" x14ac:dyDescent="0.3">
      <c r="A83" s="1">
        <v>4.1151587000000003</v>
      </c>
      <c r="B83" s="1">
        <v>0.45882905000000002</v>
      </c>
      <c r="C83">
        <f t="shared" si="13"/>
        <v>1.8881543569202353</v>
      </c>
      <c r="D83">
        <v>1.5900000000000001E-2</v>
      </c>
      <c r="E83">
        <v>2.9099999999999998E-3</v>
      </c>
      <c r="F83">
        <f t="shared" si="14"/>
        <v>823.03174000000001</v>
      </c>
      <c r="G83">
        <f t="shared" si="15"/>
        <v>-0.45882905000000002</v>
      </c>
      <c r="H83">
        <f t="shared" si="16"/>
        <v>-377.63087138404705</v>
      </c>
      <c r="I83">
        <v>1</v>
      </c>
      <c r="J83">
        <f t="shared" si="17"/>
        <v>-0.19476051282758264</v>
      </c>
      <c r="K83">
        <f t="shared" si="18"/>
        <v>-0.76289610177521738</v>
      </c>
      <c r="L83">
        <v>1</v>
      </c>
      <c r="M83">
        <f t="shared" si="19"/>
        <v>0.6581686006199533</v>
      </c>
      <c r="N83">
        <f t="shared" si="20"/>
        <v>6.5431023330000004E-2</v>
      </c>
      <c r="O83">
        <f t="shared" si="21"/>
        <v>1.1975111817000001E-2</v>
      </c>
      <c r="P83">
        <f t="shared" si="22"/>
        <v>2.7321366008264077E-2</v>
      </c>
      <c r="V83">
        <v>1.8999999999999699</v>
      </c>
      <c r="W83">
        <f t="shared" si="23"/>
        <v>-0.82392699999999763</v>
      </c>
    </row>
    <row r="84" spans="1:23" x14ac:dyDescent="0.3">
      <c r="A84" s="1">
        <v>4.1696416000000003</v>
      </c>
      <c r="B84" s="1">
        <v>0.45611784</v>
      </c>
      <c r="C84">
        <f t="shared" si="13"/>
        <v>1.901847920166144</v>
      </c>
      <c r="D84">
        <v>1.5900000000000001E-2</v>
      </c>
      <c r="E84">
        <v>2.9099999999999998E-3</v>
      </c>
      <c r="F84">
        <f t="shared" si="14"/>
        <v>833.9283200000001</v>
      </c>
      <c r="G84">
        <f t="shared" si="15"/>
        <v>-0.45611784</v>
      </c>
      <c r="H84">
        <f t="shared" si="16"/>
        <v>-380.36958403322882</v>
      </c>
      <c r="I84">
        <v>1</v>
      </c>
      <c r="J84">
        <f t="shared" si="17"/>
        <v>-0.18160782755927232</v>
      </c>
      <c r="K84">
        <f t="shared" si="18"/>
        <v>-0.76560731177521746</v>
      </c>
      <c r="L84">
        <v>1</v>
      </c>
      <c r="M84">
        <f t="shared" si="19"/>
        <v>0.65920937260523471</v>
      </c>
      <c r="N84">
        <f t="shared" si="20"/>
        <v>6.6297301440000012E-2</v>
      </c>
      <c r="O84">
        <f t="shared" si="21"/>
        <v>1.2133657056000001E-2</v>
      </c>
      <c r="P84">
        <f t="shared" si="22"/>
        <v>2.7966980673982733E-2</v>
      </c>
      <c r="V84">
        <v>1.99999999999997</v>
      </c>
      <c r="W84">
        <f t="shared" si="23"/>
        <v>-0.83183999999999758</v>
      </c>
    </row>
    <row r="85" spans="1:23" x14ac:dyDescent="0.3">
      <c r="A85" s="1">
        <v>4.2210692999999999</v>
      </c>
      <c r="B85" s="1">
        <v>0.45273839999999999</v>
      </c>
      <c r="C85">
        <f t="shared" si="13"/>
        <v>1.9110401611711199</v>
      </c>
      <c r="D85">
        <v>1.5900000000000001E-2</v>
      </c>
      <c r="E85">
        <v>2.9099999999999998E-3</v>
      </c>
      <c r="F85">
        <f t="shared" si="14"/>
        <v>844.21385999999995</v>
      </c>
      <c r="G85">
        <f t="shared" si="15"/>
        <v>-0.45273839999999999</v>
      </c>
      <c r="H85">
        <f t="shared" si="16"/>
        <v>-382.20803223422399</v>
      </c>
      <c r="I85">
        <v>1</v>
      </c>
      <c r="J85">
        <f t="shared" si="17"/>
        <v>-0.16934942785806337</v>
      </c>
      <c r="K85">
        <f t="shared" si="18"/>
        <v>-0.76898675177521747</v>
      </c>
      <c r="L85">
        <v>1</v>
      </c>
      <c r="M85">
        <f t="shared" si="19"/>
        <v>0.66017937977359142</v>
      </c>
      <c r="N85">
        <f t="shared" si="20"/>
        <v>6.7115001869999996E-2</v>
      </c>
      <c r="O85">
        <f t="shared" si="21"/>
        <v>1.2283311662999999E-2</v>
      </c>
      <c r="P85">
        <f t="shared" si="22"/>
        <v>2.9409058468626049E-2</v>
      </c>
      <c r="V85">
        <v>2.0999999999999699</v>
      </c>
      <c r="W85">
        <f t="shared" si="23"/>
        <v>-0.83975299999999753</v>
      </c>
    </row>
    <row r="86" spans="1:23" x14ac:dyDescent="0.3">
      <c r="A86" s="1">
        <v>4.2714784999999997</v>
      </c>
      <c r="B86" s="1">
        <v>0.44954991</v>
      </c>
      <c r="C86">
        <f t="shared" si="13"/>
        <v>1.9202427752419349</v>
      </c>
      <c r="D86">
        <v>1.5900000000000001E-2</v>
      </c>
      <c r="E86">
        <v>2.9099999999999998E-3</v>
      </c>
      <c r="F86">
        <f t="shared" si="14"/>
        <v>854.2956999999999</v>
      </c>
      <c r="G86">
        <f t="shared" si="15"/>
        <v>-0.44954991</v>
      </c>
      <c r="H86">
        <f t="shared" si="16"/>
        <v>-384.04855504838696</v>
      </c>
      <c r="I86">
        <v>1</v>
      </c>
      <c r="J86">
        <f t="shared" si="17"/>
        <v>-0.15747789219787778</v>
      </c>
      <c r="K86">
        <f t="shared" si="18"/>
        <v>-0.77217524177521746</v>
      </c>
      <c r="L86">
        <v>1</v>
      </c>
      <c r="M86">
        <f t="shared" si="19"/>
        <v>0.66111877439038191</v>
      </c>
      <c r="N86">
        <f t="shared" si="20"/>
        <v>6.7916508149999999E-2</v>
      </c>
      <c r="O86">
        <f t="shared" si="21"/>
        <v>1.2430002434999999E-2</v>
      </c>
      <c r="P86">
        <f t="shared" si="22"/>
        <v>3.0709956799835549E-2</v>
      </c>
      <c r="V86">
        <v>2.19999999999997</v>
      </c>
      <c r="W86">
        <f t="shared" si="23"/>
        <v>-0.84766599999999759</v>
      </c>
    </row>
    <row r="87" spans="1:23" x14ac:dyDescent="0.3">
      <c r="A87" s="1">
        <v>4.3234149999999998</v>
      </c>
      <c r="B87" s="1">
        <v>0.44664778999999999</v>
      </c>
      <c r="C87">
        <f t="shared" si="13"/>
        <v>1.9310437550028499</v>
      </c>
      <c r="D87">
        <v>1.5900000000000001E-2</v>
      </c>
      <c r="E87">
        <v>2.9099999999999998E-3</v>
      </c>
      <c r="F87">
        <f t="shared" si="14"/>
        <v>864.68299999999999</v>
      </c>
      <c r="G87">
        <f t="shared" si="15"/>
        <v>-0.44664778999999999</v>
      </c>
      <c r="H87">
        <f t="shared" si="16"/>
        <v>-386.20875100056998</v>
      </c>
      <c r="I87">
        <v>1</v>
      </c>
      <c r="J87">
        <f t="shared" si="17"/>
        <v>-0.14539231320669987</v>
      </c>
      <c r="K87">
        <f t="shared" si="18"/>
        <v>-0.77507736177521747</v>
      </c>
      <c r="L87">
        <v>1</v>
      </c>
      <c r="M87">
        <f t="shared" si="19"/>
        <v>0.66207510625595378</v>
      </c>
      <c r="N87">
        <f t="shared" si="20"/>
        <v>6.8742298500000007E-2</v>
      </c>
      <c r="O87">
        <f t="shared" si="21"/>
        <v>1.2581137649999999E-2</v>
      </c>
      <c r="P87">
        <f t="shared" si="22"/>
        <v>3.1678819369263679E-2</v>
      </c>
      <c r="V87">
        <v>2.2999999999999701</v>
      </c>
      <c r="W87">
        <f t="shared" si="23"/>
        <v>-0.85557899999999765</v>
      </c>
    </row>
    <row r="88" spans="1:23" x14ac:dyDescent="0.3">
      <c r="A88" s="1">
        <v>4.3743335000000014</v>
      </c>
      <c r="B88" s="1">
        <v>0.44344020000000001</v>
      </c>
      <c r="C88">
        <f t="shared" si="13"/>
        <v>1.9397553221067008</v>
      </c>
      <c r="D88">
        <v>1.5900000000000001E-2</v>
      </c>
      <c r="E88">
        <v>2.9099999999999998E-3</v>
      </c>
      <c r="F88">
        <f t="shared" si="14"/>
        <v>874.86670000000026</v>
      </c>
      <c r="G88">
        <f t="shared" si="15"/>
        <v>-0.44344020000000001</v>
      </c>
      <c r="H88">
        <f t="shared" si="16"/>
        <v>-387.95106442134016</v>
      </c>
      <c r="I88">
        <v>1</v>
      </c>
      <c r="J88">
        <f t="shared" si="17"/>
        <v>-0.13368374708701697</v>
      </c>
      <c r="K88">
        <f t="shared" si="18"/>
        <v>-0.7782849517752175</v>
      </c>
      <c r="L88">
        <v>1</v>
      </c>
      <c r="M88">
        <f t="shared" si="19"/>
        <v>0.66300160509300432</v>
      </c>
      <c r="N88">
        <f t="shared" si="20"/>
        <v>6.9551902650000025E-2</v>
      </c>
      <c r="O88">
        <f t="shared" si="21"/>
        <v>1.2729310485000003E-2</v>
      </c>
      <c r="P88">
        <f t="shared" si="22"/>
        <v>3.3002133547213153E-2</v>
      </c>
      <c r="V88">
        <v>2.3999999999999702</v>
      </c>
      <c r="W88">
        <f t="shared" si="23"/>
        <v>-0.86349199999999759</v>
      </c>
    </row>
    <row r="89" spans="1:23" x14ac:dyDescent="0.3">
      <c r="A89" s="1">
        <v>4.4252520000000004</v>
      </c>
      <c r="B89" s="1">
        <v>0.44048080000000001</v>
      </c>
      <c r="C89">
        <f t="shared" si="13"/>
        <v>1.9492385411616002</v>
      </c>
      <c r="D89">
        <v>1.5900000000000001E-2</v>
      </c>
      <c r="E89">
        <v>2.9099999999999998E-3</v>
      </c>
      <c r="F89">
        <f t="shared" si="14"/>
        <v>885.05040000000008</v>
      </c>
      <c r="G89">
        <f t="shared" si="15"/>
        <v>-0.44048080000000001</v>
      </c>
      <c r="H89">
        <f t="shared" si="16"/>
        <v>-389.84770823232003</v>
      </c>
      <c r="I89">
        <v>1</v>
      </c>
      <c r="J89">
        <f t="shared" si="17"/>
        <v>-0.12211068644320644</v>
      </c>
      <c r="K89">
        <f t="shared" si="18"/>
        <v>-0.78124435177521745</v>
      </c>
      <c r="L89">
        <v>1</v>
      </c>
      <c r="M89">
        <f t="shared" si="19"/>
        <v>0.66391738138174905</v>
      </c>
      <c r="N89">
        <f t="shared" si="20"/>
        <v>7.0361506800000015E-2</v>
      </c>
      <c r="O89">
        <f t="shared" si="21"/>
        <v>1.2877483320000001E-2</v>
      </c>
      <c r="P89">
        <f t="shared" si="22"/>
        <v>3.4087980273468384E-2</v>
      </c>
      <c r="V89">
        <v>2.4999999999999698</v>
      </c>
      <c r="W89">
        <f t="shared" si="23"/>
        <v>-0.87140499999999754</v>
      </c>
    </row>
    <row r="90" spans="1:23" x14ac:dyDescent="0.3">
      <c r="A90" s="1">
        <v>4.4792250999999998</v>
      </c>
      <c r="B90" s="1">
        <v>0.43738776000000001</v>
      </c>
      <c r="C90">
        <f t="shared" si="13"/>
        <v>1.9591582330247761</v>
      </c>
      <c r="D90">
        <v>1.5900000000000001E-2</v>
      </c>
      <c r="E90">
        <v>2.9099999999999998E-3</v>
      </c>
      <c r="F90">
        <f t="shared" si="14"/>
        <v>895.84501999999998</v>
      </c>
      <c r="G90">
        <f t="shared" si="15"/>
        <v>-0.43738776000000001</v>
      </c>
      <c r="H90">
        <f t="shared" si="16"/>
        <v>-391.83164660495521</v>
      </c>
      <c r="I90">
        <v>1</v>
      </c>
      <c r="J90">
        <f t="shared" si="17"/>
        <v>-0.10998784971802603</v>
      </c>
      <c r="K90">
        <f t="shared" si="18"/>
        <v>-0.78433739177521744</v>
      </c>
      <c r="L90">
        <v>1</v>
      </c>
      <c r="M90">
        <f t="shared" si="19"/>
        <v>0.66487666145181257</v>
      </c>
      <c r="N90">
        <f t="shared" si="20"/>
        <v>7.1219679090000002E-2</v>
      </c>
      <c r="O90">
        <f t="shared" si="21"/>
        <v>1.3034545040999998E-2</v>
      </c>
      <c r="P90">
        <f t="shared" si="22"/>
        <v>3.5206506192404875E-2</v>
      </c>
      <c r="V90">
        <v>2.5999999999999699</v>
      </c>
      <c r="W90">
        <f t="shared" si="23"/>
        <v>-0.8793179999999976</v>
      </c>
    </row>
    <row r="91" spans="1:23" x14ac:dyDescent="0.3">
      <c r="A91" s="1">
        <v>4.5306527999999986</v>
      </c>
      <c r="B91" s="1">
        <v>0.43400833</v>
      </c>
      <c r="C91">
        <f t="shared" si="13"/>
        <v>1.9663410555378233</v>
      </c>
      <c r="D91">
        <v>1.5900000000000001E-2</v>
      </c>
      <c r="E91">
        <v>2.9099999999999998E-3</v>
      </c>
      <c r="F91">
        <f t="shared" si="14"/>
        <v>906.13055999999972</v>
      </c>
      <c r="G91">
        <f t="shared" si="15"/>
        <v>-0.43400833</v>
      </c>
      <c r="H91">
        <f t="shared" si="16"/>
        <v>-393.2682111075647</v>
      </c>
      <c r="I91">
        <v>1</v>
      </c>
      <c r="J91">
        <f t="shared" si="17"/>
        <v>-9.8571877361159632E-2</v>
      </c>
      <c r="K91">
        <f t="shared" si="18"/>
        <v>-0.78771682177521751</v>
      </c>
      <c r="L91">
        <v>1</v>
      </c>
      <c r="M91">
        <f t="shared" si="19"/>
        <v>0.66578000734441134</v>
      </c>
      <c r="N91">
        <f t="shared" si="20"/>
        <v>7.2037379519999986E-2</v>
      </c>
      <c r="O91">
        <f t="shared" si="21"/>
        <v>1.3184199647999995E-2</v>
      </c>
      <c r="P91">
        <f t="shared" si="22"/>
        <v>3.6715235262806192E-2</v>
      </c>
      <c r="V91">
        <v>2.69999999999997</v>
      </c>
      <c r="W91">
        <f t="shared" si="23"/>
        <v>-0.88723099999999766</v>
      </c>
    </row>
    <row r="92" spans="1:23" x14ac:dyDescent="0.3">
      <c r="A92" s="1">
        <v>4.5825893999999998</v>
      </c>
      <c r="B92" s="1">
        <v>0.43110620999999999</v>
      </c>
      <c r="C92">
        <f t="shared" si="13"/>
        <v>1.9755827482201738</v>
      </c>
      <c r="D92">
        <v>1.5900000000000001E-2</v>
      </c>
      <c r="E92">
        <v>2.9099999999999998E-3</v>
      </c>
      <c r="F92">
        <f t="shared" si="14"/>
        <v>916.51787999999999</v>
      </c>
      <c r="G92">
        <f t="shared" si="15"/>
        <v>-0.43110620999999999</v>
      </c>
      <c r="H92">
        <f t="shared" si="16"/>
        <v>-395.11654964403476</v>
      </c>
      <c r="I92">
        <v>1</v>
      </c>
      <c r="J92">
        <f t="shared" si="17"/>
        <v>-8.7173702891038776E-2</v>
      </c>
      <c r="K92">
        <f t="shared" si="18"/>
        <v>-0.79061894177521741</v>
      </c>
      <c r="L92">
        <v>1</v>
      </c>
      <c r="M92">
        <f t="shared" si="19"/>
        <v>0.66668194489023203</v>
      </c>
      <c r="N92">
        <f t="shared" si="20"/>
        <v>7.2863171460000001E-2</v>
      </c>
      <c r="O92">
        <f t="shared" si="21"/>
        <v>1.3335335153999999E-2</v>
      </c>
      <c r="P92">
        <f t="shared" si="22"/>
        <v>3.7738490270985386E-2</v>
      </c>
      <c r="V92">
        <v>2.7999999999999701</v>
      </c>
      <c r="W92">
        <f t="shared" si="23"/>
        <v>-0.89514399999999761</v>
      </c>
    </row>
    <row r="93" spans="1:23" x14ac:dyDescent="0.3">
      <c r="A93" s="1">
        <v>4.6335077999999994</v>
      </c>
      <c r="B93" s="1">
        <v>0.42807043</v>
      </c>
      <c r="C93">
        <f t="shared" si="13"/>
        <v>1.9834676763543537</v>
      </c>
      <c r="D93">
        <v>1.5900000000000001E-2</v>
      </c>
      <c r="E93">
        <v>2.9099999999999998E-3</v>
      </c>
      <c r="F93">
        <f t="shared" si="14"/>
        <v>926.70155999999986</v>
      </c>
      <c r="G93">
        <f t="shared" si="15"/>
        <v>-0.42807043</v>
      </c>
      <c r="H93">
        <f t="shared" si="16"/>
        <v>-396.69353527087077</v>
      </c>
      <c r="I93">
        <v>1</v>
      </c>
      <c r="J93">
        <f t="shared" si="17"/>
        <v>-7.6123706998224724E-2</v>
      </c>
      <c r="K93">
        <f t="shared" si="18"/>
        <v>-0.79365472177521745</v>
      </c>
      <c r="L93">
        <v>1</v>
      </c>
      <c r="M93">
        <f t="shared" si="19"/>
        <v>0.66755633106523038</v>
      </c>
      <c r="N93">
        <f t="shared" si="20"/>
        <v>7.3672774019999998E-2</v>
      </c>
      <c r="O93">
        <f t="shared" si="21"/>
        <v>1.3483507697999997E-2</v>
      </c>
      <c r="P93">
        <f t="shared" si="22"/>
        <v>3.8942108991987079E-2</v>
      </c>
      <c r="V93">
        <v>2.8999999999999702</v>
      </c>
      <c r="W93">
        <f t="shared" si="23"/>
        <v>-0.90305699999999756</v>
      </c>
    </row>
    <row r="94" spans="1:23" x14ac:dyDescent="0.3">
      <c r="A94" s="1">
        <v>4.6849351000000006</v>
      </c>
      <c r="B94" s="1">
        <v>0.42461463999999999</v>
      </c>
      <c r="C94">
        <f t="shared" si="13"/>
        <v>1.9892920309098643</v>
      </c>
      <c r="D94">
        <v>1.5900000000000001E-2</v>
      </c>
      <c r="E94">
        <v>2.9099999999999998E-3</v>
      </c>
      <c r="F94">
        <f t="shared" si="14"/>
        <v>936.98702000000014</v>
      </c>
      <c r="G94">
        <f t="shared" si="15"/>
        <v>-0.42461463999999999</v>
      </c>
      <c r="H94">
        <f t="shared" si="16"/>
        <v>-397.85840618197284</v>
      </c>
      <c r="I94">
        <v>1</v>
      </c>
      <c r="J94">
        <f t="shared" si="17"/>
        <v>-6.5085849561116016E-2</v>
      </c>
      <c r="K94">
        <f t="shared" si="18"/>
        <v>-0.79711051177521752</v>
      </c>
      <c r="L94">
        <v>1</v>
      </c>
      <c r="M94">
        <f t="shared" si="19"/>
        <v>0.66842975672422889</v>
      </c>
      <c r="N94">
        <f t="shared" si="20"/>
        <v>7.4490468090000012E-2</v>
      </c>
      <c r="O94">
        <f t="shared" si="21"/>
        <v>1.3633161141000001E-2</v>
      </c>
      <c r="P94">
        <f t="shared" si="22"/>
        <v>4.0557125819988625E-2</v>
      </c>
      <c r="V94">
        <v>2.9999999999999698</v>
      </c>
      <c r="W94">
        <f t="shared" si="23"/>
        <v>-0.91096999999999761</v>
      </c>
    </row>
    <row r="95" spans="1:23" x14ac:dyDescent="0.3">
      <c r="A95" s="1">
        <v>4.7353442000000001</v>
      </c>
      <c r="B95" s="1">
        <v>0.42142612000000002</v>
      </c>
      <c r="C95">
        <f t="shared" si="13"/>
        <v>1.9955977330705041</v>
      </c>
      <c r="D95">
        <v>1.5900000000000001E-2</v>
      </c>
      <c r="E95">
        <v>2.9099999999999998E-3</v>
      </c>
      <c r="F95">
        <f t="shared" si="14"/>
        <v>947.06884000000002</v>
      </c>
      <c r="G95">
        <f t="shared" si="15"/>
        <v>-0.42142612000000002</v>
      </c>
      <c r="H95">
        <f t="shared" si="16"/>
        <v>-399.11954661410084</v>
      </c>
      <c r="I95">
        <v>1</v>
      </c>
      <c r="J95">
        <f t="shared" si="17"/>
        <v>-5.4383495724212916E-2</v>
      </c>
      <c r="K95">
        <f t="shared" si="18"/>
        <v>-0.80029903177521744</v>
      </c>
      <c r="L95">
        <v>1</v>
      </c>
      <c r="M95">
        <f t="shared" si="19"/>
        <v>0.66927663398334303</v>
      </c>
      <c r="N95">
        <f t="shared" si="20"/>
        <v>7.5291972780000008E-2</v>
      </c>
      <c r="O95">
        <f t="shared" si="21"/>
        <v>1.3779851621999999E-2</v>
      </c>
      <c r="P95">
        <f t="shared" si="22"/>
        <v>4.1950573389874402E-2</v>
      </c>
      <c r="V95">
        <v>3.0999999999999699</v>
      </c>
      <c r="W95">
        <f t="shared" si="23"/>
        <v>-0.91888299999999756</v>
      </c>
    </row>
    <row r="96" spans="1:23" x14ac:dyDescent="0.3">
      <c r="A96" s="1">
        <v>4.7877900000000002</v>
      </c>
      <c r="B96" s="1">
        <v>0.41840944000000002</v>
      </c>
      <c r="C96">
        <f t="shared" si="13"/>
        <v>2.0032565327376002</v>
      </c>
      <c r="D96">
        <v>1.5900000000000001E-2</v>
      </c>
      <c r="E96">
        <v>2.9099999999999998E-3</v>
      </c>
      <c r="F96">
        <f t="shared" si="14"/>
        <v>957.55799999999999</v>
      </c>
      <c r="G96">
        <f t="shared" si="15"/>
        <v>-0.41840944000000002</v>
      </c>
      <c r="H96">
        <f t="shared" si="16"/>
        <v>-400.65130654752005</v>
      </c>
      <c r="I96">
        <v>1</v>
      </c>
      <c r="J96">
        <f t="shared" si="17"/>
        <v>-4.3368985349358978E-2</v>
      </c>
      <c r="K96">
        <f t="shared" si="18"/>
        <v>-0.80331571177521743</v>
      </c>
      <c r="L96">
        <v>1</v>
      </c>
      <c r="M96">
        <f t="shared" si="19"/>
        <v>0.6701482121893052</v>
      </c>
      <c r="N96">
        <f t="shared" si="20"/>
        <v>7.6125861000000003E-2</v>
      </c>
      <c r="O96">
        <f t="shared" si="21"/>
        <v>1.39324689E-2</v>
      </c>
      <c r="P96">
        <f t="shared" si="22"/>
        <v>4.3109169685912226E-2</v>
      </c>
      <c r="V96">
        <v>3.19999999999997</v>
      </c>
      <c r="W96">
        <f t="shared" si="23"/>
        <v>-0.92679599999999762</v>
      </c>
    </row>
    <row r="97" spans="1:23" x14ac:dyDescent="0.3">
      <c r="A97" s="1">
        <v>4.8381992</v>
      </c>
      <c r="B97" s="1">
        <v>0.41495365000000001</v>
      </c>
      <c r="C97">
        <f t="shared" si="13"/>
        <v>2.00762841746708</v>
      </c>
      <c r="D97">
        <v>1.5900000000000001E-2</v>
      </c>
      <c r="E97">
        <v>2.9099999999999998E-3</v>
      </c>
      <c r="F97">
        <f t="shared" si="14"/>
        <v>967.63984000000005</v>
      </c>
      <c r="G97">
        <f t="shared" si="15"/>
        <v>-0.41495365000000001</v>
      </c>
      <c r="H97">
        <f t="shared" si="16"/>
        <v>-401.52568349341601</v>
      </c>
      <c r="I97">
        <v>1</v>
      </c>
      <c r="J97">
        <f t="shared" si="17"/>
        <v>-3.2895327055033272E-2</v>
      </c>
      <c r="K97">
        <f t="shared" si="18"/>
        <v>-0.8067715017752175</v>
      </c>
      <c r="L97">
        <v>1</v>
      </c>
      <c r="M97">
        <f t="shared" si="19"/>
        <v>0.67097699277013523</v>
      </c>
      <c r="N97">
        <f t="shared" si="20"/>
        <v>7.6927367280000006E-2</v>
      </c>
      <c r="O97">
        <f t="shared" si="21"/>
        <v>1.4079159672E-2</v>
      </c>
      <c r="P97">
        <f t="shared" si="22"/>
        <v>4.4787982053082272E-2</v>
      </c>
      <c r="V97">
        <v>3.2999999999999701</v>
      </c>
      <c r="W97">
        <f t="shared" si="23"/>
        <v>-0.93470899999999757</v>
      </c>
    </row>
    <row r="98" spans="1:23" x14ac:dyDescent="0.3">
      <c r="A98" s="1">
        <v>4.8906450000000001</v>
      </c>
      <c r="B98" s="1">
        <v>0.41189879000000001</v>
      </c>
      <c r="C98">
        <f t="shared" si="13"/>
        <v>2.0144507578195503</v>
      </c>
      <c r="D98">
        <v>1.5900000000000001E-2</v>
      </c>
      <c r="E98">
        <v>2.9099999999999998E-3</v>
      </c>
      <c r="F98">
        <f t="shared" si="14"/>
        <v>978.12900000000002</v>
      </c>
      <c r="G98">
        <f t="shared" si="15"/>
        <v>-0.41189879000000001</v>
      </c>
      <c r="H98">
        <f t="shared" si="16"/>
        <v>-402.89015156391008</v>
      </c>
      <c r="I98">
        <v>1</v>
      </c>
      <c r="J98">
        <f t="shared" si="17"/>
        <v>-2.2113715805111785E-2</v>
      </c>
      <c r="K98">
        <f t="shared" si="18"/>
        <v>-0.8098263617752175</v>
      </c>
      <c r="L98">
        <v>1</v>
      </c>
      <c r="M98">
        <f t="shared" si="19"/>
        <v>0.67183014166834143</v>
      </c>
      <c r="N98">
        <f t="shared" si="20"/>
        <v>7.7761255500000001E-2</v>
      </c>
      <c r="O98">
        <f t="shared" si="21"/>
        <v>1.423177695E-2</v>
      </c>
      <c r="P98">
        <f t="shared" si="22"/>
        <v>4.6003187656876068E-2</v>
      </c>
      <c r="V98">
        <v>3.3999999999999702</v>
      </c>
      <c r="W98">
        <f t="shared" si="23"/>
        <v>-0.94262199999999763</v>
      </c>
    </row>
    <row r="99" spans="1:23" x14ac:dyDescent="0.3">
      <c r="A99" s="1">
        <v>4.9415635</v>
      </c>
      <c r="B99" s="1">
        <v>0.40880572999999998</v>
      </c>
      <c r="C99">
        <f t="shared" si="13"/>
        <v>2.0201394739588547</v>
      </c>
      <c r="D99">
        <v>1.5900000000000001E-2</v>
      </c>
      <c r="E99">
        <v>2.9099999999999998E-3</v>
      </c>
      <c r="F99">
        <f t="shared" si="14"/>
        <v>988.31269999999995</v>
      </c>
      <c r="G99">
        <f t="shared" si="15"/>
        <v>-0.40880572999999998</v>
      </c>
      <c r="H99">
        <f t="shared" si="16"/>
        <v>-404.02789479177096</v>
      </c>
      <c r="I99">
        <v>1</v>
      </c>
      <c r="J99">
        <f t="shared" si="17"/>
        <v>-1.1756133333479656E-2</v>
      </c>
      <c r="K99">
        <f t="shared" si="18"/>
        <v>-0.81291942177521748</v>
      </c>
      <c r="L99">
        <v>1</v>
      </c>
      <c r="M99">
        <f t="shared" si="19"/>
        <v>0.67264973716932175</v>
      </c>
      <c r="N99">
        <f t="shared" si="20"/>
        <v>7.8570859650000005E-2</v>
      </c>
      <c r="O99">
        <f t="shared" si="21"/>
        <v>1.4379949784999999E-2</v>
      </c>
      <c r="P99">
        <f t="shared" si="22"/>
        <v>4.7318875170895724E-2</v>
      </c>
      <c r="V99">
        <v>3.4999999999999698</v>
      </c>
      <c r="W99">
        <f t="shared" si="23"/>
        <v>-0.95053499999999758</v>
      </c>
    </row>
    <row r="100" spans="1:23" x14ac:dyDescent="0.3">
      <c r="A100" s="1">
        <v>4.9929912000000014</v>
      </c>
      <c r="B100" s="1">
        <v>0.40546450000000001</v>
      </c>
      <c r="C100">
        <f t="shared" si="13"/>
        <v>2.0244806804124007</v>
      </c>
      <c r="D100">
        <v>1.5900000000000001E-2</v>
      </c>
      <c r="E100">
        <v>2.9099999999999998E-3</v>
      </c>
      <c r="F100">
        <f t="shared" si="14"/>
        <v>998.59824000000026</v>
      </c>
      <c r="G100">
        <f t="shared" si="15"/>
        <v>-0.40546450000000001</v>
      </c>
      <c r="H100">
        <f t="shared" si="16"/>
        <v>-404.89613608248015</v>
      </c>
      <c r="I100">
        <v>1</v>
      </c>
      <c r="J100">
        <f t="shared" si="17"/>
        <v>-1.4027433846354235E-3</v>
      </c>
      <c r="K100">
        <f t="shared" si="18"/>
        <v>-0.81626065177521745</v>
      </c>
      <c r="L100">
        <v>1</v>
      </c>
      <c r="M100">
        <f t="shared" si="19"/>
        <v>0.67346900091597373</v>
      </c>
      <c r="N100">
        <f t="shared" si="20"/>
        <v>7.9388560080000031E-2</v>
      </c>
      <c r="O100">
        <f t="shared" si="21"/>
        <v>1.4529604392000003E-2</v>
      </c>
      <c r="P100">
        <f t="shared" si="22"/>
        <v>4.8873486387243689E-2</v>
      </c>
      <c r="V100">
        <v>3.5999999999999699</v>
      </c>
      <c r="W100">
        <f t="shared" ref="W100:W131" si="24">V100*$S$5+$S$4</f>
        <v>-0.95844799999999752</v>
      </c>
    </row>
    <row r="101" spans="1:23" x14ac:dyDescent="0.3">
      <c r="A101" s="1">
        <v>5.0444184999999999</v>
      </c>
      <c r="B101" s="1">
        <v>0.40195140000000001</v>
      </c>
      <c r="C101">
        <f t="shared" si="13"/>
        <v>2.0276110782609003</v>
      </c>
      <c r="D101">
        <v>1.5900000000000001E-2</v>
      </c>
      <c r="E101">
        <v>2.9099999999999998E-3</v>
      </c>
      <c r="F101">
        <f t="shared" si="14"/>
        <v>1008.8837</v>
      </c>
      <c r="G101">
        <f t="shared" si="15"/>
        <v>-0.40195140000000001</v>
      </c>
      <c r="H101">
        <f t="shared" si="16"/>
        <v>-405.52221565218008</v>
      </c>
      <c r="I101">
        <v>1</v>
      </c>
      <c r="J101">
        <f t="shared" si="17"/>
        <v>8.8444720919501618E-3</v>
      </c>
      <c r="K101">
        <f t="shared" si="18"/>
        <v>-0.8197737517752175</v>
      </c>
      <c r="L101">
        <v>1</v>
      </c>
      <c r="M101">
        <f t="shared" si="19"/>
        <v>0.67427986307663601</v>
      </c>
      <c r="N101">
        <f t="shared" si="20"/>
        <v>8.0206254150000003E-2</v>
      </c>
      <c r="O101">
        <f t="shared" si="21"/>
        <v>1.4679257834999999E-2</v>
      </c>
      <c r="P101">
        <f t="shared" si="22"/>
        <v>5.0608376713581482E-2</v>
      </c>
      <c r="V101">
        <v>3.69999999999997</v>
      </c>
      <c r="W101">
        <f t="shared" si="24"/>
        <v>-0.96636099999999758</v>
      </c>
    </row>
    <row r="102" spans="1:23" x14ac:dyDescent="0.3">
      <c r="A102" s="1">
        <v>5.0953369000000004</v>
      </c>
      <c r="B102" s="1">
        <v>0.39866741999999999</v>
      </c>
      <c r="C102">
        <f t="shared" si="13"/>
        <v>2.0313448159537981</v>
      </c>
      <c r="D102">
        <v>1.5900000000000001E-2</v>
      </c>
      <c r="E102">
        <v>2.9099999999999998E-3</v>
      </c>
      <c r="F102">
        <f t="shared" si="14"/>
        <v>1019.0673800000001</v>
      </c>
      <c r="G102">
        <f t="shared" si="15"/>
        <v>-0.39866741999999999</v>
      </c>
      <c r="H102">
        <f t="shared" si="16"/>
        <v>-406.26896319075962</v>
      </c>
      <c r="I102">
        <v>1</v>
      </c>
      <c r="J102">
        <f t="shared" si="17"/>
        <v>1.88878757051535E-2</v>
      </c>
      <c r="K102">
        <f t="shared" si="18"/>
        <v>-0.82305773177521746</v>
      </c>
      <c r="L102">
        <v>1</v>
      </c>
      <c r="M102">
        <f t="shared" si="19"/>
        <v>0.6750745976045488</v>
      </c>
      <c r="N102">
        <f t="shared" si="20"/>
        <v>8.1015856710000014E-2</v>
      </c>
      <c r="O102">
        <f t="shared" si="21"/>
        <v>1.4827430379000001E-2</v>
      </c>
      <c r="P102">
        <f t="shared" si="22"/>
        <v>5.2139847081668647E-2</v>
      </c>
      <c r="V102">
        <v>3.7999999999999701</v>
      </c>
      <c r="W102">
        <f t="shared" si="24"/>
        <v>-0.97427399999999764</v>
      </c>
    </row>
    <row r="103" spans="1:23" x14ac:dyDescent="0.3">
      <c r="A103" s="1">
        <v>5.1503286000000008</v>
      </c>
      <c r="B103" s="1">
        <v>0.39542165000000001</v>
      </c>
      <c r="C103">
        <f t="shared" si="13"/>
        <v>2.0365514330541905</v>
      </c>
      <c r="D103">
        <v>1.5900000000000001E-2</v>
      </c>
      <c r="E103">
        <v>2.9099999999999998E-3</v>
      </c>
      <c r="F103">
        <f t="shared" si="14"/>
        <v>1030.0657200000001</v>
      </c>
      <c r="G103">
        <f t="shared" si="15"/>
        <v>-0.39542165000000001</v>
      </c>
      <c r="H103">
        <f t="shared" si="16"/>
        <v>-407.31028661083809</v>
      </c>
      <c r="I103">
        <v>1</v>
      </c>
      <c r="J103">
        <f t="shared" si="17"/>
        <v>2.9622606031282108E-2</v>
      </c>
      <c r="K103">
        <f t="shared" si="18"/>
        <v>-0.82630350177521739</v>
      </c>
      <c r="L103">
        <v>1</v>
      </c>
      <c r="M103">
        <f t="shared" si="19"/>
        <v>0.67592403681525526</v>
      </c>
      <c r="N103">
        <f t="shared" si="20"/>
        <v>8.1890224740000017E-2</v>
      </c>
      <c r="O103">
        <f t="shared" si="21"/>
        <v>1.4987456226000001E-2</v>
      </c>
      <c r="P103">
        <f t="shared" si="22"/>
        <v>5.3501783993962111E-2</v>
      </c>
      <c r="V103">
        <v>3.8999999999999599</v>
      </c>
      <c r="W103">
        <f t="shared" si="24"/>
        <v>-0.98218699999999681</v>
      </c>
    </row>
    <row r="104" spans="1:23" x14ac:dyDescent="0.3">
      <c r="A104" s="1">
        <v>5.2027743999999991</v>
      </c>
      <c r="B104" s="1">
        <v>0.39187038000000002</v>
      </c>
      <c r="C104">
        <f t="shared" si="13"/>
        <v>2.0388131811822716</v>
      </c>
      <c r="D104">
        <v>1.5900000000000001E-2</v>
      </c>
      <c r="E104">
        <v>2.9099999999999998E-3</v>
      </c>
      <c r="F104">
        <f t="shared" si="14"/>
        <v>1040.5548799999999</v>
      </c>
      <c r="G104">
        <f t="shared" si="15"/>
        <v>-0.39187038000000002</v>
      </c>
      <c r="H104">
        <f t="shared" si="16"/>
        <v>-407.76263623645434</v>
      </c>
      <c r="I104">
        <v>1</v>
      </c>
      <c r="J104">
        <f t="shared" si="17"/>
        <v>3.975410933378077E-2</v>
      </c>
      <c r="K104">
        <f t="shared" si="18"/>
        <v>-0.82985477177521738</v>
      </c>
      <c r="L104">
        <v>1</v>
      </c>
      <c r="M104">
        <f t="shared" si="19"/>
        <v>0.67672574267158203</v>
      </c>
      <c r="N104">
        <f t="shared" si="20"/>
        <v>8.2724112959999985E-2</v>
      </c>
      <c r="O104">
        <f t="shared" si="21"/>
        <v>1.5140073503999997E-2</v>
      </c>
      <c r="P104">
        <f t="shared" si="22"/>
        <v>5.5264842639635367E-2</v>
      </c>
      <c r="V104">
        <v>3.99999999999996</v>
      </c>
      <c r="W104">
        <f t="shared" si="24"/>
        <v>-0.99009999999999687</v>
      </c>
    </row>
    <row r="105" spans="1:23" x14ac:dyDescent="0.3">
      <c r="A105" s="1">
        <v>5.2531836000000007</v>
      </c>
      <c r="B105" s="1">
        <v>0.38862458</v>
      </c>
      <c r="C105">
        <f t="shared" si="13"/>
        <v>2.0415162702128882</v>
      </c>
      <c r="D105">
        <v>1.5900000000000001E-2</v>
      </c>
      <c r="E105">
        <v>2.9099999999999998E-3</v>
      </c>
      <c r="F105">
        <f t="shared" si="14"/>
        <v>1050.6367200000002</v>
      </c>
      <c r="G105">
        <f t="shared" si="15"/>
        <v>-0.38862458</v>
      </c>
      <c r="H105">
        <f t="shared" si="16"/>
        <v>-408.30325404257763</v>
      </c>
      <c r="I105">
        <v>1</v>
      </c>
      <c r="J105">
        <f t="shared" si="17"/>
        <v>4.9396380383247063E-2</v>
      </c>
      <c r="K105">
        <f t="shared" si="18"/>
        <v>-0.83310057177521746</v>
      </c>
      <c r="L105">
        <v>1</v>
      </c>
      <c r="M105">
        <f t="shared" si="19"/>
        <v>0.67748873557972633</v>
      </c>
      <c r="N105">
        <f t="shared" si="20"/>
        <v>8.3525619240000015E-2</v>
      </c>
      <c r="O105">
        <f t="shared" si="21"/>
        <v>1.5286764276000002E-2</v>
      </c>
      <c r="P105">
        <f t="shared" si="22"/>
        <v>5.6799452679491109E-2</v>
      </c>
      <c r="V105">
        <v>4.0999999999999996</v>
      </c>
      <c r="W105">
        <f t="shared" si="24"/>
        <v>-0.99801299999999993</v>
      </c>
    </row>
    <row r="106" spans="1:23" x14ac:dyDescent="0.3">
      <c r="A106" s="1">
        <v>5.3061387</v>
      </c>
      <c r="B106" s="1">
        <v>0.38471054999999998</v>
      </c>
      <c r="C106">
        <f t="shared" si="13"/>
        <v>2.0413275376532849</v>
      </c>
      <c r="D106">
        <v>1.5900000000000001E-2</v>
      </c>
      <c r="E106">
        <v>2.9099999999999998E-3</v>
      </c>
      <c r="F106">
        <f t="shared" si="14"/>
        <v>1061.22774</v>
      </c>
      <c r="G106">
        <f t="shared" si="15"/>
        <v>-0.38471054999999998</v>
      </c>
      <c r="H106">
        <f t="shared" si="16"/>
        <v>-408.26550753065698</v>
      </c>
      <c r="I106">
        <v>1</v>
      </c>
      <c r="J106">
        <f t="shared" si="17"/>
        <v>5.9426483158418489E-2</v>
      </c>
      <c r="K106">
        <f t="shared" si="18"/>
        <v>-0.83701460177521747</v>
      </c>
      <c r="L106">
        <v>1</v>
      </c>
      <c r="M106">
        <f t="shared" si="19"/>
        <v>0.67828241761232566</v>
      </c>
      <c r="N106">
        <f t="shared" si="20"/>
        <v>8.4367605329999998E-2</v>
      </c>
      <c r="O106">
        <f t="shared" si="21"/>
        <v>1.5440863616999999E-2</v>
      </c>
      <c r="P106">
        <f t="shared" si="22"/>
        <v>5.8923715215891813E-2</v>
      </c>
      <c r="V106">
        <v>4.2</v>
      </c>
      <c r="W106">
        <f t="shared" si="24"/>
        <v>-1.0059260000000001</v>
      </c>
    </row>
    <row r="107" spans="1:23" x14ac:dyDescent="0.3">
      <c r="A107" s="1">
        <v>5.3575659</v>
      </c>
      <c r="B107" s="1">
        <v>0.38133112000000002</v>
      </c>
      <c r="C107">
        <f t="shared" si="13"/>
        <v>2.0430066051208082</v>
      </c>
      <c r="D107">
        <v>1.5900000000000001E-2</v>
      </c>
      <c r="E107">
        <v>2.9099999999999998E-3</v>
      </c>
      <c r="F107">
        <f t="shared" si="14"/>
        <v>1071.5131799999999</v>
      </c>
      <c r="G107">
        <f t="shared" si="15"/>
        <v>-0.38133112000000002</v>
      </c>
      <c r="H107">
        <f t="shared" si="16"/>
        <v>-408.60132102416162</v>
      </c>
      <c r="I107">
        <v>1</v>
      </c>
      <c r="J107">
        <f t="shared" si="17"/>
        <v>6.9071836369143033E-2</v>
      </c>
      <c r="K107">
        <f t="shared" si="18"/>
        <v>-0.84039403177521743</v>
      </c>
      <c r="L107">
        <v>1</v>
      </c>
      <c r="M107">
        <f t="shared" si="19"/>
        <v>0.67904565441189024</v>
      </c>
      <c r="N107">
        <f t="shared" si="20"/>
        <v>8.5185297810000005E-2</v>
      </c>
      <c r="O107">
        <f t="shared" si="21"/>
        <v>1.5590516769E-2</v>
      </c>
      <c r="P107">
        <f t="shared" si="22"/>
        <v>6.0572562784327183E-2</v>
      </c>
      <c r="V107">
        <v>4.3</v>
      </c>
      <c r="W107">
        <f t="shared" si="24"/>
        <v>-1.0138389999999999</v>
      </c>
    </row>
    <row r="108" spans="1:23" x14ac:dyDescent="0.3">
      <c r="A108" s="1">
        <v>5.4110303000000002</v>
      </c>
      <c r="B108" s="1">
        <v>0.37770345999999999</v>
      </c>
      <c r="C108">
        <f t="shared" si="13"/>
        <v>2.043764866474838</v>
      </c>
      <c r="D108">
        <v>1.5900000000000001E-2</v>
      </c>
      <c r="E108">
        <v>2.9099999999999998E-3</v>
      </c>
      <c r="F108">
        <f t="shared" si="14"/>
        <v>1082.20606</v>
      </c>
      <c r="G108">
        <f t="shared" si="15"/>
        <v>-0.37770345999999999</v>
      </c>
      <c r="H108">
        <f t="shared" si="16"/>
        <v>-408.7529732949676</v>
      </c>
      <c r="I108">
        <v>1</v>
      </c>
      <c r="J108">
        <f t="shared" si="17"/>
        <v>7.9001605915125672E-2</v>
      </c>
      <c r="K108">
        <f t="shared" si="18"/>
        <v>-0.84402169177521746</v>
      </c>
      <c r="L108">
        <v>1</v>
      </c>
      <c r="M108">
        <f t="shared" si="19"/>
        <v>0.67983139707606388</v>
      </c>
      <c r="N108">
        <f t="shared" si="20"/>
        <v>8.6035381770000002E-2</v>
      </c>
      <c r="O108">
        <f t="shared" si="21"/>
        <v>1.5746098173E-2</v>
      </c>
      <c r="P108">
        <f t="shared" si="22"/>
        <v>6.2408814756153577E-2</v>
      </c>
      <c r="V108">
        <v>4.4000000000000004</v>
      </c>
      <c r="W108">
        <f t="shared" si="24"/>
        <v>-1.021752</v>
      </c>
    </row>
    <row r="109" spans="1:23" x14ac:dyDescent="0.3">
      <c r="A109" s="1">
        <v>5.4624580000000007</v>
      </c>
      <c r="B109" s="1">
        <v>0.37420945999999999</v>
      </c>
      <c r="C109">
        <f t="shared" si="13"/>
        <v>2.04410345845268</v>
      </c>
      <c r="D109">
        <v>1.5900000000000001E-2</v>
      </c>
      <c r="E109">
        <v>2.9099999999999998E-3</v>
      </c>
      <c r="F109">
        <f t="shared" si="14"/>
        <v>1092.4916000000001</v>
      </c>
      <c r="G109">
        <f t="shared" si="15"/>
        <v>-0.37420945999999999</v>
      </c>
      <c r="H109">
        <f t="shared" si="16"/>
        <v>-408.82069169053602</v>
      </c>
      <c r="I109">
        <v>1</v>
      </c>
      <c r="J109">
        <f t="shared" si="17"/>
        <v>8.846095917086394E-2</v>
      </c>
      <c r="K109">
        <f t="shared" si="18"/>
        <v>-0.84751569177521746</v>
      </c>
      <c r="L109">
        <v>1</v>
      </c>
      <c r="M109">
        <f t="shared" si="19"/>
        <v>0.68057991569919041</v>
      </c>
      <c r="N109">
        <f t="shared" si="20"/>
        <v>8.6853082200000015E-2</v>
      </c>
      <c r="O109">
        <f t="shared" si="21"/>
        <v>1.5895752780000001E-2</v>
      </c>
      <c r="P109">
        <f t="shared" si="22"/>
        <v>6.4186941096027045E-2</v>
      </c>
      <c r="V109">
        <v>4.5</v>
      </c>
      <c r="W109">
        <f t="shared" si="24"/>
        <v>-1.0296650000000001</v>
      </c>
    </row>
    <row r="110" spans="1:23" x14ac:dyDescent="0.3">
      <c r="A110" s="1">
        <v>5.5128671999999996</v>
      </c>
      <c r="B110" s="1">
        <v>0.37031454000000003</v>
      </c>
      <c r="C110">
        <f t="shared" si="13"/>
        <v>2.0414948812490881</v>
      </c>
      <c r="D110">
        <v>1.5900000000000001E-2</v>
      </c>
      <c r="E110">
        <v>2.9099999999999998E-3</v>
      </c>
      <c r="F110">
        <f t="shared" si="14"/>
        <v>1102.5734399999999</v>
      </c>
      <c r="G110">
        <f t="shared" si="15"/>
        <v>-0.37031454000000003</v>
      </c>
      <c r="H110">
        <f t="shared" si="16"/>
        <v>-408.2989762498176</v>
      </c>
      <c r="I110">
        <v>1</v>
      </c>
      <c r="J110">
        <f t="shared" si="17"/>
        <v>9.764693836526471E-2</v>
      </c>
      <c r="K110">
        <f t="shared" si="18"/>
        <v>-0.85141061177521737</v>
      </c>
      <c r="L110">
        <v>1</v>
      </c>
      <c r="M110">
        <f t="shared" si="19"/>
        <v>0.68130680223284334</v>
      </c>
      <c r="N110">
        <f t="shared" si="20"/>
        <v>8.7654588480000004E-2</v>
      </c>
      <c r="O110">
        <f t="shared" si="21"/>
        <v>1.6042443551999998E-2</v>
      </c>
      <c r="P110">
        <f t="shared" si="22"/>
        <v>6.6406777510374021E-2</v>
      </c>
      <c r="V110">
        <v>4.5999999999999996</v>
      </c>
      <c r="W110">
        <f t="shared" si="24"/>
        <v>-1.0375779999999999</v>
      </c>
    </row>
    <row r="111" spans="1:23" x14ac:dyDescent="0.3">
      <c r="A111" s="1">
        <v>5.5632758999999998</v>
      </c>
      <c r="B111" s="1">
        <v>0.36703056000000001</v>
      </c>
      <c r="C111">
        <f t="shared" si="13"/>
        <v>2.041892269011504</v>
      </c>
      <c r="D111">
        <v>1.5900000000000001E-2</v>
      </c>
      <c r="E111">
        <v>2.9099999999999998E-3</v>
      </c>
      <c r="F111">
        <f t="shared" si="14"/>
        <v>1112.65518</v>
      </c>
      <c r="G111">
        <f t="shared" si="15"/>
        <v>-0.36703056000000001</v>
      </c>
      <c r="H111">
        <f t="shared" si="16"/>
        <v>-408.37845380230078</v>
      </c>
      <c r="I111">
        <v>1</v>
      </c>
      <c r="J111">
        <f t="shared" si="17"/>
        <v>0.10674921297121127</v>
      </c>
      <c r="K111">
        <f t="shared" si="18"/>
        <v>-0.85469459177521745</v>
      </c>
      <c r="L111">
        <v>1</v>
      </c>
      <c r="M111">
        <f t="shared" si="19"/>
        <v>0.68202706522241185</v>
      </c>
      <c r="N111">
        <f t="shared" si="20"/>
        <v>8.8456086810000001E-2</v>
      </c>
      <c r="O111">
        <f t="shared" si="21"/>
        <v>1.6189132868999999E-2</v>
      </c>
      <c r="P111">
        <f t="shared" si="22"/>
        <v>6.8022306873805588E-2</v>
      </c>
      <c r="V111">
        <v>4.7</v>
      </c>
      <c r="W111">
        <f t="shared" si="24"/>
        <v>-1.0454909999999999</v>
      </c>
    </row>
    <row r="112" spans="1:23" x14ac:dyDescent="0.3">
      <c r="A112" s="1">
        <v>5.6167407000000003</v>
      </c>
      <c r="B112" s="1">
        <v>0.36302105000000001</v>
      </c>
      <c r="C112">
        <f t="shared" si="13"/>
        <v>2.0389951064917353</v>
      </c>
      <c r="D112">
        <v>1.5900000000000001E-2</v>
      </c>
      <c r="E112">
        <v>2.9099999999999998E-3</v>
      </c>
      <c r="F112">
        <f t="shared" si="14"/>
        <v>1123.3481400000001</v>
      </c>
      <c r="G112">
        <f t="shared" si="15"/>
        <v>-0.36302105000000001</v>
      </c>
      <c r="H112">
        <f t="shared" si="16"/>
        <v>-407.79902129834704</v>
      </c>
      <c r="I112">
        <v>1</v>
      </c>
      <c r="J112">
        <f t="shared" si="17"/>
        <v>0.11631363661819405</v>
      </c>
      <c r="K112">
        <f t="shared" si="18"/>
        <v>-0.8587041017752175</v>
      </c>
      <c r="L112">
        <v>1</v>
      </c>
      <c r="M112">
        <f t="shared" si="19"/>
        <v>0.68278389806559769</v>
      </c>
      <c r="N112">
        <f t="shared" si="20"/>
        <v>8.9306177130000011E-2</v>
      </c>
      <c r="O112">
        <f t="shared" si="21"/>
        <v>1.6344715437000001E-2</v>
      </c>
      <c r="P112">
        <f t="shared" si="22"/>
        <v>7.0269311142619792E-2</v>
      </c>
      <c r="V112">
        <v>4.8</v>
      </c>
      <c r="W112">
        <f t="shared" si="24"/>
        <v>-1.053404</v>
      </c>
    </row>
    <row r="113" spans="1:23" x14ac:dyDescent="0.3">
      <c r="A113" s="1">
        <v>5.6671498999999992</v>
      </c>
      <c r="B113" s="1">
        <v>0.35937430999999997</v>
      </c>
      <c r="C113">
        <f t="shared" si="13"/>
        <v>2.0366280849790686</v>
      </c>
      <c r="D113">
        <v>1.5900000000000001E-2</v>
      </c>
      <c r="E113">
        <v>2.9099999999999998E-3</v>
      </c>
      <c r="F113">
        <f t="shared" si="14"/>
        <v>1133.4299799999999</v>
      </c>
      <c r="G113">
        <f t="shared" si="15"/>
        <v>-0.35937430999999997</v>
      </c>
      <c r="H113">
        <f t="shared" si="16"/>
        <v>-407.32561699581373</v>
      </c>
      <c r="I113">
        <v>1</v>
      </c>
      <c r="J113">
        <f t="shared" si="17"/>
        <v>0.12524841578876258</v>
      </c>
      <c r="K113">
        <f t="shared" si="18"/>
        <v>-0.86235084177521748</v>
      </c>
      <c r="L113">
        <v>1</v>
      </c>
      <c r="M113">
        <f t="shared" si="19"/>
        <v>0.68349090714136473</v>
      </c>
      <c r="N113">
        <f t="shared" si="20"/>
        <v>9.0107683409999986E-2</v>
      </c>
      <c r="O113">
        <f t="shared" si="21"/>
        <v>1.6491406208999998E-2</v>
      </c>
      <c r="P113">
        <f t="shared" si="22"/>
        <v>7.2260845014852762E-2</v>
      </c>
      <c r="V113">
        <v>4.9000000000000004</v>
      </c>
      <c r="W113">
        <f t="shared" si="24"/>
        <v>-1.0613170000000001</v>
      </c>
    </row>
    <row r="114" spans="1:23" x14ac:dyDescent="0.3">
      <c r="A114" s="1">
        <v>5.7180683999999999</v>
      </c>
      <c r="B114" s="1">
        <v>0.35586125000000002</v>
      </c>
      <c r="C114">
        <f t="shared" si="13"/>
        <v>2.0348389684095003</v>
      </c>
      <c r="D114">
        <v>1.5900000000000001E-2</v>
      </c>
      <c r="E114">
        <v>2.9099999999999998E-3</v>
      </c>
      <c r="F114">
        <f t="shared" si="14"/>
        <v>1143.6136799999999</v>
      </c>
      <c r="G114">
        <f t="shared" si="15"/>
        <v>-0.35586125000000002</v>
      </c>
      <c r="H114">
        <f t="shared" si="16"/>
        <v>-406.96779368190005</v>
      </c>
      <c r="I114">
        <v>1</v>
      </c>
      <c r="J114">
        <f t="shared" si="17"/>
        <v>0.13419314361902676</v>
      </c>
      <c r="K114">
        <f t="shared" si="18"/>
        <v>-0.86586390177521744</v>
      </c>
      <c r="L114">
        <v>1</v>
      </c>
      <c r="M114">
        <f t="shared" si="19"/>
        <v>0.68419870345457356</v>
      </c>
      <c r="N114">
        <f t="shared" si="20"/>
        <v>9.0917287560000004E-2</v>
      </c>
      <c r="O114">
        <f t="shared" si="21"/>
        <v>1.6639579044E-2</v>
      </c>
      <c r="P114">
        <f t="shared" si="22"/>
        <v>7.4108331716643869E-2</v>
      </c>
      <c r="V114">
        <v>5</v>
      </c>
      <c r="W114">
        <f t="shared" si="24"/>
        <v>-1.0692300000000001</v>
      </c>
    </row>
    <row r="115" spans="1:23" x14ac:dyDescent="0.3">
      <c r="A115" s="1">
        <v>5.7710233999999998</v>
      </c>
      <c r="B115" s="1">
        <v>0.35202357000000001</v>
      </c>
      <c r="C115">
        <f t="shared" si="13"/>
        <v>2.0315362598215381</v>
      </c>
      <c r="D115">
        <v>1.5900000000000001E-2</v>
      </c>
      <c r="E115">
        <v>2.9099999999999998E-3</v>
      </c>
      <c r="F115">
        <f t="shared" si="14"/>
        <v>1154.2046800000001</v>
      </c>
      <c r="G115">
        <f t="shared" si="15"/>
        <v>-0.35202357000000001</v>
      </c>
      <c r="H115">
        <f t="shared" si="16"/>
        <v>-406.30725196430762</v>
      </c>
      <c r="I115">
        <v>1</v>
      </c>
      <c r="J115">
        <f t="shared" si="17"/>
        <v>0.14341151804304991</v>
      </c>
      <c r="K115">
        <f t="shared" si="18"/>
        <v>-0.86970158177521739</v>
      </c>
      <c r="L115">
        <v>1</v>
      </c>
      <c r="M115">
        <f t="shared" si="19"/>
        <v>0.68492815342274649</v>
      </c>
      <c r="N115">
        <f t="shared" si="20"/>
        <v>9.1759272060000008E-2</v>
      </c>
      <c r="O115">
        <f t="shared" si="21"/>
        <v>1.6793678093999998E-2</v>
      </c>
      <c r="P115">
        <f t="shared" si="22"/>
        <v>7.6220478198470901E-2</v>
      </c>
      <c r="V115">
        <v>5.0999999999999996</v>
      </c>
      <c r="W115">
        <f t="shared" si="24"/>
        <v>-1.077143</v>
      </c>
    </row>
    <row r="116" spans="1:23" x14ac:dyDescent="0.3">
      <c r="A116" s="1">
        <v>5.8214321</v>
      </c>
      <c r="B116" s="1">
        <v>0.34782313999999998</v>
      </c>
      <c r="C116">
        <f t="shared" si="13"/>
        <v>2.024828792318794</v>
      </c>
      <c r="D116">
        <v>1.5900000000000001E-2</v>
      </c>
      <c r="E116">
        <v>2.9099999999999998E-3</v>
      </c>
      <c r="F116">
        <f t="shared" si="14"/>
        <v>1164.2864199999999</v>
      </c>
      <c r="G116">
        <f t="shared" si="15"/>
        <v>-0.34782313999999998</v>
      </c>
      <c r="H116">
        <f t="shared" si="16"/>
        <v>-404.96575846375879</v>
      </c>
      <c r="I116">
        <v>1</v>
      </c>
      <c r="J116">
        <f t="shared" si="17"/>
        <v>0.1521083843322435</v>
      </c>
      <c r="K116">
        <f t="shared" si="18"/>
        <v>-0.87390201177521742</v>
      </c>
      <c r="L116">
        <v>1</v>
      </c>
      <c r="M116">
        <f t="shared" si="19"/>
        <v>0.68561633645221043</v>
      </c>
      <c r="N116">
        <f t="shared" si="20"/>
        <v>9.2560770390000005E-2</v>
      </c>
      <c r="O116">
        <f t="shared" si="21"/>
        <v>1.6940367410999999E-2</v>
      </c>
      <c r="P116">
        <f t="shared" si="22"/>
        <v>7.8784537522006995E-2</v>
      </c>
      <c r="V116">
        <v>5.2</v>
      </c>
      <c r="W116">
        <f t="shared" si="24"/>
        <v>-1.085056</v>
      </c>
    </row>
    <row r="117" spans="1:23" x14ac:dyDescent="0.3">
      <c r="A117" s="1">
        <v>5.8718418000000003</v>
      </c>
      <c r="B117" s="1">
        <v>0.34402364000000002</v>
      </c>
      <c r="C117">
        <f t="shared" si="13"/>
        <v>2.0200523895401523</v>
      </c>
      <c r="D117">
        <v>1.5900000000000001E-2</v>
      </c>
      <c r="E117">
        <v>2.9099999999999998E-3</v>
      </c>
      <c r="F117">
        <f t="shared" si="14"/>
        <v>1174.3683600000002</v>
      </c>
      <c r="G117">
        <f t="shared" si="15"/>
        <v>-0.34402364000000002</v>
      </c>
      <c r="H117">
        <f t="shared" si="16"/>
        <v>-404.01047790803045</v>
      </c>
      <c r="I117">
        <v>1</v>
      </c>
      <c r="J117">
        <f t="shared" si="17"/>
        <v>0.16073043709829396</v>
      </c>
      <c r="K117">
        <f t="shared" si="18"/>
        <v>-0.87770151177521738</v>
      </c>
      <c r="L117">
        <v>1</v>
      </c>
      <c r="M117">
        <f t="shared" si="19"/>
        <v>0.68629859948758798</v>
      </c>
      <c r="N117">
        <f t="shared" si="20"/>
        <v>9.3362284620000013E-2</v>
      </c>
      <c r="O117">
        <f t="shared" si="21"/>
        <v>1.7087059637999998E-2</v>
      </c>
      <c r="P117">
        <f t="shared" si="22"/>
        <v>8.0953568029629386E-2</v>
      </c>
      <c r="V117">
        <v>5.3</v>
      </c>
      <c r="W117">
        <f t="shared" si="24"/>
        <v>-1.0929690000000001</v>
      </c>
    </row>
    <row r="118" spans="1:23" x14ac:dyDescent="0.3">
      <c r="A118" s="1">
        <v>5.9247959000000003</v>
      </c>
      <c r="B118" s="1">
        <v>0.34014781999999999</v>
      </c>
      <c r="C118">
        <f t="shared" si="13"/>
        <v>2.0153064093299382</v>
      </c>
      <c r="D118">
        <v>1.5900000000000001E-2</v>
      </c>
      <c r="E118">
        <v>2.9099999999999998E-3</v>
      </c>
      <c r="F118">
        <f t="shared" si="14"/>
        <v>1184.9591800000001</v>
      </c>
      <c r="G118">
        <f t="shared" si="15"/>
        <v>-0.34014781999999999</v>
      </c>
      <c r="H118">
        <f t="shared" si="16"/>
        <v>-403.06128186598767</v>
      </c>
      <c r="I118">
        <v>1</v>
      </c>
      <c r="J118">
        <f t="shared" si="17"/>
        <v>0.16970832673639025</v>
      </c>
      <c r="K118">
        <f t="shared" si="18"/>
        <v>-0.88157733177521747</v>
      </c>
      <c r="L118">
        <v>1</v>
      </c>
      <c r="M118">
        <f t="shared" si="19"/>
        <v>0.68700901989465046</v>
      </c>
      <c r="N118">
        <f t="shared" si="20"/>
        <v>9.4204254810000013E-2</v>
      </c>
      <c r="O118">
        <f t="shared" si="21"/>
        <v>1.7241156069000001E-2</v>
      </c>
      <c r="P118">
        <f t="shared" si="22"/>
        <v>8.3122901001566996E-2</v>
      </c>
      <c r="V118">
        <v>5.4</v>
      </c>
      <c r="W118">
        <f t="shared" si="24"/>
        <v>-1.1008819999999999</v>
      </c>
    </row>
    <row r="119" spans="1:23" x14ac:dyDescent="0.3">
      <c r="A119" s="1">
        <v>5.9757144000000011</v>
      </c>
      <c r="B119" s="1">
        <v>0.33577554999999998</v>
      </c>
      <c r="C119">
        <f t="shared" si="13"/>
        <v>2.00649878930292</v>
      </c>
      <c r="D119">
        <v>1.5900000000000001E-2</v>
      </c>
      <c r="E119">
        <v>2.9099999999999998E-3</v>
      </c>
      <c r="F119">
        <f t="shared" si="14"/>
        <v>1195.1428800000003</v>
      </c>
      <c r="G119">
        <f t="shared" si="15"/>
        <v>-0.33577554999999998</v>
      </c>
      <c r="H119">
        <f t="shared" si="16"/>
        <v>-401.29975786058401</v>
      </c>
      <c r="I119">
        <v>1</v>
      </c>
      <c r="J119">
        <f t="shared" si="17"/>
        <v>0.17826574308972337</v>
      </c>
      <c r="K119">
        <f t="shared" si="18"/>
        <v>-0.88594960177521753</v>
      </c>
      <c r="L119">
        <v>1</v>
      </c>
      <c r="M119">
        <f t="shared" si="19"/>
        <v>0.68768616825068973</v>
      </c>
      <c r="N119">
        <f t="shared" si="20"/>
        <v>9.5013858960000017E-2</v>
      </c>
      <c r="O119">
        <f t="shared" si="21"/>
        <v>1.7389328904000002E-2</v>
      </c>
      <c r="P119">
        <f t="shared" si="22"/>
        <v>8.5860245660527773E-2</v>
      </c>
      <c r="V119">
        <v>5.5</v>
      </c>
      <c r="W119">
        <f t="shared" si="24"/>
        <v>-1.108795</v>
      </c>
    </row>
    <row r="120" spans="1:23" x14ac:dyDescent="0.3">
      <c r="A120" s="1">
        <v>6.0261239999999994</v>
      </c>
      <c r="B120" s="1">
        <v>0.33197606000000002</v>
      </c>
      <c r="C120">
        <f t="shared" si="13"/>
        <v>2.0005289025914399</v>
      </c>
      <c r="D120">
        <v>1.5900000000000001E-2</v>
      </c>
      <c r="E120">
        <v>2.9099999999999998E-3</v>
      </c>
      <c r="F120">
        <f t="shared" si="14"/>
        <v>1205.2248</v>
      </c>
      <c r="G120">
        <f t="shared" si="15"/>
        <v>-0.33197606000000002</v>
      </c>
      <c r="H120">
        <f t="shared" si="16"/>
        <v>-400.10578051828799</v>
      </c>
      <c r="I120">
        <v>1</v>
      </c>
      <c r="J120">
        <f t="shared" si="17"/>
        <v>0.18666610555980601</v>
      </c>
      <c r="K120">
        <f t="shared" si="18"/>
        <v>-0.88974909177521744</v>
      </c>
      <c r="L120">
        <v>1</v>
      </c>
      <c r="M120">
        <f t="shared" si="19"/>
        <v>0.68835088893294738</v>
      </c>
      <c r="N120">
        <f t="shared" si="20"/>
        <v>9.5815371599999991E-2</v>
      </c>
      <c r="O120">
        <f t="shared" si="21"/>
        <v>1.7536020839999996E-2</v>
      </c>
      <c r="P120">
        <f t="shared" si="22"/>
        <v>8.8046810402270068E-2</v>
      </c>
      <c r="V120">
        <v>5.6</v>
      </c>
      <c r="W120">
        <f t="shared" si="24"/>
        <v>-1.116708</v>
      </c>
    </row>
    <row r="121" spans="1:23" x14ac:dyDescent="0.3">
      <c r="A121" s="1">
        <v>6.0770419999999996</v>
      </c>
      <c r="B121" s="1">
        <v>0.32789019000000003</v>
      </c>
      <c r="C121">
        <f t="shared" si="13"/>
        <v>1.99260245601798</v>
      </c>
      <c r="D121">
        <v>1.5900000000000001E-2</v>
      </c>
      <c r="E121">
        <v>2.9099999999999998E-3</v>
      </c>
      <c r="F121">
        <f t="shared" si="14"/>
        <v>1215.4084</v>
      </c>
      <c r="G121">
        <f t="shared" si="15"/>
        <v>-0.32789019000000003</v>
      </c>
      <c r="H121">
        <f t="shared" si="16"/>
        <v>-398.52049120359601</v>
      </c>
      <c r="I121">
        <v>1</v>
      </c>
      <c r="J121">
        <f t="shared" si="17"/>
        <v>0.19508015200015508</v>
      </c>
      <c r="K121">
        <f t="shared" si="18"/>
        <v>-0.89383496177521748</v>
      </c>
      <c r="L121">
        <v>1</v>
      </c>
      <c r="M121">
        <f t="shared" si="19"/>
        <v>0.68901669242777219</v>
      </c>
      <c r="N121">
        <f t="shared" si="20"/>
        <v>9.6624967800000003E-2</v>
      </c>
      <c r="O121">
        <f t="shared" si="21"/>
        <v>1.7684192219999999E-2</v>
      </c>
      <c r="P121">
        <f t="shared" si="22"/>
        <v>9.0509109327445297E-2</v>
      </c>
      <c r="V121">
        <v>5.7</v>
      </c>
      <c r="W121">
        <f t="shared" si="24"/>
        <v>-1.1246209999999999</v>
      </c>
    </row>
    <row r="122" spans="1:23" x14ac:dyDescent="0.3">
      <c r="A122" s="1">
        <v>6.1310155999999996</v>
      </c>
      <c r="B122" s="1">
        <v>0.32389978000000003</v>
      </c>
      <c r="C122">
        <f t="shared" si="13"/>
        <v>1.985834604016568</v>
      </c>
      <c r="D122">
        <v>1.5900000000000001E-2</v>
      </c>
      <c r="E122">
        <v>2.9099999999999998E-3</v>
      </c>
      <c r="F122">
        <f t="shared" si="14"/>
        <v>1226.2031199999999</v>
      </c>
      <c r="G122">
        <f t="shared" si="15"/>
        <v>-0.32389978000000003</v>
      </c>
      <c r="H122">
        <f t="shared" si="16"/>
        <v>-397.16692080331359</v>
      </c>
      <c r="I122">
        <v>1</v>
      </c>
      <c r="J122">
        <f t="shared" si="17"/>
        <v>0.20392250078947002</v>
      </c>
      <c r="K122">
        <f t="shared" si="18"/>
        <v>-0.89782537177521737</v>
      </c>
      <c r="L122">
        <v>1</v>
      </c>
      <c r="M122">
        <f t="shared" si="19"/>
        <v>0.68971638748747077</v>
      </c>
      <c r="N122">
        <f t="shared" si="20"/>
        <v>9.7483148039999995E-2</v>
      </c>
      <c r="O122">
        <f t="shared" si="21"/>
        <v>1.7841255395999997E-2</v>
      </c>
      <c r="P122">
        <f t="shared" si="22"/>
        <v>9.2784580851746609E-2</v>
      </c>
      <c r="V122">
        <v>5.8</v>
      </c>
      <c r="W122">
        <f t="shared" si="24"/>
        <v>-1.1325339999999999</v>
      </c>
    </row>
    <row r="123" spans="1:23" x14ac:dyDescent="0.3">
      <c r="A123" s="1">
        <v>6.1819340999999994</v>
      </c>
      <c r="B123" s="1">
        <v>0.31941294999999997</v>
      </c>
      <c r="C123">
        <f t="shared" si="13"/>
        <v>1.9745898075865946</v>
      </c>
      <c r="D123">
        <v>1.5900000000000001E-2</v>
      </c>
      <c r="E123">
        <v>2.9099999999999998E-3</v>
      </c>
      <c r="F123">
        <f t="shared" si="14"/>
        <v>1236.3868199999999</v>
      </c>
      <c r="G123">
        <f t="shared" si="15"/>
        <v>-0.31941294999999997</v>
      </c>
      <c r="H123">
        <f t="shared" si="16"/>
        <v>-394.91796151731893</v>
      </c>
      <c r="I123">
        <v>1</v>
      </c>
      <c r="J123">
        <f t="shared" si="17"/>
        <v>0.2121932712384173</v>
      </c>
      <c r="K123">
        <f t="shared" si="18"/>
        <v>-0.90231220177521743</v>
      </c>
      <c r="L123">
        <v>1</v>
      </c>
      <c r="M123">
        <f t="shared" si="19"/>
        <v>0.69037085355309591</v>
      </c>
      <c r="N123">
        <f t="shared" si="20"/>
        <v>9.8292752189999999E-2</v>
      </c>
      <c r="O123">
        <f t="shared" si="21"/>
        <v>1.7989428230999999E-2</v>
      </c>
      <c r="P123">
        <f t="shared" si="22"/>
        <v>9.565916780112152E-2</v>
      </c>
      <c r="V123">
        <v>5.9</v>
      </c>
      <c r="W123">
        <f t="shared" si="24"/>
        <v>-1.140447</v>
      </c>
    </row>
    <row r="124" spans="1:23" x14ac:dyDescent="0.3">
      <c r="A124" s="1">
        <v>6.2323428000000014</v>
      </c>
      <c r="B124" s="1">
        <v>0.31505978000000001</v>
      </c>
      <c r="C124">
        <f t="shared" si="13"/>
        <v>1.9635605514525845</v>
      </c>
      <c r="D124">
        <v>1.5900000000000001E-2</v>
      </c>
      <c r="E124">
        <v>2.9099999999999998E-3</v>
      </c>
      <c r="F124">
        <f t="shared" si="14"/>
        <v>1246.4685600000003</v>
      </c>
      <c r="G124">
        <f t="shared" si="15"/>
        <v>-0.31505978000000001</v>
      </c>
      <c r="H124">
        <f t="shared" si="16"/>
        <v>-392.71211029051688</v>
      </c>
      <c r="I124">
        <v>1</v>
      </c>
      <c r="J124">
        <f t="shared" si="17"/>
        <v>0.22031440104003466</v>
      </c>
      <c r="K124">
        <f t="shared" si="18"/>
        <v>-0.90666537177521744</v>
      </c>
      <c r="L124">
        <v>1</v>
      </c>
      <c r="M124">
        <f t="shared" si="19"/>
        <v>0.69101347855429784</v>
      </c>
      <c r="N124">
        <f t="shared" si="20"/>
        <v>9.9094250520000024E-2</v>
      </c>
      <c r="O124">
        <f t="shared" si="21"/>
        <v>1.8136117548000003E-2</v>
      </c>
      <c r="P124">
        <f t="shared" si="22"/>
        <v>9.8421525152919576E-2</v>
      </c>
      <c r="V124">
        <v>6</v>
      </c>
      <c r="W124">
        <f t="shared" si="24"/>
        <v>-1.14836</v>
      </c>
    </row>
    <row r="125" spans="1:23" x14ac:dyDescent="0.3">
      <c r="A125" s="1">
        <v>6.288352999999999</v>
      </c>
      <c r="B125" s="1">
        <v>0.31026747999999998</v>
      </c>
      <c r="C125">
        <f t="shared" si="13"/>
        <v>1.9510714386604395</v>
      </c>
      <c r="D125">
        <v>1.5900000000000001E-2</v>
      </c>
      <c r="E125">
        <v>2.9099999999999998E-3</v>
      </c>
      <c r="F125">
        <f t="shared" si="14"/>
        <v>1257.6705999999997</v>
      </c>
      <c r="G125">
        <f t="shared" si="15"/>
        <v>-0.31026747999999998</v>
      </c>
      <c r="H125">
        <f t="shared" si="16"/>
        <v>-390.21428773208788</v>
      </c>
      <c r="I125">
        <v>1</v>
      </c>
      <c r="J125">
        <f t="shared" si="17"/>
        <v>0.2292612797939331</v>
      </c>
      <c r="K125">
        <f t="shared" si="18"/>
        <v>-0.91145767177521742</v>
      </c>
      <c r="L125">
        <v>1</v>
      </c>
      <c r="M125">
        <f t="shared" si="19"/>
        <v>0.69172144507009392</v>
      </c>
      <c r="N125">
        <f t="shared" si="20"/>
        <v>9.9984812699999995E-2</v>
      </c>
      <c r="O125">
        <f t="shared" si="21"/>
        <v>1.8299107229999997E-2</v>
      </c>
      <c r="P125">
        <f t="shared" si="22"/>
        <v>0.1014523067751235</v>
      </c>
      <c r="V125">
        <v>6.1</v>
      </c>
      <c r="W125">
        <f t="shared" si="24"/>
        <v>-1.1562729999999999</v>
      </c>
    </row>
    <row r="126" spans="1:23" x14ac:dyDescent="0.3">
      <c r="A126" s="1">
        <v>6.3387617000000001</v>
      </c>
      <c r="B126" s="1">
        <v>0.30579974999999998</v>
      </c>
      <c r="C126">
        <f t="shared" si="13"/>
        <v>1.938391743169575</v>
      </c>
      <c r="D126">
        <v>1.5900000000000001E-2</v>
      </c>
      <c r="E126">
        <v>2.9099999999999998E-3</v>
      </c>
      <c r="F126">
        <f t="shared" si="14"/>
        <v>1267.75234</v>
      </c>
      <c r="G126">
        <f t="shared" si="15"/>
        <v>-0.30579974999999998</v>
      </c>
      <c r="H126">
        <f t="shared" si="16"/>
        <v>-387.67834863391499</v>
      </c>
      <c r="I126">
        <v>1</v>
      </c>
      <c r="J126">
        <f t="shared" si="17"/>
        <v>0.23724552148107292</v>
      </c>
      <c r="K126">
        <f t="shared" si="18"/>
        <v>-0.91592540177521742</v>
      </c>
      <c r="L126">
        <v>1</v>
      </c>
      <c r="M126">
        <f t="shared" si="19"/>
        <v>0.69235323811479721</v>
      </c>
      <c r="N126">
        <f t="shared" si="20"/>
        <v>0.10078631103000001</v>
      </c>
      <c r="O126">
        <f t="shared" si="21"/>
        <v>1.8445796546999998E-2</v>
      </c>
      <c r="P126">
        <f t="shared" si="22"/>
        <v>0.1043400560834202</v>
      </c>
      <c r="V126">
        <v>6.2</v>
      </c>
      <c r="W126">
        <f t="shared" si="24"/>
        <v>-1.1641859999999999</v>
      </c>
    </row>
    <row r="127" spans="1:23" x14ac:dyDescent="0.3">
      <c r="A127" s="1">
        <v>6.3912080000000007</v>
      </c>
      <c r="B127" s="1">
        <v>0.30100745000000001</v>
      </c>
      <c r="C127">
        <f t="shared" si="13"/>
        <v>1.9238012224996002</v>
      </c>
      <c r="D127">
        <v>1.5900000000000001E-2</v>
      </c>
      <c r="E127">
        <v>2.9099999999999998E-3</v>
      </c>
      <c r="F127">
        <f t="shared" si="14"/>
        <v>1278.2416000000001</v>
      </c>
      <c r="G127">
        <f t="shared" si="15"/>
        <v>-0.30100745000000001</v>
      </c>
      <c r="H127">
        <f t="shared" si="16"/>
        <v>-384.76024449992002</v>
      </c>
      <c r="I127">
        <v>1</v>
      </c>
      <c r="J127">
        <f t="shared" si="17"/>
        <v>0.24548538347192794</v>
      </c>
      <c r="K127">
        <f t="shared" si="18"/>
        <v>-0.9207177017752175</v>
      </c>
      <c r="L127">
        <v>1</v>
      </c>
      <c r="M127">
        <f t="shared" si="19"/>
        <v>0.69300525839413363</v>
      </c>
      <c r="N127">
        <f t="shared" si="20"/>
        <v>0.10162020720000002</v>
      </c>
      <c r="O127">
        <f t="shared" si="21"/>
        <v>1.8598415280000002E-2</v>
      </c>
      <c r="P127">
        <f t="shared" si="22"/>
        <v>0.10749382090108384</v>
      </c>
      <c r="V127">
        <v>6.3</v>
      </c>
      <c r="W127">
        <f t="shared" si="24"/>
        <v>-1.172099</v>
      </c>
    </row>
    <row r="128" spans="1:23" x14ac:dyDescent="0.3">
      <c r="A128" s="1">
        <v>6.4416171999999996</v>
      </c>
      <c r="B128" s="1">
        <v>0.29615786999999999</v>
      </c>
      <c r="C128">
        <f t="shared" si="13"/>
        <v>1.9077356293073637</v>
      </c>
      <c r="D128">
        <v>1.5900000000000001E-2</v>
      </c>
      <c r="E128">
        <v>2.9099999999999998E-3</v>
      </c>
      <c r="F128">
        <f t="shared" si="14"/>
        <v>1288.3234399999999</v>
      </c>
      <c r="G128">
        <f t="shared" si="15"/>
        <v>-0.29615786999999999</v>
      </c>
      <c r="H128">
        <f t="shared" si="16"/>
        <v>-381.54712586147275</v>
      </c>
      <c r="I128">
        <v>1</v>
      </c>
      <c r="J128">
        <f t="shared" si="17"/>
        <v>0.25334171416973356</v>
      </c>
      <c r="K128">
        <f t="shared" si="18"/>
        <v>-0.92556728177521741</v>
      </c>
      <c r="L128">
        <v>1</v>
      </c>
      <c r="M128">
        <f t="shared" si="19"/>
        <v>0.69362692984225094</v>
      </c>
      <c r="N128">
        <f t="shared" si="20"/>
        <v>0.10242171348</v>
      </c>
      <c r="O128">
        <f t="shared" si="21"/>
        <v>1.8745106051999999E-2</v>
      </c>
      <c r="P128">
        <f t="shared" si="22"/>
        <v>0.11077353240096646</v>
      </c>
      <c r="V128">
        <v>6.4</v>
      </c>
      <c r="W128">
        <f t="shared" si="24"/>
        <v>-1.1800120000000001</v>
      </c>
    </row>
    <row r="129" spans="1:23" x14ac:dyDescent="0.3">
      <c r="A129" s="1">
        <v>6.4920258999999998</v>
      </c>
      <c r="B129" s="1">
        <v>0.29125097</v>
      </c>
      <c r="C129">
        <f t="shared" si="13"/>
        <v>1.8908088406401229</v>
      </c>
      <c r="D129">
        <v>1.5900000000000001E-2</v>
      </c>
      <c r="E129">
        <v>2.9099999999999998E-3</v>
      </c>
      <c r="F129">
        <f t="shared" si="14"/>
        <v>1298.40518</v>
      </c>
      <c r="G129">
        <f t="shared" si="15"/>
        <v>-0.29125097</v>
      </c>
      <c r="H129">
        <f t="shared" si="16"/>
        <v>-378.16176812802456</v>
      </c>
      <c r="I129">
        <v>1</v>
      </c>
      <c r="J129">
        <f t="shared" si="17"/>
        <v>0.26113672673585625</v>
      </c>
      <c r="K129">
        <f t="shared" si="18"/>
        <v>-0.93047418177521746</v>
      </c>
      <c r="L129">
        <v>1</v>
      </c>
      <c r="M129">
        <f t="shared" si="19"/>
        <v>0.69424374918660825</v>
      </c>
      <c r="N129">
        <f t="shared" si="20"/>
        <v>0.10322321181000001</v>
      </c>
      <c r="O129">
        <f t="shared" si="21"/>
        <v>1.8891795368999997E-2</v>
      </c>
      <c r="P129">
        <f t="shared" si="22"/>
        <v>0.11411542540960921</v>
      </c>
      <c r="V129">
        <v>6.5</v>
      </c>
      <c r="W129">
        <f t="shared" si="24"/>
        <v>-1.1879249999999999</v>
      </c>
    </row>
    <row r="130" spans="1:23" x14ac:dyDescent="0.3">
      <c r="A130" s="1">
        <v>6.5424355000000007</v>
      </c>
      <c r="B130" s="1">
        <v>0.28664961</v>
      </c>
      <c r="C130">
        <f t="shared" si="13"/>
        <v>1.8753865845251552</v>
      </c>
      <c r="D130">
        <v>1.5900000000000001E-2</v>
      </c>
      <c r="E130">
        <v>2.9099999999999998E-3</v>
      </c>
      <c r="F130">
        <f t="shared" si="14"/>
        <v>1308.4871000000001</v>
      </c>
      <c r="G130">
        <f t="shared" si="15"/>
        <v>-0.28664961</v>
      </c>
      <c r="H130">
        <f t="shared" si="16"/>
        <v>-375.07731690503101</v>
      </c>
      <c r="I130">
        <v>1</v>
      </c>
      <c r="J130">
        <f t="shared" si="17"/>
        <v>0.26887158432273028</v>
      </c>
      <c r="K130">
        <f t="shared" si="18"/>
        <v>-0.93507554177521746</v>
      </c>
      <c r="L130">
        <v>1</v>
      </c>
      <c r="M130">
        <f t="shared" si="19"/>
        <v>0.69485580846745765</v>
      </c>
      <c r="N130">
        <f t="shared" si="20"/>
        <v>0.10402472445000002</v>
      </c>
      <c r="O130">
        <f t="shared" si="21"/>
        <v>1.9038487305000001E-2</v>
      </c>
      <c r="P130">
        <f t="shared" si="22"/>
        <v>0.11715652155275978</v>
      </c>
      <c r="V130">
        <v>6.6</v>
      </c>
      <c r="W130">
        <f t="shared" si="24"/>
        <v>-1.195838</v>
      </c>
    </row>
    <row r="131" spans="1:23" x14ac:dyDescent="0.3">
      <c r="A131" s="1">
        <v>6.5933540000000006</v>
      </c>
      <c r="B131" s="1">
        <v>0.28147545000000002</v>
      </c>
      <c r="C131">
        <f t="shared" si="13"/>
        <v>1.8558672841593002</v>
      </c>
      <c r="D131">
        <v>1.5900000000000001E-2</v>
      </c>
      <c r="E131">
        <v>2.9099999999999998E-3</v>
      </c>
      <c r="F131">
        <f t="shared" si="14"/>
        <v>1318.6708000000001</v>
      </c>
      <c r="G131">
        <f t="shared" si="15"/>
        <v>-0.28147545000000002</v>
      </c>
      <c r="H131">
        <f t="shared" si="16"/>
        <v>-371.17345683186005</v>
      </c>
      <c r="I131">
        <v>1</v>
      </c>
      <c r="J131">
        <f t="shared" si="17"/>
        <v>0.27662425956671555</v>
      </c>
      <c r="K131">
        <f t="shared" si="18"/>
        <v>-0.94024970177521738</v>
      </c>
      <c r="L131">
        <v>1</v>
      </c>
      <c r="M131">
        <f t="shared" si="19"/>
        <v>0.69546927765951416</v>
      </c>
      <c r="N131">
        <f t="shared" si="20"/>
        <v>0.10483432860000001</v>
      </c>
      <c r="O131">
        <f t="shared" si="21"/>
        <v>1.9186660139999999E-2</v>
      </c>
      <c r="P131">
        <f t="shared" si="22"/>
        <v>0.12075943537570319</v>
      </c>
      <c r="V131">
        <v>6.7</v>
      </c>
      <c r="W131">
        <f t="shared" si="24"/>
        <v>-1.203751</v>
      </c>
    </row>
    <row r="132" spans="1:23" x14ac:dyDescent="0.3">
      <c r="A132" s="1">
        <v>6.6457992999999993</v>
      </c>
      <c r="B132" s="1">
        <v>0.27618672999999999</v>
      </c>
      <c r="C132">
        <f t="shared" ref="C132:C195" si="25">A132*B132</f>
        <v>1.8354815769032888</v>
      </c>
      <c r="D132">
        <v>1.5900000000000001E-2</v>
      </c>
      <c r="E132">
        <v>2.9099999999999998E-3</v>
      </c>
      <c r="F132">
        <f t="shared" ref="F132:F195" si="26">A132*200</f>
        <v>1329.1598599999998</v>
      </c>
      <c r="G132">
        <f t="shared" ref="G132:G195" si="27">-B132</f>
        <v>-0.27618672999999999</v>
      </c>
      <c r="H132">
        <f t="shared" ref="H132:H195" si="28">-C132*200</f>
        <v>-367.09631538065776</v>
      </c>
      <c r="I132">
        <v>1</v>
      </c>
      <c r="J132">
        <f t="shared" ref="J132:J195" si="29">LN(F132/1000)</f>
        <v>0.28454705842660599</v>
      </c>
      <c r="K132">
        <f t="shared" ref="K132:K195" si="30">((-G132)-$N$2)</f>
        <v>-0.94553842177521741</v>
      </c>
      <c r="L132">
        <v>1</v>
      </c>
      <c r="M132">
        <f t="shared" ref="M132:M195" si="31">-1*($S$4+($S$5*J132))</f>
        <v>0.69609620873329725</v>
      </c>
      <c r="N132">
        <f t="shared" ref="N132:N195" si="32">D132*A132</f>
        <v>0.10566820886999999</v>
      </c>
      <c r="O132">
        <f t="shared" ref="O132:O195" si="33">E132*A132</f>
        <v>1.9339275962999995E-2</v>
      </c>
      <c r="P132">
        <f t="shared" ref="P132:P195" si="34">-K132-M132-N132-O132</f>
        <v>0.12443472820892015</v>
      </c>
      <c r="V132">
        <v>6.8</v>
      </c>
      <c r="W132">
        <f t="shared" ref="W132:W163" si="35">V132*$S$5+$S$4</f>
        <v>-1.2116639999999999</v>
      </c>
    </row>
    <row r="133" spans="1:23" x14ac:dyDescent="0.3">
      <c r="A133" s="1">
        <v>6.6967178000000001</v>
      </c>
      <c r="B133" s="1">
        <v>0.27051613000000002</v>
      </c>
      <c r="C133">
        <f t="shared" si="25"/>
        <v>1.8115701829581141</v>
      </c>
      <c r="D133">
        <v>1.5900000000000001E-2</v>
      </c>
      <c r="E133">
        <v>2.9099999999999998E-3</v>
      </c>
      <c r="F133">
        <f t="shared" si="26"/>
        <v>1339.34356</v>
      </c>
      <c r="G133">
        <f t="shared" si="27"/>
        <v>-0.27051613000000002</v>
      </c>
      <c r="H133">
        <f t="shared" si="28"/>
        <v>-362.31403659162282</v>
      </c>
      <c r="I133">
        <v>1</v>
      </c>
      <c r="J133">
        <f t="shared" si="29"/>
        <v>0.29217961333510339</v>
      </c>
      <c r="K133">
        <f t="shared" si="30"/>
        <v>-0.95120902177521738</v>
      </c>
      <c r="L133">
        <v>1</v>
      </c>
      <c r="M133">
        <f t="shared" si="31"/>
        <v>0.69670017280320673</v>
      </c>
      <c r="N133">
        <f t="shared" si="32"/>
        <v>0.10647781302000001</v>
      </c>
      <c r="O133">
        <f t="shared" si="33"/>
        <v>1.9487448798E-2</v>
      </c>
      <c r="P133">
        <f t="shared" si="34"/>
        <v>0.12854358715401065</v>
      </c>
      <c r="V133">
        <v>6.9</v>
      </c>
      <c r="W133">
        <f t="shared" si="35"/>
        <v>-1.2195770000000001</v>
      </c>
    </row>
    <row r="134" spans="1:23" x14ac:dyDescent="0.3">
      <c r="A134" s="1">
        <v>6.7471270000000008</v>
      </c>
      <c r="B134" s="1">
        <v>0.26604840000000002</v>
      </c>
      <c r="C134">
        <f t="shared" si="25"/>
        <v>1.7950623429468002</v>
      </c>
      <c r="D134">
        <v>1.5900000000000001E-2</v>
      </c>
      <c r="E134">
        <v>2.9099999999999998E-3</v>
      </c>
      <c r="F134">
        <f t="shared" si="26"/>
        <v>1349.4254000000001</v>
      </c>
      <c r="G134">
        <f t="shared" si="27"/>
        <v>-0.26604840000000002</v>
      </c>
      <c r="H134">
        <f t="shared" si="28"/>
        <v>-359.01246858936003</v>
      </c>
      <c r="I134">
        <v>1</v>
      </c>
      <c r="J134">
        <f t="shared" si="29"/>
        <v>0.29967887221470707</v>
      </c>
      <c r="K134">
        <f t="shared" si="30"/>
        <v>-0.95567675177521738</v>
      </c>
      <c r="L134">
        <v>1</v>
      </c>
      <c r="M134">
        <f t="shared" si="31"/>
        <v>0.69729358915834971</v>
      </c>
      <c r="N134">
        <f t="shared" si="32"/>
        <v>0.10727931930000002</v>
      </c>
      <c r="O134">
        <f t="shared" si="33"/>
        <v>1.963413957E-2</v>
      </c>
      <c r="P134">
        <f t="shared" si="34"/>
        <v>0.13146970374686767</v>
      </c>
      <c r="V134">
        <v>7</v>
      </c>
      <c r="W134">
        <f t="shared" si="35"/>
        <v>-1.22749</v>
      </c>
    </row>
    <row r="135" spans="1:23" x14ac:dyDescent="0.3">
      <c r="A135" s="1">
        <v>6.8036465000000002</v>
      </c>
      <c r="B135" s="1">
        <v>0.25965229000000001</v>
      </c>
      <c r="C135">
        <f t="shared" si="25"/>
        <v>1.766582394075485</v>
      </c>
      <c r="D135">
        <v>1.5900000000000001E-2</v>
      </c>
      <c r="E135">
        <v>2.9099999999999998E-3</v>
      </c>
      <c r="F135">
        <f t="shared" si="26"/>
        <v>1360.7293</v>
      </c>
      <c r="G135">
        <f t="shared" si="27"/>
        <v>-0.25965229000000001</v>
      </c>
      <c r="H135">
        <f t="shared" si="28"/>
        <v>-353.31647881509701</v>
      </c>
      <c r="I135">
        <v>1</v>
      </c>
      <c r="J135">
        <f t="shared" si="29"/>
        <v>0.3080208060173108</v>
      </c>
      <c r="K135">
        <f t="shared" si="30"/>
        <v>-0.96207286177521745</v>
      </c>
      <c r="L135">
        <v>1</v>
      </c>
      <c r="M135">
        <f t="shared" si="31"/>
        <v>0.69795368638014976</v>
      </c>
      <c r="N135">
        <f t="shared" si="32"/>
        <v>0.10817797935000001</v>
      </c>
      <c r="O135">
        <f t="shared" si="33"/>
        <v>1.9798611314999999E-2</v>
      </c>
      <c r="P135">
        <f t="shared" si="34"/>
        <v>0.13614258473006768</v>
      </c>
      <c r="V135">
        <v>7.1</v>
      </c>
      <c r="W135">
        <f t="shared" si="35"/>
        <v>-1.2354029999999998</v>
      </c>
    </row>
    <row r="136" spans="1:23" x14ac:dyDescent="0.3">
      <c r="A136" s="1">
        <v>6.8581284000000009</v>
      </c>
      <c r="B136" s="1">
        <v>0.25365713000000001</v>
      </c>
      <c r="C136">
        <f t="shared" si="25"/>
        <v>1.7396131671154922</v>
      </c>
      <c r="D136">
        <v>1.5900000000000001E-2</v>
      </c>
      <c r="E136">
        <v>2.9099999999999998E-3</v>
      </c>
      <c r="F136">
        <f t="shared" si="26"/>
        <v>1371.6256800000001</v>
      </c>
      <c r="G136">
        <f t="shared" si="27"/>
        <v>-0.25365713000000001</v>
      </c>
      <c r="H136">
        <f t="shared" si="28"/>
        <v>-347.92263342309843</v>
      </c>
      <c r="I136">
        <v>1</v>
      </c>
      <c r="J136">
        <f t="shared" si="29"/>
        <v>0.31599666409102911</v>
      </c>
      <c r="K136">
        <f t="shared" si="30"/>
        <v>-0.96806802177521745</v>
      </c>
      <c r="L136">
        <v>1</v>
      </c>
      <c r="M136">
        <f t="shared" si="31"/>
        <v>0.69858481602952305</v>
      </c>
      <c r="N136">
        <f t="shared" si="32"/>
        <v>0.10904424156000002</v>
      </c>
      <c r="O136">
        <f t="shared" si="33"/>
        <v>1.9957153644000001E-2</v>
      </c>
      <c r="P136">
        <f t="shared" si="34"/>
        <v>0.14048181054169437</v>
      </c>
      <c r="V136">
        <v>7.2</v>
      </c>
      <c r="W136">
        <f t="shared" si="35"/>
        <v>-1.2433160000000001</v>
      </c>
    </row>
    <row r="137" spans="1:23" x14ac:dyDescent="0.3">
      <c r="A137" s="1">
        <v>6.8637300000000003</v>
      </c>
      <c r="B137" s="1">
        <v>0.25159511000000001</v>
      </c>
      <c r="C137">
        <f t="shared" si="25"/>
        <v>1.7268809043603002</v>
      </c>
      <c r="D137">
        <v>1.5900000000000001E-2</v>
      </c>
      <c r="E137">
        <v>2.9099999999999998E-3</v>
      </c>
      <c r="F137">
        <f t="shared" si="26"/>
        <v>1372.7460000000001</v>
      </c>
      <c r="G137">
        <f t="shared" si="27"/>
        <v>-0.25159511000000001</v>
      </c>
      <c r="H137">
        <f t="shared" si="28"/>
        <v>-345.37618087206005</v>
      </c>
      <c r="I137">
        <v>1</v>
      </c>
      <c r="J137">
        <f t="shared" si="29"/>
        <v>0.3168131133135576</v>
      </c>
      <c r="K137">
        <f t="shared" si="30"/>
        <v>-0.97013004177521744</v>
      </c>
      <c r="L137">
        <v>1</v>
      </c>
      <c r="M137">
        <f t="shared" si="31"/>
        <v>0.69864942165650179</v>
      </c>
      <c r="N137">
        <f t="shared" si="32"/>
        <v>0.10913330700000001</v>
      </c>
      <c r="O137">
        <f t="shared" si="33"/>
        <v>1.9973454299999999E-2</v>
      </c>
      <c r="P137">
        <f t="shared" si="34"/>
        <v>0.14237385881871564</v>
      </c>
      <c r="V137">
        <v>7.3</v>
      </c>
      <c r="W137">
        <f t="shared" si="35"/>
        <v>-1.2512289999999999</v>
      </c>
    </row>
    <row r="138" spans="1:23" x14ac:dyDescent="0.3">
      <c r="C138">
        <f t="shared" si="25"/>
        <v>0</v>
      </c>
      <c r="D138">
        <v>1.5900000000000001E-2</v>
      </c>
      <c r="E138">
        <v>2.9099999999999998E-3</v>
      </c>
      <c r="F138">
        <f t="shared" si="26"/>
        <v>0</v>
      </c>
      <c r="G138">
        <f t="shared" si="27"/>
        <v>0</v>
      </c>
      <c r="H138">
        <f t="shared" si="28"/>
        <v>0</v>
      </c>
      <c r="I138">
        <v>1</v>
      </c>
      <c r="J138" t="e">
        <f t="shared" si="29"/>
        <v>#NUM!</v>
      </c>
      <c r="K138">
        <f t="shared" si="30"/>
        <v>-1.2217251517752175</v>
      </c>
      <c r="L138">
        <v>1</v>
      </c>
      <c r="M138" t="e">
        <f t="shared" si="31"/>
        <v>#NUM!</v>
      </c>
      <c r="N138">
        <f t="shared" si="32"/>
        <v>0</v>
      </c>
      <c r="O138">
        <f t="shared" si="33"/>
        <v>0</v>
      </c>
      <c r="P138" t="e">
        <f t="shared" si="34"/>
        <v>#NUM!</v>
      </c>
      <c r="V138">
        <v>7.4</v>
      </c>
      <c r="W138">
        <f t="shared" si="35"/>
        <v>-1.259142</v>
      </c>
    </row>
    <row r="139" spans="1:23" x14ac:dyDescent="0.3">
      <c r="C139">
        <f t="shared" si="25"/>
        <v>0</v>
      </c>
      <c r="D139">
        <v>1.5900000000000001E-2</v>
      </c>
      <c r="E139">
        <v>2.9099999999999998E-3</v>
      </c>
      <c r="F139">
        <f t="shared" si="26"/>
        <v>0</v>
      </c>
      <c r="G139">
        <f t="shared" si="27"/>
        <v>0</v>
      </c>
      <c r="H139">
        <f t="shared" si="28"/>
        <v>0</v>
      </c>
      <c r="I139">
        <v>1</v>
      </c>
      <c r="J139" t="e">
        <f t="shared" si="29"/>
        <v>#NUM!</v>
      </c>
      <c r="K139">
        <f t="shared" si="30"/>
        <v>-1.2217251517752175</v>
      </c>
      <c r="L139">
        <v>1</v>
      </c>
      <c r="M139" t="e">
        <f t="shared" si="31"/>
        <v>#NUM!</v>
      </c>
      <c r="N139">
        <f t="shared" si="32"/>
        <v>0</v>
      </c>
      <c r="O139">
        <f t="shared" si="33"/>
        <v>0</v>
      </c>
      <c r="P139" t="e">
        <f t="shared" si="34"/>
        <v>#NUM!</v>
      </c>
      <c r="V139">
        <v>7.5</v>
      </c>
      <c r="W139">
        <f t="shared" si="35"/>
        <v>-1.267055</v>
      </c>
    </row>
    <row r="140" spans="1:23" x14ac:dyDescent="0.3">
      <c r="C140">
        <f t="shared" si="25"/>
        <v>0</v>
      </c>
      <c r="D140">
        <v>1.5900000000000001E-2</v>
      </c>
      <c r="E140">
        <v>2.9099999999999998E-3</v>
      </c>
      <c r="F140">
        <f t="shared" si="26"/>
        <v>0</v>
      </c>
      <c r="G140">
        <f t="shared" si="27"/>
        <v>0</v>
      </c>
      <c r="H140">
        <f t="shared" si="28"/>
        <v>0</v>
      </c>
      <c r="I140">
        <v>1</v>
      </c>
      <c r="J140" t="e">
        <f t="shared" si="29"/>
        <v>#NUM!</v>
      </c>
      <c r="K140">
        <f t="shared" si="30"/>
        <v>-1.2217251517752175</v>
      </c>
      <c r="L140">
        <v>1</v>
      </c>
      <c r="M140" t="e">
        <f t="shared" si="31"/>
        <v>#NUM!</v>
      </c>
      <c r="N140">
        <f t="shared" si="32"/>
        <v>0</v>
      </c>
      <c r="O140">
        <f t="shared" si="33"/>
        <v>0</v>
      </c>
      <c r="P140" t="e">
        <f t="shared" si="34"/>
        <v>#NUM!</v>
      </c>
    </row>
    <row r="141" spans="1:23" x14ac:dyDescent="0.3">
      <c r="C141">
        <f t="shared" si="25"/>
        <v>0</v>
      </c>
      <c r="D141">
        <v>1.5900000000000001E-2</v>
      </c>
      <c r="E141">
        <v>2.9099999999999998E-3</v>
      </c>
      <c r="F141">
        <f t="shared" si="26"/>
        <v>0</v>
      </c>
      <c r="G141">
        <f t="shared" si="27"/>
        <v>0</v>
      </c>
      <c r="H141">
        <f t="shared" si="28"/>
        <v>0</v>
      </c>
      <c r="I141">
        <v>1</v>
      </c>
      <c r="J141" t="e">
        <f t="shared" si="29"/>
        <v>#NUM!</v>
      </c>
      <c r="K141">
        <f t="shared" si="30"/>
        <v>-1.2217251517752175</v>
      </c>
      <c r="L141">
        <v>1</v>
      </c>
      <c r="M141" t="e">
        <f t="shared" si="31"/>
        <v>#NUM!</v>
      </c>
      <c r="N141">
        <f t="shared" si="32"/>
        <v>0</v>
      </c>
      <c r="O141">
        <f t="shared" si="33"/>
        <v>0</v>
      </c>
      <c r="P141" t="e">
        <f t="shared" si="34"/>
        <v>#NUM!</v>
      </c>
    </row>
    <row r="142" spans="1:23" x14ac:dyDescent="0.3">
      <c r="C142">
        <f t="shared" si="25"/>
        <v>0</v>
      </c>
      <c r="D142">
        <v>1.5900000000000001E-2</v>
      </c>
      <c r="E142">
        <v>2.9099999999999998E-3</v>
      </c>
      <c r="F142">
        <f t="shared" si="26"/>
        <v>0</v>
      </c>
      <c r="G142">
        <f t="shared" si="27"/>
        <v>0</v>
      </c>
      <c r="H142">
        <f t="shared" si="28"/>
        <v>0</v>
      </c>
      <c r="I142">
        <v>1</v>
      </c>
      <c r="J142" t="e">
        <f t="shared" si="29"/>
        <v>#NUM!</v>
      </c>
      <c r="K142">
        <f t="shared" si="30"/>
        <v>-1.2217251517752175</v>
      </c>
      <c r="L142">
        <v>1</v>
      </c>
      <c r="M142" t="e">
        <f t="shared" si="31"/>
        <v>#NUM!</v>
      </c>
      <c r="N142">
        <f t="shared" si="32"/>
        <v>0</v>
      </c>
      <c r="O142">
        <f t="shared" si="33"/>
        <v>0</v>
      </c>
      <c r="P142" t="e">
        <f t="shared" si="34"/>
        <v>#NUM!</v>
      </c>
    </row>
    <row r="143" spans="1:23" x14ac:dyDescent="0.3">
      <c r="C143">
        <f t="shared" si="25"/>
        <v>0</v>
      </c>
      <c r="D143">
        <v>1.5900000000000001E-2</v>
      </c>
      <c r="E143">
        <v>2.9099999999999998E-3</v>
      </c>
      <c r="F143">
        <f t="shared" si="26"/>
        <v>0</v>
      </c>
      <c r="G143">
        <f t="shared" si="27"/>
        <v>0</v>
      </c>
      <c r="H143">
        <f t="shared" si="28"/>
        <v>0</v>
      </c>
      <c r="I143">
        <v>1</v>
      </c>
      <c r="J143" t="e">
        <f t="shared" si="29"/>
        <v>#NUM!</v>
      </c>
      <c r="K143">
        <f t="shared" si="30"/>
        <v>-1.2217251517752175</v>
      </c>
      <c r="L143">
        <v>1</v>
      </c>
      <c r="M143" t="e">
        <f t="shared" si="31"/>
        <v>#NUM!</v>
      </c>
      <c r="N143">
        <f t="shared" si="32"/>
        <v>0</v>
      </c>
      <c r="O143">
        <f t="shared" si="33"/>
        <v>0</v>
      </c>
      <c r="P143" t="e">
        <f t="shared" si="34"/>
        <v>#NUM!</v>
      </c>
    </row>
    <row r="144" spans="1:23" x14ac:dyDescent="0.3">
      <c r="C144">
        <f t="shared" si="25"/>
        <v>0</v>
      </c>
      <c r="D144">
        <v>1.5900000000000001E-2</v>
      </c>
      <c r="E144">
        <v>2.9099999999999998E-3</v>
      </c>
      <c r="F144">
        <f t="shared" si="26"/>
        <v>0</v>
      </c>
      <c r="G144">
        <f t="shared" si="27"/>
        <v>0</v>
      </c>
      <c r="H144">
        <f t="shared" si="28"/>
        <v>0</v>
      </c>
      <c r="I144">
        <v>1</v>
      </c>
      <c r="J144" t="e">
        <f t="shared" si="29"/>
        <v>#NUM!</v>
      </c>
      <c r="K144">
        <f t="shared" si="30"/>
        <v>-1.2217251517752175</v>
      </c>
      <c r="L144">
        <v>1</v>
      </c>
      <c r="M144" t="e">
        <f t="shared" si="31"/>
        <v>#NUM!</v>
      </c>
      <c r="N144">
        <f t="shared" si="32"/>
        <v>0</v>
      </c>
      <c r="O144">
        <f t="shared" si="33"/>
        <v>0</v>
      </c>
      <c r="P144" t="e">
        <f t="shared" si="34"/>
        <v>#NUM!</v>
      </c>
    </row>
    <row r="145" spans="3:16" x14ac:dyDescent="0.3">
      <c r="C145">
        <f t="shared" si="25"/>
        <v>0</v>
      </c>
      <c r="D145">
        <v>1.5900000000000001E-2</v>
      </c>
      <c r="E145">
        <v>2.9099999999999998E-3</v>
      </c>
      <c r="F145">
        <f t="shared" si="26"/>
        <v>0</v>
      </c>
      <c r="G145">
        <f t="shared" si="27"/>
        <v>0</v>
      </c>
      <c r="H145">
        <f t="shared" si="28"/>
        <v>0</v>
      </c>
      <c r="I145">
        <v>1</v>
      </c>
      <c r="J145" t="e">
        <f t="shared" si="29"/>
        <v>#NUM!</v>
      </c>
      <c r="K145">
        <f t="shared" si="30"/>
        <v>-1.2217251517752175</v>
      </c>
      <c r="L145">
        <v>1</v>
      </c>
      <c r="M145" t="e">
        <f t="shared" si="31"/>
        <v>#NUM!</v>
      </c>
      <c r="N145">
        <f t="shared" si="32"/>
        <v>0</v>
      </c>
      <c r="O145">
        <f t="shared" si="33"/>
        <v>0</v>
      </c>
      <c r="P145" t="e">
        <f t="shared" si="34"/>
        <v>#NUM!</v>
      </c>
    </row>
    <row r="146" spans="3:16" x14ac:dyDescent="0.3">
      <c r="C146">
        <f t="shared" si="25"/>
        <v>0</v>
      </c>
      <c r="D146">
        <v>1.5900000000000001E-2</v>
      </c>
      <c r="E146">
        <v>2.9099999999999998E-3</v>
      </c>
      <c r="F146">
        <f t="shared" si="26"/>
        <v>0</v>
      </c>
      <c r="G146">
        <f t="shared" si="27"/>
        <v>0</v>
      </c>
      <c r="H146">
        <f t="shared" si="28"/>
        <v>0</v>
      </c>
      <c r="I146">
        <v>1</v>
      </c>
      <c r="J146" t="e">
        <f t="shared" si="29"/>
        <v>#NUM!</v>
      </c>
      <c r="K146">
        <f t="shared" si="30"/>
        <v>-1.2217251517752175</v>
      </c>
      <c r="L146">
        <v>1</v>
      </c>
      <c r="M146" t="e">
        <f t="shared" si="31"/>
        <v>#NUM!</v>
      </c>
      <c r="N146">
        <f t="shared" si="32"/>
        <v>0</v>
      </c>
      <c r="O146">
        <f t="shared" si="33"/>
        <v>0</v>
      </c>
      <c r="P146" t="e">
        <f t="shared" si="34"/>
        <v>#NUM!</v>
      </c>
    </row>
    <row r="147" spans="3:16" x14ac:dyDescent="0.3">
      <c r="C147">
        <f t="shared" si="25"/>
        <v>0</v>
      </c>
      <c r="D147">
        <v>1.5900000000000001E-2</v>
      </c>
      <c r="E147">
        <v>2.9099999999999998E-3</v>
      </c>
      <c r="F147">
        <f t="shared" si="26"/>
        <v>0</v>
      </c>
      <c r="G147">
        <f t="shared" si="27"/>
        <v>0</v>
      </c>
      <c r="H147">
        <f t="shared" si="28"/>
        <v>0</v>
      </c>
      <c r="I147">
        <v>1</v>
      </c>
      <c r="J147" t="e">
        <f t="shared" si="29"/>
        <v>#NUM!</v>
      </c>
      <c r="K147">
        <f t="shared" si="30"/>
        <v>-1.2217251517752175</v>
      </c>
      <c r="L147">
        <v>1</v>
      </c>
      <c r="M147" t="e">
        <f t="shared" si="31"/>
        <v>#NUM!</v>
      </c>
      <c r="N147">
        <f t="shared" si="32"/>
        <v>0</v>
      </c>
      <c r="O147">
        <f t="shared" si="33"/>
        <v>0</v>
      </c>
      <c r="P147" t="e">
        <f t="shared" si="34"/>
        <v>#NUM!</v>
      </c>
    </row>
    <row r="148" spans="3:16" x14ac:dyDescent="0.3">
      <c r="C148">
        <f t="shared" si="25"/>
        <v>0</v>
      </c>
      <c r="D148">
        <v>1.5900000000000001E-2</v>
      </c>
      <c r="E148">
        <v>2.9099999999999998E-3</v>
      </c>
      <c r="F148">
        <f t="shared" si="26"/>
        <v>0</v>
      </c>
      <c r="G148">
        <f t="shared" si="27"/>
        <v>0</v>
      </c>
      <c r="H148">
        <f t="shared" si="28"/>
        <v>0</v>
      </c>
      <c r="I148">
        <v>1</v>
      </c>
      <c r="J148" t="e">
        <f t="shared" si="29"/>
        <v>#NUM!</v>
      </c>
      <c r="K148">
        <f t="shared" si="30"/>
        <v>-1.2217251517752175</v>
      </c>
      <c r="L148">
        <v>1</v>
      </c>
      <c r="M148" t="e">
        <f t="shared" si="31"/>
        <v>#NUM!</v>
      </c>
      <c r="N148">
        <f t="shared" si="32"/>
        <v>0</v>
      </c>
      <c r="O148">
        <f t="shared" si="33"/>
        <v>0</v>
      </c>
      <c r="P148" t="e">
        <f t="shared" si="34"/>
        <v>#NUM!</v>
      </c>
    </row>
    <row r="149" spans="3:16" x14ac:dyDescent="0.3">
      <c r="C149">
        <f t="shared" si="25"/>
        <v>0</v>
      </c>
      <c r="D149">
        <v>1.5900000000000001E-2</v>
      </c>
      <c r="E149">
        <v>2.9099999999999998E-3</v>
      </c>
      <c r="F149">
        <f t="shared" si="26"/>
        <v>0</v>
      </c>
      <c r="G149">
        <f t="shared" si="27"/>
        <v>0</v>
      </c>
      <c r="H149">
        <f t="shared" si="28"/>
        <v>0</v>
      </c>
      <c r="I149">
        <v>1</v>
      </c>
      <c r="J149" t="e">
        <f t="shared" si="29"/>
        <v>#NUM!</v>
      </c>
      <c r="K149">
        <f t="shared" si="30"/>
        <v>-1.2217251517752175</v>
      </c>
      <c r="L149">
        <v>1</v>
      </c>
      <c r="M149" t="e">
        <f t="shared" si="31"/>
        <v>#NUM!</v>
      </c>
      <c r="N149">
        <f t="shared" si="32"/>
        <v>0</v>
      </c>
      <c r="O149">
        <f t="shared" si="33"/>
        <v>0</v>
      </c>
      <c r="P149" t="e">
        <f t="shared" si="34"/>
        <v>#NUM!</v>
      </c>
    </row>
    <row r="150" spans="3:16" x14ac:dyDescent="0.3">
      <c r="C150">
        <f t="shared" si="25"/>
        <v>0</v>
      </c>
      <c r="D150">
        <v>1.5900000000000001E-2</v>
      </c>
      <c r="E150">
        <v>2.9099999999999998E-3</v>
      </c>
      <c r="F150">
        <f t="shared" si="26"/>
        <v>0</v>
      </c>
      <c r="G150">
        <f t="shared" si="27"/>
        <v>0</v>
      </c>
      <c r="H150">
        <f t="shared" si="28"/>
        <v>0</v>
      </c>
      <c r="I150">
        <v>1</v>
      </c>
      <c r="J150" t="e">
        <f t="shared" si="29"/>
        <v>#NUM!</v>
      </c>
      <c r="K150">
        <f t="shared" si="30"/>
        <v>-1.2217251517752175</v>
      </c>
      <c r="L150">
        <v>1</v>
      </c>
      <c r="M150" t="e">
        <f t="shared" si="31"/>
        <v>#NUM!</v>
      </c>
      <c r="N150">
        <f t="shared" si="32"/>
        <v>0</v>
      </c>
      <c r="O150">
        <f t="shared" si="33"/>
        <v>0</v>
      </c>
      <c r="P150" t="e">
        <f t="shared" si="34"/>
        <v>#NUM!</v>
      </c>
    </row>
    <row r="151" spans="3:16" x14ac:dyDescent="0.3">
      <c r="C151">
        <f t="shared" si="25"/>
        <v>0</v>
      </c>
      <c r="D151">
        <v>1.5900000000000001E-2</v>
      </c>
      <c r="E151">
        <v>2.9099999999999998E-3</v>
      </c>
      <c r="F151">
        <f t="shared" si="26"/>
        <v>0</v>
      </c>
      <c r="G151">
        <f t="shared" si="27"/>
        <v>0</v>
      </c>
      <c r="H151">
        <f t="shared" si="28"/>
        <v>0</v>
      </c>
      <c r="I151">
        <v>1</v>
      </c>
      <c r="J151" t="e">
        <f t="shared" si="29"/>
        <v>#NUM!</v>
      </c>
      <c r="K151">
        <f t="shared" si="30"/>
        <v>-1.2217251517752175</v>
      </c>
      <c r="L151">
        <v>1</v>
      </c>
      <c r="M151" t="e">
        <f t="shared" si="31"/>
        <v>#NUM!</v>
      </c>
      <c r="N151">
        <f t="shared" si="32"/>
        <v>0</v>
      </c>
      <c r="O151">
        <f t="shared" si="33"/>
        <v>0</v>
      </c>
      <c r="P151" t="e">
        <f t="shared" si="34"/>
        <v>#NUM!</v>
      </c>
    </row>
    <row r="152" spans="3:16" x14ac:dyDescent="0.3">
      <c r="C152">
        <f t="shared" si="25"/>
        <v>0</v>
      </c>
      <c r="D152">
        <v>1.5900000000000001E-2</v>
      </c>
      <c r="E152">
        <v>2.9099999999999998E-3</v>
      </c>
      <c r="F152">
        <f t="shared" si="26"/>
        <v>0</v>
      </c>
      <c r="G152">
        <f t="shared" si="27"/>
        <v>0</v>
      </c>
      <c r="H152">
        <f t="shared" si="28"/>
        <v>0</v>
      </c>
      <c r="I152">
        <v>1</v>
      </c>
      <c r="J152" t="e">
        <f t="shared" si="29"/>
        <v>#NUM!</v>
      </c>
      <c r="K152">
        <f t="shared" si="30"/>
        <v>-1.2217251517752175</v>
      </c>
      <c r="L152">
        <v>1</v>
      </c>
      <c r="M152" t="e">
        <f t="shared" si="31"/>
        <v>#NUM!</v>
      </c>
      <c r="N152">
        <f t="shared" si="32"/>
        <v>0</v>
      </c>
      <c r="O152">
        <f t="shared" si="33"/>
        <v>0</v>
      </c>
      <c r="P152" t="e">
        <f t="shared" si="34"/>
        <v>#NUM!</v>
      </c>
    </row>
    <row r="153" spans="3:16" x14ac:dyDescent="0.3">
      <c r="C153">
        <f t="shared" si="25"/>
        <v>0</v>
      </c>
      <c r="D153">
        <v>1.5900000000000001E-2</v>
      </c>
      <c r="E153">
        <v>2.9099999999999998E-3</v>
      </c>
      <c r="F153">
        <f t="shared" si="26"/>
        <v>0</v>
      </c>
      <c r="G153">
        <f t="shared" si="27"/>
        <v>0</v>
      </c>
      <c r="H153">
        <f t="shared" si="28"/>
        <v>0</v>
      </c>
      <c r="I153">
        <v>1</v>
      </c>
      <c r="J153" t="e">
        <f t="shared" si="29"/>
        <v>#NUM!</v>
      </c>
      <c r="K153">
        <f t="shared" si="30"/>
        <v>-1.2217251517752175</v>
      </c>
      <c r="L153">
        <v>1</v>
      </c>
      <c r="M153" t="e">
        <f t="shared" si="31"/>
        <v>#NUM!</v>
      </c>
      <c r="N153">
        <f t="shared" si="32"/>
        <v>0</v>
      </c>
      <c r="O153">
        <f t="shared" si="33"/>
        <v>0</v>
      </c>
      <c r="P153" t="e">
        <f t="shared" si="34"/>
        <v>#NUM!</v>
      </c>
    </row>
    <row r="154" spans="3:16" x14ac:dyDescent="0.3">
      <c r="C154">
        <f t="shared" si="25"/>
        <v>0</v>
      </c>
      <c r="D154">
        <v>1.5900000000000001E-2</v>
      </c>
      <c r="E154">
        <v>2.9099999999999998E-3</v>
      </c>
      <c r="F154">
        <f t="shared" si="26"/>
        <v>0</v>
      </c>
      <c r="G154">
        <f t="shared" si="27"/>
        <v>0</v>
      </c>
      <c r="H154">
        <f t="shared" si="28"/>
        <v>0</v>
      </c>
      <c r="I154">
        <v>1</v>
      </c>
      <c r="J154" t="e">
        <f t="shared" si="29"/>
        <v>#NUM!</v>
      </c>
      <c r="K154">
        <f t="shared" si="30"/>
        <v>-1.2217251517752175</v>
      </c>
      <c r="L154">
        <v>1</v>
      </c>
      <c r="M154" t="e">
        <f t="shared" si="31"/>
        <v>#NUM!</v>
      </c>
      <c r="N154">
        <f t="shared" si="32"/>
        <v>0</v>
      </c>
      <c r="O154">
        <f t="shared" si="33"/>
        <v>0</v>
      </c>
      <c r="P154" t="e">
        <f t="shared" si="34"/>
        <v>#NUM!</v>
      </c>
    </row>
    <row r="155" spans="3:16" x14ac:dyDescent="0.3">
      <c r="C155">
        <f t="shared" si="25"/>
        <v>0</v>
      </c>
      <c r="D155">
        <v>1.5900000000000001E-2</v>
      </c>
      <c r="E155">
        <v>2.9099999999999998E-3</v>
      </c>
      <c r="F155">
        <f t="shared" si="26"/>
        <v>0</v>
      </c>
      <c r="G155">
        <f t="shared" si="27"/>
        <v>0</v>
      </c>
      <c r="H155">
        <f t="shared" si="28"/>
        <v>0</v>
      </c>
      <c r="I155">
        <v>1</v>
      </c>
      <c r="J155" t="e">
        <f t="shared" si="29"/>
        <v>#NUM!</v>
      </c>
      <c r="K155">
        <f t="shared" si="30"/>
        <v>-1.2217251517752175</v>
      </c>
      <c r="L155">
        <v>1</v>
      </c>
      <c r="M155" t="e">
        <f t="shared" si="31"/>
        <v>#NUM!</v>
      </c>
      <c r="N155">
        <f t="shared" si="32"/>
        <v>0</v>
      </c>
      <c r="O155">
        <f t="shared" si="33"/>
        <v>0</v>
      </c>
      <c r="P155" t="e">
        <f t="shared" si="34"/>
        <v>#NUM!</v>
      </c>
    </row>
    <row r="156" spans="3:16" x14ac:dyDescent="0.3">
      <c r="C156">
        <f t="shared" si="25"/>
        <v>0</v>
      </c>
      <c r="D156">
        <v>1.5900000000000001E-2</v>
      </c>
      <c r="E156">
        <v>2.9099999999999998E-3</v>
      </c>
      <c r="F156">
        <f t="shared" si="26"/>
        <v>0</v>
      </c>
      <c r="G156">
        <f t="shared" si="27"/>
        <v>0</v>
      </c>
      <c r="H156">
        <f t="shared" si="28"/>
        <v>0</v>
      </c>
      <c r="I156">
        <v>1</v>
      </c>
      <c r="J156" t="e">
        <f t="shared" si="29"/>
        <v>#NUM!</v>
      </c>
      <c r="K156">
        <f t="shared" si="30"/>
        <v>-1.2217251517752175</v>
      </c>
      <c r="L156">
        <v>1</v>
      </c>
      <c r="M156" t="e">
        <f t="shared" si="31"/>
        <v>#NUM!</v>
      </c>
      <c r="N156">
        <f t="shared" si="32"/>
        <v>0</v>
      </c>
      <c r="O156">
        <f t="shared" si="33"/>
        <v>0</v>
      </c>
      <c r="P156" t="e">
        <f t="shared" si="34"/>
        <v>#NUM!</v>
      </c>
    </row>
    <row r="157" spans="3:16" x14ac:dyDescent="0.3">
      <c r="C157">
        <f t="shared" si="25"/>
        <v>0</v>
      </c>
      <c r="D157">
        <v>1.5900000000000001E-2</v>
      </c>
      <c r="E157">
        <v>2.9099999999999998E-3</v>
      </c>
      <c r="F157">
        <f t="shared" si="26"/>
        <v>0</v>
      </c>
      <c r="G157">
        <f t="shared" si="27"/>
        <v>0</v>
      </c>
      <c r="H157">
        <f t="shared" si="28"/>
        <v>0</v>
      </c>
      <c r="I157">
        <v>1</v>
      </c>
      <c r="J157" t="e">
        <f t="shared" si="29"/>
        <v>#NUM!</v>
      </c>
      <c r="K157">
        <f t="shared" si="30"/>
        <v>-1.2217251517752175</v>
      </c>
      <c r="L157">
        <v>1</v>
      </c>
      <c r="M157" t="e">
        <f t="shared" si="31"/>
        <v>#NUM!</v>
      </c>
      <c r="N157">
        <f t="shared" si="32"/>
        <v>0</v>
      </c>
      <c r="O157">
        <f t="shared" si="33"/>
        <v>0</v>
      </c>
      <c r="P157" t="e">
        <f t="shared" si="34"/>
        <v>#NUM!</v>
      </c>
    </row>
    <row r="158" spans="3:16" x14ac:dyDescent="0.3">
      <c r="C158">
        <f t="shared" si="25"/>
        <v>0</v>
      </c>
      <c r="D158">
        <v>1.5900000000000001E-2</v>
      </c>
      <c r="E158">
        <v>2.9099999999999998E-3</v>
      </c>
      <c r="F158">
        <f t="shared" si="26"/>
        <v>0</v>
      </c>
      <c r="G158">
        <f t="shared" si="27"/>
        <v>0</v>
      </c>
      <c r="H158">
        <f t="shared" si="28"/>
        <v>0</v>
      </c>
      <c r="I158">
        <v>1</v>
      </c>
      <c r="J158" t="e">
        <f t="shared" si="29"/>
        <v>#NUM!</v>
      </c>
      <c r="K158">
        <f t="shared" si="30"/>
        <v>-1.2217251517752175</v>
      </c>
      <c r="L158">
        <v>1</v>
      </c>
      <c r="M158" t="e">
        <f t="shared" si="31"/>
        <v>#NUM!</v>
      </c>
      <c r="N158">
        <f t="shared" si="32"/>
        <v>0</v>
      </c>
      <c r="O158">
        <f t="shared" si="33"/>
        <v>0</v>
      </c>
      <c r="P158" t="e">
        <f t="shared" si="34"/>
        <v>#NUM!</v>
      </c>
    </row>
    <row r="159" spans="3:16" x14ac:dyDescent="0.3">
      <c r="C159">
        <f t="shared" si="25"/>
        <v>0</v>
      </c>
      <c r="D159">
        <v>1.5900000000000001E-2</v>
      </c>
      <c r="E159">
        <v>2.9099999999999998E-3</v>
      </c>
      <c r="F159">
        <f t="shared" si="26"/>
        <v>0</v>
      </c>
      <c r="G159">
        <f t="shared" si="27"/>
        <v>0</v>
      </c>
      <c r="H159">
        <f t="shared" si="28"/>
        <v>0</v>
      </c>
      <c r="I159">
        <v>1</v>
      </c>
      <c r="J159" t="e">
        <f t="shared" si="29"/>
        <v>#NUM!</v>
      </c>
      <c r="K159">
        <f t="shared" si="30"/>
        <v>-1.2217251517752175</v>
      </c>
      <c r="L159">
        <v>1</v>
      </c>
      <c r="M159" t="e">
        <f t="shared" si="31"/>
        <v>#NUM!</v>
      </c>
      <c r="N159">
        <f t="shared" si="32"/>
        <v>0</v>
      </c>
      <c r="O159">
        <f t="shared" si="33"/>
        <v>0</v>
      </c>
      <c r="P159" t="e">
        <f t="shared" si="34"/>
        <v>#NUM!</v>
      </c>
    </row>
    <row r="160" spans="3:16" x14ac:dyDescent="0.3">
      <c r="C160">
        <f t="shared" si="25"/>
        <v>0</v>
      </c>
      <c r="D160">
        <v>1.5900000000000001E-2</v>
      </c>
      <c r="E160">
        <v>2.9099999999999998E-3</v>
      </c>
      <c r="F160">
        <f t="shared" si="26"/>
        <v>0</v>
      </c>
      <c r="G160">
        <f t="shared" si="27"/>
        <v>0</v>
      </c>
      <c r="H160">
        <f t="shared" si="28"/>
        <v>0</v>
      </c>
      <c r="I160">
        <v>1</v>
      </c>
      <c r="J160" t="e">
        <f t="shared" si="29"/>
        <v>#NUM!</v>
      </c>
      <c r="K160">
        <f t="shared" si="30"/>
        <v>-1.2217251517752175</v>
      </c>
      <c r="L160">
        <v>1</v>
      </c>
      <c r="M160" t="e">
        <f t="shared" si="31"/>
        <v>#NUM!</v>
      </c>
      <c r="N160">
        <f t="shared" si="32"/>
        <v>0</v>
      </c>
      <c r="O160">
        <f t="shared" si="33"/>
        <v>0</v>
      </c>
      <c r="P160" t="e">
        <f t="shared" si="34"/>
        <v>#NUM!</v>
      </c>
    </row>
    <row r="161" spans="3:16" x14ac:dyDescent="0.3">
      <c r="C161">
        <f t="shared" si="25"/>
        <v>0</v>
      </c>
      <c r="D161">
        <v>1.5900000000000001E-2</v>
      </c>
      <c r="E161">
        <v>2.9099999999999998E-3</v>
      </c>
      <c r="F161">
        <f t="shared" si="26"/>
        <v>0</v>
      </c>
      <c r="G161">
        <f t="shared" si="27"/>
        <v>0</v>
      </c>
      <c r="H161">
        <f t="shared" si="28"/>
        <v>0</v>
      </c>
      <c r="I161">
        <v>1</v>
      </c>
      <c r="J161" t="e">
        <f t="shared" si="29"/>
        <v>#NUM!</v>
      </c>
      <c r="K161">
        <f t="shared" si="30"/>
        <v>-1.2217251517752175</v>
      </c>
      <c r="L161">
        <v>1</v>
      </c>
      <c r="M161" t="e">
        <f t="shared" si="31"/>
        <v>#NUM!</v>
      </c>
      <c r="N161">
        <f t="shared" si="32"/>
        <v>0</v>
      </c>
      <c r="O161">
        <f t="shared" si="33"/>
        <v>0</v>
      </c>
      <c r="P161" t="e">
        <f t="shared" si="34"/>
        <v>#NUM!</v>
      </c>
    </row>
    <row r="162" spans="3:16" x14ac:dyDescent="0.3">
      <c r="C162">
        <f t="shared" si="25"/>
        <v>0</v>
      </c>
      <c r="D162">
        <v>1.5900000000000001E-2</v>
      </c>
      <c r="E162">
        <v>2.9099999999999998E-3</v>
      </c>
      <c r="F162">
        <f t="shared" si="26"/>
        <v>0</v>
      </c>
      <c r="G162">
        <f t="shared" si="27"/>
        <v>0</v>
      </c>
      <c r="H162">
        <f t="shared" si="28"/>
        <v>0</v>
      </c>
      <c r="I162">
        <v>1</v>
      </c>
      <c r="J162" t="e">
        <f t="shared" si="29"/>
        <v>#NUM!</v>
      </c>
      <c r="K162">
        <f t="shared" si="30"/>
        <v>-1.2217251517752175</v>
      </c>
      <c r="L162">
        <v>1</v>
      </c>
      <c r="M162" t="e">
        <f t="shared" si="31"/>
        <v>#NUM!</v>
      </c>
      <c r="N162">
        <f t="shared" si="32"/>
        <v>0</v>
      </c>
      <c r="O162">
        <f t="shared" si="33"/>
        <v>0</v>
      </c>
      <c r="P162" t="e">
        <f t="shared" si="34"/>
        <v>#NUM!</v>
      </c>
    </row>
    <row r="163" spans="3:16" x14ac:dyDescent="0.3">
      <c r="C163">
        <f t="shared" si="25"/>
        <v>0</v>
      </c>
      <c r="D163">
        <v>1.5900000000000001E-2</v>
      </c>
      <c r="E163">
        <v>2.9099999999999998E-3</v>
      </c>
      <c r="F163">
        <f t="shared" si="26"/>
        <v>0</v>
      </c>
      <c r="G163">
        <f t="shared" si="27"/>
        <v>0</v>
      </c>
      <c r="H163">
        <f t="shared" si="28"/>
        <v>0</v>
      </c>
      <c r="I163">
        <v>1</v>
      </c>
      <c r="J163" t="e">
        <f t="shared" si="29"/>
        <v>#NUM!</v>
      </c>
      <c r="K163">
        <f t="shared" si="30"/>
        <v>-1.2217251517752175</v>
      </c>
      <c r="L163">
        <v>1</v>
      </c>
      <c r="M163" t="e">
        <f t="shared" si="31"/>
        <v>#NUM!</v>
      </c>
      <c r="N163">
        <f t="shared" si="32"/>
        <v>0</v>
      </c>
      <c r="O163">
        <f t="shared" si="33"/>
        <v>0</v>
      </c>
      <c r="P163" t="e">
        <f t="shared" si="34"/>
        <v>#NUM!</v>
      </c>
    </row>
    <row r="164" spans="3:16" x14ac:dyDescent="0.3">
      <c r="C164">
        <f t="shared" si="25"/>
        <v>0</v>
      </c>
      <c r="D164">
        <v>1.5900000000000001E-2</v>
      </c>
      <c r="E164">
        <v>2.9099999999999998E-3</v>
      </c>
      <c r="F164">
        <f t="shared" si="26"/>
        <v>0</v>
      </c>
      <c r="G164">
        <f t="shared" si="27"/>
        <v>0</v>
      </c>
      <c r="H164">
        <f t="shared" si="28"/>
        <v>0</v>
      </c>
      <c r="I164">
        <v>1</v>
      </c>
      <c r="J164" t="e">
        <f t="shared" si="29"/>
        <v>#NUM!</v>
      </c>
      <c r="K164">
        <f t="shared" si="30"/>
        <v>-1.2217251517752175</v>
      </c>
      <c r="L164">
        <v>1</v>
      </c>
      <c r="M164" t="e">
        <f t="shared" si="31"/>
        <v>#NUM!</v>
      </c>
      <c r="N164">
        <f t="shared" si="32"/>
        <v>0</v>
      </c>
      <c r="O164">
        <f t="shared" si="33"/>
        <v>0</v>
      </c>
      <c r="P164" t="e">
        <f t="shared" si="34"/>
        <v>#NUM!</v>
      </c>
    </row>
    <row r="165" spans="3:16" x14ac:dyDescent="0.3">
      <c r="C165">
        <f t="shared" si="25"/>
        <v>0</v>
      </c>
      <c r="D165">
        <v>1.5900000000000001E-2</v>
      </c>
      <c r="E165">
        <v>2.9099999999999998E-3</v>
      </c>
      <c r="F165">
        <f t="shared" si="26"/>
        <v>0</v>
      </c>
      <c r="G165">
        <f t="shared" si="27"/>
        <v>0</v>
      </c>
      <c r="H165">
        <f t="shared" si="28"/>
        <v>0</v>
      </c>
      <c r="I165">
        <v>1</v>
      </c>
      <c r="J165" t="e">
        <f t="shared" si="29"/>
        <v>#NUM!</v>
      </c>
      <c r="K165">
        <f t="shared" si="30"/>
        <v>-1.2217251517752175</v>
      </c>
      <c r="L165">
        <v>1</v>
      </c>
      <c r="M165" t="e">
        <f t="shared" si="31"/>
        <v>#NUM!</v>
      </c>
      <c r="N165">
        <f t="shared" si="32"/>
        <v>0</v>
      </c>
      <c r="O165">
        <f t="shared" si="33"/>
        <v>0</v>
      </c>
      <c r="P165" t="e">
        <f t="shared" si="34"/>
        <v>#NUM!</v>
      </c>
    </row>
    <row r="166" spans="3:16" x14ac:dyDescent="0.3">
      <c r="C166">
        <f t="shared" si="25"/>
        <v>0</v>
      </c>
      <c r="D166">
        <v>1.5900000000000001E-2</v>
      </c>
      <c r="E166">
        <v>2.9099999999999998E-3</v>
      </c>
      <c r="F166">
        <f t="shared" si="26"/>
        <v>0</v>
      </c>
      <c r="G166">
        <f t="shared" si="27"/>
        <v>0</v>
      </c>
      <c r="H166">
        <f t="shared" si="28"/>
        <v>0</v>
      </c>
      <c r="I166">
        <v>1</v>
      </c>
      <c r="J166" t="e">
        <f t="shared" si="29"/>
        <v>#NUM!</v>
      </c>
      <c r="K166">
        <f t="shared" si="30"/>
        <v>-1.2217251517752175</v>
      </c>
      <c r="L166">
        <v>1</v>
      </c>
      <c r="M166" t="e">
        <f t="shared" si="31"/>
        <v>#NUM!</v>
      </c>
      <c r="N166">
        <f t="shared" si="32"/>
        <v>0</v>
      </c>
      <c r="O166">
        <f t="shared" si="33"/>
        <v>0</v>
      </c>
      <c r="P166" t="e">
        <f t="shared" si="34"/>
        <v>#NUM!</v>
      </c>
    </row>
    <row r="167" spans="3:16" x14ac:dyDescent="0.3">
      <c r="C167">
        <f t="shared" si="25"/>
        <v>0</v>
      </c>
      <c r="D167">
        <v>1.5900000000000001E-2</v>
      </c>
      <c r="E167">
        <v>2.9099999999999998E-3</v>
      </c>
      <c r="F167">
        <f t="shared" si="26"/>
        <v>0</v>
      </c>
      <c r="G167">
        <f t="shared" si="27"/>
        <v>0</v>
      </c>
      <c r="H167">
        <f t="shared" si="28"/>
        <v>0</v>
      </c>
      <c r="I167">
        <v>1</v>
      </c>
      <c r="J167" t="e">
        <f t="shared" si="29"/>
        <v>#NUM!</v>
      </c>
      <c r="K167">
        <f t="shared" si="30"/>
        <v>-1.2217251517752175</v>
      </c>
      <c r="L167">
        <v>1</v>
      </c>
      <c r="M167" t="e">
        <f t="shared" si="31"/>
        <v>#NUM!</v>
      </c>
      <c r="N167">
        <f t="shared" si="32"/>
        <v>0</v>
      </c>
      <c r="O167">
        <f t="shared" si="33"/>
        <v>0</v>
      </c>
      <c r="P167" t="e">
        <f t="shared" si="34"/>
        <v>#NUM!</v>
      </c>
    </row>
    <row r="168" spans="3:16" x14ac:dyDescent="0.3">
      <c r="C168">
        <f t="shared" si="25"/>
        <v>0</v>
      </c>
      <c r="D168">
        <v>1.5900000000000001E-2</v>
      </c>
      <c r="E168">
        <v>2.9099999999999998E-3</v>
      </c>
      <c r="F168">
        <f t="shared" si="26"/>
        <v>0</v>
      </c>
      <c r="G168">
        <f t="shared" si="27"/>
        <v>0</v>
      </c>
      <c r="H168">
        <f t="shared" si="28"/>
        <v>0</v>
      </c>
      <c r="I168">
        <v>1</v>
      </c>
      <c r="J168" t="e">
        <f t="shared" si="29"/>
        <v>#NUM!</v>
      </c>
      <c r="K168">
        <f t="shared" si="30"/>
        <v>-1.2217251517752175</v>
      </c>
      <c r="L168">
        <v>1</v>
      </c>
      <c r="M168" t="e">
        <f t="shared" si="31"/>
        <v>#NUM!</v>
      </c>
      <c r="N168">
        <f t="shared" si="32"/>
        <v>0</v>
      </c>
      <c r="O168">
        <f t="shared" si="33"/>
        <v>0</v>
      </c>
      <c r="P168" t="e">
        <f t="shared" si="34"/>
        <v>#NUM!</v>
      </c>
    </row>
    <row r="169" spans="3:16" x14ac:dyDescent="0.3">
      <c r="C169">
        <f t="shared" si="25"/>
        <v>0</v>
      </c>
      <c r="D169">
        <v>1.5900000000000001E-2</v>
      </c>
      <c r="E169">
        <v>2.9099999999999998E-3</v>
      </c>
      <c r="F169">
        <f t="shared" si="26"/>
        <v>0</v>
      </c>
      <c r="G169">
        <f t="shared" si="27"/>
        <v>0</v>
      </c>
      <c r="H169">
        <f t="shared" si="28"/>
        <v>0</v>
      </c>
      <c r="I169">
        <v>1</v>
      </c>
      <c r="J169" t="e">
        <f t="shared" si="29"/>
        <v>#NUM!</v>
      </c>
      <c r="K169">
        <f t="shared" si="30"/>
        <v>-1.2217251517752175</v>
      </c>
      <c r="L169">
        <v>1</v>
      </c>
      <c r="M169" t="e">
        <f t="shared" si="31"/>
        <v>#NUM!</v>
      </c>
      <c r="N169">
        <f t="shared" si="32"/>
        <v>0</v>
      </c>
      <c r="O169">
        <f t="shared" si="33"/>
        <v>0</v>
      </c>
      <c r="P169" t="e">
        <f t="shared" si="34"/>
        <v>#NUM!</v>
      </c>
    </row>
    <row r="170" spans="3:16" x14ac:dyDescent="0.3">
      <c r="C170">
        <f t="shared" si="25"/>
        <v>0</v>
      </c>
      <c r="D170">
        <v>1.5900000000000001E-2</v>
      </c>
      <c r="E170">
        <v>2.9099999999999998E-3</v>
      </c>
      <c r="F170">
        <f t="shared" si="26"/>
        <v>0</v>
      </c>
      <c r="G170">
        <f t="shared" si="27"/>
        <v>0</v>
      </c>
      <c r="H170">
        <f t="shared" si="28"/>
        <v>0</v>
      </c>
      <c r="I170">
        <v>1</v>
      </c>
      <c r="J170" t="e">
        <f t="shared" si="29"/>
        <v>#NUM!</v>
      </c>
      <c r="K170">
        <f t="shared" si="30"/>
        <v>-1.2217251517752175</v>
      </c>
      <c r="L170">
        <v>1</v>
      </c>
      <c r="M170" t="e">
        <f t="shared" si="31"/>
        <v>#NUM!</v>
      </c>
      <c r="N170">
        <f t="shared" si="32"/>
        <v>0</v>
      </c>
      <c r="O170">
        <f t="shared" si="33"/>
        <v>0</v>
      </c>
      <c r="P170" t="e">
        <f t="shared" si="34"/>
        <v>#NUM!</v>
      </c>
    </row>
    <row r="171" spans="3:16" x14ac:dyDescent="0.3">
      <c r="C171">
        <f t="shared" si="25"/>
        <v>0</v>
      </c>
      <c r="D171">
        <v>1.5900000000000001E-2</v>
      </c>
      <c r="E171">
        <v>2.9099999999999998E-3</v>
      </c>
      <c r="F171">
        <f t="shared" si="26"/>
        <v>0</v>
      </c>
      <c r="G171">
        <f t="shared" si="27"/>
        <v>0</v>
      </c>
      <c r="H171">
        <f t="shared" si="28"/>
        <v>0</v>
      </c>
      <c r="I171">
        <v>1</v>
      </c>
      <c r="J171" t="e">
        <f t="shared" si="29"/>
        <v>#NUM!</v>
      </c>
      <c r="K171">
        <f t="shared" si="30"/>
        <v>-1.2217251517752175</v>
      </c>
      <c r="L171">
        <v>1</v>
      </c>
      <c r="M171" t="e">
        <f t="shared" si="31"/>
        <v>#NUM!</v>
      </c>
      <c r="N171">
        <f t="shared" si="32"/>
        <v>0</v>
      </c>
      <c r="O171">
        <f t="shared" si="33"/>
        <v>0</v>
      </c>
      <c r="P171" t="e">
        <f t="shared" si="34"/>
        <v>#NUM!</v>
      </c>
    </row>
    <row r="172" spans="3:16" x14ac:dyDescent="0.3">
      <c r="C172">
        <f t="shared" si="25"/>
        <v>0</v>
      </c>
      <c r="D172">
        <v>1.5900000000000001E-2</v>
      </c>
      <c r="E172">
        <v>2.9099999999999998E-3</v>
      </c>
      <c r="F172">
        <f t="shared" si="26"/>
        <v>0</v>
      </c>
      <c r="G172">
        <f t="shared" si="27"/>
        <v>0</v>
      </c>
      <c r="H172">
        <f t="shared" si="28"/>
        <v>0</v>
      </c>
      <c r="I172">
        <v>1</v>
      </c>
      <c r="J172" t="e">
        <f t="shared" si="29"/>
        <v>#NUM!</v>
      </c>
      <c r="K172">
        <f t="shared" si="30"/>
        <v>-1.2217251517752175</v>
      </c>
      <c r="L172">
        <v>1</v>
      </c>
      <c r="M172" t="e">
        <f t="shared" si="31"/>
        <v>#NUM!</v>
      </c>
      <c r="N172">
        <f t="shared" si="32"/>
        <v>0</v>
      </c>
      <c r="O172">
        <f t="shared" si="33"/>
        <v>0</v>
      </c>
      <c r="P172" t="e">
        <f t="shared" si="34"/>
        <v>#NUM!</v>
      </c>
    </row>
    <row r="173" spans="3:16" x14ac:dyDescent="0.3">
      <c r="C173">
        <f t="shared" si="25"/>
        <v>0</v>
      </c>
      <c r="D173">
        <v>1.5900000000000001E-2</v>
      </c>
      <c r="E173">
        <v>2.9099999999999998E-3</v>
      </c>
      <c r="F173">
        <f t="shared" si="26"/>
        <v>0</v>
      </c>
      <c r="G173">
        <f t="shared" si="27"/>
        <v>0</v>
      </c>
      <c r="H173">
        <f t="shared" si="28"/>
        <v>0</v>
      </c>
      <c r="I173">
        <v>1</v>
      </c>
      <c r="J173" t="e">
        <f t="shared" si="29"/>
        <v>#NUM!</v>
      </c>
      <c r="K173">
        <f t="shared" si="30"/>
        <v>-1.2217251517752175</v>
      </c>
      <c r="L173">
        <v>1</v>
      </c>
      <c r="M173" t="e">
        <f t="shared" si="31"/>
        <v>#NUM!</v>
      </c>
      <c r="N173">
        <f t="shared" si="32"/>
        <v>0</v>
      </c>
      <c r="O173">
        <f t="shared" si="33"/>
        <v>0</v>
      </c>
      <c r="P173" t="e">
        <f t="shared" si="34"/>
        <v>#NUM!</v>
      </c>
    </row>
    <row r="174" spans="3:16" x14ac:dyDescent="0.3">
      <c r="C174">
        <f t="shared" si="25"/>
        <v>0</v>
      </c>
      <c r="D174">
        <v>1.5900000000000001E-2</v>
      </c>
      <c r="E174">
        <v>2.9099999999999998E-3</v>
      </c>
      <c r="F174">
        <f t="shared" si="26"/>
        <v>0</v>
      </c>
      <c r="G174">
        <f t="shared" si="27"/>
        <v>0</v>
      </c>
      <c r="H174">
        <f t="shared" si="28"/>
        <v>0</v>
      </c>
      <c r="I174">
        <v>1</v>
      </c>
      <c r="J174" t="e">
        <f t="shared" si="29"/>
        <v>#NUM!</v>
      </c>
      <c r="K174">
        <f t="shared" si="30"/>
        <v>-1.2217251517752175</v>
      </c>
      <c r="L174">
        <v>1</v>
      </c>
      <c r="M174" t="e">
        <f t="shared" si="31"/>
        <v>#NUM!</v>
      </c>
      <c r="N174">
        <f t="shared" si="32"/>
        <v>0</v>
      </c>
      <c r="O174">
        <f t="shared" si="33"/>
        <v>0</v>
      </c>
      <c r="P174" t="e">
        <f t="shared" si="34"/>
        <v>#NUM!</v>
      </c>
    </row>
    <row r="175" spans="3:16" x14ac:dyDescent="0.3">
      <c r="C175">
        <f t="shared" si="25"/>
        <v>0</v>
      </c>
      <c r="D175">
        <v>1.5900000000000001E-2</v>
      </c>
      <c r="E175">
        <v>2.9099999999999998E-3</v>
      </c>
      <c r="F175">
        <f t="shared" si="26"/>
        <v>0</v>
      </c>
      <c r="G175">
        <f t="shared" si="27"/>
        <v>0</v>
      </c>
      <c r="H175">
        <f t="shared" si="28"/>
        <v>0</v>
      </c>
      <c r="I175">
        <v>1</v>
      </c>
      <c r="J175" t="e">
        <f t="shared" si="29"/>
        <v>#NUM!</v>
      </c>
      <c r="K175">
        <f t="shared" si="30"/>
        <v>-1.2217251517752175</v>
      </c>
      <c r="L175">
        <v>1</v>
      </c>
      <c r="M175" t="e">
        <f t="shared" si="31"/>
        <v>#NUM!</v>
      </c>
      <c r="N175">
        <f t="shared" si="32"/>
        <v>0</v>
      </c>
      <c r="O175">
        <f t="shared" si="33"/>
        <v>0</v>
      </c>
      <c r="P175" t="e">
        <f t="shared" si="34"/>
        <v>#NUM!</v>
      </c>
    </row>
    <row r="176" spans="3:16" x14ac:dyDescent="0.3">
      <c r="C176">
        <f t="shared" si="25"/>
        <v>0</v>
      </c>
      <c r="D176">
        <v>1.5900000000000001E-2</v>
      </c>
      <c r="E176">
        <v>2.9099999999999998E-3</v>
      </c>
      <c r="F176">
        <f t="shared" si="26"/>
        <v>0</v>
      </c>
      <c r="G176">
        <f t="shared" si="27"/>
        <v>0</v>
      </c>
      <c r="H176">
        <f t="shared" si="28"/>
        <v>0</v>
      </c>
      <c r="I176">
        <v>1</v>
      </c>
      <c r="J176" t="e">
        <f t="shared" si="29"/>
        <v>#NUM!</v>
      </c>
      <c r="K176">
        <f t="shared" si="30"/>
        <v>-1.2217251517752175</v>
      </c>
      <c r="L176">
        <v>1</v>
      </c>
      <c r="M176" t="e">
        <f t="shared" si="31"/>
        <v>#NUM!</v>
      </c>
      <c r="N176">
        <f t="shared" si="32"/>
        <v>0</v>
      </c>
      <c r="O176">
        <f t="shared" si="33"/>
        <v>0</v>
      </c>
      <c r="P176" t="e">
        <f t="shared" si="34"/>
        <v>#NUM!</v>
      </c>
    </row>
    <row r="177" spans="3:16" x14ac:dyDescent="0.3">
      <c r="C177">
        <f t="shared" si="25"/>
        <v>0</v>
      </c>
      <c r="D177">
        <v>1.5900000000000001E-2</v>
      </c>
      <c r="E177">
        <v>2.9099999999999998E-3</v>
      </c>
      <c r="F177">
        <f t="shared" si="26"/>
        <v>0</v>
      </c>
      <c r="G177">
        <f t="shared" si="27"/>
        <v>0</v>
      </c>
      <c r="H177">
        <f t="shared" si="28"/>
        <v>0</v>
      </c>
      <c r="I177">
        <v>1</v>
      </c>
      <c r="J177" t="e">
        <f t="shared" si="29"/>
        <v>#NUM!</v>
      </c>
      <c r="K177">
        <f t="shared" si="30"/>
        <v>-1.2217251517752175</v>
      </c>
      <c r="L177">
        <v>1</v>
      </c>
      <c r="M177" t="e">
        <f t="shared" si="31"/>
        <v>#NUM!</v>
      </c>
      <c r="N177">
        <f t="shared" si="32"/>
        <v>0</v>
      </c>
      <c r="O177">
        <f t="shared" si="33"/>
        <v>0</v>
      </c>
      <c r="P177" t="e">
        <f t="shared" si="34"/>
        <v>#NUM!</v>
      </c>
    </row>
    <row r="178" spans="3:16" x14ac:dyDescent="0.3">
      <c r="C178">
        <f t="shared" si="25"/>
        <v>0</v>
      </c>
      <c r="D178">
        <v>1.5900000000000001E-2</v>
      </c>
      <c r="E178">
        <v>2.9099999999999998E-3</v>
      </c>
      <c r="F178">
        <f t="shared" si="26"/>
        <v>0</v>
      </c>
      <c r="G178">
        <f t="shared" si="27"/>
        <v>0</v>
      </c>
      <c r="H178">
        <f t="shared" si="28"/>
        <v>0</v>
      </c>
      <c r="I178">
        <v>1</v>
      </c>
      <c r="J178" t="e">
        <f t="shared" si="29"/>
        <v>#NUM!</v>
      </c>
      <c r="K178">
        <f t="shared" si="30"/>
        <v>-1.2217251517752175</v>
      </c>
      <c r="L178">
        <v>1</v>
      </c>
      <c r="M178" t="e">
        <f t="shared" si="31"/>
        <v>#NUM!</v>
      </c>
      <c r="N178">
        <f t="shared" si="32"/>
        <v>0</v>
      </c>
      <c r="O178">
        <f t="shared" si="33"/>
        <v>0</v>
      </c>
      <c r="P178" t="e">
        <f t="shared" si="34"/>
        <v>#NUM!</v>
      </c>
    </row>
    <row r="179" spans="3:16" x14ac:dyDescent="0.3">
      <c r="C179">
        <f t="shared" si="25"/>
        <v>0</v>
      </c>
      <c r="D179">
        <v>1.5900000000000001E-2</v>
      </c>
      <c r="E179">
        <v>2.9099999999999998E-3</v>
      </c>
      <c r="F179">
        <f t="shared" si="26"/>
        <v>0</v>
      </c>
      <c r="G179">
        <f t="shared" si="27"/>
        <v>0</v>
      </c>
      <c r="H179">
        <f t="shared" si="28"/>
        <v>0</v>
      </c>
      <c r="I179">
        <v>1</v>
      </c>
      <c r="J179" t="e">
        <f t="shared" si="29"/>
        <v>#NUM!</v>
      </c>
      <c r="K179">
        <f t="shared" si="30"/>
        <v>-1.2217251517752175</v>
      </c>
      <c r="L179">
        <v>1</v>
      </c>
      <c r="M179" t="e">
        <f t="shared" si="31"/>
        <v>#NUM!</v>
      </c>
      <c r="N179">
        <f t="shared" si="32"/>
        <v>0</v>
      </c>
      <c r="O179">
        <f t="shared" si="33"/>
        <v>0</v>
      </c>
      <c r="P179" t="e">
        <f t="shared" si="34"/>
        <v>#NUM!</v>
      </c>
    </row>
    <row r="180" spans="3:16" x14ac:dyDescent="0.3">
      <c r="C180">
        <f t="shared" si="25"/>
        <v>0</v>
      </c>
      <c r="D180">
        <v>1.5900000000000001E-2</v>
      </c>
      <c r="E180">
        <v>2.9099999999999998E-3</v>
      </c>
      <c r="F180">
        <f t="shared" si="26"/>
        <v>0</v>
      </c>
      <c r="G180">
        <f t="shared" si="27"/>
        <v>0</v>
      </c>
      <c r="H180">
        <f t="shared" si="28"/>
        <v>0</v>
      </c>
      <c r="I180">
        <v>1</v>
      </c>
      <c r="J180" t="e">
        <f t="shared" si="29"/>
        <v>#NUM!</v>
      </c>
      <c r="K180">
        <f t="shared" si="30"/>
        <v>-1.2217251517752175</v>
      </c>
      <c r="L180">
        <v>1</v>
      </c>
      <c r="M180" t="e">
        <f t="shared" si="31"/>
        <v>#NUM!</v>
      </c>
      <c r="N180">
        <f t="shared" si="32"/>
        <v>0</v>
      </c>
      <c r="O180">
        <f t="shared" si="33"/>
        <v>0</v>
      </c>
      <c r="P180" t="e">
        <f t="shared" si="34"/>
        <v>#NUM!</v>
      </c>
    </row>
    <row r="181" spans="3:16" x14ac:dyDescent="0.3">
      <c r="C181">
        <f t="shared" si="25"/>
        <v>0</v>
      </c>
      <c r="D181">
        <v>1.5900000000000001E-2</v>
      </c>
      <c r="E181">
        <v>2.9099999999999998E-3</v>
      </c>
      <c r="F181">
        <f t="shared" si="26"/>
        <v>0</v>
      </c>
      <c r="G181">
        <f t="shared" si="27"/>
        <v>0</v>
      </c>
      <c r="H181">
        <f t="shared" si="28"/>
        <v>0</v>
      </c>
      <c r="I181">
        <v>1</v>
      </c>
      <c r="J181" t="e">
        <f t="shared" si="29"/>
        <v>#NUM!</v>
      </c>
      <c r="K181">
        <f t="shared" si="30"/>
        <v>-1.2217251517752175</v>
      </c>
      <c r="L181">
        <v>1</v>
      </c>
      <c r="M181" t="e">
        <f t="shared" si="31"/>
        <v>#NUM!</v>
      </c>
      <c r="N181">
        <f t="shared" si="32"/>
        <v>0</v>
      </c>
      <c r="O181">
        <f t="shared" si="33"/>
        <v>0</v>
      </c>
      <c r="P181" t="e">
        <f t="shared" si="34"/>
        <v>#NUM!</v>
      </c>
    </row>
    <row r="182" spans="3:16" x14ac:dyDescent="0.3">
      <c r="C182">
        <f t="shared" si="25"/>
        <v>0</v>
      </c>
      <c r="D182">
        <v>1.5900000000000001E-2</v>
      </c>
      <c r="E182">
        <v>2.9099999999999998E-3</v>
      </c>
      <c r="F182">
        <f t="shared" si="26"/>
        <v>0</v>
      </c>
      <c r="G182">
        <f t="shared" si="27"/>
        <v>0</v>
      </c>
      <c r="H182">
        <f t="shared" si="28"/>
        <v>0</v>
      </c>
      <c r="I182">
        <v>1</v>
      </c>
      <c r="J182" t="e">
        <f t="shared" si="29"/>
        <v>#NUM!</v>
      </c>
      <c r="K182">
        <f t="shared" si="30"/>
        <v>-1.2217251517752175</v>
      </c>
      <c r="L182">
        <v>1</v>
      </c>
      <c r="M182" t="e">
        <f t="shared" si="31"/>
        <v>#NUM!</v>
      </c>
      <c r="N182">
        <f t="shared" si="32"/>
        <v>0</v>
      </c>
      <c r="O182">
        <f t="shared" si="33"/>
        <v>0</v>
      </c>
      <c r="P182" t="e">
        <f t="shared" si="34"/>
        <v>#NUM!</v>
      </c>
    </row>
    <row r="183" spans="3:16" x14ac:dyDescent="0.3">
      <c r="C183">
        <f t="shared" si="25"/>
        <v>0</v>
      </c>
      <c r="D183">
        <v>1.5900000000000001E-2</v>
      </c>
      <c r="E183">
        <v>2.9099999999999998E-3</v>
      </c>
      <c r="F183">
        <f t="shared" si="26"/>
        <v>0</v>
      </c>
      <c r="G183">
        <f t="shared" si="27"/>
        <v>0</v>
      </c>
      <c r="H183">
        <f t="shared" si="28"/>
        <v>0</v>
      </c>
      <c r="I183">
        <v>1</v>
      </c>
      <c r="J183" t="e">
        <f t="shared" si="29"/>
        <v>#NUM!</v>
      </c>
      <c r="K183">
        <f t="shared" si="30"/>
        <v>-1.2217251517752175</v>
      </c>
      <c r="L183">
        <v>1</v>
      </c>
      <c r="M183" t="e">
        <f t="shared" si="31"/>
        <v>#NUM!</v>
      </c>
      <c r="N183">
        <f t="shared" si="32"/>
        <v>0</v>
      </c>
      <c r="O183">
        <f t="shared" si="33"/>
        <v>0</v>
      </c>
      <c r="P183" t="e">
        <f t="shared" si="34"/>
        <v>#NUM!</v>
      </c>
    </row>
    <row r="184" spans="3:16" x14ac:dyDescent="0.3">
      <c r="C184">
        <f t="shared" si="25"/>
        <v>0</v>
      </c>
      <c r="D184">
        <v>1.5900000000000001E-2</v>
      </c>
      <c r="E184">
        <v>2.9099999999999998E-3</v>
      </c>
      <c r="F184">
        <f t="shared" si="26"/>
        <v>0</v>
      </c>
      <c r="G184">
        <f t="shared" si="27"/>
        <v>0</v>
      </c>
      <c r="H184">
        <f t="shared" si="28"/>
        <v>0</v>
      </c>
      <c r="I184">
        <v>1</v>
      </c>
      <c r="J184" t="e">
        <f t="shared" si="29"/>
        <v>#NUM!</v>
      </c>
      <c r="K184">
        <f t="shared" si="30"/>
        <v>-1.2217251517752175</v>
      </c>
      <c r="L184">
        <v>1</v>
      </c>
      <c r="M184" t="e">
        <f t="shared" si="31"/>
        <v>#NUM!</v>
      </c>
      <c r="N184">
        <f t="shared" si="32"/>
        <v>0</v>
      </c>
      <c r="O184">
        <f t="shared" si="33"/>
        <v>0</v>
      </c>
      <c r="P184" t="e">
        <f t="shared" si="34"/>
        <v>#NUM!</v>
      </c>
    </row>
    <row r="185" spans="3:16" x14ac:dyDescent="0.3">
      <c r="C185">
        <f t="shared" si="25"/>
        <v>0</v>
      </c>
      <c r="D185">
        <v>1.5900000000000001E-2</v>
      </c>
      <c r="E185">
        <v>2.9099999999999998E-3</v>
      </c>
      <c r="F185">
        <f t="shared" si="26"/>
        <v>0</v>
      </c>
      <c r="G185">
        <f t="shared" si="27"/>
        <v>0</v>
      </c>
      <c r="H185">
        <f t="shared" si="28"/>
        <v>0</v>
      </c>
      <c r="I185">
        <v>1</v>
      </c>
      <c r="J185" t="e">
        <f t="shared" si="29"/>
        <v>#NUM!</v>
      </c>
      <c r="K185">
        <f t="shared" si="30"/>
        <v>-1.2217251517752175</v>
      </c>
      <c r="L185">
        <v>1</v>
      </c>
      <c r="M185" t="e">
        <f t="shared" si="31"/>
        <v>#NUM!</v>
      </c>
      <c r="N185">
        <f t="shared" si="32"/>
        <v>0</v>
      </c>
      <c r="O185">
        <f t="shared" si="33"/>
        <v>0</v>
      </c>
      <c r="P185" t="e">
        <f t="shared" si="34"/>
        <v>#NUM!</v>
      </c>
    </row>
    <row r="186" spans="3:16" x14ac:dyDescent="0.3">
      <c r="C186">
        <f t="shared" si="25"/>
        <v>0</v>
      </c>
      <c r="D186">
        <v>1.5900000000000001E-2</v>
      </c>
      <c r="E186">
        <v>2.9099999999999998E-3</v>
      </c>
      <c r="F186">
        <f t="shared" si="26"/>
        <v>0</v>
      </c>
      <c r="G186">
        <f t="shared" si="27"/>
        <v>0</v>
      </c>
      <c r="H186">
        <f t="shared" si="28"/>
        <v>0</v>
      </c>
      <c r="I186">
        <v>1</v>
      </c>
      <c r="J186" t="e">
        <f t="shared" si="29"/>
        <v>#NUM!</v>
      </c>
      <c r="K186">
        <f t="shared" si="30"/>
        <v>-1.2217251517752175</v>
      </c>
      <c r="L186">
        <v>1</v>
      </c>
      <c r="M186" t="e">
        <f t="shared" si="31"/>
        <v>#NUM!</v>
      </c>
      <c r="N186">
        <f t="shared" si="32"/>
        <v>0</v>
      </c>
      <c r="O186">
        <f t="shared" si="33"/>
        <v>0</v>
      </c>
      <c r="P186" t="e">
        <f t="shared" si="34"/>
        <v>#NUM!</v>
      </c>
    </row>
    <row r="187" spans="3:16" x14ac:dyDescent="0.3">
      <c r="C187">
        <f t="shared" si="25"/>
        <v>0</v>
      </c>
      <c r="D187">
        <v>1.5900000000000001E-2</v>
      </c>
      <c r="E187">
        <v>2.9099999999999998E-3</v>
      </c>
      <c r="F187">
        <f t="shared" si="26"/>
        <v>0</v>
      </c>
      <c r="G187">
        <f t="shared" si="27"/>
        <v>0</v>
      </c>
      <c r="H187">
        <f t="shared" si="28"/>
        <v>0</v>
      </c>
      <c r="I187">
        <v>1</v>
      </c>
      <c r="J187" t="e">
        <f t="shared" si="29"/>
        <v>#NUM!</v>
      </c>
      <c r="K187">
        <f t="shared" si="30"/>
        <v>-1.2217251517752175</v>
      </c>
      <c r="L187">
        <v>1</v>
      </c>
      <c r="M187" t="e">
        <f t="shared" si="31"/>
        <v>#NUM!</v>
      </c>
      <c r="N187">
        <f t="shared" si="32"/>
        <v>0</v>
      </c>
      <c r="O187">
        <f t="shared" si="33"/>
        <v>0</v>
      </c>
      <c r="P187" t="e">
        <f t="shared" si="34"/>
        <v>#NUM!</v>
      </c>
    </row>
    <row r="188" spans="3:16" x14ac:dyDescent="0.3">
      <c r="C188">
        <f t="shared" si="25"/>
        <v>0</v>
      </c>
      <c r="D188">
        <v>1.5900000000000001E-2</v>
      </c>
      <c r="E188">
        <v>2.9099999999999998E-3</v>
      </c>
      <c r="F188">
        <f t="shared" si="26"/>
        <v>0</v>
      </c>
      <c r="G188">
        <f t="shared" si="27"/>
        <v>0</v>
      </c>
      <c r="H188">
        <f t="shared" si="28"/>
        <v>0</v>
      </c>
      <c r="I188">
        <v>1</v>
      </c>
      <c r="J188" t="e">
        <f t="shared" si="29"/>
        <v>#NUM!</v>
      </c>
      <c r="K188">
        <f t="shared" si="30"/>
        <v>-1.2217251517752175</v>
      </c>
      <c r="L188">
        <v>1</v>
      </c>
      <c r="M188" t="e">
        <f t="shared" si="31"/>
        <v>#NUM!</v>
      </c>
      <c r="N188">
        <f t="shared" si="32"/>
        <v>0</v>
      </c>
      <c r="O188">
        <f t="shared" si="33"/>
        <v>0</v>
      </c>
      <c r="P188" t="e">
        <f t="shared" si="34"/>
        <v>#NUM!</v>
      </c>
    </row>
    <row r="189" spans="3:16" x14ac:dyDescent="0.3">
      <c r="C189">
        <f t="shared" si="25"/>
        <v>0</v>
      </c>
      <c r="D189">
        <v>1.5900000000000001E-2</v>
      </c>
      <c r="E189">
        <v>2.9099999999999998E-3</v>
      </c>
      <c r="F189">
        <f t="shared" si="26"/>
        <v>0</v>
      </c>
      <c r="G189">
        <f t="shared" si="27"/>
        <v>0</v>
      </c>
      <c r="H189">
        <f t="shared" si="28"/>
        <v>0</v>
      </c>
      <c r="I189">
        <v>1</v>
      </c>
      <c r="J189" t="e">
        <f t="shared" si="29"/>
        <v>#NUM!</v>
      </c>
      <c r="K189">
        <f t="shared" si="30"/>
        <v>-1.2217251517752175</v>
      </c>
      <c r="L189">
        <v>1</v>
      </c>
      <c r="M189" t="e">
        <f t="shared" si="31"/>
        <v>#NUM!</v>
      </c>
      <c r="N189">
        <f t="shared" si="32"/>
        <v>0</v>
      </c>
      <c r="O189">
        <f t="shared" si="33"/>
        <v>0</v>
      </c>
      <c r="P189" t="e">
        <f t="shared" si="34"/>
        <v>#NUM!</v>
      </c>
    </row>
    <row r="190" spans="3:16" x14ac:dyDescent="0.3">
      <c r="C190">
        <f t="shared" si="25"/>
        <v>0</v>
      </c>
      <c r="D190">
        <v>1.5900000000000001E-2</v>
      </c>
      <c r="E190">
        <v>2.9099999999999998E-3</v>
      </c>
      <c r="F190">
        <f t="shared" si="26"/>
        <v>0</v>
      </c>
      <c r="G190">
        <f t="shared" si="27"/>
        <v>0</v>
      </c>
      <c r="H190">
        <f t="shared" si="28"/>
        <v>0</v>
      </c>
      <c r="I190">
        <v>1</v>
      </c>
      <c r="J190" t="e">
        <f t="shared" si="29"/>
        <v>#NUM!</v>
      </c>
      <c r="K190">
        <f t="shared" si="30"/>
        <v>-1.2217251517752175</v>
      </c>
      <c r="L190">
        <v>1</v>
      </c>
      <c r="M190" t="e">
        <f t="shared" si="31"/>
        <v>#NUM!</v>
      </c>
      <c r="N190">
        <f t="shared" si="32"/>
        <v>0</v>
      </c>
      <c r="O190">
        <f t="shared" si="33"/>
        <v>0</v>
      </c>
      <c r="P190" t="e">
        <f t="shared" si="34"/>
        <v>#NUM!</v>
      </c>
    </row>
    <row r="191" spans="3:16" x14ac:dyDescent="0.3">
      <c r="C191">
        <f t="shared" si="25"/>
        <v>0</v>
      </c>
      <c r="D191">
        <v>1.5900000000000001E-2</v>
      </c>
      <c r="E191">
        <v>2.9099999999999998E-3</v>
      </c>
      <c r="F191">
        <f t="shared" si="26"/>
        <v>0</v>
      </c>
      <c r="G191">
        <f t="shared" si="27"/>
        <v>0</v>
      </c>
      <c r="H191">
        <f t="shared" si="28"/>
        <v>0</v>
      </c>
      <c r="I191">
        <v>1</v>
      </c>
      <c r="J191" t="e">
        <f t="shared" si="29"/>
        <v>#NUM!</v>
      </c>
      <c r="K191">
        <f t="shared" si="30"/>
        <v>-1.2217251517752175</v>
      </c>
      <c r="L191">
        <v>1</v>
      </c>
      <c r="M191" t="e">
        <f t="shared" si="31"/>
        <v>#NUM!</v>
      </c>
      <c r="N191">
        <f t="shared" si="32"/>
        <v>0</v>
      </c>
      <c r="O191">
        <f t="shared" si="33"/>
        <v>0</v>
      </c>
      <c r="P191" t="e">
        <f t="shared" si="34"/>
        <v>#NUM!</v>
      </c>
    </row>
    <row r="192" spans="3:16" x14ac:dyDescent="0.3">
      <c r="C192">
        <f t="shared" si="25"/>
        <v>0</v>
      </c>
      <c r="D192">
        <v>1.5900000000000001E-2</v>
      </c>
      <c r="E192">
        <v>2.9099999999999998E-3</v>
      </c>
      <c r="F192">
        <f t="shared" si="26"/>
        <v>0</v>
      </c>
      <c r="G192">
        <f t="shared" si="27"/>
        <v>0</v>
      </c>
      <c r="H192">
        <f t="shared" si="28"/>
        <v>0</v>
      </c>
      <c r="I192">
        <v>1</v>
      </c>
      <c r="J192" t="e">
        <f t="shared" si="29"/>
        <v>#NUM!</v>
      </c>
      <c r="K192">
        <f t="shared" si="30"/>
        <v>-1.2217251517752175</v>
      </c>
      <c r="L192">
        <v>1</v>
      </c>
      <c r="M192" t="e">
        <f t="shared" si="31"/>
        <v>#NUM!</v>
      </c>
      <c r="N192">
        <f t="shared" si="32"/>
        <v>0</v>
      </c>
      <c r="O192">
        <f t="shared" si="33"/>
        <v>0</v>
      </c>
      <c r="P192" t="e">
        <f t="shared" si="34"/>
        <v>#NUM!</v>
      </c>
    </row>
    <row r="193" spans="3:16" x14ac:dyDescent="0.3">
      <c r="C193">
        <f t="shared" si="25"/>
        <v>0</v>
      </c>
      <c r="D193">
        <v>1.5900000000000001E-2</v>
      </c>
      <c r="E193">
        <v>2.9099999999999998E-3</v>
      </c>
      <c r="F193">
        <f t="shared" si="26"/>
        <v>0</v>
      </c>
      <c r="G193">
        <f t="shared" si="27"/>
        <v>0</v>
      </c>
      <c r="H193">
        <f t="shared" si="28"/>
        <v>0</v>
      </c>
      <c r="I193">
        <v>1</v>
      </c>
      <c r="J193" t="e">
        <f t="shared" si="29"/>
        <v>#NUM!</v>
      </c>
      <c r="K193">
        <f t="shared" si="30"/>
        <v>-1.2217251517752175</v>
      </c>
      <c r="L193">
        <v>1</v>
      </c>
      <c r="M193" t="e">
        <f t="shared" si="31"/>
        <v>#NUM!</v>
      </c>
      <c r="N193">
        <f t="shared" si="32"/>
        <v>0</v>
      </c>
      <c r="O193">
        <f t="shared" si="33"/>
        <v>0</v>
      </c>
      <c r="P193" t="e">
        <f t="shared" si="34"/>
        <v>#NUM!</v>
      </c>
    </row>
    <row r="194" spans="3:16" x14ac:dyDescent="0.3">
      <c r="C194">
        <f t="shared" si="25"/>
        <v>0</v>
      </c>
      <c r="D194">
        <v>1.5900000000000001E-2</v>
      </c>
      <c r="E194">
        <v>2.9099999999999998E-3</v>
      </c>
      <c r="F194">
        <f t="shared" si="26"/>
        <v>0</v>
      </c>
      <c r="G194">
        <f t="shared" si="27"/>
        <v>0</v>
      </c>
      <c r="H194">
        <f t="shared" si="28"/>
        <v>0</v>
      </c>
      <c r="I194">
        <v>1</v>
      </c>
      <c r="J194" t="e">
        <f t="shared" si="29"/>
        <v>#NUM!</v>
      </c>
      <c r="K194">
        <f t="shared" si="30"/>
        <v>-1.2217251517752175</v>
      </c>
      <c r="L194">
        <v>1</v>
      </c>
      <c r="M194" t="e">
        <f t="shared" si="31"/>
        <v>#NUM!</v>
      </c>
      <c r="N194">
        <f t="shared" si="32"/>
        <v>0</v>
      </c>
      <c r="O194">
        <f t="shared" si="33"/>
        <v>0</v>
      </c>
      <c r="P194" t="e">
        <f t="shared" si="34"/>
        <v>#NUM!</v>
      </c>
    </row>
    <row r="195" spans="3:16" x14ac:dyDescent="0.3">
      <c r="C195">
        <f t="shared" si="25"/>
        <v>0</v>
      </c>
      <c r="D195">
        <v>1.5900000000000001E-2</v>
      </c>
      <c r="E195">
        <v>2.9099999999999998E-3</v>
      </c>
      <c r="F195">
        <f t="shared" si="26"/>
        <v>0</v>
      </c>
      <c r="G195">
        <f t="shared" si="27"/>
        <v>0</v>
      </c>
      <c r="H195">
        <f t="shared" si="28"/>
        <v>0</v>
      </c>
      <c r="I195">
        <v>1</v>
      </c>
      <c r="J195" t="e">
        <f t="shared" si="29"/>
        <v>#NUM!</v>
      </c>
      <c r="K195">
        <f t="shared" si="30"/>
        <v>-1.2217251517752175</v>
      </c>
      <c r="L195">
        <v>1</v>
      </c>
      <c r="M195" t="e">
        <f t="shared" si="31"/>
        <v>#NUM!</v>
      </c>
      <c r="N195">
        <f t="shared" si="32"/>
        <v>0</v>
      </c>
      <c r="O195">
        <f t="shared" si="33"/>
        <v>0</v>
      </c>
      <c r="P195" t="e">
        <f t="shared" si="34"/>
        <v>#NUM!</v>
      </c>
    </row>
    <row r="196" spans="3:16" x14ac:dyDescent="0.3">
      <c r="C196">
        <f t="shared" ref="C196:C259" si="36">A196*B196</f>
        <v>0</v>
      </c>
      <c r="D196">
        <v>1.5900000000000001E-2</v>
      </c>
      <c r="E196">
        <v>2.9099999999999998E-3</v>
      </c>
      <c r="F196">
        <f t="shared" ref="F196:F259" si="37">A196*200</f>
        <v>0</v>
      </c>
      <c r="G196">
        <f t="shared" ref="G196:G259" si="38">-B196</f>
        <v>0</v>
      </c>
      <c r="H196">
        <f t="shared" ref="H196:H259" si="39">-C196*200</f>
        <v>0</v>
      </c>
      <c r="I196">
        <v>1</v>
      </c>
      <c r="J196" t="e">
        <f t="shared" ref="J196:J259" si="40">LN(F196/1000)</f>
        <v>#NUM!</v>
      </c>
      <c r="K196">
        <f t="shared" ref="K196:K259" si="41">((-G196)-$N$2)</f>
        <v>-1.2217251517752175</v>
      </c>
      <c r="L196">
        <v>1</v>
      </c>
      <c r="M196" t="e">
        <f t="shared" ref="M196:M259" si="42">-1*($S$4+($S$5*J196))</f>
        <v>#NUM!</v>
      </c>
      <c r="N196">
        <f t="shared" ref="N196:N259" si="43">D196*A196</f>
        <v>0</v>
      </c>
      <c r="O196">
        <f t="shared" ref="O196:O259" si="44">E196*A196</f>
        <v>0</v>
      </c>
      <c r="P196" t="e">
        <f t="shared" ref="P196:P259" si="45">-K196-M196-N196-O196</f>
        <v>#NUM!</v>
      </c>
    </row>
    <row r="197" spans="3:16" x14ac:dyDescent="0.3">
      <c r="C197">
        <f t="shared" si="36"/>
        <v>0</v>
      </c>
      <c r="D197">
        <v>1.5900000000000001E-2</v>
      </c>
      <c r="E197">
        <v>2.9099999999999998E-3</v>
      </c>
      <c r="F197">
        <f t="shared" si="37"/>
        <v>0</v>
      </c>
      <c r="G197">
        <f t="shared" si="38"/>
        <v>0</v>
      </c>
      <c r="H197">
        <f t="shared" si="39"/>
        <v>0</v>
      </c>
      <c r="I197">
        <v>1</v>
      </c>
      <c r="J197" t="e">
        <f t="shared" si="40"/>
        <v>#NUM!</v>
      </c>
      <c r="K197">
        <f t="shared" si="41"/>
        <v>-1.2217251517752175</v>
      </c>
      <c r="L197">
        <v>1</v>
      </c>
      <c r="M197" t="e">
        <f t="shared" si="42"/>
        <v>#NUM!</v>
      </c>
      <c r="N197">
        <f t="shared" si="43"/>
        <v>0</v>
      </c>
      <c r="O197">
        <f t="shared" si="44"/>
        <v>0</v>
      </c>
      <c r="P197" t="e">
        <f t="shared" si="45"/>
        <v>#NUM!</v>
      </c>
    </row>
    <row r="198" spans="3:16" x14ac:dyDescent="0.3">
      <c r="C198">
        <f t="shared" si="36"/>
        <v>0</v>
      </c>
      <c r="D198">
        <v>1.5900000000000001E-2</v>
      </c>
      <c r="E198">
        <v>2.9099999999999998E-3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v>1</v>
      </c>
      <c r="J198" t="e">
        <f t="shared" si="40"/>
        <v>#NUM!</v>
      </c>
      <c r="K198">
        <f t="shared" si="41"/>
        <v>-1.2217251517752175</v>
      </c>
      <c r="L198">
        <v>1</v>
      </c>
      <c r="M198" t="e">
        <f t="shared" si="42"/>
        <v>#NUM!</v>
      </c>
      <c r="N198">
        <f t="shared" si="43"/>
        <v>0</v>
      </c>
      <c r="O198">
        <f t="shared" si="44"/>
        <v>0</v>
      </c>
      <c r="P198" t="e">
        <f t="shared" si="45"/>
        <v>#NUM!</v>
      </c>
    </row>
    <row r="199" spans="3:16" x14ac:dyDescent="0.3">
      <c r="C199">
        <f t="shared" si="36"/>
        <v>0</v>
      </c>
      <c r="D199">
        <v>1.5900000000000001E-2</v>
      </c>
      <c r="E199">
        <v>2.9099999999999998E-3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v>1</v>
      </c>
      <c r="J199" t="e">
        <f t="shared" si="40"/>
        <v>#NUM!</v>
      </c>
      <c r="K199">
        <f t="shared" si="41"/>
        <v>-1.2217251517752175</v>
      </c>
      <c r="L199">
        <v>1</v>
      </c>
      <c r="M199" t="e">
        <f t="shared" si="42"/>
        <v>#NUM!</v>
      </c>
      <c r="N199">
        <f t="shared" si="43"/>
        <v>0</v>
      </c>
      <c r="O199">
        <f t="shared" si="44"/>
        <v>0</v>
      </c>
      <c r="P199" t="e">
        <f t="shared" si="45"/>
        <v>#NUM!</v>
      </c>
    </row>
    <row r="200" spans="3:16" x14ac:dyDescent="0.3">
      <c r="C200">
        <f t="shared" si="36"/>
        <v>0</v>
      </c>
      <c r="D200">
        <v>1.5900000000000001E-2</v>
      </c>
      <c r="E200">
        <v>2.9099999999999998E-3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v>1</v>
      </c>
      <c r="J200" t="e">
        <f t="shared" si="40"/>
        <v>#NUM!</v>
      </c>
      <c r="K200">
        <f t="shared" si="41"/>
        <v>-1.2217251517752175</v>
      </c>
      <c r="L200">
        <v>1</v>
      </c>
      <c r="M200" t="e">
        <f t="shared" si="42"/>
        <v>#NUM!</v>
      </c>
      <c r="N200">
        <f t="shared" si="43"/>
        <v>0</v>
      </c>
      <c r="O200">
        <f t="shared" si="44"/>
        <v>0</v>
      </c>
      <c r="P200" t="e">
        <f t="shared" si="45"/>
        <v>#NUM!</v>
      </c>
    </row>
    <row r="201" spans="3:16" x14ac:dyDescent="0.3">
      <c r="C201">
        <f t="shared" si="36"/>
        <v>0</v>
      </c>
      <c r="D201">
        <v>1.5900000000000001E-2</v>
      </c>
      <c r="E201">
        <v>2.9099999999999998E-3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v>1</v>
      </c>
      <c r="J201" t="e">
        <f t="shared" si="40"/>
        <v>#NUM!</v>
      </c>
      <c r="K201">
        <f t="shared" si="41"/>
        <v>-1.2217251517752175</v>
      </c>
      <c r="L201">
        <v>1</v>
      </c>
      <c r="M201" t="e">
        <f t="shared" si="42"/>
        <v>#NUM!</v>
      </c>
      <c r="N201">
        <f t="shared" si="43"/>
        <v>0</v>
      </c>
      <c r="O201">
        <f t="shared" si="44"/>
        <v>0</v>
      </c>
      <c r="P201" t="e">
        <f t="shared" si="45"/>
        <v>#NUM!</v>
      </c>
    </row>
    <row r="202" spans="3:16" x14ac:dyDescent="0.3">
      <c r="C202">
        <f t="shared" si="36"/>
        <v>0</v>
      </c>
      <c r="D202">
        <v>1.5900000000000001E-2</v>
      </c>
      <c r="E202">
        <v>2.9099999999999998E-3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v>1</v>
      </c>
      <c r="J202" t="e">
        <f t="shared" si="40"/>
        <v>#NUM!</v>
      </c>
      <c r="K202">
        <f t="shared" si="41"/>
        <v>-1.2217251517752175</v>
      </c>
      <c r="L202">
        <v>1</v>
      </c>
      <c r="M202" t="e">
        <f t="shared" si="42"/>
        <v>#NUM!</v>
      </c>
      <c r="N202">
        <f t="shared" si="43"/>
        <v>0</v>
      </c>
      <c r="O202">
        <f t="shared" si="44"/>
        <v>0</v>
      </c>
      <c r="P202" t="e">
        <f t="shared" si="45"/>
        <v>#NUM!</v>
      </c>
    </row>
    <row r="203" spans="3:16" x14ac:dyDescent="0.3">
      <c r="C203">
        <f t="shared" si="36"/>
        <v>0</v>
      </c>
      <c r="D203">
        <v>1.5900000000000001E-2</v>
      </c>
      <c r="E203">
        <v>2.9099999999999998E-3</v>
      </c>
      <c r="F203">
        <f t="shared" si="37"/>
        <v>0</v>
      </c>
      <c r="G203">
        <f t="shared" si="38"/>
        <v>0</v>
      </c>
      <c r="H203">
        <f t="shared" si="39"/>
        <v>0</v>
      </c>
      <c r="I203">
        <v>1</v>
      </c>
      <c r="J203" t="e">
        <f t="shared" si="40"/>
        <v>#NUM!</v>
      </c>
      <c r="K203">
        <f t="shared" si="41"/>
        <v>-1.2217251517752175</v>
      </c>
      <c r="L203">
        <v>1</v>
      </c>
      <c r="M203" t="e">
        <f t="shared" si="42"/>
        <v>#NUM!</v>
      </c>
      <c r="N203">
        <f t="shared" si="43"/>
        <v>0</v>
      </c>
      <c r="O203">
        <f t="shared" si="44"/>
        <v>0</v>
      </c>
      <c r="P203" t="e">
        <f t="shared" si="45"/>
        <v>#NUM!</v>
      </c>
    </row>
    <row r="204" spans="3:16" x14ac:dyDescent="0.3">
      <c r="C204">
        <f t="shared" si="36"/>
        <v>0</v>
      </c>
      <c r="D204">
        <v>1.5900000000000001E-2</v>
      </c>
      <c r="E204">
        <v>2.9099999999999998E-3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v>1</v>
      </c>
      <c r="J204" t="e">
        <f t="shared" si="40"/>
        <v>#NUM!</v>
      </c>
      <c r="K204">
        <f t="shared" si="41"/>
        <v>-1.2217251517752175</v>
      </c>
      <c r="L204">
        <v>1</v>
      </c>
      <c r="M204" t="e">
        <f t="shared" si="42"/>
        <v>#NUM!</v>
      </c>
      <c r="N204">
        <f t="shared" si="43"/>
        <v>0</v>
      </c>
      <c r="O204">
        <f t="shared" si="44"/>
        <v>0</v>
      </c>
      <c r="P204" t="e">
        <f t="shared" si="45"/>
        <v>#NUM!</v>
      </c>
    </row>
    <row r="205" spans="3:16" x14ac:dyDescent="0.3">
      <c r="C205">
        <f t="shared" si="36"/>
        <v>0</v>
      </c>
      <c r="D205">
        <v>1.5900000000000001E-2</v>
      </c>
      <c r="E205">
        <v>2.9099999999999998E-3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v>1</v>
      </c>
      <c r="J205" t="e">
        <f t="shared" si="40"/>
        <v>#NUM!</v>
      </c>
      <c r="K205">
        <f t="shared" si="41"/>
        <v>-1.2217251517752175</v>
      </c>
      <c r="L205">
        <v>1</v>
      </c>
      <c r="M205" t="e">
        <f t="shared" si="42"/>
        <v>#NUM!</v>
      </c>
      <c r="N205">
        <f t="shared" si="43"/>
        <v>0</v>
      </c>
      <c r="O205">
        <f t="shared" si="44"/>
        <v>0</v>
      </c>
      <c r="P205" t="e">
        <f t="shared" si="45"/>
        <v>#NUM!</v>
      </c>
    </row>
    <row r="206" spans="3:16" x14ac:dyDescent="0.3">
      <c r="C206">
        <f t="shared" si="36"/>
        <v>0</v>
      </c>
      <c r="D206">
        <v>1.5900000000000001E-2</v>
      </c>
      <c r="E206">
        <v>2.9099999999999998E-3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v>1</v>
      </c>
      <c r="J206" t="e">
        <f t="shared" si="40"/>
        <v>#NUM!</v>
      </c>
      <c r="K206">
        <f t="shared" si="41"/>
        <v>-1.2217251517752175</v>
      </c>
      <c r="L206">
        <v>1</v>
      </c>
      <c r="M206" t="e">
        <f t="shared" si="42"/>
        <v>#NUM!</v>
      </c>
      <c r="N206">
        <f t="shared" si="43"/>
        <v>0</v>
      </c>
      <c r="O206">
        <f t="shared" si="44"/>
        <v>0</v>
      </c>
      <c r="P206" t="e">
        <f t="shared" si="45"/>
        <v>#NUM!</v>
      </c>
    </row>
    <row r="207" spans="3:16" x14ac:dyDescent="0.3">
      <c r="C207">
        <f t="shared" si="36"/>
        <v>0</v>
      </c>
      <c r="D207">
        <v>1.5900000000000001E-2</v>
      </c>
      <c r="E207">
        <v>2.9099999999999998E-3</v>
      </c>
      <c r="F207">
        <f t="shared" si="37"/>
        <v>0</v>
      </c>
      <c r="G207">
        <f t="shared" si="38"/>
        <v>0</v>
      </c>
      <c r="H207">
        <f t="shared" si="39"/>
        <v>0</v>
      </c>
      <c r="I207">
        <v>1</v>
      </c>
      <c r="J207" t="e">
        <f t="shared" si="40"/>
        <v>#NUM!</v>
      </c>
      <c r="K207">
        <f t="shared" si="41"/>
        <v>-1.2217251517752175</v>
      </c>
      <c r="L207">
        <v>1</v>
      </c>
      <c r="M207" t="e">
        <f t="shared" si="42"/>
        <v>#NUM!</v>
      </c>
      <c r="N207">
        <f t="shared" si="43"/>
        <v>0</v>
      </c>
      <c r="O207">
        <f t="shared" si="44"/>
        <v>0</v>
      </c>
      <c r="P207" t="e">
        <f t="shared" si="45"/>
        <v>#NUM!</v>
      </c>
    </row>
    <row r="208" spans="3:16" x14ac:dyDescent="0.3">
      <c r="C208">
        <f t="shared" si="36"/>
        <v>0</v>
      </c>
      <c r="D208">
        <v>1.5900000000000001E-2</v>
      </c>
      <c r="E208">
        <v>2.9099999999999998E-3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v>1</v>
      </c>
      <c r="J208" t="e">
        <f t="shared" si="40"/>
        <v>#NUM!</v>
      </c>
      <c r="K208">
        <f t="shared" si="41"/>
        <v>-1.2217251517752175</v>
      </c>
      <c r="L208">
        <v>1</v>
      </c>
      <c r="M208" t="e">
        <f t="shared" si="42"/>
        <v>#NUM!</v>
      </c>
      <c r="N208">
        <f t="shared" si="43"/>
        <v>0</v>
      </c>
      <c r="O208">
        <f t="shared" si="44"/>
        <v>0</v>
      </c>
      <c r="P208" t="e">
        <f t="shared" si="45"/>
        <v>#NUM!</v>
      </c>
    </row>
    <row r="209" spans="3:16" x14ac:dyDescent="0.3">
      <c r="C209">
        <f t="shared" si="36"/>
        <v>0</v>
      </c>
      <c r="D209">
        <v>1.5900000000000001E-2</v>
      </c>
      <c r="E209">
        <v>2.9099999999999998E-3</v>
      </c>
      <c r="F209">
        <f t="shared" si="37"/>
        <v>0</v>
      </c>
      <c r="G209">
        <f t="shared" si="38"/>
        <v>0</v>
      </c>
      <c r="H209">
        <f t="shared" si="39"/>
        <v>0</v>
      </c>
      <c r="I209">
        <v>1</v>
      </c>
      <c r="J209" t="e">
        <f t="shared" si="40"/>
        <v>#NUM!</v>
      </c>
      <c r="K209">
        <f t="shared" si="41"/>
        <v>-1.2217251517752175</v>
      </c>
      <c r="L209">
        <v>1</v>
      </c>
      <c r="M209" t="e">
        <f t="shared" si="42"/>
        <v>#NUM!</v>
      </c>
      <c r="N209">
        <f t="shared" si="43"/>
        <v>0</v>
      </c>
      <c r="O209">
        <f t="shared" si="44"/>
        <v>0</v>
      </c>
      <c r="P209" t="e">
        <f t="shared" si="45"/>
        <v>#NUM!</v>
      </c>
    </row>
    <row r="210" spans="3:16" x14ac:dyDescent="0.3">
      <c r="C210">
        <f t="shared" si="36"/>
        <v>0</v>
      </c>
      <c r="D210">
        <v>1.5900000000000001E-2</v>
      </c>
      <c r="E210">
        <v>2.9099999999999998E-3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v>1</v>
      </c>
      <c r="J210" t="e">
        <f t="shared" si="40"/>
        <v>#NUM!</v>
      </c>
      <c r="K210">
        <f t="shared" si="41"/>
        <v>-1.2217251517752175</v>
      </c>
      <c r="L210">
        <v>1</v>
      </c>
      <c r="M210" t="e">
        <f t="shared" si="42"/>
        <v>#NUM!</v>
      </c>
      <c r="N210">
        <f t="shared" si="43"/>
        <v>0</v>
      </c>
      <c r="O210">
        <f t="shared" si="44"/>
        <v>0</v>
      </c>
      <c r="P210" t="e">
        <f t="shared" si="45"/>
        <v>#NUM!</v>
      </c>
    </row>
    <row r="211" spans="3:16" x14ac:dyDescent="0.3">
      <c r="C211">
        <f t="shared" si="36"/>
        <v>0</v>
      </c>
      <c r="D211">
        <v>1.5900000000000001E-2</v>
      </c>
      <c r="E211">
        <v>2.9099999999999998E-3</v>
      </c>
      <c r="F211">
        <f t="shared" si="37"/>
        <v>0</v>
      </c>
      <c r="G211">
        <f t="shared" si="38"/>
        <v>0</v>
      </c>
      <c r="H211">
        <f t="shared" si="39"/>
        <v>0</v>
      </c>
      <c r="I211">
        <v>1</v>
      </c>
      <c r="J211" t="e">
        <f t="shared" si="40"/>
        <v>#NUM!</v>
      </c>
      <c r="K211">
        <f t="shared" si="41"/>
        <v>-1.2217251517752175</v>
      </c>
      <c r="L211">
        <v>1</v>
      </c>
      <c r="M211" t="e">
        <f t="shared" si="42"/>
        <v>#NUM!</v>
      </c>
      <c r="N211">
        <f t="shared" si="43"/>
        <v>0</v>
      </c>
      <c r="O211">
        <f t="shared" si="44"/>
        <v>0</v>
      </c>
      <c r="P211" t="e">
        <f t="shared" si="45"/>
        <v>#NUM!</v>
      </c>
    </row>
    <row r="212" spans="3:16" x14ac:dyDescent="0.3">
      <c r="C212">
        <f t="shared" si="36"/>
        <v>0</v>
      </c>
      <c r="D212">
        <v>1.5900000000000001E-2</v>
      </c>
      <c r="E212">
        <v>2.9099999999999998E-3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v>1</v>
      </c>
      <c r="J212" t="e">
        <f t="shared" si="40"/>
        <v>#NUM!</v>
      </c>
      <c r="K212">
        <f t="shared" si="41"/>
        <v>-1.2217251517752175</v>
      </c>
      <c r="L212">
        <v>1</v>
      </c>
      <c r="M212" t="e">
        <f t="shared" si="42"/>
        <v>#NUM!</v>
      </c>
      <c r="N212">
        <f t="shared" si="43"/>
        <v>0</v>
      </c>
      <c r="O212">
        <f t="shared" si="44"/>
        <v>0</v>
      </c>
      <c r="P212" t="e">
        <f t="shared" si="45"/>
        <v>#NUM!</v>
      </c>
    </row>
    <row r="213" spans="3:16" x14ac:dyDescent="0.3">
      <c r="C213">
        <f t="shared" si="36"/>
        <v>0</v>
      </c>
      <c r="D213">
        <v>1.5900000000000001E-2</v>
      </c>
      <c r="E213">
        <v>2.9099999999999998E-3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v>1</v>
      </c>
      <c r="J213" t="e">
        <f t="shared" si="40"/>
        <v>#NUM!</v>
      </c>
      <c r="K213">
        <f t="shared" si="41"/>
        <v>-1.2217251517752175</v>
      </c>
      <c r="L213">
        <v>1</v>
      </c>
      <c r="M213" t="e">
        <f t="shared" si="42"/>
        <v>#NUM!</v>
      </c>
      <c r="N213">
        <f t="shared" si="43"/>
        <v>0</v>
      </c>
      <c r="O213">
        <f t="shared" si="44"/>
        <v>0</v>
      </c>
      <c r="P213" t="e">
        <f t="shared" si="45"/>
        <v>#NUM!</v>
      </c>
    </row>
    <row r="214" spans="3:16" x14ac:dyDescent="0.3">
      <c r="C214">
        <f t="shared" si="36"/>
        <v>0</v>
      </c>
      <c r="D214">
        <v>1.5900000000000001E-2</v>
      </c>
      <c r="E214">
        <v>2.9099999999999998E-3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v>1</v>
      </c>
      <c r="J214" t="e">
        <f t="shared" si="40"/>
        <v>#NUM!</v>
      </c>
      <c r="K214">
        <f t="shared" si="41"/>
        <v>-1.2217251517752175</v>
      </c>
      <c r="L214">
        <v>1</v>
      </c>
      <c r="M214" t="e">
        <f t="shared" si="42"/>
        <v>#NUM!</v>
      </c>
      <c r="N214">
        <f t="shared" si="43"/>
        <v>0</v>
      </c>
      <c r="O214">
        <f t="shared" si="44"/>
        <v>0</v>
      </c>
      <c r="P214" t="e">
        <f t="shared" si="45"/>
        <v>#NUM!</v>
      </c>
    </row>
    <row r="215" spans="3:16" x14ac:dyDescent="0.3">
      <c r="C215">
        <f t="shared" si="36"/>
        <v>0</v>
      </c>
      <c r="D215">
        <v>1.5900000000000001E-2</v>
      </c>
      <c r="E215">
        <v>2.9099999999999998E-3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v>1</v>
      </c>
      <c r="J215" t="e">
        <f t="shared" si="40"/>
        <v>#NUM!</v>
      </c>
      <c r="K215">
        <f t="shared" si="41"/>
        <v>-1.2217251517752175</v>
      </c>
      <c r="L215">
        <v>1</v>
      </c>
      <c r="M215" t="e">
        <f t="shared" si="42"/>
        <v>#NUM!</v>
      </c>
      <c r="N215">
        <f t="shared" si="43"/>
        <v>0</v>
      </c>
      <c r="O215">
        <f t="shared" si="44"/>
        <v>0</v>
      </c>
      <c r="P215" t="e">
        <f t="shared" si="45"/>
        <v>#NUM!</v>
      </c>
    </row>
    <row r="216" spans="3:16" x14ac:dyDescent="0.3">
      <c r="C216">
        <f t="shared" si="36"/>
        <v>0</v>
      </c>
      <c r="D216">
        <v>1.5900000000000001E-2</v>
      </c>
      <c r="E216">
        <v>2.9099999999999998E-3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v>1</v>
      </c>
      <c r="J216" t="e">
        <f t="shared" si="40"/>
        <v>#NUM!</v>
      </c>
      <c r="K216">
        <f t="shared" si="41"/>
        <v>-1.2217251517752175</v>
      </c>
      <c r="L216">
        <v>1</v>
      </c>
      <c r="M216" t="e">
        <f t="shared" si="42"/>
        <v>#NUM!</v>
      </c>
      <c r="N216">
        <f t="shared" si="43"/>
        <v>0</v>
      </c>
      <c r="O216">
        <f t="shared" si="44"/>
        <v>0</v>
      </c>
      <c r="P216" t="e">
        <f t="shared" si="45"/>
        <v>#NUM!</v>
      </c>
    </row>
    <row r="217" spans="3:16" x14ac:dyDescent="0.3">
      <c r="C217">
        <f t="shared" si="36"/>
        <v>0</v>
      </c>
      <c r="D217">
        <v>1.5900000000000001E-2</v>
      </c>
      <c r="E217">
        <v>2.9099999999999998E-3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v>1</v>
      </c>
      <c r="J217" t="e">
        <f t="shared" si="40"/>
        <v>#NUM!</v>
      </c>
      <c r="K217">
        <f t="shared" si="41"/>
        <v>-1.2217251517752175</v>
      </c>
      <c r="L217">
        <v>1</v>
      </c>
      <c r="M217" t="e">
        <f t="shared" si="42"/>
        <v>#NUM!</v>
      </c>
      <c r="N217">
        <f t="shared" si="43"/>
        <v>0</v>
      </c>
      <c r="O217">
        <f t="shared" si="44"/>
        <v>0</v>
      </c>
      <c r="P217" t="e">
        <f t="shared" si="45"/>
        <v>#NUM!</v>
      </c>
    </row>
    <row r="218" spans="3:16" x14ac:dyDescent="0.3">
      <c r="C218">
        <f t="shared" si="36"/>
        <v>0</v>
      </c>
      <c r="D218">
        <v>1.5900000000000001E-2</v>
      </c>
      <c r="E218">
        <v>2.9099999999999998E-3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v>1</v>
      </c>
      <c r="J218" t="e">
        <f t="shared" si="40"/>
        <v>#NUM!</v>
      </c>
      <c r="K218">
        <f t="shared" si="41"/>
        <v>-1.2217251517752175</v>
      </c>
      <c r="L218">
        <v>1</v>
      </c>
      <c r="M218" t="e">
        <f t="shared" si="42"/>
        <v>#NUM!</v>
      </c>
      <c r="N218">
        <f t="shared" si="43"/>
        <v>0</v>
      </c>
      <c r="O218">
        <f t="shared" si="44"/>
        <v>0</v>
      </c>
      <c r="P218" t="e">
        <f t="shared" si="45"/>
        <v>#NUM!</v>
      </c>
    </row>
    <row r="219" spans="3:16" x14ac:dyDescent="0.3">
      <c r="C219">
        <f t="shared" si="36"/>
        <v>0</v>
      </c>
      <c r="D219">
        <v>1.5900000000000001E-2</v>
      </c>
      <c r="E219">
        <v>2.9099999999999998E-3</v>
      </c>
      <c r="F219">
        <f t="shared" si="37"/>
        <v>0</v>
      </c>
      <c r="G219">
        <f t="shared" si="38"/>
        <v>0</v>
      </c>
      <c r="H219">
        <f t="shared" si="39"/>
        <v>0</v>
      </c>
      <c r="I219">
        <v>1</v>
      </c>
      <c r="J219" t="e">
        <f t="shared" si="40"/>
        <v>#NUM!</v>
      </c>
      <c r="K219">
        <f t="shared" si="41"/>
        <v>-1.2217251517752175</v>
      </c>
      <c r="L219">
        <v>1</v>
      </c>
      <c r="M219" t="e">
        <f t="shared" si="42"/>
        <v>#NUM!</v>
      </c>
      <c r="N219">
        <f t="shared" si="43"/>
        <v>0</v>
      </c>
      <c r="O219">
        <f t="shared" si="44"/>
        <v>0</v>
      </c>
      <c r="P219" t="e">
        <f t="shared" si="45"/>
        <v>#NUM!</v>
      </c>
    </row>
    <row r="220" spans="3:16" x14ac:dyDescent="0.3">
      <c r="C220">
        <f t="shared" si="36"/>
        <v>0</v>
      </c>
      <c r="D220">
        <v>1.5900000000000001E-2</v>
      </c>
      <c r="E220">
        <v>2.9099999999999998E-3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v>1</v>
      </c>
      <c r="J220" t="e">
        <f t="shared" si="40"/>
        <v>#NUM!</v>
      </c>
      <c r="K220">
        <f t="shared" si="41"/>
        <v>-1.2217251517752175</v>
      </c>
      <c r="L220">
        <v>1</v>
      </c>
      <c r="M220" t="e">
        <f t="shared" si="42"/>
        <v>#NUM!</v>
      </c>
      <c r="N220">
        <f t="shared" si="43"/>
        <v>0</v>
      </c>
      <c r="O220">
        <f t="shared" si="44"/>
        <v>0</v>
      </c>
      <c r="P220" t="e">
        <f t="shared" si="45"/>
        <v>#NUM!</v>
      </c>
    </row>
    <row r="221" spans="3:16" x14ac:dyDescent="0.3">
      <c r="C221">
        <f t="shared" si="36"/>
        <v>0</v>
      </c>
      <c r="D221">
        <v>1.5900000000000001E-2</v>
      </c>
      <c r="E221">
        <v>2.9099999999999998E-3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v>1</v>
      </c>
      <c r="J221" t="e">
        <f t="shared" si="40"/>
        <v>#NUM!</v>
      </c>
      <c r="K221">
        <f t="shared" si="41"/>
        <v>-1.2217251517752175</v>
      </c>
      <c r="L221">
        <v>1</v>
      </c>
      <c r="M221" t="e">
        <f t="shared" si="42"/>
        <v>#NUM!</v>
      </c>
      <c r="N221">
        <f t="shared" si="43"/>
        <v>0</v>
      </c>
      <c r="O221">
        <f t="shared" si="44"/>
        <v>0</v>
      </c>
      <c r="P221" t="e">
        <f t="shared" si="45"/>
        <v>#NUM!</v>
      </c>
    </row>
    <row r="222" spans="3:16" x14ac:dyDescent="0.3">
      <c r="C222">
        <f t="shared" si="36"/>
        <v>0</v>
      </c>
      <c r="D222">
        <v>1.5900000000000001E-2</v>
      </c>
      <c r="E222">
        <v>2.9099999999999998E-3</v>
      </c>
      <c r="F222">
        <f t="shared" si="37"/>
        <v>0</v>
      </c>
      <c r="G222">
        <f t="shared" si="38"/>
        <v>0</v>
      </c>
      <c r="H222">
        <f t="shared" si="39"/>
        <v>0</v>
      </c>
      <c r="I222">
        <v>1</v>
      </c>
      <c r="J222" t="e">
        <f t="shared" si="40"/>
        <v>#NUM!</v>
      </c>
      <c r="K222">
        <f t="shared" si="41"/>
        <v>-1.2217251517752175</v>
      </c>
      <c r="L222">
        <v>1</v>
      </c>
      <c r="M222" t="e">
        <f t="shared" si="42"/>
        <v>#NUM!</v>
      </c>
      <c r="N222">
        <f t="shared" si="43"/>
        <v>0</v>
      </c>
      <c r="O222">
        <f t="shared" si="44"/>
        <v>0</v>
      </c>
      <c r="P222" t="e">
        <f t="shared" si="45"/>
        <v>#NUM!</v>
      </c>
    </row>
    <row r="223" spans="3:16" x14ac:dyDescent="0.3">
      <c r="C223">
        <f t="shared" si="36"/>
        <v>0</v>
      </c>
      <c r="D223">
        <v>1.5900000000000001E-2</v>
      </c>
      <c r="E223">
        <v>2.9099999999999998E-3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v>1</v>
      </c>
      <c r="J223" t="e">
        <f t="shared" si="40"/>
        <v>#NUM!</v>
      </c>
      <c r="K223">
        <f t="shared" si="41"/>
        <v>-1.2217251517752175</v>
      </c>
      <c r="L223">
        <v>1</v>
      </c>
      <c r="M223" t="e">
        <f t="shared" si="42"/>
        <v>#NUM!</v>
      </c>
      <c r="N223">
        <f t="shared" si="43"/>
        <v>0</v>
      </c>
      <c r="O223">
        <f t="shared" si="44"/>
        <v>0</v>
      </c>
      <c r="P223" t="e">
        <f t="shared" si="45"/>
        <v>#NUM!</v>
      </c>
    </row>
    <row r="224" spans="3:16" x14ac:dyDescent="0.3">
      <c r="C224">
        <f t="shared" si="36"/>
        <v>0</v>
      </c>
      <c r="D224">
        <v>1.5900000000000001E-2</v>
      </c>
      <c r="E224">
        <v>2.9099999999999998E-3</v>
      </c>
      <c r="F224">
        <f t="shared" si="37"/>
        <v>0</v>
      </c>
      <c r="G224">
        <f t="shared" si="38"/>
        <v>0</v>
      </c>
      <c r="H224">
        <f t="shared" si="39"/>
        <v>0</v>
      </c>
      <c r="I224">
        <v>1</v>
      </c>
      <c r="J224" t="e">
        <f t="shared" si="40"/>
        <v>#NUM!</v>
      </c>
      <c r="K224">
        <f t="shared" si="41"/>
        <v>-1.2217251517752175</v>
      </c>
      <c r="L224">
        <v>1</v>
      </c>
      <c r="M224" t="e">
        <f t="shared" si="42"/>
        <v>#NUM!</v>
      </c>
      <c r="N224">
        <f t="shared" si="43"/>
        <v>0</v>
      </c>
      <c r="O224">
        <f t="shared" si="44"/>
        <v>0</v>
      </c>
      <c r="P224" t="e">
        <f t="shared" si="45"/>
        <v>#NUM!</v>
      </c>
    </row>
    <row r="225" spans="3:18" x14ac:dyDescent="0.3">
      <c r="C225">
        <f t="shared" si="36"/>
        <v>0</v>
      </c>
      <c r="D225">
        <v>1.5900000000000001E-2</v>
      </c>
      <c r="E225">
        <v>2.9099999999999998E-3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v>1</v>
      </c>
      <c r="J225" t="e">
        <f t="shared" si="40"/>
        <v>#NUM!</v>
      </c>
      <c r="K225">
        <f t="shared" si="41"/>
        <v>-1.2217251517752175</v>
      </c>
      <c r="L225">
        <v>1</v>
      </c>
      <c r="M225" t="e">
        <f t="shared" si="42"/>
        <v>#NUM!</v>
      </c>
      <c r="N225">
        <f t="shared" si="43"/>
        <v>0</v>
      </c>
      <c r="O225">
        <f t="shared" si="44"/>
        <v>0</v>
      </c>
      <c r="P225" t="e">
        <f t="shared" si="45"/>
        <v>#NUM!</v>
      </c>
      <c r="R225" t="e">
        <f>O225+N225+M225</f>
        <v>#NUM!</v>
      </c>
    </row>
    <row r="226" spans="3:18" x14ac:dyDescent="0.3">
      <c r="C226">
        <f t="shared" si="36"/>
        <v>0</v>
      </c>
      <c r="D226">
        <v>1.5900000000000001E-2</v>
      </c>
      <c r="E226">
        <v>2.9099999999999998E-3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v>1</v>
      </c>
      <c r="J226" t="e">
        <f t="shared" si="40"/>
        <v>#NUM!</v>
      </c>
      <c r="K226">
        <f t="shared" si="41"/>
        <v>-1.2217251517752175</v>
      </c>
      <c r="L226">
        <v>1</v>
      </c>
      <c r="M226" t="e">
        <f t="shared" si="42"/>
        <v>#NUM!</v>
      </c>
      <c r="N226">
        <f t="shared" si="43"/>
        <v>0</v>
      </c>
      <c r="O226">
        <f t="shared" si="44"/>
        <v>0</v>
      </c>
      <c r="P226" t="e">
        <f t="shared" si="45"/>
        <v>#NUM!</v>
      </c>
    </row>
    <row r="227" spans="3:18" x14ac:dyDescent="0.3">
      <c r="C227">
        <f t="shared" si="36"/>
        <v>0</v>
      </c>
      <c r="D227">
        <v>1.5900000000000001E-2</v>
      </c>
      <c r="E227">
        <v>2.9099999999999998E-3</v>
      </c>
      <c r="F227">
        <f t="shared" si="37"/>
        <v>0</v>
      </c>
      <c r="G227">
        <f t="shared" si="38"/>
        <v>0</v>
      </c>
      <c r="H227">
        <f t="shared" si="39"/>
        <v>0</v>
      </c>
      <c r="I227">
        <v>1</v>
      </c>
      <c r="J227" t="e">
        <f t="shared" si="40"/>
        <v>#NUM!</v>
      </c>
      <c r="K227">
        <f t="shared" si="41"/>
        <v>-1.2217251517752175</v>
      </c>
      <c r="L227">
        <v>1</v>
      </c>
      <c r="M227" t="e">
        <f t="shared" si="42"/>
        <v>#NUM!</v>
      </c>
      <c r="N227">
        <f t="shared" si="43"/>
        <v>0</v>
      </c>
      <c r="O227">
        <f t="shared" si="44"/>
        <v>0</v>
      </c>
      <c r="P227" t="e">
        <f t="shared" si="45"/>
        <v>#NUM!</v>
      </c>
    </row>
    <row r="228" spans="3:18" x14ac:dyDescent="0.3">
      <c r="C228">
        <f t="shared" si="36"/>
        <v>0</v>
      </c>
      <c r="D228">
        <v>1.5900000000000001E-2</v>
      </c>
      <c r="E228">
        <v>2.9099999999999998E-3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v>1</v>
      </c>
      <c r="J228" t="e">
        <f t="shared" si="40"/>
        <v>#NUM!</v>
      </c>
      <c r="K228">
        <f t="shared" si="41"/>
        <v>-1.2217251517752175</v>
      </c>
      <c r="L228">
        <v>1</v>
      </c>
      <c r="M228" t="e">
        <f t="shared" si="42"/>
        <v>#NUM!</v>
      </c>
      <c r="N228">
        <f t="shared" si="43"/>
        <v>0</v>
      </c>
      <c r="O228">
        <f t="shared" si="44"/>
        <v>0</v>
      </c>
      <c r="P228" t="e">
        <f t="shared" si="45"/>
        <v>#NUM!</v>
      </c>
    </row>
    <row r="229" spans="3:18" x14ac:dyDescent="0.3">
      <c r="C229">
        <f t="shared" si="36"/>
        <v>0</v>
      </c>
      <c r="D229">
        <v>1.5900000000000001E-2</v>
      </c>
      <c r="E229">
        <v>2.9099999999999998E-3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v>1</v>
      </c>
      <c r="J229" t="e">
        <f t="shared" si="40"/>
        <v>#NUM!</v>
      </c>
      <c r="K229">
        <f t="shared" si="41"/>
        <v>-1.2217251517752175</v>
      </c>
      <c r="L229">
        <v>1</v>
      </c>
      <c r="M229" t="e">
        <f t="shared" si="42"/>
        <v>#NUM!</v>
      </c>
      <c r="N229">
        <f t="shared" si="43"/>
        <v>0</v>
      </c>
      <c r="O229">
        <f t="shared" si="44"/>
        <v>0</v>
      </c>
      <c r="P229" t="e">
        <f t="shared" si="45"/>
        <v>#NUM!</v>
      </c>
    </row>
    <row r="230" spans="3:18" x14ac:dyDescent="0.3">
      <c r="C230">
        <f t="shared" si="36"/>
        <v>0</v>
      </c>
      <c r="D230">
        <v>1.5900000000000001E-2</v>
      </c>
      <c r="E230">
        <v>2.9099999999999998E-3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v>1</v>
      </c>
      <c r="J230" t="e">
        <f t="shared" si="40"/>
        <v>#NUM!</v>
      </c>
      <c r="K230">
        <f t="shared" si="41"/>
        <v>-1.2217251517752175</v>
      </c>
      <c r="L230">
        <v>1</v>
      </c>
      <c r="M230" t="e">
        <f t="shared" si="42"/>
        <v>#NUM!</v>
      </c>
      <c r="N230">
        <f t="shared" si="43"/>
        <v>0</v>
      </c>
      <c r="O230">
        <f t="shared" si="44"/>
        <v>0</v>
      </c>
      <c r="P230" t="e">
        <f t="shared" si="45"/>
        <v>#NUM!</v>
      </c>
    </row>
    <row r="231" spans="3:18" x14ac:dyDescent="0.3">
      <c r="C231">
        <f t="shared" si="36"/>
        <v>0</v>
      </c>
      <c r="D231">
        <v>1.5900000000000001E-2</v>
      </c>
      <c r="E231">
        <v>2.9099999999999998E-3</v>
      </c>
      <c r="F231">
        <f t="shared" si="37"/>
        <v>0</v>
      </c>
      <c r="G231">
        <f t="shared" si="38"/>
        <v>0</v>
      </c>
      <c r="H231">
        <f t="shared" si="39"/>
        <v>0</v>
      </c>
      <c r="I231">
        <v>1</v>
      </c>
      <c r="J231" t="e">
        <f t="shared" si="40"/>
        <v>#NUM!</v>
      </c>
      <c r="K231">
        <f t="shared" si="41"/>
        <v>-1.2217251517752175</v>
      </c>
      <c r="L231">
        <v>1</v>
      </c>
      <c r="M231" t="e">
        <f t="shared" si="42"/>
        <v>#NUM!</v>
      </c>
      <c r="N231">
        <f t="shared" si="43"/>
        <v>0</v>
      </c>
      <c r="O231">
        <f t="shared" si="44"/>
        <v>0</v>
      </c>
      <c r="P231" t="e">
        <f t="shared" si="45"/>
        <v>#NUM!</v>
      </c>
    </row>
    <row r="232" spans="3:18" x14ac:dyDescent="0.3">
      <c r="C232">
        <f t="shared" si="36"/>
        <v>0</v>
      </c>
      <c r="D232">
        <v>1.5900000000000001E-2</v>
      </c>
      <c r="E232">
        <v>2.9099999999999998E-3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v>1</v>
      </c>
      <c r="J232" t="e">
        <f t="shared" si="40"/>
        <v>#NUM!</v>
      </c>
      <c r="K232">
        <f t="shared" si="41"/>
        <v>-1.2217251517752175</v>
      </c>
      <c r="L232">
        <v>1</v>
      </c>
      <c r="M232" t="e">
        <f t="shared" si="42"/>
        <v>#NUM!</v>
      </c>
      <c r="N232">
        <f t="shared" si="43"/>
        <v>0</v>
      </c>
      <c r="O232">
        <f t="shared" si="44"/>
        <v>0</v>
      </c>
      <c r="P232" t="e">
        <f t="shared" si="45"/>
        <v>#NUM!</v>
      </c>
    </row>
    <row r="233" spans="3:18" x14ac:dyDescent="0.3">
      <c r="C233">
        <f t="shared" si="36"/>
        <v>0</v>
      </c>
      <c r="D233">
        <v>1.5900000000000001E-2</v>
      </c>
      <c r="E233">
        <v>2.9099999999999998E-3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v>1</v>
      </c>
      <c r="J233" t="e">
        <f t="shared" si="40"/>
        <v>#NUM!</v>
      </c>
      <c r="K233">
        <f t="shared" si="41"/>
        <v>-1.2217251517752175</v>
      </c>
      <c r="L233">
        <v>1</v>
      </c>
      <c r="M233" t="e">
        <f t="shared" si="42"/>
        <v>#NUM!</v>
      </c>
      <c r="N233">
        <f t="shared" si="43"/>
        <v>0</v>
      </c>
      <c r="O233">
        <f t="shared" si="44"/>
        <v>0</v>
      </c>
      <c r="P233" t="e">
        <f t="shared" si="45"/>
        <v>#NUM!</v>
      </c>
    </row>
    <row r="234" spans="3:18" x14ac:dyDescent="0.3">
      <c r="C234">
        <f t="shared" si="36"/>
        <v>0</v>
      </c>
      <c r="D234">
        <v>1.5900000000000001E-2</v>
      </c>
      <c r="E234">
        <v>2.9099999999999998E-3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v>1</v>
      </c>
      <c r="J234" t="e">
        <f t="shared" si="40"/>
        <v>#NUM!</v>
      </c>
      <c r="K234">
        <f t="shared" si="41"/>
        <v>-1.2217251517752175</v>
      </c>
      <c r="L234">
        <v>1</v>
      </c>
      <c r="M234" t="e">
        <f t="shared" si="42"/>
        <v>#NUM!</v>
      </c>
      <c r="N234">
        <f t="shared" si="43"/>
        <v>0</v>
      </c>
      <c r="O234">
        <f t="shared" si="44"/>
        <v>0</v>
      </c>
      <c r="P234" t="e">
        <f t="shared" si="45"/>
        <v>#NUM!</v>
      </c>
    </row>
    <row r="235" spans="3:18" x14ac:dyDescent="0.3">
      <c r="C235">
        <f t="shared" si="36"/>
        <v>0</v>
      </c>
      <c r="D235">
        <v>1.5900000000000001E-2</v>
      </c>
      <c r="E235">
        <v>2.9099999999999998E-3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v>1</v>
      </c>
      <c r="J235" t="e">
        <f t="shared" si="40"/>
        <v>#NUM!</v>
      </c>
      <c r="K235">
        <f t="shared" si="41"/>
        <v>-1.2217251517752175</v>
      </c>
      <c r="L235">
        <v>1</v>
      </c>
      <c r="M235" t="e">
        <f t="shared" si="42"/>
        <v>#NUM!</v>
      </c>
      <c r="N235">
        <f t="shared" si="43"/>
        <v>0</v>
      </c>
      <c r="O235">
        <f t="shared" si="44"/>
        <v>0</v>
      </c>
      <c r="P235" t="e">
        <f t="shared" si="45"/>
        <v>#NUM!</v>
      </c>
    </row>
    <row r="236" spans="3:18" x14ac:dyDescent="0.3">
      <c r="C236">
        <f t="shared" si="36"/>
        <v>0</v>
      </c>
      <c r="D236">
        <v>1.5900000000000001E-2</v>
      </c>
      <c r="E236">
        <v>2.9099999999999998E-3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v>1</v>
      </c>
      <c r="J236" t="e">
        <f t="shared" si="40"/>
        <v>#NUM!</v>
      </c>
      <c r="K236">
        <f t="shared" si="41"/>
        <v>-1.2217251517752175</v>
      </c>
      <c r="L236">
        <v>1</v>
      </c>
      <c r="M236" t="e">
        <f t="shared" si="42"/>
        <v>#NUM!</v>
      </c>
      <c r="N236">
        <f t="shared" si="43"/>
        <v>0</v>
      </c>
      <c r="O236">
        <f t="shared" si="44"/>
        <v>0</v>
      </c>
      <c r="P236" t="e">
        <f t="shared" si="45"/>
        <v>#NUM!</v>
      </c>
    </row>
    <row r="237" spans="3:18" x14ac:dyDescent="0.3">
      <c r="C237">
        <f t="shared" si="36"/>
        <v>0</v>
      </c>
      <c r="D237">
        <v>1.5900000000000001E-2</v>
      </c>
      <c r="E237">
        <v>2.9099999999999998E-3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v>1</v>
      </c>
      <c r="J237" t="e">
        <f t="shared" si="40"/>
        <v>#NUM!</v>
      </c>
      <c r="K237">
        <f t="shared" si="41"/>
        <v>-1.2217251517752175</v>
      </c>
      <c r="L237">
        <v>1</v>
      </c>
      <c r="M237" t="e">
        <f t="shared" si="42"/>
        <v>#NUM!</v>
      </c>
      <c r="N237">
        <f t="shared" si="43"/>
        <v>0</v>
      </c>
      <c r="O237">
        <f t="shared" si="44"/>
        <v>0</v>
      </c>
      <c r="P237" t="e">
        <f t="shared" si="45"/>
        <v>#NUM!</v>
      </c>
    </row>
    <row r="238" spans="3:18" x14ac:dyDescent="0.3">
      <c r="C238">
        <f t="shared" si="36"/>
        <v>0</v>
      </c>
      <c r="D238">
        <v>1.5900000000000001E-2</v>
      </c>
      <c r="E238">
        <v>2.9099999999999998E-3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v>1</v>
      </c>
      <c r="J238" t="e">
        <f t="shared" si="40"/>
        <v>#NUM!</v>
      </c>
      <c r="K238">
        <f t="shared" si="41"/>
        <v>-1.2217251517752175</v>
      </c>
      <c r="L238">
        <v>1</v>
      </c>
      <c r="M238" t="e">
        <f t="shared" si="42"/>
        <v>#NUM!</v>
      </c>
      <c r="N238">
        <f t="shared" si="43"/>
        <v>0</v>
      </c>
      <c r="O238">
        <f t="shared" si="44"/>
        <v>0</v>
      </c>
      <c r="P238" t="e">
        <f t="shared" si="45"/>
        <v>#NUM!</v>
      </c>
    </row>
    <row r="239" spans="3:18" x14ac:dyDescent="0.3">
      <c r="C239">
        <f t="shared" si="36"/>
        <v>0</v>
      </c>
      <c r="D239">
        <v>1.5900000000000001E-2</v>
      </c>
      <c r="E239">
        <v>2.9099999999999998E-3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v>1</v>
      </c>
      <c r="J239" t="e">
        <f t="shared" si="40"/>
        <v>#NUM!</v>
      </c>
      <c r="K239">
        <f t="shared" si="41"/>
        <v>-1.2217251517752175</v>
      </c>
      <c r="L239">
        <v>1</v>
      </c>
      <c r="M239" t="e">
        <f t="shared" si="42"/>
        <v>#NUM!</v>
      </c>
      <c r="N239">
        <f t="shared" si="43"/>
        <v>0</v>
      </c>
      <c r="O239">
        <f t="shared" si="44"/>
        <v>0</v>
      </c>
      <c r="P239" t="e">
        <f t="shared" si="45"/>
        <v>#NUM!</v>
      </c>
    </row>
    <row r="240" spans="3:18" x14ac:dyDescent="0.3">
      <c r="C240">
        <f t="shared" si="36"/>
        <v>0</v>
      </c>
      <c r="D240">
        <v>1.5900000000000001E-2</v>
      </c>
      <c r="E240">
        <v>2.9099999999999998E-3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v>1</v>
      </c>
      <c r="J240" t="e">
        <f t="shared" si="40"/>
        <v>#NUM!</v>
      </c>
      <c r="K240">
        <f t="shared" si="41"/>
        <v>-1.2217251517752175</v>
      </c>
      <c r="L240">
        <v>1</v>
      </c>
      <c r="M240" t="e">
        <f t="shared" si="42"/>
        <v>#NUM!</v>
      </c>
      <c r="N240">
        <f t="shared" si="43"/>
        <v>0</v>
      </c>
      <c r="O240">
        <f t="shared" si="44"/>
        <v>0</v>
      </c>
      <c r="P240" t="e">
        <f t="shared" si="45"/>
        <v>#NUM!</v>
      </c>
    </row>
    <row r="241" spans="3:16" x14ac:dyDescent="0.3">
      <c r="C241">
        <f t="shared" si="36"/>
        <v>0</v>
      </c>
      <c r="D241">
        <v>1.5900000000000001E-2</v>
      </c>
      <c r="E241">
        <v>2.9099999999999998E-3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v>1</v>
      </c>
      <c r="J241" t="e">
        <f t="shared" si="40"/>
        <v>#NUM!</v>
      </c>
      <c r="K241">
        <f t="shared" si="41"/>
        <v>-1.2217251517752175</v>
      </c>
      <c r="L241">
        <v>1</v>
      </c>
      <c r="M241" t="e">
        <f t="shared" si="42"/>
        <v>#NUM!</v>
      </c>
      <c r="N241">
        <f t="shared" si="43"/>
        <v>0</v>
      </c>
      <c r="O241">
        <f t="shared" si="44"/>
        <v>0</v>
      </c>
      <c r="P241" t="e">
        <f t="shared" si="45"/>
        <v>#NUM!</v>
      </c>
    </row>
    <row r="242" spans="3:16" x14ac:dyDescent="0.3">
      <c r="C242">
        <f t="shared" si="36"/>
        <v>0</v>
      </c>
      <c r="D242">
        <v>1.5900000000000001E-2</v>
      </c>
      <c r="E242">
        <v>2.9099999999999998E-3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v>1</v>
      </c>
      <c r="J242" t="e">
        <f t="shared" si="40"/>
        <v>#NUM!</v>
      </c>
      <c r="K242">
        <f t="shared" si="41"/>
        <v>-1.2217251517752175</v>
      </c>
      <c r="L242">
        <v>1</v>
      </c>
      <c r="M242" t="e">
        <f t="shared" si="42"/>
        <v>#NUM!</v>
      </c>
      <c r="N242">
        <f t="shared" si="43"/>
        <v>0</v>
      </c>
      <c r="O242">
        <f t="shared" si="44"/>
        <v>0</v>
      </c>
      <c r="P242" t="e">
        <f t="shared" si="45"/>
        <v>#NUM!</v>
      </c>
    </row>
    <row r="243" spans="3:16" x14ac:dyDescent="0.3">
      <c r="C243">
        <f t="shared" si="36"/>
        <v>0</v>
      </c>
      <c r="D243">
        <v>1.5900000000000001E-2</v>
      </c>
      <c r="E243">
        <v>2.9099999999999998E-3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v>1</v>
      </c>
      <c r="J243" t="e">
        <f t="shared" si="40"/>
        <v>#NUM!</v>
      </c>
      <c r="K243">
        <f t="shared" si="41"/>
        <v>-1.2217251517752175</v>
      </c>
      <c r="L243">
        <v>1</v>
      </c>
      <c r="M243" t="e">
        <f t="shared" si="42"/>
        <v>#NUM!</v>
      </c>
      <c r="N243">
        <f t="shared" si="43"/>
        <v>0</v>
      </c>
      <c r="O243">
        <f t="shared" si="44"/>
        <v>0</v>
      </c>
      <c r="P243" t="e">
        <f t="shared" si="45"/>
        <v>#NUM!</v>
      </c>
    </row>
    <row r="244" spans="3:16" x14ac:dyDescent="0.3">
      <c r="C244">
        <f t="shared" si="36"/>
        <v>0</v>
      </c>
      <c r="D244">
        <v>1.5900000000000001E-2</v>
      </c>
      <c r="E244">
        <v>2.9099999999999998E-3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v>1</v>
      </c>
      <c r="J244" t="e">
        <f t="shared" si="40"/>
        <v>#NUM!</v>
      </c>
      <c r="K244">
        <f t="shared" si="41"/>
        <v>-1.2217251517752175</v>
      </c>
      <c r="L244">
        <v>1</v>
      </c>
      <c r="M244" t="e">
        <f t="shared" si="42"/>
        <v>#NUM!</v>
      </c>
      <c r="N244">
        <f t="shared" si="43"/>
        <v>0</v>
      </c>
      <c r="O244">
        <f t="shared" si="44"/>
        <v>0</v>
      </c>
      <c r="P244" t="e">
        <f t="shared" si="45"/>
        <v>#NUM!</v>
      </c>
    </row>
    <row r="245" spans="3:16" x14ac:dyDescent="0.3">
      <c r="C245">
        <f t="shared" si="36"/>
        <v>0</v>
      </c>
      <c r="D245">
        <v>1.5900000000000001E-2</v>
      </c>
      <c r="E245">
        <v>2.9099999999999998E-3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v>1</v>
      </c>
      <c r="J245" t="e">
        <f t="shared" si="40"/>
        <v>#NUM!</v>
      </c>
      <c r="K245">
        <f t="shared" si="41"/>
        <v>-1.2217251517752175</v>
      </c>
      <c r="L245">
        <v>1</v>
      </c>
      <c r="M245" t="e">
        <f t="shared" si="42"/>
        <v>#NUM!</v>
      </c>
      <c r="N245">
        <f t="shared" si="43"/>
        <v>0</v>
      </c>
      <c r="O245">
        <f t="shared" si="44"/>
        <v>0</v>
      </c>
      <c r="P245" t="e">
        <f t="shared" si="45"/>
        <v>#NUM!</v>
      </c>
    </row>
    <row r="246" spans="3:16" x14ac:dyDescent="0.3">
      <c r="C246">
        <f t="shared" si="36"/>
        <v>0</v>
      </c>
      <c r="D246">
        <v>1.5900000000000001E-2</v>
      </c>
      <c r="E246">
        <v>2.9099999999999998E-3</v>
      </c>
      <c r="F246">
        <f t="shared" si="37"/>
        <v>0</v>
      </c>
      <c r="G246">
        <f t="shared" si="38"/>
        <v>0</v>
      </c>
      <c r="H246">
        <f t="shared" si="39"/>
        <v>0</v>
      </c>
      <c r="I246">
        <v>1</v>
      </c>
      <c r="J246" t="e">
        <f t="shared" si="40"/>
        <v>#NUM!</v>
      </c>
      <c r="K246">
        <f t="shared" si="41"/>
        <v>-1.2217251517752175</v>
      </c>
      <c r="L246">
        <v>1</v>
      </c>
      <c r="M246" t="e">
        <f t="shared" si="42"/>
        <v>#NUM!</v>
      </c>
      <c r="N246">
        <f t="shared" si="43"/>
        <v>0</v>
      </c>
      <c r="O246">
        <f t="shared" si="44"/>
        <v>0</v>
      </c>
      <c r="P246" t="e">
        <f t="shared" si="45"/>
        <v>#NUM!</v>
      </c>
    </row>
    <row r="247" spans="3:16" x14ac:dyDescent="0.3">
      <c r="C247">
        <f t="shared" si="36"/>
        <v>0</v>
      </c>
      <c r="D247">
        <v>1.5900000000000001E-2</v>
      </c>
      <c r="E247">
        <v>2.9099999999999998E-3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v>1</v>
      </c>
      <c r="J247" t="e">
        <f t="shared" si="40"/>
        <v>#NUM!</v>
      </c>
      <c r="K247">
        <f t="shared" si="41"/>
        <v>-1.2217251517752175</v>
      </c>
      <c r="L247">
        <v>1</v>
      </c>
      <c r="M247" t="e">
        <f t="shared" si="42"/>
        <v>#NUM!</v>
      </c>
      <c r="N247">
        <f t="shared" si="43"/>
        <v>0</v>
      </c>
      <c r="O247">
        <f t="shared" si="44"/>
        <v>0</v>
      </c>
      <c r="P247" t="e">
        <f t="shared" si="45"/>
        <v>#NUM!</v>
      </c>
    </row>
    <row r="248" spans="3:16" x14ac:dyDescent="0.3">
      <c r="C248">
        <f t="shared" si="36"/>
        <v>0</v>
      </c>
      <c r="D248">
        <v>1.5900000000000001E-2</v>
      </c>
      <c r="E248">
        <v>2.9099999999999998E-3</v>
      </c>
      <c r="F248">
        <f t="shared" si="37"/>
        <v>0</v>
      </c>
      <c r="G248">
        <f t="shared" si="38"/>
        <v>0</v>
      </c>
      <c r="H248">
        <f t="shared" si="39"/>
        <v>0</v>
      </c>
      <c r="I248">
        <v>1</v>
      </c>
      <c r="J248" t="e">
        <f t="shared" si="40"/>
        <v>#NUM!</v>
      </c>
      <c r="K248">
        <f t="shared" si="41"/>
        <v>-1.2217251517752175</v>
      </c>
      <c r="L248">
        <v>1</v>
      </c>
      <c r="M248" t="e">
        <f t="shared" si="42"/>
        <v>#NUM!</v>
      </c>
      <c r="N248">
        <f t="shared" si="43"/>
        <v>0</v>
      </c>
      <c r="O248">
        <f t="shared" si="44"/>
        <v>0</v>
      </c>
      <c r="P248" t="e">
        <f t="shared" si="45"/>
        <v>#NUM!</v>
      </c>
    </row>
    <row r="249" spans="3:16" x14ac:dyDescent="0.3">
      <c r="C249">
        <f t="shared" si="36"/>
        <v>0</v>
      </c>
      <c r="D249">
        <v>1.5900000000000001E-2</v>
      </c>
      <c r="E249">
        <v>2.9099999999999998E-3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v>1</v>
      </c>
      <c r="J249" t="e">
        <f t="shared" si="40"/>
        <v>#NUM!</v>
      </c>
      <c r="K249">
        <f t="shared" si="41"/>
        <v>-1.2217251517752175</v>
      </c>
      <c r="L249">
        <v>1</v>
      </c>
      <c r="M249" t="e">
        <f t="shared" si="42"/>
        <v>#NUM!</v>
      </c>
      <c r="N249">
        <f t="shared" si="43"/>
        <v>0</v>
      </c>
      <c r="O249">
        <f t="shared" si="44"/>
        <v>0</v>
      </c>
      <c r="P249" t="e">
        <f t="shared" si="45"/>
        <v>#NUM!</v>
      </c>
    </row>
    <row r="250" spans="3:16" x14ac:dyDescent="0.3">
      <c r="C250">
        <f t="shared" si="36"/>
        <v>0</v>
      </c>
      <c r="D250">
        <v>1.5900000000000001E-2</v>
      </c>
      <c r="E250">
        <v>2.9099999999999998E-3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v>1</v>
      </c>
      <c r="J250" t="e">
        <f t="shared" si="40"/>
        <v>#NUM!</v>
      </c>
      <c r="K250">
        <f t="shared" si="41"/>
        <v>-1.2217251517752175</v>
      </c>
      <c r="L250">
        <v>1</v>
      </c>
      <c r="M250" t="e">
        <f t="shared" si="42"/>
        <v>#NUM!</v>
      </c>
      <c r="N250">
        <f t="shared" si="43"/>
        <v>0</v>
      </c>
      <c r="O250">
        <f t="shared" si="44"/>
        <v>0</v>
      </c>
      <c r="P250" t="e">
        <f t="shared" si="45"/>
        <v>#NUM!</v>
      </c>
    </row>
    <row r="251" spans="3:16" x14ac:dyDescent="0.3">
      <c r="C251">
        <f t="shared" si="36"/>
        <v>0</v>
      </c>
      <c r="D251">
        <v>1.5900000000000001E-2</v>
      </c>
      <c r="E251">
        <v>2.9099999999999998E-3</v>
      </c>
      <c r="F251">
        <f t="shared" si="37"/>
        <v>0</v>
      </c>
      <c r="G251">
        <f t="shared" si="38"/>
        <v>0</v>
      </c>
      <c r="H251">
        <f t="shared" si="39"/>
        <v>0</v>
      </c>
      <c r="I251">
        <v>1</v>
      </c>
      <c r="J251" t="e">
        <f t="shared" si="40"/>
        <v>#NUM!</v>
      </c>
      <c r="K251">
        <f t="shared" si="41"/>
        <v>-1.2217251517752175</v>
      </c>
      <c r="L251">
        <v>1</v>
      </c>
      <c r="M251" t="e">
        <f t="shared" si="42"/>
        <v>#NUM!</v>
      </c>
      <c r="N251">
        <f t="shared" si="43"/>
        <v>0</v>
      </c>
      <c r="O251">
        <f t="shared" si="44"/>
        <v>0</v>
      </c>
      <c r="P251" t="e">
        <f t="shared" si="45"/>
        <v>#NUM!</v>
      </c>
    </row>
    <row r="252" spans="3:16" x14ac:dyDescent="0.3">
      <c r="C252">
        <f t="shared" si="36"/>
        <v>0</v>
      </c>
      <c r="D252">
        <v>1.5900000000000001E-2</v>
      </c>
      <c r="E252">
        <v>2.9099999999999998E-3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v>1</v>
      </c>
      <c r="J252" t="e">
        <f t="shared" si="40"/>
        <v>#NUM!</v>
      </c>
      <c r="K252">
        <f t="shared" si="41"/>
        <v>-1.2217251517752175</v>
      </c>
      <c r="L252">
        <v>1</v>
      </c>
      <c r="M252" t="e">
        <f t="shared" si="42"/>
        <v>#NUM!</v>
      </c>
      <c r="N252">
        <f t="shared" si="43"/>
        <v>0</v>
      </c>
      <c r="O252">
        <f t="shared" si="44"/>
        <v>0</v>
      </c>
      <c r="P252" t="e">
        <f t="shared" si="45"/>
        <v>#NUM!</v>
      </c>
    </row>
    <row r="253" spans="3:16" x14ac:dyDescent="0.3">
      <c r="C253">
        <f t="shared" si="36"/>
        <v>0</v>
      </c>
      <c r="D253">
        <v>1.5900000000000001E-2</v>
      </c>
      <c r="E253">
        <v>2.9099999999999998E-3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v>1</v>
      </c>
      <c r="J253" t="e">
        <f t="shared" si="40"/>
        <v>#NUM!</v>
      </c>
      <c r="K253">
        <f t="shared" si="41"/>
        <v>-1.2217251517752175</v>
      </c>
      <c r="L253">
        <v>1</v>
      </c>
      <c r="M253" t="e">
        <f t="shared" si="42"/>
        <v>#NUM!</v>
      </c>
      <c r="N253">
        <f t="shared" si="43"/>
        <v>0</v>
      </c>
      <c r="O253">
        <f t="shared" si="44"/>
        <v>0</v>
      </c>
      <c r="P253" t="e">
        <f t="shared" si="45"/>
        <v>#NUM!</v>
      </c>
    </row>
    <row r="254" spans="3:16" x14ac:dyDescent="0.3">
      <c r="C254">
        <f t="shared" si="36"/>
        <v>0</v>
      </c>
      <c r="D254">
        <v>1.5900000000000001E-2</v>
      </c>
      <c r="E254">
        <v>2.9099999999999998E-3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v>1</v>
      </c>
      <c r="J254" t="e">
        <f t="shared" si="40"/>
        <v>#NUM!</v>
      </c>
      <c r="K254">
        <f t="shared" si="41"/>
        <v>-1.2217251517752175</v>
      </c>
      <c r="L254">
        <v>1</v>
      </c>
      <c r="M254" t="e">
        <f t="shared" si="42"/>
        <v>#NUM!</v>
      </c>
      <c r="N254">
        <f t="shared" si="43"/>
        <v>0</v>
      </c>
      <c r="O254">
        <f t="shared" si="44"/>
        <v>0</v>
      </c>
      <c r="P254" t="e">
        <f t="shared" si="45"/>
        <v>#NUM!</v>
      </c>
    </row>
    <row r="255" spans="3:16" x14ac:dyDescent="0.3">
      <c r="C255">
        <f t="shared" si="36"/>
        <v>0</v>
      </c>
      <c r="D255">
        <v>1.5900000000000001E-2</v>
      </c>
      <c r="E255">
        <v>2.9099999999999998E-3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v>1</v>
      </c>
      <c r="J255" t="e">
        <f t="shared" si="40"/>
        <v>#NUM!</v>
      </c>
      <c r="K255">
        <f t="shared" si="41"/>
        <v>-1.2217251517752175</v>
      </c>
      <c r="L255">
        <v>1</v>
      </c>
      <c r="M255" t="e">
        <f t="shared" si="42"/>
        <v>#NUM!</v>
      </c>
      <c r="N255">
        <f t="shared" si="43"/>
        <v>0</v>
      </c>
      <c r="O255">
        <f t="shared" si="44"/>
        <v>0</v>
      </c>
      <c r="P255" t="e">
        <f t="shared" si="45"/>
        <v>#NUM!</v>
      </c>
    </row>
    <row r="256" spans="3:16" x14ac:dyDescent="0.3">
      <c r="C256">
        <f t="shared" si="36"/>
        <v>0</v>
      </c>
      <c r="D256">
        <v>1.5900000000000001E-2</v>
      </c>
      <c r="E256">
        <v>2.9099999999999998E-3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v>1</v>
      </c>
      <c r="J256" t="e">
        <f t="shared" si="40"/>
        <v>#NUM!</v>
      </c>
      <c r="K256">
        <f t="shared" si="41"/>
        <v>-1.2217251517752175</v>
      </c>
      <c r="L256">
        <v>1</v>
      </c>
      <c r="M256" t="e">
        <f t="shared" si="42"/>
        <v>#NUM!</v>
      </c>
      <c r="N256">
        <f t="shared" si="43"/>
        <v>0</v>
      </c>
      <c r="O256">
        <f t="shared" si="44"/>
        <v>0</v>
      </c>
      <c r="P256" t="e">
        <f t="shared" si="45"/>
        <v>#NUM!</v>
      </c>
    </row>
    <row r="257" spans="3:16" x14ac:dyDescent="0.3">
      <c r="C257">
        <f t="shared" si="36"/>
        <v>0</v>
      </c>
      <c r="D257">
        <v>1.5900000000000001E-2</v>
      </c>
      <c r="E257">
        <v>2.9099999999999998E-3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v>1</v>
      </c>
      <c r="J257" t="e">
        <f t="shared" si="40"/>
        <v>#NUM!</v>
      </c>
      <c r="K257">
        <f t="shared" si="41"/>
        <v>-1.2217251517752175</v>
      </c>
      <c r="L257">
        <v>1</v>
      </c>
      <c r="M257" t="e">
        <f t="shared" si="42"/>
        <v>#NUM!</v>
      </c>
      <c r="N257">
        <f t="shared" si="43"/>
        <v>0</v>
      </c>
      <c r="O257">
        <f t="shared" si="44"/>
        <v>0</v>
      </c>
      <c r="P257" t="e">
        <f t="shared" si="45"/>
        <v>#NUM!</v>
      </c>
    </row>
    <row r="258" spans="3:16" x14ac:dyDescent="0.3">
      <c r="C258">
        <f t="shared" si="36"/>
        <v>0</v>
      </c>
      <c r="D258">
        <v>1.5900000000000001E-2</v>
      </c>
      <c r="E258">
        <v>2.9099999999999998E-3</v>
      </c>
      <c r="F258">
        <f t="shared" si="37"/>
        <v>0</v>
      </c>
      <c r="G258">
        <f t="shared" si="38"/>
        <v>0</v>
      </c>
      <c r="H258">
        <f t="shared" si="39"/>
        <v>0</v>
      </c>
      <c r="I258">
        <v>1</v>
      </c>
      <c r="J258" t="e">
        <f t="shared" si="40"/>
        <v>#NUM!</v>
      </c>
      <c r="K258">
        <f t="shared" si="41"/>
        <v>-1.2217251517752175</v>
      </c>
      <c r="L258">
        <v>1</v>
      </c>
      <c r="M258" t="e">
        <f t="shared" si="42"/>
        <v>#NUM!</v>
      </c>
      <c r="N258">
        <f t="shared" si="43"/>
        <v>0</v>
      </c>
      <c r="O258">
        <f t="shared" si="44"/>
        <v>0</v>
      </c>
      <c r="P258" t="e">
        <f t="shared" si="45"/>
        <v>#NUM!</v>
      </c>
    </row>
    <row r="259" spans="3:16" x14ac:dyDescent="0.3">
      <c r="C259">
        <f t="shared" si="36"/>
        <v>0</v>
      </c>
      <c r="D259">
        <v>1.5900000000000001E-2</v>
      </c>
      <c r="E259">
        <v>2.9099999999999998E-3</v>
      </c>
      <c r="F259">
        <f t="shared" si="37"/>
        <v>0</v>
      </c>
      <c r="G259">
        <f t="shared" si="38"/>
        <v>0</v>
      </c>
      <c r="H259">
        <f t="shared" si="39"/>
        <v>0</v>
      </c>
      <c r="I259">
        <v>1</v>
      </c>
      <c r="J259" t="e">
        <f t="shared" si="40"/>
        <v>#NUM!</v>
      </c>
      <c r="K259">
        <f t="shared" si="41"/>
        <v>-1.2217251517752175</v>
      </c>
      <c r="L259">
        <v>1</v>
      </c>
      <c r="M259" t="e">
        <f t="shared" si="42"/>
        <v>#NUM!</v>
      </c>
      <c r="N259">
        <f t="shared" si="43"/>
        <v>0</v>
      </c>
      <c r="O259">
        <f t="shared" si="44"/>
        <v>0</v>
      </c>
      <c r="P259" t="e">
        <f t="shared" si="45"/>
        <v>#NUM!</v>
      </c>
    </row>
    <row r="260" spans="3:16" x14ac:dyDescent="0.3">
      <c r="C260">
        <f t="shared" ref="C260:C323" si="46">A260*B260</f>
        <v>0</v>
      </c>
      <c r="D260">
        <v>1.5900000000000001E-2</v>
      </c>
      <c r="E260">
        <v>2.9099999999999998E-3</v>
      </c>
      <c r="F260">
        <f t="shared" ref="F260:F303" si="47">A260*200</f>
        <v>0</v>
      </c>
      <c r="G260">
        <f t="shared" ref="G260:G303" si="48">-B260</f>
        <v>0</v>
      </c>
      <c r="H260">
        <f t="shared" ref="H260:H303" si="49">-C260*200</f>
        <v>0</v>
      </c>
      <c r="I260">
        <v>1</v>
      </c>
      <c r="J260" t="e">
        <f t="shared" ref="J260:J303" si="50">LN(F260/1000)</f>
        <v>#NUM!</v>
      </c>
      <c r="K260">
        <f t="shared" ref="K260:K303" si="51">((-G260)-$N$2)</f>
        <v>-1.2217251517752175</v>
      </c>
      <c r="L260">
        <v>1</v>
      </c>
      <c r="M260" t="e">
        <f t="shared" ref="M260:M303" si="52">-1*($S$4+($S$5*J260))</f>
        <v>#NUM!</v>
      </c>
      <c r="N260">
        <f t="shared" ref="N260:N303" si="53">D260*A260</f>
        <v>0</v>
      </c>
      <c r="O260">
        <f t="shared" ref="O260:O303" si="54">E260*A260</f>
        <v>0</v>
      </c>
      <c r="P260" t="e">
        <f t="shared" ref="P260:P323" si="55">-K260-M260-N260-O260</f>
        <v>#NUM!</v>
      </c>
    </row>
    <row r="261" spans="3:16" x14ac:dyDescent="0.3">
      <c r="C261">
        <f t="shared" si="46"/>
        <v>0</v>
      </c>
      <c r="D261">
        <v>1.5900000000000001E-2</v>
      </c>
      <c r="E261">
        <v>2.9099999999999998E-3</v>
      </c>
      <c r="F261">
        <f t="shared" si="47"/>
        <v>0</v>
      </c>
      <c r="G261">
        <f t="shared" si="48"/>
        <v>0</v>
      </c>
      <c r="H261">
        <f t="shared" si="49"/>
        <v>0</v>
      </c>
      <c r="I261">
        <v>1</v>
      </c>
      <c r="J261" t="e">
        <f t="shared" si="50"/>
        <v>#NUM!</v>
      </c>
      <c r="K261">
        <f t="shared" si="51"/>
        <v>-1.2217251517752175</v>
      </c>
      <c r="L261">
        <v>1</v>
      </c>
      <c r="M261" t="e">
        <f t="shared" si="52"/>
        <v>#NUM!</v>
      </c>
      <c r="N261">
        <f t="shared" si="53"/>
        <v>0</v>
      </c>
      <c r="O261">
        <f t="shared" si="54"/>
        <v>0</v>
      </c>
      <c r="P261" t="e">
        <f t="shared" si="55"/>
        <v>#NUM!</v>
      </c>
    </row>
    <row r="262" spans="3:16" x14ac:dyDescent="0.3">
      <c r="C262">
        <f t="shared" si="46"/>
        <v>0</v>
      </c>
      <c r="D262">
        <v>1.5900000000000001E-2</v>
      </c>
      <c r="E262">
        <v>2.9099999999999998E-3</v>
      </c>
      <c r="F262">
        <f t="shared" si="47"/>
        <v>0</v>
      </c>
      <c r="G262">
        <f t="shared" si="48"/>
        <v>0</v>
      </c>
      <c r="H262">
        <f t="shared" si="49"/>
        <v>0</v>
      </c>
      <c r="I262">
        <v>1</v>
      </c>
      <c r="J262" t="e">
        <f t="shared" si="50"/>
        <v>#NUM!</v>
      </c>
      <c r="K262">
        <f t="shared" si="51"/>
        <v>-1.2217251517752175</v>
      </c>
      <c r="L262">
        <v>1</v>
      </c>
      <c r="M262" t="e">
        <f t="shared" si="52"/>
        <v>#NUM!</v>
      </c>
      <c r="N262">
        <f t="shared" si="53"/>
        <v>0</v>
      </c>
      <c r="O262">
        <f t="shared" si="54"/>
        <v>0</v>
      </c>
      <c r="P262" t="e">
        <f t="shared" si="55"/>
        <v>#NUM!</v>
      </c>
    </row>
    <row r="263" spans="3:16" x14ac:dyDescent="0.3">
      <c r="C263">
        <f t="shared" si="46"/>
        <v>0</v>
      </c>
      <c r="D263">
        <v>1.5900000000000001E-2</v>
      </c>
      <c r="E263">
        <v>2.9099999999999998E-3</v>
      </c>
      <c r="F263">
        <f t="shared" si="47"/>
        <v>0</v>
      </c>
      <c r="G263">
        <f t="shared" si="48"/>
        <v>0</v>
      </c>
      <c r="H263">
        <f t="shared" si="49"/>
        <v>0</v>
      </c>
      <c r="I263">
        <v>1</v>
      </c>
      <c r="J263" t="e">
        <f t="shared" si="50"/>
        <v>#NUM!</v>
      </c>
      <c r="K263">
        <f t="shared" si="51"/>
        <v>-1.2217251517752175</v>
      </c>
      <c r="L263">
        <v>1</v>
      </c>
      <c r="M263" t="e">
        <f t="shared" si="52"/>
        <v>#NUM!</v>
      </c>
      <c r="N263">
        <f t="shared" si="53"/>
        <v>0</v>
      </c>
      <c r="O263">
        <f t="shared" si="54"/>
        <v>0</v>
      </c>
      <c r="P263" t="e">
        <f t="shared" si="55"/>
        <v>#NUM!</v>
      </c>
    </row>
    <row r="264" spans="3:16" x14ac:dyDescent="0.3">
      <c r="C264">
        <f t="shared" si="46"/>
        <v>0</v>
      </c>
      <c r="D264">
        <v>1.5900000000000001E-2</v>
      </c>
      <c r="E264">
        <v>2.9099999999999998E-3</v>
      </c>
      <c r="F264">
        <f t="shared" si="47"/>
        <v>0</v>
      </c>
      <c r="G264">
        <f t="shared" si="48"/>
        <v>0</v>
      </c>
      <c r="H264">
        <f t="shared" si="49"/>
        <v>0</v>
      </c>
      <c r="I264">
        <v>1</v>
      </c>
      <c r="J264" t="e">
        <f t="shared" si="50"/>
        <v>#NUM!</v>
      </c>
      <c r="K264">
        <f t="shared" si="51"/>
        <v>-1.2217251517752175</v>
      </c>
      <c r="L264">
        <v>1</v>
      </c>
      <c r="M264" t="e">
        <f t="shared" si="52"/>
        <v>#NUM!</v>
      </c>
      <c r="N264">
        <f t="shared" si="53"/>
        <v>0</v>
      </c>
      <c r="O264">
        <f t="shared" si="54"/>
        <v>0</v>
      </c>
      <c r="P264" t="e">
        <f t="shared" si="55"/>
        <v>#NUM!</v>
      </c>
    </row>
    <row r="265" spans="3:16" x14ac:dyDescent="0.3">
      <c r="C265">
        <f t="shared" si="46"/>
        <v>0</v>
      </c>
      <c r="D265">
        <v>1.5900000000000001E-2</v>
      </c>
      <c r="E265">
        <v>2.9099999999999998E-3</v>
      </c>
      <c r="F265">
        <f t="shared" si="47"/>
        <v>0</v>
      </c>
      <c r="G265">
        <f t="shared" si="48"/>
        <v>0</v>
      </c>
      <c r="H265">
        <f t="shared" si="49"/>
        <v>0</v>
      </c>
      <c r="I265">
        <v>1</v>
      </c>
      <c r="J265" t="e">
        <f t="shared" si="50"/>
        <v>#NUM!</v>
      </c>
      <c r="K265">
        <f t="shared" si="51"/>
        <v>-1.2217251517752175</v>
      </c>
      <c r="L265">
        <v>1</v>
      </c>
      <c r="M265" t="e">
        <f t="shared" si="52"/>
        <v>#NUM!</v>
      </c>
      <c r="N265">
        <f t="shared" si="53"/>
        <v>0</v>
      </c>
      <c r="O265">
        <f t="shared" si="54"/>
        <v>0</v>
      </c>
      <c r="P265" t="e">
        <f t="shared" si="55"/>
        <v>#NUM!</v>
      </c>
    </row>
    <row r="266" spans="3:16" x14ac:dyDescent="0.3">
      <c r="C266">
        <f t="shared" si="46"/>
        <v>0</v>
      </c>
      <c r="D266">
        <v>1.5900000000000001E-2</v>
      </c>
      <c r="E266">
        <v>2.9099999999999998E-3</v>
      </c>
      <c r="F266">
        <f t="shared" si="47"/>
        <v>0</v>
      </c>
      <c r="G266">
        <f t="shared" si="48"/>
        <v>0</v>
      </c>
      <c r="H266">
        <f t="shared" si="49"/>
        <v>0</v>
      </c>
      <c r="I266">
        <v>1</v>
      </c>
      <c r="J266" t="e">
        <f t="shared" si="50"/>
        <v>#NUM!</v>
      </c>
      <c r="K266">
        <f t="shared" si="51"/>
        <v>-1.2217251517752175</v>
      </c>
      <c r="L266">
        <v>1</v>
      </c>
      <c r="M266" t="e">
        <f t="shared" si="52"/>
        <v>#NUM!</v>
      </c>
      <c r="N266">
        <f t="shared" si="53"/>
        <v>0</v>
      </c>
      <c r="O266">
        <f t="shared" si="54"/>
        <v>0</v>
      </c>
      <c r="P266" t="e">
        <f t="shared" si="55"/>
        <v>#NUM!</v>
      </c>
    </row>
    <row r="267" spans="3:16" x14ac:dyDescent="0.3">
      <c r="C267">
        <f t="shared" si="46"/>
        <v>0</v>
      </c>
      <c r="D267">
        <v>1.5900000000000001E-2</v>
      </c>
      <c r="E267">
        <v>2.9099999999999998E-3</v>
      </c>
      <c r="F267">
        <f t="shared" si="47"/>
        <v>0</v>
      </c>
      <c r="G267">
        <f t="shared" si="48"/>
        <v>0</v>
      </c>
      <c r="H267">
        <f t="shared" si="49"/>
        <v>0</v>
      </c>
      <c r="I267">
        <v>1</v>
      </c>
      <c r="J267" t="e">
        <f t="shared" si="50"/>
        <v>#NUM!</v>
      </c>
      <c r="K267">
        <f t="shared" si="51"/>
        <v>-1.2217251517752175</v>
      </c>
      <c r="L267">
        <v>1</v>
      </c>
      <c r="M267" t="e">
        <f t="shared" si="52"/>
        <v>#NUM!</v>
      </c>
      <c r="N267">
        <f t="shared" si="53"/>
        <v>0</v>
      </c>
      <c r="O267">
        <f t="shared" si="54"/>
        <v>0</v>
      </c>
      <c r="P267" t="e">
        <f t="shared" si="55"/>
        <v>#NUM!</v>
      </c>
    </row>
    <row r="268" spans="3:16" x14ac:dyDescent="0.3">
      <c r="C268">
        <f t="shared" si="46"/>
        <v>0</v>
      </c>
      <c r="D268">
        <v>1.5900000000000001E-2</v>
      </c>
      <c r="E268">
        <v>2.9099999999999998E-3</v>
      </c>
      <c r="F268">
        <f t="shared" si="47"/>
        <v>0</v>
      </c>
      <c r="G268">
        <f t="shared" si="48"/>
        <v>0</v>
      </c>
      <c r="H268">
        <f t="shared" si="49"/>
        <v>0</v>
      </c>
      <c r="I268">
        <v>1</v>
      </c>
      <c r="J268" t="e">
        <f t="shared" si="50"/>
        <v>#NUM!</v>
      </c>
      <c r="K268">
        <f t="shared" si="51"/>
        <v>-1.2217251517752175</v>
      </c>
      <c r="L268">
        <v>1</v>
      </c>
      <c r="M268" t="e">
        <f t="shared" si="52"/>
        <v>#NUM!</v>
      </c>
      <c r="N268">
        <f t="shared" si="53"/>
        <v>0</v>
      </c>
      <c r="O268">
        <f t="shared" si="54"/>
        <v>0</v>
      </c>
      <c r="P268" t="e">
        <f t="shared" si="55"/>
        <v>#NUM!</v>
      </c>
    </row>
    <row r="269" spans="3:16" x14ac:dyDescent="0.3">
      <c r="C269">
        <f t="shared" si="46"/>
        <v>0</v>
      </c>
      <c r="D269">
        <v>1.5900000000000001E-2</v>
      </c>
      <c r="E269">
        <v>2.9099999999999998E-3</v>
      </c>
      <c r="F269">
        <f t="shared" si="47"/>
        <v>0</v>
      </c>
      <c r="G269">
        <f t="shared" si="48"/>
        <v>0</v>
      </c>
      <c r="H269">
        <f t="shared" si="49"/>
        <v>0</v>
      </c>
      <c r="I269">
        <v>1</v>
      </c>
      <c r="J269" t="e">
        <f t="shared" si="50"/>
        <v>#NUM!</v>
      </c>
      <c r="K269">
        <f t="shared" si="51"/>
        <v>-1.2217251517752175</v>
      </c>
      <c r="L269">
        <v>1</v>
      </c>
      <c r="M269" t="e">
        <f t="shared" si="52"/>
        <v>#NUM!</v>
      </c>
      <c r="N269">
        <f t="shared" si="53"/>
        <v>0</v>
      </c>
      <c r="O269">
        <f t="shared" si="54"/>
        <v>0</v>
      </c>
      <c r="P269" t="e">
        <f t="shared" si="55"/>
        <v>#NUM!</v>
      </c>
    </row>
    <row r="270" spans="3:16" x14ac:dyDescent="0.3">
      <c r="C270">
        <f t="shared" si="46"/>
        <v>0</v>
      </c>
      <c r="D270">
        <v>1.5900000000000001E-2</v>
      </c>
      <c r="E270">
        <v>2.9099999999999998E-3</v>
      </c>
      <c r="F270">
        <f t="shared" si="47"/>
        <v>0</v>
      </c>
      <c r="G270">
        <f t="shared" si="48"/>
        <v>0</v>
      </c>
      <c r="H270">
        <f t="shared" si="49"/>
        <v>0</v>
      </c>
      <c r="I270">
        <v>1</v>
      </c>
      <c r="J270" t="e">
        <f t="shared" si="50"/>
        <v>#NUM!</v>
      </c>
      <c r="K270">
        <f t="shared" si="51"/>
        <v>-1.2217251517752175</v>
      </c>
      <c r="L270">
        <v>1</v>
      </c>
      <c r="M270" t="e">
        <f t="shared" si="52"/>
        <v>#NUM!</v>
      </c>
      <c r="N270">
        <f t="shared" si="53"/>
        <v>0</v>
      </c>
      <c r="O270">
        <f t="shared" si="54"/>
        <v>0</v>
      </c>
      <c r="P270" t="e">
        <f t="shared" si="55"/>
        <v>#NUM!</v>
      </c>
    </row>
    <row r="271" spans="3:16" x14ac:dyDescent="0.3">
      <c r="C271">
        <f t="shared" si="46"/>
        <v>0</v>
      </c>
      <c r="D271">
        <v>1.5900000000000001E-2</v>
      </c>
      <c r="E271">
        <v>2.9099999999999998E-3</v>
      </c>
      <c r="F271">
        <f t="shared" si="47"/>
        <v>0</v>
      </c>
      <c r="G271">
        <f t="shared" si="48"/>
        <v>0</v>
      </c>
      <c r="H271">
        <f t="shared" si="49"/>
        <v>0</v>
      </c>
      <c r="I271">
        <v>1</v>
      </c>
      <c r="J271" t="e">
        <f t="shared" si="50"/>
        <v>#NUM!</v>
      </c>
      <c r="K271">
        <f t="shared" si="51"/>
        <v>-1.2217251517752175</v>
      </c>
      <c r="L271">
        <v>1</v>
      </c>
      <c r="M271" t="e">
        <f t="shared" si="52"/>
        <v>#NUM!</v>
      </c>
      <c r="N271">
        <f t="shared" si="53"/>
        <v>0</v>
      </c>
      <c r="O271">
        <f t="shared" si="54"/>
        <v>0</v>
      </c>
      <c r="P271" t="e">
        <f t="shared" si="55"/>
        <v>#NUM!</v>
      </c>
    </row>
    <row r="272" spans="3:16" x14ac:dyDescent="0.3">
      <c r="C272">
        <f t="shared" si="46"/>
        <v>0</v>
      </c>
      <c r="D272">
        <v>1.5900000000000001E-2</v>
      </c>
      <c r="E272">
        <v>2.9099999999999998E-3</v>
      </c>
      <c r="F272">
        <f t="shared" si="47"/>
        <v>0</v>
      </c>
      <c r="G272">
        <f t="shared" si="48"/>
        <v>0</v>
      </c>
      <c r="H272">
        <f t="shared" si="49"/>
        <v>0</v>
      </c>
      <c r="I272">
        <v>1</v>
      </c>
      <c r="J272" t="e">
        <f t="shared" si="50"/>
        <v>#NUM!</v>
      </c>
      <c r="K272">
        <f t="shared" si="51"/>
        <v>-1.2217251517752175</v>
      </c>
      <c r="L272">
        <v>1</v>
      </c>
      <c r="M272" t="e">
        <f t="shared" si="52"/>
        <v>#NUM!</v>
      </c>
      <c r="N272">
        <f t="shared" si="53"/>
        <v>0</v>
      </c>
      <c r="O272">
        <f t="shared" si="54"/>
        <v>0</v>
      </c>
      <c r="P272" t="e">
        <f t="shared" si="55"/>
        <v>#NUM!</v>
      </c>
    </row>
    <row r="273" spans="3:16" x14ac:dyDescent="0.3">
      <c r="C273">
        <f t="shared" si="46"/>
        <v>0</v>
      </c>
      <c r="D273">
        <v>1.5900000000000001E-2</v>
      </c>
      <c r="E273">
        <v>2.9099999999999998E-3</v>
      </c>
      <c r="F273">
        <f t="shared" si="47"/>
        <v>0</v>
      </c>
      <c r="G273">
        <f t="shared" si="48"/>
        <v>0</v>
      </c>
      <c r="H273">
        <f t="shared" si="49"/>
        <v>0</v>
      </c>
      <c r="I273">
        <v>1</v>
      </c>
      <c r="J273" t="e">
        <f t="shared" si="50"/>
        <v>#NUM!</v>
      </c>
      <c r="K273">
        <f t="shared" si="51"/>
        <v>-1.2217251517752175</v>
      </c>
      <c r="L273">
        <v>1</v>
      </c>
      <c r="M273" t="e">
        <f t="shared" si="52"/>
        <v>#NUM!</v>
      </c>
      <c r="N273">
        <f t="shared" si="53"/>
        <v>0</v>
      </c>
      <c r="O273">
        <f t="shared" si="54"/>
        <v>0</v>
      </c>
      <c r="P273" t="e">
        <f t="shared" si="55"/>
        <v>#NUM!</v>
      </c>
    </row>
    <row r="274" spans="3:16" x14ac:dyDescent="0.3">
      <c r="C274">
        <f t="shared" si="46"/>
        <v>0</v>
      </c>
      <c r="D274">
        <v>1.5900000000000001E-2</v>
      </c>
      <c r="E274">
        <v>2.9099999999999998E-3</v>
      </c>
      <c r="F274">
        <f t="shared" si="47"/>
        <v>0</v>
      </c>
      <c r="G274">
        <f t="shared" si="48"/>
        <v>0</v>
      </c>
      <c r="H274">
        <f t="shared" si="49"/>
        <v>0</v>
      </c>
      <c r="I274">
        <v>1</v>
      </c>
      <c r="J274" t="e">
        <f t="shared" si="50"/>
        <v>#NUM!</v>
      </c>
      <c r="K274">
        <f t="shared" si="51"/>
        <v>-1.2217251517752175</v>
      </c>
      <c r="L274">
        <v>1</v>
      </c>
      <c r="M274" t="e">
        <f t="shared" si="52"/>
        <v>#NUM!</v>
      </c>
      <c r="N274">
        <f t="shared" si="53"/>
        <v>0</v>
      </c>
      <c r="O274">
        <f t="shared" si="54"/>
        <v>0</v>
      </c>
      <c r="P274" t="e">
        <f t="shared" si="55"/>
        <v>#NUM!</v>
      </c>
    </row>
    <row r="275" spans="3:16" x14ac:dyDescent="0.3">
      <c r="C275">
        <f t="shared" si="46"/>
        <v>0</v>
      </c>
      <c r="D275">
        <v>1.5900000000000001E-2</v>
      </c>
      <c r="E275">
        <v>2.9099999999999998E-3</v>
      </c>
      <c r="F275">
        <f t="shared" si="47"/>
        <v>0</v>
      </c>
      <c r="G275">
        <f t="shared" si="48"/>
        <v>0</v>
      </c>
      <c r="H275">
        <f t="shared" si="49"/>
        <v>0</v>
      </c>
      <c r="I275">
        <v>1</v>
      </c>
      <c r="J275" t="e">
        <f t="shared" si="50"/>
        <v>#NUM!</v>
      </c>
      <c r="K275">
        <f t="shared" si="51"/>
        <v>-1.2217251517752175</v>
      </c>
      <c r="L275">
        <v>1</v>
      </c>
      <c r="M275" t="e">
        <f t="shared" si="52"/>
        <v>#NUM!</v>
      </c>
      <c r="N275">
        <f t="shared" si="53"/>
        <v>0</v>
      </c>
      <c r="O275">
        <f t="shared" si="54"/>
        <v>0</v>
      </c>
      <c r="P275" t="e">
        <f t="shared" si="55"/>
        <v>#NUM!</v>
      </c>
    </row>
    <row r="276" spans="3:16" x14ac:dyDescent="0.3">
      <c r="C276">
        <f t="shared" si="46"/>
        <v>0</v>
      </c>
      <c r="D276">
        <v>1.5900000000000001E-2</v>
      </c>
      <c r="E276">
        <v>2.9099999999999998E-3</v>
      </c>
      <c r="F276">
        <f t="shared" si="47"/>
        <v>0</v>
      </c>
      <c r="G276">
        <f t="shared" si="48"/>
        <v>0</v>
      </c>
      <c r="H276">
        <f t="shared" si="49"/>
        <v>0</v>
      </c>
      <c r="I276">
        <v>1</v>
      </c>
      <c r="J276" t="e">
        <f t="shared" si="50"/>
        <v>#NUM!</v>
      </c>
      <c r="K276">
        <f t="shared" si="51"/>
        <v>-1.2217251517752175</v>
      </c>
      <c r="L276">
        <v>1</v>
      </c>
      <c r="M276" t="e">
        <f t="shared" si="52"/>
        <v>#NUM!</v>
      </c>
      <c r="N276">
        <f t="shared" si="53"/>
        <v>0</v>
      </c>
      <c r="O276">
        <f t="shared" si="54"/>
        <v>0</v>
      </c>
      <c r="P276" t="e">
        <f t="shared" si="55"/>
        <v>#NUM!</v>
      </c>
    </row>
    <row r="277" spans="3:16" x14ac:dyDescent="0.3">
      <c r="C277">
        <f t="shared" si="46"/>
        <v>0</v>
      </c>
      <c r="D277">
        <v>1.5900000000000001E-2</v>
      </c>
      <c r="E277">
        <v>2.9099999999999998E-3</v>
      </c>
      <c r="F277">
        <f t="shared" si="47"/>
        <v>0</v>
      </c>
      <c r="G277">
        <f t="shared" si="48"/>
        <v>0</v>
      </c>
      <c r="H277">
        <f t="shared" si="49"/>
        <v>0</v>
      </c>
      <c r="I277">
        <v>1</v>
      </c>
      <c r="J277" t="e">
        <f t="shared" si="50"/>
        <v>#NUM!</v>
      </c>
      <c r="K277">
        <f t="shared" si="51"/>
        <v>-1.2217251517752175</v>
      </c>
      <c r="L277">
        <v>1</v>
      </c>
      <c r="M277" t="e">
        <f t="shared" si="52"/>
        <v>#NUM!</v>
      </c>
      <c r="N277">
        <f t="shared" si="53"/>
        <v>0</v>
      </c>
      <c r="O277">
        <f t="shared" si="54"/>
        <v>0</v>
      </c>
      <c r="P277" t="e">
        <f t="shared" si="55"/>
        <v>#NUM!</v>
      </c>
    </row>
    <row r="278" spans="3:16" x14ac:dyDescent="0.3">
      <c r="C278">
        <f t="shared" si="46"/>
        <v>0</v>
      </c>
      <c r="D278">
        <v>1.5900000000000001E-2</v>
      </c>
      <c r="E278">
        <v>2.9099999999999998E-3</v>
      </c>
      <c r="F278">
        <f t="shared" si="47"/>
        <v>0</v>
      </c>
      <c r="G278">
        <f t="shared" si="48"/>
        <v>0</v>
      </c>
      <c r="H278">
        <f t="shared" si="49"/>
        <v>0</v>
      </c>
      <c r="I278">
        <v>1</v>
      </c>
      <c r="J278" t="e">
        <f t="shared" si="50"/>
        <v>#NUM!</v>
      </c>
      <c r="K278">
        <f t="shared" si="51"/>
        <v>-1.2217251517752175</v>
      </c>
      <c r="L278">
        <v>1</v>
      </c>
      <c r="M278" t="e">
        <f t="shared" si="52"/>
        <v>#NUM!</v>
      </c>
      <c r="N278">
        <f t="shared" si="53"/>
        <v>0</v>
      </c>
      <c r="O278">
        <f t="shared" si="54"/>
        <v>0</v>
      </c>
      <c r="P278" t="e">
        <f t="shared" si="55"/>
        <v>#NUM!</v>
      </c>
    </row>
    <row r="279" spans="3:16" x14ac:dyDescent="0.3">
      <c r="C279">
        <f t="shared" si="46"/>
        <v>0</v>
      </c>
      <c r="D279">
        <v>1.5900000000000001E-2</v>
      </c>
      <c r="E279">
        <v>2.9099999999999998E-3</v>
      </c>
      <c r="F279">
        <f t="shared" si="47"/>
        <v>0</v>
      </c>
      <c r="G279">
        <f t="shared" si="48"/>
        <v>0</v>
      </c>
      <c r="H279">
        <f t="shared" si="49"/>
        <v>0</v>
      </c>
      <c r="I279">
        <v>1</v>
      </c>
      <c r="J279" t="e">
        <f t="shared" si="50"/>
        <v>#NUM!</v>
      </c>
      <c r="K279">
        <f t="shared" si="51"/>
        <v>-1.2217251517752175</v>
      </c>
      <c r="L279">
        <v>1</v>
      </c>
      <c r="M279" t="e">
        <f t="shared" si="52"/>
        <v>#NUM!</v>
      </c>
      <c r="N279">
        <f t="shared" si="53"/>
        <v>0</v>
      </c>
      <c r="O279">
        <f t="shared" si="54"/>
        <v>0</v>
      </c>
      <c r="P279" t="e">
        <f t="shared" si="55"/>
        <v>#NUM!</v>
      </c>
    </row>
    <row r="280" spans="3:16" x14ac:dyDescent="0.3">
      <c r="C280">
        <f t="shared" si="46"/>
        <v>0</v>
      </c>
      <c r="D280">
        <v>1.5900000000000001E-2</v>
      </c>
      <c r="E280">
        <v>2.9099999999999998E-3</v>
      </c>
      <c r="F280">
        <f t="shared" si="47"/>
        <v>0</v>
      </c>
      <c r="G280">
        <f t="shared" si="48"/>
        <v>0</v>
      </c>
      <c r="H280">
        <f t="shared" si="49"/>
        <v>0</v>
      </c>
      <c r="I280">
        <v>1</v>
      </c>
      <c r="J280" t="e">
        <f t="shared" si="50"/>
        <v>#NUM!</v>
      </c>
      <c r="K280">
        <f t="shared" si="51"/>
        <v>-1.2217251517752175</v>
      </c>
      <c r="L280">
        <v>1</v>
      </c>
      <c r="M280" t="e">
        <f t="shared" si="52"/>
        <v>#NUM!</v>
      </c>
      <c r="N280">
        <f t="shared" si="53"/>
        <v>0</v>
      </c>
      <c r="O280">
        <f t="shared" si="54"/>
        <v>0</v>
      </c>
      <c r="P280" t="e">
        <f t="shared" si="55"/>
        <v>#NUM!</v>
      </c>
    </row>
    <row r="281" spans="3:16" x14ac:dyDescent="0.3">
      <c r="C281">
        <f t="shared" si="46"/>
        <v>0</v>
      </c>
      <c r="D281">
        <v>1.5900000000000001E-2</v>
      </c>
      <c r="E281">
        <v>2.9099999999999998E-3</v>
      </c>
      <c r="F281">
        <f t="shared" si="47"/>
        <v>0</v>
      </c>
      <c r="G281">
        <f t="shared" si="48"/>
        <v>0</v>
      </c>
      <c r="H281">
        <f t="shared" si="49"/>
        <v>0</v>
      </c>
      <c r="I281">
        <v>1</v>
      </c>
      <c r="J281" t="e">
        <f t="shared" si="50"/>
        <v>#NUM!</v>
      </c>
      <c r="K281">
        <f t="shared" si="51"/>
        <v>-1.2217251517752175</v>
      </c>
      <c r="L281">
        <v>1</v>
      </c>
      <c r="M281" t="e">
        <f t="shared" si="52"/>
        <v>#NUM!</v>
      </c>
      <c r="N281">
        <f t="shared" si="53"/>
        <v>0</v>
      </c>
      <c r="O281">
        <f t="shared" si="54"/>
        <v>0</v>
      </c>
      <c r="P281" t="e">
        <f t="shared" si="55"/>
        <v>#NUM!</v>
      </c>
    </row>
    <row r="282" spans="3:16" x14ac:dyDescent="0.3">
      <c r="C282">
        <f t="shared" si="46"/>
        <v>0</v>
      </c>
      <c r="D282">
        <v>1.5900000000000001E-2</v>
      </c>
      <c r="E282">
        <v>2.9099999999999998E-3</v>
      </c>
      <c r="F282">
        <f t="shared" si="47"/>
        <v>0</v>
      </c>
      <c r="G282">
        <f t="shared" si="48"/>
        <v>0</v>
      </c>
      <c r="H282">
        <f t="shared" si="49"/>
        <v>0</v>
      </c>
      <c r="I282">
        <v>1</v>
      </c>
      <c r="J282" t="e">
        <f t="shared" si="50"/>
        <v>#NUM!</v>
      </c>
      <c r="K282">
        <f t="shared" si="51"/>
        <v>-1.2217251517752175</v>
      </c>
      <c r="L282">
        <v>1</v>
      </c>
      <c r="M282" t="e">
        <f t="shared" si="52"/>
        <v>#NUM!</v>
      </c>
      <c r="N282">
        <f t="shared" si="53"/>
        <v>0</v>
      </c>
      <c r="O282">
        <f t="shared" si="54"/>
        <v>0</v>
      </c>
      <c r="P282" t="e">
        <f t="shared" si="55"/>
        <v>#NUM!</v>
      </c>
    </row>
    <row r="283" spans="3:16" x14ac:dyDescent="0.3">
      <c r="C283">
        <f t="shared" si="46"/>
        <v>0</v>
      </c>
      <c r="D283">
        <v>1.5900000000000001E-2</v>
      </c>
      <c r="E283">
        <v>2.9099999999999998E-3</v>
      </c>
      <c r="F283">
        <f t="shared" si="47"/>
        <v>0</v>
      </c>
      <c r="G283">
        <f t="shared" si="48"/>
        <v>0</v>
      </c>
      <c r="H283">
        <f t="shared" si="49"/>
        <v>0</v>
      </c>
      <c r="I283">
        <v>1</v>
      </c>
      <c r="J283" t="e">
        <f t="shared" si="50"/>
        <v>#NUM!</v>
      </c>
      <c r="K283">
        <f t="shared" si="51"/>
        <v>-1.2217251517752175</v>
      </c>
      <c r="L283">
        <v>1</v>
      </c>
      <c r="M283" t="e">
        <f t="shared" si="52"/>
        <v>#NUM!</v>
      </c>
      <c r="N283">
        <f t="shared" si="53"/>
        <v>0</v>
      </c>
      <c r="O283">
        <f t="shared" si="54"/>
        <v>0</v>
      </c>
      <c r="P283" t="e">
        <f t="shared" si="55"/>
        <v>#NUM!</v>
      </c>
    </row>
    <row r="284" spans="3:16" x14ac:dyDescent="0.3">
      <c r="C284">
        <f t="shared" si="46"/>
        <v>0</v>
      </c>
      <c r="D284">
        <v>1.5900000000000001E-2</v>
      </c>
      <c r="E284">
        <v>2.9099999999999998E-3</v>
      </c>
      <c r="F284">
        <f t="shared" si="47"/>
        <v>0</v>
      </c>
      <c r="G284">
        <f t="shared" si="48"/>
        <v>0</v>
      </c>
      <c r="H284">
        <f t="shared" si="49"/>
        <v>0</v>
      </c>
      <c r="I284">
        <v>1</v>
      </c>
      <c r="J284" t="e">
        <f t="shared" si="50"/>
        <v>#NUM!</v>
      </c>
      <c r="K284">
        <f t="shared" si="51"/>
        <v>-1.2217251517752175</v>
      </c>
      <c r="L284">
        <v>1</v>
      </c>
      <c r="M284" t="e">
        <f t="shared" si="52"/>
        <v>#NUM!</v>
      </c>
      <c r="N284">
        <f t="shared" si="53"/>
        <v>0</v>
      </c>
      <c r="O284">
        <f t="shared" si="54"/>
        <v>0</v>
      </c>
      <c r="P284" t="e">
        <f t="shared" si="55"/>
        <v>#NUM!</v>
      </c>
    </row>
    <row r="285" spans="3:16" x14ac:dyDescent="0.3">
      <c r="C285">
        <f t="shared" si="46"/>
        <v>0</v>
      </c>
      <c r="D285">
        <v>1.5900000000000001E-2</v>
      </c>
      <c r="E285">
        <v>2.9099999999999998E-3</v>
      </c>
      <c r="F285">
        <f t="shared" si="47"/>
        <v>0</v>
      </c>
      <c r="G285">
        <f t="shared" si="48"/>
        <v>0</v>
      </c>
      <c r="H285">
        <f t="shared" si="49"/>
        <v>0</v>
      </c>
      <c r="I285">
        <v>1</v>
      </c>
      <c r="J285" t="e">
        <f t="shared" si="50"/>
        <v>#NUM!</v>
      </c>
      <c r="K285">
        <f t="shared" si="51"/>
        <v>-1.2217251517752175</v>
      </c>
      <c r="L285">
        <v>1</v>
      </c>
      <c r="M285" t="e">
        <f t="shared" si="52"/>
        <v>#NUM!</v>
      </c>
      <c r="N285">
        <f t="shared" si="53"/>
        <v>0</v>
      </c>
      <c r="O285">
        <f t="shared" si="54"/>
        <v>0</v>
      </c>
      <c r="P285" t="e">
        <f t="shared" si="55"/>
        <v>#NUM!</v>
      </c>
    </row>
    <row r="286" spans="3:16" x14ac:dyDescent="0.3">
      <c r="C286">
        <f t="shared" si="46"/>
        <v>0</v>
      </c>
      <c r="D286">
        <v>1.5900000000000001E-2</v>
      </c>
      <c r="E286">
        <v>2.9099999999999998E-3</v>
      </c>
      <c r="F286">
        <f t="shared" si="47"/>
        <v>0</v>
      </c>
      <c r="G286">
        <f t="shared" si="48"/>
        <v>0</v>
      </c>
      <c r="H286">
        <f t="shared" si="49"/>
        <v>0</v>
      </c>
      <c r="I286">
        <v>1</v>
      </c>
      <c r="J286" t="e">
        <f t="shared" si="50"/>
        <v>#NUM!</v>
      </c>
      <c r="K286">
        <f t="shared" si="51"/>
        <v>-1.2217251517752175</v>
      </c>
      <c r="L286">
        <v>1</v>
      </c>
      <c r="M286" t="e">
        <f t="shared" si="52"/>
        <v>#NUM!</v>
      </c>
      <c r="N286">
        <f t="shared" si="53"/>
        <v>0</v>
      </c>
      <c r="O286">
        <f t="shared" si="54"/>
        <v>0</v>
      </c>
      <c r="P286" t="e">
        <f t="shared" si="55"/>
        <v>#NUM!</v>
      </c>
    </row>
    <row r="287" spans="3:16" x14ac:dyDescent="0.3">
      <c r="C287">
        <f t="shared" si="46"/>
        <v>0</v>
      </c>
      <c r="D287">
        <v>1.5900000000000001E-2</v>
      </c>
      <c r="E287">
        <v>2.9099999999999998E-3</v>
      </c>
      <c r="F287">
        <f t="shared" si="47"/>
        <v>0</v>
      </c>
      <c r="G287">
        <f t="shared" si="48"/>
        <v>0</v>
      </c>
      <c r="H287">
        <f t="shared" si="49"/>
        <v>0</v>
      </c>
      <c r="I287">
        <v>1</v>
      </c>
      <c r="J287" t="e">
        <f t="shared" si="50"/>
        <v>#NUM!</v>
      </c>
      <c r="K287">
        <f t="shared" si="51"/>
        <v>-1.2217251517752175</v>
      </c>
      <c r="L287">
        <v>1</v>
      </c>
      <c r="M287" t="e">
        <f t="shared" si="52"/>
        <v>#NUM!</v>
      </c>
      <c r="N287">
        <f t="shared" si="53"/>
        <v>0</v>
      </c>
      <c r="O287">
        <f t="shared" si="54"/>
        <v>0</v>
      </c>
      <c r="P287" t="e">
        <f t="shared" si="55"/>
        <v>#NUM!</v>
      </c>
    </row>
    <row r="288" spans="3:16" x14ac:dyDescent="0.3">
      <c r="C288">
        <f t="shared" si="46"/>
        <v>0</v>
      </c>
      <c r="D288">
        <v>1.5900000000000001E-2</v>
      </c>
      <c r="E288">
        <v>2.9099999999999998E-3</v>
      </c>
      <c r="F288">
        <f t="shared" si="47"/>
        <v>0</v>
      </c>
      <c r="G288">
        <f t="shared" si="48"/>
        <v>0</v>
      </c>
      <c r="H288">
        <f t="shared" si="49"/>
        <v>0</v>
      </c>
      <c r="I288">
        <v>1</v>
      </c>
      <c r="J288" t="e">
        <f t="shared" si="50"/>
        <v>#NUM!</v>
      </c>
      <c r="K288">
        <f t="shared" si="51"/>
        <v>-1.2217251517752175</v>
      </c>
      <c r="L288">
        <v>1</v>
      </c>
      <c r="M288" t="e">
        <f t="shared" si="52"/>
        <v>#NUM!</v>
      </c>
      <c r="N288">
        <f t="shared" si="53"/>
        <v>0</v>
      </c>
      <c r="O288">
        <f t="shared" si="54"/>
        <v>0</v>
      </c>
      <c r="P288" t="e">
        <f t="shared" si="55"/>
        <v>#NUM!</v>
      </c>
    </row>
    <row r="289" spans="3:16" x14ac:dyDescent="0.3">
      <c r="C289">
        <f t="shared" si="46"/>
        <v>0</v>
      </c>
      <c r="D289">
        <v>1.5900000000000001E-2</v>
      </c>
      <c r="E289">
        <v>2.9099999999999998E-3</v>
      </c>
      <c r="F289">
        <f t="shared" si="47"/>
        <v>0</v>
      </c>
      <c r="G289">
        <f t="shared" si="48"/>
        <v>0</v>
      </c>
      <c r="H289">
        <f t="shared" si="49"/>
        <v>0</v>
      </c>
      <c r="I289">
        <v>1</v>
      </c>
      <c r="J289" t="e">
        <f t="shared" si="50"/>
        <v>#NUM!</v>
      </c>
      <c r="K289">
        <f t="shared" si="51"/>
        <v>-1.2217251517752175</v>
      </c>
      <c r="L289">
        <v>1</v>
      </c>
      <c r="M289" t="e">
        <f t="shared" si="52"/>
        <v>#NUM!</v>
      </c>
      <c r="N289">
        <f t="shared" si="53"/>
        <v>0</v>
      </c>
      <c r="O289">
        <f t="shared" si="54"/>
        <v>0</v>
      </c>
      <c r="P289" t="e">
        <f t="shared" si="55"/>
        <v>#NUM!</v>
      </c>
    </row>
    <row r="290" spans="3:16" x14ac:dyDescent="0.3">
      <c r="C290">
        <f t="shared" si="46"/>
        <v>0</v>
      </c>
      <c r="D290">
        <v>1.5900000000000001E-2</v>
      </c>
      <c r="E290">
        <v>2.9099999999999998E-3</v>
      </c>
      <c r="F290">
        <f t="shared" si="47"/>
        <v>0</v>
      </c>
      <c r="G290">
        <f t="shared" si="48"/>
        <v>0</v>
      </c>
      <c r="H290">
        <f t="shared" si="49"/>
        <v>0</v>
      </c>
      <c r="I290">
        <v>1</v>
      </c>
      <c r="J290" t="e">
        <f t="shared" si="50"/>
        <v>#NUM!</v>
      </c>
      <c r="K290">
        <f t="shared" si="51"/>
        <v>-1.2217251517752175</v>
      </c>
      <c r="L290">
        <v>1</v>
      </c>
      <c r="M290" t="e">
        <f t="shared" si="52"/>
        <v>#NUM!</v>
      </c>
      <c r="N290">
        <f t="shared" si="53"/>
        <v>0</v>
      </c>
      <c r="O290">
        <f t="shared" si="54"/>
        <v>0</v>
      </c>
      <c r="P290" t="e">
        <f t="shared" si="55"/>
        <v>#NUM!</v>
      </c>
    </row>
    <row r="291" spans="3:16" x14ac:dyDescent="0.3">
      <c r="C291">
        <f t="shared" si="46"/>
        <v>0</v>
      </c>
      <c r="D291">
        <v>1.5900000000000001E-2</v>
      </c>
      <c r="E291">
        <v>2.9099999999999998E-3</v>
      </c>
      <c r="F291">
        <f t="shared" si="47"/>
        <v>0</v>
      </c>
      <c r="G291">
        <f t="shared" si="48"/>
        <v>0</v>
      </c>
      <c r="H291">
        <f t="shared" si="49"/>
        <v>0</v>
      </c>
      <c r="I291">
        <v>1</v>
      </c>
      <c r="J291" t="e">
        <f t="shared" si="50"/>
        <v>#NUM!</v>
      </c>
      <c r="K291">
        <f t="shared" si="51"/>
        <v>-1.2217251517752175</v>
      </c>
      <c r="L291">
        <v>1</v>
      </c>
      <c r="M291" t="e">
        <f t="shared" si="52"/>
        <v>#NUM!</v>
      </c>
      <c r="N291">
        <f t="shared" si="53"/>
        <v>0</v>
      </c>
      <c r="O291">
        <f t="shared" si="54"/>
        <v>0</v>
      </c>
      <c r="P291" t="e">
        <f t="shared" si="55"/>
        <v>#NUM!</v>
      </c>
    </row>
    <row r="292" spans="3:16" x14ac:dyDescent="0.3">
      <c r="C292">
        <f t="shared" si="46"/>
        <v>0</v>
      </c>
      <c r="D292">
        <v>1.5900000000000001E-2</v>
      </c>
      <c r="E292">
        <v>2.9099999999999998E-3</v>
      </c>
      <c r="F292">
        <f t="shared" si="47"/>
        <v>0</v>
      </c>
      <c r="G292">
        <f t="shared" si="48"/>
        <v>0</v>
      </c>
      <c r="H292">
        <f t="shared" si="49"/>
        <v>0</v>
      </c>
      <c r="I292">
        <v>1</v>
      </c>
      <c r="J292" t="e">
        <f t="shared" si="50"/>
        <v>#NUM!</v>
      </c>
      <c r="K292">
        <f t="shared" si="51"/>
        <v>-1.2217251517752175</v>
      </c>
      <c r="L292">
        <v>1</v>
      </c>
      <c r="M292" t="e">
        <f t="shared" si="52"/>
        <v>#NUM!</v>
      </c>
      <c r="N292">
        <f t="shared" si="53"/>
        <v>0</v>
      </c>
      <c r="O292">
        <f t="shared" si="54"/>
        <v>0</v>
      </c>
      <c r="P292" t="e">
        <f t="shared" si="55"/>
        <v>#NUM!</v>
      </c>
    </row>
    <row r="293" spans="3:16" x14ac:dyDescent="0.3">
      <c r="C293">
        <f t="shared" si="46"/>
        <v>0</v>
      </c>
      <c r="D293">
        <v>1.5900000000000001E-2</v>
      </c>
      <c r="E293">
        <v>2.9099999999999998E-3</v>
      </c>
      <c r="F293">
        <f t="shared" si="47"/>
        <v>0</v>
      </c>
      <c r="G293">
        <f t="shared" si="48"/>
        <v>0</v>
      </c>
      <c r="H293">
        <f t="shared" si="49"/>
        <v>0</v>
      </c>
      <c r="I293">
        <v>1</v>
      </c>
      <c r="J293" t="e">
        <f t="shared" si="50"/>
        <v>#NUM!</v>
      </c>
      <c r="K293">
        <f t="shared" si="51"/>
        <v>-1.2217251517752175</v>
      </c>
      <c r="L293">
        <v>1</v>
      </c>
      <c r="M293" t="e">
        <f t="shared" si="52"/>
        <v>#NUM!</v>
      </c>
      <c r="N293">
        <f t="shared" si="53"/>
        <v>0</v>
      </c>
      <c r="O293">
        <f t="shared" si="54"/>
        <v>0</v>
      </c>
      <c r="P293" t="e">
        <f t="shared" si="55"/>
        <v>#NUM!</v>
      </c>
    </row>
    <row r="294" spans="3:16" x14ac:dyDescent="0.3">
      <c r="C294">
        <f t="shared" si="46"/>
        <v>0</v>
      </c>
      <c r="D294">
        <v>1.5900000000000001E-2</v>
      </c>
      <c r="E294">
        <v>2.9099999999999998E-3</v>
      </c>
      <c r="F294">
        <f t="shared" si="47"/>
        <v>0</v>
      </c>
      <c r="G294">
        <f t="shared" si="48"/>
        <v>0</v>
      </c>
      <c r="H294">
        <f t="shared" si="49"/>
        <v>0</v>
      </c>
      <c r="I294">
        <v>1</v>
      </c>
      <c r="J294" t="e">
        <f t="shared" si="50"/>
        <v>#NUM!</v>
      </c>
      <c r="K294">
        <f t="shared" si="51"/>
        <v>-1.2217251517752175</v>
      </c>
      <c r="L294">
        <v>1</v>
      </c>
      <c r="M294" t="e">
        <f t="shared" si="52"/>
        <v>#NUM!</v>
      </c>
      <c r="N294">
        <f t="shared" si="53"/>
        <v>0</v>
      </c>
      <c r="O294">
        <f t="shared" si="54"/>
        <v>0</v>
      </c>
      <c r="P294" t="e">
        <f t="shared" si="55"/>
        <v>#NUM!</v>
      </c>
    </row>
    <row r="295" spans="3:16" x14ac:dyDescent="0.3">
      <c r="C295">
        <f t="shared" si="46"/>
        <v>0</v>
      </c>
      <c r="D295">
        <v>1.5900000000000001E-2</v>
      </c>
      <c r="E295">
        <v>2.9099999999999998E-3</v>
      </c>
      <c r="F295">
        <f t="shared" si="47"/>
        <v>0</v>
      </c>
      <c r="G295">
        <f t="shared" si="48"/>
        <v>0</v>
      </c>
      <c r="H295">
        <f t="shared" si="49"/>
        <v>0</v>
      </c>
      <c r="I295">
        <v>1</v>
      </c>
      <c r="J295" t="e">
        <f t="shared" si="50"/>
        <v>#NUM!</v>
      </c>
      <c r="K295">
        <f t="shared" si="51"/>
        <v>-1.2217251517752175</v>
      </c>
      <c r="L295">
        <v>1</v>
      </c>
      <c r="M295" t="e">
        <f t="shared" si="52"/>
        <v>#NUM!</v>
      </c>
      <c r="N295">
        <f t="shared" si="53"/>
        <v>0</v>
      </c>
      <c r="O295">
        <f t="shared" si="54"/>
        <v>0</v>
      </c>
      <c r="P295" t="e">
        <f t="shared" si="55"/>
        <v>#NUM!</v>
      </c>
    </row>
    <row r="296" spans="3:16" x14ac:dyDescent="0.3">
      <c r="C296">
        <f t="shared" si="46"/>
        <v>0</v>
      </c>
      <c r="D296">
        <v>1.5900000000000001E-2</v>
      </c>
      <c r="E296">
        <v>2.9099999999999998E-3</v>
      </c>
      <c r="F296">
        <f t="shared" si="47"/>
        <v>0</v>
      </c>
      <c r="G296">
        <f t="shared" si="48"/>
        <v>0</v>
      </c>
      <c r="H296">
        <f t="shared" si="49"/>
        <v>0</v>
      </c>
      <c r="I296">
        <v>1</v>
      </c>
      <c r="J296" t="e">
        <f t="shared" si="50"/>
        <v>#NUM!</v>
      </c>
      <c r="K296">
        <f t="shared" si="51"/>
        <v>-1.2217251517752175</v>
      </c>
      <c r="L296">
        <v>1</v>
      </c>
      <c r="M296" t="e">
        <f t="shared" si="52"/>
        <v>#NUM!</v>
      </c>
      <c r="N296">
        <f t="shared" si="53"/>
        <v>0</v>
      </c>
      <c r="O296">
        <f t="shared" si="54"/>
        <v>0</v>
      </c>
      <c r="P296" t="e">
        <f t="shared" si="55"/>
        <v>#NUM!</v>
      </c>
    </row>
    <row r="297" spans="3:16" x14ac:dyDescent="0.3">
      <c r="C297">
        <f t="shared" si="46"/>
        <v>0</v>
      </c>
      <c r="D297">
        <v>1.5900000000000001E-2</v>
      </c>
      <c r="E297">
        <v>2.9099999999999998E-3</v>
      </c>
      <c r="F297">
        <f t="shared" si="47"/>
        <v>0</v>
      </c>
      <c r="G297">
        <f t="shared" si="48"/>
        <v>0</v>
      </c>
      <c r="H297">
        <f t="shared" si="49"/>
        <v>0</v>
      </c>
      <c r="I297">
        <v>1</v>
      </c>
      <c r="J297" t="e">
        <f t="shared" si="50"/>
        <v>#NUM!</v>
      </c>
      <c r="K297">
        <f t="shared" si="51"/>
        <v>-1.2217251517752175</v>
      </c>
      <c r="L297">
        <v>1</v>
      </c>
      <c r="M297" t="e">
        <f t="shared" si="52"/>
        <v>#NUM!</v>
      </c>
      <c r="N297">
        <f t="shared" si="53"/>
        <v>0</v>
      </c>
      <c r="O297">
        <f t="shared" si="54"/>
        <v>0</v>
      </c>
      <c r="P297" t="e">
        <f t="shared" si="55"/>
        <v>#NUM!</v>
      </c>
    </row>
    <row r="298" spans="3:16" x14ac:dyDescent="0.3">
      <c r="C298">
        <f t="shared" si="46"/>
        <v>0</v>
      </c>
      <c r="D298">
        <v>1.5900000000000001E-2</v>
      </c>
      <c r="E298">
        <v>2.9099999999999998E-3</v>
      </c>
      <c r="F298">
        <f t="shared" si="47"/>
        <v>0</v>
      </c>
      <c r="G298">
        <f t="shared" si="48"/>
        <v>0</v>
      </c>
      <c r="H298">
        <f t="shared" si="49"/>
        <v>0</v>
      </c>
      <c r="I298">
        <v>1</v>
      </c>
      <c r="J298" t="e">
        <f t="shared" si="50"/>
        <v>#NUM!</v>
      </c>
      <c r="K298">
        <f t="shared" si="51"/>
        <v>-1.2217251517752175</v>
      </c>
      <c r="L298">
        <v>1</v>
      </c>
      <c r="M298" t="e">
        <f t="shared" si="52"/>
        <v>#NUM!</v>
      </c>
      <c r="N298">
        <f t="shared" si="53"/>
        <v>0</v>
      </c>
      <c r="O298">
        <f t="shared" si="54"/>
        <v>0</v>
      </c>
      <c r="P298" t="e">
        <f t="shared" si="55"/>
        <v>#NUM!</v>
      </c>
    </row>
    <row r="299" spans="3:16" x14ac:dyDescent="0.3">
      <c r="C299">
        <f t="shared" si="46"/>
        <v>0</v>
      </c>
      <c r="D299">
        <v>1.5900000000000001E-2</v>
      </c>
      <c r="E299">
        <v>2.9099999999999998E-3</v>
      </c>
      <c r="F299">
        <f t="shared" si="47"/>
        <v>0</v>
      </c>
      <c r="G299">
        <f t="shared" si="48"/>
        <v>0</v>
      </c>
      <c r="H299">
        <f t="shared" si="49"/>
        <v>0</v>
      </c>
      <c r="I299">
        <v>1</v>
      </c>
      <c r="J299" t="e">
        <f t="shared" si="50"/>
        <v>#NUM!</v>
      </c>
      <c r="K299">
        <f t="shared" si="51"/>
        <v>-1.2217251517752175</v>
      </c>
      <c r="L299">
        <v>1</v>
      </c>
      <c r="M299" t="e">
        <f t="shared" si="52"/>
        <v>#NUM!</v>
      </c>
      <c r="N299">
        <f t="shared" si="53"/>
        <v>0</v>
      </c>
      <c r="O299">
        <f t="shared" si="54"/>
        <v>0</v>
      </c>
      <c r="P299" t="e">
        <f t="shared" si="55"/>
        <v>#NUM!</v>
      </c>
    </row>
    <row r="300" spans="3:16" x14ac:dyDescent="0.3">
      <c r="C300">
        <f t="shared" si="46"/>
        <v>0</v>
      </c>
      <c r="D300">
        <v>1.5900000000000001E-2</v>
      </c>
      <c r="E300">
        <v>2.9099999999999998E-3</v>
      </c>
      <c r="F300">
        <f t="shared" si="47"/>
        <v>0</v>
      </c>
      <c r="G300">
        <f t="shared" si="48"/>
        <v>0</v>
      </c>
      <c r="H300">
        <f t="shared" si="49"/>
        <v>0</v>
      </c>
      <c r="I300">
        <v>1</v>
      </c>
      <c r="J300" t="e">
        <f t="shared" si="50"/>
        <v>#NUM!</v>
      </c>
      <c r="K300">
        <f t="shared" si="51"/>
        <v>-1.2217251517752175</v>
      </c>
      <c r="L300">
        <v>1</v>
      </c>
      <c r="M300" t="e">
        <f t="shared" si="52"/>
        <v>#NUM!</v>
      </c>
      <c r="N300">
        <f t="shared" si="53"/>
        <v>0</v>
      </c>
      <c r="O300">
        <f t="shared" si="54"/>
        <v>0</v>
      </c>
      <c r="P300" t="e">
        <f t="shared" si="55"/>
        <v>#NUM!</v>
      </c>
    </row>
    <row r="301" spans="3:16" x14ac:dyDescent="0.3">
      <c r="C301">
        <f t="shared" si="46"/>
        <v>0</v>
      </c>
      <c r="D301">
        <v>1.5900000000000001E-2</v>
      </c>
      <c r="E301">
        <v>2.9099999999999998E-3</v>
      </c>
      <c r="F301">
        <f t="shared" si="47"/>
        <v>0</v>
      </c>
      <c r="G301">
        <f t="shared" si="48"/>
        <v>0</v>
      </c>
      <c r="H301">
        <f t="shared" si="49"/>
        <v>0</v>
      </c>
      <c r="I301">
        <v>1</v>
      </c>
      <c r="J301" t="e">
        <f t="shared" si="50"/>
        <v>#NUM!</v>
      </c>
      <c r="K301">
        <f t="shared" si="51"/>
        <v>-1.2217251517752175</v>
      </c>
      <c r="L301">
        <v>1</v>
      </c>
      <c r="M301" t="e">
        <f t="shared" si="52"/>
        <v>#NUM!</v>
      </c>
      <c r="N301">
        <f t="shared" si="53"/>
        <v>0</v>
      </c>
      <c r="O301">
        <f t="shared" si="54"/>
        <v>0</v>
      </c>
      <c r="P301" t="e">
        <f t="shared" si="55"/>
        <v>#NUM!</v>
      </c>
    </row>
    <row r="302" spans="3:16" x14ac:dyDescent="0.3">
      <c r="C302">
        <f t="shared" si="46"/>
        <v>0</v>
      </c>
      <c r="D302">
        <v>1.5900000000000001E-2</v>
      </c>
      <c r="E302">
        <v>2.9099999999999998E-3</v>
      </c>
      <c r="F302">
        <f t="shared" si="47"/>
        <v>0</v>
      </c>
      <c r="G302">
        <f t="shared" si="48"/>
        <v>0</v>
      </c>
      <c r="H302">
        <f t="shared" si="49"/>
        <v>0</v>
      </c>
      <c r="I302">
        <v>1</v>
      </c>
      <c r="J302" t="e">
        <f t="shared" si="50"/>
        <v>#NUM!</v>
      </c>
      <c r="K302">
        <f t="shared" si="51"/>
        <v>-1.2217251517752175</v>
      </c>
      <c r="L302">
        <v>1</v>
      </c>
      <c r="M302" t="e">
        <f t="shared" si="52"/>
        <v>#NUM!</v>
      </c>
      <c r="N302">
        <f t="shared" si="53"/>
        <v>0</v>
      </c>
      <c r="O302">
        <f t="shared" si="54"/>
        <v>0</v>
      </c>
      <c r="P302" t="e">
        <f t="shared" si="55"/>
        <v>#NUM!</v>
      </c>
    </row>
    <row r="303" spans="3:16" x14ac:dyDescent="0.3">
      <c r="C303">
        <f t="shared" si="46"/>
        <v>0</v>
      </c>
      <c r="D303">
        <v>1.5900000000000001E-2</v>
      </c>
      <c r="E303">
        <v>2.9099999999999998E-3</v>
      </c>
      <c r="F303">
        <f t="shared" si="47"/>
        <v>0</v>
      </c>
      <c r="G303">
        <f t="shared" si="48"/>
        <v>0</v>
      </c>
      <c r="H303">
        <f t="shared" si="49"/>
        <v>0</v>
      </c>
      <c r="I303">
        <v>1</v>
      </c>
      <c r="J303" t="e">
        <f t="shared" si="50"/>
        <v>#NUM!</v>
      </c>
      <c r="K303">
        <f t="shared" si="51"/>
        <v>-1.2217251517752175</v>
      </c>
      <c r="L303">
        <v>1</v>
      </c>
      <c r="M303" t="e">
        <f t="shared" si="52"/>
        <v>#NUM!</v>
      </c>
      <c r="N303">
        <f t="shared" si="53"/>
        <v>0</v>
      </c>
      <c r="O303">
        <f t="shared" si="54"/>
        <v>0</v>
      </c>
      <c r="P303" t="e">
        <f t="shared" si="55"/>
        <v>#NUM!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2"/>
  <sheetViews>
    <sheetView topLeftCell="I201" workbookViewId="0">
      <selection activeCell="O2" sqref="O2:O232"/>
    </sheetView>
  </sheetViews>
  <sheetFormatPr defaultRowHeight="16.5" x14ac:dyDescent="0.3"/>
  <sheetData>
    <row r="1" spans="1:15" x14ac:dyDescent="0.3">
      <c r="A1" t="s">
        <v>11</v>
      </c>
      <c r="B1" t="s">
        <v>11</v>
      </c>
      <c r="C1" t="s">
        <v>12</v>
      </c>
      <c r="D1" t="s">
        <v>32</v>
      </c>
      <c r="I1" s="2">
        <f>Sheet1!N2</f>
        <v>1.2217251517752175</v>
      </c>
    </row>
    <row r="2" spans="1:15" x14ac:dyDescent="0.3">
      <c r="A2">
        <v>6.6100000000000006E-2</v>
      </c>
      <c r="B2">
        <f t="shared" ref="B2:B65" si="0">A2*200</f>
        <v>13.22</v>
      </c>
      <c r="C2">
        <v>0.84599999999999997</v>
      </c>
      <c r="D2">
        <v>2.188474498689175E-2</v>
      </c>
      <c r="E2">
        <f t="shared" ref="E2:E65" si="1">B2</f>
        <v>13.22</v>
      </c>
      <c r="F2">
        <f t="shared" ref="F2:F33" si="2">D2-0.0045</f>
        <v>1.7384744986891749E-2</v>
      </c>
      <c r="I2">
        <f t="shared" ref="I2:I65" si="3">C2+(D2*A2)</f>
        <v>0.84744658164363351</v>
      </c>
      <c r="K2">
        <f t="shared" ref="K2:K65" si="4">I2+(F2*C2)</f>
        <v>0.86215407590254389</v>
      </c>
      <c r="L2">
        <f t="shared" ref="L2:L65" si="5">K2-$I$1</f>
        <v>-0.35957107587267356</v>
      </c>
      <c r="N2">
        <v>5.2834000000000003</v>
      </c>
      <c r="O2">
        <f t="shared" ref="O2:O65" si="6">N2/200</f>
        <v>2.6417000000000003E-2</v>
      </c>
    </row>
    <row r="3" spans="1:15" x14ac:dyDescent="0.3">
      <c r="A3">
        <v>0.11700000000000001</v>
      </c>
      <c r="B3">
        <f t="shared" si="0"/>
        <v>23.400000000000002</v>
      </c>
      <c r="C3">
        <v>0.83699999999999997</v>
      </c>
      <c r="D3">
        <v>2.0042061805725101E-2</v>
      </c>
      <c r="E3">
        <f t="shared" si="1"/>
        <v>23.400000000000002</v>
      </c>
      <c r="F3">
        <f t="shared" si="2"/>
        <v>1.5542061805725101E-2</v>
      </c>
      <c r="I3">
        <f t="shared" si="3"/>
        <v>0.8393449212312698</v>
      </c>
      <c r="K3">
        <f t="shared" si="4"/>
        <v>0.8523536269626617</v>
      </c>
      <c r="L3">
        <f t="shared" si="5"/>
        <v>-0.36937152481255575</v>
      </c>
      <c r="N3">
        <v>15.97625</v>
      </c>
      <c r="O3">
        <f t="shared" si="6"/>
        <v>7.9881250000000001E-2</v>
      </c>
    </row>
    <row r="4" spans="1:15" x14ac:dyDescent="0.3">
      <c r="A4">
        <v>0.16800000000000001</v>
      </c>
      <c r="B4">
        <f t="shared" si="0"/>
        <v>33.6</v>
      </c>
      <c r="C4">
        <v>0.82799999999999996</v>
      </c>
      <c r="D4">
        <v>2.0243566483259201E-2</v>
      </c>
      <c r="E4">
        <f t="shared" si="1"/>
        <v>33.6</v>
      </c>
      <c r="F4">
        <f t="shared" si="2"/>
        <v>1.5743566483259201E-2</v>
      </c>
      <c r="I4">
        <f t="shared" si="3"/>
        <v>0.83140091916918746</v>
      </c>
      <c r="K4">
        <f t="shared" si="4"/>
        <v>0.84443659221732603</v>
      </c>
      <c r="L4">
        <f t="shared" si="5"/>
        <v>-0.37728855955789142</v>
      </c>
      <c r="N4">
        <v>26.05808</v>
      </c>
      <c r="O4">
        <f t="shared" si="6"/>
        <v>0.1302904</v>
      </c>
    </row>
    <row r="5" spans="1:15" x14ac:dyDescent="0.3">
      <c r="A5">
        <v>0.22</v>
      </c>
      <c r="B5">
        <f t="shared" si="0"/>
        <v>44</v>
      </c>
      <c r="C5">
        <v>0.81799999999999995</v>
      </c>
      <c r="D5">
        <v>1.856775023043156E-2</v>
      </c>
      <c r="E5">
        <f t="shared" si="1"/>
        <v>44</v>
      </c>
      <c r="F5">
        <f t="shared" si="2"/>
        <v>1.406775023043156E-2</v>
      </c>
      <c r="I5">
        <f t="shared" si="3"/>
        <v>0.82208490505069487</v>
      </c>
      <c r="K5">
        <f t="shared" si="4"/>
        <v>0.83359232473918787</v>
      </c>
      <c r="L5">
        <f t="shared" si="5"/>
        <v>-0.38813282703602958</v>
      </c>
      <c r="N5">
        <v>36.547260000000001</v>
      </c>
      <c r="O5">
        <f t="shared" si="6"/>
        <v>0.18273630000000002</v>
      </c>
    </row>
    <row r="6" spans="1:15" x14ac:dyDescent="0.3">
      <c r="A6">
        <v>0.27300000000000002</v>
      </c>
      <c r="B6">
        <f t="shared" si="0"/>
        <v>54.6</v>
      </c>
      <c r="C6">
        <v>0.81100000000000005</v>
      </c>
      <c r="D6">
        <v>2.2923443466424939E-2</v>
      </c>
      <c r="E6">
        <f t="shared" si="1"/>
        <v>54.6</v>
      </c>
      <c r="F6">
        <f t="shared" si="2"/>
        <v>1.8423443466424938E-2</v>
      </c>
      <c r="I6">
        <f t="shared" si="3"/>
        <v>0.81725810006633404</v>
      </c>
      <c r="K6">
        <f t="shared" si="4"/>
        <v>0.83219951271760462</v>
      </c>
      <c r="L6">
        <f t="shared" si="5"/>
        <v>-0.38952563905761284</v>
      </c>
      <c r="N6">
        <v>47.443779999999997</v>
      </c>
      <c r="O6">
        <f t="shared" si="6"/>
        <v>0.23721889999999998</v>
      </c>
    </row>
    <row r="7" spans="1:15" x14ac:dyDescent="0.3">
      <c r="A7">
        <v>0.32400000000000001</v>
      </c>
      <c r="B7">
        <f t="shared" si="0"/>
        <v>64.8</v>
      </c>
      <c r="C7">
        <v>0.80300000000000005</v>
      </c>
      <c r="D7">
        <v>2.005913108587265E-2</v>
      </c>
      <c r="E7">
        <f t="shared" si="1"/>
        <v>64.8</v>
      </c>
      <c r="F7">
        <f t="shared" si="2"/>
        <v>1.555913108587265E-2</v>
      </c>
      <c r="I7">
        <f t="shared" si="3"/>
        <v>0.80949915847182274</v>
      </c>
      <c r="K7">
        <f t="shared" si="4"/>
        <v>0.82199314073377849</v>
      </c>
      <c r="L7">
        <f t="shared" si="5"/>
        <v>-0.39973201104143896</v>
      </c>
      <c r="N7">
        <v>57.52561</v>
      </c>
      <c r="O7">
        <f t="shared" si="6"/>
        <v>0.28762805000000002</v>
      </c>
    </row>
    <row r="8" spans="1:15" x14ac:dyDescent="0.3">
      <c r="A8">
        <v>0.375</v>
      </c>
      <c r="B8">
        <f t="shared" si="0"/>
        <v>75</v>
      </c>
      <c r="C8">
        <v>0.79700000000000004</v>
      </c>
      <c r="D8">
        <v>2.0023822784423832E-2</v>
      </c>
      <c r="E8">
        <f t="shared" si="1"/>
        <v>75</v>
      </c>
      <c r="F8">
        <f t="shared" si="2"/>
        <v>1.5523822784423831E-2</v>
      </c>
      <c r="I8">
        <f t="shared" si="3"/>
        <v>0.80450893354415898</v>
      </c>
      <c r="K8">
        <f t="shared" si="4"/>
        <v>0.81688142030334476</v>
      </c>
      <c r="L8">
        <f t="shared" si="5"/>
        <v>-0.40484373147187269</v>
      </c>
      <c r="N8">
        <v>68.014780000000002</v>
      </c>
      <c r="O8">
        <f t="shared" si="6"/>
        <v>0.34007389999999998</v>
      </c>
    </row>
    <row r="9" spans="1:15" x14ac:dyDescent="0.3">
      <c r="A9">
        <v>0.42599999999999999</v>
      </c>
      <c r="B9">
        <f t="shared" si="0"/>
        <v>85.2</v>
      </c>
      <c r="C9">
        <v>0.79100000000000004</v>
      </c>
      <c r="D9">
        <v>2.062098495662212E-2</v>
      </c>
      <c r="E9">
        <f t="shared" si="1"/>
        <v>85.2</v>
      </c>
      <c r="F9">
        <f t="shared" si="2"/>
        <v>1.612098495662212E-2</v>
      </c>
      <c r="I9">
        <f t="shared" si="3"/>
        <v>0.79978453959152107</v>
      </c>
      <c r="K9">
        <f t="shared" si="4"/>
        <v>0.81253623869220915</v>
      </c>
      <c r="L9">
        <f t="shared" si="5"/>
        <v>-0.40918891308300831</v>
      </c>
      <c r="N9">
        <v>78.198440000000005</v>
      </c>
      <c r="O9">
        <f t="shared" si="6"/>
        <v>0.39099220000000001</v>
      </c>
    </row>
    <row r="10" spans="1:15" x14ac:dyDescent="0.3">
      <c r="A10">
        <v>0.47899999999999998</v>
      </c>
      <c r="B10">
        <f t="shared" si="0"/>
        <v>95.8</v>
      </c>
      <c r="C10">
        <v>0.78500000000000003</v>
      </c>
      <c r="D10">
        <v>2.1501641720533371E-2</v>
      </c>
      <c r="E10">
        <f t="shared" si="1"/>
        <v>95.8</v>
      </c>
      <c r="F10">
        <f t="shared" si="2"/>
        <v>1.700164172053337E-2</v>
      </c>
      <c r="I10">
        <f t="shared" si="3"/>
        <v>0.7952992863841355</v>
      </c>
      <c r="K10">
        <f t="shared" si="4"/>
        <v>0.80864557513475421</v>
      </c>
      <c r="L10">
        <f t="shared" si="5"/>
        <v>-0.41307957664046324</v>
      </c>
      <c r="N10">
        <v>88.483949999999993</v>
      </c>
      <c r="O10">
        <f t="shared" si="6"/>
        <v>0.44241974999999995</v>
      </c>
    </row>
    <row r="11" spans="1:15" x14ac:dyDescent="0.3">
      <c r="A11">
        <v>0.53299999999999992</v>
      </c>
      <c r="B11">
        <f t="shared" si="0"/>
        <v>106.59999999999998</v>
      </c>
      <c r="C11">
        <v>0.77900000000000003</v>
      </c>
      <c r="D11">
        <v>2.0745120942592621E-2</v>
      </c>
      <c r="E11">
        <f t="shared" si="1"/>
        <v>106.59999999999998</v>
      </c>
      <c r="F11">
        <f t="shared" si="2"/>
        <v>1.624512094259262E-2</v>
      </c>
      <c r="I11">
        <f t="shared" si="3"/>
        <v>0.79005714946240191</v>
      </c>
      <c r="K11">
        <f t="shared" si="4"/>
        <v>0.80271209867668158</v>
      </c>
      <c r="L11">
        <f t="shared" si="5"/>
        <v>-0.41901305309853587</v>
      </c>
      <c r="N11">
        <v>98.667609999999996</v>
      </c>
      <c r="O11">
        <f t="shared" si="6"/>
        <v>0.49333804999999997</v>
      </c>
    </row>
    <row r="12" spans="1:15" x14ac:dyDescent="0.3">
      <c r="A12">
        <v>0.58799999999999997</v>
      </c>
      <c r="B12">
        <f t="shared" si="0"/>
        <v>117.6</v>
      </c>
      <c r="C12">
        <v>0.77400000000000002</v>
      </c>
      <c r="D12">
        <v>2.2231558337807659E-2</v>
      </c>
      <c r="E12">
        <f t="shared" si="1"/>
        <v>117.6</v>
      </c>
      <c r="F12">
        <f t="shared" si="2"/>
        <v>1.7731558337807658E-2</v>
      </c>
      <c r="I12">
        <f t="shared" si="3"/>
        <v>0.78707215630263094</v>
      </c>
      <c r="K12">
        <f t="shared" si="4"/>
        <v>0.80079638245609408</v>
      </c>
      <c r="L12">
        <f t="shared" si="5"/>
        <v>-0.42092876931912337</v>
      </c>
      <c r="N12">
        <v>109.05495999999999</v>
      </c>
      <c r="O12">
        <f t="shared" si="6"/>
        <v>0.54527479999999995</v>
      </c>
    </row>
    <row r="13" spans="1:15" x14ac:dyDescent="0.3">
      <c r="A13">
        <v>0.63900000000000001</v>
      </c>
      <c r="B13">
        <f t="shared" si="0"/>
        <v>127.8</v>
      </c>
      <c r="C13">
        <v>0.76800000000000002</v>
      </c>
      <c r="D13">
        <v>2.0618855953216549E-2</v>
      </c>
      <c r="E13">
        <f t="shared" si="1"/>
        <v>127.8</v>
      </c>
      <c r="F13">
        <f t="shared" si="2"/>
        <v>1.6118855953216549E-2</v>
      </c>
      <c r="I13">
        <f t="shared" si="3"/>
        <v>0.7811754489541054</v>
      </c>
      <c r="K13">
        <f t="shared" si="4"/>
        <v>0.79355473032617574</v>
      </c>
      <c r="L13">
        <f t="shared" si="5"/>
        <v>-0.42817042144904172</v>
      </c>
      <c r="N13">
        <v>119.4423</v>
      </c>
      <c r="O13">
        <f t="shared" si="6"/>
        <v>0.59721150000000001</v>
      </c>
    </row>
    <row r="14" spans="1:15" x14ac:dyDescent="0.3">
      <c r="A14">
        <v>0.68900000000000006</v>
      </c>
      <c r="B14">
        <f t="shared" si="0"/>
        <v>137.80000000000001</v>
      </c>
      <c r="C14">
        <v>0.76400000000000001</v>
      </c>
      <c r="D14">
        <v>2.157804369926453E-2</v>
      </c>
      <c r="E14">
        <f t="shared" si="1"/>
        <v>137.80000000000001</v>
      </c>
      <c r="F14">
        <f t="shared" si="2"/>
        <v>1.7078043699264529E-2</v>
      </c>
      <c r="I14">
        <f t="shared" si="3"/>
        <v>0.77886727210879325</v>
      </c>
      <c r="K14">
        <f t="shared" si="4"/>
        <v>0.7919148974950313</v>
      </c>
      <c r="L14">
        <f t="shared" si="5"/>
        <v>-0.42981025428018615</v>
      </c>
      <c r="N14">
        <v>129.52412000000001</v>
      </c>
      <c r="O14">
        <f t="shared" si="6"/>
        <v>0.6476206000000001</v>
      </c>
    </row>
    <row r="15" spans="1:15" x14ac:dyDescent="0.3">
      <c r="A15">
        <v>0.74299999999999999</v>
      </c>
      <c r="B15">
        <f t="shared" si="0"/>
        <v>148.6</v>
      </c>
      <c r="C15">
        <v>0.75900000000000001</v>
      </c>
      <c r="D15">
        <v>2.0844914019107819E-2</v>
      </c>
      <c r="E15">
        <f t="shared" si="1"/>
        <v>148.6</v>
      </c>
      <c r="F15">
        <f t="shared" si="2"/>
        <v>1.6344914019107818E-2</v>
      </c>
      <c r="I15">
        <f t="shared" si="3"/>
        <v>0.77448777111619715</v>
      </c>
      <c r="K15">
        <f t="shared" si="4"/>
        <v>0.78689356085670004</v>
      </c>
      <c r="L15">
        <f t="shared" si="5"/>
        <v>-0.43483159091851742</v>
      </c>
      <c r="N15">
        <v>139.60594</v>
      </c>
      <c r="O15">
        <f t="shared" si="6"/>
        <v>0.69802969999999998</v>
      </c>
    </row>
    <row r="16" spans="1:15" x14ac:dyDescent="0.3">
      <c r="A16">
        <v>0.79400000000000004</v>
      </c>
      <c r="B16">
        <f t="shared" si="0"/>
        <v>158.80000000000001</v>
      </c>
      <c r="C16">
        <v>0.754</v>
      </c>
      <c r="D16">
        <v>2.178681455552578E-2</v>
      </c>
      <c r="E16">
        <f t="shared" si="1"/>
        <v>158.80000000000001</v>
      </c>
      <c r="F16">
        <f t="shared" si="2"/>
        <v>1.7286814555525779E-2</v>
      </c>
      <c r="I16">
        <f t="shared" si="3"/>
        <v>0.77129873075708744</v>
      </c>
      <c r="K16">
        <f t="shared" si="4"/>
        <v>0.78433298893195391</v>
      </c>
      <c r="L16">
        <f t="shared" si="5"/>
        <v>-0.43739216284326354</v>
      </c>
      <c r="N16">
        <v>150.29879</v>
      </c>
      <c r="O16">
        <f t="shared" si="6"/>
        <v>0.75149394999999997</v>
      </c>
    </row>
    <row r="17" spans="1:15" x14ac:dyDescent="0.3">
      <c r="A17">
        <v>0.84699999999999998</v>
      </c>
      <c r="B17">
        <f t="shared" si="0"/>
        <v>169.4</v>
      </c>
      <c r="C17">
        <v>0.75</v>
      </c>
      <c r="D17">
        <v>2.149804309010506E-2</v>
      </c>
      <c r="E17">
        <f t="shared" si="1"/>
        <v>169.4</v>
      </c>
      <c r="F17">
        <f t="shared" si="2"/>
        <v>1.699804309010506E-2</v>
      </c>
      <c r="I17">
        <f t="shared" si="3"/>
        <v>0.76820884249731902</v>
      </c>
      <c r="K17">
        <f t="shared" si="4"/>
        <v>0.7809573748148978</v>
      </c>
      <c r="L17">
        <f t="shared" si="5"/>
        <v>-0.44076777696031966</v>
      </c>
      <c r="N17">
        <v>160.38063</v>
      </c>
      <c r="O17">
        <f t="shared" si="6"/>
        <v>0.80190315000000001</v>
      </c>
    </row>
    <row r="18" spans="1:15" x14ac:dyDescent="0.3">
      <c r="A18">
        <v>0.89900000000000002</v>
      </c>
      <c r="B18">
        <f t="shared" si="0"/>
        <v>179.8</v>
      </c>
      <c r="C18">
        <v>0.746</v>
      </c>
      <c r="D18">
        <v>2.160311862826347E-2</v>
      </c>
      <c r="E18">
        <f t="shared" si="1"/>
        <v>179.8</v>
      </c>
      <c r="F18">
        <f t="shared" si="2"/>
        <v>1.710311862826347E-2</v>
      </c>
      <c r="I18">
        <f t="shared" si="3"/>
        <v>0.76542120364680888</v>
      </c>
      <c r="K18">
        <f t="shared" si="4"/>
        <v>0.77818013014349341</v>
      </c>
      <c r="L18">
        <f t="shared" si="5"/>
        <v>-0.44354502163172405</v>
      </c>
      <c r="N18">
        <v>170.76795999999999</v>
      </c>
      <c r="O18">
        <f t="shared" si="6"/>
        <v>0.85383979999999993</v>
      </c>
    </row>
    <row r="19" spans="1:15" x14ac:dyDescent="0.3">
      <c r="A19">
        <v>0.95099999999999996</v>
      </c>
      <c r="B19">
        <f t="shared" si="0"/>
        <v>190.2</v>
      </c>
      <c r="C19">
        <v>0.74199999999999999</v>
      </c>
      <c r="D19">
        <v>2.212035283446312E-2</v>
      </c>
      <c r="E19">
        <f t="shared" si="1"/>
        <v>190.2</v>
      </c>
      <c r="F19">
        <f t="shared" si="2"/>
        <v>1.7620352834463119E-2</v>
      </c>
      <c r="I19">
        <f t="shared" si="3"/>
        <v>0.76303645554557442</v>
      </c>
      <c r="K19">
        <f t="shared" si="4"/>
        <v>0.77611075734874602</v>
      </c>
      <c r="L19">
        <f t="shared" si="5"/>
        <v>-0.44561439442647144</v>
      </c>
      <c r="N19">
        <v>180.84979000000001</v>
      </c>
      <c r="O19">
        <f t="shared" si="6"/>
        <v>0.90424895000000005</v>
      </c>
    </row>
    <row r="20" spans="1:15" x14ac:dyDescent="0.3">
      <c r="A20">
        <v>1</v>
      </c>
      <c r="B20">
        <f t="shared" si="0"/>
        <v>200</v>
      </c>
      <c r="C20">
        <v>0.73699999999999999</v>
      </c>
      <c r="D20">
        <v>2.196707017719746E-2</v>
      </c>
      <c r="E20">
        <f t="shared" si="1"/>
        <v>200</v>
      </c>
      <c r="F20">
        <f t="shared" si="2"/>
        <v>1.7467070177197459E-2</v>
      </c>
      <c r="I20">
        <f t="shared" si="3"/>
        <v>0.75896707017719744</v>
      </c>
      <c r="K20">
        <f t="shared" si="4"/>
        <v>0.77184030089779199</v>
      </c>
      <c r="L20">
        <f t="shared" si="5"/>
        <v>-0.44988485087742547</v>
      </c>
      <c r="N20">
        <v>191.54263</v>
      </c>
      <c r="O20">
        <f t="shared" si="6"/>
        <v>0.95771315000000001</v>
      </c>
    </row>
    <row r="21" spans="1:15" x14ac:dyDescent="0.3">
      <c r="A21">
        <v>1.06</v>
      </c>
      <c r="B21">
        <f t="shared" si="0"/>
        <v>212</v>
      </c>
      <c r="C21">
        <v>0.73299999999999998</v>
      </c>
      <c r="D21">
        <v>2.210067585110664E-2</v>
      </c>
      <c r="E21">
        <f t="shared" si="1"/>
        <v>212</v>
      </c>
      <c r="F21">
        <f t="shared" si="2"/>
        <v>1.760067585110664E-2</v>
      </c>
      <c r="I21">
        <f t="shared" si="3"/>
        <v>0.75642671640217307</v>
      </c>
      <c r="K21">
        <f t="shared" si="4"/>
        <v>0.76932801180103427</v>
      </c>
      <c r="L21">
        <f t="shared" si="5"/>
        <v>-0.45239713997418318</v>
      </c>
      <c r="N21">
        <v>201.92998</v>
      </c>
      <c r="O21">
        <f t="shared" si="6"/>
        <v>1.0096499000000001</v>
      </c>
    </row>
    <row r="22" spans="1:15" x14ac:dyDescent="0.3">
      <c r="A22">
        <v>1.1100000000000001</v>
      </c>
      <c r="B22">
        <f t="shared" si="0"/>
        <v>222.00000000000003</v>
      </c>
      <c r="C22">
        <v>0.72899999999999998</v>
      </c>
      <c r="D22">
        <v>2.124469913542271E-2</v>
      </c>
      <c r="E22">
        <f t="shared" si="1"/>
        <v>222.00000000000003</v>
      </c>
      <c r="F22">
        <f t="shared" si="2"/>
        <v>1.674469913542271E-2</v>
      </c>
      <c r="I22">
        <f t="shared" si="3"/>
        <v>0.75258161604031915</v>
      </c>
      <c r="K22">
        <f t="shared" si="4"/>
        <v>0.76478850171004231</v>
      </c>
      <c r="L22">
        <f t="shared" si="5"/>
        <v>-0.45693665006517514</v>
      </c>
      <c r="N22">
        <v>212.72468000000001</v>
      </c>
      <c r="O22">
        <f t="shared" si="6"/>
        <v>1.0636234</v>
      </c>
    </row>
    <row r="23" spans="1:15" x14ac:dyDescent="0.3">
      <c r="A23">
        <v>1.1599999999999999</v>
      </c>
      <c r="B23">
        <f t="shared" si="0"/>
        <v>231.99999999999997</v>
      </c>
      <c r="C23">
        <v>0.72599999999999998</v>
      </c>
      <c r="D23">
        <v>2.2234654054045681E-2</v>
      </c>
      <c r="E23">
        <f t="shared" si="1"/>
        <v>231.99999999999997</v>
      </c>
      <c r="F23">
        <f t="shared" si="2"/>
        <v>1.773465405404568E-2</v>
      </c>
      <c r="I23">
        <f t="shared" si="3"/>
        <v>0.75179219870269298</v>
      </c>
      <c r="K23">
        <f t="shared" si="4"/>
        <v>0.76466755754593019</v>
      </c>
      <c r="L23">
        <f t="shared" si="5"/>
        <v>-0.45705759422928727</v>
      </c>
      <c r="N23">
        <v>223.0102</v>
      </c>
      <c r="O23">
        <f t="shared" si="6"/>
        <v>1.115051</v>
      </c>
    </row>
    <row r="24" spans="1:15" x14ac:dyDescent="0.3">
      <c r="A24">
        <v>1.21</v>
      </c>
      <c r="B24">
        <f t="shared" si="0"/>
        <v>242</v>
      </c>
      <c r="C24">
        <v>0.72199999999999998</v>
      </c>
      <c r="D24">
        <v>2.1999139338731769E-2</v>
      </c>
      <c r="E24">
        <f t="shared" si="1"/>
        <v>242</v>
      </c>
      <c r="F24">
        <f t="shared" si="2"/>
        <v>1.7499139338731769E-2</v>
      </c>
      <c r="I24">
        <f t="shared" si="3"/>
        <v>0.74861895859986538</v>
      </c>
      <c r="K24">
        <f t="shared" si="4"/>
        <v>0.76125333720242971</v>
      </c>
      <c r="L24">
        <f t="shared" si="5"/>
        <v>-0.46047181457278774</v>
      </c>
      <c r="N24">
        <v>233.39753999999999</v>
      </c>
      <c r="O24">
        <f t="shared" si="6"/>
        <v>1.1669877</v>
      </c>
    </row>
    <row r="25" spans="1:15" x14ac:dyDescent="0.3">
      <c r="A25">
        <v>1.27</v>
      </c>
      <c r="B25">
        <f t="shared" si="0"/>
        <v>254</v>
      </c>
      <c r="C25">
        <v>0.71799999999999997</v>
      </c>
      <c r="D25">
        <v>2.26028598845005E-2</v>
      </c>
      <c r="E25">
        <f t="shared" si="1"/>
        <v>254</v>
      </c>
      <c r="F25">
        <f t="shared" si="2"/>
        <v>1.81028598845005E-2</v>
      </c>
      <c r="I25">
        <f t="shared" si="3"/>
        <v>0.74670563205331564</v>
      </c>
      <c r="K25">
        <f t="shared" si="4"/>
        <v>0.75970348545038702</v>
      </c>
      <c r="L25">
        <f t="shared" si="5"/>
        <v>-0.46202166632483044</v>
      </c>
      <c r="N25">
        <v>243.47934000000001</v>
      </c>
      <c r="O25">
        <f t="shared" si="6"/>
        <v>1.2173967000000001</v>
      </c>
    </row>
    <row r="26" spans="1:15" x14ac:dyDescent="0.3">
      <c r="A26">
        <v>1.32</v>
      </c>
      <c r="B26">
        <f t="shared" si="0"/>
        <v>264</v>
      </c>
      <c r="C26">
        <v>0.71399999999999997</v>
      </c>
      <c r="D26">
        <v>2.1366743370890621E-2</v>
      </c>
      <c r="E26">
        <f t="shared" si="1"/>
        <v>264</v>
      </c>
      <c r="F26">
        <f t="shared" si="2"/>
        <v>1.686674337089062E-2</v>
      </c>
      <c r="I26">
        <f t="shared" si="3"/>
        <v>0.74220410124957559</v>
      </c>
      <c r="K26">
        <f t="shared" si="4"/>
        <v>0.75424695601639147</v>
      </c>
      <c r="L26">
        <f t="shared" si="5"/>
        <v>-0.46747819575882599</v>
      </c>
      <c r="N26">
        <v>253.76483999999999</v>
      </c>
      <c r="O26">
        <f t="shared" si="6"/>
        <v>1.2688242000000001</v>
      </c>
    </row>
    <row r="27" spans="1:15" x14ac:dyDescent="0.3">
      <c r="A27">
        <v>1.37</v>
      </c>
      <c r="B27">
        <f t="shared" si="0"/>
        <v>274</v>
      </c>
      <c r="C27">
        <v>0.71099999999999997</v>
      </c>
      <c r="D27">
        <v>2.244500815868378E-2</v>
      </c>
      <c r="E27">
        <f t="shared" si="1"/>
        <v>274</v>
      </c>
      <c r="F27">
        <f t="shared" si="2"/>
        <v>1.794500815868378E-2</v>
      </c>
      <c r="I27">
        <f t="shared" si="3"/>
        <v>0.74174966117739671</v>
      </c>
      <c r="K27">
        <f t="shared" si="4"/>
        <v>0.75450856197822092</v>
      </c>
      <c r="L27">
        <f t="shared" si="5"/>
        <v>-0.46721658979699654</v>
      </c>
      <c r="N27">
        <v>264.66138000000001</v>
      </c>
      <c r="O27">
        <f t="shared" si="6"/>
        <v>1.3233069</v>
      </c>
    </row>
    <row r="28" spans="1:15" x14ac:dyDescent="0.3">
      <c r="A28">
        <v>1.42</v>
      </c>
      <c r="B28">
        <f t="shared" si="0"/>
        <v>284</v>
      </c>
      <c r="C28">
        <v>0.70699999999999996</v>
      </c>
      <c r="D28">
        <v>2.0689802244305611E-2</v>
      </c>
      <c r="E28">
        <f t="shared" si="1"/>
        <v>284</v>
      </c>
      <c r="F28">
        <f t="shared" si="2"/>
        <v>1.618980224430561E-2</v>
      </c>
      <c r="I28">
        <f t="shared" si="3"/>
        <v>0.73637951918691391</v>
      </c>
      <c r="K28">
        <f t="shared" si="4"/>
        <v>0.74782570937363801</v>
      </c>
      <c r="L28">
        <f t="shared" si="5"/>
        <v>-0.47389944240157944</v>
      </c>
      <c r="N28">
        <v>275.35422</v>
      </c>
      <c r="O28">
        <f t="shared" si="6"/>
        <v>1.3767711</v>
      </c>
    </row>
    <row r="29" spans="1:15" x14ac:dyDescent="0.3">
      <c r="A29">
        <v>1.47</v>
      </c>
      <c r="B29">
        <f t="shared" si="0"/>
        <v>294</v>
      </c>
      <c r="C29">
        <v>0.70399999999999996</v>
      </c>
      <c r="D29">
        <v>2.18848567456007E-2</v>
      </c>
      <c r="E29">
        <f t="shared" si="1"/>
        <v>294</v>
      </c>
      <c r="F29">
        <f t="shared" si="2"/>
        <v>1.73848567456007E-2</v>
      </c>
      <c r="I29">
        <f t="shared" si="3"/>
        <v>0.73617073941603295</v>
      </c>
      <c r="K29">
        <f t="shared" si="4"/>
        <v>0.74840967856493579</v>
      </c>
      <c r="L29">
        <f t="shared" si="5"/>
        <v>-0.47331547321028167</v>
      </c>
      <c r="N29">
        <v>285.74155999999999</v>
      </c>
      <c r="O29">
        <f t="shared" si="6"/>
        <v>1.4287078</v>
      </c>
    </row>
    <row r="30" spans="1:15" x14ac:dyDescent="0.3">
      <c r="A30">
        <v>1.52</v>
      </c>
      <c r="B30">
        <f t="shared" si="0"/>
        <v>304</v>
      </c>
      <c r="C30">
        <v>0.70099999999999996</v>
      </c>
      <c r="D30">
        <v>2.1423265337944031E-2</v>
      </c>
      <c r="E30">
        <f t="shared" si="1"/>
        <v>304</v>
      </c>
      <c r="F30">
        <f t="shared" si="2"/>
        <v>1.692326533794403E-2</v>
      </c>
      <c r="I30">
        <f t="shared" si="3"/>
        <v>0.73356336331367489</v>
      </c>
      <c r="K30">
        <f t="shared" si="4"/>
        <v>0.74542657231557363</v>
      </c>
      <c r="L30">
        <f t="shared" si="5"/>
        <v>-0.47629857945964382</v>
      </c>
      <c r="N30">
        <v>295.82337999999999</v>
      </c>
      <c r="O30">
        <f t="shared" si="6"/>
        <v>1.4791169</v>
      </c>
    </row>
    <row r="31" spans="1:15" x14ac:dyDescent="0.3">
      <c r="A31">
        <v>1.57</v>
      </c>
      <c r="B31">
        <f t="shared" si="0"/>
        <v>314</v>
      </c>
      <c r="C31">
        <v>0.69699999999999995</v>
      </c>
      <c r="D31">
        <v>2.2060304880142208E-2</v>
      </c>
      <c r="E31">
        <f t="shared" si="1"/>
        <v>314</v>
      </c>
      <c r="F31">
        <f t="shared" si="2"/>
        <v>1.7560304880142208E-2</v>
      </c>
      <c r="I31">
        <f t="shared" si="3"/>
        <v>0.73163467866182319</v>
      </c>
      <c r="K31">
        <f t="shared" si="4"/>
        <v>0.74387421116328234</v>
      </c>
      <c r="L31">
        <f t="shared" si="5"/>
        <v>-0.47785094061193512</v>
      </c>
      <c r="N31">
        <v>305.90519999999998</v>
      </c>
      <c r="O31">
        <f t="shared" si="6"/>
        <v>1.5295259999999999</v>
      </c>
    </row>
    <row r="32" spans="1:15" x14ac:dyDescent="0.3">
      <c r="A32">
        <v>1.62</v>
      </c>
      <c r="B32">
        <f t="shared" si="0"/>
        <v>324</v>
      </c>
      <c r="C32">
        <v>0.69399999999999995</v>
      </c>
      <c r="D32">
        <v>2.0660316571593281E-2</v>
      </c>
      <c r="E32">
        <f t="shared" si="1"/>
        <v>324</v>
      </c>
      <c r="F32">
        <f t="shared" si="2"/>
        <v>1.6160316571593281E-2</v>
      </c>
      <c r="I32">
        <f t="shared" si="3"/>
        <v>0.72746971284598105</v>
      </c>
      <c r="K32">
        <f t="shared" si="4"/>
        <v>0.73868497254666676</v>
      </c>
      <c r="L32">
        <f t="shared" si="5"/>
        <v>-0.48304017922855069</v>
      </c>
      <c r="N32">
        <v>316.29257999999999</v>
      </c>
      <c r="O32">
        <f t="shared" si="6"/>
        <v>1.5814629</v>
      </c>
    </row>
    <row r="33" spans="1:15" x14ac:dyDescent="0.3">
      <c r="A33">
        <v>1.68</v>
      </c>
      <c r="B33">
        <f t="shared" si="0"/>
        <v>336</v>
      </c>
      <c r="C33">
        <v>0.69099999999999995</v>
      </c>
      <c r="D33">
        <v>2.202636934816837E-2</v>
      </c>
      <c r="E33">
        <f t="shared" si="1"/>
        <v>336</v>
      </c>
      <c r="F33">
        <f t="shared" si="2"/>
        <v>1.7526369348168369E-2</v>
      </c>
      <c r="I33">
        <f t="shared" si="3"/>
        <v>0.72800430050492282</v>
      </c>
      <c r="K33">
        <f t="shared" si="4"/>
        <v>0.74011502172450716</v>
      </c>
      <c r="L33">
        <f t="shared" si="5"/>
        <v>-0.48161013005071029</v>
      </c>
      <c r="N33">
        <v>326.57805999999999</v>
      </c>
      <c r="O33">
        <f t="shared" si="6"/>
        <v>1.6328902999999999</v>
      </c>
    </row>
    <row r="34" spans="1:15" x14ac:dyDescent="0.3">
      <c r="A34">
        <v>1.73</v>
      </c>
      <c r="B34">
        <f t="shared" si="0"/>
        <v>346</v>
      </c>
      <c r="C34">
        <v>0.68700000000000006</v>
      </c>
      <c r="D34">
        <v>2.0862473174929619E-2</v>
      </c>
      <c r="E34">
        <f t="shared" si="1"/>
        <v>346</v>
      </c>
      <c r="F34">
        <f t="shared" ref="F34:F65" si="7">D34-0.0045</f>
        <v>1.6362473174929618E-2</v>
      </c>
      <c r="I34">
        <f t="shared" si="3"/>
        <v>0.72309207859262825</v>
      </c>
      <c r="K34">
        <f t="shared" si="4"/>
        <v>0.73433309766380495</v>
      </c>
      <c r="L34">
        <f t="shared" si="5"/>
        <v>-0.48739205411141251</v>
      </c>
      <c r="N34">
        <v>336.65987999999999</v>
      </c>
      <c r="O34">
        <f t="shared" si="6"/>
        <v>1.6832993999999999</v>
      </c>
    </row>
    <row r="35" spans="1:15" x14ac:dyDescent="0.3">
      <c r="A35">
        <v>1.78</v>
      </c>
      <c r="B35">
        <f t="shared" si="0"/>
        <v>356</v>
      </c>
      <c r="C35">
        <v>0.68400000000000005</v>
      </c>
      <c r="D35">
        <v>2.1696290001273159E-2</v>
      </c>
      <c r="E35">
        <f t="shared" si="1"/>
        <v>356</v>
      </c>
      <c r="F35">
        <f t="shared" si="7"/>
        <v>1.7196290001273158E-2</v>
      </c>
      <c r="I35">
        <f t="shared" si="3"/>
        <v>0.72261939620226623</v>
      </c>
      <c r="K35">
        <f t="shared" si="4"/>
        <v>0.73438165856313709</v>
      </c>
      <c r="L35">
        <f t="shared" si="5"/>
        <v>-0.48734349321208037</v>
      </c>
      <c r="N35">
        <v>347.14904000000001</v>
      </c>
      <c r="O35">
        <f t="shared" si="6"/>
        <v>1.7357452</v>
      </c>
    </row>
    <row r="36" spans="1:15" x14ac:dyDescent="0.3">
      <c r="A36">
        <v>1.83</v>
      </c>
      <c r="B36">
        <f t="shared" si="0"/>
        <v>366</v>
      </c>
      <c r="C36">
        <v>0.68100000000000005</v>
      </c>
      <c r="D36">
        <v>2.0726272836327549E-2</v>
      </c>
      <c r="E36">
        <f t="shared" si="1"/>
        <v>366</v>
      </c>
      <c r="F36">
        <f t="shared" si="7"/>
        <v>1.6226272836327549E-2</v>
      </c>
      <c r="I36">
        <f t="shared" si="3"/>
        <v>0.71892907929047944</v>
      </c>
      <c r="K36">
        <f t="shared" si="4"/>
        <v>0.72997917109201849</v>
      </c>
      <c r="L36">
        <f t="shared" si="5"/>
        <v>-0.49174598068319897</v>
      </c>
      <c r="N36">
        <v>357.33271999999999</v>
      </c>
      <c r="O36">
        <f t="shared" si="6"/>
        <v>1.7866636</v>
      </c>
    </row>
    <row r="37" spans="1:15" x14ac:dyDescent="0.3">
      <c r="A37">
        <v>1.88</v>
      </c>
      <c r="B37">
        <f t="shared" si="0"/>
        <v>376</v>
      </c>
      <c r="C37">
        <v>0.67800000000000005</v>
      </c>
      <c r="D37">
        <v>2.208458632230759E-2</v>
      </c>
      <c r="E37">
        <f t="shared" si="1"/>
        <v>376</v>
      </c>
      <c r="F37">
        <f t="shared" si="7"/>
        <v>1.758458632230759E-2</v>
      </c>
      <c r="I37">
        <f t="shared" si="3"/>
        <v>0.71951902228593834</v>
      </c>
      <c r="K37">
        <f t="shared" si="4"/>
        <v>0.73144137181246294</v>
      </c>
      <c r="L37">
        <f t="shared" si="5"/>
        <v>-0.49028377996275452</v>
      </c>
      <c r="N37">
        <v>367.92376000000002</v>
      </c>
      <c r="O37">
        <f t="shared" si="6"/>
        <v>1.8396188</v>
      </c>
    </row>
    <row r="38" spans="1:15" x14ac:dyDescent="0.3">
      <c r="A38">
        <v>1.93</v>
      </c>
      <c r="B38">
        <f t="shared" si="0"/>
        <v>386</v>
      </c>
      <c r="C38">
        <v>0.67500000000000004</v>
      </c>
      <c r="D38">
        <v>2.0804669708013531E-2</v>
      </c>
      <c r="E38">
        <f t="shared" si="1"/>
        <v>386</v>
      </c>
      <c r="F38">
        <f t="shared" si="7"/>
        <v>1.6304669708013531E-2</v>
      </c>
      <c r="I38">
        <f t="shared" si="3"/>
        <v>0.71515301253646613</v>
      </c>
      <c r="K38">
        <f t="shared" si="4"/>
        <v>0.72615866458937528</v>
      </c>
      <c r="L38">
        <f t="shared" si="5"/>
        <v>-0.49556648718584217</v>
      </c>
      <c r="N38">
        <v>378.51474000000002</v>
      </c>
      <c r="O38">
        <f t="shared" si="6"/>
        <v>1.8925737</v>
      </c>
    </row>
    <row r="39" spans="1:15" x14ac:dyDescent="0.3">
      <c r="A39">
        <v>1.98</v>
      </c>
      <c r="B39">
        <f t="shared" si="0"/>
        <v>396</v>
      </c>
      <c r="C39">
        <v>0.67200000000000004</v>
      </c>
      <c r="D39">
        <v>2.1982461214065548E-2</v>
      </c>
      <c r="E39">
        <f t="shared" si="1"/>
        <v>396</v>
      </c>
      <c r="F39">
        <f t="shared" si="7"/>
        <v>1.7482461214065548E-2</v>
      </c>
      <c r="I39">
        <f t="shared" si="3"/>
        <v>0.71552527320384984</v>
      </c>
      <c r="K39">
        <f t="shared" si="4"/>
        <v>0.72727348713970186</v>
      </c>
      <c r="L39">
        <f t="shared" si="5"/>
        <v>-0.4944516646355156</v>
      </c>
      <c r="N39">
        <v>388.59658000000002</v>
      </c>
      <c r="O39">
        <f t="shared" si="6"/>
        <v>1.9429829000000001</v>
      </c>
    </row>
    <row r="40" spans="1:15" x14ac:dyDescent="0.3">
      <c r="A40">
        <v>2.04</v>
      </c>
      <c r="B40">
        <f t="shared" si="0"/>
        <v>408</v>
      </c>
      <c r="C40">
        <v>0.66900000000000004</v>
      </c>
      <c r="D40">
        <v>2.07621343433857E-2</v>
      </c>
      <c r="E40">
        <f t="shared" si="1"/>
        <v>408</v>
      </c>
      <c r="F40">
        <f t="shared" si="7"/>
        <v>1.6262134343385699E-2</v>
      </c>
      <c r="I40">
        <f t="shared" si="3"/>
        <v>0.71135475406050686</v>
      </c>
      <c r="K40">
        <f t="shared" si="4"/>
        <v>0.72223412193623193</v>
      </c>
      <c r="L40">
        <f t="shared" si="5"/>
        <v>-0.49949102983898552</v>
      </c>
      <c r="N40">
        <v>399.08575999999999</v>
      </c>
      <c r="O40">
        <f t="shared" si="6"/>
        <v>1.9954288</v>
      </c>
    </row>
    <row r="41" spans="1:15" x14ac:dyDescent="0.3">
      <c r="A41">
        <v>2.09</v>
      </c>
      <c r="B41">
        <f t="shared" si="0"/>
        <v>418</v>
      </c>
      <c r="C41">
        <v>0.66600000000000004</v>
      </c>
      <c r="D41">
        <v>2.174874022603035E-2</v>
      </c>
      <c r="E41">
        <f t="shared" si="1"/>
        <v>418</v>
      </c>
      <c r="F41">
        <f t="shared" si="7"/>
        <v>1.7248740226030349E-2</v>
      </c>
      <c r="I41">
        <f t="shared" si="3"/>
        <v>0.71145486707240346</v>
      </c>
      <c r="K41">
        <f t="shared" si="4"/>
        <v>0.72294252806293968</v>
      </c>
      <c r="L41">
        <f t="shared" si="5"/>
        <v>-0.49878262371227777</v>
      </c>
      <c r="N41">
        <v>409.67680000000001</v>
      </c>
      <c r="O41">
        <f t="shared" si="6"/>
        <v>2.048384</v>
      </c>
    </row>
    <row r="42" spans="1:15" x14ac:dyDescent="0.3">
      <c r="A42">
        <v>2.14</v>
      </c>
      <c r="B42">
        <f t="shared" si="0"/>
        <v>428</v>
      </c>
      <c r="C42">
        <v>0.66300000000000003</v>
      </c>
      <c r="D42">
        <v>2.0798899233341221E-2</v>
      </c>
      <c r="E42">
        <f t="shared" si="1"/>
        <v>428</v>
      </c>
      <c r="F42">
        <f t="shared" si="7"/>
        <v>1.629889923334122E-2</v>
      </c>
      <c r="I42">
        <f t="shared" si="3"/>
        <v>0.70750964435935026</v>
      </c>
      <c r="K42">
        <f t="shared" si="4"/>
        <v>0.71831581455105553</v>
      </c>
      <c r="L42">
        <f t="shared" si="5"/>
        <v>-0.50340933722416192</v>
      </c>
      <c r="N42">
        <v>419.7586</v>
      </c>
      <c r="O42">
        <f t="shared" si="6"/>
        <v>2.0987930000000001</v>
      </c>
    </row>
    <row r="43" spans="1:15" x14ac:dyDescent="0.3">
      <c r="A43">
        <v>2.19</v>
      </c>
      <c r="B43">
        <f t="shared" si="0"/>
        <v>438</v>
      </c>
      <c r="C43">
        <v>0.66</v>
      </c>
      <c r="D43">
        <v>2.128463797271252E-2</v>
      </c>
      <c r="E43">
        <f t="shared" si="1"/>
        <v>438</v>
      </c>
      <c r="F43">
        <f t="shared" si="7"/>
        <v>1.678463797271252E-2</v>
      </c>
      <c r="I43">
        <f t="shared" si="3"/>
        <v>0.70661335716024043</v>
      </c>
      <c r="K43">
        <f t="shared" si="4"/>
        <v>0.7176912182222307</v>
      </c>
      <c r="L43">
        <f t="shared" si="5"/>
        <v>-0.50403393355298676</v>
      </c>
      <c r="N43">
        <v>429.94227999999998</v>
      </c>
      <c r="O43">
        <f t="shared" si="6"/>
        <v>2.1497113999999997</v>
      </c>
    </row>
    <row r="44" spans="1:15" x14ac:dyDescent="0.3">
      <c r="A44">
        <v>2.25</v>
      </c>
      <c r="B44">
        <f t="shared" si="0"/>
        <v>450</v>
      </c>
      <c r="C44">
        <v>0.65700000000000003</v>
      </c>
      <c r="D44">
        <v>2.1058367565274239E-2</v>
      </c>
      <c r="E44">
        <f t="shared" si="1"/>
        <v>450</v>
      </c>
      <c r="F44">
        <f t="shared" si="7"/>
        <v>1.6558367565274238E-2</v>
      </c>
      <c r="I44">
        <f t="shared" si="3"/>
        <v>0.70438132702186707</v>
      </c>
      <c r="K44">
        <f t="shared" si="4"/>
        <v>0.71526017451225221</v>
      </c>
      <c r="L44">
        <f t="shared" si="5"/>
        <v>-0.50646497726296524</v>
      </c>
      <c r="N44">
        <v>440.32963999999998</v>
      </c>
      <c r="O44">
        <f t="shared" si="6"/>
        <v>2.2016481999999997</v>
      </c>
    </row>
    <row r="45" spans="1:15" x14ac:dyDescent="0.3">
      <c r="A45">
        <v>2.2999999999999998</v>
      </c>
      <c r="B45">
        <f t="shared" si="0"/>
        <v>459.99999999999994</v>
      </c>
      <c r="C45">
        <v>0.65400000000000003</v>
      </c>
      <c r="D45">
        <v>2.128434740006924E-2</v>
      </c>
      <c r="E45">
        <f t="shared" si="1"/>
        <v>459.99999999999994</v>
      </c>
      <c r="F45">
        <f t="shared" si="7"/>
        <v>1.678434740006924E-2</v>
      </c>
      <c r="I45">
        <f t="shared" si="3"/>
        <v>0.70295399902015931</v>
      </c>
      <c r="K45">
        <f t="shared" si="4"/>
        <v>0.71393096221980457</v>
      </c>
      <c r="L45">
        <f t="shared" si="5"/>
        <v>-0.50779418955541289</v>
      </c>
      <c r="N45">
        <v>450.71694000000002</v>
      </c>
      <c r="O45">
        <f t="shared" si="6"/>
        <v>2.2535847000000002</v>
      </c>
    </row>
    <row r="46" spans="1:15" x14ac:dyDescent="0.3">
      <c r="A46">
        <v>2.35</v>
      </c>
      <c r="B46">
        <f t="shared" si="0"/>
        <v>470</v>
      </c>
      <c r="C46">
        <v>0.65100000000000002</v>
      </c>
      <c r="D46">
        <v>2.1715585142374039E-2</v>
      </c>
      <c r="E46">
        <f t="shared" si="1"/>
        <v>470</v>
      </c>
      <c r="F46">
        <f t="shared" si="7"/>
        <v>1.7215585142374038E-2</v>
      </c>
      <c r="I46">
        <f t="shared" si="3"/>
        <v>0.70203162508457906</v>
      </c>
      <c r="K46">
        <f t="shared" si="4"/>
        <v>0.71323897101226452</v>
      </c>
      <c r="L46">
        <f t="shared" si="5"/>
        <v>-0.50848618076295293</v>
      </c>
      <c r="N46">
        <v>461.20616000000001</v>
      </c>
      <c r="O46">
        <f t="shared" si="6"/>
        <v>2.3060308000000003</v>
      </c>
    </row>
    <row r="47" spans="1:15" x14ac:dyDescent="0.3">
      <c r="A47">
        <v>2.4</v>
      </c>
      <c r="B47">
        <f t="shared" si="0"/>
        <v>480</v>
      </c>
      <c r="C47">
        <v>0.64800000000000002</v>
      </c>
      <c r="D47">
        <v>2.1623250097036362E-2</v>
      </c>
      <c r="E47">
        <f t="shared" si="1"/>
        <v>480</v>
      </c>
      <c r="F47">
        <f t="shared" si="7"/>
        <v>1.7123250097036361E-2</v>
      </c>
      <c r="I47">
        <f t="shared" si="3"/>
        <v>0.69989580023288733</v>
      </c>
      <c r="K47">
        <f t="shared" si="4"/>
        <v>0.71099166629576693</v>
      </c>
      <c r="L47">
        <f t="shared" si="5"/>
        <v>-0.51073348547945052</v>
      </c>
      <c r="N47">
        <v>472.51006000000001</v>
      </c>
      <c r="O47">
        <f t="shared" si="6"/>
        <v>2.3625503000000001</v>
      </c>
    </row>
    <row r="48" spans="1:15" x14ac:dyDescent="0.3">
      <c r="A48">
        <v>2.4500000000000002</v>
      </c>
      <c r="B48">
        <f t="shared" si="0"/>
        <v>490.00000000000006</v>
      </c>
      <c r="C48">
        <v>0.64600000000000002</v>
      </c>
      <c r="D48">
        <v>2.0900914445519451E-2</v>
      </c>
      <c r="E48">
        <f t="shared" si="1"/>
        <v>490.00000000000006</v>
      </c>
      <c r="F48">
        <f t="shared" si="7"/>
        <v>1.640091444551945E-2</v>
      </c>
      <c r="I48">
        <f t="shared" si="3"/>
        <v>0.69720724039152271</v>
      </c>
      <c r="K48">
        <f t="shared" si="4"/>
        <v>0.7078022311233283</v>
      </c>
      <c r="L48">
        <f t="shared" si="5"/>
        <v>-0.51392292065188916</v>
      </c>
      <c r="N48">
        <v>483.71206000000001</v>
      </c>
      <c r="O48">
        <f t="shared" si="6"/>
        <v>2.4185603000000002</v>
      </c>
    </row>
    <row r="49" spans="1:15" x14ac:dyDescent="0.3">
      <c r="A49">
        <v>2.5</v>
      </c>
      <c r="B49">
        <f t="shared" si="0"/>
        <v>500</v>
      </c>
      <c r="C49">
        <v>0.64300000000000002</v>
      </c>
      <c r="D49">
        <v>2.139896526932716E-2</v>
      </c>
      <c r="E49">
        <f t="shared" si="1"/>
        <v>500</v>
      </c>
      <c r="F49">
        <f t="shared" si="7"/>
        <v>1.689896526932716E-2</v>
      </c>
      <c r="I49">
        <f t="shared" si="3"/>
        <v>0.69649741317331793</v>
      </c>
      <c r="K49">
        <f t="shared" si="4"/>
        <v>0.7073634478414953</v>
      </c>
      <c r="L49">
        <f t="shared" si="5"/>
        <v>-0.51436170393372216</v>
      </c>
      <c r="N49">
        <v>494.91406000000001</v>
      </c>
      <c r="O49">
        <f t="shared" si="6"/>
        <v>2.4745702999999999</v>
      </c>
    </row>
    <row r="50" spans="1:15" x14ac:dyDescent="0.3">
      <c r="A50">
        <v>2.56</v>
      </c>
      <c r="B50">
        <f t="shared" si="0"/>
        <v>512</v>
      </c>
      <c r="C50">
        <v>0.64</v>
      </c>
      <c r="D50">
        <v>2.1114261820912361E-2</v>
      </c>
      <c r="E50">
        <f t="shared" si="1"/>
        <v>512</v>
      </c>
      <c r="F50">
        <f t="shared" si="7"/>
        <v>1.6614261820912361E-2</v>
      </c>
      <c r="I50">
        <f t="shared" si="3"/>
        <v>0.69405251026153569</v>
      </c>
      <c r="K50">
        <f t="shared" si="4"/>
        <v>0.70468563782691962</v>
      </c>
      <c r="L50">
        <f t="shared" si="5"/>
        <v>-0.51703951394829784</v>
      </c>
      <c r="N50">
        <v>505.19956000000002</v>
      </c>
      <c r="O50">
        <f t="shared" si="6"/>
        <v>2.5259978000000003</v>
      </c>
    </row>
    <row r="51" spans="1:15" x14ac:dyDescent="0.3">
      <c r="A51">
        <v>2.61</v>
      </c>
      <c r="B51">
        <f t="shared" si="0"/>
        <v>522</v>
      </c>
      <c r="C51">
        <v>0.63700000000000001</v>
      </c>
      <c r="D51">
        <v>2.0891463384032249E-2</v>
      </c>
      <c r="E51">
        <f t="shared" si="1"/>
        <v>522</v>
      </c>
      <c r="F51">
        <f t="shared" si="7"/>
        <v>1.6391463384032249E-2</v>
      </c>
      <c r="I51">
        <f t="shared" si="3"/>
        <v>0.69152671943232413</v>
      </c>
      <c r="K51">
        <f t="shared" si="4"/>
        <v>0.70196808160795265</v>
      </c>
      <c r="L51">
        <f t="shared" si="5"/>
        <v>-0.5197570701672648</v>
      </c>
      <c r="N51">
        <v>515.79052000000001</v>
      </c>
      <c r="O51">
        <f t="shared" si="6"/>
        <v>2.5789526</v>
      </c>
    </row>
    <row r="52" spans="1:15" x14ac:dyDescent="0.3">
      <c r="A52">
        <v>2.66</v>
      </c>
      <c r="B52">
        <f t="shared" si="0"/>
        <v>532</v>
      </c>
      <c r="C52">
        <v>0.63400000000000001</v>
      </c>
      <c r="D52">
        <v>2.088642492890358E-2</v>
      </c>
      <c r="E52">
        <f t="shared" si="1"/>
        <v>532</v>
      </c>
      <c r="F52">
        <f t="shared" si="7"/>
        <v>1.6386424928903579E-2</v>
      </c>
      <c r="I52">
        <f t="shared" si="3"/>
        <v>0.68955789031088355</v>
      </c>
      <c r="K52">
        <f t="shared" si="4"/>
        <v>0.69994688371580838</v>
      </c>
      <c r="L52">
        <f t="shared" si="5"/>
        <v>-0.52177826805940908</v>
      </c>
      <c r="N52">
        <v>526.17791999999997</v>
      </c>
      <c r="O52">
        <f t="shared" si="6"/>
        <v>2.6308895999999997</v>
      </c>
    </row>
    <row r="53" spans="1:15" x14ac:dyDescent="0.3">
      <c r="A53">
        <v>2.71</v>
      </c>
      <c r="B53">
        <f t="shared" si="0"/>
        <v>542</v>
      </c>
      <c r="C53">
        <v>0.63100000000000001</v>
      </c>
      <c r="D53">
        <v>2.1639686077833179E-2</v>
      </c>
      <c r="E53">
        <f t="shared" si="1"/>
        <v>542</v>
      </c>
      <c r="F53">
        <f t="shared" si="7"/>
        <v>1.7139686077833179E-2</v>
      </c>
      <c r="I53">
        <f t="shared" si="3"/>
        <v>0.68964354927092797</v>
      </c>
      <c r="K53">
        <f t="shared" si="4"/>
        <v>0.70045869118604065</v>
      </c>
      <c r="L53">
        <f t="shared" si="5"/>
        <v>-0.52126646058917681</v>
      </c>
      <c r="N53">
        <v>536.25972000000002</v>
      </c>
      <c r="O53">
        <f t="shared" si="6"/>
        <v>2.6812985999999999</v>
      </c>
    </row>
    <row r="54" spans="1:15" x14ac:dyDescent="0.3">
      <c r="A54">
        <v>2.76</v>
      </c>
      <c r="B54">
        <f t="shared" si="0"/>
        <v>552</v>
      </c>
      <c r="C54">
        <v>0.629</v>
      </c>
      <c r="D54">
        <v>2.0853683352470401E-2</v>
      </c>
      <c r="E54">
        <f t="shared" si="1"/>
        <v>552</v>
      </c>
      <c r="F54">
        <f t="shared" si="7"/>
        <v>1.6353683352470401E-2</v>
      </c>
      <c r="I54">
        <f t="shared" si="3"/>
        <v>0.68655616605281833</v>
      </c>
      <c r="K54">
        <f t="shared" si="4"/>
        <v>0.69684263288152226</v>
      </c>
      <c r="L54">
        <f t="shared" si="5"/>
        <v>-0.52488251889369519</v>
      </c>
      <c r="N54">
        <v>546.74887999999999</v>
      </c>
      <c r="O54">
        <f t="shared" si="6"/>
        <v>2.7337444</v>
      </c>
    </row>
    <row r="55" spans="1:15" x14ac:dyDescent="0.3">
      <c r="A55">
        <v>2.81</v>
      </c>
      <c r="B55">
        <f t="shared" si="0"/>
        <v>562</v>
      </c>
      <c r="C55">
        <v>0.626</v>
      </c>
      <c r="D55">
        <v>2.0424038171768188E-2</v>
      </c>
      <c r="E55">
        <f t="shared" si="1"/>
        <v>562</v>
      </c>
      <c r="F55">
        <f t="shared" si="7"/>
        <v>1.5924038171768188E-2</v>
      </c>
      <c r="I55">
        <f t="shared" si="3"/>
        <v>0.6833915472626686</v>
      </c>
      <c r="K55">
        <f t="shared" si="4"/>
        <v>0.69335999515819546</v>
      </c>
      <c r="L55">
        <f t="shared" si="5"/>
        <v>-0.52836515661702199</v>
      </c>
      <c r="N55">
        <v>557.33993999999996</v>
      </c>
      <c r="O55">
        <f t="shared" si="6"/>
        <v>2.7866996999999998</v>
      </c>
    </row>
    <row r="56" spans="1:15" x14ac:dyDescent="0.3">
      <c r="A56">
        <v>2.87</v>
      </c>
      <c r="B56">
        <f t="shared" si="0"/>
        <v>574</v>
      </c>
      <c r="C56">
        <v>0.623</v>
      </c>
      <c r="D56">
        <v>2.127382904291153E-2</v>
      </c>
      <c r="E56">
        <f t="shared" si="1"/>
        <v>574</v>
      </c>
      <c r="F56">
        <f t="shared" si="7"/>
        <v>1.6773829042911529E-2</v>
      </c>
      <c r="I56">
        <f t="shared" si="3"/>
        <v>0.68405588935315609</v>
      </c>
      <c r="K56">
        <f t="shared" si="4"/>
        <v>0.69450598484688997</v>
      </c>
      <c r="L56">
        <f t="shared" si="5"/>
        <v>-0.52721916692832749</v>
      </c>
      <c r="N56">
        <v>567.62544000000003</v>
      </c>
      <c r="O56">
        <f t="shared" si="6"/>
        <v>2.8381272000000002</v>
      </c>
    </row>
    <row r="57" spans="1:15" x14ac:dyDescent="0.3">
      <c r="A57">
        <v>2.92</v>
      </c>
      <c r="B57">
        <f t="shared" si="0"/>
        <v>584</v>
      </c>
      <c r="C57">
        <v>0.621</v>
      </c>
      <c r="D57">
        <v>2.1569652482867241E-2</v>
      </c>
      <c r="E57">
        <f t="shared" si="1"/>
        <v>584</v>
      </c>
      <c r="F57">
        <f t="shared" si="7"/>
        <v>1.706965248286724E-2</v>
      </c>
      <c r="I57">
        <f t="shared" si="3"/>
        <v>0.68398338524997238</v>
      </c>
      <c r="K57">
        <f t="shared" si="4"/>
        <v>0.69458363944183288</v>
      </c>
      <c r="L57">
        <f t="shared" si="5"/>
        <v>-0.52714151233338458</v>
      </c>
      <c r="N57">
        <v>578.52197999999999</v>
      </c>
      <c r="O57">
        <f t="shared" si="6"/>
        <v>2.8926099000000001</v>
      </c>
    </row>
    <row r="58" spans="1:15" x14ac:dyDescent="0.3">
      <c r="A58">
        <v>2.97</v>
      </c>
      <c r="B58">
        <f t="shared" si="0"/>
        <v>594</v>
      </c>
      <c r="C58">
        <v>0.61799999999999999</v>
      </c>
      <c r="D58">
        <v>2.0691882818937302E-2</v>
      </c>
      <c r="E58">
        <f t="shared" si="1"/>
        <v>594</v>
      </c>
      <c r="F58">
        <f t="shared" si="7"/>
        <v>1.6191882818937301E-2</v>
      </c>
      <c r="I58">
        <f t="shared" si="3"/>
        <v>0.67945489197224374</v>
      </c>
      <c r="K58">
        <f t="shared" si="4"/>
        <v>0.689461475554347</v>
      </c>
      <c r="L58">
        <f t="shared" si="5"/>
        <v>-0.53226367622087045</v>
      </c>
      <c r="N58">
        <v>589.11293999999998</v>
      </c>
      <c r="O58">
        <f t="shared" si="6"/>
        <v>2.9455646999999998</v>
      </c>
    </row>
    <row r="59" spans="1:15" x14ac:dyDescent="0.3">
      <c r="A59">
        <v>3.02</v>
      </c>
      <c r="B59">
        <f t="shared" si="0"/>
        <v>604</v>
      </c>
      <c r="C59">
        <v>0.61499999999999999</v>
      </c>
      <c r="D59">
        <v>2.1070763468742371E-2</v>
      </c>
      <c r="E59">
        <f t="shared" si="1"/>
        <v>604</v>
      </c>
      <c r="F59">
        <f t="shared" si="7"/>
        <v>1.657076346874237E-2</v>
      </c>
      <c r="I59">
        <f t="shared" si="3"/>
        <v>0.67863370567560199</v>
      </c>
      <c r="K59">
        <f t="shared" si="4"/>
        <v>0.68882472520887861</v>
      </c>
      <c r="L59">
        <f t="shared" si="5"/>
        <v>-0.53290042656633885</v>
      </c>
      <c r="N59">
        <v>599.29664000000002</v>
      </c>
      <c r="O59">
        <f t="shared" si="6"/>
        <v>2.9964832000000001</v>
      </c>
    </row>
    <row r="60" spans="1:15" x14ac:dyDescent="0.3">
      <c r="A60">
        <v>3.07</v>
      </c>
      <c r="B60">
        <f t="shared" si="0"/>
        <v>614</v>
      </c>
      <c r="C60">
        <v>0.61299999999999999</v>
      </c>
      <c r="D60">
        <v>2.087909355759621E-2</v>
      </c>
      <c r="E60">
        <f t="shared" si="1"/>
        <v>614</v>
      </c>
      <c r="F60">
        <f t="shared" si="7"/>
        <v>1.637909355759621E-2</v>
      </c>
      <c r="I60">
        <f t="shared" si="3"/>
        <v>0.6770988172218203</v>
      </c>
      <c r="K60">
        <f t="shared" si="4"/>
        <v>0.68713920157262676</v>
      </c>
      <c r="L60">
        <f t="shared" si="5"/>
        <v>-0.5345859502025907</v>
      </c>
      <c r="N60">
        <v>609.37846000000002</v>
      </c>
      <c r="O60">
        <f t="shared" si="6"/>
        <v>3.0468923000000001</v>
      </c>
    </row>
    <row r="61" spans="1:15" x14ac:dyDescent="0.3">
      <c r="A61">
        <v>3.13</v>
      </c>
      <c r="B61">
        <f t="shared" si="0"/>
        <v>626</v>
      </c>
      <c r="C61">
        <v>0.61</v>
      </c>
      <c r="D61">
        <v>2.139941975474358E-2</v>
      </c>
      <c r="E61">
        <f t="shared" si="1"/>
        <v>626</v>
      </c>
      <c r="F61">
        <f t="shared" si="7"/>
        <v>1.6899419754743579E-2</v>
      </c>
      <c r="I61">
        <f t="shared" si="3"/>
        <v>0.67698018383234737</v>
      </c>
      <c r="K61">
        <f t="shared" si="4"/>
        <v>0.68728882988274098</v>
      </c>
      <c r="L61">
        <f t="shared" si="5"/>
        <v>-0.53443632189247647</v>
      </c>
      <c r="N61">
        <v>619.46029999999996</v>
      </c>
      <c r="O61">
        <f t="shared" si="6"/>
        <v>3.0973014999999999</v>
      </c>
    </row>
    <row r="62" spans="1:15" x14ac:dyDescent="0.3">
      <c r="A62">
        <v>3.18</v>
      </c>
      <c r="B62">
        <f t="shared" si="0"/>
        <v>636</v>
      </c>
      <c r="C62">
        <v>0.60799999999999998</v>
      </c>
      <c r="D62">
        <v>2.1687056869268421E-2</v>
      </c>
      <c r="E62">
        <f t="shared" si="1"/>
        <v>636</v>
      </c>
      <c r="F62">
        <f t="shared" si="7"/>
        <v>1.718705686926842E-2</v>
      </c>
      <c r="I62">
        <f t="shared" si="3"/>
        <v>0.67696484084427355</v>
      </c>
      <c r="K62">
        <f t="shared" si="4"/>
        <v>0.68741457142078877</v>
      </c>
      <c r="L62">
        <f t="shared" si="5"/>
        <v>-0.53431058035442869</v>
      </c>
      <c r="N62">
        <v>630.35684000000003</v>
      </c>
      <c r="O62">
        <f t="shared" si="6"/>
        <v>3.1517842000000003</v>
      </c>
    </row>
    <row r="63" spans="1:15" x14ac:dyDescent="0.3">
      <c r="A63">
        <v>3.23</v>
      </c>
      <c r="B63">
        <f t="shared" si="0"/>
        <v>646</v>
      </c>
      <c r="C63">
        <v>0.60499999999999998</v>
      </c>
      <c r="D63">
        <v>2.088871784508228E-2</v>
      </c>
      <c r="E63">
        <f t="shared" si="1"/>
        <v>646</v>
      </c>
      <c r="F63">
        <f t="shared" si="7"/>
        <v>1.6388717845082279E-2</v>
      </c>
      <c r="I63">
        <f t="shared" si="3"/>
        <v>0.6724705586396158</v>
      </c>
      <c r="K63">
        <f t="shared" si="4"/>
        <v>0.68238573293589055</v>
      </c>
      <c r="L63">
        <f t="shared" si="5"/>
        <v>-0.5393394188393269</v>
      </c>
      <c r="N63">
        <v>640.43862000000001</v>
      </c>
      <c r="O63">
        <f t="shared" si="6"/>
        <v>3.2021931000000001</v>
      </c>
    </row>
    <row r="64" spans="1:15" x14ac:dyDescent="0.3">
      <c r="A64">
        <v>3.28</v>
      </c>
      <c r="B64">
        <f t="shared" si="0"/>
        <v>656</v>
      </c>
      <c r="C64">
        <v>0.60299999999999998</v>
      </c>
      <c r="D64">
        <v>2.0381307229399681E-2</v>
      </c>
      <c r="E64">
        <f t="shared" si="1"/>
        <v>656</v>
      </c>
      <c r="F64">
        <f t="shared" si="7"/>
        <v>1.5881307229399681E-2</v>
      </c>
      <c r="I64">
        <f t="shared" si="3"/>
        <v>0.66985068771243095</v>
      </c>
      <c r="K64">
        <f t="shared" si="4"/>
        <v>0.67942711597175898</v>
      </c>
      <c r="L64">
        <f t="shared" si="5"/>
        <v>-0.54229803580345848</v>
      </c>
      <c r="N64">
        <v>651.74252000000001</v>
      </c>
      <c r="O64">
        <f t="shared" si="6"/>
        <v>3.2587126</v>
      </c>
    </row>
    <row r="65" spans="1:15" x14ac:dyDescent="0.3">
      <c r="A65">
        <v>3.33</v>
      </c>
      <c r="B65">
        <f t="shared" si="0"/>
        <v>666</v>
      </c>
      <c r="C65">
        <v>0.6</v>
      </c>
      <c r="D65">
        <v>2.0901476964354519E-2</v>
      </c>
      <c r="E65">
        <f t="shared" si="1"/>
        <v>666</v>
      </c>
      <c r="F65">
        <f t="shared" si="7"/>
        <v>1.6401476964354518E-2</v>
      </c>
      <c r="I65">
        <f t="shared" si="3"/>
        <v>0.66960191829130056</v>
      </c>
      <c r="K65">
        <f t="shared" si="4"/>
        <v>0.67944280446991323</v>
      </c>
      <c r="L65">
        <f t="shared" si="5"/>
        <v>-0.54228234730530422</v>
      </c>
      <c r="N65">
        <v>662.02797999999996</v>
      </c>
      <c r="O65">
        <f t="shared" si="6"/>
        <v>3.3101398999999998</v>
      </c>
    </row>
    <row r="66" spans="1:15" x14ac:dyDescent="0.3">
      <c r="A66">
        <v>3.38</v>
      </c>
      <c r="B66">
        <f t="shared" ref="B66:B129" si="8">A66*200</f>
        <v>676</v>
      </c>
      <c r="C66">
        <v>0.59699999999999998</v>
      </c>
      <c r="D66">
        <v>2.0899359136819839E-2</v>
      </c>
      <c r="E66">
        <f t="shared" ref="E66:E129" si="9">B66</f>
        <v>676</v>
      </c>
      <c r="F66">
        <f t="shared" ref="F66:F97" si="10">D66-0.0045</f>
        <v>1.6399359136819839E-2</v>
      </c>
      <c r="I66">
        <f t="shared" ref="I66:I129" si="11">C66+(D66*A66)</f>
        <v>0.66763983388245107</v>
      </c>
      <c r="K66">
        <f t="shared" ref="K66:K129" si="12">I66+(F66*C66)</f>
        <v>0.67743025128713252</v>
      </c>
      <c r="L66">
        <f t="shared" ref="L66:L129" si="13">K66-$I$1</f>
        <v>-0.54429490048808493</v>
      </c>
      <c r="N66">
        <v>672.72080000000005</v>
      </c>
      <c r="O66">
        <f t="shared" ref="O66:O129" si="14">N66/200</f>
        <v>3.3636040000000005</v>
      </c>
    </row>
    <row r="67" spans="1:15" x14ac:dyDescent="0.3">
      <c r="A67">
        <v>3.43</v>
      </c>
      <c r="B67">
        <f t="shared" si="8"/>
        <v>686</v>
      </c>
      <c r="C67">
        <v>0.59499999999999997</v>
      </c>
      <c r="D67">
        <v>2.1236933767795559E-2</v>
      </c>
      <c r="E67">
        <f t="shared" si="9"/>
        <v>686</v>
      </c>
      <c r="F67">
        <f t="shared" si="10"/>
        <v>1.6736933767795559E-2</v>
      </c>
      <c r="I67">
        <f t="shared" si="11"/>
        <v>0.66784268282353876</v>
      </c>
      <c r="K67">
        <f t="shared" si="12"/>
        <v>0.67780115841537714</v>
      </c>
      <c r="L67">
        <f t="shared" si="13"/>
        <v>-0.54392399335984032</v>
      </c>
      <c r="N67">
        <v>682.80264</v>
      </c>
      <c r="O67">
        <f t="shared" si="14"/>
        <v>3.4140131999999999</v>
      </c>
    </row>
    <row r="68" spans="1:15" x14ac:dyDescent="0.3">
      <c r="A68">
        <v>3.49</v>
      </c>
      <c r="B68">
        <f t="shared" si="8"/>
        <v>698</v>
      </c>
      <c r="C68">
        <v>0.59199999999999997</v>
      </c>
      <c r="D68">
        <v>2.121633850038052E-2</v>
      </c>
      <c r="E68">
        <f t="shared" si="9"/>
        <v>698</v>
      </c>
      <c r="F68">
        <f t="shared" si="10"/>
        <v>1.6716338500380519E-2</v>
      </c>
      <c r="I68">
        <f t="shared" si="11"/>
        <v>0.66604502136632804</v>
      </c>
      <c r="K68">
        <f t="shared" si="12"/>
        <v>0.67594109375855327</v>
      </c>
      <c r="L68">
        <f t="shared" si="13"/>
        <v>-0.54578405801666419</v>
      </c>
      <c r="N68">
        <v>692.98631999999998</v>
      </c>
      <c r="O68">
        <f t="shared" si="14"/>
        <v>3.4649315999999999</v>
      </c>
    </row>
    <row r="69" spans="1:15" x14ac:dyDescent="0.3">
      <c r="A69">
        <v>3.54</v>
      </c>
      <c r="B69">
        <f t="shared" si="8"/>
        <v>708</v>
      </c>
      <c r="C69">
        <v>0.59</v>
      </c>
      <c r="D69">
        <v>2.1920887753367421E-2</v>
      </c>
      <c r="E69">
        <f t="shared" si="9"/>
        <v>708</v>
      </c>
      <c r="F69">
        <f t="shared" si="10"/>
        <v>1.742088775336742E-2</v>
      </c>
      <c r="I69">
        <f t="shared" si="11"/>
        <v>0.66759994264692069</v>
      </c>
      <c r="K69">
        <f t="shared" si="12"/>
        <v>0.67787826642140747</v>
      </c>
      <c r="L69">
        <f t="shared" si="13"/>
        <v>-0.54384688535380998</v>
      </c>
      <c r="N69">
        <v>703.06822</v>
      </c>
      <c r="O69">
        <f t="shared" si="14"/>
        <v>3.5153411000000001</v>
      </c>
    </row>
    <row r="70" spans="1:15" x14ac:dyDescent="0.3">
      <c r="A70">
        <v>3.59</v>
      </c>
      <c r="B70">
        <f t="shared" si="8"/>
        <v>718</v>
      </c>
      <c r="C70">
        <v>0.58699999999999997</v>
      </c>
      <c r="D70">
        <v>2.134180627763271E-2</v>
      </c>
      <c r="E70">
        <f t="shared" si="9"/>
        <v>718</v>
      </c>
      <c r="F70">
        <f t="shared" si="10"/>
        <v>1.6841806277632709E-2</v>
      </c>
      <c r="I70">
        <f t="shared" si="11"/>
        <v>0.66361708453670143</v>
      </c>
      <c r="K70">
        <f t="shared" si="12"/>
        <v>0.6735032248216718</v>
      </c>
      <c r="L70">
        <f t="shared" si="13"/>
        <v>-0.54822192695354566</v>
      </c>
      <c r="N70">
        <v>713.45551999999998</v>
      </c>
      <c r="O70">
        <f t="shared" si="14"/>
        <v>3.5672775999999997</v>
      </c>
    </row>
    <row r="71" spans="1:15" x14ac:dyDescent="0.3">
      <c r="A71">
        <v>3.64</v>
      </c>
      <c r="B71">
        <f t="shared" si="8"/>
        <v>728</v>
      </c>
      <c r="C71">
        <v>0.58499999999999996</v>
      </c>
      <c r="D71">
        <v>2.1182570606470112E-2</v>
      </c>
      <c r="E71">
        <f t="shared" si="9"/>
        <v>728</v>
      </c>
      <c r="F71">
        <f t="shared" si="10"/>
        <v>1.6682570606470111E-2</v>
      </c>
      <c r="I71">
        <f t="shared" si="11"/>
        <v>0.66210455700755122</v>
      </c>
      <c r="K71">
        <f t="shared" si="12"/>
        <v>0.67186386081233629</v>
      </c>
      <c r="L71">
        <f t="shared" si="13"/>
        <v>-0.54986129096288117</v>
      </c>
      <c r="N71">
        <v>723.53736000000004</v>
      </c>
      <c r="O71">
        <f t="shared" si="14"/>
        <v>3.6176868</v>
      </c>
    </row>
    <row r="72" spans="1:15" x14ac:dyDescent="0.3">
      <c r="A72">
        <v>3.69</v>
      </c>
      <c r="B72">
        <f t="shared" si="8"/>
        <v>738</v>
      </c>
      <c r="C72">
        <v>0.58199999999999996</v>
      </c>
      <c r="D72">
        <v>2.0709231495857239E-2</v>
      </c>
      <c r="E72">
        <f t="shared" si="9"/>
        <v>738</v>
      </c>
      <c r="F72">
        <f t="shared" si="10"/>
        <v>1.6209231495857238E-2</v>
      </c>
      <c r="I72">
        <f t="shared" si="11"/>
        <v>0.65841706421971313</v>
      </c>
      <c r="K72">
        <f t="shared" si="12"/>
        <v>0.66785083695030201</v>
      </c>
      <c r="L72">
        <f t="shared" si="13"/>
        <v>-0.55387431482491545</v>
      </c>
      <c r="N72">
        <v>733.721</v>
      </c>
      <c r="O72">
        <f t="shared" si="14"/>
        <v>3.6686049999999999</v>
      </c>
    </row>
    <row r="73" spans="1:15" x14ac:dyDescent="0.3">
      <c r="A73">
        <v>3.74</v>
      </c>
      <c r="B73">
        <f t="shared" si="8"/>
        <v>748</v>
      </c>
      <c r="C73">
        <v>0.57999999999999996</v>
      </c>
      <c r="D73">
        <v>2.084982767701149E-2</v>
      </c>
      <c r="E73">
        <f t="shared" si="9"/>
        <v>748</v>
      </c>
      <c r="F73">
        <f t="shared" si="10"/>
        <v>1.6349827677011489E-2</v>
      </c>
      <c r="I73">
        <f t="shared" si="11"/>
        <v>0.65797835551202288</v>
      </c>
      <c r="K73">
        <f t="shared" si="12"/>
        <v>0.66746125556468949</v>
      </c>
      <c r="L73">
        <f t="shared" si="13"/>
        <v>-0.55426389621052796</v>
      </c>
      <c r="N73">
        <v>744.21015999999997</v>
      </c>
      <c r="O73">
        <f t="shared" si="14"/>
        <v>3.7210508</v>
      </c>
    </row>
    <row r="74" spans="1:15" x14ac:dyDescent="0.3">
      <c r="A74">
        <v>3.8</v>
      </c>
      <c r="B74">
        <f t="shared" si="8"/>
        <v>760</v>
      </c>
      <c r="C74">
        <v>0.57799999999999996</v>
      </c>
      <c r="D74">
        <v>2.1780027076601979E-2</v>
      </c>
      <c r="E74">
        <f t="shared" si="9"/>
        <v>760</v>
      </c>
      <c r="F74">
        <f t="shared" si="10"/>
        <v>1.7280027076601978E-2</v>
      </c>
      <c r="I74">
        <f t="shared" si="11"/>
        <v>0.66076410289108745</v>
      </c>
      <c r="K74">
        <f t="shared" si="12"/>
        <v>0.67075195854136338</v>
      </c>
      <c r="L74">
        <f t="shared" si="13"/>
        <v>-0.55097319323385407</v>
      </c>
      <c r="N74">
        <v>754.39383999999995</v>
      </c>
      <c r="O74">
        <f t="shared" si="14"/>
        <v>3.7719691999999996</v>
      </c>
    </row>
    <row r="75" spans="1:15" x14ac:dyDescent="0.3">
      <c r="A75">
        <v>3.85</v>
      </c>
      <c r="B75">
        <f t="shared" si="8"/>
        <v>770</v>
      </c>
      <c r="C75">
        <v>0.57499999999999996</v>
      </c>
      <c r="D75">
        <v>2.16306746006012E-2</v>
      </c>
      <c r="E75">
        <f t="shared" si="9"/>
        <v>770</v>
      </c>
      <c r="F75">
        <f t="shared" si="10"/>
        <v>1.7130674600601199E-2</v>
      </c>
      <c r="I75">
        <f t="shared" si="11"/>
        <v>0.65827809721231456</v>
      </c>
      <c r="K75">
        <f t="shared" si="12"/>
        <v>0.66812823510766028</v>
      </c>
      <c r="L75">
        <f t="shared" si="13"/>
        <v>-0.55359691666755717</v>
      </c>
      <c r="N75">
        <v>764.57754</v>
      </c>
      <c r="O75">
        <f t="shared" si="14"/>
        <v>3.8228876999999999</v>
      </c>
    </row>
    <row r="76" spans="1:15" x14ac:dyDescent="0.3">
      <c r="A76">
        <v>3.9</v>
      </c>
      <c r="B76">
        <f t="shared" si="8"/>
        <v>780</v>
      </c>
      <c r="C76">
        <v>0.57299999999999995</v>
      </c>
      <c r="D76">
        <v>2.1522887051105499E-2</v>
      </c>
      <c r="E76">
        <f t="shared" si="9"/>
        <v>780</v>
      </c>
      <c r="F76">
        <f t="shared" si="10"/>
        <v>1.7022887051105499E-2</v>
      </c>
      <c r="I76">
        <f t="shared" si="11"/>
        <v>0.65693925949931142</v>
      </c>
      <c r="K76">
        <f t="shared" si="12"/>
        <v>0.66669337377959492</v>
      </c>
      <c r="L76">
        <f t="shared" si="13"/>
        <v>-0.55503177799562253</v>
      </c>
      <c r="N76">
        <v>774.86303999999996</v>
      </c>
      <c r="O76">
        <f t="shared" si="14"/>
        <v>3.8743151999999998</v>
      </c>
    </row>
    <row r="77" spans="1:15" x14ac:dyDescent="0.3">
      <c r="A77">
        <v>3.95</v>
      </c>
      <c r="B77">
        <f t="shared" si="8"/>
        <v>790</v>
      </c>
      <c r="C77">
        <v>0.56999999999999995</v>
      </c>
      <c r="D77">
        <v>2.099636942148209E-2</v>
      </c>
      <c r="E77">
        <f t="shared" si="9"/>
        <v>790</v>
      </c>
      <c r="F77">
        <f t="shared" si="10"/>
        <v>1.6496369421482089E-2</v>
      </c>
      <c r="I77">
        <f t="shared" si="11"/>
        <v>0.65293565921485419</v>
      </c>
      <c r="K77">
        <f t="shared" si="12"/>
        <v>0.66233858978509896</v>
      </c>
      <c r="L77">
        <f t="shared" si="13"/>
        <v>-0.55938656199011849</v>
      </c>
      <c r="N77">
        <v>785.14847999999995</v>
      </c>
      <c r="O77">
        <f t="shared" si="14"/>
        <v>3.9257423999999999</v>
      </c>
    </row>
    <row r="78" spans="1:15" x14ac:dyDescent="0.3">
      <c r="A78">
        <v>4</v>
      </c>
      <c r="B78">
        <f t="shared" si="8"/>
        <v>800</v>
      </c>
      <c r="C78">
        <v>0.56799999999999995</v>
      </c>
      <c r="D78">
        <v>2.120652794837952E-2</v>
      </c>
      <c r="E78">
        <f t="shared" si="9"/>
        <v>800</v>
      </c>
      <c r="F78">
        <f t="shared" si="10"/>
        <v>1.670652794837952E-2</v>
      </c>
      <c r="I78">
        <f t="shared" si="11"/>
        <v>0.65282611179351802</v>
      </c>
      <c r="K78">
        <f t="shared" si="12"/>
        <v>0.66231541966819762</v>
      </c>
      <c r="L78">
        <f t="shared" si="13"/>
        <v>-0.55940973210701983</v>
      </c>
      <c r="N78">
        <v>795.6377</v>
      </c>
      <c r="O78">
        <f t="shared" si="14"/>
        <v>3.9781884999999999</v>
      </c>
    </row>
    <row r="79" spans="1:15" x14ac:dyDescent="0.3">
      <c r="A79">
        <v>4.05</v>
      </c>
      <c r="B79">
        <f t="shared" si="8"/>
        <v>810</v>
      </c>
      <c r="C79">
        <v>0.56499999999999995</v>
      </c>
      <c r="D79">
        <v>2.128704264760017E-2</v>
      </c>
      <c r="E79">
        <f t="shared" si="9"/>
        <v>810</v>
      </c>
      <c r="F79">
        <f t="shared" si="10"/>
        <v>1.678704264760017E-2</v>
      </c>
      <c r="I79">
        <f t="shared" si="11"/>
        <v>0.65121252272278063</v>
      </c>
      <c r="K79">
        <f t="shared" si="12"/>
        <v>0.66069720181867475</v>
      </c>
      <c r="L79">
        <f t="shared" si="13"/>
        <v>-0.5610279499565427</v>
      </c>
      <c r="N79">
        <v>806.12685999999997</v>
      </c>
      <c r="O79">
        <f t="shared" si="14"/>
        <v>4.0306343</v>
      </c>
    </row>
    <row r="80" spans="1:15" x14ac:dyDescent="0.3">
      <c r="A80">
        <v>4.0999999999999996</v>
      </c>
      <c r="B80">
        <f t="shared" si="8"/>
        <v>819.99999999999989</v>
      </c>
      <c r="C80">
        <v>0.56299999999999994</v>
      </c>
      <c r="D80">
        <v>2.1569870412349701E-2</v>
      </c>
      <c r="E80">
        <f t="shared" si="9"/>
        <v>819.99999999999989</v>
      </c>
      <c r="F80">
        <f t="shared" si="10"/>
        <v>1.70698704123497E-2</v>
      </c>
      <c r="I80">
        <f t="shared" si="11"/>
        <v>0.65143646869063376</v>
      </c>
      <c r="K80">
        <f t="shared" si="12"/>
        <v>0.66104680573278662</v>
      </c>
      <c r="L80">
        <f t="shared" si="13"/>
        <v>-0.56067834604243083</v>
      </c>
      <c r="N80">
        <v>816.20870000000002</v>
      </c>
      <c r="O80">
        <f t="shared" si="14"/>
        <v>4.0810434999999998</v>
      </c>
    </row>
    <row r="81" spans="1:15" x14ac:dyDescent="0.3">
      <c r="A81">
        <v>4.16</v>
      </c>
      <c r="B81">
        <f t="shared" si="8"/>
        <v>832</v>
      </c>
      <c r="C81">
        <v>0.56100000000000005</v>
      </c>
      <c r="D81">
        <v>2.1351464092731479E-2</v>
      </c>
      <c r="E81">
        <f t="shared" si="9"/>
        <v>832</v>
      </c>
      <c r="F81">
        <f t="shared" si="10"/>
        <v>1.6851464092731479E-2</v>
      </c>
      <c r="I81">
        <f t="shared" si="11"/>
        <v>0.64982209062576302</v>
      </c>
      <c r="K81">
        <f t="shared" si="12"/>
        <v>0.65927576198178539</v>
      </c>
      <c r="L81">
        <f t="shared" si="13"/>
        <v>-0.56244938979343206</v>
      </c>
      <c r="N81">
        <v>826.49423999999999</v>
      </c>
      <c r="O81">
        <f t="shared" si="14"/>
        <v>4.1324712000000003</v>
      </c>
    </row>
    <row r="82" spans="1:15" x14ac:dyDescent="0.3">
      <c r="A82">
        <v>4.21</v>
      </c>
      <c r="B82">
        <f t="shared" si="8"/>
        <v>842</v>
      </c>
      <c r="C82">
        <v>0.55800000000000005</v>
      </c>
      <c r="D82">
        <v>2.2199295461177829E-2</v>
      </c>
      <c r="E82">
        <f t="shared" si="9"/>
        <v>842</v>
      </c>
      <c r="F82">
        <f t="shared" si="10"/>
        <v>1.7699295461177829E-2</v>
      </c>
      <c r="I82">
        <f t="shared" si="11"/>
        <v>0.65145903389155868</v>
      </c>
      <c r="K82">
        <f t="shared" si="12"/>
        <v>0.66133524075889594</v>
      </c>
      <c r="L82">
        <f t="shared" si="13"/>
        <v>-0.56038991101632152</v>
      </c>
      <c r="N82">
        <v>836.57608000000005</v>
      </c>
      <c r="O82">
        <f t="shared" si="14"/>
        <v>4.1828804000000002</v>
      </c>
    </row>
    <row r="83" spans="1:15" x14ac:dyDescent="0.3">
      <c r="A83">
        <v>4.26</v>
      </c>
      <c r="B83">
        <f t="shared" si="8"/>
        <v>852</v>
      </c>
      <c r="C83">
        <v>0.55600000000000005</v>
      </c>
      <c r="D83">
        <v>2.134930714964867E-2</v>
      </c>
      <c r="E83">
        <f t="shared" si="9"/>
        <v>852</v>
      </c>
      <c r="F83">
        <f t="shared" si="10"/>
        <v>1.6849307149648669E-2</v>
      </c>
      <c r="I83">
        <f t="shared" si="11"/>
        <v>0.64694804845750342</v>
      </c>
      <c r="K83">
        <f t="shared" si="12"/>
        <v>0.65631626323270809</v>
      </c>
      <c r="L83">
        <f t="shared" si="13"/>
        <v>-0.56540888854250937</v>
      </c>
      <c r="N83">
        <v>846.65791999999999</v>
      </c>
      <c r="O83">
        <f t="shared" si="14"/>
        <v>4.2332896</v>
      </c>
    </row>
    <row r="84" spans="1:15" x14ac:dyDescent="0.3">
      <c r="A84">
        <v>4.3099999999999996</v>
      </c>
      <c r="B84">
        <f t="shared" si="8"/>
        <v>861.99999999999989</v>
      </c>
      <c r="C84">
        <v>0.55400000000000005</v>
      </c>
      <c r="D84">
        <v>2.12129782885313E-2</v>
      </c>
      <c r="E84">
        <f t="shared" si="9"/>
        <v>861.99999999999989</v>
      </c>
      <c r="F84">
        <f t="shared" si="10"/>
        <v>1.6712978288531299E-2</v>
      </c>
      <c r="I84">
        <f t="shared" si="11"/>
        <v>0.64542793642356999</v>
      </c>
      <c r="K84">
        <f t="shared" si="12"/>
        <v>0.65468692639541637</v>
      </c>
      <c r="L84">
        <f t="shared" si="13"/>
        <v>-0.56703822537980109</v>
      </c>
      <c r="N84">
        <v>857.04521999999997</v>
      </c>
      <c r="O84">
        <f t="shared" si="14"/>
        <v>4.2852261</v>
      </c>
    </row>
    <row r="85" spans="1:15" x14ac:dyDescent="0.3">
      <c r="A85">
        <v>4.37</v>
      </c>
      <c r="B85">
        <f t="shared" si="8"/>
        <v>874</v>
      </c>
      <c r="C85">
        <v>0.55100000000000005</v>
      </c>
      <c r="D85">
        <v>2.2336233407258991E-2</v>
      </c>
      <c r="E85">
        <f t="shared" si="9"/>
        <v>874</v>
      </c>
      <c r="F85">
        <f t="shared" si="10"/>
        <v>1.783623340725899E-2</v>
      </c>
      <c r="I85">
        <f t="shared" si="11"/>
        <v>0.64860933998972181</v>
      </c>
      <c r="K85">
        <f t="shared" si="12"/>
        <v>0.65843710459712157</v>
      </c>
      <c r="L85">
        <f t="shared" si="13"/>
        <v>-0.56328804717809589</v>
      </c>
      <c r="N85">
        <v>867.73807999999997</v>
      </c>
      <c r="O85">
        <f t="shared" si="14"/>
        <v>4.3386903999999999</v>
      </c>
    </row>
    <row r="86" spans="1:15" x14ac:dyDescent="0.3">
      <c r="A86">
        <v>4.42</v>
      </c>
      <c r="B86">
        <f t="shared" si="8"/>
        <v>884</v>
      </c>
      <c r="C86">
        <v>0.54900000000000004</v>
      </c>
      <c r="D86">
        <v>2.0953355357050899E-2</v>
      </c>
      <c r="E86">
        <f t="shared" si="9"/>
        <v>884</v>
      </c>
      <c r="F86">
        <f t="shared" si="10"/>
        <v>1.6453355357050899E-2</v>
      </c>
      <c r="I86">
        <f t="shared" si="11"/>
        <v>0.64161383067816502</v>
      </c>
      <c r="K86">
        <f t="shared" si="12"/>
        <v>0.650646722769186</v>
      </c>
      <c r="L86">
        <f t="shared" si="13"/>
        <v>-0.57107842900603145</v>
      </c>
      <c r="N86">
        <v>877.81992000000002</v>
      </c>
      <c r="O86">
        <f t="shared" si="14"/>
        <v>4.3890995999999998</v>
      </c>
    </row>
    <row r="87" spans="1:15" x14ac:dyDescent="0.3">
      <c r="A87">
        <v>4.47</v>
      </c>
      <c r="B87">
        <f t="shared" si="8"/>
        <v>894</v>
      </c>
      <c r="C87">
        <v>0.54600000000000004</v>
      </c>
      <c r="D87">
        <v>2.2049251943826679E-2</v>
      </c>
      <c r="E87">
        <f t="shared" si="9"/>
        <v>894</v>
      </c>
      <c r="F87">
        <f t="shared" si="10"/>
        <v>1.7549251943826678E-2</v>
      </c>
      <c r="I87">
        <f t="shared" si="11"/>
        <v>0.64456015618890528</v>
      </c>
      <c r="K87">
        <f t="shared" si="12"/>
        <v>0.65414204775023466</v>
      </c>
      <c r="L87">
        <f t="shared" si="13"/>
        <v>-0.5675831040249828</v>
      </c>
      <c r="N87">
        <v>887.90175999999997</v>
      </c>
      <c r="O87">
        <f t="shared" si="14"/>
        <v>4.4395087999999996</v>
      </c>
    </row>
    <row r="88" spans="1:15" x14ac:dyDescent="0.3">
      <c r="A88">
        <v>4.53</v>
      </c>
      <c r="B88">
        <f t="shared" si="8"/>
        <v>906</v>
      </c>
      <c r="C88">
        <v>0.54400000000000004</v>
      </c>
      <c r="D88">
        <v>2.1715734153985981E-2</v>
      </c>
      <c r="E88">
        <f t="shared" si="9"/>
        <v>906</v>
      </c>
      <c r="F88">
        <f t="shared" si="10"/>
        <v>1.721573415398598E-2</v>
      </c>
      <c r="I88">
        <f t="shared" si="11"/>
        <v>0.64237227571755651</v>
      </c>
      <c r="K88">
        <f t="shared" si="12"/>
        <v>0.65173763509732485</v>
      </c>
      <c r="L88">
        <f t="shared" si="13"/>
        <v>-0.5699875166778926</v>
      </c>
      <c r="N88">
        <v>898.18730000000005</v>
      </c>
      <c r="O88">
        <f t="shared" si="14"/>
        <v>4.4909365000000001</v>
      </c>
    </row>
    <row r="89" spans="1:15" x14ac:dyDescent="0.3">
      <c r="A89">
        <v>4.58</v>
      </c>
      <c r="B89">
        <f t="shared" si="8"/>
        <v>916</v>
      </c>
      <c r="C89">
        <v>0.54200000000000004</v>
      </c>
      <c r="D89">
        <v>2.1696174517273899E-2</v>
      </c>
      <c r="E89">
        <f t="shared" si="9"/>
        <v>916</v>
      </c>
      <c r="F89">
        <f t="shared" si="10"/>
        <v>1.7196174517273899E-2</v>
      </c>
      <c r="I89">
        <f t="shared" si="11"/>
        <v>0.64136847928911456</v>
      </c>
      <c r="K89">
        <f t="shared" si="12"/>
        <v>0.65068880587747702</v>
      </c>
      <c r="L89">
        <f t="shared" si="13"/>
        <v>-0.57103634589774044</v>
      </c>
      <c r="N89">
        <v>909.18564000000003</v>
      </c>
      <c r="O89">
        <f t="shared" si="14"/>
        <v>4.5459282000000005</v>
      </c>
    </row>
    <row r="90" spans="1:15" x14ac:dyDescent="0.3">
      <c r="A90">
        <v>4.63</v>
      </c>
      <c r="B90">
        <f t="shared" si="8"/>
        <v>926</v>
      </c>
      <c r="C90">
        <v>0.53900000000000003</v>
      </c>
      <c r="D90">
        <v>2.1906765177845951E-2</v>
      </c>
      <c r="E90">
        <f t="shared" si="9"/>
        <v>926</v>
      </c>
      <c r="F90">
        <f t="shared" si="10"/>
        <v>1.7406765177845951E-2</v>
      </c>
      <c r="I90">
        <f t="shared" si="11"/>
        <v>0.64042832277342676</v>
      </c>
      <c r="K90">
        <f t="shared" si="12"/>
        <v>0.6498105692042857</v>
      </c>
      <c r="L90">
        <f t="shared" si="13"/>
        <v>-0.57191458257093175</v>
      </c>
      <c r="N90">
        <v>919.87851999999998</v>
      </c>
      <c r="O90">
        <f t="shared" si="14"/>
        <v>4.5993925999999998</v>
      </c>
    </row>
    <row r="91" spans="1:15" x14ac:dyDescent="0.3">
      <c r="A91">
        <v>4.68</v>
      </c>
      <c r="B91">
        <f t="shared" si="8"/>
        <v>936</v>
      </c>
      <c r="C91">
        <v>0.53700000000000003</v>
      </c>
      <c r="D91">
        <v>2.1756090223789219E-2</v>
      </c>
      <c r="E91">
        <f t="shared" si="9"/>
        <v>936</v>
      </c>
      <c r="F91">
        <f t="shared" si="10"/>
        <v>1.7256090223789218E-2</v>
      </c>
      <c r="I91">
        <f t="shared" si="11"/>
        <v>0.63881850224733361</v>
      </c>
      <c r="K91">
        <f t="shared" si="12"/>
        <v>0.64808502269750845</v>
      </c>
      <c r="L91">
        <f t="shared" si="13"/>
        <v>-0.573640129077709</v>
      </c>
      <c r="N91">
        <v>930.06209999999999</v>
      </c>
      <c r="O91">
        <f t="shared" si="14"/>
        <v>4.6503104999999998</v>
      </c>
    </row>
    <row r="92" spans="1:15" x14ac:dyDescent="0.3">
      <c r="A92">
        <v>4.7300000000000004</v>
      </c>
      <c r="B92">
        <f t="shared" si="8"/>
        <v>946.00000000000011</v>
      </c>
      <c r="C92">
        <v>0.53400000000000003</v>
      </c>
      <c r="D92">
        <v>2.2429488599300381E-2</v>
      </c>
      <c r="E92">
        <f t="shared" si="9"/>
        <v>946.00000000000011</v>
      </c>
      <c r="F92">
        <f t="shared" si="10"/>
        <v>1.7929488599300381E-2</v>
      </c>
      <c r="I92">
        <f t="shared" si="11"/>
        <v>0.64009148107469083</v>
      </c>
      <c r="K92">
        <f t="shared" si="12"/>
        <v>0.64966582798671724</v>
      </c>
      <c r="L92">
        <f t="shared" si="13"/>
        <v>-0.57205932378850022</v>
      </c>
      <c r="N92">
        <v>940.55125999999996</v>
      </c>
      <c r="O92">
        <f t="shared" si="14"/>
        <v>4.7027562999999999</v>
      </c>
    </row>
    <row r="93" spans="1:15" x14ac:dyDescent="0.3">
      <c r="A93">
        <v>4.79</v>
      </c>
      <c r="B93">
        <f t="shared" si="8"/>
        <v>958</v>
      </c>
      <c r="C93">
        <v>0.53300000000000003</v>
      </c>
      <c r="D93">
        <v>2.15414147824049E-2</v>
      </c>
      <c r="E93">
        <f t="shared" si="9"/>
        <v>958</v>
      </c>
      <c r="F93">
        <f t="shared" si="10"/>
        <v>1.7041414782404899E-2</v>
      </c>
      <c r="I93">
        <f t="shared" si="11"/>
        <v>0.63618337680771953</v>
      </c>
      <c r="K93">
        <f t="shared" si="12"/>
        <v>0.64526645088674128</v>
      </c>
      <c r="L93">
        <f t="shared" si="13"/>
        <v>-0.57645870088847617</v>
      </c>
      <c r="N93">
        <v>952.16063999999994</v>
      </c>
      <c r="O93">
        <f t="shared" si="14"/>
        <v>4.7608031999999998</v>
      </c>
    </row>
    <row r="94" spans="1:15" x14ac:dyDescent="0.3">
      <c r="A94">
        <v>4.84</v>
      </c>
      <c r="B94">
        <f t="shared" si="8"/>
        <v>968</v>
      </c>
      <c r="C94">
        <v>0.53</v>
      </c>
      <c r="D94">
        <v>2.2523378953337669E-2</v>
      </c>
      <c r="E94">
        <f t="shared" si="9"/>
        <v>968</v>
      </c>
      <c r="F94">
        <f t="shared" si="10"/>
        <v>1.8023378953337669E-2</v>
      </c>
      <c r="I94">
        <f t="shared" si="11"/>
        <v>0.63901315413415438</v>
      </c>
      <c r="K94">
        <f t="shared" si="12"/>
        <v>0.64856554497942331</v>
      </c>
      <c r="L94">
        <f t="shared" si="13"/>
        <v>-0.57315960679579414</v>
      </c>
      <c r="N94">
        <v>962.75166000000002</v>
      </c>
      <c r="O94">
        <f t="shared" si="14"/>
        <v>4.8137582999999999</v>
      </c>
    </row>
    <row r="95" spans="1:15" x14ac:dyDescent="0.3">
      <c r="A95">
        <v>4.8899999999999997</v>
      </c>
      <c r="B95">
        <f t="shared" si="8"/>
        <v>977.99999999999989</v>
      </c>
      <c r="C95">
        <v>0.52800000000000002</v>
      </c>
      <c r="D95">
        <v>2.1605027839541439E-2</v>
      </c>
      <c r="E95">
        <f t="shared" si="9"/>
        <v>977.99999999999989</v>
      </c>
      <c r="F95">
        <f t="shared" si="10"/>
        <v>1.7105027839541438E-2</v>
      </c>
      <c r="I95">
        <f t="shared" si="11"/>
        <v>0.63364858613535768</v>
      </c>
      <c r="K95">
        <f t="shared" si="12"/>
        <v>0.64268004083463559</v>
      </c>
      <c r="L95">
        <f t="shared" si="13"/>
        <v>-0.57904511094058186</v>
      </c>
      <c r="N95">
        <v>973.54638</v>
      </c>
      <c r="O95">
        <f t="shared" si="14"/>
        <v>4.8677318999999999</v>
      </c>
    </row>
    <row r="96" spans="1:15" x14ac:dyDescent="0.3">
      <c r="A96">
        <v>4.9400000000000004</v>
      </c>
      <c r="B96">
        <f t="shared" si="8"/>
        <v>988.00000000000011</v>
      </c>
      <c r="C96">
        <v>0.52600000000000002</v>
      </c>
      <c r="D96">
        <v>2.2359063848853111E-2</v>
      </c>
      <c r="E96">
        <f t="shared" si="9"/>
        <v>988.00000000000011</v>
      </c>
      <c r="F96">
        <f t="shared" si="10"/>
        <v>1.7859063848853111E-2</v>
      </c>
      <c r="I96">
        <f t="shared" si="11"/>
        <v>0.63645377541333437</v>
      </c>
      <c r="K96">
        <f t="shared" si="12"/>
        <v>0.64584764299783115</v>
      </c>
      <c r="L96">
        <f t="shared" si="13"/>
        <v>-0.5758775087773863</v>
      </c>
      <c r="N96">
        <v>984.03563999999994</v>
      </c>
      <c r="O96">
        <f t="shared" si="14"/>
        <v>4.9201781999999996</v>
      </c>
    </row>
    <row r="97" spans="1:15" x14ac:dyDescent="0.3">
      <c r="A97">
        <v>4.99</v>
      </c>
      <c r="B97">
        <f t="shared" si="8"/>
        <v>998</v>
      </c>
      <c r="C97">
        <v>0.52400000000000002</v>
      </c>
      <c r="D97">
        <v>2.1708402782678601E-2</v>
      </c>
      <c r="E97">
        <f t="shared" si="9"/>
        <v>998</v>
      </c>
      <c r="F97">
        <f t="shared" si="10"/>
        <v>1.72084027826786E-2</v>
      </c>
      <c r="I97">
        <f t="shared" si="11"/>
        <v>0.63232492988556621</v>
      </c>
      <c r="K97">
        <f t="shared" si="12"/>
        <v>0.6413421329436898</v>
      </c>
      <c r="L97">
        <f t="shared" si="13"/>
        <v>-0.58038301883152765</v>
      </c>
      <c r="N97">
        <v>994.62656000000004</v>
      </c>
      <c r="O97">
        <f t="shared" si="14"/>
        <v>4.9731328000000001</v>
      </c>
    </row>
    <row r="98" spans="1:15" x14ac:dyDescent="0.3">
      <c r="A98">
        <v>5.05</v>
      </c>
      <c r="B98">
        <f t="shared" si="8"/>
        <v>1010</v>
      </c>
      <c r="C98">
        <v>0.52100000000000002</v>
      </c>
      <c r="D98">
        <v>2.2254021838307381E-2</v>
      </c>
      <c r="E98">
        <f t="shared" si="9"/>
        <v>1010</v>
      </c>
      <c r="F98">
        <f t="shared" ref="F98:F129" si="15">D98-0.0045</f>
        <v>1.775402183830738E-2</v>
      </c>
      <c r="I98">
        <f t="shared" si="11"/>
        <v>0.63338281028345234</v>
      </c>
      <c r="K98">
        <f t="shared" si="12"/>
        <v>0.64263265566121053</v>
      </c>
      <c r="L98">
        <f t="shared" si="13"/>
        <v>-0.57909249611400693</v>
      </c>
      <c r="N98">
        <v>1005.93038</v>
      </c>
      <c r="O98">
        <f t="shared" si="14"/>
        <v>5.0296519000000002</v>
      </c>
    </row>
    <row r="99" spans="1:15" x14ac:dyDescent="0.3">
      <c r="A99">
        <v>5.0999999999999996</v>
      </c>
      <c r="B99">
        <f t="shared" si="8"/>
        <v>1019.9999999999999</v>
      </c>
      <c r="C99">
        <v>0.51900000000000002</v>
      </c>
      <c r="D99">
        <v>2.2036757320165631E-2</v>
      </c>
      <c r="E99">
        <f t="shared" si="9"/>
        <v>1019.9999999999999</v>
      </c>
      <c r="F99">
        <f t="shared" si="15"/>
        <v>1.753675732016563E-2</v>
      </c>
      <c r="I99">
        <f t="shared" si="11"/>
        <v>0.63138746233284471</v>
      </c>
      <c r="K99">
        <f t="shared" si="12"/>
        <v>0.64048903938201063</v>
      </c>
      <c r="L99">
        <f t="shared" si="13"/>
        <v>-0.58123611239320683</v>
      </c>
      <c r="N99">
        <v>1016.52138</v>
      </c>
      <c r="O99">
        <f t="shared" si="14"/>
        <v>5.0826069</v>
      </c>
    </row>
    <row r="100" spans="1:15" x14ac:dyDescent="0.3">
      <c r="A100">
        <v>5.15</v>
      </c>
      <c r="B100">
        <f t="shared" si="8"/>
        <v>1030</v>
      </c>
      <c r="C100">
        <v>0.51700000000000002</v>
      </c>
      <c r="D100">
        <v>2.2387169301509861E-2</v>
      </c>
      <c r="E100">
        <f t="shared" si="9"/>
        <v>1030</v>
      </c>
      <c r="F100">
        <f t="shared" si="15"/>
        <v>1.788716930150986E-2</v>
      </c>
      <c r="I100">
        <f t="shared" si="11"/>
        <v>0.63229392190277578</v>
      </c>
      <c r="K100">
        <f t="shared" si="12"/>
        <v>0.64154158843165643</v>
      </c>
      <c r="L100">
        <f t="shared" si="13"/>
        <v>-0.58018356334356103</v>
      </c>
      <c r="N100">
        <v>1027.31612</v>
      </c>
      <c r="O100">
        <f t="shared" si="14"/>
        <v>5.1365805999999994</v>
      </c>
    </row>
    <row r="101" spans="1:15" x14ac:dyDescent="0.3">
      <c r="A101">
        <v>5.21</v>
      </c>
      <c r="B101">
        <f t="shared" si="8"/>
        <v>1042</v>
      </c>
      <c r="C101">
        <v>0.51400000000000001</v>
      </c>
      <c r="D101">
        <v>2.200327999889851E-2</v>
      </c>
      <c r="E101">
        <f t="shared" si="9"/>
        <v>1042</v>
      </c>
      <c r="F101">
        <f t="shared" si="15"/>
        <v>1.7503279998898509E-2</v>
      </c>
      <c r="I101">
        <f t="shared" si="11"/>
        <v>0.62863708879426128</v>
      </c>
      <c r="K101">
        <f t="shared" si="12"/>
        <v>0.63763377471369509</v>
      </c>
      <c r="L101">
        <f t="shared" si="13"/>
        <v>-0.58409137706152237</v>
      </c>
      <c r="N101">
        <v>1037.4998000000001</v>
      </c>
      <c r="O101">
        <f t="shared" si="14"/>
        <v>5.1874989999999999</v>
      </c>
    </row>
    <row r="102" spans="1:15" x14ac:dyDescent="0.3">
      <c r="A102">
        <v>5.26</v>
      </c>
      <c r="B102">
        <f t="shared" si="8"/>
        <v>1052</v>
      </c>
      <c r="C102">
        <v>0.51200000000000001</v>
      </c>
      <c r="D102">
        <v>2.2290784865617749E-2</v>
      </c>
      <c r="E102">
        <f t="shared" si="9"/>
        <v>1052</v>
      </c>
      <c r="F102">
        <f t="shared" si="15"/>
        <v>1.7790784865617748E-2</v>
      </c>
      <c r="I102">
        <f t="shared" si="11"/>
        <v>0.6292495283931494</v>
      </c>
      <c r="K102">
        <f t="shared" si="12"/>
        <v>0.6383584102443457</v>
      </c>
      <c r="L102">
        <f t="shared" si="13"/>
        <v>-0.58336674153087176</v>
      </c>
      <c r="N102">
        <v>1047.6833999999999</v>
      </c>
      <c r="O102">
        <f t="shared" si="14"/>
        <v>5.2384169999999992</v>
      </c>
    </row>
    <row r="103" spans="1:15" x14ac:dyDescent="0.3">
      <c r="A103">
        <v>5.31</v>
      </c>
      <c r="B103">
        <f t="shared" si="8"/>
        <v>1062</v>
      </c>
      <c r="C103">
        <v>0.51</v>
      </c>
      <c r="D103">
        <v>2.204912714660168E-2</v>
      </c>
      <c r="E103">
        <f t="shared" si="9"/>
        <v>1062</v>
      </c>
      <c r="F103">
        <f t="shared" si="15"/>
        <v>1.754912714660168E-2</v>
      </c>
      <c r="I103">
        <f t="shared" si="11"/>
        <v>0.62708086514845496</v>
      </c>
      <c r="K103">
        <f t="shared" si="12"/>
        <v>0.63603091999322181</v>
      </c>
      <c r="L103">
        <f t="shared" si="13"/>
        <v>-0.58569423178199564</v>
      </c>
      <c r="N103">
        <v>1057.7653399999999</v>
      </c>
      <c r="O103">
        <f t="shared" si="14"/>
        <v>5.2888266999999995</v>
      </c>
    </row>
    <row r="104" spans="1:15" x14ac:dyDescent="0.3">
      <c r="A104">
        <v>5.36</v>
      </c>
      <c r="B104">
        <f t="shared" si="8"/>
        <v>1072</v>
      </c>
      <c r="C104">
        <v>0.50800000000000001</v>
      </c>
      <c r="D104">
        <v>2.2027615457773209E-2</v>
      </c>
      <c r="E104">
        <f t="shared" si="9"/>
        <v>1072</v>
      </c>
      <c r="F104">
        <f t="shared" si="15"/>
        <v>1.7527615457773208E-2</v>
      </c>
      <c r="I104">
        <f t="shared" si="11"/>
        <v>0.62606801885366437</v>
      </c>
      <c r="K104">
        <f t="shared" si="12"/>
        <v>0.63497204750621317</v>
      </c>
      <c r="L104">
        <f t="shared" si="13"/>
        <v>-0.58675310426900429</v>
      </c>
      <c r="N104">
        <v>1069.3746000000001</v>
      </c>
      <c r="O104">
        <f t="shared" si="14"/>
        <v>5.3468730000000004</v>
      </c>
    </row>
    <row r="105" spans="1:15" x14ac:dyDescent="0.3">
      <c r="A105">
        <v>5.41</v>
      </c>
      <c r="B105">
        <f t="shared" si="8"/>
        <v>1082</v>
      </c>
      <c r="C105">
        <v>0.50600000000000001</v>
      </c>
      <c r="D105">
        <v>2.1767960861325261E-2</v>
      </c>
      <c r="E105">
        <f t="shared" si="9"/>
        <v>1082</v>
      </c>
      <c r="F105">
        <f t="shared" si="15"/>
        <v>1.726796086132526E-2</v>
      </c>
      <c r="I105">
        <f t="shared" si="11"/>
        <v>0.62376466825976973</v>
      </c>
      <c r="K105">
        <f t="shared" si="12"/>
        <v>0.63250225645560032</v>
      </c>
      <c r="L105">
        <f t="shared" si="13"/>
        <v>-0.58922289531961713</v>
      </c>
      <c r="N105">
        <v>1079.7620199999999</v>
      </c>
      <c r="O105">
        <f t="shared" si="14"/>
        <v>5.3988100999999995</v>
      </c>
    </row>
    <row r="106" spans="1:15" x14ac:dyDescent="0.3">
      <c r="A106">
        <v>5.48</v>
      </c>
      <c r="B106">
        <f t="shared" si="8"/>
        <v>1096</v>
      </c>
      <c r="C106">
        <v>0.503</v>
      </c>
      <c r="D106">
        <v>2.218662574887276E-2</v>
      </c>
      <c r="E106">
        <f t="shared" si="9"/>
        <v>1096</v>
      </c>
      <c r="F106">
        <f t="shared" si="15"/>
        <v>1.768662574887276E-2</v>
      </c>
      <c r="I106">
        <f t="shared" si="11"/>
        <v>0.62458270910382274</v>
      </c>
      <c r="K106">
        <f t="shared" si="12"/>
        <v>0.63347908185550572</v>
      </c>
      <c r="L106">
        <f t="shared" si="13"/>
        <v>-0.58824606991971173</v>
      </c>
      <c r="N106">
        <v>1090.04756</v>
      </c>
      <c r="O106">
        <f t="shared" si="14"/>
        <v>5.4502378</v>
      </c>
    </row>
    <row r="107" spans="1:15" x14ac:dyDescent="0.3">
      <c r="A107">
        <v>5.53</v>
      </c>
      <c r="B107">
        <f t="shared" si="8"/>
        <v>1106</v>
      </c>
      <c r="C107">
        <v>0.501</v>
      </c>
      <c r="D107">
        <v>2.234361320734024E-2</v>
      </c>
      <c r="E107">
        <f t="shared" si="9"/>
        <v>1106</v>
      </c>
      <c r="F107">
        <f t="shared" si="15"/>
        <v>1.784361320734024E-2</v>
      </c>
      <c r="I107">
        <f t="shared" si="11"/>
        <v>0.6245601810365915</v>
      </c>
      <c r="K107">
        <f t="shared" si="12"/>
        <v>0.63349983125346898</v>
      </c>
      <c r="L107">
        <f t="shared" si="13"/>
        <v>-0.58822532052174847</v>
      </c>
      <c r="N107">
        <v>1100.3330000000001</v>
      </c>
      <c r="O107">
        <f t="shared" si="14"/>
        <v>5.501665</v>
      </c>
    </row>
    <row r="108" spans="1:15" x14ac:dyDescent="0.3">
      <c r="A108">
        <v>5.58</v>
      </c>
      <c r="B108">
        <f t="shared" si="8"/>
        <v>1116</v>
      </c>
      <c r="C108">
        <v>0.499</v>
      </c>
      <c r="D108">
        <v>2.194085530936718E-2</v>
      </c>
      <c r="E108">
        <f t="shared" si="9"/>
        <v>1116</v>
      </c>
      <c r="F108">
        <f t="shared" si="15"/>
        <v>1.7440855309367179E-2</v>
      </c>
      <c r="I108">
        <f t="shared" si="11"/>
        <v>0.62142997262626887</v>
      </c>
      <c r="K108">
        <f t="shared" si="12"/>
        <v>0.63013295942564307</v>
      </c>
      <c r="L108">
        <f t="shared" si="13"/>
        <v>-0.59159219234957439</v>
      </c>
      <c r="N108">
        <v>1111.53496</v>
      </c>
      <c r="O108">
        <f t="shared" si="14"/>
        <v>5.5576748</v>
      </c>
    </row>
    <row r="109" spans="1:15" x14ac:dyDescent="0.3">
      <c r="A109">
        <v>5.63</v>
      </c>
      <c r="B109">
        <f t="shared" si="8"/>
        <v>1126</v>
      </c>
      <c r="C109">
        <v>0.496</v>
      </c>
      <c r="D109">
        <v>2.266308106482029E-2</v>
      </c>
      <c r="E109">
        <f t="shared" si="9"/>
        <v>1126</v>
      </c>
      <c r="F109">
        <f t="shared" si="15"/>
        <v>1.8163081064820289E-2</v>
      </c>
      <c r="I109">
        <f t="shared" si="11"/>
        <v>0.62359314639493824</v>
      </c>
      <c r="K109">
        <f t="shared" si="12"/>
        <v>0.63260203460308906</v>
      </c>
      <c r="L109">
        <f t="shared" si="13"/>
        <v>-0.5891231171721284</v>
      </c>
      <c r="N109">
        <v>1122.12608</v>
      </c>
      <c r="O109">
        <f t="shared" si="14"/>
        <v>5.6106303999999998</v>
      </c>
    </row>
    <row r="110" spans="1:15" x14ac:dyDescent="0.3">
      <c r="A110">
        <v>5.69</v>
      </c>
      <c r="B110">
        <f t="shared" si="8"/>
        <v>1138</v>
      </c>
      <c r="C110">
        <v>0.49399999999999999</v>
      </c>
      <c r="D110">
        <v>2.2642260417342189E-2</v>
      </c>
      <c r="E110">
        <f t="shared" si="9"/>
        <v>1138</v>
      </c>
      <c r="F110">
        <f t="shared" si="15"/>
        <v>1.8142260417342189E-2</v>
      </c>
      <c r="I110">
        <f t="shared" si="11"/>
        <v>0.62283446177467705</v>
      </c>
      <c r="K110">
        <f t="shared" si="12"/>
        <v>0.63179673842084405</v>
      </c>
      <c r="L110">
        <f t="shared" si="13"/>
        <v>-0.5899284133543734</v>
      </c>
      <c r="N110">
        <v>1132.3097600000001</v>
      </c>
      <c r="O110">
        <f t="shared" si="14"/>
        <v>5.6615488000000003</v>
      </c>
    </row>
    <row r="111" spans="1:15" x14ac:dyDescent="0.3">
      <c r="A111">
        <v>5.74</v>
      </c>
      <c r="B111">
        <f t="shared" si="8"/>
        <v>1148</v>
      </c>
      <c r="C111">
        <v>0.49199999999999999</v>
      </c>
      <c r="D111">
        <v>2.145604602992535E-2</v>
      </c>
      <c r="E111">
        <f t="shared" si="9"/>
        <v>1148</v>
      </c>
      <c r="F111">
        <f t="shared" si="15"/>
        <v>1.6956046029925349E-2</v>
      </c>
      <c r="I111">
        <f t="shared" si="11"/>
        <v>0.61515770421177152</v>
      </c>
      <c r="K111">
        <f t="shared" si="12"/>
        <v>0.62350007885849479</v>
      </c>
      <c r="L111">
        <f t="shared" si="13"/>
        <v>-0.59822507291672267</v>
      </c>
      <c r="N111">
        <v>1143.00254</v>
      </c>
      <c r="O111">
        <f t="shared" si="14"/>
        <v>5.7150126999999999</v>
      </c>
    </row>
    <row r="112" spans="1:15" x14ac:dyDescent="0.3">
      <c r="A112">
        <v>5.79</v>
      </c>
      <c r="B112">
        <f t="shared" si="8"/>
        <v>1158</v>
      </c>
      <c r="C112">
        <v>0.49</v>
      </c>
      <c r="D112">
        <v>2.2721694782376289E-2</v>
      </c>
      <c r="E112">
        <f t="shared" si="9"/>
        <v>1158</v>
      </c>
      <c r="F112">
        <f t="shared" si="15"/>
        <v>1.8221694782376289E-2</v>
      </c>
      <c r="I112">
        <f t="shared" si="11"/>
        <v>0.62155861278995872</v>
      </c>
      <c r="K112">
        <f t="shared" si="12"/>
        <v>0.63048724323332306</v>
      </c>
      <c r="L112">
        <f t="shared" si="13"/>
        <v>-0.5912379085418944</v>
      </c>
      <c r="N112">
        <v>1153.08448</v>
      </c>
      <c r="O112">
        <f t="shared" si="14"/>
        <v>5.7654224000000003</v>
      </c>
    </row>
    <row r="113" spans="1:15" x14ac:dyDescent="0.3">
      <c r="A113">
        <v>5.84</v>
      </c>
      <c r="B113">
        <f t="shared" si="8"/>
        <v>1168</v>
      </c>
      <c r="C113">
        <v>0.48799999999999999</v>
      </c>
      <c r="D113">
        <v>2.283627167344093E-2</v>
      </c>
      <c r="E113">
        <f t="shared" si="9"/>
        <v>1168</v>
      </c>
      <c r="F113">
        <f t="shared" si="15"/>
        <v>1.8336271673440929E-2</v>
      </c>
      <c r="I113">
        <f t="shared" si="11"/>
        <v>0.62136382657289502</v>
      </c>
      <c r="K113">
        <f t="shared" si="12"/>
        <v>0.63031192714953421</v>
      </c>
      <c r="L113">
        <f t="shared" si="13"/>
        <v>-0.59141322462568324</v>
      </c>
      <c r="N113">
        <v>1164.2864199999999</v>
      </c>
      <c r="O113">
        <f t="shared" si="14"/>
        <v>5.8214320999999991</v>
      </c>
    </row>
    <row r="114" spans="1:15" x14ac:dyDescent="0.3">
      <c r="A114">
        <v>5.9</v>
      </c>
      <c r="B114">
        <f t="shared" si="8"/>
        <v>1180</v>
      </c>
      <c r="C114">
        <v>0.48499999999999999</v>
      </c>
      <c r="D114">
        <v>2.2560978308320049E-2</v>
      </c>
      <c r="E114">
        <f t="shared" si="9"/>
        <v>1180</v>
      </c>
      <c r="F114">
        <f t="shared" si="15"/>
        <v>1.8060978308320048E-2</v>
      </c>
      <c r="I114">
        <f t="shared" si="11"/>
        <v>0.61810977201908823</v>
      </c>
      <c r="K114">
        <f t="shared" si="12"/>
        <v>0.62686934649862347</v>
      </c>
      <c r="L114">
        <f t="shared" si="13"/>
        <v>-0.59485580527659399</v>
      </c>
      <c r="N114">
        <v>1174.77568</v>
      </c>
      <c r="O114">
        <f t="shared" si="14"/>
        <v>5.8738783999999997</v>
      </c>
    </row>
    <row r="115" spans="1:15" x14ac:dyDescent="0.3">
      <c r="A115">
        <v>5.95</v>
      </c>
      <c r="B115">
        <f t="shared" si="8"/>
        <v>1190</v>
      </c>
      <c r="C115">
        <v>0.48299999999999998</v>
      </c>
      <c r="D115">
        <v>2.2831900045275692E-2</v>
      </c>
      <c r="E115">
        <f t="shared" si="9"/>
        <v>1190</v>
      </c>
      <c r="F115">
        <f t="shared" si="15"/>
        <v>1.8331900045275691E-2</v>
      </c>
      <c r="I115">
        <f t="shared" si="11"/>
        <v>0.61884980526939037</v>
      </c>
      <c r="K115">
        <f t="shared" si="12"/>
        <v>0.6277041129912585</v>
      </c>
      <c r="L115">
        <f t="shared" si="13"/>
        <v>-0.59402103878395895</v>
      </c>
      <c r="N115">
        <v>1185.57032</v>
      </c>
      <c r="O115">
        <f t="shared" si="14"/>
        <v>5.9278516000000003</v>
      </c>
    </row>
    <row r="116" spans="1:15" x14ac:dyDescent="0.3">
      <c r="A116">
        <v>6</v>
      </c>
      <c r="B116">
        <f t="shared" si="8"/>
        <v>1200</v>
      </c>
      <c r="C116">
        <v>0.48099999999999998</v>
      </c>
      <c r="D116">
        <v>2.2245129570364949E-2</v>
      </c>
      <c r="E116">
        <f t="shared" si="9"/>
        <v>1200</v>
      </c>
      <c r="F116">
        <f t="shared" si="15"/>
        <v>1.7745129570364948E-2</v>
      </c>
      <c r="I116">
        <f t="shared" si="11"/>
        <v>0.6144707774221897</v>
      </c>
      <c r="K116">
        <f t="shared" si="12"/>
        <v>0.62300618474553526</v>
      </c>
      <c r="L116">
        <f t="shared" si="13"/>
        <v>-0.59871896702968219</v>
      </c>
      <c r="N116">
        <v>1195.6520599999999</v>
      </c>
      <c r="O116">
        <f t="shared" si="14"/>
        <v>5.9782602999999996</v>
      </c>
    </row>
    <row r="117" spans="1:15" x14ac:dyDescent="0.3">
      <c r="A117">
        <v>6.05</v>
      </c>
      <c r="B117">
        <f t="shared" si="8"/>
        <v>1210</v>
      </c>
      <c r="C117">
        <v>0.47899999999999998</v>
      </c>
      <c r="D117">
        <v>2.2771291434764859E-2</v>
      </c>
      <c r="E117">
        <f t="shared" si="9"/>
        <v>1210</v>
      </c>
      <c r="F117">
        <f t="shared" si="15"/>
        <v>1.8271291434764858E-2</v>
      </c>
      <c r="I117">
        <f t="shared" si="11"/>
        <v>0.61676631318032737</v>
      </c>
      <c r="K117">
        <f t="shared" si="12"/>
        <v>0.62551826177757974</v>
      </c>
      <c r="L117">
        <f t="shared" si="13"/>
        <v>-0.59620688999763771</v>
      </c>
      <c r="N117">
        <v>1206.03946</v>
      </c>
      <c r="O117">
        <f t="shared" si="14"/>
        <v>6.0301973000000002</v>
      </c>
    </row>
    <row r="118" spans="1:15" x14ac:dyDescent="0.3">
      <c r="A118">
        <v>6.11</v>
      </c>
      <c r="B118">
        <f t="shared" si="8"/>
        <v>1222</v>
      </c>
      <c r="C118">
        <v>0.47699999999999998</v>
      </c>
      <c r="D118">
        <v>2.282169088721275E-2</v>
      </c>
      <c r="E118">
        <f t="shared" si="9"/>
        <v>1222</v>
      </c>
      <c r="F118">
        <f t="shared" si="15"/>
        <v>1.8321690887212749E-2</v>
      </c>
      <c r="I118">
        <f t="shared" si="11"/>
        <v>0.61644053132086984</v>
      </c>
      <c r="K118">
        <f t="shared" si="12"/>
        <v>0.62517997787407031</v>
      </c>
      <c r="L118">
        <f t="shared" si="13"/>
        <v>-0.59654517390114714</v>
      </c>
      <c r="N118">
        <v>1216.2231400000001</v>
      </c>
      <c r="O118">
        <f t="shared" si="14"/>
        <v>6.0811157000000007</v>
      </c>
    </row>
    <row r="119" spans="1:15" x14ac:dyDescent="0.3">
      <c r="A119">
        <v>6.16</v>
      </c>
      <c r="B119">
        <f t="shared" si="8"/>
        <v>1232</v>
      </c>
      <c r="C119">
        <v>0.47399999999999998</v>
      </c>
      <c r="D119">
        <v>2.2332519292831421E-2</v>
      </c>
      <c r="E119">
        <f t="shared" si="9"/>
        <v>1232</v>
      </c>
      <c r="F119">
        <f t="shared" si="15"/>
        <v>1.783251929283142E-2</v>
      </c>
      <c r="I119">
        <f t="shared" si="11"/>
        <v>0.61156831884384155</v>
      </c>
      <c r="K119">
        <f t="shared" si="12"/>
        <v>0.62002093298864369</v>
      </c>
      <c r="L119">
        <f t="shared" si="13"/>
        <v>-0.60170421878657376</v>
      </c>
      <c r="N119">
        <v>1226.4067399999999</v>
      </c>
      <c r="O119">
        <f t="shared" si="14"/>
        <v>6.1320336999999991</v>
      </c>
    </row>
    <row r="120" spans="1:15" x14ac:dyDescent="0.3">
      <c r="A120">
        <v>6.21</v>
      </c>
      <c r="B120">
        <f t="shared" si="8"/>
        <v>1242</v>
      </c>
      <c r="C120">
        <v>0.47299999999999998</v>
      </c>
      <c r="D120">
        <v>2.3083848878741261E-2</v>
      </c>
      <c r="E120">
        <f t="shared" si="9"/>
        <v>1242</v>
      </c>
      <c r="F120">
        <f t="shared" si="15"/>
        <v>1.858384887874126E-2</v>
      </c>
      <c r="I120">
        <f t="shared" si="11"/>
        <v>0.61635070153698324</v>
      </c>
      <c r="K120">
        <f t="shared" si="12"/>
        <v>0.62514086205662789</v>
      </c>
      <c r="L120">
        <f t="shared" si="13"/>
        <v>-0.59658428971858957</v>
      </c>
      <c r="N120">
        <v>1236.4886799999999</v>
      </c>
      <c r="O120">
        <f t="shared" si="14"/>
        <v>6.1824433999999995</v>
      </c>
    </row>
    <row r="121" spans="1:15" x14ac:dyDescent="0.3">
      <c r="A121">
        <v>6.27</v>
      </c>
      <c r="B121">
        <f t="shared" si="8"/>
        <v>1254</v>
      </c>
      <c r="C121">
        <v>0.47</v>
      </c>
      <c r="D121">
        <v>2.2485846653580669E-2</v>
      </c>
      <c r="E121">
        <f t="shared" si="9"/>
        <v>1254</v>
      </c>
      <c r="F121">
        <f t="shared" si="15"/>
        <v>1.7985846653580669E-2</v>
      </c>
      <c r="I121">
        <f t="shared" si="11"/>
        <v>0.61098625851795074</v>
      </c>
      <c r="K121">
        <f t="shared" si="12"/>
        <v>0.61943960644513363</v>
      </c>
      <c r="L121">
        <f t="shared" si="13"/>
        <v>-0.60228554533008383</v>
      </c>
      <c r="N121">
        <v>1247.0796800000001</v>
      </c>
      <c r="O121">
        <f t="shared" si="14"/>
        <v>6.2353984000000002</v>
      </c>
    </row>
    <row r="122" spans="1:15" x14ac:dyDescent="0.3">
      <c r="A122">
        <v>6.32</v>
      </c>
      <c r="B122">
        <f t="shared" si="8"/>
        <v>1264</v>
      </c>
      <c r="C122">
        <v>0.46800000000000003</v>
      </c>
      <c r="D122">
        <v>2.3159187287092209E-2</v>
      </c>
      <c r="E122">
        <f t="shared" si="9"/>
        <v>1264</v>
      </c>
      <c r="F122">
        <f t="shared" si="15"/>
        <v>1.8659187287092208E-2</v>
      </c>
      <c r="I122">
        <f t="shared" si="11"/>
        <v>0.61436606365442281</v>
      </c>
      <c r="K122">
        <f t="shared" si="12"/>
        <v>0.62309856330478197</v>
      </c>
      <c r="L122">
        <f t="shared" si="13"/>
        <v>-0.59862658847043548</v>
      </c>
      <c r="N122">
        <v>1257.3650399999999</v>
      </c>
      <c r="O122">
        <f t="shared" si="14"/>
        <v>6.2868251999999991</v>
      </c>
    </row>
    <row r="123" spans="1:15" x14ac:dyDescent="0.3">
      <c r="A123">
        <v>6.37</v>
      </c>
      <c r="B123">
        <f t="shared" si="8"/>
        <v>1274</v>
      </c>
      <c r="C123">
        <v>0.46600000000000003</v>
      </c>
      <c r="D123">
        <v>2.308138087391853E-2</v>
      </c>
      <c r="E123">
        <f t="shared" si="9"/>
        <v>1274</v>
      </c>
      <c r="F123">
        <f t="shared" si="15"/>
        <v>1.8581380873918529E-2</v>
      </c>
      <c r="I123">
        <f t="shared" si="11"/>
        <v>0.613028396166861</v>
      </c>
      <c r="K123">
        <f t="shared" si="12"/>
        <v>0.62168731965410706</v>
      </c>
      <c r="L123">
        <f t="shared" si="13"/>
        <v>-0.60003783212111039</v>
      </c>
      <c r="N123">
        <v>1267.54874</v>
      </c>
      <c r="O123">
        <f t="shared" si="14"/>
        <v>6.3377436999999999</v>
      </c>
    </row>
    <row r="124" spans="1:15" x14ac:dyDescent="0.3">
      <c r="A124">
        <v>6.42</v>
      </c>
      <c r="B124">
        <f t="shared" si="8"/>
        <v>1284</v>
      </c>
      <c r="C124">
        <v>0.46400000000000002</v>
      </c>
      <c r="D124">
        <v>2.2287413477897641E-2</v>
      </c>
      <c r="E124">
        <f t="shared" si="9"/>
        <v>1284</v>
      </c>
      <c r="F124">
        <f t="shared" si="15"/>
        <v>1.778741347789764E-2</v>
      </c>
      <c r="I124">
        <f t="shared" si="11"/>
        <v>0.60708519452810283</v>
      </c>
      <c r="K124">
        <f t="shared" si="12"/>
        <v>0.61533855438184737</v>
      </c>
      <c r="L124">
        <f t="shared" si="13"/>
        <v>-0.60638659739337009</v>
      </c>
      <c r="N124">
        <v>1277.93604</v>
      </c>
      <c r="O124">
        <f t="shared" si="14"/>
        <v>6.3896801999999999</v>
      </c>
    </row>
    <row r="125" spans="1:15" x14ac:dyDescent="0.3">
      <c r="A125">
        <v>6.47</v>
      </c>
      <c r="B125">
        <f t="shared" si="8"/>
        <v>1294</v>
      </c>
      <c r="C125">
        <v>0.46200000000000002</v>
      </c>
      <c r="D125">
        <v>2.303110808134079E-2</v>
      </c>
      <c r="E125">
        <f t="shared" si="9"/>
        <v>1294</v>
      </c>
      <c r="F125">
        <f t="shared" si="15"/>
        <v>1.8531108081340789E-2</v>
      </c>
      <c r="I125">
        <f t="shared" si="11"/>
        <v>0.61101126928627492</v>
      </c>
      <c r="K125">
        <f t="shared" si="12"/>
        <v>0.61957264121985434</v>
      </c>
      <c r="L125">
        <f t="shared" si="13"/>
        <v>-0.60215251055536312</v>
      </c>
      <c r="N125">
        <v>1288.6289999999999</v>
      </c>
      <c r="O125">
        <f t="shared" si="14"/>
        <v>6.4431449999999995</v>
      </c>
    </row>
    <row r="126" spans="1:15" x14ac:dyDescent="0.3">
      <c r="A126">
        <v>6.53</v>
      </c>
      <c r="B126">
        <f t="shared" si="8"/>
        <v>1306</v>
      </c>
      <c r="C126">
        <v>0.46</v>
      </c>
      <c r="D126">
        <v>2.348831482231617E-2</v>
      </c>
      <c r="E126">
        <f t="shared" si="9"/>
        <v>1306</v>
      </c>
      <c r="F126">
        <f t="shared" si="15"/>
        <v>1.8988314822316169E-2</v>
      </c>
      <c r="I126">
        <f t="shared" si="11"/>
        <v>0.61337869578972459</v>
      </c>
      <c r="K126">
        <f t="shared" si="12"/>
        <v>0.62211332060799007</v>
      </c>
      <c r="L126">
        <f t="shared" si="13"/>
        <v>-0.59961183116722738</v>
      </c>
      <c r="N126">
        <v>1299.11816</v>
      </c>
      <c r="O126">
        <f t="shared" si="14"/>
        <v>6.4955907999999996</v>
      </c>
    </row>
    <row r="127" spans="1:15" x14ac:dyDescent="0.3">
      <c r="A127">
        <v>6.58</v>
      </c>
      <c r="B127">
        <f t="shared" si="8"/>
        <v>1316</v>
      </c>
      <c r="C127">
        <v>0.45800000000000002</v>
      </c>
      <c r="D127">
        <v>2.2629233077168461E-2</v>
      </c>
      <c r="E127">
        <f t="shared" si="9"/>
        <v>1316</v>
      </c>
      <c r="F127">
        <f t="shared" si="15"/>
        <v>1.8129233077168461E-2</v>
      </c>
      <c r="I127">
        <f t="shared" si="11"/>
        <v>0.60690035364776851</v>
      </c>
      <c r="K127">
        <f t="shared" si="12"/>
        <v>0.61520354239711161</v>
      </c>
      <c r="L127">
        <f t="shared" si="13"/>
        <v>-0.60652160937810584</v>
      </c>
      <c r="N127">
        <v>1309.40362</v>
      </c>
      <c r="O127">
        <f t="shared" si="14"/>
        <v>6.5470180999999998</v>
      </c>
    </row>
    <row r="128" spans="1:15" x14ac:dyDescent="0.3">
      <c r="A128">
        <v>6.63</v>
      </c>
      <c r="B128">
        <f t="shared" si="8"/>
        <v>1326</v>
      </c>
      <c r="C128">
        <v>0.45500000000000002</v>
      </c>
      <c r="D128">
        <v>2.3756466805934909E-2</v>
      </c>
      <c r="E128">
        <f t="shared" si="9"/>
        <v>1326</v>
      </c>
      <c r="F128">
        <f t="shared" si="15"/>
        <v>1.9256466805934909E-2</v>
      </c>
      <c r="I128">
        <f t="shared" si="11"/>
        <v>0.61250537492334844</v>
      </c>
      <c r="K128">
        <f t="shared" si="12"/>
        <v>0.62126706732004888</v>
      </c>
      <c r="L128">
        <f t="shared" si="13"/>
        <v>-0.60045808445516857</v>
      </c>
      <c r="N128">
        <v>1320.1983399999999</v>
      </c>
      <c r="O128">
        <f t="shared" si="14"/>
        <v>6.6009916999999998</v>
      </c>
    </row>
    <row r="129" spans="1:15" x14ac:dyDescent="0.3">
      <c r="A129">
        <v>6.68</v>
      </c>
      <c r="B129">
        <f t="shared" si="8"/>
        <v>1336</v>
      </c>
      <c r="C129">
        <v>0.45300000000000001</v>
      </c>
      <c r="D129">
        <v>2.2980403155088421E-2</v>
      </c>
      <c r="E129">
        <f t="shared" si="9"/>
        <v>1336</v>
      </c>
      <c r="F129">
        <f t="shared" si="15"/>
        <v>1.8480403155088421E-2</v>
      </c>
      <c r="I129">
        <f t="shared" si="11"/>
        <v>0.60650909307599066</v>
      </c>
      <c r="K129">
        <f t="shared" si="12"/>
        <v>0.61488071570524572</v>
      </c>
      <c r="L129">
        <f t="shared" si="13"/>
        <v>-0.60684443606997174</v>
      </c>
      <c r="N129">
        <v>1330.6875</v>
      </c>
      <c r="O129">
        <f t="shared" si="14"/>
        <v>6.6534374999999999</v>
      </c>
    </row>
    <row r="130" spans="1:15" x14ac:dyDescent="0.3">
      <c r="A130">
        <v>6.73</v>
      </c>
      <c r="B130">
        <f t="shared" ref="B130:B193" si="16">A130*200</f>
        <v>1346</v>
      </c>
      <c r="C130">
        <v>0.45100000000000001</v>
      </c>
      <c r="D130">
        <v>2.28426568210125E-2</v>
      </c>
      <c r="E130">
        <f t="shared" ref="E130:E193" si="17">B130</f>
        <v>1346</v>
      </c>
      <c r="F130">
        <f t="shared" ref="F130:F161" si="18">D130-0.0045</f>
        <v>1.83426568210125E-2</v>
      </c>
      <c r="I130">
        <f t="shared" ref="I130:I193" si="19">C130+(D130*A130)</f>
        <v>0.60473108040541412</v>
      </c>
      <c r="K130">
        <f t="shared" ref="K130:K193" si="20">I130+(F130*C130)</f>
        <v>0.61300361863169073</v>
      </c>
      <c r="L130">
        <f t="shared" ref="L130:L193" si="21">K130-$I$1</f>
        <v>-0.60872153314352673</v>
      </c>
      <c r="N130">
        <v>1341.1766600000001</v>
      </c>
      <c r="O130">
        <f t="shared" ref="O130:O193" si="22">N130/200</f>
        <v>6.7058833</v>
      </c>
    </row>
    <row r="131" spans="1:15" x14ac:dyDescent="0.3">
      <c r="A131">
        <v>6.78</v>
      </c>
      <c r="B131">
        <f t="shared" si="16"/>
        <v>1356</v>
      </c>
      <c r="C131">
        <v>0.44900000000000001</v>
      </c>
      <c r="D131">
        <v>2.3348214104771611E-2</v>
      </c>
      <c r="E131">
        <f t="shared" si="17"/>
        <v>1356</v>
      </c>
      <c r="F131">
        <f t="shared" si="18"/>
        <v>1.884821410477161E-2</v>
      </c>
      <c r="I131">
        <f t="shared" si="19"/>
        <v>0.6073008916303515</v>
      </c>
      <c r="K131">
        <f t="shared" si="20"/>
        <v>0.61576373976339394</v>
      </c>
      <c r="L131">
        <f t="shared" si="21"/>
        <v>-0.60596141201182352</v>
      </c>
      <c r="N131">
        <v>1352.48046</v>
      </c>
      <c r="O131">
        <f t="shared" si="22"/>
        <v>6.7624022999999998</v>
      </c>
    </row>
    <row r="132" spans="1:15" x14ac:dyDescent="0.3">
      <c r="A132">
        <v>6.83</v>
      </c>
      <c r="B132">
        <f t="shared" si="16"/>
        <v>1366</v>
      </c>
      <c r="C132">
        <v>0.44700000000000001</v>
      </c>
      <c r="D132">
        <v>2.255835197865963E-2</v>
      </c>
      <c r="E132">
        <f t="shared" si="17"/>
        <v>1366</v>
      </c>
      <c r="F132">
        <f t="shared" si="18"/>
        <v>1.8058351978659629E-2</v>
      </c>
      <c r="I132">
        <f t="shared" si="19"/>
        <v>0.60107354401424529</v>
      </c>
      <c r="K132">
        <f t="shared" si="20"/>
        <v>0.60914562734870614</v>
      </c>
      <c r="L132">
        <f t="shared" si="21"/>
        <v>-0.61257952442651131</v>
      </c>
      <c r="N132">
        <v>1362.5623000000001</v>
      </c>
      <c r="O132">
        <f t="shared" si="22"/>
        <v>6.8128115000000005</v>
      </c>
    </row>
    <row r="133" spans="1:15" x14ac:dyDescent="0.3">
      <c r="A133">
        <v>6.88</v>
      </c>
      <c r="B133">
        <f t="shared" si="16"/>
        <v>1376</v>
      </c>
      <c r="C133">
        <v>0.44500000000000001</v>
      </c>
      <c r="D133">
        <v>2.312240190804005E-2</v>
      </c>
      <c r="E133">
        <f t="shared" si="17"/>
        <v>1376</v>
      </c>
      <c r="F133">
        <f t="shared" si="18"/>
        <v>1.862240190804005E-2</v>
      </c>
      <c r="I133">
        <f t="shared" si="19"/>
        <v>0.60408212512731552</v>
      </c>
      <c r="K133">
        <f t="shared" si="20"/>
        <v>0.61236909397639339</v>
      </c>
      <c r="L133">
        <f t="shared" si="21"/>
        <v>-0.60935605779882407</v>
      </c>
      <c r="N133">
        <v>1372.7460000000001</v>
      </c>
      <c r="O133">
        <f t="shared" si="22"/>
        <v>6.8637300000000003</v>
      </c>
    </row>
    <row r="134" spans="1:15" x14ac:dyDescent="0.3">
      <c r="A134">
        <v>6.94</v>
      </c>
      <c r="B134">
        <f t="shared" si="16"/>
        <v>1388</v>
      </c>
      <c r="C134">
        <v>0.443</v>
      </c>
      <c r="D134">
        <v>2.2912666201591492E-2</v>
      </c>
      <c r="E134">
        <f t="shared" si="17"/>
        <v>1388</v>
      </c>
      <c r="F134">
        <f t="shared" si="18"/>
        <v>1.8412666201591491E-2</v>
      </c>
      <c r="I134">
        <f t="shared" si="19"/>
        <v>0.60201390343904493</v>
      </c>
      <c r="K134">
        <f t="shared" si="20"/>
        <v>0.61017071456634997</v>
      </c>
      <c r="L134">
        <f t="shared" si="21"/>
        <v>-0.61155443720886749</v>
      </c>
      <c r="N134">
        <v>1382.92958</v>
      </c>
      <c r="O134">
        <f t="shared" si="22"/>
        <v>6.9146479000000003</v>
      </c>
    </row>
    <row r="135" spans="1:15" x14ac:dyDescent="0.3">
      <c r="A135">
        <v>6.99</v>
      </c>
      <c r="B135">
        <f t="shared" si="16"/>
        <v>1398</v>
      </c>
      <c r="C135">
        <v>0.441</v>
      </c>
      <c r="D135">
        <v>2.3176034912466999E-2</v>
      </c>
      <c r="E135">
        <f t="shared" si="17"/>
        <v>1398</v>
      </c>
      <c r="F135">
        <f t="shared" si="18"/>
        <v>1.8676034912466999E-2</v>
      </c>
      <c r="I135">
        <f t="shared" si="19"/>
        <v>0.60300048403814432</v>
      </c>
      <c r="K135">
        <f t="shared" si="20"/>
        <v>0.61123661543454222</v>
      </c>
      <c r="L135">
        <f t="shared" si="21"/>
        <v>-0.61048853634067524</v>
      </c>
      <c r="N135">
        <v>1393.3169</v>
      </c>
      <c r="O135">
        <f t="shared" si="22"/>
        <v>6.9665844999999997</v>
      </c>
    </row>
    <row r="136" spans="1:15" x14ac:dyDescent="0.3">
      <c r="A136">
        <v>7.04</v>
      </c>
      <c r="B136">
        <f t="shared" si="16"/>
        <v>1408</v>
      </c>
      <c r="C136">
        <v>0.439</v>
      </c>
      <c r="D136">
        <v>2.292532101273537E-2</v>
      </c>
      <c r="E136">
        <f t="shared" si="17"/>
        <v>1408</v>
      </c>
      <c r="F136">
        <f t="shared" si="18"/>
        <v>1.842532101273537E-2</v>
      </c>
      <c r="I136">
        <f t="shared" si="19"/>
        <v>0.600394259929657</v>
      </c>
      <c r="K136">
        <f t="shared" si="20"/>
        <v>0.60848297585424782</v>
      </c>
      <c r="L136">
        <f t="shared" si="21"/>
        <v>-0.61324217592096963</v>
      </c>
      <c r="N136">
        <v>1403.6025400000001</v>
      </c>
      <c r="O136">
        <f t="shared" si="22"/>
        <v>7.0180127000000008</v>
      </c>
    </row>
    <row r="137" spans="1:15" x14ac:dyDescent="0.3">
      <c r="A137">
        <v>7.09</v>
      </c>
      <c r="B137">
        <f t="shared" si="16"/>
        <v>1418</v>
      </c>
      <c r="C137">
        <v>0.437</v>
      </c>
      <c r="D137">
        <v>2.3279450833797451E-2</v>
      </c>
      <c r="E137">
        <f t="shared" si="17"/>
        <v>1418</v>
      </c>
      <c r="F137">
        <f t="shared" si="18"/>
        <v>1.8779450833797451E-2</v>
      </c>
      <c r="I137">
        <f t="shared" si="19"/>
        <v>0.60205130641162397</v>
      </c>
      <c r="K137">
        <f t="shared" si="20"/>
        <v>0.61025792642599341</v>
      </c>
      <c r="L137">
        <f t="shared" si="21"/>
        <v>-0.61146722534922404</v>
      </c>
      <c r="N137">
        <v>1413.88798</v>
      </c>
      <c r="O137">
        <f t="shared" si="22"/>
        <v>7.0694398999999999</v>
      </c>
    </row>
    <row r="138" spans="1:15" x14ac:dyDescent="0.3">
      <c r="A138">
        <v>7.15</v>
      </c>
      <c r="B138">
        <f t="shared" si="16"/>
        <v>1430</v>
      </c>
      <c r="C138">
        <v>0.434</v>
      </c>
      <c r="D138">
        <v>2.3136518895626072E-2</v>
      </c>
      <c r="E138">
        <f t="shared" si="17"/>
        <v>1430</v>
      </c>
      <c r="F138">
        <f t="shared" si="18"/>
        <v>1.8636518895626071E-2</v>
      </c>
      <c r="I138">
        <f t="shared" si="19"/>
        <v>0.59942611010372637</v>
      </c>
      <c r="K138">
        <f t="shared" si="20"/>
        <v>0.6075143593044281</v>
      </c>
      <c r="L138">
        <f t="shared" si="21"/>
        <v>-0.61421079247078936</v>
      </c>
      <c r="N138">
        <v>1424.17354</v>
      </c>
      <c r="O138">
        <f t="shared" si="22"/>
        <v>7.1208676999999998</v>
      </c>
    </row>
    <row r="139" spans="1:15" x14ac:dyDescent="0.3">
      <c r="A139">
        <v>7.2</v>
      </c>
      <c r="B139">
        <f t="shared" si="16"/>
        <v>1440</v>
      </c>
      <c r="C139">
        <v>0.432</v>
      </c>
      <c r="D139">
        <v>2.3596091195940971E-2</v>
      </c>
      <c r="E139">
        <f t="shared" si="17"/>
        <v>1440</v>
      </c>
      <c r="F139">
        <f t="shared" si="18"/>
        <v>1.9096091195940971E-2</v>
      </c>
      <c r="I139">
        <f t="shared" si="19"/>
        <v>0.60189185661077493</v>
      </c>
      <c r="K139">
        <f t="shared" si="20"/>
        <v>0.61014136800742147</v>
      </c>
      <c r="L139">
        <f t="shared" si="21"/>
        <v>-0.61158378376779599</v>
      </c>
      <c r="N139">
        <v>1434.4589800000001</v>
      </c>
      <c r="O139">
        <f t="shared" si="22"/>
        <v>7.1722949000000007</v>
      </c>
    </row>
    <row r="140" spans="1:15" x14ac:dyDescent="0.3">
      <c r="A140">
        <v>7.25</v>
      </c>
      <c r="B140">
        <f t="shared" si="16"/>
        <v>1450</v>
      </c>
      <c r="C140">
        <v>0.43</v>
      </c>
      <c r="D140">
        <v>2.316553890705109E-2</v>
      </c>
      <c r="E140">
        <f t="shared" si="17"/>
        <v>1450</v>
      </c>
      <c r="F140">
        <f t="shared" si="18"/>
        <v>1.8665538907051089E-2</v>
      </c>
      <c r="I140">
        <f t="shared" si="19"/>
        <v>0.59795015707612043</v>
      </c>
      <c r="K140">
        <f t="shared" si="20"/>
        <v>0.60597633880615243</v>
      </c>
      <c r="L140">
        <f t="shared" si="21"/>
        <v>-0.61574881296906503</v>
      </c>
      <c r="N140">
        <v>1444.8464799999999</v>
      </c>
      <c r="O140">
        <f t="shared" si="22"/>
        <v>7.2242324</v>
      </c>
    </row>
    <row r="141" spans="1:15" x14ac:dyDescent="0.3">
      <c r="A141">
        <v>7.31</v>
      </c>
      <c r="B141">
        <f t="shared" si="16"/>
        <v>1462</v>
      </c>
      <c r="C141">
        <v>0.42799999999999999</v>
      </c>
      <c r="D141">
        <v>2.4038000032305721E-2</v>
      </c>
      <c r="E141">
        <f t="shared" si="17"/>
        <v>1462</v>
      </c>
      <c r="F141">
        <f t="shared" si="18"/>
        <v>1.953800003230572E-2</v>
      </c>
      <c r="I141">
        <f t="shared" si="19"/>
        <v>0.60371778023615486</v>
      </c>
      <c r="K141">
        <f t="shared" si="20"/>
        <v>0.61208004424998175</v>
      </c>
      <c r="L141">
        <f t="shared" si="21"/>
        <v>-0.60964510752523571</v>
      </c>
      <c r="N141">
        <v>1455.53926</v>
      </c>
      <c r="O141">
        <f t="shared" si="22"/>
        <v>7.2776962999999997</v>
      </c>
    </row>
    <row r="142" spans="1:15" x14ac:dyDescent="0.3">
      <c r="A142">
        <v>7.36</v>
      </c>
      <c r="B142">
        <f t="shared" si="16"/>
        <v>1472</v>
      </c>
      <c r="C142">
        <v>0.42599999999999999</v>
      </c>
      <c r="D142">
        <v>2.2874869406223301E-2</v>
      </c>
      <c r="E142">
        <f t="shared" si="17"/>
        <v>1472</v>
      </c>
      <c r="F142">
        <f t="shared" si="18"/>
        <v>1.83748694062233E-2</v>
      </c>
      <c r="I142">
        <f t="shared" si="19"/>
        <v>0.59435903882980345</v>
      </c>
      <c r="K142">
        <f t="shared" si="20"/>
        <v>0.60218673319685456</v>
      </c>
      <c r="L142">
        <f t="shared" si="21"/>
        <v>-0.61953841857836289</v>
      </c>
      <c r="N142">
        <v>1465.6210000000001</v>
      </c>
      <c r="O142">
        <f t="shared" si="22"/>
        <v>7.3281050000000008</v>
      </c>
    </row>
    <row r="143" spans="1:15" x14ac:dyDescent="0.3">
      <c r="A143">
        <v>7.41</v>
      </c>
      <c r="B143">
        <f t="shared" si="16"/>
        <v>1482</v>
      </c>
      <c r="C143">
        <v>0.42399999999999999</v>
      </c>
      <c r="D143">
        <v>2.321753092110157E-2</v>
      </c>
      <c r="E143">
        <f t="shared" si="17"/>
        <v>1482</v>
      </c>
      <c r="F143">
        <f t="shared" si="18"/>
        <v>1.871753092110157E-2</v>
      </c>
      <c r="I143">
        <f t="shared" si="19"/>
        <v>0.59604190412536262</v>
      </c>
      <c r="K143">
        <f t="shared" si="20"/>
        <v>0.60397813723590965</v>
      </c>
      <c r="L143">
        <f t="shared" si="21"/>
        <v>-0.6177470145393078</v>
      </c>
      <c r="N143">
        <v>1475.80458</v>
      </c>
      <c r="O143">
        <f t="shared" si="22"/>
        <v>7.3790228999999998</v>
      </c>
    </row>
    <row r="144" spans="1:15" x14ac:dyDescent="0.3">
      <c r="A144">
        <v>7.46</v>
      </c>
      <c r="B144">
        <f t="shared" si="16"/>
        <v>1492</v>
      </c>
      <c r="C144">
        <v>0.42199999999999999</v>
      </c>
      <c r="D144">
        <v>2.334983088076115E-2</v>
      </c>
      <c r="E144">
        <f t="shared" si="17"/>
        <v>1492</v>
      </c>
      <c r="F144">
        <f t="shared" si="18"/>
        <v>1.8849830880761149E-2</v>
      </c>
      <c r="I144">
        <f t="shared" si="19"/>
        <v>0.59618973837047817</v>
      </c>
      <c r="K144">
        <f t="shared" si="20"/>
        <v>0.60414436700215934</v>
      </c>
      <c r="L144">
        <f t="shared" si="21"/>
        <v>-0.61758078477305811</v>
      </c>
      <c r="N144">
        <v>1486.29384</v>
      </c>
      <c r="O144">
        <f t="shared" si="22"/>
        <v>7.4314692000000004</v>
      </c>
    </row>
    <row r="145" spans="1:15" x14ac:dyDescent="0.3">
      <c r="A145">
        <v>7.52</v>
      </c>
      <c r="B145">
        <f t="shared" si="16"/>
        <v>1504</v>
      </c>
      <c r="C145">
        <v>0.42</v>
      </c>
      <c r="D145">
        <v>2.3089613765478131E-2</v>
      </c>
      <c r="E145">
        <f t="shared" si="17"/>
        <v>1504</v>
      </c>
      <c r="F145">
        <f t="shared" si="18"/>
        <v>1.858961376547813E-2</v>
      </c>
      <c r="I145">
        <f t="shared" si="19"/>
        <v>0.59363389551639556</v>
      </c>
      <c r="K145">
        <f t="shared" si="20"/>
        <v>0.6014415332978964</v>
      </c>
      <c r="L145">
        <f t="shared" si="21"/>
        <v>-0.62028361847732105</v>
      </c>
      <c r="N145">
        <v>1496.8848599999999</v>
      </c>
      <c r="O145">
        <f t="shared" si="22"/>
        <v>7.4844242999999997</v>
      </c>
    </row>
    <row r="146" spans="1:15" x14ac:dyDescent="0.3">
      <c r="A146">
        <v>7.57</v>
      </c>
      <c r="B146">
        <f t="shared" si="16"/>
        <v>1514</v>
      </c>
      <c r="C146">
        <v>0.41799999999999998</v>
      </c>
      <c r="D146">
        <v>2.4445373564958569E-2</v>
      </c>
      <c r="E146">
        <f t="shared" si="17"/>
        <v>1514</v>
      </c>
      <c r="F146">
        <f t="shared" si="18"/>
        <v>1.9945373564958568E-2</v>
      </c>
      <c r="I146">
        <f t="shared" si="19"/>
        <v>0.60305147788673641</v>
      </c>
      <c r="K146">
        <f t="shared" si="20"/>
        <v>0.61138864403688908</v>
      </c>
      <c r="L146">
        <f t="shared" si="21"/>
        <v>-0.61033650773832837</v>
      </c>
      <c r="N146">
        <v>1506.9666</v>
      </c>
      <c r="O146">
        <f t="shared" si="22"/>
        <v>7.5348329999999999</v>
      </c>
    </row>
    <row r="147" spans="1:15" x14ac:dyDescent="0.3">
      <c r="A147">
        <v>7.62</v>
      </c>
      <c r="B147">
        <f t="shared" si="16"/>
        <v>1524</v>
      </c>
      <c r="C147">
        <v>0.41599999999999998</v>
      </c>
      <c r="D147">
        <v>2.307135425508022E-2</v>
      </c>
      <c r="E147">
        <f t="shared" si="17"/>
        <v>1524</v>
      </c>
      <c r="F147">
        <f t="shared" si="18"/>
        <v>1.8571354255080219E-2</v>
      </c>
      <c r="I147">
        <f t="shared" si="19"/>
        <v>0.59180371942371124</v>
      </c>
      <c r="K147">
        <f t="shared" si="20"/>
        <v>0.59952940279382461</v>
      </c>
      <c r="L147">
        <f t="shared" si="21"/>
        <v>-0.62219574898139285</v>
      </c>
      <c r="N147">
        <v>1517.76142</v>
      </c>
      <c r="O147">
        <f t="shared" si="22"/>
        <v>7.5888071000000004</v>
      </c>
    </row>
    <row r="148" spans="1:15" x14ac:dyDescent="0.3">
      <c r="A148">
        <v>7.67</v>
      </c>
      <c r="B148">
        <f t="shared" si="16"/>
        <v>1534</v>
      </c>
      <c r="C148">
        <v>0.41299999999999998</v>
      </c>
      <c r="D148">
        <v>2.379290014505386E-2</v>
      </c>
      <c r="E148">
        <f t="shared" si="17"/>
        <v>1534</v>
      </c>
      <c r="F148">
        <f t="shared" si="18"/>
        <v>1.929290014505386E-2</v>
      </c>
      <c r="I148">
        <f t="shared" si="19"/>
        <v>0.59549154411256311</v>
      </c>
      <c r="K148">
        <f t="shared" si="20"/>
        <v>0.60345951187247038</v>
      </c>
      <c r="L148">
        <f t="shared" si="21"/>
        <v>-0.61826563990274708</v>
      </c>
      <c r="N148">
        <v>1528.5561600000001</v>
      </c>
      <c r="O148">
        <f t="shared" si="22"/>
        <v>7.6427808000000006</v>
      </c>
    </row>
    <row r="149" spans="1:15" x14ac:dyDescent="0.3">
      <c r="A149">
        <v>7.72</v>
      </c>
      <c r="B149">
        <f t="shared" si="16"/>
        <v>1544</v>
      </c>
      <c r="C149">
        <v>0.41099999999999998</v>
      </c>
      <c r="D149">
        <v>2.3416850715875629E-2</v>
      </c>
      <c r="E149">
        <f t="shared" si="17"/>
        <v>1544</v>
      </c>
      <c r="F149">
        <f t="shared" si="18"/>
        <v>1.8916850715875629E-2</v>
      </c>
      <c r="I149">
        <f t="shared" si="19"/>
        <v>0.5917780875265598</v>
      </c>
      <c r="K149">
        <f t="shared" si="20"/>
        <v>0.59955291317078474</v>
      </c>
      <c r="L149">
        <f t="shared" si="21"/>
        <v>-0.62217223860443271</v>
      </c>
      <c r="N149">
        <v>1538.8416999999999</v>
      </c>
      <c r="O149">
        <f t="shared" si="22"/>
        <v>7.6942084999999993</v>
      </c>
    </row>
    <row r="150" spans="1:15" x14ac:dyDescent="0.3">
      <c r="A150">
        <v>7.77</v>
      </c>
      <c r="B150">
        <f t="shared" si="16"/>
        <v>1554</v>
      </c>
      <c r="C150">
        <v>0.40899999999999997</v>
      </c>
      <c r="D150">
        <v>2.3439330980181691E-2</v>
      </c>
      <c r="E150">
        <f t="shared" si="17"/>
        <v>1554</v>
      </c>
      <c r="F150">
        <f t="shared" si="18"/>
        <v>1.893933098018169E-2</v>
      </c>
      <c r="I150">
        <f t="shared" si="19"/>
        <v>0.59112360171601175</v>
      </c>
      <c r="K150">
        <f t="shared" si="20"/>
        <v>0.59886978808690605</v>
      </c>
      <c r="L150">
        <f t="shared" si="21"/>
        <v>-0.6228553636883114</v>
      </c>
      <c r="N150">
        <v>1548.92344</v>
      </c>
      <c r="O150">
        <f t="shared" si="22"/>
        <v>7.7446172000000004</v>
      </c>
    </row>
    <row r="151" spans="1:15" x14ac:dyDescent="0.3">
      <c r="A151">
        <v>7.82</v>
      </c>
      <c r="B151">
        <f t="shared" si="16"/>
        <v>1564</v>
      </c>
      <c r="C151">
        <v>0.40699999999999997</v>
      </c>
      <c r="D151">
        <v>2.3617656901478771E-2</v>
      </c>
      <c r="E151">
        <f t="shared" si="17"/>
        <v>1564</v>
      </c>
      <c r="F151">
        <f t="shared" si="18"/>
        <v>1.911765690147877E-2</v>
      </c>
      <c r="I151">
        <f t="shared" si="19"/>
        <v>0.59169007696956399</v>
      </c>
      <c r="K151">
        <f t="shared" si="20"/>
        <v>0.59947096332846583</v>
      </c>
      <c r="L151">
        <f t="shared" si="21"/>
        <v>-0.62225418844675162</v>
      </c>
      <c r="N151">
        <v>1559.7181599999999</v>
      </c>
      <c r="O151">
        <f t="shared" si="22"/>
        <v>7.7985907999999995</v>
      </c>
    </row>
    <row r="152" spans="1:15" x14ac:dyDescent="0.3">
      <c r="A152">
        <v>7.87</v>
      </c>
      <c r="B152">
        <f t="shared" si="16"/>
        <v>1574</v>
      </c>
      <c r="C152">
        <v>0.40500000000000003</v>
      </c>
      <c r="D152">
        <v>2.4122841656208038E-2</v>
      </c>
      <c r="E152">
        <f t="shared" si="17"/>
        <v>1574</v>
      </c>
      <c r="F152">
        <f t="shared" si="18"/>
        <v>1.9622841656208038E-2</v>
      </c>
      <c r="I152">
        <f t="shared" si="19"/>
        <v>0.59484676383435731</v>
      </c>
      <c r="K152">
        <f t="shared" si="20"/>
        <v>0.60279401470512162</v>
      </c>
      <c r="L152">
        <f t="shared" si="21"/>
        <v>-0.61893113707009584</v>
      </c>
      <c r="N152">
        <v>1569.7999</v>
      </c>
      <c r="O152">
        <f t="shared" si="22"/>
        <v>7.8489994999999997</v>
      </c>
    </row>
    <row r="153" spans="1:15" x14ac:dyDescent="0.3">
      <c r="A153">
        <v>7.92</v>
      </c>
      <c r="B153">
        <f t="shared" si="16"/>
        <v>1584</v>
      </c>
      <c r="C153">
        <v>0.40300000000000002</v>
      </c>
      <c r="D153">
        <v>2.3679986596107479E-2</v>
      </c>
      <c r="E153">
        <f t="shared" si="17"/>
        <v>1584</v>
      </c>
      <c r="F153">
        <f t="shared" si="18"/>
        <v>1.9179986596107479E-2</v>
      </c>
      <c r="I153">
        <f t="shared" si="19"/>
        <v>0.59054549384117128</v>
      </c>
      <c r="K153">
        <f t="shared" si="20"/>
        <v>0.59827502843940261</v>
      </c>
      <c r="L153">
        <f t="shared" si="21"/>
        <v>-0.62345012333581484</v>
      </c>
      <c r="N153">
        <v>1580.9001000000001</v>
      </c>
      <c r="O153">
        <f t="shared" si="22"/>
        <v>7.9045005000000002</v>
      </c>
    </row>
    <row r="154" spans="1:15" x14ac:dyDescent="0.3">
      <c r="A154">
        <v>7.98</v>
      </c>
      <c r="B154">
        <f t="shared" si="16"/>
        <v>1596</v>
      </c>
      <c r="C154">
        <v>0.40100000000000002</v>
      </c>
      <c r="D154">
        <v>2.3782368749380112E-2</v>
      </c>
      <c r="E154">
        <f t="shared" si="17"/>
        <v>1596</v>
      </c>
      <c r="F154">
        <f t="shared" si="18"/>
        <v>1.9282368749380111E-2</v>
      </c>
      <c r="I154">
        <f t="shared" si="19"/>
        <v>0.5907833026200533</v>
      </c>
      <c r="K154">
        <f t="shared" si="20"/>
        <v>0.59851553248855471</v>
      </c>
      <c r="L154">
        <f t="shared" si="21"/>
        <v>-0.62320961928666274</v>
      </c>
      <c r="N154">
        <v>1590.9819399999999</v>
      </c>
      <c r="O154">
        <f t="shared" si="22"/>
        <v>7.9549096999999991</v>
      </c>
    </row>
    <row r="155" spans="1:15" x14ac:dyDescent="0.3">
      <c r="A155">
        <v>8.0299999999999994</v>
      </c>
      <c r="B155">
        <f t="shared" si="16"/>
        <v>1605.9999999999998</v>
      </c>
      <c r="C155">
        <v>0.39900000000000002</v>
      </c>
      <c r="D155">
        <v>2.3811902850866321E-2</v>
      </c>
      <c r="E155">
        <f t="shared" si="17"/>
        <v>1605.9999999999998</v>
      </c>
      <c r="F155">
        <f t="shared" si="18"/>
        <v>1.9311902850866321E-2</v>
      </c>
      <c r="I155">
        <f t="shared" si="19"/>
        <v>0.59020957989245659</v>
      </c>
      <c r="K155">
        <f t="shared" si="20"/>
        <v>0.5979150291299522</v>
      </c>
      <c r="L155">
        <f t="shared" si="21"/>
        <v>-0.62381012264526525</v>
      </c>
      <c r="N155">
        <v>1601.26748</v>
      </c>
      <c r="O155">
        <f t="shared" si="22"/>
        <v>8.0063373999999996</v>
      </c>
    </row>
    <row r="156" spans="1:15" x14ac:dyDescent="0.3">
      <c r="A156">
        <v>8.08</v>
      </c>
      <c r="B156">
        <f t="shared" si="16"/>
        <v>1616</v>
      </c>
      <c r="C156">
        <v>0.39700000000000002</v>
      </c>
      <c r="D156">
        <v>2.3356638848781589E-2</v>
      </c>
      <c r="E156">
        <f t="shared" si="17"/>
        <v>1616</v>
      </c>
      <c r="F156">
        <f t="shared" si="18"/>
        <v>1.8856638848781589E-2</v>
      </c>
      <c r="I156">
        <f t="shared" si="19"/>
        <v>0.58572164189815523</v>
      </c>
      <c r="K156">
        <f t="shared" si="20"/>
        <v>0.5932077275211215</v>
      </c>
      <c r="L156">
        <f t="shared" si="21"/>
        <v>-0.62851742425409596</v>
      </c>
      <c r="N156">
        <v>1612.2659200000001</v>
      </c>
      <c r="O156">
        <f t="shared" si="22"/>
        <v>8.0613296000000005</v>
      </c>
    </row>
    <row r="157" spans="1:15" x14ac:dyDescent="0.3">
      <c r="A157">
        <v>8.1300000000000008</v>
      </c>
      <c r="B157">
        <f t="shared" si="16"/>
        <v>1626.0000000000002</v>
      </c>
      <c r="C157">
        <v>0.39500000000000002</v>
      </c>
      <c r="D157">
        <v>2.376625686883926E-2</v>
      </c>
      <c r="E157">
        <f t="shared" si="17"/>
        <v>1626.0000000000002</v>
      </c>
      <c r="F157">
        <f t="shared" si="18"/>
        <v>1.926625686883926E-2</v>
      </c>
      <c r="I157">
        <f t="shared" si="19"/>
        <v>0.58821966834366324</v>
      </c>
      <c r="K157">
        <f t="shared" si="20"/>
        <v>0.59582983980685478</v>
      </c>
      <c r="L157">
        <f t="shared" si="21"/>
        <v>-0.62589531196836268</v>
      </c>
      <c r="N157">
        <v>1622.5513599999999</v>
      </c>
      <c r="O157">
        <f t="shared" si="22"/>
        <v>8.1127567999999997</v>
      </c>
    </row>
    <row r="158" spans="1:15" x14ac:dyDescent="0.3">
      <c r="A158">
        <v>8.18</v>
      </c>
      <c r="B158">
        <f t="shared" si="16"/>
        <v>1636</v>
      </c>
      <c r="C158">
        <v>0.39300000000000002</v>
      </c>
      <c r="D158">
        <v>2.3481503129005429E-2</v>
      </c>
      <c r="E158">
        <f t="shared" si="17"/>
        <v>1636</v>
      </c>
      <c r="F158">
        <f t="shared" si="18"/>
        <v>1.8981503129005428E-2</v>
      </c>
      <c r="I158">
        <f t="shared" si="19"/>
        <v>0.58507869559526438</v>
      </c>
      <c r="K158">
        <f t="shared" si="20"/>
        <v>0.59253842632496356</v>
      </c>
      <c r="L158">
        <f t="shared" si="21"/>
        <v>-0.62918672545025389</v>
      </c>
      <c r="N158">
        <v>1632.73506</v>
      </c>
      <c r="O158">
        <f t="shared" si="22"/>
        <v>8.1636752999999995</v>
      </c>
    </row>
    <row r="159" spans="1:15" x14ac:dyDescent="0.3">
      <c r="A159">
        <v>8.23</v>
      </c>
      <c r="B159">
        <f t="shared" si="16"/>
        <v>1646</v>
      </c>
      <c r="C159">
        <v>0.39</v>
      </c>
      <c r="D159">
        <v>2.421257458627224E-2</v>
      </c>
      <c r="E159">
        <f t="shared" si="17"/>
        <v>1646</v>
      </c>
      <c r="F159">
        <f t="shared" si="18"/>
        <v>1.9712574586272239E-2</v>
      </c>
      <c r="I159">
        <f t="shared" si="19"/>
        <v>0.58926948884502051</v>
      </c>
      <c r="K159">
        <f t="shared" si="20"/>
        <v>0.59695739293366668</v>
      </c>
      <c r="L159">
        <f t="shared" si="21"/>
        <v>-0.62476775884155078</v>
      </c>
      <c r="N159">
        <v>1643.4279200000001</v>
      </c>
      <c r="O159">
        <f t="shared" si="22"/>
        <v>8.2171396000000012</v>
      </c>
    </row>
    <row r="160" spans="1:15" x14ac:dyDescent="0.3">
      <c r="A160">
        <v>8.2799999999999994</v>
      </c>
      <c r="B160">
        <f t="shared" si="16"/>
        <v>1655.9999999999998</v>
      </c>
      <c r="C160">
        <v>0.38800000000000001</v>
      </c>
      <c r="D160">
        <v>2.3381641134619709E-2</v>
      </c>
      <c r="E160">
        <f t="shared" si="17"/>
        <v>1655.9999999999998</v>
      </c>
      <c r="F160">
        <f t="shared" si="18"/>
        <v>1.8881641134619709E-2</v>
      </c>
      <c r="I160">
        <f t="shared" si="19"/>
        <v>0.58159998859465123</v>
      </c>
      <c r="K160">
        <f t="shared" si="20"/>
        <v>0.58892606535488368</v>
      </c>
      <c r="L160">
        <f t="shared" si="21"/>
        <v>-0.63279908642033378</v>
      </c>
      <c r="N160">
        <v>1653.5097599999999</v>
      </c>
      <c r="O160">
        <f t="shared" si="22"/>
        <v>8.2675488000000001</v>
      </c>
    </row>
    <row r="161" spans="1:15" x14ac:dyDescent="0.3">
      <c r="A161">
        <v>8.34</v>
      </c>
      <c r="B161">
        <f t="shared" si="16"/>
        <v>1668</v>
      </c>
      <c r="C161">
        <v>0.38600000000000001</v>
      </c>
      <c r="D161">
        <v>2.4179680272936821E-2</v>
      </c>
      <c r="E161">
        <f t="shared" si="17"/>
        <v>1668</v>
      </c>
      <c r="F161">
        <f t="shared" si="18"/>
        <v>1.967968027293682E-2</v>
      </c>
      <c r="I161">
        <f t="shared" si="19"/>
        <v>0.58765853347629315</v>
      </c>
      <c r="K161">
        <f t="shared" si="20"/>
        <v>0.59525489006164678</v>
      </c>
      <c r="L161">
        <f t="shared" si="21"/>
        <v>-0.62647026171357068</v>
      </c>
      <c r="N161">
        <v>1663.5916</v>
      </c>
      <c r="O161">
        <f t="shared" si="22"/>
        <v>8.3179579999999991</v>
      </c>
    </row>
    <row r="162" spans="1:15" x14ac:dyDescent="0.3">
      <c r="A162">
        <v>8.39</v>
      </c>
      <c r="B162">
        <f t="shared" si="16"/>
        <v>1678</v>
      </c>
      <c r="C162">
        <v>0.38400000000000001</v>
      </c>
      <c r="D162">
        <v>2.3598005995154381E-2</v>
      </c>
      <c r="E162">
        <f t="shared" si="17"/>
        <v>1678</v>
      </c>
      <c r="F162">
        <f t="shared" ref="F162:F195" si="23">D162-0.0045</f>
        <v>1.909800599515438E-2</v>
      </c>
      <c r="I162">
        <f t="shared" si="19"/>
        <v>0.58198727029934527</v>
      </c>
      <c r="K162">
        <f t="shared" si="20"/>
        <v>0.58932090460148456</v>
      </c>
      <c r="L162">
        <f t="shared" si="21"/>
        <v>-0.63240424717373289</v>
      </c>
      <c r="N162">
        <v>1674.08086</v>
      </c>
      <c r="O162">
        <f t="shared" si="22"/>
        <v>8.3704043000000006</v>
      </c>
    </row>
    <row r="163" spans="1:15" x14ac:dyDescent="0.3">
      <c r="A163">
        <v>8.44</v>
      </c>
      <c r="B163">
        <f t="shared" si="16"/>
        <v>1688</v>
      </c>
      <c r="C163">
        <v>0.38200000000000001</v>
      </c>
      <c r="D163">
        <v>2.405710332095623E-2</v>
      </c>
      <c r="E163">
        <f t="shared" si="17"/>
        <v>1688</v>
      </c>
      <c r="F163">
        <f t="shared" si="23"/>
        <v>1.955710332095623E-2</v>
      </c>
      <c r="I163">
        <f t="shared" si="19"/>
        <v>0.58504195202887055</v>
      </c>
      <c r="K163">
        <f t="shared" si="20"/>
        <v>0.59251276549747578</v>
      </c>
      <c r="L163">
        <f t="shared" si="21"/>
        <v>-0.62921238627774168</v>
      </c>
      <c r="N163">
        <v>1684.2644600000001</v>
      </c>
      <c r="O163">
        <f t="shared" si="22"/>
        <v>8.4213222999999999</v>
      </c>
    </row>
    <row r="164" spans="1:15" x14ac:dyDescent="0.3">
      <c r="A164">
        <v>8.49</v>
      </c>
      <c r="B164">
        <f t="shared" si="16"/>
        <v>1698</v>
      </c>
      <c r="C164">
        <v>0.38</v>
      </c>
      <c r="D164">
        <v>2.362007275223732E-2</v>
      </c>
      <c r="E164">
        <f t="shared" si="17"/>
        <v>1698</v>
      </c>
      <c r="F164">
        <f t="shared" si="23"/>
        <v>1.9120072752237319E-2</v>
      </c>
      <c r="I164">
        <f t="shared" si="19"/>
        <v>0.58053441766649483</v>
      </c>
      <c r="K164">
        <f t="shared" si="20"/>
        <v>0.58780004531234498</v>
      </c>
      <c r="L164">
        <f t="shared" si="21"/>
        <v>-0.63392510646287248</v>
      </c>
      <c r="N164">
        <v>1694.55</v>
      </c>
      <c r="O164">
        <f t="shared" si="22"/>
        <v>8.4727499999999996</v>
      </c>
    </row>
    <row r="165" spans="1:15" x14ac:dyDescent="0.3">
      <c r="A165">
        <v>8.5500000000000007</v>
      </c>
      <c r="B165">
        <f t="shared" si="16"/>
        <v>1710.0000000000002</v>
      </c>
      <c r="C165">
        <v>0.378</v>
      </c>
      <c r="D165">
        <v>2.441132627427578E-2</v>
      </c>
      <c r="E165">
        <f t="shared" si="17"/>
        <v>1710.0000000000002</v>
      </c>
      <c r="F165">
        <f t="shared" si="23"/>
        <v>1.9911326274275779E-2</v>
      </c>
      <c r="I165">
        <f t="shared" si="19"/>
        <v>0.58671683964505794</v>
      </c>
      <c r="K165">
        <f t="shared" si="20"/>
        <v>0.59424332097673416</v>
      </c>
      <c r="L165">
        <f t="shared" si="21"/>
        <v>-0.6274818307984833</v>
      </c>
      <c r="N165">
        <v>1704.83554</v>
      </c>
      <c r="O165">
        <f t="shared" si="22"/>
        <v>8.524177700000001</v>
      </c>
    </row>
    <row r="166" spans="1:15" x14ac:dyDescent="0.3">
      <c r="A166">
        <v>8.6</v>
      </c>
      <c r="B166">
        <f t="shared" si="16"/>
        <v>1720</v>
      </c>
      <c r="C166">
        <v>0.375</v>
      </c>
      <c r="D166">
        <v>2.3775476962327961E-2</v>
      </c>
      <c r="E166">
        <f t="shared" si="17"/>
        <v>1720</v>
      </c>
      <c r="F166">
        <f t="shared" si="23"/>
        <v>1.927547696232796E-2</v>
      </c>
      <c r="I166">
        <f t="shared" si="19"/>
        <v>0.57946910187602052</v>
      </c>
      <c r="K166">
        <f t="shared" si="20"/>
        <v>0.58669740573689355</v>
      </c>
      <c r="L166">
        <f t="shared" si="21"/>
        <v>-0.6350277460383239</v>
      </c>
      <c r="N166">
        <v>1715.3248000000001</v>
      </c>
      <c r="O166">
        <f t="shared" si="22"/>
        <v>8.5766240000000007</v>
      </c>
    </row>
    <row r="167" spans="1:15" x14ac:dyDescent="0.3">
      <c r="A167">
        <v>8.65</v>
      </c>
      <c r="B167">
        <f t="shared" si="16"/>
        <v>1730</v>
      </c>
      <c r="C167">
        <v>0.373</v>
      </c>
      <c r="D167">
        <v>2.4246145039796829E-2</v>
      </c>
      <c r="E167">
        <f t="shared" si="17"/>
        <v>1730</v>
      </c>
      <c r="F167">
        <f t="shared" si="23"/>
        <v>1.9746145039796829E-2</v>
      </c>
      <c r="I167">
        <f t="shared" si="19"/>
        <v>0.58272915459424257</v>
      </c>
      <c r="K167">
        <f t="shared" si="20"/>
        <v>0.59009446669408683</v>
      </c>
      <c r="L167">
        <f t="shared" si="21"/>
        <v>-0.63163068508113063</v>
      </c>
      <c r="N167">
        <v>1725.61016</v>
      </c>
      <c r="O167">
        <f t="shared" si="22"/>
        <v>8.6280508000000005</v>
      </c>
    </row>
    <row r="168" spans="1:15" x14ac:dyDescent="0.3">
      <c r="A168">
        <v>8.7100000000000009</v>
      </c>
      <c r="B168">
        <f t="shared" si="16"/>
        <v>1742.0000000000002</v>
      </c>
      <c r="C168">
        <v>0.371</v>
      </c>
      <c r="D168">
        <v>2.3945005610585209E-2</v>
      </c>
      <c r="E168">
        <f t="shared" si="17"/>
        <v>1742.0000000000002</v>
      </c>
      <c r="F168">
        <f t="shared" si="23"/>
        <v>1.9445005610585209E-2</v>
      </c>
      <c r="I168">
        <f t="shared" si="19"/>
        <v>0.57956099886819723</v>
      </c>
      <c r="K168">
        <f t="shared" si="20"/>
        <v>0.58677509594972432</v>
      </c>
      <c r="L168">
        <f t="shared" si="21"/>
        <v>-0.63495005582549313</v>
      </c>
      <c r="N168">
        <v>1735.79376</v>
      </c>
      <c r="O168">
        <f t="shared" si="22"/>
        <v>8.6789687999999998</v>
      </c>
    </row>
    <row r="169" spans="1:15" x14ac:dyDescent="0.3">
      <c r="A169">
        <v>8.76</v>
      </c>
      <c r="B169">
        <f t="shared" si="16"/>
        <v>1752</v>
      </c>
      <c r="C169">
        <v>0.36899999999999999</v>
      </c>
      <c r="D169">
        <v>2.4068757891654972E-2</v>
      </c>
      <c r="E169">
        <f t="shared" si="17"/>
        <v>1752</v>
      </c>
      <c r="F169">
        <f t="shared" si="23"/>
        <v>1.9568757891654971E-2</v>
      </c>
      <c r="I169">
        <f t="shared" si="19"/>
        <v>0.57984231913089757</v>
      </c>
      <c r="K169">
        <f t="shared" si="20"/>
        <v>0.58706319079291824</v>
      </c>
      <c r="L169">
        <f t="shared" si="21"/>
        <v>-0.63466196098229921</v>
      </c>
      <c r="N169">
        <v>1746.2829999999999</v>
      </c>
      <c r="O169">
        <f t="shared" si="22"/>
        <v>8.7314150000000001</v>
      </c>
    </row>
    <row r="170" spans="1:15" x14ac:dyDescent="0.3">
      <c r="A170">
        <v>8.81</v>
      </c>
      <c r="B170">
        <f t="shared" si="16"/>
        <v>1762</v>
      </c>
      <c r="C170">
        <v>0.36699999999999999</v>
      </c>
      <c r="D170">
        <v>2.440095134079456E-2</v>
      </c>
      <c r="E170">
        <f t="shared" si="17"/>
        <v>1762</v>
      </c>
      <c r="F170">
        <f t="shared" si="23"/>
        <v>1.9900951340794559E-2</v>
      </c>
      <c r="I170">
        <f t="shared" si="19"/>
        <v>0.58197238131240003</v>
      </c>
      <c r="K170">
        <f t="shared" si="20"/>
        <v>0.58927603045447163</v>
      </c>
      <c r="L170">
        <f t="shared" si="21"/>
        <v>-0.63244912132074582</v>
      </c>
      <c r="N170">
        <v>1756.4666</v>
      </c>
      <c r="O170">
        <f t="shared" si="22"/>
        <v>8.7823329999999995</v>
      </c>
    </row>
    <row r="171" spans="1:15" x14ac:dyDescent="0.3">
      <c r="A171">
        <v>8.8699999999999992</v>
      </c>
      <c r="B171">
        <f t="shared" si="16"/>
        <v>1773.9999999999998</v>
      </c>
      <c r="C171">
        <v>0.36499999999999999</v>
      </c>
      <c r="D171">
        <v>2.4340275675058361E-2</v>
      </c>
      <c r="E171">
        <f t="shared" si="17"/>
        <v>1773.9999999999998</v>
      </c>
      <c r="F171">
        <f t="shared" si="23"/>
        <v>1.9840275675058361E-2</v>
      </c>
      <c r="I171">
        <f t="shared" si="19"/>
        <v>0.58089824523776767</v>
      </c>
      <c r="K171">
        <f t="shared" si="20"/>
        <v>0.58813994585916396</v>
      </c>
      <c r="L171">
        <f t="shared" si="21"/>
        <v>-0.6335852059160535</v>
      </c>
      <c r="N171">
        <v>1766.54844</v>
      </c>
      <c r="O171">
        <f t="shared" si="22"/>
        <v>8.8327422000000002</v>
      </c>
    </row>
    <row r="172" spans="1:15" x14ac:dyDescent="0.3">
      <c r="A172">
        <v>8.92</v>
      </c>
      <c r="B172">
        <f t="shared" si="16"/>
        <v>1784</v>
      </c>
      <c r="C172">
        <v>0.36199999999999999</v>
      </c>
      <c r="D172">
        <v>2.376594208180904E-2</v>
      </c>
      <c r="E172">
        <f t="shared" si="17"/>
        <v>1784</v>
      </c>
      <c r="F172">
        <f t="shared" si="23"/>
        <v>1.926594208180904E-2</v>
      </c>
      <c r="I172">
        <f t="shared" si="19"/>
        <v>0.57399220336973666</v>
      </c>
      <c r="K172">
        <f t="shared" si="20"/>
        <v>0.58096647440335158</v>
      </c>
      <c r="L172">
        <f t="shared" si="21"/>
        <v>-0.64075867737186587</v>
      </c>
      <c r="N172">
        <v>1776.6302800000001</v>
      </c>
      <c r="O172">
        <f t="shared" si="22"/>
        <v>8.8831514000000009</v>
      </c>
    </row>
    <row r="173" spans="1:15" x14ac:dyDescent="0.3">
      <c r="A173">
        <v>8.9700000000000006</v>
      </c>
      <c r="B173">
        <f t="shared" si="16"/>
        <v>1794.0000000000002</v>
      </c>
      <c r="C173">
        <v>0.36099999999999999</v>
      </c>
      <c r="D173">
        <v>2.4312430992722511E-2</v>
      </c>
      <c r="E173">
        <f t="shared" si="17"/>
        <v>1794.0000000000002</v>
      </c>
      <c r="F173">
        <f t="shared" si="23"/>
        <v>1.9812430992722511E-2</v>
      </c>
      <c r="I173">
        <f t="shared" si="19"/>
        <v>0.57908250600472089</v>
      </c>
      <c r="K173">
        <f t="shared" si="20"/>
        <v>0.58623479359309372</v>
      </c>
      <c r="L173">
        <f t="shared" si="21"/>
        <v>-0.63549035818212374</v>
      </c>
      <c r="N173">
        <v>1786.7121</v>
      </c>
      <c r="O173">
        <f t="shared" si="22"/>
        <v>8.9335605000000005</v>
      </c>
    </row>
    <row r="174" spans="1:15" x14ac:dyDescent="0.3">
      <c r="A174">
        <v>9.02</v>
      </c>
      <c r="B174">
        <f t="shared" si="16"/>
        <v>1804</v>
      </c>
      <c r="C174">
        <v>0.35799999999999998</v>
      </c>
      <c r="D174">
        <v>2.424491569399834E-2</v>
      </c>
      <c r="E174">
        <f t="shared" si="17"/>
        <v>1804</v>
      </c>
      <c r="F174">
        <f t="shared" si="23"/>
        <v>1.974491569399834E-2</v>
      </c>
      <c r="I174">
        <f t="shared" si="19"/>
        <v>0.576689139559865</v>
      </c>
      <c r="K174">
        <f t="shared" si="20"/>
        <v>0.58375781937831639</v>
      </c>
      <c r="L174">
        <f t="shared" si="21"/>
        <v>-0.63796733239690107</v>
      </c>
      <c r="N174">
        <v>1796.79394</v>
      </c>
      <c r="O174">
        <f t="shared" si="22"/>
        <v>8.9839696999999994</v>
      </c>
    </row>
    <row r="175" spans="1:15" x14ac:dyDescent="0.3">
      <c r="A175">
        <v>9.07</v>
      </c>
      <c r="B175">
        <f t="shared" si="16"/>
        <v>1814</v>
      </c>
      <c r="C175">
        <v>0.35599999999999998</v>
      </c>
      <c r="D175">
        <v>2.4329442530870441E-2</v>
      </c>
      <c r="E175">
        <f t="shared" si="17"/>
        <v>1814</v>
      </c>
      <c r="F175">
        <f t="shared" si="23"/>
        <v>1.9829442530870441E-2</v>
      </c>
      <c r="I175">
        <f t="shared" si="19"/>
        <v>0.57666804375499492</v>
      </c>
      <c r="K175">
        <f t="shared" si="20"/>
        <v>0.58372732529598481</v>
      </c>
      <c r="L175">
        <f t="shared" si="21"/>
        <v>-0.63799782647923264</v>
      </c>
      <c r="N175">
        <v>1807.3849600000001</v>
      </c>
      <c r="O175">
        <f t="shared" si="22"/>
        <v>9.0369248000000013</v>
      </c>
    </row>
    <row r="176" spans="1:15" x14ac:dyDescent="0.3">
      <c r="A176">
        <v>9.1199999999999992</v>
      </c>
      <c r="B176">
        <f t="shared" si="16"/>
        <v>1823.9999999999998</v>
      </c>
      <c r="C176">
        <v>0.35399999999999998</v>
      </c>
      <c r="D176">
        <v>2.473657205700874E-2</v>
      </c>
      <c r="E176">
        <f t="shared" si="17"/>
        <v>1823.9999999999998</v>
      </c>
      <c r="F176">
        <f t="shared" si="23"/>
        <v>2.0236572057008739E-2</v>
      </c>
      <c r="I176">
        <f t="shared" si="19"/>
        <v>0.57959753715991968</v>
      </c>
      <c r="K176">
        <f t="shared" si="20"/>
        <v>0.58676128366810076</v>
      </c>
      <c r="L176">
        <f t="shared" si="21"/>
        <v>-0.63496386810711669</v>
      </c>
      <c r="N176">
        <v>1817.4667999999999</v>
      </c>
      <c r="O176">
        <f t="shared" si="22"/>
        <v>9.0873340000000002</v>
      </c>
    </row>
    <row r="177" spans="1:15" x14ac:dyDescent="0.3">
      <c r="A177">
        <v>9.17</v>
      </c>
      <c r="B177">
        <f t="shared" si="16"/>
        <v>1834</v>
      </c>
      <c r="C177">
        <v>0.35199999999999998</v>
      </c>
      <c r="D177">
        <v>2.427547425031662E-2</v>
      </c>
      <c r="E177">
        <f t="shared" si="17"/>
        <v>1834</v>
      </c>
      <c r="F177">
        <f t="shared" si="23"/>
        <v>1.9775474250316619E-2</v>
      </c>
      <c r="I177">
        <f t="shared" si="19"/>
        <v>0.57460609887540337</v>
      </c>
      <c r="K177">
        <f t="shared" si="20"/>
        <v>0.58156706581151485</v>
      </c>
      <c r="L177">
        <f t="shared" si="21"/>
        <v>-0.64015808596370261</v>
      </c>
      <c r="N177">
        <v>1828.36348</v>
      </c>
      <c r="O177">
        <f t="shared" si="22"/>
        <v>9.1418174000000008</v>
      </c>
    </row>
    <row r="178" spans="1:15" x14ac:dyDescent="0.3">
      <c r="A178">
        <v>9.2200000000000006</v>
      </c>
      <c r="B178">
        <f t="shared" si="16"/>
        <v>1844.0000000000002</v>
      </c>
      <c r="C178">
        <v>0.35</v>
      </c>
      <c r="D178">
        <v>2.4188827723264691E-2</v>
      </c>
      <c r="E178">
        <f t="shared" si="17"/>
        <v>1844.0000000000002</v>
      </c>
      <c r="F178">
        <f t="shared" si="23"/>
        <v>1.968882772326469E-2</v>
      </c>
      <c r="I178">
        <f t="shared" si="19"/>
        <v>0.57302099160850051</v>
      </c>
      <c r="K178">
        <f t="shared" si="20"/>
        <v>0.57991208131164318</v>
      </c>
      <c r="L178">
        <f t="shared" si="21"/>
        <v>-0.64181307046357428</v>
      </c>
      <c r="N178">
        <v>1838.5468800000001</v>
      </c>
      <c r="O178">
        <f t="shared" si="22"/>
        <v>9.1927344000000009</v>
      </c>
    </row>
    <row r="179" spans="1:15" x14ac:dyDescent="0.3">
      <c r="A179">
        <v>9.2799999999999994</v>
      </c>
      <c r="B179">
        <f t="shared" si="16"/>
        <v>1855.9999999999998</v>
      </c>
      <c r="C179">
        <v>0.34799999999999998</v>
      </c>
      <c r="D179">
        <v>2.4591587483882901E-2</v>
      </c>
      <c r="E179">
        <f t="shared" si="17"/>
        <v>1855.9999999999998</v>
      </c>
      <c r="F179">
        <f t="shared" si="23"/>
        <v>2.00915874838829E-2</v>
      </c>
      <c r="I179">
        <f t="shared" si="19"/>
        <v>0.57620993185043323</v>
      </c>
      <c r="K179">
        <f t="shared" si="20"/>
        <v>0.58320180429482449</v>
      </c>
      <c r="L179">
        <f t="shared" si="21"/>
        <v>-0.63852334748039297</v>
      </c>
      <c r="N179">
        <v>1849.0361399999999</v>
      </c>
      <c r="O179">
        <f t="shared" si="22"/>
        <v>9.2451806999999988</v>
      </c>
    </row>
    <row r="180" spans="1:15" x14ac:dyDescent="0.3">
      <c r="A180">
        <v>9.33</v>
      </c>
      <c r="B180">
        <f t="shared" si="16"/>
        <v>1866</v>
      </c>
      <c r="C180">
        <v>0.34599999999999997</v>
      </c>
      <c r="D180">
        <v>2.4872282519936562E-2</v>
      </c>
      <c r="E180">
        <f t="shared" si="17"/>
        <v>1866</v>
      </c>
      <c r="F180">
        <f t="shared" si="23"/>
        <v>2.0372282519936561E-2</v>
      </c>
      <c r="I180">
        <f t="shared" si="19"/>
        <v>0.57805839591100816</v>
      </c>
      <c r="K180">
        <f t="shared" si="20"/>
        <v>0.58510720566290619</v>
      </c>
      <c r="L180">
        <f t="shared" si="21"/>
        <v>-0.63661794611231126</v>
      </c>
      <c r="N180">
        <v>1859.11796</v>
      </c>
      <c r="O180">
        <f t="shared" si="22"/>
        <v>9.2955898000000001</v>
      </c>
    </row>
    <row r="181" spans="1:15" x14ac:dyDescent="0.3">
      <c r="A181">
        <v>9.3800000000000008</v>
      </c>
      <c r="B181">
        <f t="shared" si="16"/>
        <v>1876.0000000000002</v>
      </c>
      <c r="C181">
        <v>0.34300000000000003</v>
      </c>
      <c r="D181">
        <v>2.4994742125272751E-2</v>
      </c>
      <c r="E181">
        <f t="shared" si="17"/>
        <v>1876.0000000000002</v>
      </c>
      <c r="F181">
        <f t="shared" si="23"/>
        <v>2.049474212527275E-2</v>
      </c>
      <c r="I181">
        <f t="shared" si="19"/>
        <v>0.57745068113505849</v>
      </c>
      <c r="K181">
        <f t="shared" si="20"/>
        <v>0.58448037768402705</v>
      </c>
      <c r="L181">
        <f t="shared" si="21"/>
        <v>-0.6372447740911904</v>
      </c>
      <c r="N181">
        <v>1870.1164000000001</v>
      </c>
      <c r="O181">
        <f t="shared" si="22"/>
        <v>9.3505820000000011</v>
      </c>
    </row>
    <row r="182" spans="1:15" x14ac:dyDescent="0.3">
      <c r="A182">
        <v>9.43</v>
      </c>
      <c r="B182">
        <f t="shared" si="16"/>
        <v>1886</v>
      </c>
      <c r="C182">
        <v>0.34100000000000003</v>
      </c>
      <c r="D182">
        <v>2.505173347890377E-2</v>
      </c>
      <c r="E182">
        <f t="shared" si="17"/>
        <v>1886</v>
      </c>
      <c r="F182">
        <f t="shared" si="23"/>
        <v>2.055173347890377E-2</v>
      </c>
      <c r="I182">
        <f t="shared" si="19"/>
        <v>0.5772378467060626</v>
      </c>
      <c r="K182">
        <f t="shared" si="20"/>
        <v>0.58424598782236881</v>
      </c>
      <c r="L182">
        <f t="shared" si="21"/>
        <v>-0.63747916395284865</v>
      </c>
      <c r="N182">
        <v>1880.60546</v>
      </c>
      <c r="O182">
        <f t="shared" si="22"/>
        <v>9.4030272999999998</v>
      </c>
    </row>
    <row r="183" spans="1:15" x14ac:dyDescent="0.3">
      <c r="A183">
        <v>9.48</v>
      </c>
      <c r="B183">
        <f t="shared" si="16"/>
        <v>1896</v>
      </c>
      <c r="C183">
        <v>0.33900000000000002</v>
      </c>
      <c r="D183">
        <v>2.4565804749727249E-2</v>
      </c>
      <c r="E183">
        <f t="shared" si="17"/>
        <v>1896</v>
      </c>
      <c r="F183">
        <f t="shared" si="23"/>
        <v>2.0065804749727249E-2</v>
      </c>
      <c r="I183">
        <f t="shared" si="19"/>
        <v>0.57188382902741441</v>
      </c>
      <c r="K183">
        <f t="shared" si="20"/>
        <v>0.57868613683757197</v>
      </c>
      <c r="L183">
        <f t="shared" si="21"/>
        <v>-0.64303901493764548</v>
      </c>
      <c r="N183">
        <v>1890.99296</v>
      </c>
      <c r="O183">
        <f t="shared" si="22"/>
        <v>9.4549648000000008</v>
      </c>
    </row>
    <row r="184" spans="1:15" x14ac:dyDescent="0.3">
      <c r="A184">
        <v>9.5299999999999994</v>
      </c>
      <c r="B184">
        <f t="shared" si="16"/>
        <v>1905.9999999999998</v>
      </c>
      <c r="C184">
        <v>0.33700000000000002</v>
      </c>
      <c r="D184">
        <v>2.4296250194311138E-2</v>
      </c>
      <c r="E184">
        <f t="shared" si="17"/>
        <v>1905.9999999999998</v>
      </c>
      <c r="F184">
        <f t="shared" si="23"/>
        <v>1.9796250194311138E-2</v>
      </c>
      <c r="I184">
        <f t="shared" si="19"/>
        <v>0.56854326435178515</v>
      </c>
      <c r="K184">
        <f t="shared" si="20"/>
        <v>0.57521460066726804</v>
      </c>
      <c r="L184">
        <f t="shared" si="21"/>
        <v>-0.64651055110794942</v>
      </c>
      <c r="N184">
        <v>1901.0748000000001</v>
      </c>
      <c r="O184">
        <f t="shared" si="22"/>
        <v>9.5053739999999998</v>
      </c>
    </row>
    <row r="185" spans="1:15" x14ac:dyDescent="0.3">
      <c r="A185">
        <v>9.58</v>
      </c>
      <c r="B185">
        <f t="shared" si="16"/>
        <v>1916</v>
      </c>
      <c r="C185">
        <v>0.33500000000000002</v>
      </c>
      <c r="D185">
        <v>2.4016488343477249E-2</v>
      </c>
      <c r="E185">
        <f t="shared" si="17"/>
        <v>1916</v>
      </c>
      <c r="F185">
        <f t="shared" si="23"/>
        <v>1.9516488343477249E-2</v>
      </c>
      <c r="I185">
        <f t="shared" si="19"/>
        <v>0.56507795833051211</v>
      </c>
      <c r="K185">
        <f t="shared" si="20"/>
        <v>0.57161598192557694</v>
      </c>
      <c r="L185">
        <f t="shared" si="21"/>
        <v>-0.65010916984964051</v>
      </c>
      <c r="N185">
        <v>1911.1566399999999</v>
      </c>
      <c r="O185">
        <f t="shared" si="22"/>
        <v>9.5557832000000005</v>
      </c>
    </row>
    <row r="186" spans="1:15" x14ac:dyDescent="0.3">
      <c r="A186">
        <v>9.6300000000000008</v>
      </c>
      <c r="B186">
        <f t="shared" si="16"/>
        <v>1926.0000000000002</v>
      </c>
      <c r="C186">
        <v>0.33300000000000002</v>
      </c>
      <c r="D186">
        <v>2.4950046092271801E-2</v>
      </c>
      <c r="E186">
        <f t="shared" si="17"/>
        <v>1926.0000000000002</v>
      </c>
      <c r="F186">
        <f t="shared" si="23"/>
        <v>2.0450046092271801E-2</v>
      </c>
      <c r="I186">
        <f t="shared" si="19"/>
        <v>0.57326894386857752</v>
      </c>
      <c r="K186">
        <f t="shared" si="20"/>
        <v>0.58007880921730404</v>
      </c>
      <c r="L186">
        <f t="shared" si="21"/>
        <v>-0.64164634255791342</v>
      </c>
      <c r="N186">
        <v>1921.74746</v>
      </c>
      <c r="O186">
        <f t="shared" si="22"/>
        <v>9.6087372999999996</v>
      </c>
    </row>
    <row r="187" spans="1:15" x14ac:dyDescent="0.3">
      <c r="A187">
        <v>9.69</v>
      </c>
      <c r="B187">
        <f t="shared" si="16"/>
        <v>1938</v>
      </c>
      <c r="C187">
        <v>0.33</v>
      </c>
      <c r="D187">
        <v>2.4746935814619061E-2</v>
      </c>
      <c r="E187">
        <f t="shared" si="17"/>
        <v>1938</v>
      </c>
      <c r="F187">
        <f t="shared" si="23"/>
        <v>2.024693581461906E-2</v>
      </c>
      <c r="I187">
        <f t="shared" si="19"/>
        <v>0.56979780804365876</v>
      </c>
      <c r="K187">
        <f t="shared" si="20"/>
        <v>0.576479296862483</v>
      </c>
      <c r="L187">
        <f t="shared" si="21"/>
        <v>-0.64524585491273445</v>
      </c>
      <c r="N187">
        <v>1931.9312600000001</v>
      </c>
      <c r="O187">
        <f t="shared" si="22"/>
        <v>9.6596563</v>
      </c>
    </row>
    <row r="188" spans="1:15" x14ac:dyDescent="0.3">
      <c r="A188">
        <v>9.74</v>
      </c>
      <c r="B188">
        <f t="shared" si="16"/>
        <v>1948</v>
      </c>
      <c r="C188">
        <v>0.32800000000000001</v>
      </c>
      <c r="D188">
        <v>2.47977115213871E-2</v>
      </c>
      <c r="E188">
        <f t="shared" si="17"/>
        <v>1948</v>
      </c>
      <c r="F188">
        <f t="shared" si="23"/>
        <v>2.02977115213871E-2</v>
      </c>
      <c r="I188">
        <f t="shared" si="19"/>
        <v>0.56952971021831034</v>
      </c>
      <c r="K188">
        <f t="shared" si="20"/>
        <v>0.57618735959732525</v>
      </c>
      <c r="L188">
        <f t="shared" si="21"/>
        <v>-0.6455377921778922</v>
      </c>
      <c r="N188">
        <v>1942.4203199999999</v>
      </c>
      <c r="O188">
        <f t="shared" si="22"/>
        <v>9.7121016000000004</v>
      </c>
    </row>
    <row r="189" spans="1:15" x14ac:dyDescent="0.3">
      <c r="A189">
        <v>9.7899999999999991</v>
      </c>
      <c r="B189">
        <f t="shared" si="16"/>
        <v>1957.9999999999998</v>
      </c>
      <c r="C189">
        <v>0.32700000000000001</v>
      </c>
      <c r="D189">
        <v>2.4553913623094559E-2</v>
      </c>
      <c r="E189">
        <f t="shared" si="17"/>
        <v>1957.9999999999998</v>
      </c>
      <c r="F189">
        <f t="shared" si="23"/>
        <v>2.0053913623094558E-2</v>
      </c>
      <c r="I189">
        <f t="shared" si="19"/>
        <v>0.56738281437009574</v>
      </c>
      <c r="K189">
        <f t="shared" si="20"/>
        <v>0.57394044412484768</v>
      </c>
      <c r="L189">
        <f t="shared" si="21"/>
        <v>-0.64778470765036977</v>
      </c>
      <c r="N189">
        <v>1952.70606</v>
      </c>
      <c r="O189">
        <f t="shared" si="22"/>
        <v>9.7635302999999993</v>
      </c>
    </row>
    <row r="190" spans="1:15" x14ac:dyDescent="0.3">
      <c r="A190">
        <v>9.84</v>
      </c>
      <c r="B190">
        <f t="shared" si="16"/>
        <v>1968</v>
      </c>
      <c r="C190">
        <v>0.32400000000000001</v>
      </c>
      <c r="D190">
        <v>2.4869997054338459E-2</v>
      </c>
      <c r="E190">
        <f t="shared" si="17"/>
        <v>1968</v>
      </c>
      <c r="F190">
        <f t="shared" si="23"/>
        <v>2.0369997054338458E-2</v>
      </c>
      <c r="I190">
        <f t="shared" si="19"/>
        <v>0.56872077101469043</v>
      </c>
      <c r="K190">
        <f t="shared" si="20"/>
        <v>0.57532065006029609</v>
      </c>
      <c r="L190">
        <f t="shared" si="21"/>
        <v>-0.64640450171492136</v>
      </c>
      <c r="N190">
        <v>1962.8894600000001</v>
      </c>
      <c r="O190">
        <f t="shared" si="22"/>
        <v>9.8144473000000012</v>
      </c>
    </row>
    <row r="191" spans="1:15" x14ac:dyDescent="0.3">
      <c r="A191">
        <v>9.9</v>
      </c>
      <c r="B191">
        <f t="shared" si="16"/>
        <v>1980</v>
      </c>
      <c r="C191">
        <v>0.32200000000000001</v>
      </c>
      <c r="D191">
        <v>2.4348245933651921E-2</v>
      </c>
      <c r="E191">
        <f t="shared" si="17"/>
        <v>1980</v>
      </c>
      <c r="F191">
        <f t="shared" si="23"/>
        <v>1.984824593365192E-2</v>
      </c>
      <c r="I191">
        <f t="shared" si="19"/>
        <v>0.563047634743154</v>
      </c>
      <c r="K191">
        <f t="shared" si="20"/>
        <v>0.56943876993378995</v>
      </c>
      <c r="L191">
        <f t="shared" si="21"/>
        <v>-0.65228638184142751</v>
      </c>
      <c r="N191">
        <v>1973.0732399999999</v>
      </c>
      <c r="O191">
        <f t="shared" si="22"/>
        <v>9.8653662000000004</v>
      </c>
    </row>
    <row r="192" spans="1:15" x14ac:dyDescent="0.3">
      <c r="A192">
        <v>9.9499999999999993</v>
      </c>
      <c r="B192">
        <f t="shared" si="16"/>
        <v>1989.9999999999998</v>
      </c>
      <c r="C192">
        <v>0.32</v>
      </c>
      <c r="D192">
        <v>2.544496022164822E-2</v>
      </c>
      <c r="E192">
        <f t="shared" si="17"/>
        <v>1989.9999999999998</v>
      </c>
      <c r="F192">
        <f t="shared" si="23"/>
        <v>2.0944960221648219E-2</v>
      </c>
      <c r="I192">
        <f t="shared" si="19"/>
        <v>0.57317735420539973</v>
      </c>
      <c r="K192">
        <f t="shared" si="20"/>
        <v>0.57987974147632715</v>
      </c>
      <c r="L192">
        <f t="shared" si="21"/>
        <v>-0.64184541029889031</v>
      </c>
      <c r="N192">
        <v>1983.25684</v>
      </c>
      <c r="O192">
        <f t="shared" si="22"/>
        <v>9.9162841999999998</v>
      </c>
    </row>
    <row r="193" spans="1:15" x14ac:dyDescent="0.3">
      <c r="A193">
        <v>10</v>
      </c>
      <c r="B193">
        <f t="shared" si="16"/>
        <v>2000</v>
      </c>
      <c r="C193">
        <v>0.317</v>
      </c>
      <c r="D193">
        <v>2.464304119348526E-2</v>
      </c>
      <c r="E193">
        <f t="shared" si="17"/>
        <v>2000</v>
      </c>
      <c r="F193">
        <f t="shared" si="23"/>
        <v>2.0143041193485259E-2</v>
      </c>
      <c r="I193">
        <f t="shared" si="19"/>
        <v>0.56343041193485255</v>
      </c>
      <c r="K193">
        <f t="shared" si="20"/>
        <v>0.56981575599318735</v>
      </c>
      <c r="L193">
        <f t="shared" si="21"/>
        <v>-0.65190939578203011</v>
      </c>
      <c r="N193">
        <v>1993.6443400000001</v>
      </c>
      <c r="O193">
        <f t="shared" si="22"/>
        <v>9.9682217000000009</v>
      </c>
    </row>
    <row r="194" spans="1:15" x14ac:dyDescent="0.3">
      <c r="A194">
        <v>10</v>
      </c>
      <c r="B194">
        <f t="shared" ref="B194:B257" si="24">A194*200</f>
        <v>2000</v>
      </c>
      <c r="C194">
        <v>0.315</v>
      </c>
      <c r="D194">
        <v>2.476061508059502E-2</v>
      </c>
      <c r="E194">
        <f t="shared" ref="E194:E223" si="25">B194</f>
        <v>2000</v>
      </c>
      <c r="F194">
        <f t="shared" si="23"/>
        <v>2.0260615080595019E-2</v>
      </c>
      <c r="I194">
        <f t="shared" ref="I194:I223" si="26">C194+(D194*A194)</f>
        <v>0.56260615080595022</v>
      </c>
      <c r="K194">
        <f t="shared" ref="K194:K223" si="27">I194+(F194*C194)</f>
        <v>0.56898824455633767</v>
      </c>
      <c r="L194">
        <f t="shared" ref="L194:L257" si="28">K194-$I$1</f>
        <v>-0.65273690721887978</v>
      </c>
      <c r="N194">
        <v>2004.2352000000001</v>
      </c>
      <c r="O194">
        <f t="shared" ref="O194:O257" si="29">N194/200</f>
        <v>10.021176000000001</v>
      </c>
    </row>
    <row r="195" spans="1:15" x14ac:dyDescent="0.3">
      <c r="A195">
        <v>10.1</v>
      </c>
      <c r="B195">
        <f t="shared" si="24"/>
        <v>2020</v>
      </c>
      <c r="C195">
        <v>0.313</v>
      </c>
      <c r="D195">
        <v>2.476061508059502E-2</v>
      </c>
      <c r="E195">
        <f t="shared" si="25"/>
        <v>2020</v>
      </c>
      <c r="F195">
        <f t="shared" si="23"/>
        <v>2.0260615080595019E-2</v>
      </c>
      <c r="I195">
        <f t="shared" si="26"/>
        <v>0.56308221231400968</v>
      </c>
      <c r="K195">
        <f t="shared" si="27"/>
        <v>0.56942378483423595</v>
      </c>
      <c r="L195">
        <f t="shared" si="28"/>
        <v>-0.65230136694098151</v>
      </c>
      <c r="N195">
        <v>2014.4190000000001</v>
      </c>
      <c r="O195">
        <f t="shared" si="29"/>
        <v>10.072095000000001</v>
      </c>
    </row>
    <row r="196" spans="1:15" x14ac:dyDescent="0.3">
      <c r="A196">
        <v>10.199999999999999</v>
      </c>
      <c r="B196">
        <f t="shared" si="24"/>
        <v>2039.9999999999998</v>
      </c>
      <c r="C196">
        <v>0.311</v>
      </c>
      <c r="D196">
        <v>2.4E-2</v>
      </c>
      <c r="E196">
        <f t="shared" si="25"/>
        <v>2039.9999999999998</v>
      </c>
      <c r="F196">
        <v>2.0369997054338451E-2</v>
      </c>
      <c r="I196">
        <f t="shared" si="26"/>
        <v>0.55579999999999996</v>
      </c>
      <c r="K196">
        <f t="shared" si="27"/>
        <v>0.56213506908389921</v>
      </c>
      <c r="L196">
        <f t="shared" si="28"/>
        <v>-0.65959008269131825</v>
      </c>
      <c r="N196">
        <v>2024.6025999999999</v>
      </c>
      <c r="O196">
        <f t="shared" si="29"/>
        <v>10.123013</v>
      </c>
    </row>
    <row r="197" spans="1:15" x14ac:dyDescent="0.3">
      <c r="A197">
        <v>10.199999999999999</v>
      </c>
      <c r="B197">
        <f t="shared" si="24"/>
        <v>2039.9999999999998</v>
      </c>
      <c r="C197">
        <v>0.309</v>
      </c>
      <c r="D197">
        <v>2.4E-2</v>
      </c>
      <c r="E197">
        <f t="shared" si="25"/>
        <v>2039.9999999999998</v>
      </c>
      <c r="F197">
        <v>1.984824593365192E-2</v>
      </c>
      <c r="I197">
        <f t="shared" si="26"/>
        <v>0.55379999999999996</v>
      </c>
      <c r="K197">
        <f t="shared" si="27"/>
        <v>0.55993310799349838</v>
      </c>
      <c r="L197">
        <f t="shared" si="28"/>
        <v>-0.66179204378171907</v>
      </c>
      <c r="N197">
        <v>2035.0917999999999</v>
      </c>
      <c r="O197">
        <f t="shared" si="29"/>
        <v>10.175459</v>
      </c>
    </row>
    <row r="198" spans="1:15" x14ac:dyDescent="0.3">
      <c r="A198">
        <v>10.3</v>
      </c>
      <c r="B198">
        <f t="shared" si="24"/>
        <v>2060</v>
      </c>
      <c r="C198">
        <v>0.30599999999999999</v>
      </c>
      <c r="D198">
        <v>2.4E-2</v>
      </c>
      <c r="E198">
        <f t="shared" si="25"/>
        <v>2060</v>
      </c>
      <c r="F198">
        <v>2.0944960221648219E-2</v>
      </c>
      <c r="I198">
        <f t="shared" si="26"/>
        <v>0.55320000000000003</v>
      </c>
      <c r="K198">
        <f t="shared" si="27"/>
        <v>0.55960915782782439</v>
      </c>
      <c r="L198">
        <f t="shared" si="28"/>
        <v>-0.66211599394739307</v>
      </c>
      <c r="N198">
        <v>2045.1733999999999</v>
      </c>
      <c r="O198">
        <f t="shared" si="29"/>
        <v>10.225866999999999</v>
      </c>
    </row>
    <row r="199" spans="1:15" x14ac:dyDescent="0.3">
      <c r="A199">
        <v>10.3</v>
      </c>
      <c r="B199">
        <f t="shared" si="24"/>
        <v>2060</v>
      </c>
      <c r="C199">
        <v>0.30399999999999999</v>
      </c>
      <c r="D199">
        <v>2.4E-2</v>
      </c>
      <c r="E199">
        <f t="shared" si="25"/>
        <v>2060</v>
      </c>
      <c r="F199">
        <v>2.0143041193485259E-2</v>
      </c>
      <c r="I199">
        <f t="shared" si="26"/>
        <v>0.55120000000000002</v>
      </c>
      <c r="K199">
        <f t="shared" si="27"/>
        <v>0.55732348452281955</v>
      </c>
      <c r="L199">
        <f t="shared" si="28"/>
        <v>-0.66440166725239791</v>
      </c>
      <c r="N199">
        <v>2056.0700000000002</v>
      </c>
      <c r="O199">
        <f t="shared" si="29"/>
        <v>10.28035</v>
      </c>
    </row>
    <row r="200" spans="1:15" x14ac:dyDescent="0.3">
      <c r="A200">
        <v>10.4</v>
      </c>
      <c r="B200">
        <f t="shared" si="24"/>
        <v>2080</v>
      </c>
      <c r="C200">
        <v>0.30099999999999999</v>
      </c>
      <c r="D200">
        <v>2.4E-2</v>
      </c>
      <c r="E200">
        <f t="shared" si="25"/>
        <v>2080</v>
      </c>
      <c r="F200">
        <v>1.974491569399834E-2</v>
      </c>
      <c r="I200">
        <f t="shared" si="26"/>
        <v>0.55059999999999998</v>
      </c>
      <c r="K200">
        <f t="shared" si="27"/>
        <v>0.55654321962389353</v>
      </c>
      <c r="L200">
        <f t="shared" si="28"/>
        <v>-0.66518193215132393</v>
      </c>
      <c r="N200">
        <v>2066.1518000000001</v>
      </c>
      <c r="O200">
        <f t="shared" si="29"/>
        <v>10.330759</v>
      </c>
    </row>
    <row r="201" spans="1:15" x14ac:dyDescent="0.3">
      <c r="A201">
        <v>10.4</v>
      </c>
      <c r="B201">
        <f t="shared" si="24"/>
        <v>2080</v>
      </c>
      <c r="C201">
        <v>0.29899999999999999</v>
      </c>
      <c r="D201">
        <v>2.4E-2</v>
      </c>
      <c r="E201">
        <f t="shared" si="25"/>
        <v>2080</v>
      </c>
      <c r="F201">
        <v>1.9829442530870441E-2</v>
      </c>
      <c r="I201">
        <f t="shared" si="26"/>
        <v>0.54859999999999998</v>
      </c>
      <c r="K201">
        <f t="shared" si="27"/>
        <v>0.55452900331673027</v>
      </c>
      <c r="L201">
        <f t="shared" si="28"/>
        <v>-0.66719614845848718</v>
      </c>
      <c r="N201">
        <v>2076.2338</v>
      </c>
      <c r="O201">
        <f t="shared" si="29"/>
        <v>10.381169</v>
      </c>
    </row>
    <row r="202" spans="1:15" x14ac:dyDescent="0.3">
      <c r="A202">
        <v>10.5</v>
      </c>
      <c r="B202">
        <f t="shared" si="24"/>
        <v>2100</v>
      </c>
      <c r="C202">
        <v>0.29699999999999999</v>
      </c>
      <c r="D202">
        <v>2.4E-2</v>
      </c>
      <c r="E202">
        <f t="shared" si="25"/>
        <v>2100</v>
      </c>
      <c r="F202">
        <v>2.0236572057008739E-2</v>
      </c>
      <c r="I202">
        <f t="shared" si="26"/>
        <v>0.54899999999999993</v>
      </c>
      <c r="K202">
        <f t="shared" si="27"/>
        <v>0.5550102619009315</v>
      </c>
      <c r="L202">
        <f t="shared" si="28"/>
        <v>-0.66671488987428595</v>
      </c>
      <c r="N202">
        <v>2086.5194000000001</v>
      </c>
      <c r="O202">
        <f t="shared" si="29"/>
        <v>10.432597000000001</v>
      </c>
    </row>
    <row r="203" spans="1:15" x14ac:dyDescent="0.3">
      <c r="A203">
        <v>10.5</v>
      </c>
      <c r="B203">
        <f t="shared" si="24"/>
        <v>2100</v>
      </c>
      <c r="C203">
        <v>0.29499999999999998</v>
      </c>
      <c r="D203">
        <v>2.4E-2</v>
      </c>
      <c r="E203">
        <f t="shared" si="25"/>
        <v>2100</v>
      </c>
      <c r="F203">
        <v>1.9775474250316619E-2</v>
      </c>
      <c r="I203">
        <f t="shared" si="26"/>
        <v>0.54699999999999993</v>
      </c>
      <c r="K203">
        <f t="shared" si="27"/>
        <v>0.55283376490384328</v>
      </c>
      <c r="L203">
        <f t="shared" si="28"/>
        <v>-0.66889138687137417</v>
      </c>
      <c r="N203">
        <v>2097.1102000000001</v>
      </c>
      <c r="O203">
        <f t="shared" si="29"/>
        <v>10.485551000000001</v>
      </c>
    </row>
    <row r="204" spans="1:15" x14ac:dyDescent="0.3">
      <c r="A204">
        <v>10.6</v>
      </c>
      <c r="B204">
        <f t="shared" si="24"/>
        <v>2120</v>
      </c>
      <c r="C204">
        <v>0.29299999999999998</v>
      </c>
      <c r="D204">
        <v>2.4E-2</v>
      </c>
      <c r="E204">
        <f t="shared" si="25"/>
        <v>2120</v>
      </c>
      <c r="F204">
        <v>1.968882772326469E-2</v>
      </c>
      <c r="I204">
        <f t="shared" si="26"/>
        <v>0.5474</v>
      </c>
      <c r="K204">
        <f t="shared" si="27"/>
        <v>0.55316882652291655</v>
      </c>
      <c r="L204">
        <f t="shared" si="28"/>
        <v>-0.66855632525230091</v>
      </c>
      <c r="N204">
        <v>2107.2939999999999</v>
      </c>
      <c r="O204">
        <f t="shared" si="29"/>
        <v>10.53647</v>
      </c>
    </row>
    <row r="205" spans="1:15" x14ac:dyDescent="0.3">
      <c r="A205">
        <v>10.6</v>
      </c>
      <c r="B205">
        <f t="shared" si="24"/>
        <v>2120</v>
      </c>
      <c r="C205">
        <v>0.29099999999999998</v>
      </c>
      <c r="D205">
        <v>2.4E-2</v>
      </c>
      <c r="E205">
        <f t="shared" si="25"/>
        <v>2120</v>
      </c>
      <c r="F205">
        <v>2.00915874838829E-2</v>
      </c>
      <c r="I205">
        <f t="shared" si="26"/>
        <v>0.5454</v>
      </c>
      <c r="K205">
        <f t="shared" si="27"/>
        <v>0.55124665195780997</v>
      </c>
      <c r="L205">
        <f t="shared" si="28"/>
        <v>-0.67047849981740748</v>
      </c>
      <c r="N205">
        <v>2117.4776000000002</v>
      </c>
      <c r="O205">
        <f t="shared" si="29"/>
        <v>10.587388000000001</v>
      </c>
    </row>
    <row r="206" spans="1:15" x14ac:dyDescent="0.3">
      <c r="A206">
        <v>10.7</v>
      </c>
      <c r="B206">
        <f t="shared" si="24"/>
        <v>2140</v>
      </c>
      <c r="C206">
        <v>0.28799999999999998</v>
      </c>
      <c r="D206">
        <v>2.4E-2</v>
      </c>
      <c r="E206">
        <f t="shared" si="25"/>
        <v>2140</v>
      </c>
      <c r="F206">
        <v>2.0372282519936561E-2</v>
      </c>
      <c r="I206">
        <f t="shared" si="26"/>
        <v>0.54479999999999995</v>
      </c>
      <c r="K206">
        <f t="shared" si="27"/>
        <v>0.55066721736574165</v>
      </c>
      <c r="L206">
        <f t="shared" si="28"/>
        <v>-0.67105793440947581</v>
      </c>
      <c r="N206">
        <v>2127.6614</v>
      </c>
      <c r="O206">
        <f t="shared" si="29"/>
        <v>10.638306999999999</v>
      </c>
    </row>
    <row r="207" spans="1:15" x14ac:dyDescent="0.3">
      <c r="A207">
        <v>10.7</v>
      </c>
      <c r="B207">
        <f t="shared" si="24"/>
        <v>2140</v>
      </c>
      <c r="C207">
        <v>0.28599999999999998</v>
      </c>
      <c r="D207">
        <v>2.4E-2</v>
      </c>
      <c r="E207">
        <f t="shared" si="25"/>
        <v>2140</v>
      </c>
      <c r="F207">
        <v>2.0065804749727249E-2</v>
      </c>
      <c r="I207">
        <f t="shared" si="26"/>
        <v>0.54279999999999995</v>
      </c>
      <c r="K207">
        <f t="shared" si="27"/>
        <v>0.54853882015842192</v>
      </c>
      <c r="L207">
        <f t="shared" si="28"/>
        <v>-0.67318633161679553</v>
      </c>
      <c r="N207">
        <v>2138.6596</v>
      </c>
      <c r="O207">
        <f t="shared" si="29"/>
        <v>10.693298</v>
      </c>
    </row>
    <row r="208" spans="1:15" x14ac:dyDescent="0.3">
      <c r="A208">
        <v>10.8</v>
      </c>
      <c r="B208">
        <f t="shared" si="24"/>
        <v>2160</v>
      </c>
      <c r="C208">
        <v>0.28399999999999997</v>
      </c>
      <c r="D208">
        <v>2.4E-2</v>
      </c>
      <c r="E208">
        <f t="shared" si="25"/>
        <v>2160</v>
      </c>
      <c r="F208">
        <v>1.9796250194311141E-2</v>
      </c>
      <c r="I208">
        <f t="shared" si="26"/>
        <v>0.54320000000000002</v>
      </c>
      <c r="K208">
        <f t="shared" si="27"/>
        <v>0.5488221350551844</v>
      </c>
      <c r="L208">
        <f t="shared" si="28"/>
        <v>-0.67290301672003305</v>
      </c>
      <c r="N208">
        <v>2149.3524000000002</v>
      </c>
      <c r="O208">
        <f t="shared" si="29"/>
        <v>10.746762</v>
      </c>
    </row>
    <row r="209" spans="1:15" x14ac:dyDescent="0.3">
      <c r="A209">
        <v>10.8</v>
      </c>
      <c r="B209">
        <f t="shared" si="24"/>
        <v>2160</v>
      </c>
      <c r="C209">
        <v>0.28199999999999997</v>
      </c>
      <c r="D209">
        <v>2.4E-2</v>
      </c>
      <c r="E209">
        <f t="shared" si="25"/>
        <v>2160</v>
      </c>
      <c r="F209">
        <v>1.9516488343477249E-2</v>
      </c>
      <c r="I209">
        <f t="shared" si="26"/>
        <v>0.54120000000000001</v>
      </c>
      <c r="K209">
        <f t="shared" si="27"/>
        <v>0.54670364971286056</v>
      </c>
      <c r="L209">
        <f t="shared" si="28"/>
        <v>-0.67502150206235689</v>
      </c>
      <c r="N209">
        <v>2159.4342000000001</v>
      </c>
      <c r="O209">
        <f t="shared" si="29"/>
        <v>10.797171000000001</v>
      </c>
    </row>
    <row r="210" spans="1:15" x14ac:dyDescent="0.3">
      <c r="A210">
        <v>10.9</v>
      </c>
      <c r="B210">
        <f t="shared" si="24"/>
        <v>2180</v>
      </c>
      <c r="C210">
        <v>0.27900000000000003</v>
      </c>
      <c r="D210">
        <v>2.4E-2</v>
      </c>
      <c r="E210">
        <f t="shared" si="25"/>
        <v>2180</v>
      </c>
      <c r="F210">
        <v>2.0450046092271801E-2</v>
      </c>
      <c r="I210">
        <f t="shared" si="26"/>
        <v>0.54059999999999997</v>
      </c>
      <c r="K210">
        <f t="shared" si="27"/>
        <v>0.54630556285974385</v>
      </c>
      <c r="L210">
        <f t="shared" si="28"/>
        <v>-0.6754195889154736</v>
      </c>
      <c r="N210">
        <v>2170.0252</v>
      </c>
      <c r="O210">
        <f t="shared" si="29"/>
        <v>10.850125999999999</v>
      </c>
    </row>
    <row r="211" spans="1:15" x14ac:dyDescent="0.3">
      <c r="A211">
        <v>10.9</v>
      </c>
      <c r="B211">
        <f t="shared" si="24"/>
        <v>2180</v>
      </c>
      <c r="C211">
        <v>0.27700000000000002</v>
      </c>
      <c r="D211">
        <v>2.4E-2</v>
      </c>
      <c r="E211">
        <f t="shared" si="25"/>
        <v>2180</v>
      </c>
      <c r="F211">
        <v>2.024693581461906E-2</v>
      </c>
      <c r="I211">
        <f t="shared" si="26"/>
        <v>0.53859999999999997</v>
      </c>
      <c r="K211">
        <f t="shared" si="27"/>
        <v>0.5442084012206494</v>
      </c>
      <c r="L211">
        <f t="shared" si="28"/>
        <v>-0.67751675055456806</v>
      </c>
      <c r="N211">
        <v>2180.107</v>
      </c>
      <c r="O211">
        <f t="shared" si="29"/>
        <v>10.900535</v>
      </c>
    </row>
    <row r="212" spans="1:15" x14ac:dyDescent="0.3">
      <c r="A212">
        <v>11</v>
      </c>
      <c r="B212">
        <f t="shared" si="24"/>
        <v>2200</v>
      </c>
      <c r="C212">
        <v>0.27500000000000002</v>
      </c>
      <c r="D212">
        <v>2.4E-2</v>
      </c>
      <c r="E212">
        <f t="shared" si="25"/>
        <v>2200</v>
      </c>
      <c r="F212">
        <v>2.02977115213871E-2</v>
      </c>
      <c r="I212">
        <f t="shared" si="26"/>
        <v>0.53900000000000003</v>
      </c>
      <c r="K212">
        <f t="shared" si="27"/>
        <v>0.54458187066838148</v>
      </c>
      <c r="L212">
        <f t="shared" si="28"/>
        <v>-0.67714328110683597</v>
      </c>
      <c r="N212">
        <v>2190.6981999999998</v>
      </c>
      <c r="O212">
        <f t="shared" si="29"/>
        <v>10.953491</v>
      </c>
    </row>
    <row r="213" spans="1:15" x14ac:dyDescent="0.3">
      <c r="A213">
        <v>11</v>
      </c>
      <c r="B213">
        <f t="shared" si="24"/>
        <v>2200</v>
      </c>
      <c r="C213">
        <v>0.27200000000000002</v>
      </c>
      <c r="D213">
        <v>2.4E-2</v>
      </c>
      <c r="E213">
        <f t="shared" si="25"/>
        <v>2200</v>
      </c>
      <c r="F213">
        <v>2.0944960221648219E-2</v>
      </c>
      <c r="I213">
        <f t="shared" si="26"/>
        <v>0.53600000000000003</v>
      </c>
      <c r="K213">
        <f t="shared" si="27"/>
        <v>0.54169702918028839</v>
      </c>
      <c r="L213">
        <f t="shared" si="28"/>
        <v>-0.68002812259492906</v>
      </c>
      <c r="N213">
        <v>2200.7800000000002</v>
      </c>
      <c r="O213">
        <f t="shared" si="29"/>
        <v>11.003900000000002</v>
      </c>
    </row>
    <row r="214" spans="1:15" x14ac:dyDescent="0.3">
      <c r="A214">
        <v>11.1</v>
      </c>
      <c r="B214">
        <f t="shared" si="24"/>
        <v>2220</v>
      </c>
      <c r="C214">
        <v>0.27</v>
      </c>
      <c r="D214">
        <v>2.4E-2</v>
      </c>
      <c r="E214">
        <f t="shared" si="25"/>
        <v>2220</v>
      </c>
      <c r="F214">
        <v>2.0143041193485259E-2</v>
      </c>
      <c r="I214">
        <f t="shared" si="26"/>
        <v>0.53639999999999999</v>
      </c>
      <c r="K214">
        <f t="shared" si="27"/>
        <v>0.54183862112224102</v>
      </c>
      <c r="L214">
        <f t="shared" si="28"/>
        <v>-0.67988653065297644</v>
      </c>
      <c r="N214">
        <v>2211.0654</v>
      </c>
      <c r="O214">
        <f t="shared" si="29"/>
        <v>11.055327</v>
      </c>
    </row>
    <row r="215" spans="1:15" x14ac:dyDescent="0.3">
      <c r="A215">
        <v>11.1</v>
      </c>
      <c r="B215">
        <f t="shared" si="24"/>
        <v>2220</v>
      </c>
      <c r="C215">
        <v>0.26800000000000002</v>
      </c>
      <c r="D215">
        <v>2.4E-2</v>
      </c>
      <c r="E215">
        <f t="shared" si="25"/>
        <v>2220</v>
      </c>
      <c r="F215">
        <v>1.974491569399834E-2</v>
      </c>
      <c r="I215">
        <f t="shared" si="26"/>
        <v>0.53439999999999999</v>
      </c>
      <c r="K215">
        <f t="shared" si="27"/>
        <v>0.53969163740599158</v>
      </c>
      <c r="L215">
        <f t="shared" si="28"/>
        <v>-0.68203351436922588</v>
      </c>
      <c r="N215">
        <v>2221.1469999999999</v>
      </c>
      <c r="O215">
        <f t="shared" si="29"/>
        <v>11.105734999999999</v>
      </c>
    </row>
    <row r="216" spans="1:15" x14ac:dyDescent="0.3">
      <c r="A216">
        <v>11.2</v>
      </c>
      <c r="B216">
        <f t="shared" si="24"/>
        <v>2240</v>
      </c>
      <c r="C216">
        <v>0.26500000000000001</v>
      </c>
      <c r="D216">
        <v>2.4E-2</v>
      </c>
      <c r="E216">
        <f t="shared" si="25"/>
        <v>2240</v>
      </c>
      <c r="F216">
        <v>1.9829442530870441E-2</v>
      </c>
      <c r="I216">
        <f t="shared" si="26"/>
        <v>0.53380000000000005</v>
      </c>
      <c r="K216">
        <f t="shared" si="27"/>
        <v>0.5390548022706807</v>
      </c>
      <c r="L216">
        <f t="shared" si="28"/>
        <v>-0.68267034950453676</v>
      </c>
      <c r="N216">
        <v>2231.6363999999999</v>
      </c>
      <c r="O216">
        <f t="shared" si="29"/>
        <v>11.158182</v>
      </c>
    </row>
    <row r="217" spans="1:15" x14ac:dyDescent="0.3">
      <c r="A217">
        <v>11.2</v>
      </c>
      <c r="B217">
        <f t="shared" si="24"/>
        <v>2240</v>
      </c>
      <c r="C217">
        <v>0.26300000000000001</v>
      </c>
      <c r="D217">
        <v>2.4E-2</v>
      </c>
      <c r="E217">
        <f t="shared" si="25"/>
        <v>2240</v>
      </c>
      <c r="F217">
        <v>2.0236572057008739E-2</v>
      </c>
      <c r="I217">
        <f t="shared" si="26"/>
        <v>0.53180000000000005</v>
      </c>
      <c r="K217">
        <f t="shared" si="27"/>
        <v>0.53712221845099339</v>
      </c>
      <c r="L217">
        <f t="shared" si="28"/>
        <v>-0.68460293332422406</v>
      </c>
      <c r="N217">
        <v>2241.8200000000002</v>
      </c>
      <c r="O217">
        <f t="shared" si="29"/>
        <v>11.209100000000001</v>
      </c>
    </row>
    <row r="218" spans="1:15" x14ac:dyDescent="0.3">
      <c r="A218">
        <v>11.3</v>
      </c>
      <c r="B218">
        <f t="shared" si="24"/>
        <v>2260</v>
      </c>
      <c r="C218">
        <v>0.26100000000000001</v>
      </c>
      <c r="D218">
        <v>2.4E-2</v>
      </c>
      <c r="E218">
        <f t="shared" si="25"/>
        <v>2260</v>
      </c>
      <c r="F218">
        <v>1.9775474250316619E-2</v>
      </c>
      <c r="I218">
        <f t="shared" si="26"/>
        <v>0.53220000000000001</v>
      </c>
      <c r="K218">
        <f t="shared" si="27"/>
        <v>0.53736139877933264</v>
      </c>
      <c r="L218">
        <f t="shared" si="28"/>
        <v>-0.68436375299588481</v>
      </c>
      <c r="N218">
        <v>2252.3092000000001</v>
      </c>
      <c r="O218">
        <f t="shared" si="29"/>
        <v>11.261546000000001</v>
      </c>
    </row>
    <row r="219" spans="1:15" x14ac:dyDescent="0.3">
      <c r="A219">
        <v>11.4</v>
      </c>
      <c r="B219">
        <f t="shared" si="24"/>
        <v>2280</v>
      </c>
      <c r="C219">
        <v>0.25900000000000001</v>
      </c>
      <c r="D219">
        <v>2.4E-2</v>
      </c>
      <c r="E219">
        <f t="shared" si="25"/>
        <v>2280</v>
      </c>
      <c r="F219">
        <v>1.968882772326469E-2</v>
      </c>
      <c r="I219">
        <f t="shared" si="26"/>
        <v>0.53259999999999996</v>
      </c>
      <c r="K219">
        <f t="shared" si="27"/>
        <v>0.53769940638032554</v>
      </c>
      <c r="L219">
        <f t="shared" si="28"/>
        <v>-0.68402574539489192</v>
      </c>
      <c r="N219">
        <v>2262.4929999999999</v>
      </c>
      <c r="O219">
        <f t="shared" si="29"/>
        <v>11.312465</v>
      </c>
    </row>
    <row r="220" spans="1:15" x14ac:dyDescent="0.3">
      <c r="A220">
        <v>11.4</v>
      </c>
      <c r="B220">
        <f t="shared" si="24"/>
        <v>2280</v>
      </c>
      <c r="C220">
        <v>0.25600000000000001</v>
      </c>
      <c r="D220">
        <v>2.4E-2</v>
      </c>
      <c r="E220">
        <f t="shared" si="25"/>
        <v>2280</v>
      </c>
      <c r="F220">
        <v>2.00915874838829E-2</v>
      </c>
      <c r="I220">
        <f t="shared" si="26"/>
        <v>0.52960000000000007</v>
      </c>
      <c r="K220">
        <f t="shared" si="27"/>
        <v>0.53474344639587412</v>
      </c>
      <c r="L220">
        <f t="shared" si="28"/>
        <v>-0.68698170537934333</v>
      </c>
      <c r="N220">
        <v>2272.982</v>
      </c>
      <c r="O220">
        <f t="shared" si="29"/>
        <v>11.36491</v>
      </c>
    </row>
    <row r="221" spans="1:15" x14ac:dyDescent="0.3">
      <c r="A221">
        <v>11.5</v>
      </c>
      <c r="B221">
        <f t="shared" si="24"/>
        <v>2300</v>
      </c>
      <c r="C221">
        <v>0.254</v>
      </c>
      <c r="D221">
        <v>2.4E-2</v>
      </c>
      <c r="E221">
        <f t="shared" si="25"/>
        <v>2300</v>
      </c>
      <c r="F221">
        <v>2.0944960221648219E-2</v>
      </c>
      <c r="I221">
        <f t="shared" si="26"/>
        <v>0.53</v>
      </c>
      <c r="K221">
        <f t="shared" si="27"/>
        <v>0.53532001989629863</v>
      </c>
      <c r="L221">
        <f t="shared" si="28"/>
        <v>-0.68640513187891883</v>
      </c>
      <c r="N221">
        <v>2283.1658000000002</v>
      </c>
      <c r="O221">
        <f t="shared" si="29"/>
        <v>11.415829</v>
      </c>
    </row>
    <row r="222" spans="1:15" x14ac:dyDescent="0.3">
      <c r="A222">
        <v>11.5</v>
      </c>
      <c r="B222">
        <f t="shared" si="24"/>
        <v>2300</v>
      </c>
      <c r="C222">
        <v>0.252</v>
      </c>
      <c r="D222">
        <v>2.4E-2</v>
      </c>
      <c r="E222">
        <f t="shared" si="25"/>
        <v>2300</v>
      </c>
      <c r="F222">
        <v>2.0143041193485259E-2</v>
      </c>
      <c r="I222">
        <f t="shared" si="26"/>
        <v>0.52800000000000002</v>
      </c>
      <c r="K222">
        <f t="shared" si="27"/>
        <v>0.53307604638075834</v>
      </c>
      <c r="L222">
        <f t="shared" si="28"/>
        <v>-0.68864910539445912</v>
      </c>
      <c r="N222">
        <v>2293.4512</v>
      </c>
      <c r="O222">
        <f t="shared" si="29"/>
        <v>11.467255999999999</v>
      </c>
    </row>
    <row r="223" spans="1:15" x14ac:dyDescent="0.3">
      <c r="A223">
        <v>11.5</v>
      </c>
      <c r="B223">
        <f t="shared" si="24"/>
        <v>2300</v>
      </c>
      <c r="C223">
        <v>0.252</v>
      </c>
      <c r="D223">
        <v>2.4E-2</v>
      </c>
      <c r="E223">
        <f t="shared" si="25"/>
        <v>2300</v>
      </c>
      <c r="F223">
        <v>1.974491569399834E-2</v>
      </c>
      <c r="I223">
        <f t="shared" si="26"/>
        <v>0.52800000000000002</v>
      </c>
      <c r="K223">
        <f t="shared" si="27"/>
        <v>0.53297571875488758</v>
      </c>
      <c r="L223">
        <f t="shared" si="28"/>
        <v>-0.68874943302032987</v>
      </c>
      <c r="N223">
        <v>2303.5331999999999</v>
      </c>
      <c r="O223">
        <f t="shared" si="29"/>
        <v>11.517665999999998</v>
      </c>
    </row>
    <row r="224" spans="1:15" x14ac:dyDescent="0.3">
      <c r="N224">
        <v>2314.1242000000002</v>
      </c>
      <c r="O224">
        <f t="shared" si="29"/>
        <v>11.570621000000001</v>
      </c>
    </row>
    <row r="225" spans="14:15" x14ac:dyDescent="0.3">
      <c r="N225">
        <v>2325.4281999999998</v>
      </c>
      <c r="O225">
        <f t="shared" si="29"/>
        <v>11.627141</v>
      </c>
    </row>
    <row r="226" spans="14:15" x14ac:dyDescent="0.3">
      <c r="N226">
        <v>2335.8152</v>
      </c>
      <c r="O226">
        <f t="shared" si="29"/>
        <v>11.679076</v>
      </c>
    </row>
    <row r="227" spans="14:15" x14ac:dyDescent="0.3">
      <c r="N227">
        <v>2345.9987999999998</v>
      </c>
      <c r="O227">
        <f t="shared" si="29"/>
        <v>11.729994</v>
      </c>
    </row>
    <row r="228" spans="14:15" x14ac:dyDescent="0.3">
      <c r="N228">
        <v>2356.7937999999999</v>
      </c>
      <c r="O228">
        <f t="shared" si="29"/>
        <v>11.783968999999999</v>
      </c>
    </row>
    <row r="229" spans="14:15" x14ac:dyDescent="0.3">
      <c r="N229">
        <v>2366.8755999999998</v>
      </c>
      <c r="O229">
        <f t="shared" si="29"/>
        <v>11.834377999999999</v>
      </c>
    </row>
    <row r="230" spans="14:15" x14ac:dyDescent="0.3">
      <c r="N230">
        <v>2377.0594000000001</v>
      </c>
      <c r="O230">
        <f t="shared" si="29"/>
        <v>11.885297000000001</v>
      </c>
    </row>
    <row r="231" spans="14:15" x14ac:dyDescent="0.3">
      <c r="N231">
        <v>2387.1410000000001</v>
      </c>
      <c r="O231">
        <f t="shared" si="29"/>
        <v>11.935705</v>
      </c>
    </row>
    <row r="232" spans="14:15" x14ac:dyDescent="0.3">
      <c r="N232">
        <v>2394.0659999999998</v>
      </c>
      <c r="O232">
        <f t="shared" si="29"/>
        <v>11.970329999999999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2025-09-17T02:43:03Z</dcterms:created>
  <dcterms:modified xsi:type="dcterms:W3CDTF">2026-06-03T03:26:33Z</dcterms:modified>
</cp:coreProperties>
</file>