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nital\Air BP\75K\"/>
    </mc:Choice>
  </mc:AlternateContent>
  <xr:revisionPtr revIDLastSave="0" documentId="13_ncr:1_{7BDF7420-9F36-438E-850F-E9DC41990DF8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E223" i="2"/>
  <c r="B223" i="2"/>
  <c r="O222" i="2"/>
  <c r="K222" i="2"/>
  <c r="I222" i="2"/>
  <c r="B222" i="2"/>
  <c r="E222" i="2" s="1"/>
  <c r="O221" i="2"/>
  <c r="I221" i="2"/>
  <c r="K221" i="2" s="1"/>
  <c r="E221" i="2"/>
  <c r="B221" i="2"/>
  <c r="O220" i="2"/>
  <c r="K220" i="2"/>
  <c r="I220" i="2"/>
  <c r="B220" i="2"/>
  <c r="E220" i="2" s="1"/>
  <c r="O219" i="2"/>
  <c r="I219" i="2"/>
  <c r="K219" i="2" s="1"/>
  <c r="E219" i="2"/>
  <c r="B219" i="2"/>
  <c r="O218" i="2"/>
  <c r="K218" i="2"/>
  <c r="I218" i="2"/>
  <c r="B218" i="2"/>
  <c r="E218" i="2" s="1"/>
  <c r="O217" i="2"/>
  <c r="I217" i="2"/>
  <c r="K217" i="2" s="1"/>
  <c r="E217" i="2"/>
  <c r="B217" i="2"/>
  <c r="O216" i="2"/>
  <c r="K216" i="2"/>
  <c r="I216" i="2"/>
  <c r="B216" i="2"/>
  <c r="E216" i="2" s="1"/>
  <c r="O215" i="2"/>
  <c r="I215" i="2"/>
  <c r="K215" i="2" s="1"/>
  <c r="E215" i="2"/>
  <c r="B215" i="2"/>
  <c r="O214" i="2"/>
  <c r="K214" i="2"/>
  <c r="I214" i="2"/>
  <c r="B214" i="2"/>
  <c r="E214" i="2" s="1"/>
  <c r="O213" i="2"/>
  <c r="I213" i="2"/>
  <c r="K213" i="2" s="1"/>
  <c r="E213" i="2"/>
  <c r="B213" i="2"/>
  <c r="O212" i="2"/>
  <c r="K212" i="2"/>
  <c r="I212" i="2"/>
  <c r="B212" i="2"/>
  <c r="E212" i="2" s="1"/>
  <c r="O211" i="2"/>
  <c r="I211" i="2"/>
  <c r="K211" i="2" s="1"/>
  <c r="E211" i="2"/>
  <c r="B211" i="2"/>
  <c r="O210" i="2"/>
  <c r="K210" i="2"/>
  <c r="I210" i="2"/>
  <c r="B210" i="2"/>
  <c r="E210" i="2" s="1"/>
  <c r="O209" i="2"/>
  <c r="I209" i="2"/>
  <c r="K209" i="2" s="1"/>
  <c r="E209" i="2"/>
  <c r="B209" i="2"/>
  <c r="O208" i="2"/>
  <c r="K208" i="2"/>
  <c r="I208" i="2"/>
  <c r="B208" i="2"/>
  <c r="E208" i="2" s="1"/>
  <c r="O207" i="2"/>
  <c r="I207" i="2"/>
  <c r="K207" i="2" s="1"/>
  <c r="E207" i="2"/>
  <c r="B207" i="2"/>
  <c r="O206" i="2"/>
  <c r="K206" i="2"/>
  <c r="I206" i="2"/>
  <c r="B206" i="2"/>
  <c r="E206" i="2" s="1"/>
  <c r="O205" i="2"/>
  <c r="I205" i="2"/>
  <c r="K205" i="2" s="1"/>
  <c r="E205" i="2"/>
  <c r="B205" i="2"/>
  <c r="O204" i="2"/>
  <c r="K204" i="2"/>
  <c r="I204" i="2"/>
  <c r="B204" i="2"/>
  <c r="E204" i="2" s="1"/>
  <c r="O203" i="2"/>
  <c r="I203" i="2"/>
  <c r="K203" i="2" s="1"/>
  <c r="E203" i="2"/>
  <c r="B203" i="2"/>
  <c r="O202" i="2"/>
  <c r="K202" i="2"/>
  <c r="I202" i="2"/>
  <c r="B202" i="2"/>
  <c r="E202" i="2" s="1"/>
  <c r="O201" i="2"/>
  <c r="I201" i="2"/>
  <c r="K201" i="2" s="1"/>
  <c r="E201" i="2"/>
  <c r="B201" i="2"/>
  <c r="O200" i="2"/>
  <c r="K200" i="2"/>
  <c r="I200" i="2"/>
  <c r="B200" i="2"/>
  <c r="E200" i="2" s="1"/>
  <c r="O199" i="2"/>
  <c r="I199" i="2"/>
  <c r="K199" i="2" s="1"/>
  <c r="E199" i="2"/>
  <c r="B199" i="2"/>
  <c r="O198" i="2"/>
  <c r="K198" i="2"/>
  <c r="I198" i="2"/>
  <c r="B198" i="2"/>
  <c r="E198" i="2" s="1"/>
  <c r="O197" i="2"/>
  <c r="I197" i="2"/>
  <c r="K197" i="2" s="1"/>
  <c r="E197" i="2"/>
  <c r="B197" i="2"/>
  <c r="O196" i="2"/>
  <c r="K196" i="2"/>
  <c r="I196" i="2"/>
  <c r="B196" i="2"/>
  <c r="E196" i="2" s="1"/>
  <c r="O195" i="2"/>
  <c r="I195" i="2"/>
  <c r="K195" i="2" s="1"/>
  <c r="F195" i="2"/>
  <c r="E195" i="2"/>
  <c r="B195" i="2"/>
  <c r="O194" i="2"/>
  <c r="K194" i="2"/>
  <c r="I194" i="2"/>
  <c r="F194" i="2"/>
  <c r="E194" i="2"/>
  <c r="B194" i="2"/>
  <c r="O193" i="2"/>
  <c r="K193" i="2"/>
  <c r="I193" i="2"/>
  <c r="F193" i="2"/>
  <c r="B193" i="2"/>
  <c r="E193" i="2" s="1"/>
  <c r="O192" i="2"/>
  <c r="I192" i="2"/>
  <c r="K192" i="2" s="1"/>
  <c r="F192" i="2"/>
  <c r="B192" i="2"/>
  <c r="E192" i="2" s="1"/>
  <c r="O191" i="2"/>
  <c r="I191" i="2"/>
  <c r="K191" i="2" s="1"/>
  <c r="F191" i="2"/>
  <c r="E191" i="2"/>
  <c r="B191" i="2"/>
  <c r="O190" i="2"/>
  <c r="K190" i="2"/>
  <c r="I190" i="2"/>
  <c r="F190" i="2"/>
  <c r="E190" i="2"/>
  <c r="B190" i="2"/>
  <c r="O189" i="2"/>
  <c r="K189" i="2"/>
  <c r="I189" i="2"/>
  <c r="F189" i="2"/>
  <c r="B189" i="2"/>
  <c r="E189" i="2" s="1"/>
  <c r="O188" i="2"/>
  <c r="I188" i="2"/>
  <c r="K188" i="2" s="1"/>
  <c r="F188" i="2"/>
  <c r="B188" i="2"/>
  <c r="E188" i="2" s="1"/>
  <c r="O187" i="2"/>
  <c r="I187" i="2"/>
  <c r="K187" i="2" s="1"/>
  <c r="F187" i="2"/>
  <c r="E187" i="2"/>
  <c r="B187" i="2"/>
  <c r="O186" i="2"/>
  <c r="K186" i="2"/>
  <c r="I186" i="2"/>
  <c r="F186" i="2"/>
  <c r="E186" i="2"/>
  <c r="B186" i="2"/>
  <c r="O185" i="2"/>
  <c r="K185" i="2"/>
  <c r="I185" i="2"/>
  <c r="F185" i="2"/>
  <c r="B185" i="2"/>
  <c r="E185" i="2" s="1"/>
  <c r="O184" i="2"/>
  <c r="I184" i="2"/>
  <c r="K184" i="2" s="1"/>
  <c r="F184" i="2"/>
  <c r="B184" i="2"/>
  <c r="E184" i="2" s="1"/>
  <c r="O183" i="2"/>
  <c r="I183" i="2"/>
  <c r="F183" i="2"/>
  <c r="E183" i="2"/>
  <c r="B183" i="2"/>
  <c r="O182" i="2"/>
  <c r="K182" i="2"/>
  <c r="I182" i="2"/>
  <c r="F182" i="2"/>
  <c r="E182" i="2"/>
  <c r="B182" i="2"/>
  <c r="O181" i="2"/>
  <c r="K181" i="2"/>
  <c r="I181" i="2"/>
  <c r="F181" i="2"/>
  <c r="B181" i="2"/>
  <c r="E181" i="2" s="1"/>
  <c r="O180" i="2"/>
  <c r="I180" i="2"/>
  <c r="K180" i="2" s="1"/>
  <c r="F180" i="2"/>
  <c r="B180" i="2"/>
  <c r="E180" i="2" s="1"/>
  <c r="O179" i="2"/>
  <c r="I179" i="2"/>
  <c r="K179" i="2" s="1"/>
  <c r="F179" i="2"/>
  <c r="E179" i="2"/>
  <c r="B179" i="2"/>
  <c r="O178" i="2"/>
  <c r="K178" i="2"/>
  <c r="I178" i="2"/>
  <c r="F178" i="2"/>
  <c r="E178" i="2"/>
  <c r="B178" i="2"/>
  <c r="O177" i="2"/>
  <c r="K177" i="2"/>
  <c r="I177" i="2"/>
  <c r="F177" i="2"/>
  <c r="B177" i="2"/>
  <c r="E177" i="2" s="1"/>
  <c r="O176" i="2"/>
  <c r="I176" i="2"/>
  <c r="K176" i="2" s="1"/>
  <c r="F176" i="2"/>
  <c r="B176" i="2"/>
  <c r="E176" i="2" s="1"/>
  <c r="O175" i="2"/>
  <c r="I175" i="2"/>
  <c r="K175" i="2" s="1"/>
  <c r="F175" i="2"/>
  <c r="E175" i="2"/>
  <c r="B175" i="2"/>
  <c r="O174" i="2"/>
  <c r="K174" i="2"/>
  <c r="I174" i="2"/>
  <c r="F174" i="2"/>
  <c r="E174" i="2"/>
  <c r="B174" i="2"/>
  <c r="O173" i="2"/>
  <c r="K173" i="2"/>
  <c r="I173" i="2"/>
  <c r="F173" i="2"/>
  <c r="B173" i="2"/>
  <c r="E173" i="2" s="1"/>
  <c r="O172" i="2"/>
  <c r="I172" i="2"/>
  <c r="K172" i="2" s="1"/>
  <c r="F172" i="2"/>
  <c r="B172" i="2"/>
  <c r="E172" i="2" s="1"/>
  <c r="O171" i="2"/>
  <c r="I171" i="2"/>
  <c r="K171" i="2" s="1"/>
  <c r="F171" i="2"/>
  <c r="E171" i="2"/>
  <c r="B171" i="2"/>
  <c r="O170" i="2"/>
  <c r="K170" i="2"/>
  <c r="I170" i="2"/>
  <c r="F170" i="2"/>
  <c r="E170" i="2"/>
  <c r="B170" i="2"/>
  <c r="O169" i="2"/>
  <c r="K169" i="2"/>
  <c r="I169" i="2"/>
  <c r="F169" i="2"/>
  <c r="B169" i="2"/>
  <c r="E169" i="2" s="1"/>
  <c r="O168" i="2"/>
  <c r="I168" i="2"/>
  <c r="K168" i="2" s="1"/>
  <c r="F168" i="2"/>
  <c r="B168" i="2"/>
  <c r="E168" i="2" s="1"/>
  <c r="O167" i="2"/>
  <c r="I167" i="2"/>
  <c r="F167" i="2"/>
  <c r="E167" i="2"/>
  <c r="B167" i="2"/>
  <c r="O166" i="2"/>
  <c r="K166" i="2"/>
  <c r="I166" i="2"/>
  <c r="F166" i="2"/>
  <c r="E166" i="2"/>
  <c r="B166" i="2"/>
  <c r="O165" i="2"/>
  <c r="K165" i="2"/>
  <c r="I165" i="2"/>
  <c r="F165" i="2"/>
  <c r="B165" i="2"/>
  <c r="E165" i="2" s="1"/>
  <c r="O164" i="2"/>
  <c r="I164" i="2"/>
  <c r="K164" i="2" s="1"/>
  <c r="F164" i="2"/>
  <c r="B164" i="2"/>
  <c r="E164" i="2" s="1"/>
  <c r="O163" i="2"/>
  <c r="I163" i="2"/>
  <c r="K163" i="2" s="1"/>
  <c r="F163" i="2"/>
  <c r="E163" i="2"/>
  <c r="B163" i="2"/>
  <c r="O162" i="2"/>
  <c r="K162" i="2"/>
  <c r="I162" i="2"/>
  <c r="F162" i="2"/>
  <c r="E162" i="2"/>
  <c r="B162" i="2"/>
  <c r="O161" i="2"/>
  <c r="K161" i="2"/>
  <c r="I161" i="2"/>
  <c r="F161" i="2"/>
  <c r="B161" i="2"/>
  <c r="E161" i="2" s="1"/>
  <c r="O160" i="2"/>
  <c r="I160" i="2"/>
  <c r="K160" i="2" s="1"/>
  <c r="F160" i="2"/>
  <c r="B160" i="2"/>
  <c r="E160" i="2" s="1"/>
  <c r="O159" i="2"/>
  <c r="I159" i="2"/>
  <c r="K159" i="2" s="1"/>
  <c r="F159" i="2"/>
  <c r="E159" i="2"/>
  <c r="B159" i="2"/>
  <c r="O158" i="2"/>
  <c r="K158" i="2"/>
  <c r="I158" i="2"/>
  <c r="F158" i="2"/>
  <c r="E158" i="2"/>
  <c r="B158" i="2"/>
  <c r="O157" i="2"/>
  <c r="K157" i="2"/>
  <c r="I157" i="2"/>
  <c r="F157" i="2"/>
  <c r="B157" i="2"/>
  <c r="E157" i="2" s="1"/>
  <c r="O156" i="2"/>
  <c r="I156" i="2"/>
  <c r="K156" i="2" s="1"/>
  <c r="F156" i="2"/>
  <c r="B156" i="2"/>
  <c r="E156" i="2" s="1"/>
  <c r="O155" i="2"/>
  <c r="I155" i="2"/>
  <c r="K155" i="2" s="1"/>
  <c r="F155" i="2"/>
  <c r="E155" i="2"/>
  <c r="B155" i="2"/>
  <c r="O154" i="2"/>
  <c r="K154" i="2"/>
  <c r="I154" i="2"/>
  <c r="F154" i="2"/>
  <c r="E154" i="2"/>
  <c r="B154" i="2"/>
  <c r="O153" i="2"/>
  <c r="K153" i="2"/>
  <c r="I153" i="2"/>
  <c r="F153" i="2"/>
  <c r="B153" i="2"/>
  <c r="E153" i="2" s="1"/>
  <c r="O152" i="2"/>
  <c r="I152" i="2"/>
  <c r="K152" i="2" s="1"/>
  <c r="F152" i="2"/>
  <c r="B152" i="2"/>
  <c r="E152" i="2" s="1"/>
  <c r="O151" i="2"/>
  <c r="I151" i="2"/>
  <c r="F151" i="2"/>
  <c r="E151" i="2"/>
  <c r="B151" i="2"/>
  <c r="O150" i="2"/>
  <c r="K150" i="2"/>
  <c r="I150" i="2"/>
  <c r="F150" i="2"/>
  <c r="E150" i="2"/>
  <c r="B150" i="2"/>
  <c r="O149" i="2"/>
  <c r="K149" i="2"/>
  <c r="I149" i="2"/>
  <c r="F149" i="2"/>
  <c r="B149" i="2"/>
  <c r="E149" i="2" s="1"/>
  <c r="O148" i="2"/>
  <c r="I148" i="2"/>
  <c r="K148" i="2" s="1"/>
  <c r="F148" i="2"/>
  <c r="B148" i="2"/>
  <c r="E148" i="2" s="1"/>
  <c r="O147" i="2"/>
  <c r="I147" i="2"/>
  <c r="K147" i="2" s="1"/>
  <c r="F147" i="2"/>
  <c r="E147" i="2"/>
  <c r="B147" i="2"/>
  <c r="O146" i="2"/>
  <c r="K146" i="2"/>
  <c r="I146" i="2"/>
  <c r="F146" i="2"/>
  <c r="E146" i="2"/>
  <c r="B146" i="2"/>
  <c r="O145" i="2"/>
  <c r="K145" i="2"/>
  <c r="I145" i="2"/>
  <c r="F145" i="2"/>
  <c r="B145" i="2"/>
  <c r="E145" i="2" s="1"/>
  <c r="O144" i="2"/>
  <c r="I144" i="2"/>
  <c r="K144" i="2" s="1"/>
  <c r="F144" i="2"/>
  <c r="B144" i="2"/>
  <c r="E144" i="2" s="1"/>
  <c r="O143" i="2"/>
  <c r="I143" i="2"/>
  <c r="F143" i="2"/>
  <c r="E143" i="2"/>
  <c r="B143" i="2"/>
  <c r="O142" i="2"/>
  <c r="K142" i="2"/>
  <c r="I142" i="2"/>
  <c r="F142" i="2"/>
  <c r="E142" i="2"/>
  <c r="B142" i="2"/>
  <c r="O141" i="2"/>
  <c r="I141" i="2"/>
  <c r="K141" i="2" s="1"/>
  <c r="F141" i="2"/>
  <c r="B141" i="2"/>
  <c r="E141" i="2" s="1"/>
  <c r="O140" i="2"/>
  <c r="I140" i="2"/>
  <c r="K140" i="2" s="1"/>
  <c r="F140" i="2"/>
  <c r="B140" i="2"/>
  <c r="E140" i="2" s="1"/>
  <c r="O139" i="2"/>
  <c r="I139" i="2"/>
  <c r="F139" i="2"/>
  <c r="E139" i="2"/>
  <c r="B139" i="2"/>
  <c r="O138" i="2"/>
  <c r="K138" i="2"/>
  <c r="I138" i="2"/>
  <c r="F138" i="2"/>
  <c r="E138" i="2"/>
  <c r="B138" i="2"/>
  <c r="O137" i="2"/>
  <c r="I137" i="2"/>
  <c r="K137" i="2" s="1"/>
  <c r="F137" i="2"/>
  <c r="B137" i="2"/>
  <c r="E137" i="2" s="1"/>
  <c r="O136" i="2"/>
  <c r="I136" i="2"/>
  <c r="K136" i="2" s="1"/>
  <c r="F136" i="2"/>
  <c r="B136" i="2"/>
  <c r="E136" i="2" s="1"/>
  <c r="O135" i="2"/>
  <c r="I135" i="2"/>
  <c r="F135" i="2"/>
  <c r="E135" i="2"/>
  <c r="B135" i="2"/>
  <c r="O134" i="2"/>
  <c r="K134" i="2"/>
  <c r="I134" i="2"/>
  <c r="F134" i="2"/>
  <c r="E134" i="2"/>
  <c r="B134" i="2"/>
  <c r="O133" i="2"/>
  <c r="I133" i="2"/>
  <c r="K133" i="2" s="1"/>
  <c r="F133" i="2"/>
  <c r="B133" i="2"/>
  <c r="E133" i="2" s="1"/>
  <c r="O132" i="2"/>
  <c r="I132" i="2"/>
  <c r="K132" i="2" s="1"/>
  <c r="F132" i="2"/>
  <c r="B132" i="2"/>
  <c r="E132" i="2" s="1"/>
  <c r="O131" i="2"/>
  <c r="I131" i="2"/>
  <c r="F131" i="2"/>
  <c r="E131" i="2"/>
  <c r="B131" i="2"/>
  <c r="O130" i="2"/>
  <c r="K130" i="2"/>
  <c r="I130" i="2"/>
  <c r="F130" i="2"/>
  <c r="E130" i="2"/>
  <c r="B130" i="2"/>
  <c r="O129" i="2"/>
  <c r="I129" i="2"/>
  <c r="K129" i="2" s="1"/>
  <c r="F129" i="2"/>
  <c r="B129" i="2"/>
  <c r="E129" i="2" s="1"/>
  <c r="O128" i="2"/>
  <c r="I128" i="2"/>
  <c r="K128" i="2" s="1"/>
  <c r="F128" i="2"/>
  <c r="B128" i="2"/>
  <c r="E128" i="2" s="1"/>
  <c r="O127" i="2"/>
  <c r="I127" i="2"/>
  <c r="F127" i="2"/>
  <c r="E127" i="2"/>
  <c r="B127" i="2"/>
  <c r="O126" i="2"/>
  <c r="I126" i="2"/>
  <c r="F126" i="2"/>
  <c r="K126" i="2" s="1"/>
  <c r="E126" i="2"/>
  <c r="B126" i="2"/>
  <c r="O125" i="2"/>
  <c r="K125" i="2"/>
  <c r="I125" i="2"/>
  <c r="F125" i="2"/>
  <c r="B125" i="2"/>
  <c r="E125" i="2" s="1"/>
  <c r="O124" i="2"/>
  <c r="K124" i="2"/>
  <c r="I124" i="2"/>
  <c r="F124" i="2"/>
  <c r="B124" i="2"/>
  <c r="E124" i="2" s="1"/>
  <c r="O123" i="2"/>
  <c r="I123" i="2"/>
  <c r="K123" i="2" s="1"/>
  <c r="F123" i="2"/>
  <c r="E123" i="2"/>
  <c r="B123" i="2"/>
  <c r="O122" i="2"/>
  <c r="K122" i="2"/>
  <c r="I122" i="2"/>
  <c r="F122" i="2"/>
  <c r="B122" i="2"/>
  <c r="E122" i="2" s="1"/>
  <c r="O121" i="2"/>
  <c r="I121" i="2"/>
  <c r="K121" i="2" s="1"/>
  <c r="F121" i="2"/>
  <c r="E121" i="2"/>
  <c r="B121" i="2"/>
  <c r="O120" i="2"/>
  <c r="I120" i="2"/>
  <c r="K120" i="2" s="1"/>
  <c r="F120" i="2"/>
  <c r="B120" i="2"/>
  <c r="E120" i="2" s="1"/>
  <c r="O119" i="2"/>
  <c r="I119" i="2"/>
  <c r="F119" i="2"/>
  <c r="B119" i="2"/>
  <c r="E119" i="2" s="1"/>
  <c r="O118" i="2"/>
  <c r="I118" i="2"/>
  <c r="K118" i="2" s="1"/>
  <c r="F118" i="2"/>
  <c r="E118" i="2"/>
  <c r="B118" i="2"/>
  <c r="O117" i="2"/>
  <c r="K117" i="2"/>
  <c r="I117" i="2"/>
  <c r="F117" i="2"/>
  <c r="B117" i="2"/>
  <c r="E117" i="2" s="1"/>
  <c r="O116" i="2"/>
  <c r="I116" i="2"/>
  <c r="K116" i="2" s="1"/>
  <c r="F116" i="2"/>
  <c r="E116" i="2"/>
  <c r="B116" i="2"/>
  <c r="O115" i="2"/>
  <c r="I115" i="2"/>
  <c r="F115" i="2"/>
  <c r="K115" i="2" s="1"/>
  <c r="B115" i="2"/>
  <c r="E115" i="2" s="1"/>
  <c r="O114" i="2"/>
  <c r="I114" i="2"/>
  <c r="K114" i="2" s="1"/>
  <c r="F114" i="2"/>
  <c r="E114" i="2"/>
  <c r="B114" i="2"/>
  <c r="O113" i="2"/>
  <c r="K113" i="2"/>
  <c r="I113" i="2"/>
  <c r="F113" i="2"/>
  <c r="B113" i="2"/>
  <c r="E113" i="2" s="1"/>
  <c r="O112" i="2"/>
  <c r="I112" i="2"/>
  <c r="K112" i="2" s="1"/>
  <c r="F112" i="2"/>
  <c r="E112" i="2"/>
  <c r="B112" i="2"/>
  <c r="O111" i="2"/>
  <c r="I111" i="2"/>
  <c r="F111" i="2"/>
  <c r="K111" i="2" s="1"/>
  <c r="B111" i="2"/>
  <c r="E111" i="2" s="1"/>
  <c r="O110" i="2"/>
  <c r="I110" i="2"/>
  <c r="K110" i="2" s="1"/>
  <c r="F110" i="2"/>
  <c r="E110" i="2"/>
  <c r="B110" i="2"/>
  <c r="O109" i="2"/>
  <c r="K109" i="2"/>
  <c r="I109" i="2"/>
  <c r="F109" i="2"/>
  <c r="B109" i="2"/>
  <c r="E109" i="2" s="1"/>
  <c r="O108" i="2"/>
  <c r="I108" i="2"/>
  <c r="K108" i="2" s="1"/>
  <c r="F108" i="2"/>
  <c r="E108" i="2"/>
  <c r="B108" i="2"/>
  <c r="O107" i="2"/>
  <c r="I107" i="2"/>
  <c r="F107" i="2"/>
  <c r="K107" i="2" s="1"/>
  <c r="B107" i="2"/>
  <c r="E107" i="2" s="1"/>
  <c r="O106" i="2"/>
  <c r="I106" i="2"/>
  <c r="K106" i="2" s="1"/>
  <c r="F106" i="2"/>
  <c r="E106" i="2"/>
  <c r="B106" i="2"/>
  <c r="O105" i="2"/>
  <c r="K105" i="2"/>
  <c r="I105" i="2"/>
  <c r="F105" i="2"/>
  <c r="B105" i="2"/>
  <c r="E105" i="2" s="1"/>
  <c r="O104" i="2"/>
  <c r="I104" i="2"/>
  <c r="K104" i="2" s="1"/>
  <c r="F104" i="2"/>
  <c r="E104" i="2"/>
  <c r="B104" i="2"/>
  <c r="O103" i="2"/>
  <c r="I103" i="2"/>
  <c r="F103" i="2"/>
  <c r="K103" i="2" s="1"/>
  <c r="B103" i="2"/>
  <c r="E103" i="2" s="1"/>
  <c r="O102" i="2"/>
  <c r="I102" i="2"/>
  <c r="K102" i="2" s="1"/>
  <c r="F102" i="2"/>
  <c r="E102" i="2"/>
  <c r="B102" i="2"/>
  <c r="O101" i="2"/>
  <c r="K101" i="2"/>
  <c r="I101" i="2"/>
  <c r="F101" i="2"/>
  <c r="B101" i="2"/>
  <c r="E101" i="2" s="1"/>
  <c r="O100" i="2"/>
  <c r="I100" i="2"/>
  <c r="K100" i="2" s="1"/>
  <c r="F100" i="2"/>
  <c r="E100" i="2"/>
  <c r="B100" i="2"/>
  <c r="O99" i="2"/>
  <c r="I99" i="2"/>
  <c r="F99" i="2"/>
  <c r="K99" i="2" s="1"/>
  <c r="B99" i="2"/>
  <c r="E99" i="2" s="1"/>
  <c r="O98" i="2"/>
  <c r="I98" i="2"/>
  <c r="K98" i="2" s="1"/>
  <c r="F98" i="2"/>
  <c r="E98" i="2"/>
  <c r="B98" i="2"/>
  <c r="O97" i="2"/>
  <c r="K97" i="2"/>
  <c r="I97" i="2"/>
  <c r="F97" i="2"/>
  <c r="B97" i="2"/>
  <c r="E97" i="2" s="1"/>
  <c r="O96" i="2"/>
  <c r="I96" i="2"/>
  <c r="K96" i="2" s="1"/>
  <c r="F96" i="2"/>
  <c r="E96" i="2"/>
  <c r="B96" i="2"/>
  <c r="O95" i="2"/>
  <c r="I95" i="2"/>
  <c r="F95" i="2"/>
  <c r="K95" i="2" s="1"/>
  <c r="B95" i="2"/>
  <c r="E95" i="2" s="1"/>
  <c r="O94" i="2"/>
  <c r="I94" i="2"/>
  <c r="K94" i="2" s="1"/>
  <c r="F94" i="2"/>
  <c r="E94" i="2"/>
  <c r="B94" i="2"/>
  <c r="O93" i="2"/>
  <c r="K93" i="2"/>
  <c r="I93" i="2"/>
  <c r="F93" i="2"/>
  <c r="B93" i="2"/>
  <c r="E93" i="2" s="1"/>
  <c r="O92" i="2"/>
  <c r="I92" i="2"/>
  <c r="K92" i="2" s="1"/>
  <c r="F92" i="2"/>
  <c r="E92" i="2"/>
  <c r="B92" i="2"/>
  <c r="O91" i="2"/>
  <c r="I91" i="2"/>
  <c r="F91" i="2"/>
  <c r="K91" i="2" s="1"/>
  <c r="B91" i="2"/>
  <c r="E91" i="2" s="1"/>
  <c r="O90" i="2"/>
  <c r="I90" i="2"/>
  <c r="K90" i="2" s="1"/>
  <c r="F90" i="2"/>
  <c r="E90" i="2"/>
  <c r="B90" i="2"/>
  <c r="O89" i="2"/>
  <c r="K89" i="2"/>
  <c r="I89" i="2"/>
  <c r="F89" i="2"/>
  <c r="B89" i="2"/>
  <c r="E89" i="2" s="1"/>
  <c r="O88" i="2"/>
  <c r="I88" i="2"/>
  <c r="K88" i="2" s="1"/>
  <c r="F88" i="2"/>
  <c r="E88" i="2"/>
  <c r="B88" i="2"/>
  <c r="O87" i="2"/>
  <c r="I87" i="2"/>
  <c r="F87" i="2"/>
  <c r="K87" i="2" s="1"/>
  <c r="B87" i="2"/>
  <c r="E87" i="2" s="1"/>
  <c r="O86" i="2"/>
  <c r="I86" i="2"/>
  <c r="K86" i="2" s="1"/>
  <c r="F86" i="2"/>
  <c r="E86" i="2"/>
  <c r="B86" i="2"/>
  <c r="O85" i="2"/>
  <c r="K85" i="2"/>
  <c r="I85" i="2"/>
  <c r="F85" i="2"/>
  <c r="B85" i="2"/>
  <c r="E85" i="2" s="1"/>
  <c r="O84" i="2"/>
  <c r="I84" i="2"/>
  <c r="K84" i="2" s="1"/>
  <c r="F84" i="2"/>
  <c r="E84" i="2"/>
  <c r="B84" i="2"/>
  <c r="O83" i="2"/>
  <c r="I83" i="2"/>
  <c r="F83" i="2"/>
  <c r="K83" i="2" s="1"/>
  <c r="B83" i="2"/>
  <c r="E83" i="2" s="1"/>
  <c r="O82" i="2"/>
  <c r="I82" i="2"/>
  <c r="K82" i="2" s="1"/>
  <c r="F82" i="2"/>
  <c r="E82" i="2"/>
  <c r="B82" i="2"/>
  <c r="O81" i="2"/>
  <c r="K81" i="2"/>
  <c r="I81" i="2"/>
  <c r="F81" i="2"/>
  <c r="B81" i="2"/>
  <c r="E81" i="2" s="1"/>
  <c r="O80" i="2"/>
  <c r="I80" i="2"/>
  <c r="K80" i="2" s="1"/>
  <c r="F80" i="2"/>
  <c r="E80" i="2"/>
  <c r="B80" i="2"/>
  <c r="O79" i="2"/>
  <c r="I79" i="2"/>
  <c r="F79" i="2"/>
  <c r="K79" i="2" s="1"/>
  <c r="B79" i="2"/>
  <c r="E79" i="2" s="1"/>
  <c r="O78" i="2"/>
  <c r="I78" i="2"/>
  <c r="K78" i="2" s="1"/>
  <c r="F78" i="2"/>
  <c r="E78" i="2"/>
  <c r="B78" i="2"/>
  <c r="O77" i="2"/>
  <c r="K77" i="2"/>
  <c r="I77" i="2"/>
  <c r="F77" i="2"/>
  <c r="B77" i="2"/>
  <c r="E77" i="2" s="1"/>
  <c r="O76" i="2"/>
  <c r="I76" i="2"/>
  <c r="K76" i="2" s="1"/>
  <c r="F76" i="2"/>
  <c r="E76" i="2"/>
  <c r="B76" i="2"/>
  <c r="O75" i="2"/>
  <c r="I75" i="2"/>
  <c r="F75" i="2"/>
  <c r="K75" i="2" s="1"/>
  <c r="B75" i="2"/>
  <c r="E75" i="2" s="1"/>
  <c r="O74" i="2"/>
  <c r="I74" i="2"/>
  <c r="K74" i="2" s="1"/>
  <c r="F74" i="2"/>
  <c r="E74" i="2"/>
  <c r="B74" i="2"/>
  <c r="O73" i="2"/>
  <c r="K73" i="2"/>
  <c r="I73" i="2"/>
  <c r="F73" i="2"/>
  <c r="B73" i="2"/>
  <c r="E73" i="2" s="1"/>
  <c r="O72" i="2"/>
  <c r="I72" i="2"/>
  <c r="K72" i="2" s="1"/>
  <c r="F72" i="2"/>
  <c r="E72" i="2"/>
  <c r="B72" i="2"/>
  <c r="O71" i="2"/>
  <c r="I71" i="2"/>
  <c r="F71" i="2"/>
  <c r="K71" i="2" s="1"/>
  <c r="B71" i="2"/>
  <c r="E71" i="2" s="1"/>
  <c r="O70" i="2"/>
  <c r="I70" i="2"/>
  <c r="K70" i="2" s="1"/>
  <c r="F70" i="2"/>
  <c r="E70" i="2"/>
  <c r="B70" i="2"/>
  <c r="O69" i="2"/>
  <c r="K69" i="2"/>
  <c r="I69" i="2"/>
  <c r="F69" i="2"/>
  <c r="B69" i="2"/>
  <c r="E69" i="2" s="1"/>
  <c r="O68" i="2"/>
  <c r="I68" i="2"/>
  <c r="K68" i="2" s="1"/>
  <c r="F68" i="2"/>
  <c r="E68" i="2"/>
  <c r="B68" i="2"/>
  <c r="O67" i="2"/>
  <c r="I67" i="2"/>
  <c r="F67" i="2"/>
  <c r="K67" i="2" s="1"/>
  <c r="B67" i="2"/>
  <c r="E67" i="2" s="1"/>
  <c r="O66" i="2"/>
  <c r="I66" i="2"/>
  <c r="K66" i="2" s="1"/>
  <c r="F66" i="2"/>
  <c r="E66" i="2"/>
  <c r="B66" i="2"/>
  <c r="O65" i="2"/>
  <c r="K65" i="2"/>
  <c r="I65" i="2"/>
  <c r="F65" i="2"/>
  <c r="B65" i="2"/>
  <c r="E65" i="2" s="1"/>
  <c r="O64" i="2"/>
  <c r="I64" i="2"/>
  <c r="K64" i="2" s="1"/>
  <c r="F64" i="2"/>
  <c r="E64" i="2"/>
  <c r="B64" i="2"/>
  <c r="O63" i="2"/>
  <c r="I63" i="2"/>
  <c r="F63" i="2"/>
  <c r="K63" i="2" s="1"/>
  <c r="B63" i="2"/>
  <c r="E63" i="2" s="1"/>
  <c r="O62" i="2"/>
  <c r="I62" i="2"/>
  <c r="K62" i="2" s="1"/>
  <c r="F62" i="2"/>
  <c r="E62" i="2"/>
  <c r="B62" i="2"/>
  <c r="O61" i="2"/>
  <c r="K61" i="2"/>
  <c r="I61" i="2"/>
  <c r="F61" i="2"/>
  <c r="B61" i="2"/>
  <c r="E61" i="2" s="1"/>
  <c r="O60" i="2"/>
  <c r="I60" i="2"/>
  <c r="K60" i="2" s="1"/>
  <c r="F60" i="2"/>
  <c r="E60" i="2"/>
  <c r="B60" i="2"/>
  <c r="O59" i="2"/>
  <c r="I59" i="2"/>
  <c r="F59" i="2"/>
  <c r="K59" i="2" s="1"/>
  <c r="B59" i="2"/>
  <c r="E59" i="2" s="1"/>
  <c r="O58" i="2"/>
  <c r="I58" i="2"/>
  <c r="K58" i="2" s="1"/>
  <c r="F58" i="2"/>
  <c r="E58" i="2"/>
  <c r="B58" i="2"/>
  <c r="O57" i="2"/>
  <c r="K57" i="2"/>
  <c r="I57" i="2"/>
  <c r="F57" i="2"/>
  <c r="B57" i="2"/>
  <c r="E57" i="2" s="1"/>
  <c r="O56" i="2"/>
  <c r="I56" i="2"/>
  <c r="K56" i="2" s="1"/>
  <c r="F56" i="2"/>
  <c r="E56" i="2"/>
  <c r="B56" i="2"/>
  <c r="O55" i="2"/>
  <c r="I55" i="2"/>
  <c r="F55" i="2"/>
  <c r="K55" i="2" s="1"/>
  <c r="B55" i="2"/>
  <c r="E55" i="2" s="1"/>
  <c r="O54" i="2"/>
  <c r="I54" i="2"/>
  <c r="K54" i="2" s="1"/>
  <c r="F54" i="2"/>
  <c r="E54" i="2"/>
  <c r="B54" i="2"/>
  <c r="O53" i="2"/>
  <c r="K53" i="2"/>
  <c r="I53" i="2"/>
  <c r="F53" i="2"/>
  <c r="B53" i="2"/>
  <c r="E53" i="2" s="1"/>
  <c r="O52" i="2"/>
  <c r="I52" i="2"/>
  <c r="K52" i="2" s="1"/>
  <c r="F52" i="2"/>
  <c r="E52" i="2"/>
  <c r="B52" i="2"/>
  <c r="O51" i="2"/>
  <c r="I51" i="2"/>
  <c r="F51" i="2"/>
  <c r="K51" i="2" s="1"/>
  <c r="B51" i="2"/>
  <c r="E51" i="2" s="1"/>
  <c r="O50" i="2"/>
  <c r="I50" i="2"/>
  <c r="K50" i="2" s="1"/>
  <c r="F50" i="2"/>
  <c r="E50" i="2"/>
  <c r="B50" i="2"/>
  <c r="O49" i="2"/>
  <c r="K49" i="2"/>
  <c r="I49" i="2"/>
  <c r="F49" i="2"/>
  <c r="B49" i="2"/>
  <c r="E49" i="2" s="1"/>
  <c r="O48" i="2"/>
  <c r="I48" i="2"/>
  <c r="K48" i="2" s="1"/>
  <c r="F48" i="2"/>
  <c r="E48" i="2"/>
  <c r="B48" i="2"/>
  <c r="O47" i="2"/>
  <c r="K47" i="2"/>
  <c r="I47" i="2"/>
  <c r="F47" i="2"/>
  <c r="B47" i="2"/>
  <c r="E47" i="2" s="1"/>
  <c r="O46" i="2"/>
  <c r="I46" i="2"/>
  <c r="K46" i="2" s="1"/>
  <c r="F46" i="2"/>
  <c r="E46" i="2"/>
  <c r="B46" i="2"/>
  <c r="O45" i="2"/>
  <c r="I45" i="2"/>
  <c r="F45" i="2"/>
  <c r="K45" i="2" s="1"/>
  <c r="B45" i="2"/>
  <c r="E45" i="2" s="1"/>
  <c r="O44" i="2"/>
  <c r="I44" i="2"/>
  <c r="K44" i="2" s="1"/>
  <c r="F44" i="2"/>
  <c r="E44" i="2"/>
  <c r="B44" i="2"/>
  <c r="O43" i="2"/>
  <c r="I43" i="2"/>
  <c r="F43" i="2"/>
  <c r="K43" i="2" s="1"/>
  <c r="B43" i="2"/>
  <c r="E43" i="2" s="1"/>
  <c r="O42" i="2"/>
  <c r="I42" i="2"/>
  <c r="K42" i="2" s="1"/>
  <c r="F42" i="2"/>
  <c r="E42" i="2"/>
  <c r="B42" i="2"/>
  <c r="O41" i="2"/>
  <c r="K41" i="2"/>
  <c r="I41" i="2"/>
  <c r="F41" i="2"/>
  <c r="B41" i="2"/>
  <c r="E41" i="2" s="1"/>
  <c r="O40" i="2"/>
  <c r="I40" i="2"/>
  <c r="K40" i="2" s="1"/>
  <c r="F40" i="2"/>
  <c r="E40" i="2"/>
  <c r="B40" i="2"/>
  <c r="O39" i="2"/>
  <c r="K39" i="2"/>
  <c r="I39" i="2"/>
  <c r="F39" i="2"/>
  <c r="B39" i="2"/>
  <c r="E39" i="2" s="1"/>
  <c r="O38" i="2"/>
  <c r="I38" i="2"/>
  <c r="K38" i="2" s="1"/>
  <c r="F38" i="2"/>
  <c r="E38" i="2"/>
  <c r="B38" i="2"/>
  <c r="O37" i="2"/>
  <c r="I37" i="2"/>
  <c r="K37" i="2" s="1"/>
  <c r="F37" i="2"/>
  <c r="E37" i="2"/>
  <c r="B37" i="2"/>
  <c r="O36" i="2"/>
  <c r="I36" i="2"/>
  <c r="F36" i="2"/>
  <c r="K36" i="2" s="1"/>
  <c r="B36" i="2"/>
  <c r="E36" i="2" s="1"/>
  <c r="O35" i="2"/>
  <c r="I35" i="2"/>
  <c r="K35" i="2" s="1"/>
  <c r="F35" i="2"/>
  <c r="E35" i="2"/>
  <c r="B35" i="2"/>
  <c r="O34" i="2"/>
  <c r="K34" i="2"/>
  <c r="I34" i="2"/>
  <c r="F34" i="2"/>
  <c r="B34" i="2"/>
  <c r="E34" i="2" s="1"/>
  <c r="O33" i="2"/>
  <c r="I33" i="2"/>
  <c r="K33" i="2" s="1"/>
  <c r="F33" i="2"/>
  <c r="E33" i="2"/>
  <c r="B33" i="2"/>
  <c r="O32" i="2"/>
  <c r="I32" i="2"/>
  <c r="F32" i="2"/>
  <c r="K32" i="2" s="1"/>
  <c r="B32" i="2"/>
  <c r="E32" i="2" s="1"/>
  <c r="O31" i="2"/>
  <c r="I31" i="2"/>
  <c r="K31" i="2" s="1"/>
  <c r="F31" i="2"/>
  <c r="E31" i="2"/>
  <c r="B31" i="2"/>
  <c r="O30" i="2"/>
  <c r="K30" i="2"/>
  <c r="I30" i="2"/>
  <c r="F30" i="2"/>
  <c r="B30" i="2"/>
  <c r="E30" i="2" s="1"/>
  <c r="O29" i="2"/>
  <c r="I29" i="2"/>
  <c r="K29" i="2" s="1"/>
  <c r="F29" i="2"/>
  <c r="E29" i="2"/>
  <c r="B29" i="2"/>
  <c r="O28" i="2"/>
  <c r="I28" i="2"/>
  <c r="F28" i="2"/>
  <c r="K28" i="2" s="1"/>
  <c r="B28" i="2"/>
  <c r="E28" i="2" s="1"/>
  <c r="O27" i="2"/>
  <c r="I27" i="2"/>
  <c r="K27" i="2" s="1"/>
  <c r="F27" i="2"/>
  <c r="E27" i="2"/>
  <c r="B27" i="2"/>
  <c r="O26" i="2"/>
  <c r="K26" i="2"/>
  <c r="I26" i="2"/>
  <c r="F26" i="2"/>
  <c r="B26" i="2"/>
  <c r="E26" i="2" s="1"/>
  <c r="O25" i="2"/>
  <c r="I25" i="2"/>
  <c r="K25" i="2" s="1"/>
  <c r="F25" i="2"/>
  <c r="E25" i="2"/>
  <c r="B25" i="2"/>
  <c r="O24" i="2"/>
  <c r="I24" i="2"/>
  <c r="F24" i="2"/>
  <c r="K24" i="2" s="1"/>
  <c r="B24" i="2"/>
  <c r="E24" i="2" s="1"/>
  <c r="O23" i="2"/>
  <c r="I23" i="2"/>
  <c r="K23" i="2" s="1"/>
  <c r="F23" i="2"/>
  <c r="E23" i="2"/>
  <c r="B23" i="2"/>
  <c r="O22" i="2"/>
  <c r="K22" i="2"/>
  <c r="I22" i="2"/>
  <c r="F22" i="2"/>
  <c r="B22" i="2"/>
  <c r="E22" i="2" s="1"/>
  <c r="O21" i="2"/>
  <c r="I21" i="2"/>
  <c r="K21" i="2" s="1"/>
  <c r="F21" i="2"/>
  <c r="E21" i="2"/>
  <c r="B21" i="2"/>
  <c r="O20" i="2"/>
  <c r="I20" i="2"/>
  <c r="F20" i="2"/>
  <c r="K20" i="2" s="1"/>
  <c r="B20" i="2"/>
  <c r="E20" i="2" s="1"/>
  <c r="O19" i="2"/>
  <c r="I19" i="2"/>
  <c r="K19" i="2" s="1"/>
  <c r="F19" i="2"/>
  <c r="E19" i="2"/>
  <c r="B19" i="2"/>
  <c r="O18" i="2"/>
  <c r="K18" i="2"/>
  <c r="I18" i="2"/>
  <c r="F18" i="2"/>
  <c r="B18" i="2"/>
  <c r="E18" i="2" s="1"/>
  <c r="O17" i="2"/>
  <c r="I17" i="2"/>
  <c r="K17" i="2" s="1"/>
  <c r="F17" i="2"/>
  <c r="E17" i="2"/>
  <c r="B17" i="2"/>
  <c r="O16" i="2"/>
  <c r="I16" i="2"/>
  <c r="F16" i="2"/>
  <c r="K16" i="2" s="1"/>
  <c r="B16" i="2"/>
  <c r="E16" i="2" s="1"/>
  <c r="O15" i="2"/>
  <c r="I15" i="2"/>
  <c r="K15" i="2" s="1"/>
  <c r="F15" i="2"/>
  <c r="E15" i="2"/>
  <c r="B15" i="2"/>
  <c r="O14" i="2"/>
  <c r="K14" i="2"/>
  <c r="I14" i="2"/>
  <c r="F14" i="2"/>
  <c r="B14" i="2"/>
  <c r="E14" i="2" s="1"/>
  <c r="O13" i="2"/>
  <c r="I13" i="2"/>
  <c r="K13" i="2" s="1"/>
  <c r="F13" i="2"/>
  <c r="E13" i="2"/>
  <c r="B13" i="2"/>
  <c r="O12" i="2"/>
  <c r="I12" i="2"/>
  <c r="F12" i="2"/>
  <c r="K12" i="2" s="1"/>
  <c r="B12" i="2"/>
  <c r="E12" i="2" s="1"/>
  <c r="O11" i="2"/>
  <c r="I11" i="2"/>
  <c r="K11" i="2" s="1"/>
  <c r="F11" i="2"/>
  <c r="E11" i="2"/>
  <c r="B11" i="2"/>
  <c r="O10" i="2"/>
  <c r="K10" i="2"/>
  <c r="I10" i="2"/>
  <c r="F10" i="2"/>
  <c r="B10" i="2"/>
  <c r="E10" i="2" s="1"/>
  <c r="O9" i="2"/>
  <c r="I9" i="2"/>
  <c r="K9" i="2" s="1"/>
  <c r="F9" i="2"/>
  <c r="E9" i="2"/>
  <c r="B9" i="2"/>
  <c r="O8" i="2"/>
  <c r="I8" i="2"/>
  <c r="F8" i="2"/>
  <c r="K8" i="2" s="1"/>
  <c r="B8" i="2"/>
  <c r="E8" i="2" s="1"/>
  <c r="O7" i="2"/>
  <c r="I7" i="2"/>
  <c r="K7" i="2" s="1"/>
  <c r="F7" i="2"/>
  <c r="E7" i="2"/>
  <c r="B7" i="2"/>
  <c r="O6" i="2"/>
  <c r="K6" i="2"/>
  <c r="I6" i="2"/>
  <c r="F6" i="2"/>
  <c r="B6" i="2"/>
  <c r="E6" i="2" s="1"/>
  <c r="O5" i="2"/>
  <c r="I5" i="2"/>
  <c r="K5" i="2" s="1"/>
  <c r="F5" i="2"/>
  <c r="E5" i="2"/>
  <c r="B5" i="2"/>
  <c r="O4" i="2"/>
  <c r="I4" i="2"/>
  <c r="F4" i="2"/>
  <c r="K4" i="2" s="1"/>
  <c r="B4" i="2"/>
  <c r="E4" i="2" s="1"/>
  <c r="O3" i="2"/>
  <c r="I3" i="2"/>
  <c r="K3" i="2" s="1"/>
  <c r="F3" i="2"/>
  <c r="E3" i="2"/>
  <c r="B3" i="2"/>
  <c r="O2" i="2"/>
  <c r="K2" i="2"/>
  <c r="I2" i="2"/>
  <c r="F2" i="2"/>
  <c r="B2" i="2"/>
  <c r="E2" i="2" s="1"/>
  <c r="O303" i="1"/>
  <c r="N303" i="1"/>
  <c r="H303" i="1"/>
  <c r="G303" i="1"/>
  <c r="F303" i="1"/>
  <c r="J303" i="1" s="1"/>
  <c r="M303" i="1" s="1"/>
  <c r="C303" i="1"/>
  <c r="O302" i="1"/>
  <c r="N302" i="1"/>
  <c r="H302" i="1"/>
  <c r="G302" i="1"/>
  <c r="F302" i="1"/>
  <c r="J302" i="1" s="1"/>
  <c r="M302" i="1" s="1"/>
  <c r="C302" i="1"/>
  <c r="O301" i="1"/>
  <c r="N301" i="1"/>
  <c r="H301" i="1"/>
  <c r="G301" i="1"/>
  <c r="F301" i="1"/>
  <c r="J301" i="1" s="1"/>
  <c r="M301" i="1" s="1"/>
  <c r="C301" i="1"/>
  <c r="O300" i="1"/>
  <c r="N300" i="1"/>
  <c r="H300" i="1"/>
  <c r="G300" i="1"/>
  <c r="F300" i="1"/>
  <c r="J300" i="1" s="1"/>
  <c r="M300" i="1" s="1"/>
  <c r="C300" i="1"/>
  <c r="O299" i="1"/>
  <c r="N299" i="1"/>
  <c r="H299" i="1"/>
  <c r="G299" i="1"/>
  <c r="F299" i="1"/>
  <c r="J299" i="1" s="1"/>
  <c r="M299" i="1" s="1"/>
  <c r="C299" i="1"/>
  <c r="O298" i="1"/>
  <c r="N298" i="1"/>
  <c r="H298" i="1"/>
  <c r="G298" i="1"/>
  <c r="F298" i="1"/>
  <c r="J298" i="1" s="1"/>
  <c r="M298" i="1" s="1"/>
  <c r="C298" i="1"/>
  <c r="O297" i="1"/>
  <c r="N297" i="1"/>
  <c r="H297" i="1"/>
  <c r="G297" i="1"/>
  <c r="F297" i="1"/>
  <c r="J297" i="1" s="1"/>
  <c r="M297" i="1" s="1"/>
  <c r="C297" i="1"/>
  <c r="O296" i="1"/>
  <c r="N296" i="1"/>
  <c r="H296" i="1"/>
  <c r="G296" i="1"/>
  <c r="F296" i="1"/>
  <c r="J296" i="1" s="1"/>
  <c r="M296" i="1" s="1"/>
  <c r="C296" i="1"/>
  <c r="O295" i="1"/>
  <c r="N295" i="1"/>
  <c r="H295" i="1"/>
  <c r="G295" i="1"/>
  <c r="F295" i="1"/>
  <c r="J295" i="1" s="1"/>
  <c r="M295" i="1" s="1"/>
  <c r="C295" i="1"/>
  <c r="O294" i="1"/>
  <c r="N294" i="1"/>
  <c r="H294" i="1"/>
  <c r="G294" i="1"/>
  <c r="F294" i="1"/>
  <c r="J294" i="1" s="1"/>
  <c r="M294" i="1" s="1"/>
  <c r="C294" i="1"/>
  <c r="O293" i="1"/>
  <c r="N293" i="1"/>
  <c r="H293" i="1"/>
  <c r="G293" i="1"/>
  <c r="F293" i="1"/>
  <c r="J293" i="1" s="1"/>
  <c r="M293" i="1" s="1"/>
  <c r="C293" i="1"/>
  <c r="O292" i="1"/>
  <c r="N292" i="1"/>
  <c r="H292" i="1"/>
  <c r="G292" i="1"/>
  <c r="F292" i="1"/>
  <c r="J292" i="1" s="1"/>
  <c r="M292" i="1" s="1"/>
  <c r="C292" i="1"/>
  <c r="O291" i="1"/>
  <c r="N291" i="1"/>
  <c r="H291" i="1"/>
  <c r="G291" i="1"/>
  <c r="F291" i="1"/>
  <c r="J291" i="1" s="1"/>
  <c r="M291" i="1" s="1"/>
  <c r="C291" i="1"/>
  <c r="O290" i="1"/>
  <c r="N290" i="1"/>
  <c r="H290" i="1"/>
  <c r="G290" i="1"/>
  <c r="F290" i="1"/>
  <c r="J290" i="1" s="1"/>
  <c r="M290" i="1" s="1"/>
  <c r="C290" i="1"/>
  <c r="O289" i="1"/>
  <c r="N289" i="1"/>
  <c r="H289" i="1"/>
  <c r="G289" i="1"/>
  <c r="F289" i="1"/>
  <c r="J289" i="1" s="1"/>
  <c r="M289" i="1" s="1"/>
  <c r="C289" i="1"/>
  <c r="O288" i="1"/>
  <c r="N288" i="1"/>
  <c r="H288" i="1"/>
  <c r="G288" i="1"/>
  <c r="F288" i="1"/>
  <c r="J288" i="1" s="1"/>
  <c r="M288" i="1" s="1"/>
  <c r="C288" i="1"/>
  <c r="O287" i="1"/>
  <c r="N287" i="1"/>
  <c r="H287" i="1"/>
  <c r="G287" i="1"/>
  <c r="F287" i="1"/>
  <c r="J287" i="1" s="1"/>
  <c r="M287" i="1" s="1"/>
  <c r="C287" i="1"/>
  <c r="O286" i="1"/>
  <c r="N286" i="1"/>
  <c r="H286" i="1"/>
  <c r="G286" i="1"/>
  <c r="F286" i="1"/>
  <c r="J286" i="1" s="1"/>
  <c r="M286" i="1" s="1"/>
  <c r="C286" i="1"/>
  <c r="O285" i="1"/>
  <c r="N285" i="1"/>
  <c r="H285" i="1"/>
  <c r="G285" i="1"/>
  <c r="F285" i="1"/>
  <c r="J285" i="1" s="1"/>
  <c r="M285" i="1" s="1"/>
  <c r="C285" i="1"/>
  <c r="O284" i="1"/>
  <c r="N284" i="1"/>
  <c r="H284" i="1"/>
  <c r="G284" i="1"/>
  <c r="F284" i="1"/>
  <c r="J284" i="1" s="1"/>
  <c r="M284" i="1" s="1"/>
  <c r="C284" i="1"/>
  <c r="O283" i="1"/>
  <c r="N283" i="1"/>
  <c r="H283" i="1"/>
  <c r="G283" i="1"/>
  <c r="F283" i="1"/>
  <c r="J283" i="1" s="1"/>
  <c r="M283" i="1" s="1"/>
  <c r="C283" i="1"/>
  <c r="O282" i="1"/>
  <c r="N282" i="1"/>
  <c r="H282" i="1"/>
  <c r="G282" i="1"/>
  <c r="F282" i="1"/>
  <c r="J282" i="1" s="1"/>
  <c r="M282" i="1" s="1"/>
  <c r="C282" i="1"/>
  <c r="O281" i="1"/>
  <c r="N281" i="1"/>
  <c r="H281" i="1"/>
  <c r="G281" i="1"/>
  <c r="F281" i="1"/>
  <c r="J281" i="1" s="1"/>
  <c r="M281" i="1" s="1"/>
  <c r="C281" i="1"/>
  <c r="O280" i="1"/>
  <c r="N280" i="1"/>
  <c r="H280" i="1"/>
  <c r="G280" i="1"/>
  <c r="F280" i="1"/>
  <c r="J280" i="1" s="1"/>
  <c r="M280" i="1" s="1"/>
  <c r="C280" i="1"/>
  <c r="O279" i="1"/>
  <c r="N279" i="1"/>
  <c r="H279" i="1"/>
  <c r="G279" i="1"/>
  <c r="F279" i="1"/>
  <c r="J279" i="1" s="1"/>
  <c r="M279" i="1" s="1"/>
  <c r="C279" i="1"/>
  <c r="O278" i="1"/>
  <c r="N278" i="1"/>
  <c r="H278" i="1"/>
  <c r="G278" i="1"/>
  <c r="F278" i="1"/>
  <c r="J278" i="1" s="1"/>
  <c r="M278" i="1" s="1"/>
  <c r="C278" i="1"/>
  <c r="O277" i="1"/>
  <c r="N277" i="1"/>
  <c r="H277" i="1"/>
  <c r="G277" i="1"/>
  <c r="F277" i="1"/>
  <c r="J277" i="1" s="1"/>
  <c r="M277" i="1" s="1"/>
  <c r="C277" i="1"/>
  <c r="O276" i="1"/>
  <c r="N276" i="1"/>
  <c r="H276" i="1"/>
  <c r="G276" i="1"/>
  <c r="F276" i="1"/>
  <c r="J276" i="1" s="1"/>
  <c r="M276" i="1" s="1"/>
  <c r="C276" i="1"/>
  <c r="O275" i="1"/>
  <c r="N275" i="1"/>
  <c r="H275" i="1"/>
  <c r="G275" i="1"/>
  <c r="F275" i="1"/>
  <c r="J275" i="1" s="1"/>
  <c r="M275" i="1" s="1"/>
  <c r="C275" i="1"/>
  <c r="O274" i="1"/>
  <c r="N274" i="1"/>
  <c r="H274" i="1"/>
  <c r="G274" i="1"/>
  <c r="F274" i="1"/>
  <c r="J274" i="1" s="1"/>
  <c r="M274" i="1" s="1"/>
  <c r="C274" i="1"/>
  <c r="O273" i="1"/>
  <c r="N273" i="1"/>
  <c r="H273" i="1"/>
  <c r="G273" i="1"/>
  <c r="F273" i="1"/>
  <c r="J273" i="1" s="1"/>
  <c r="M273" i="1" s="1"/>
  <c r="C273" i="1"/>
  <c r="O272" i="1"/>
  <c r="N272" i="1"/>
  <c r="H272" i="1"/>
  <c r="G272" i="1"/>
  <c r="F272" i="1"/>
  <c r="J272" i="1" s="1"/>
  <c r="M272" i="1" s="1"/>
  <c r="C272" i="1"/>
  <c r="O271" i="1"/>
  <c r="N271" i="1"/>
  <c r="H271" i="1"/>
  <c r="G271" i="1"/>
  <c r="F271" i="1"/>
  <c r="J271" i="1" s="1"/>
  <c r="M271" i="1" s="1"/>
  <c r="C271" i="1"/>
  <c r="O270" i="1"/>
  <c r="N270" i="1"/>
  <c r="H270" i="1"/>
  <c r="G270" i="1"/>
  <c r="F270" i="1"/>
  <c r="J270" i="1" s="1"/>
  <c r="M270" i="1" s="1"/>
  <c r="C270" i="1"/>
  <c r="O269" i="1"/>
  <c r="N269" i="1"/>
  <c r="H269" i="1"/>
  <c r="G269" i="1"/>
  <c r="F269" i="1"/>
  <c r="J269" i="1" s="1"/>
  <c r="M269" i="1" s="1"/>
  <c r="C269" i="1"/>
  <c r="O268" i="1"/>
  <c r="N268" i="1"/>
  <c r="J268" i="1"/>
  <c r="M268" i="1" s="1"/>
  <c r="G268" i="1"/>
  <c r="F268" i="1"/>
  <c r="C268" i="1"/>
  <c r="H268" i="1" s="1"/>
  <c r="O267" i="1"/>
  <c r="N267" i="1"/>
  <c r="H267" i="1"/>
  <c r="G267" i="1"/>
  <c r="F267" i="1"/>
  <c r="J267" i="1" s="1"/>
  <c r="M267" i="1" s="1"/>
  <c r="C267" i="1"/>
  <c r="O266" i="1"/>
  <c r="N266" i="1"/>
  <c r="H266" i="1"/>
  <c r="G266" i="1"/>
  <c r="F266" i="1"/>
  <c r="J266" i="1" s="1"/>
  <c r="M266" i="1" s="1"/>
  <c r="C266" i="1"/>
  <c r="O265" i="1"/>
  <c r="N265" i="1"/>
  <c r="H265" i="1"/>
  <c r="G265" i="1"/>
  <c r="F265" i="1"/>
  <c r="J265" i="1" s="1"/>
  <c r="M265" i="1" s="1"/>
  <c r="C265" i="1"/>
  <c r="O264" i="1"/>
  <c r="N264" i="1"/>
  <c r="J264" i="1"/>
  <c r="M264" i="1" s="1"/>
  <c r="G264" i="1"/>
  <c r="F264" i="1"/>
  <c r="C264" i="1"/>
  <c r="H264" i="1" s="1"/>
  <c r="O263" i="1"/>
  <c r="N263" i="1"/>
  <c r="H263" i="1"/>
  <c r="G263" i="1"/>
  <c r="F263" i="1"/>
  <c r="J263" i="1" s="1"/>
  <c r="M263" i="1" s="1"/>
  <c r="C263" i="1"/>
  <c r="O262" i="1"/>
  <c r="N262" i="1"/>
  <c r="H262" i="1"/>
  <c r="G262" i="1"/>
  <c r="F262" i="1"/>
  <c r="J262" i="1" s="1"/>
  <c r="M262" i="1" s="1"/>
  <c r="C262" i="1"/>
  <c r="O261" i="1"/>
  <c r="N261" i="1"/>
  <c r="H261" i="1"/>
  <c r="G261" i="1"/>
  <c r="F261" i="1"/>
  <c r="J261" i="1" s="1"/>
  <c r="M261" i="1" s="1"/>
  <c r="C261" i="1"/>
  <c r="O260" i="1"/>
  <c r="N260" i="1"/>
  <c r="J260" i="1"/>
  <c r="M260" i="1" s="1"/>
  <c r="G260" i="1"/>
  <c r="F260" i="1"/>
  <c r="C260" i="1"/>
  <c r="H260" i="1" s="1"/>
  <c r="O259" i="1"/>
  <c r="N259" i="1"/>
  <c r="H259" i="1"/>
  <c r="G259" i="1"/>
  <c r="F259" i="1"/>
  <c r="J259" i="1" s="1"/>
  <c r="M259" i="1" s="1"/>
  <c r="C259" i="1"/>
  <c r="O258" i="1"/>
  <c r="N258" i="1"/>
  <c r="J258" i="1"/>
  <c r="M258" i="1" s="1"/>
  <c r="G258" i="1"/>
  <c r="F258" i="1"/>
  <c r="C258" i="1"/>
  <c r="H258" i="1" s="1"/>
  <c r="O257" i="1"/>
  <c r="N257" i="1"/>
  <c r="H257" i="1"/>
  <c r="G257" i="1"/>
  <c r="F257" i="1"/>
  <c r="J257" i="1" s="1"/>
  <c r="M257" i="1" s="1"/>
  <c r="C257" i="1"/>
  <c r="O256" i="1"/>
  <c r="N256" i="1"/>
  <c r="J256" i="1"/>
  <c r="M256" i="1" s="1"/>
  <c r="G256" i="1"/>
  <c r="F256" i="1"/>
  <c r="C256" i="1"/>
  <c r="H256" i="1" s="1"/>
  <c r="O255" i="1"/>
  <c r="N255" i="1"/>
  <c r="H255" i="1"/>
  <c r="G255" i="1"/>
  <c r="F255" i="1"/>
  <c r="J255" i="1" s="1"/>
  <c r="M255" i="1" s="1"/>
  <c r="C255" i="1"/>
  <c r="O254" i="1"/>
  <c r="N254" i="1"/>
  <c r="J254" i="1"/>
  <c r="M254" i="1" s="1"/>
  <c r="G254" i="1"/>
  <c r="F254" i="1"/>
  <c r="C254" i="1"/>
  <c r="H254" i="1" s="1"/>
  <c r="O253" i="1"/>
  <c r="N253" i="1"/>
  <c r="H253" i="1"/>
  <c r="G253" i="1"/>
  <c r="F253" i="1"/>
  <c r="J253" i="1" s="1"/>
  <c r="M253" i="1" s="1"/>
  <c r="C253" i="1"/>
  <c r="O252" i="1"/>
  <c r="N252" i="1"/>
  <c r="J252" i="1"/>
  <c r="M252" i="1" s="1"/>
  <c r="G252" i="1"/>
  <c r="F252" i="1"/>
  <c r="C252" i="1"/>
  <c r="H252" i="1" s="1"/>
  <c r="O251" i="1"/>
  <c r="N251" i="1"/>
  <c r="H251" i="1"/>
  <c r="G251" i="1"/>
  <c r="F251" i="1"/>
  <c r="J251" i="1" s="1"/>
  <c r="M251" i="1" s="1"/>
  <c r="C251" i="1"/>
  <c r="O250" i="1"/>
  <c r="N250" i="1"/>
  <c r="J250" i="1"/>
  <c r="M250" i="1" s="1"/>
  <c r="G250" i="1"/>
  <c r="F250" i="1"/>
  <c r="C250" i="1"/>
  <c r="H250" i="1" s="1"/>
  <c r="O249" i="1"/>
  <c r="N249" i="1"/>
  <c r="H249" i="1"/>
  <c r="G249" i="1"/>
  <c r="F249" i="1"/>
  <c r="J249" i="1" s="1"/>
  <c r="M249" i="1" s="1"/>
  <c r="C249" i="1"/>
  <c r="O248" i="1"/>
  <c r="N248" i="1"/>
  <c r="J248" i="1"/>
  <c r="M248" i="1" s="1"/>
  <c r="G248" i="1"/>
  <c r="F248" i="1"/>
  <c r="C248" i="1"/>
  <c r="H248" i="1" s="1"/>
  <c r="O247" i="1"/>
  <c r="N247" i="1"/>
  <c r="H247" i="1"/>
  <c r="G247" i="1"/>
  <c r="F247" i="1"/>
  <c r="J247" i="1" s="1"/>
  <c r="M247" i="1" s="1"/>
  <c r="C247" i="1"/>
  <c r="O246" i="1"/>
  <c r="N246" i="1"/>
  <c r="J246" i="1"/>
  <c r="M246" i="1" s="1"/>
  <c r="G246" i="1"/>
  <c r="F246" i="1"/>
  <c r="C246" i="1"/>
  <c r="H246" i="1" s="1"/>
  <c r="O245" i="1"/>
  <c r="N245" i="1"/>
  <c r="H245" i="1"/>
  <c r="G245" i="1"/>
  <c r="F245" i="1"/>
  <c r="J245" i="1" s="1"/>
  <c r="M245" i="1" s="1"/>
  <c r="C245" i="1"/>
  <c r="O244" i="1"/>
  <c r="N244" i="1"/>
  <c r="J244" i="1"/>
  <c r="M244" i="1" s="1"/>
  <c r="G244" i="1"/>
  <c r="F244" i="1"/>
  <c r="C244" i="1"/>
  <c r="H244" i="1" s="1"/>
  <c r="O243" i="1"/>
  <c r="N243" i="1"/>
  <c r="M243" i="1"/>
  <c r="H243" i="1"/>
  <c r="G243" i="1"/>
  <c r="F243" i="1"/>
  <c r="J243" i="1" s="1"/>
  <c r="C243" i="1"/>
  <c r="O242" i="1"/>
  <c r="N242" i="1"/>
  <c r="J242" i="1"/>
  <c r="M242" i="1" s="1"/>
  <c r="G242" i="1"/>
  <c r="F242" i="1"/>
  <c r="C242" i="1"/>
  <c r="H242" i="1" s="1"/>
  <c r="O241" i="1"/>
  <c r="N241" i="1"/>
  <c r="M241" i="1"/>
  <c r="H241" i="1"/>
  <c r="G241" i="1"/>
  <c r="F241" i="1"/>
  <c r="J241" i="1" s="1"/>
  <c r="C241" i="1"/>
  <c r="O240" i="1"/>
  <c r="N240" i="1"/>
  <c r="J240" i="1"/>
  <c r="M240" i="1" s="1"/>
  <c r="G240" i="1"/>
  <c r="F240" i="1"/>
  <c r="C240" i="1"/>
  <c r="H240" i="1" s="1"/>
  <c r="O239" i="1"/>
  <c r="N239" i="1"/>
  <c r="M239" i="1"/>
  <c r="H239" i="1"/>
  <c r="G239" i="1"/>
  <c r="F239" i="1"/>
  <c r="J239" i="1" s="1"/>
  <c r="C239" i="1"/>
  <c r="O238" i="1"/>
  <c r="N238" i="1"/>
  <c r="J238" i="1"/>
  <c r="M238" i="1" s="1"/>
  <c r="G238" i="1"/>
  <c r="F238" i="1"/>
  <c r="C238" i="1"/>
  <c r="H238" i="1" s="1"/>
  <c r="O237" i="1"/>
  <c r="N237" i="1"/>
  <c r="H237" i="1"/>
  <c r="G237" i="1"/>
  <c r="F237" i="1"/>
  <c r="J237" i="1" s="1"/>
  <c r="M237" i="1" s="1"/>
  <c r="C237" i="1"/>
  <c r="O236" i="1"/>
  <c r="N236" i="1"/>
  <c r="J236" i="1"/>
  <c r="M236" i="1" s="1"/>
  <c r="G236" i="1"/>
  <c r="F236" i="1"/>
  <c r="C236" i="1"/>
  <c r="H236" i="1" s="1"/>
  <c r="O235" i="1"/>
  <c r="N235" i="1"/>
  <c r="M235" i="1"/>
  <c r="H235" i="1"/>
  <c r="G235" i="1"/>
  <c r="F235" i="1"/>
  <c r="J235" i="1" s="1"/>
  <c r="C235" i="1"/>
  <c r="O234" i="1"/>
  <c r="N234" i="1"/>
  <c r="J234" i="1"/>
  <c r="M234" i="1" s="1"/>
  <c r="G234" i="1"/>
  <c r="F234" i="1"/>
  <c r="C234" i="1"/>
  <c r="H234" i="1" s="1"/>
  <c r="O233" i="1"/>
  <c r="N233" i="1"/>
  <c r="M233" i="1"/>
  <c r="H233" i="1"/>
  <c r="G233" i="1"/>
  <c r="F233" i="1"/>
  <c r="J233" i="1" s="1"/>
  <c r="C233" i="1"/>
  <c r="O232" i="1"/>
  <c r="N232" i="1"/>
  <c r="J232" i="1"/>
  <c r="M232" i="1" s="1"/>
  <c r="G232" i="1"/>
  <c r="F232" i="1"/>
  <c r="C232" i="1"/>
  <c r="H232" i="1" s="1"/>
  <c r="O231" i="1"/>
  <c r="N231" i="1"/>
  <c r="H231" i="1"/>
  <c r="G231" i="1"/>
  <c r="F231" i="1"/>
  <c r="J231" i="1" s="1"/>
  <c r="M231" i="1" s="1"/>
  <c r="C231" i="1"/>
  <c r="O230" i="1"/>
  <c r="N230" i="1"/>
  <c r="G230" i="1"/>
  <c r="F230" i="1"/>
  <c r="J230" i="1" s="1"/>
  <c r="M230" i="1" s="1"/>
  <c r="C230" i="1"/>
  <c r="H230" i="1" s="1"/>
  <c r="O229" i="1"/>
  <c r="N229" i="1"/>
  <c r="M229" i="1"/>
  <c r="H229" i="1"/>
  <c r="G229" i="1"/>
  <c r="F229" i="1"/>
  <c r="J229" i="1" s="1"/>
  <c r="C229" i="1"/>
  <c r="O228" i="1"/>
  <c r="N228" i="1"/>
  <c r="G228" i="1"/>
  <c r="F228" i="1"/>
  <c r="J228" i="1" s="1"/>
  <c r="M228" i="1" s="1"/>
  <c r="C228" i="1"/>
  <c r="H228" i="1" s="1"/>
  <c r="O227" i="1"/>
  <c r="N227" i="1"/>
  <c r="M227" i="1"/>
  <c r="H227" i="1"/>
  <c r="G227" i="1"/>
  <c r="F227" i="1"/>
  <c r="J227" i="1" s="1"/>
  <c r="C227" i="1"/>
  <c r="O226" i="1"/>
  <c r="N226" i="1"/>
  <c r="J226" i="1"/>
  <c r="M226" i="1" s="1"/>
  <c r="G226" i="1"/>
  <c r="F226" i="1"/>
  <c r="C226" i="1"/>
  <c r="H226" i="1" s="1"/>
  <c r="O225" i="1"/>
  <c r="N225" i="1"/>
  <c r="J225" i="1"/>
  <c r="M225" i="1" s="1"/>
  <c r="H225" i="1"/>
  <c r="G225" i="1"/>
  <c r="F225" i="1"/>
  <c r="C225" i="1"/>
  <c r="O224" i="1"/>
  <c r="N224" i="1"/>
  <c r="J224" i="1"/>
  <c r="M224" i="1" s="1"/>
  <c r="G224" i="1"/>
  <c r="F224" i="1"/>
  <c r="C224" i="1"/>
  <c r="H224" i="1" s="1"/>
  <c r="O223" i="1"/>
  <c r="N223" i="1"/>
  <c r="J223" i="1"/>
  <c r="M223" i="1" s="1"/>
  <c r="H223" i="1"/>
  <c r="G223" i="1"/>
  <c r="F223" i="1"/>
  <c r="C223" i="1"/>
  <c r="O222" i="1"/>
  <c r="N222" i="1"/>
  <c r="G222" i="1"/>
  <c r="F222" i="1"/>
  <c r="J222" i="1" s="1"/>
  <c r="M222" i="1" s="1"/>
  <c r="C222" i="1"/>
  <c r="H222" i="1" s="1"/>
  <c r="O221" i="1"/>
  <c r="N221" i="1"/>
  <c r="J221" i="1"/>
  <c r="M221" i="1" s="1"/>
  <c r="G221" i="1"/>
  <c r="F221" i="1"/>
  <c r="C221" i="1"/>
  <c r="H221" i="1" s="1"/>
  <c r="O220" i="1"/>
  <c r="N220" i="1"/>
  <c r="G220" i="1"/>
  <c r="F220" i="1"/>
  <c r="J220" i="1" s="1"/>
  <c r="M220" i="1" s="1"/>
  <c r="C220" i="1"/>
  <c r="H220" i="1" s="1"/>
  <c r="O219" i="1"/>
  <c r="N219" i="1"/>
  <c r="M219" i="1"/>
  <c r="J219" i="1"/>
  <c r="H219" i="1"/>
  <c r="G219" i="1"/>
  <c r="F219" i="1"/>
  <c r="C219" i="1"/>
  <c r="O218" i="1"/>
  <c r="N218" i="1"/>
  <c r="J218" i="1"/>
  <c r="M218" i="1" s="1"/>
  <c r="G218" i="1"/>
  <c r="F218" i="1"/>
  <c r="C218" i="1"/>
  <c r="H218" i="1" s="1"/>
  <c r="O217" i="1"/>
  <c r="N217" i="1"/>
  <c r="J217" i="1"/>
  <c r="M217" i="1" s="1"/>
  <c r="H217" i="1"/>
  <c r="G217" i="1"/>
  <c r="F217" i="1"/>
  <c r="C217" i="1"/>
  <c r="O216" i="1"/>
  <c r="N216" i="1"/>
  <c r="J216" i="1"/>
  <c r="M216" i="1" s="1"/>
  <c r="G216" i="1"/>
  <c r="F216" i="1"/>
  <c r="C216" i="1"/>
  <c r="H216" i="1" s="1"/>
  <c r="O215" i="1"/>
  <c r="N215" i="1"/>
  <c r="J215" i="1"/>
  <c r="M215" i="1" s="1"/>
  <c r="H215" i="1"/>
  <c r="G215" i="1"/>
  <c r="F215" i="1"/>
  <c r="C215" i="1"/>
  <c r="O214" i="1"/>
  <c r="N214" i="1"/>
  <c r="G214" i="1"/>
  <c r="F214" i="1"/>
  <c r="J214" i="1" s="1"/>
  <c r="M214" i="1" s="1"/>
  <c r="C214" i="1"/>
  <c r="H214" i="1" s="1"/>
  <c r="O213" i="1"/>
  <c r="N213" i="1"/>
  <c r="J213" i="1"/>
  <c r="M213" i="1" s="1"/>
  <c r="G213" i="1"/>
  <c r="F213" i="1"/>
  <c r="C213" i="1"/>
  <c r="H213" i="1" s="1"/>
  <c r="O212" i="1"/>
  <c r="N212" i="1"/>
  <c r="G212" i="1"/>
  <c r="F212" i="1"/>
  <c r="J212" i="1" s="1"/>
  <c r="M212" i="1" s="1"/>
  <c r="C212" i="1"/>
  <c r="H212" i="1" s="1"/>
  <c r="O211" i="1"/>
  <c r="N211" i="1"/>
  <c r="M211" i="1"/>
  <c r="J211" i="1"/>
  <c r="H211" i="1"/>
  <c r="G211" i="1"/>
  <c r="F211" i="1"/>
  <c r="C211" i="1"/>
  <c r="O210" i="1"/>
  <c r="N210" i="1"/>
  <c r="J210" i="1"/>
  <c r="M210" i="1" s="1"/>
  <c r="G210" i="1"/>
  <c r="F210" i="1"/>
  <c r="C210" i="1"/>
  <c r="H210" i="1" s="1"/>
  <c r="O209" i="1"/>
  <c r="N209" i="1"/>
  <c r="M209" i="1"/>
  <c r="J209" i="1"/>
  <c r="H209" i="1"/>
  <c r="G209" i="1"/>
  <c r="F209" i="1"/>
  <c r="C209" i="1"/>
  <c r="O208" i="1"/>
  <c r="N208" i="1"/>
  <c r="J208" i="1"/>
  <c r="M208" i="1" s="1"/>
  <c r="G208" i="1"/>
  <c r="F208" i="1"/>
  <c r="C208" i="1"/>
  <c r="H208" i="1" s="1"/>
  <c r="O207" i="1"/>
  <c r="N207" i="1"/>
  <c r="M207" i="1"/>
  <c r="J207" i="1"/>
  <c r="H207" i="1"/>
  <c r="G207" i="1"/>
  <c r="F207" i="1"/>
  <c r="C207" i="1"/>
  <c r="O206" i="1"/>
  <c r="N206" i="1"/>
  <c r="J206" i="1"/>
  <c r="M206" i="1" s="1"/>
  <c r="G206" i="1"/>
  <c r="F206" i="1"/>
  <c r="C206" i="1"/>
  <c r="H206" i="1" s="1"/>
  <c r="O205" i="1"/>
  <c r="N205" i="1"/>
  <c r="M205" i="1"/>
  <c r="J205" i="1"/>
  <c r="H205" i="1"/>
  <c r="G205" i="1"/>
  <c r="F205" i="1"/>
  <c r="C205" i="1"/>
  <c r="O204" i="1"/>
  <c r="N204" i="1"/>
  <c r="J204" i="1"/>
  <c r="M204" i="1" s="1"/>
  <c r="G204" i="1"/>
  <c r="F204" i="1"/>
  <c r="C204" i="1"/>
  <c r="H204" i="1" s="1"/>
  <c r="O203" i="1"/>
  <c r="N203" i="1"/>
  <c r="M203" i="1"/>
  <c r="J203" i="1"/>
  <c r="H203" i="1"/>
  <c r="G203" i="1"/>
  <c r="F203" i="1"/>
  <c r="C203" i="1"/>
  <c r="O202" i="1"/>
  <c r="N202" i="1"/>
  <c r="J202" i="1"/>
  <c r="M202" i="1" s="1"/>
  <c r="G202" i="1"/>
  <c r="F202" i="1"/>
  <c r="C202" i="1"/>
  <c r="H202" i="1" s="1"/>
  <c r="O201" i="1"/>
  <c r="N201" i="1"/>
  <c r="M201" i="1"/>
  <c r="J201" i="1"/>
  <c r="H201" i="1"/>
  <c r="G201" i="1"/>
  <c r="F201" i="1"/>
  <c r="C201" i="1"/>
  <c r="O200" i="1"/>
  <c r="N200" i="1"/>
  <c r="J200" i="1"/>
  <c r="M200" i="1" s="1"/>
  <c r="G200" i="1"/>
  <c r="F200" i="1"/>
  <c r="C200" i="1"/>
  <c r="H200" i="1" s="1"/>
  <c r="O199" i="1"/>
  <c r="N199" i="1"/>
  <c r="M199" i="1"/>
  <c r="J199" i="1"/>
  <c r="H199" i="1"/>
  <c r="G199" i="1"/>
  <c r="F199" i="1"/>
  <c r="C199" i="1"/>
  <c r="O198" i="1"/>
  <c r="N198" i="1"/>
  <c r="J198" i="1"/>
  <c r="M198" i="1" s="1"/>
  <c r="G198" i="1"/>
  <c r="F198" i="1"/>
  <c r="C198" i="1"/>
  <c r="H198" i="1" s="1"/>
  <c r="O197" i="1"/>
  <c r="N197" i="1"/>
  <c r="M197" i="1"/>
  <c r="J197" i="1"/>
  <c r="H197" i="1"/>
  <c r="G197" i="1"/>
  <c r="F197" i="1"/>
  <c r="C197" i="1"/>
  <c r="O196" i="1"/>
  <c r="N196" i="1"/>
  <c r="J196" i="1"/>
  <c r="M196" i="1" s="1"/>
  <c r="G196" i="1"/>
  <c r="F196" i="1"/>
  <c r="C196" i="1"/>
  <c r="H196" i="1" s="1"/>
  <c r="O195" i="1"/>
  <c r="N195" i="1"/>
  <c r="M195" i="1"/>
  <c r="J195" i="1"/>
  <c r="H195" i="1"/>
  <c r="G195" i="1"/>
  <c r="F195" i="1"/>
  <c r="C195" i="1"/>
  <c r="O194" i="1"/>
  <c r="N194" i="1"/>
  <c r="J194" i="1"/>
  <c r="M194" i="1" s="1"/>
  <c r="G194" i="1"/>
  <c r="F194" i="1"/>
  <c r="C194" i="1"/>
  <c r="H194" i="1" s="1"/>
  <c r="O193" i="1"/>
  <c r="N193" i="1"/>
  <c r="M193" i="1"/>
  <c r="J193" i="1"/>
  <c r="H193" i="1"/>
  <c r="G193" i="1"/>
  <c r="F193" i="1"/>
  <c r="C193" i="1"/>
  <c r="O192" i="1"/>
  <c r="N192" i="1"/>
  <c r="J192" i="1"/>
  <c r="M192" i="1" s="1"/>
  <c r="G192" i="1"/>
  <c r="F192" i="1"/>
  <c r="C192" i="1"/>
  <c r="H192" i="1" s="1"/>
  <c r="O191" i="1"/>
  <c r="N191" i="1"/>
  <c r="M191" i="1"/>
  <c r="J191" i="1"/>
  <c r="H191" i="1"/>
  <c r="G191" i="1"/>
  <c r="F191" i="1"/>
  <c r="C191" i="1"/>
  <c r="O190" i="1"/>
  <c r="N190" i="1"/>
  <c r="J190" i="1"/>
  <c r="M190" i="1" s="1"/>
  <c r="G190" i="1"/>
  <c r="F190" i="1"/>
  <c r="C190" i="1"/>
  <c r="H190" i="1" s="1"/>
  <c r="O189" i="1"/>
  <c r="N189" i="1"/>
  <c r="M189" i="1"/>
  <c r="J189" i="1"/>
  <c r="H189" i="1"/>
  <c r="G189" i="1"/>
  <c r="F189" i="1"/>
  <c r="C189" i="1"/>
  <c r="O188" i="1"/>
  <c r="N188" i="1"/>
  <c r="J188" i="1"/>
  <c r="M188" i="1" s="1"/>
  <c r="G188" i="1"/>
  <c r="F188" i="1"/>
  <c r="C188" i="1"/>
  <c r="H188" i="1" s="1"/>
  <c r="O187" i="1"/>
  <c r="N187" i="1"/>
  <c r="M187" i="1"/>
  <c r="J187" i="1"/>
  <c r="H187" i="1"/>
  <c r="G187" i="1"/>
  <c r="F187" i="1"/>
  <c r="C187" i="1"/>
  <c r="O186" i="1"/>
  <c r="N186" i="1"/>
  <c r="J186" i="1"/>
  <c r="M186" i="1" s="1"/>
  <c r="G186" i="1"/>
  <c r="F186" i="1"/>
  <c r="C186" i="1"/>
  <c r="H186" i="1" s="1"/>
  <c r="O185" i="1"/>
  <c r="N185" i="1"/>
  <c r="M185" i="1"/>
  <c r="J185" i="1"/>
  <c r="H185" i="1"/>
  <c r="G185" i="1"/>
  <c r="F185" i="1"/>
  <c r="C185" i="1"/>
  <c r="O184" i="1"/>
  <c r="N184" i="1"/>
  <c r="J184" i="1"/>
  <c r="M184" i="1" s="1"/>
  <c r="G184" i="1"/>
  <c r="F184" i="1"/>
  <c r="C184" i="1"/>
  <c r="H184" i="1" s="1"/>
  <c r="O183" i="1"/>
  <c r="N183" i="1"/>
  <c r="M183" i="1"/>
  <c r="J183" i="1"/>
  <c r="H183" i="1"/>
  <c r="G183" i="1"/>
  <c r="F183" i="1"/>
  <c r="C183" i="1"/>
  <c r="O182" i="1"/>
  <c r="N182" i="1"/>
  <c r="J182" i="1"/>
  <c r="M182" i="1" s="1"/>
  <c r="G182" i="1"/>
  <c r="F182" i="1"/>
  <c r="C182" i="1"/>
  <c r="H182" i="1" s="1"/>
  <c r="O181" i="1"/>
  <c r="N181" i="1"/>
  <c r="M181" i="1"/>
  <c r="J181" i="1"/>
  <c r="H181" i="1"/>
  <c r="G181" i="1"/>
  <c r="F181" i="1"/>
  <c r="C181" i="1"/>
  <c r="O180" i="1"/>
  <c r="N180" i="1"/>
  <c r="J180" i="1"/>
  <c r="M180" i="1" s="1"/>
  <c r="G180" i="1"/>
  <c r="F180" i="1"/>
  <c r="C180" i="1"/>
  <c r="H180" i="1" s="1"/>
  <c r="O179" i="1"/>
  <c r="N179" i="1"/>
  <c r="M179" i="1"/>
  <c r="J179" i="1"/>
  <c r="G179" i="1"/>
  <c r="F179" i="1"/>
  <c r="C179" i="1"/>
  <c r="H179" i="1" s="1"/>
  <c r="O178" i="1"/>
  <c r="N178" i="1"/>
  <c r="J178" i="1"/>
  <c r="M178" i="1" s="1"/>
  <c r="G178" i="1"/>
  <c r="F178" i="1"/>
  <c r="C178" i="1"/>
  <c r="H178" i="1" s="1"/>
  <c r="O177" i="1"/>
  <c r="N177" i="1"/>
  <c r="M177" i="1"/>
  <c r="J177" i="1"/>
  <c r="G177" i="1"/>
  <c r="F177" i="1"/>
  <c r="C177" i="1"/>
  <c r="H177" i="1" s="1"/>
  <c r="O176" i="1"/>
  <c r="N176" i="1"/>
  <c r="J176" i="1"/>
  <c r="M176" i="1" s="1"/>
  <c r="G176" i="1"/>
  <c r="F176" i="1"/>
  <c r="C176" i="1"/>
  <c r="H176" i="1" s="1"/>
  <c r="O175" i="1"/>
  <c r="N175" i="1"/>
  <c r="J175" i="1"/>
  <c r="M175" i="1" s="1"/>
  <c r="G175" i="1"/>
  <c r="F175" i="1"/>
  <c r="C175" i="1"/>
  <c r="H175" i="1" s="1"/>
  <c r="O174" i="1"/>
  <c r="N174" i="1"/>
  <c r="G174" i="1"/>
  <c r="F174" i="1"/>
  <c r="J174" i="1" s="1"/>
  <c r="M174" i="1" s="1"/>
  <c r="C174" i="1"/>
  <c r="H174" i="1" s="1"/>
  <c r="O173" i="1"/>
  <c r="N173" i="1"/>
  <c r="J173" i="1"/>
  <c r="M173" i="1" s="1"/>
  <c r="G173" i="1"/>
  <c r="F173" i="1"/>
  <c r="C173" i="1"/>
  <c r="H173" i="1" s="1"/>
  <c r="O172" i="1"/>
  <c r="N172" i="1"/>
  <c r="G172" i="1"/>
  <c r="F172" i="1"/>
  <c r="J172" i="1" s="1"/>
  <c r="M172" i="1" s="1"/>
  <c r="C172" i="1"/>
  <c r="H172" i="1" s="1"/>
  <c r="O171" i="1"/>
  <c r="N171" i="1"/>
  <c r="G171" i="1"/>
  <c r="F171" i="1"/>
  <c r="J171" i="1" s="1"/>
  <c r="M171" i="1" s="1"/>
  <c r="C171" i="1"/>
  <c r="H171" i="1" s="1"/>
  <c r="O170" i="1"/>
  <c r="N170" i="1"/>
  <c r="J170" i="1"/>
  <c r="M170" i="1" s="1"/>
  <c r="G170" i="1"/>
  <c r="F170" i="1"/>
  <c r="C170" i="1"/>
  <c r="H170" i="1" s="1"/>
  <c r="O169" i="1"/>
  <c r="N169" i="1"/>
  <c r="G169" i="1"/>
  <c r="F169" i="1"/>
  <c r="J169" i="1" s="1"/>
  <c r="M169" i="1" s="1"/>
  <c r="C169" i="1"/>
  <c r="H169" i="1" s="1"/>
  <c r="O168" i="1"/>
  <c r="N168" i="1"/>
  <c r="J168" i="1"/>
  <c r="M168" i="1" s="1"/>
  <c r="G168" i="1"/>
  <c r="F168" i="1"/>
  <c r="C168" i="1"/>
  <c r="H168" i="1" s="1"/>
  <c r="O167" i="1"/>
  <c r="N167" i="1"/>
  <c r="J167" i="1"/>
  <c r="M167" i="1" s="1"/>
  <c r="G167" i="1"/>
  <c r="F167" i="1"/>
  <c r="C167" i="1"/>
  <c r="H167" i="1" s="1"/>
  <c r="O166" i="1"/>
  <c r="N166" i="1"/>
  <c r="G166" i="1"/>
  <c r="F166" i="1"/>
  <c r="J166" i="1" s="1"/>
  <c r="M166" i="1" s="1"/>
  <c r="C166" i="1"/>
  <c r="H166" i="1" s="1"/>
  <c r="O165" i="1"/>
  <c r="N165" i="1"/>
  <c r="J165" i="1"/>
  <c r="M165" i="1" s="1"/>
  <c r="G165" i="1"/>
  <c r="F165" i="1"/>
  <c r="C165" i="1"/>
  <c r="H165" i="1" s="1"/>
  <c r="O164" i="1"/>
  <c r="N164" i="1"/>
  <c r="G164" i="1"/>
  <c r="F164" i="1"/>
  <c r="J164" i="1" s="1"/>
  <c r="M164" i="1" s="1"/>
  <c r="C164" i="1"/>
  <c r="H164" i="1" s="1"/>
  <c r="O163" i="1"/>
  <c r="N163" i="1"/>
  <c r="G163" i="1"/>
  <c r="F163" i="1"/>
  <c r="J163" i="1" s="1"/>
  <c r="M163" i="1" s="1"/>
  <c r="C163" i="1"/>
  <c r="H163" i="1" s="1"/>
  <c r="O162" i="1"/>
  <c r="N162" i="1"/>
  <c r="J162" i="1"/>
  <c r="M162" i="1" s="1"/>
  <c r="G162" i="1"/>
  <c r="F162" i="1"/>
  <c r="C162" i="1"/>
  <c r="H162" i="1" s="1"/>
  <c r="O161" i="1"/>
  <c r="N161" i="1"/>
  <c r="G161" i="1"/>
  <c r="F161" i="1"/>
  <c r="J161" i="1" s="1"/>
  <c r="M161" i="1" s="1"/>
  <c r="C161" i="1"/>
  <c r="H161" i="1" s="1"/>
  <c r="O160" i="1"/>
  <c r="N160" i="1"/>
  <c r="J160" i="1"/>
  <c r="M160" i="1" s="1"/>
  <c r="G160" i="1"/>
  <c r="F160" i="1"/>
  <c r="C160" i="1"/>
  <c r="H160" i="1" s="1"/>
  <c r="O159" i="1"/>
  <c r="N159" i="1"/>
  <c r="J159" i="1"/>
  <c r="M159" i="1" s="1"/>
  <c r="G159" i="1"/>
  <c r="F159" i="1"/>
  <c r="C159" i="1"/>
  <c r="H159" i="1" s="1"/>
  <c r="O158" i="1"/>
  <c r="N158" i="1"/>
  <c r="G158" i="1"/>
  <c r="F158" i="1"/>
  <c r="J158" i="1" s="1"/>
  <c r="M158" i="1" s="1"/>
  <c r="C158" i="1"/>
  <c r="H158" i="1" s="1"/>
  <c r="O157" i="1"/>
  <c r="N157" i="1"/>
  <c r="J157" i="1"/>
  <c r="M157" i="1" s="1"/>
  <c r="G157" i="1"/>
  <c r="F157" i="1"/>
  <c r="C157" i="1"/>
  <c r="H157" i="1" s="1"/>
  <c r="O156" i="1"/>
  <c r="N156" i="1"/>
  <c r="G156" i="1"/>
  <c r="F156" i="1"/>
  <c r="J156" i="1" s="1"/>
  <c r="M156" i="1" s="1"/>
  <c r="C156" i="1"/>
  <c r="H156" i="1" s="1"/>
  <c r="O155" i="1"/>
  <c r="N155" i="1"/>
  <c r="G155" i="1"/>
  <c r="F155" i="1"/>
  <c r="J155" i="1" s="1"/>
  <c r="M155" i="1" s="1"/>
  <c r="C155" i="1"/>
  <c r="H155" i="1" s="1"/>
  <c r="O154" i="1"/>
  <c r="N154" i="1"/>
  <c r="J154" i="1"/>
  <c r="M154" i="1" s="1"/>
  <c r="G154" i="1"/>
  <c r="F154" i="1"/>
  <c r="C154" i="1"/>
  <c r="H154" i="1" s="1"/>
  <c r="O153" i="1"/>
  <c r="N153" i="1"/>
  <c r="G153" i="1"/>
  <c r="F153" i="1"/>
  <c r="J153" i="1" s="1"/>
  <c r="M153" i="1" s="1"/>
  <c r="C153" i="1"/>
  <c r="H153" i="1" s="1"/>
  <c r="O152" i="1"/>
  <c r="N152" i="1"/>
  <c r="J152" i="1"/>
  <c r="M152" i="1" s="1"/>
  <c r="G152" i="1"/>
  <c r="F152" i="1"/>
  <c r="C152" i="1"/>
  <c r="H152" i="1" s="1"/>
  <c r="O151" i="1"/>
  <c r="N151" i="1"/>
  <c r="J151" i="1"/>
  <c r="M151" i="1" s="1"/>
  <c r="G151" i="1"/>
  <c r="F151" i="1"/>
  <c r="C151" i="1"/>
  <c r="H151" i="1" s="1"/>
  <c r="O150" i="1"/>
  <c r="N150" i="1"/>
  <c r="G150" i="1"/>
  <c r="F150" i="1"/>
  <c r="J150" i="1" s="1"/>
  <c r="M150" i="1" s="1"/>
  <c r="C150" i="1"/>
  <c r="H150" i="1" s="1"/>
  <c r="O149" i="1"/>
  <c r="N149" i="1"/>
  <c r="J149" i="1"/>
  <c r="M149" i="1" s="1"/>
  <c r="G149" i="1"/>
  <c r="F149" i="1"/>
  <c r="C149" i="1"/>
  <c r="H149" i="1" s="1"/>
  <c r="O148" i="1"/>
  <c r="N148" i="1"/>
  <c r="G148" i="1"/>
  <c r="F148" i="1"/>
  <c r="J148" i="1" s="1"/>
  <c r="M148" i="1" s="1"/>
  <c r="C148" i="1"/>
  <c r="H148" i="1" s="1"/>
  <c r="O147" i="1"/>
  <c r="N147" i="1"/>
  <c r="G147" i="1"/>
  <c r="F147" i="1"/>
  <c r="J147" i="1" s="1"/>
  <c r="M147" i="1" s="1"/>
  <c r="C147" i="1"/>
  <c r="H147" i="1" s="1"/>
  <c r="O146" i="1"/>
  <c r="N146" i="1"/>
  <c r="J146" i="1"/>
  <c r="M146" i="1" s="1"/>
  <c r="G146" i="1"/>
  <c r="F146" i="1"/>
  <c r="C146" i="1"/>
  <c r="H146" i="1" s="1"/>
  <c r="O145" i="1"/>
  <c r="N145" i="1"/>
  <c r="G145" i="1"/>
  <c r="F145" i="1"/>
  <c r="J145" i="1" s="1"/>
  <c r="M145" i="1" s="1"/>
  <c r="C145" i="1"/>
  <c r="H145" i="1" s="1"/>
  <c r="O144" i="1"/>
  <c r="N144" i="1"/>
  <c r="J144" i="1"/>
  <c r="M144" i="1" s="1"/>
  <c r="G144" i="1"/>
  <c r="F144" i="1"/>
  <c r="C144" i="1"/>
  <c r="H144" i="1" s="1"/>
  <c r="O143" i="1"/>
  <c r="N143" i="1"/>
  <c r="G143" i="1"/>
  <c r="F143" i="1"/>
  <c r="J143" i="1" s="1"/>
  <c r="M143" i="1" s="1"/>
  <c r="C143" i="1"/>
  <c r="H143" i="1" s="1"/>
  <c r="O142" i="1"/>
  <c r="N142" i="1"/>
  <c r="G142" i="1"/>
  <c r="F142" i="1"/>
  <c r="J142" i="1" s="1"/>
  <c r="M142" i="1" s="1"/>
  <c r="C142" i="1"/>
  <c r="H142" i="1" s="1"/>
  <c r="O141" i="1"/>
  <c r="N141" i="1"/>
  <c r="J141" i="1"/>
  <c r="M141" i="1" s="1"/>
  <c r="G141" i="1"/>
  <c r="F141" i="1"/>
  <c r="C141" i="1"/>
  <c r="H141" i="1" s="1"/>
  <c r="O140" i="1"/>
  <c r="N140" i="1"/>
  <c r="G140" i="1"/>
  <c r="F140" i="1"/>
  <c r="J140" i="1" s="1"/>
  <c r="M140" i="1" s="1"/>
  <c r="C140" i="1"/>
  <c r="H140" i="1" s="1"/>
  <c r="W139" i="1"/>
  <c r="O139" i="1"/>
  <c r="N139" i="1"/>
  <c r="G139" i="1"/>
  <c r="F139" i="1"/>
  <c r="J139" i="1" s="1"/>
  <c r="M139" i="1" s="1"/>
  <c r="C139" i="1"/>
  <c r="H139" i="1" s="1"/>
  <c r="W138" i="1"/>
  <c r="O138" i="1"/>
  <c r="N138" i="1"/>
  <c r="G138" i="1"/>
  <c r="F138" i="1"/>
  <c r="J138" i="1" s="1"/>
  <c r="M138" i="1" s="1"/>
  <c r="C138" i="1"/>
  <c r="H138" i="1" s="1"/>
  <c r="W137" i="1"/>
  <c r="O137" i="1"/>
  <c r="N137" i="1"/>
  <c r="H137" i="1"/>
  <c r="G137" i="1"/>
  <c r="F137" i="1"/>
  <c r="J137" i="1" s="1"/>
  <c r="M137" i="1" s="1"/>
  <c r="C137" i="1"/>
  <c r="W136" i="1"/>
  <c r="O136" i="1"/>
  <c r="N136" i="1"/>
  <c r="J136" i="1"/>
  <c r="M136" i="1" s="1"/>
  <c r="G136" i="1"/>
  <c r="F136" i="1"/>
  <c r="C136" i="1"/>
  <c r="H136" i="1" s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G134" i="1"/>
  <c r="F134" i="1"/>
  <c r="J134" i="1" s="1"/>
  <c r="M134" i="1" s="1"/>
  <c r="C134" i="1"/>
  <c r="H134" i="1" s="1"/>
  <c r="W133" i="1"/>
  <c r="O133" i="1"/>
  <c r="N133" i="1"/>
  <c r="G133" i="1"/>
  <c r="F133" i="1"/>
  <c r="J133" i="1" s="1"/>
  <c r="M133" i="1" s="1"/>
  <c r="C133" i="1"/>
  <c r="H133" i="1" s="1"/>
  <c r="W132" i="1"/>
  <c r="O132" i="1"/>
  <c r="N132" i="1"/>
  <c r="J132" i="1"/>
  <c r="M132" i="1" s="1"/>
  <c r="G132" i="1"/>
  <c r="F132" i="1"/>
  <c r="C132" i="1"/>
  <c r="H132" i="1" s="1"/>
  <c r="W131" i="1"/>
  <c r="O131" i="1"/>
  <c r="N131" i="1"/>
  <c r="H131" i="1"/>
  <c r="G131" i="1"/>
  <c r="F131" i="1"/>
  <c r="J131" i="1" s="1"/>
  <c r="M131" i="1" s="1"/>
  <c r="C131" i="1"/>
  <c r="W130" i="1"/>
  <c r="O130" i="1"/>
  <c r="N130" i="1"/>
  <c r="J130" i="1"/>
  <c r="M130" i="1" s="1"/>
  <c r="G130" i="1"/>
  <c r="F130" i="1"/>
  <c r="C130" i="1"/>
  <c r="H130" i="1" s="1"/>
  <c r="W129" i="1"/>
  <c r="O129" i="1"/>
  <c r="N129" i="1"/>
  <c r="G129" i="1"/>
  <c r="F129" i="1"/>
  <c r="J129" i="1" s="1"/>
  <c r="M129" i="1" s="1"/>
  <c r="C129" i="1"/>
  <c r="H129" i="1" s="1"/>
  <c r="W128" i="1"/>
  <c r="O128" i="1"/>
  <c r="N128" i="1"/>
  <c r="G128" i="1"/>
  <c r="F128" i="1"/>
  <c r="J128" i="1" s="1"/>
  <c r="M128" i="1" s="1"/>
  <c r="C128" i="1"/>
  <c r="H128" i="1" s="1"/>
  <c r="W127" i="1"/>
  <c r="O127" i="1"/>
  <c r="N127" i="1"/>
  <c r="G127" i="1"/>
  <c r="F127" i="1"/>
  <c r="J127" i="1" s="1"/>
  <c r="M127" i="1" s="1"/>
  <c r="C127" i="1"/>
  <c r="H127" i="1" s="1"/>
  <c r="W126" i="1"/>
  <c r="O126" i="1"/>
  <c r="N126" i="1"/>
  <c r="J126" i="1"/>
  <c r="M126" i="1" s="1"/>
  <c r="H126" i="1"/>
  <c r="G126" i="1"/>
  <c r="F126" i="1"/>
  <c r="C126" i="1"/>
  <c r="W125" i="1"/>
  <c r="O125" i="1"/>
  <c r="N125" i="1"/>
  <c r="H125" i="1"/>
  <c r="G125" i="1"/>
  <c r="F125" i="1"/>
  <c r="J125" i="1" s="1"/>
  <c r="M125" i="1" s="1"/>
  <c r="C125" i="1"/>
  <c r="W124" i="1"/>
  <c r="O124" i="1"/>
  <c r="N124" i="1"/>
  <c r="G124" i="1"/>
  <c r="F124" i="1"/>
  <c r="J124" i="1" s="1"/>
  <c r="M124" i="1" s="1"/>
  <c r="C124" i="1"/>
  <c r="H124" i="1" s="1"/>
  <c r="W123" i="1"/>
  <c r="O123" i="1"/>
  <c r="N123" i="1"/>
  <c r="G123" i="1"/>
  <c r="F123" i="1"/>
  <c r="J123" i="1" s="1"/>
  <c r="M123" i="1" s="1"/>
  <c r="C123" i="1"/>
  <c r="H123" i="1" s="1"/>
  <c r="W122" i="1"/>
  <c r="O122" i="1"/>
  <c r="N122" i="1"/>
  <c r="G122" i="1"/>
  <c r="F122" i="1"/>
  <c r="J122" i="1" s="1"/>
  <c r="M122" i="1" s="1"/>
  <c r="C122" i="1"/>
  <c r="H122" i="1" s="1"/>
  <c r="W121" i="1"/>
  <c r="O121" i="1"/>
  <c r="N121" i="1"/>
  <c r="H121" i="1"/>
  <c r="G121" i="1"/>
  <c r="F121" i="1"/>
  <c r="J121" i="1" s="1"/>
  <c r="M121" i="1" s="1"/>
  <c r="C121" i="1"/>
  <c r="W120" i="1"/>
  <c r="O120" i="1"/>
  <c r="N120" i="1"/>
  <c r="G120" i="1"/>
  <c r="F120" i="1"/>
  <c r="J120" i="1" s="1"/>
  <c r="M120" i="1" s="1"/>
  <c r="C120" i="1"/>
  <c r="H120" i="1" s="1"/>
  <c r="W119" i="1"/>
  <c r="O119" i="1"/>
  <c r="N119" i="1"/>
  <c r="G119" i="1"/>
  <c r="F119" i="1"/>
  <c r="J119" i="1" s="1"/>
  <c r="M119" i="1" s="1"/>
  <c r="C119" i="1"/>
  <c r="H119" i="1" s="1"/>
  <c r="W118" i="1"/>
  <c r="O118" i="1"/>
  <c r="N118" i="1"/>
  <c r="G118" i="1"/>
  <c r="F118" i="1"/>
  <c r="J118" i="1" s="1"/>
  <c r="M118" i="1" s="1"/>
  <c r="C118" i="1"/>
  <c r="H118" i="1" s="1"/>
  <c r="W117" i="1"/>
  <c r="O117" i="1"/>
  <c r="N117" i="1"/>
  <c r="H117" i="1"/>
  <c r="G117" i="1"/>
  <c r="F117" i="1"/>
  <c r="J117" i="1" s="1"/>
  <c r="M117" i="1" s="1"/>
  <c r="C117" i="1"/>
  <c r="W116" i="1"/>
  <c r="O116" i="1"/>
  <c r="N116" i="1"/>
  <c r="G116" i="1"/>
  <c r="F116" i="1"/>
  <c r="J116" i="1" s="1"/>
  <c r="M116" i="1" s="1"/>
  <c r="C116" i="1"/>
  <c r="H116" i="1" s="1"/>
  <c r="W115" i="1"/>
  <c r="O115" i="1"/>
  <c r="N115" i="1"/>
  <c r="G115" i="1"/>
  <c r="F115" i="1"/>
  <c r="J115" i="1" s="1"/>
  <c r="M115" i="1" s="1"/>
  <c r="C115" i="1"/>
  <c r="H115" i="1" s="1"/>
  <c r="W114" i="1"/>
  <c r="O114" i="1"/>
  <c r="N114" i="1"/>
  <c r="J114" i="1"/>
  <c r="M114" i="1" s="1"/>
  <c r="G114" i="1"/>
  <c r="F114" i="1"/>
  <c r="C114" i="1"/>
  <c r="H114" i="1" s="1"/>
  <c r="W113" i="1"/>
  <c r="O113" i="1"/>
  <c r="N113" i="1"/>
  <c r="H113" i="1"/>
  <c r="G113" i="1"/>
  <c r="F113" i="1"/>
  <c r="J113" i="1" s="1"/>
  <c r="M113" i="1" s="1"/>
  <c r="C113" i="1"/>
  <c r="W112" i="1"/>
  <c r="O112" i="1"/>
  <c r="N112" i="1"/>
  <c r="J112" i="1"/>
  <c r="M112" i="1" s="1"/>
  <c r="G112" i="1"/>
  <c r="F112" i="1"/>
  <c r="C112" i="1"/>
  <c r="H112" i="1" s="1"/>
  <c r="W111" i="1"/>
  <c r="O111" i="1"/>
  <c r="N111" i="1"/>
  <c r="G111" i="1"/>
  <c r="F111" i="1"/>
  <c r="J111" i="1" s="1"/>
  <c r="M111" i="1" s="1"/>
  <c r="C111" i="1"/>
  <c r="H111" i="1" s="1"/>
  <c r="W110" i="1"/>
  <c r="O110" i="1"/>
  <c r="N110" i="1"/>
  <c r="H110" i="1"/>
  <c r="G110" i="1"/>
  <c r="F110" i="1"/>
  <c r="J110" i="1" s="1"/>
  <c r="M110" i="1" s="1"/>
  <c r="C110" i="1"/>
  <c r="W109" i="1"/>
  <c r="O109" i="1"/>
  <c r="N109" i="1"/>
  <c r="G109" i="1"/>
  <c r="F109" i="1"/>
  <c r="J109" i="1" s="1"/>
  <c r="M109" i="1" s="1"/>
  <c r="C109" i="1"/>
  <c r="H109" i="1" s="1"/>
  <c r="W108" i="1"/>
  <c r="O108" i="1"/>
  <c r="N108" i="1"/>
  <c r="J108" i="1"/>
  <c r="M108" i="1" s="1"/>
  <c r="G108" i="1"/>
  <c r="F108" i="1"/>
  <c r="C108" i="1"/>
  <c r="H108" i="1" s="1"/>
  <c r="W107" i="1"/>
  <c r="O107" i="1"/>
  <c r="N107" i="1"/>
  <c r="J107" i="1"/>
  <c r="M107" i="1" s="1"/>
  <c r="G107" i="1"/>
  <c r="F107" i="1"/>
  <c r="C107" i="1"/>
  <c r="H107" i="1" s="1"/>
  <c r="W106" i="1"/>
  <c r="O106" i="1"/>
  <c r="N106" i="1"/>
  <c r="G106" i="1"/>
  <c r="F106" i="1"/>
  <c r="J106" i="1" s="1"/>
  <c r="M106" i="1" s="1"/>
  <c r="C106" i="1"/>
  <c r="H106" i="1" s="1"/>
  <c r="W105" i="1"/>
  <c r="O105" i="1"/>
  <c r="N105" i="1"/>
  <c r="J105" i="1"/>
  <c r="M105" i="1" s="1"/>
  <c r="G105" i="1"/>
  <c r="F105" i="1"/>
  <c r="C105" i="1"/>
  <c r="H105" i="1" s="1"/>
  <c r="W104" i="1"/>
  <c r="O104" i="1"/>
  <c r="N104" i="1"/>
  <c r="J104" i="1"/>
  <c r="M104" i="1" s="1"/>
  <c r="H104" i="1"/>
  <c r="G104" i="1"/>
  <c r="F104" i="1"/>
  <c r="C104" i="1"/>
  <c r="W103" i="1"/>
  <c r="O103" i="1"/>
  <c r="N103" i="1"/>
  <c r="H103" i="1"/>
  <c r="G103" i="1"/>
  <c r="F103" i="1"/>
  <c r="J103" i="1" s="1"/>
  <c r="M103" i="1" s="1"/>
  <c r="C103" i="1"/>
  <c r="W102" i="1"/>
  <c r="O102" i="1"/>
  <c r="N102" i="1"/>
  <c r="G102" i="1"/>
  <c r="F102" i="1"/>
  <c r="J102" i="1" s="1"/>
  <c r="M102" i="1" s="1"/>
  <c r="C102" i="1"/>
  <c r="H102" i="1" s="1"/>
  <c r="W101" i="1"/>
  <c r="O101" i="1"/>
  <c r="N101" i="1"/>
  <c r="J101" i="1"/>
  <c r="M101" i="1" s="1"/>
  <c r="G101" i="1"/>
  <c r="F101" i="1"/>
  <c r="C101" i="1"/>
  <c r="H101" i="1" s="1"/>
  <c r="W100" i="1"/>
  <c r="O100" i="1"/>
  <c r="N100" i="1"/>
  <c r="J100" i="1"/>
  <c r="M100" i="1" s="1"/>
  <c r="H100" i="1"/>
  <c r="G100" i="1"/>
  <c r="F100" i="1"/>
  <c r="C100" i="1"/>
  <c r="W99" i="1"/>
  <c r="O99" i="1"/>
  <c r="N99" i="1"/>
  <c r="H99" i="1"/>
  <c r="G99" i="1"/>
  <c r="F99" i="1"/>
  <c r="J99" i="1" s="1"/>
  <c r="M99" i="1" s="1"/>
  <c r="C99" i="1"/>
  <c r="W98" i="1"/>
  <c r="O98" i="1"/>
  <c r="N98" i="1"/>
  <c r="G98" i="1"/>
  <c r="F98" i="1"/>
  <c r="J98" i="1" s="1"/>
  <c r="M98" i="1" s="1"/>
  <c r="C98" i="1"/>
  <c r="H98" i="1" s="1"/>
  <c r="W97" i="1"/>
  <c r="O97" i="1"/>
  <c r="N97" i="1"/>
  <c r="J97" i="1"/>
  <c r="M97" i="1" s="1"/>
  <c r="G97" i="1"/>
  <c r="F97" i="1"/>
  <c r="C97" i="1"/>
  <c r="H97" i="1" s="1"/>
  <c r="W96" i="1"/>
  <c r="O96" i="1"/>
  <c r="N96" i="1"/>
  <c r="J96" i="1"/>
  <c r="M96" i="1" s="1"/>
  <c r="H96" i="1"/>
  <c r="G96" i="1"/>
  <c r="F96" i="1"/>
  <c r="C96" i="1"/>
  <c r="W95" i="1"/>
  <c r="O95" i="1"/>
  <c r="N95" i="1"/>
  <c r="H95" i="1"/>
  <c r="G95" i="1"/>
  <c r="F95" i="1"/>
  <c r="J95" i="1" s="1"/>
  <c r="M95" i="1" s="1"/>
  <c r="C95" i="1"/>
  <c r="W94" i="1"/>
  <c r="O94" i="1"/>
  <c r="N94" i="1"/>
  <c r="G94" i="1"/>
  <c r="F94" i="1"/>
  <c r="J94" i="1" s="1"/>
  <c r="M94" i="1" s="1"/>
  <c r="C94" i="1"/>
  <c r="H94" i="1" s="1"/>
  <c r="W93" i="1"/>
  <c r="O93" i="1"/>
  <c r="N93" i="1"/>
  <c r="J93" i="1"/>
  <c r="M93" i="1" s="1"/>
  <c r="G93" i="1"/>
  <c r="F93" i="1"/>
  <c r="C93" i="1"/>
  <c r="H93" i="1" s="1"/>
  <c r="W92" i="1"/>
  <c r="O92" i="1"/>
  <c r="N92" i="1"/>
  <c r="J92" i="1"/>
  <c r="M92" i="1" s="1"/>
  <c r="H92" i="1"/>
  <c r="G92" i="1"/>
  <c r="F92" i="1"/>
  <c r="C92" i="1"/>
  <c r="W91" i="1"/>
  <c r="O91" i="1"/>
  <c r="N91" i="1"/>
  <c r="H91" i="1"/>
  <c r="G91" i="1"/>
  <c r="F91" i="1"/>
  <c r="J91" i="1" s="1"/>
  <c r="M91" i="1" s="1"/>
  <c r="C91" i="1"/>
  <c r="W90" i="1"/>
  <c r="O90" i="1"/>
  <c r="N90" i="1"/>
  <c r="G90" i="1"/>
  <c r="F90" i="1"/>
  <c r="J90" i="1" s="1"/>
  <c r="M90" i="1" s="1"/>
  <c r="C90" i="1"/>
  <c r="H90" i="1" s="1"/>
  <c r="W89" i="1"/>
  <c r="O89" i="1"/>
  <c r="N89" i="1"/>
  <c r="G89" i="1"/>
  <c r="F89" i="1"/>
  <c r="J89" i="1" s="1"/>
  <c r="M89" i="1" s="1"/>
  <c r="C89" i="1"/>
  <c r="H89" i="1" s="1"/>
  <c r="W88" i="1"/>
  <c r="O88" i="1"/>
  <c r="N88" i="1"/>
  <c r="J88" i="1"/>
  <c r="M88" i="1" s="1"/>
  <c r="G88" i="1"/>
  <c r="F88" i="1"/>
  <c r="C88" i="1"/>
  <c r="H88" i="1" s="1"/>
  <c r="W87" i="1"/>
  <c r="O87" i="1"/>
  <c r="N87" i="1"/>
  <c r="H87" i="1"/>
  <c r="G87" i="1"/>
  <c r="F87" i="1"/>
  <c r="J87" i="1" s="1"/>
  <c r="M87" i="1" s="1"/>
  <c r="C87" i="1"/>
  <c r="W86" i="1"/>
  <c r="O86" i="1"/>
  <c r="N86" i="1"/>
  <c r="G86" i="1"/>
  <c r="F86" i="1"/>
  <c r="J86" i="1" s="1"/>
  <c r="M86" i="1" s="1"/>
  <c r="C86" i="1"/>
  <c r="H86" i="1" s="1"/>
  <c r="W85" i="1"/>
  <c r="O85" i="1"/>
  <c r="N85" i="1"/>
  <c r="J85" i="1"/>
  <c r="M85" i="1" s="1"/>
  <c r="G85" i="1"/>
  <c r="F85" i="1"/>
  <c r="C85" i="1"/>
  <c r="H85" i="1" s="1"/>
  <c r="W84" i="1"/>
  <c r="O84" i="1"/>
  <c r="N84" i="1"/>
  <c r="J84" i="1"/>
  <c r="M84" i="1" s="1"/>
  <c r="G84" i="1"/>
  <c r="F84" i="1"/>
  <c r="C84" i="1"/>
  <c r="H84" i="1" s="1"/>
  <c r="W83" i="1"/>
  <c r="O83" i="1"/>
  <c r="N83" i="1"/>
  <c r="H83" i="1"/>
  <c r="G83" i="1"/>
  <c r="F83" i="1"/>
  <c r="J83" i="1" s="1"/>
  <c r="M83" i="1" s="1"/>
  <c r="C83" i="1"/>
  <c r="W82" i="1"/>
  <c r="O82" i="1"/>
  <c r="N82" i="1"/>
  <c r="G82" i="1"/>
  <c r="F82" i="1"/>
  <c r="J82" i="1" s="1"/>
  <c r="M82" i="1" s="1"/>
  <c r="C82" i="1"/>
  <c r="H82" i="1" s="1"/>
  <c r="W81" i="1"/>
  <c r="O81" i="1"/>
  <c r="N81" i="1"/>
  <c r="J81" i="1"/>
  <c r="M81" i="1" s="1"/>
  <c r="G81" i="1"/>
  <c r="F81" i="1"/>
  <c r="C81" i="1"/>
  <c r="H81" i="1" s="1"/>
  <c r="W80" i="1"/>
  <c r="O80" i="1"/>
  <c r="N80" i="1"/>
  <c r="J80" i="1"/>
  <c r="M80" i="1" s="1"/>
  <c r="G80" i="1"/>
  <c r="F80" i="1"/>
  <c r="C80" i="1"/>
  <c r="H80" i="1" s="1"/>
  <c r="W79" i="1"/>
  <c r="O79" i="1"/>
  <c r="N79" i="1"/>
  <c r="H79" i="1"/>
  <c r="G79" i="1"/>
  <c r="F79" i="1"/>
  <c r="J79" i="1" s="1"/>
  <c r="M79" i="1" s="1"/>
  <c r="C79" i="1"/>
  <c r="W78" i="1"/>
  <c r="O78" i="1"/>
  <c r="N78" i="1"/>
  <c r="G78" i="1"/>
  <c r="F78" i="1"/>
  <c r="J78" i="1" s="1"/>
  <c r="M78" i="1" s="1"/>
  <c r="C78" i="1"/>
  <c r="H78" i="1" s="1"/>
  <c r="W77" i="1"/>
  <c r="O77" i="1"/>
  <c r="N77" i="1"/>
  <c r="J77" i="1"/>
  <c r="M77" i="1" s="1"/>
  <c r="G77" i="1"/>
  <c r="F77" i="1"/>
  <c r="C77" i="1"/>
  <c r="H77" i="1" s="1"/>
  <c r="W76" i="1"/>
  <c r="O76" i="1"/>
  <c r="N76" i="1"/>
  <c r="J76" i="1"/>
  <c r="M76" i="1" s="1"/>
  <c r="G76" i="1"/>
  <c r="F76" i="1"/>
  <c r="C76" i="1"/>
  <c r="H76" i="1" s="1"/>
  <c r="W75" i="1"/>
  <c r="O75" i="1"/>
  <c r="N75" i="1"/>
  <c r="H75" i="1"/>
  <c r="G75" i="1"/>
  <c r="F75" i="1"/>
  <c r="J75" i="1" s="1"/>
  <c r="M75" i="1" s="1"/>
  <c r="C75" i="1"/>
  <c r="W74" i="1"/>
  <c r="O74" i="1"/>
  <c r="N74" i="1"/>
  <c r="G74" i="1"/>
  <c r="F74" i="1"/>
  <c r="J74" i="1" s="1"/>
  <c r="M74" i="1" s="1"/>
  <c r="C74" i="1"/>
  <c r="H74" i="1" s="1"/>
  <c r="W73" i="1"/>
  <c r="O73" i="1"/>
  <c r="N73" i="1"/>
  <c r="J73" i="1"/>
  <c r="M73" i="1" s="1"/>
  <c r="G73" i="1"/>
  <c r="F73" i="1"/>
  <c r="C73" i="1"/>
  <c r="H73" i="1" s="1"/>
  <c r="W72" i="1"/>
  <c r="O72" i="1"/>
  <c r="N72" i="1"/>
  <c r="J72" i="1"/>
  <c r="M72" i="1" s="1"/>
  <c r="G72" i="1"/>
  <c r="F72" i="1"/>
  <c r="C72" i="1"/>
  <c r="H72" i="1" s="1"/>
  <c r="W71" i="1"/>
  <c r="O71" i="1"/>
  <c r="N71" i="1"/>
  <c r="H71" i="1"/>
  <c r="G71" i="1"/>
  <c r="F71" i="1"/>
  <c r="J71" i="1" s="1"/>
  <c r="M71" i="1" s="1"/>
  <c r="C71" i="1"/>
  <c r="W70" i="1"/>
  <c r="O70" i="1"/>
  <c r="N70" i="1"/>
  <c r="G70" i="1"/>
  <c r="F70" i="1"/>
  <c r="J70" i="1" s="1"/>
  <c r="M70" i="1" s="1"/>
  <c r="C70" i="1"/>
  <c r="H70" i="1" s="1"/>
  <c r="W69" i="1"/>
  <c r="O69" i="1"/>
  <c r="N69" i="1"/>
  <c r="J69" i="1"/>
  <c r="M69" i="1" s="1"/>
  <c r="G69" i="1"/>
  <c r="F69" i="1"/>
  <c r="C69" i="1"/>
  <c r="H69" i="1" s="1"/>
  <c r="W68" i="1"/>
  <c r="O68" i="1"/>
  <c r="N68" i="1"/>
  <c r="J68" i="1"/>
  <c r="M68" i="1" s="1"/>
  <c r="G68" i="1"/>
  <c r="F68" i="1"/>
  <c r="C68" i="1"/>
  <c r="H68" i="1" s="1"/>
  <c r="W67" i="1"/>
  <c r="O67" i="1"/>
  <c r="N67" i="1"/>
  <c r="H67" i="1"/>
  <c r="G67" i="1"/>
  <c r="F67" i="1"/>
  <c r="J67" i="1" s="1"/>
  <c r="M67" i="1" s="1"/>
  <c r="C67" i="1"/>
  <c r="W66" i="1"/>
  <c r="O66" i="1"/>
  <c r="N66" i="1"/>
  <c r="G66" i="1"/>
  <c r="F66" i="1"/>
  <c r="J66" i="1" s="1"/>
  <c r="M66" i="1" s="1"/>
  <c r="C66" i="1"/>
  <c r="H66" i="1" s="1"/>
  <c r="W65" i="1"/>
  <c r="O65" i="1"/>
  <c r="N65" i="1"/>
  <c r="G65" i="1"/>
  <c r="F65" i="1"/>
  <c r="J65" i="1" s="1"/>
  <c r="M65" i="1" s="1"/>
  <c r="C65" i="1"/>
  <c r="H65" i="1" s="1"/>
  <c r="W64" i="1"/>
  <c r="O64" i="1"/>
  <c r="N64" i="1"/>
  <c r="G64" i="1"/>
  <c r="F64" i="1"/>
  <c r="J64" i="1" s="1"/>
  <c r="M64" i="1" s="1"/>
  <c r="C64" i="1"/>
  <c r="H64" i="1" s="1"/>
  <c r="W63" i="1"/>
  <c r="O63" i="1"/>
  <c r="N63" i="1"/>
  <c r="G63" i="1"/>
  <c r="F63" i="1"/>
  <c r="J63" i="1" s="1"/>
  <c r="M63" i="1" s="1"/>
  <c r="C63" i="1"/>
  <c r="H63" i="1" s="1"/>
  <c r="W62" i="1"/>
  <c r="O62" i="1"/>
  <c r="N62" i="1"/>
  <c r="G62" i="1"/>
  <c r="F62" i="1"/>
  <c r="J62" i="1" s="1"/>
  <c r="M62" i="1" s="1"/>
  <c r="C62" i="1"/>
  <c r="H62" i="1" s="1"/>
  <c r="W61" i="1"/>
  <c r="O61" i="1"/>
  <c r="N61" i="1"/>
  <c r="G61" i="1"/>
  <c r="F61" i="1"/>
  <c r="J61" i="1" s="1"/>
  <c r="M61" i="1" s="1"/>
  <c r="C61" i="1"/>
  <c r="H61" i="1" s="1"/>
  <c r="W60" i="1"/>
  <c r="O60" i="1"/>
  <c r="N60" i="1"/>
  <c r="H60" i="1"/>
  <c r="G60" i="1"/>
  <c r="F60" i="1"/>
  <c r="J60" i="1" s="1"/>
  <c r="M60" i="1" s="1"/>
  <c r="C60" i="1"/>
  <c r="W59" i="1"/>
  <c r="O59" i="1"/>
  <c r="N59" i="1"/>
  <c r="J59" i="1"/>
  <c r="M59" i="1" s="1"/>
  <c r="G59" i="1"/>
  <c r="F59" i="1"/>
  <c r="C59" i="1"/>
  <c r="H59" i="1" s="1"/>
  <c r="W58" i="1"/>
  <c r="O58" i="1"/>
  <c r="N58" i="1"/>
  <c r="H58" i="1"/>
  <c r="G58" i="1"/>
  <c r="F58" i="1"/>
  <c r="J58" i="1" s="1"/>
  <c r="M58" i="1" s="1"/>
  <c r="C58" i="1"/>
  <c r="W57" i="1"/>
  <c r="O57" i="1"/>
  <c r="N57" i="1"/>
  <c r="G57" i="1"/>
  <c r="F57" i="1"/>
  <c r="J57" i="1" s="1"/>
  <c r="M57" i="1" s="1"/>
  <c r="C57" i="1"/>
  <c r="H57" i="1" s="1"/>
  <c r="W56" i="1"/>
  <c r="O56" i="1"/>
  <c r="N56" i="1"/>
  <c r="H56" i="1"/>
  <c r="G56" i="1"/>
  <c r="F56" i="1"/>
  <c r="J56" i="1" s="1"/>
  <c r="M56" i="1" s="1"/>
  <c r="C56" i="1"/>
  <c r="W55" i="1"/>
  <c r="O55" i="1"/>
  <c r="N55" i="1"/>
  <c r="H55" i="1"/>
  <c r="G55" i="1"/>
  <c r="F55" i="1"/>
  <c r="J55" i="1" s="1"/>
  <c r="M55" i="1" s="1"/>
  <c r="C55" i="1"/>
  <c r="W54" i="1"/>
  <c r="O54" i="1"/>
  <c r="N54" i="1"/>
  <c r="G54" i="1"/>
  <c r="F54" i="1"/>
  <c r="J54" i="1" s="1"/>
  <c r="M54" i="1" s="1"/>
  <c r="C54" i="1"/>
  <c r="H54" i="1" s="1"/>
  <c r="W53" i="1"/>
  <c r="O53" i="1"/>
  <c r="N53" i="1"/>
  <c r="G53" i="1"/>
  <c r="F53" i="1"/>
  <c r="J53" i="1" s="1"/>
  <c r="M53" i="1" s="1"/>
  <c r="C53" i="1"/>
  <c r="H53" i="1" s="1"/>
  <c r="W52" i="1"/>
  <c r="O52" i="1"/>
  <c r="N52" i="1"/>
  <c r="G52" i="1"/>
  <c r="F52" i="1"/>
  <c r="J52" i="1" s="1"/>
  <c r="M52" i="1" s="1"/>
  <c r="C52" i="1"/>
  <c r="H52" i="1" s="1"/>
  <c r="W51" i="1"/>
  <c r="O51" i="1"/>
  <c r="N51" i="1"/>
  <c r="H51" i="1"/>
  <c r="G51" i="1"/>
  <c r="F51" i="1"/>
  <c r="J51" i="1" s="1"/>
  <c r="M51" i="1" s="1"/>
  <c r="C51" i="1"/>
  <c r="W50" i="1"/>
  <c r="O50" i="1"/>
  <c r="N50" i="1"/>
  <c r="G50" i="1"/>
  <c r="F50" i="1"/>
  <c r="J50" i="1" s="1"/>
  <c r="M50" i="1" s="1"/>
  <c r="C50" i="1"/>
  <c r="H50" i="1" s="1"/>
  <c r="W49" i="1"/>
  <c r="O49" i="1"/>
  <c r="N49" i="1"/>
  <c r="G49" i="1"/>
  <c r="F49" i="1"/>
  <c r="J49" i="1" s="1"/>
  <c r="M49" i="1" s="1"/>
  <c r="C49" i="1"/>
  <c r="H49" i="1" s="1"/>
  <c r="W48" i="1"/>
  <c r="O48" i="1"/>
  <c r="N48" i="1"/>
  <c r="G48" i="1"/>
  <c r="F48" i="1"/>
  <c r="J48" i="1" s="1"/>
  <c r="M48" i="1" s="1"/>
  <c r="C48" i="1"/>
  <c r="H48" i="1" s="1"/>
  <c r="W47" i="1"/>
  <c r="O47" i="1"/>
  <c r="N47" i="1"/>
  <c r="G47" i="1"/>
  <c r="F47" i="1"/>
  <c r="J47" i="1" s="1"/>
  <c r="M47" i="1" s="1"/>
  <c r="C47" i="1"/>
  <c r="H47" i="1" s="1"/>
  <c r="W46" i="1"/>
  <c r="O46" i="1"/>
  <c r="N46" i="1"/>
  <c r="G46" i="1"/>
  <c r="F46" i="1"/>
  <c r="J46" i="1" s="1"/>
  <c r="M46" i="1" s="1"/>
  <c r="C46" i="1"/>
  <c r="H46" i="1" s="1"/>
  <c r="W45" i="1"/>
  <c r="O45" i="1"/>
  <c r="N45" i="1"/>
  <c r="G45" i="1"/>
  <c r="F45" i="1"/>
  <c r="J45" i="1" s="1"/>
  <c r="M45" i="1" s="1"/>
  <c r="C45" i="1"/>
  <c r="H45" i="1" s="1"/>
  <c r="W44" i="1"/>
  <c r="O44" i="1"/>
  <c r="N44" i="1"/>
  <c r="H44" i="1"/>
  <c r="G44" i="1"/>
  <c r="F44" i="1"/>
  <c r="J44" i="1" s="1"/>
  <c r="M44" i="1" s="1"/>
  <c r="C44" i="1"/>
  <c r="W43" i="1"/>
  <c r="O43" i="1"/>
  <c r="N43" i="1"/>
  <c r="J43" i="1"/>
  <c r="M43" i="1" s="1"/>
  <c r="G43" i="1"/>
  <c r="F43" i="1"/>
  <c r="C43" i="1"/>
  <c r="H43" i="1" s="1"/>
  <c r="W42" i="1"/>
  <c r="O42" i="1"/>
  <c r="N42" i="1"/>
  <c r="H42" i="1"/>
  <c r="G42" i="1"/>
  <c r="F42" i="1"/>
  <c r="J42" i="1" s="1"/>
  <c r="M42" i="1" s="1"/>
  <c r="C42" i="1"/>
  <c r="W41" i="1"/>
  <c r="O41" i="1"/>
  <c r="N41" i="1"/>
  <c r="G41" i="1"/>
  <c r="F41" i="1"/>
  <c r="J41" i="1" s="1"/>
  <c r="M41" i="1" s="1"/>
  <c r="C41" i="1"/>
  <c r="H41" i="1" s="1"/>
  <c r="W40" i="1"/>
  <c r="O40" i="1"/>
  <c r="N40" i="1"/>
  <c r="H40" i="1"/>
  <c r="G40" i="1"/>
  <c r="F40" i="1"/>
  <c r="J40" i="1" s="1"/>
  <c r="M40" i="1" s="1"/>
  <c r="C40" i="1"/>
  <c r="W39" i="1"/>
  <c r="O39" i="1"/>
  <c r="N39" i="1"/>
  <c r="H39" i="1"/>
  <c r="G39" i="1"/>
  <c r="F39" i="1"/>
  <c r="J39" i="1" s="1"/>
  <c r="M39" i="1" s="1"/>
  <c r="C39" i="1"/>
  <c r="W38" i="1"/>
  <c r="O38" i="1"/>
  <c r="N38" i="1"/>
  <c r="G38" i="1"/>
  <c r="F38" i="1"/>
  <c r="J38" i="1" s="1"/>
  <c r="M38" i="1" s="1"/>
  <c r="C38" i="1"/>
  <c r="H38" i="1" s="1"/>
  <c r="W37" i="1"/>
  <c r="O37" i="1"/>
  <c r="N37" i="1"/>
  <c r="G37" i="1"/>
  <c r="F37" i="1"/>
  <c r="J37" i="1" s="1"/>
  <c r="M37" i="1" s="1"/>
  <c r="C37" i="1"/>
  <c r="H37" i="1" s="1"/>
  <c r="W36" i="1"/>
  <c r="O36" i="1"/>
  <c r="N36" i="1"/>
  <c r="G36" i="1"/>
  <c r="F36" i="1"/>
  <c r="J36" i="1" s="1"/>
  <c r="M36" i="1" s="1"/>
  <c r="C36" i="1"/>
  <c r="H36" i="1" s="1"/>
  <c r="W35" i="1"/>
  <c r="O35" i="1"/>
  <c r="N35" i="1"/>
  <c r="H35" i="1"/>
  <c r="G35" i="1"/>
  <c r="F35" i="1"/>
  <c r="J35" i="1" s="1"/>
  <c r="M35" i="1" s="1"/>
  <c r="C35" i="1"/>
  <c r="W34" i="1"/>
  <c r="O34" i="1"/>
  <c r="N34" i="1"/>
  <c r="G34" i="1"/>
  <c r="F34" i="1"/>
  <c r="J34" i="1" s="1"/>
  <c r="M34" i="1" s="1"/>
  <c r="C34" i="1"/>
  <c r="H34" i="1" s="1"/>
  <c r="W33" i="1"/>
  <c r="O33" i="1"/>
  <c r="N33" i="1"/>
  <c r="G33" i="1"/>
  <c r="F33" i="1"/>
  <c r="J33" i="1" s="1"/>
  <c r="M33" i="1" s="1"/>
  <c r="C33" i="1"/>
  <c r="H33" i="1" s="1"/>
  <c r="W32" i="1"/>
  <c r="O32" i="1"/>
  <c r="N32" i="1"/>
  <c r="G32" i="1"/>
  <c r="F32" i="1"/>
  <c r="J32" i="1" s="1"/>
  <c r="M32" i="1" s="1"/>
  <c r="C32" i="1"/>
  <c r="H32" i="1" s="1"/>
  <c r="Z31" i="1"/>
  <c r="W31" i="1"/>
  <c r="O31" i="1"/>
  <c r="N31" i="1"/>
  <c r="G31" i="1"/>
  <c r="F31" i="1"/>
  <c r="J31" i="1" s="1"/>
  <c r="M31" i="1" s="1"/>
  <c r="C31" i="1"/>
  <c r="H31" i="1" s="1"/>
  <c r="Z30" i="1"/>
  <c r="W30" i="1"/>
  <c r="O30" i="1"/>
  <c r="N30" i="1"/>
  <c r="H30" i="1"/>
  <c r="G30" i="1"/>
  <c r="F30" i="1"/>
  <c r="J30" i="1" s="1"/>
  <c r="M30" i="1" s="1"/>
  <c r="C30" i="1"/>
  <c r="Z29" i="1"/>
  <c r="W29" i="1"/>
  <c r="O29" i="1"/>
  <c r="N29" i="1"/>
  <c r="J29" i="1"/>
  <c r="M29" i="1" s="1"/>
  <c r="G29" i="1"/>
  <c r="F29" i="1"/>
  <c r="C29" i="1"/>
  <c r="H29" i="1" s="1"/>
  <c r="Z28" i="1"/>
  <c r="W28" i="1"/>
  <c r="O28" i="1"/>
  <c r="N28" i="1"/>
  <c r="G28" i="1"/>
  <c r="F28" i="1"/>
  <c r="J28" i="1" s="1"/>
  <c r="M28" i="1" s="1"/>
  <c r="C28" i="1"/>
  <c r="H28" i="1" s="1"/>
  <c r="Z27" i="1"/>
  <c r="W27" i="1"/>
  <c r="O27" i="1"/>
  <c r="N27" i="1"/>
  <c r="G27" i="1"/>
  <c r="F27" i="1"/>
  <c r="J27" i="1" s="1"/>
  <c r="M27" i="1" s="1"/>
  <c r="C27" i="1"/>
  <c r="H27" i="1" s="1"/>
  <c r="Z26" i="1"/>
  <c r="W26" i="1"/>
  <c r="O26" i="1"/>
  <c r="N26" i="1"/>
  <c r="H26" i="1"/>
  <c r="G26" i="1"/>
  <c r="F26" i="1"/>
  <c r="J26" i="1" s="1"/>
  <c r="M26" i="1" s="1"/>
  <c r="C26" i="1"/>
  <c r="Z25" i="1"/>
  <c r="W25" i="1"/>
  <c r="O25" i="1"/>
  <c r="N25" i="1"/>
  <c r="J25" i="1"/>
  <c r="M25" i="1" s="1"/>
  <c r="G25" i="1"/>
  <c r="F25" i="1"/>
  <c r="C25" i="1"/>
  <c r="H25" i="1" s="1"/>
  <c r="Z24" i="1"/>
  <c r="W24" i="1"/>
  <c r="O24" i="1"/>
  <c r="N24" i="1"/>
  <c r="G24" i="1"/>
  <c r="F24" i="1"/>
  <c r="J24" i="1" s="1"/>
  <c r="M24" i="1" s="1"/>
  <c r="C24" i="1"/>
  <c r="H24" i="1" s="1"/>
  <c r="Z23" i="1"/>
  <c r="W23" i="1"/>
  <c r="O23" i="1"/>
  <c r="N23" i="1"/>
  <c r="G23" i="1"/>
  <c r="F23" i="1"/>
  <c r="J23" i="1" s="1"/>
  <c r="M23" i="1" s="1"/>
  <c r="C23" i="1"/>
  <c r="H23" i="1" s="1"/>
  <c r="Z22" i="1"/>
  <c r="W22" i="1"/>
  <c r="O22" i="1"/>
  <c r="N22" i="1"/>
  <c r="H22" i="1"/>
  <c r="G22" i="1"/>
  <c r="F22" i="1"/>
  <c r="J22" i="1" s="1"/>
  <c r="M22" i="1" s="1"/>
  <c r="C22" i="1"/>
  <c r="Z21" i="1"/>
  <c r="W21" i="1"/>
  <c r="O21" i="1"/>
  <c r="N21" i="1"/>
  <c r="J21" i="1"/>
  <c r="M21" i="1" s="1"/>
  <c r="G21" i="1"/>
  <c r="F21" i="1"/>
  <c r="C21" i="1"/>
  <c r="H21" i="1" s="1"/>
  <c r="Z20" i="1"/>
  <c r="W20" i="1"/>
  <c r="O20" i="1"/>
  <c r="N20" i="1"/>
  <c r="G20" i="1"/>
  <c r="F20" i="1"/>
  <c r="J20" i="1" s="1"/>
  <c r="M20" i="1" s="1"/>
  <c r="C20" i="1"/>
  <c r="H20" i="1" s="1"/>
  <c r="Z19" i="1"/>
  <c r="W19" i="1"/>
  <c r="O19" i="1"/>
  <c r="N19" i="1"/>
  <c r="G19" i="1"/>
  <c r="F19" i="1"/>
  <c r="J19" i="1" s="1"/>
  <c r="M19" i="1" s="1"/>
  <c r="C19" i="1"/>
  <c r="H19" i="1" s="1"/>
  <c r="Z18" i="1"/>
  <c r="W18" i="1"/>
  <c r="O18" i="1"/>
  <c r="N18" i="1"/>
  <c r="H18" i="1"/>
  <c r="G18" i="1"/>
  <c r="F18" i="1"/>
  <c r="J18" i="1" s="1"/>
  <c r="M18" i="1" s="1"/>
  <c r="C18" i="1"/>
  <c r="Z17" i="1"/>
  <c r="W17" i="1"/>
  <c r="O17" i="1"/>
  <c r="N17" i="1"/>
  <c r="J17" i="1"/>
  <c r="M17" i="1" s="1"/>
  <c r="G17" i="1"/>
  <c r="F17" i="1"/>
  <c r="C17" i="1"/>
  <c r="H17" i="1" s="1"/>
  <c r="Z16" i="1"/>
  <c r="W16" i="1"/>
  <c r="O16" i="1"/>
  <c r="N16" i="1"/>
  <c r="G16" i="1"/>
  <c r="F16" i="1"/>
  <c r="J16" i="1" s="1"/>
  <c r="M16" i="1" s="1"/>
  <c r="C16" i="1"/>
  <c r="H16" i="1" s="1"/>
  <c r="Z15" i="1"/>
  <c r="W15" i="1"/>
  <c r="O15" i="1"/>
  <c r="N15" i="1"/>
  <c r="G15" i="1"/>
  <c r="F15" i="1"/>
  <c r="J15" i="1" s="1"/>
  <c r="M15" i="1" s="1"/>
  <c r="C15" i="1"/>
  <c r="H15" i="1" s="1"/>
  <c r="Z14" i="1"/>
  <c r="W14" i="1"/>
  <c r="O14" i="1"/>
  <c r="N14" i="1"/>
  <c r="H14" i="1"/>
  <c r="G14" i="1"/>
  <c r="F14" i="1"/>
  <c r="J14" i="1" s="1"/>
  <c r="M14" i="1" s="1"/>
  <c r="C14" i="1"/>
  <c r="Z13" i="1"/>
  <c r="W13" i="1"/>
  <c r="O13" i="1"/>
  <c r="N13" i="1"/>
  <c r="J13" i="1"/>
  <c r="M13" i="1" s="1"/>
  <c r="G13" i="1"/>
  <c r="F13" i="1"/>
  <c r="C13" i="1"/>
  <c r="H13" i="1" s="1"/>
  <c r="Z12" i="1"/>
  <c r="W12" i="1"/>
  <c r="O12" i="1"/>
  <c r="N12" i="1"/>
  <c r="G12" i="1"/>
  <c r="F12" i="1"/>
  <c r="J12" i="1" s="1"/>
  <c r="M12" i="1" s="1"/>
  <c r="C12" i="1"/>
  <c r="H12" i="1" s="1"/>
  <c r="Z11" i="1"/>
  <c r="W11" i="1"/>
  <c r="O11" i="1"/>
  <c r="N11" i="1"/>
  <c r="G11" i="1"/>
  <c r="F11" i="1"/>
  <c r="J11" i="1" s="1"/>
  <c r="M11" i="1" s="1"/>
  <c r="C11" i="1"/>
  <c r="H11" i="1" s="1"/>
  <c r="Z10" i="1"/>
  <c r="W10" i="1"/>
  <c r="O10" i="1"/>
  <c r="N10" i="1"/>
  <c r="G10" i="1"/>
  <c r="F10" i="1"/>
  <c r="J10" i="1" s="1"/>
  <c r="M10" i="1" s="1"/>
  <c r="C10" i="1"/>
  <c r="H10" i="1" s="1"/>
  <c r="Z9" i="1"/>
  <c r="W9" i="1"/>
  <c r="O9" i="1"/>
  <c r="N9" i="1"/>
  <c r="G9" i="1"/>
  <c r="F9" i="1"/>
  <c r="J9" i="1" s="1"/>
  <c r="M9" i="1" s="1"/>
  <c r="C9" i="1"/>
  <c r="H9" i="1" s="1"/>
  <c r="Z8" i="1"/>
  <c r="W8" i="1"/>
  <c r="O8" i="1"/>
  <c r="N8" i="1"/>
  <c r="G8" i="1"/>
  <c r="F8" i="1"/>
  <c r="J8" i="1" s="1"/>
  <c r="M8" i="1" s="1"/>
  <c r="C8" i="1"/>
  <c r="H8" i="1" s="1"/>
  <c r="AC7" i="1"/>
  <c r="AC11" i="1" s="1"/>
  <c r="AC12" i="1" s="1"/>
  <c r="Z7" i="1"/>
  <c r="W7" i="1"/>
  <c r="O7" i="1"/>
  <c r="N7" i="1"/>
  <c r="H7" i="1"/>
  <c r="G7" i="1"/>
  <c r="F7" i="1"/>
  <c r="J7" i="1" s="1"/>
  <c r="M7" i="1" s="1"/>
  <c r="C7" i="1"/>
  <c r="Z6" i="1"/>
  <c r="W6" i="1"/>
  <c r="O6" i="1"/>
  <c r="N6" i="1"/>
  <c r="J6" i="1"/>
  <c r="M6" i="1" s="1"/>
  <c r="G6" i="1"/>
  <c r="F6" i="1"/>
  <c r="C6" i="1"/>
  <c r="H6" i="1" s="1"/>
  <c r="Z5" i="1"/>
  <c r="W5" i="1"/>
  <c r="O5" i="1"/>
  <c r="N5" i="1"/>
  <c r="H5" i="1"/>
  <c r="G5" i="1"/>
  <c r="F5" i="1"/>
  <c r="J5" i="1" s="1"/>
  <c r="M5" i="1" s="1"/>
  <c r="C5" i="1"/>
  <c r="Z4" i="1"/>
  <c r="W4" i="1"/>
  <c r="O4" i="1"/>
  <c r="N4" i="1"/>
  <c r="J4" i="1"/>
  <c r="M4" i="1" s="1"/>
  <c r="G4" i="1"/>
  <c r="F4" i="1"/>
  <c r="C4" i="1"/>
  <c r="H4" i="1" s="1"/>
  <c r="S2" i="1"/>
  <c r="N2" i="1"/>
  <c r="R225" i="1" l="1"/>
  <c r="K5" i="1"/>
  <c r="P5" i="1" s="1"/>
  <c r="K7" i="1"/>
  <c r="P7" i="1" s="1"/>
  <c r="K35" i="1"/>
  <c r="P35" i="1" s="1"/>
  <c r="K51" i="1"/>
  <c r="P51" i="1" s="1"/>
  <c r="K67" i="1"/>
  <c r="P67" i="1" s="1"/>
  <c r="K71" i="1"/>
  <c r="P71" i="1" s="1"/>
  <c r="K75" i="1"/>
  <c r="P75" i="1" s="1"/>
  <c r="K79" i="1"/>
  <c r="P79" i="1" s="1"/>
  <c r="K83" i="1"/>
  <c r="P83" i="1" s="1"/>
  <c r="K87" i="1"/>
  <c r="P87" i="1" s="1"/>
  <c r="K91" i="1"/>
  <c r="P91" i="1" s="1"/>
  <c r="K95" i="1"/>
  <c r="P95" i="1" s="1"/>
  <c r="K99" i="1"/>
  <c r="P99" i="1" s="1"/>
  <c r="K103" i="1"/>
  <c r="P103" i="1" s="1"/>
  <c r="K47" i="1"/>
  <c r="P47" i="1" s="1"/>
  <c r="K63" i="1"/>
  <c r="P63" i="1" s="1"/>
  <c r="K120" i="1"/>
  <c r="P120" i="1" s="1"/>
  <c r="K124" i="1"/>
  <c r="P124" i="1" s="1"/>
  <c r="K129" i="1"/>
  <c r="P129" i="1" s="1"/>
  <c r="K302" i="1"/>
  <c r="P302" i="1" s="1"/>
  <c r="K300" i="1"/>
  <c r="P300" i="1" s="1"/>
  <c r="K298" i="1"/>
  <c r="P298" i="1" s="1"/>
  <c r="K296" i="1"/>
  <c r="P296" i="1" s="1"/>
  <c r="K294" i="1"/>
  <c r="P294" i="1" s="1"/>
  <c r="K292" i="1"/>
  <c r="P292" i="1" s="1"/>
  <c r="K290" i="1"/>
  <c r="P290" i="1" s="1"/>
  <c r="K288" i="1"/>
  <c r="P288" i="1" s="1"/>
  <c r="K286" i="1"/>
  <c r="P286" i="1" s="1"/>
  <c r="K284" i="1"/>
  <c r="P284" i="1" s="1"/>
  <c r="I1" i="2"/>
  <c r="K303" i="1"/>
  <c r="P303" i="1" s="1"/>
  <c r="K301" i="1"/>
  <c r="P301" i="1" s="1"/>
  <c r="K299" i="1"/>
  <c r="P299" i="1" s="1"/>
  <c r="K297" i="1"/>
  <c r="P297" i="1" s="1"/>
  <c r="K295" i="1"/>
  <c r="P295" i="1" s="1"/>
  <c r="K293" i="1"/>
  <c r="P293" i="1" s="1"/>
  <c r="K291" i="1"/>
  <c r="P291" i="1" s="1"/>
  <c r="K289" i="1"/>
  <c r="P289" i="1" s="1"/>
  <c r="K287" i="1"/>
  <c r="P287" i="1" s="1"/>
  <c r="K285" i="1"/>
  <c r="P285" i="1" s="1"/>
  <c r="K283" i="1"/>
  <c r="P283" i="1" s="1"/>
  <c r="K281" i="1"/>
  <c r="P281" i="1" s="1"/>
  <c r="K279" i="1"/>
  <c r="P279" i="1" s="1"/>
  <c r="K278" i="1"/>
  <c r="P278" i="1" s="1"/>
  <c r="K277" i="1"/>
  <c r="P277" i="1" s="1"/>
  <c r="K276" i="1"/>
  <c r="P276" i="1" s="1"/>
  <c r="K275" i="1"/>
  <c r="P275" i="1" s="1"/>
  <c r="K274" i="1"/>
  <c r="P274" i="1" s="1"/>
  <c r="K273" i="1"/>
  <c r="P273" i="1" s="1"/>
  <c r="K272" i="1"/>
  <c r="P272" i="1" s="1"/>
  <c r="K271" i="1"/>
  <c r="P271" i="1" s="1"/>
  <c r="K270" i="1"/>
  <c r="P270" i="1" s="1"/>
  <c r="K267" i="1"/>
  <c r="P267" i="1" s="1"/>
  <c r="K266" i="1"/>
  <c r="P266" i="1" s="1"/>
  <c r="K263" i="1"/>
  <c r="P263" i="1" s="1"/>
  <c r="K262" i="1"/>
  <c r="P262" i="1" s="1"/>
  <c r="K280" i="1"/>
  <c r="P280" i="1" s="1"/>
  <c r="K268" i="1"/>
  <c r="P268" i="1" s="1"/>
  <c r="K264" i="1"/>
  <c r="P264" i="1" s="1"/>
  <c r="K260" i="1"/>
  <c r="P260" i="1" s="1"/>
  <c r="K258" i="1"/>
  <c r="P258" i="1" s="1"/>
  <c r="K256" i="1"/>
  <c r="P256" i="1" s="1"/>
  <c r="K254" i="1"/>
  <c r="P254" i="1" s="1"/>
  <c r="K252" i="1"/>
  <c r="P252" i="1" s="1"/>
  <c r="K250" i="1"/>
  <c r="P250" i="1" s="1"/>
  <c r="K248" i="1"/>
  <c r="P248" i="1" s="1"/>
  <c r="K246" i="1"/>
  <c r="P246" i="1" s="1"/>
  <c r="K244" i="1"/>
  <c r="P244" i="1" s="1"/>
  <c r="K242" i="1"/>
  <c r="P242" i="1" s="1"/>
  <c r="K240" i="1"/>
  <c r="P240" i="1" s="1"/>
  <c r="K238" i="1"/>
  <c r="P238" i="1" s="1"/>
  <c r="K236" i="1"/>
  <c r="P236" i="1" s="1"/>
  <c r="K234" i="1"/>
  <c r="P234" i="1" s="1"/>
  <c r="K282" i="1"/>
  <c r="P282" i="1" s="1"/>
  <c r="K232" i="1"/>
  <c r="P232" i="1" s="1"/>
  <c r="K226" i="1"/>
  <c r="P226" i="1" s="1"/>
  <c r="K224" i="1"/>
  <c r="P224" i="1" s="1"/>
  <c r="K216" i="1"/>
  <c r="P216" i="1" s="1"/>
  <c r="K210" i="1"/>
  <c r="P210" i="1" s="1"/>
  <c r="K208" i="1"/>
  <c r="P208" i="1" s="1"/>
  <c r="K206" i="1"/>
  <c r="P206" i="1" s="1"/>
  <c r="K204" i="1"/>
  <c r="P204" i="1" s="1"/>
  <c r="K202" i="1"/>
  <c r="P202" i="1" s="1"/>
  <c r="K200" i="1"/>
  <c r="P200" i="1" s="1"/>
  <c r="K198" i="1"/>
  <c r="P198" i="1" s="1"/>
  <c r="K196" i="1"/>
  <c r="P196" i="1" s="1"/>
  <c r="K194" i="1"/>
  <c r="P194" i="1" s="1"/>
  <c r="K192" i="1"/>
  <c r="P192" i="1" s="1"/>
  <c r="K190" i="1"/>
  <c r="P190" i="1" s="1"/>
  <c r="K188" i="1"/>
  <c r="P188" i="1" s="1"/>
  <c r="K186" i="1"/>
  <c r="P186" i="1" s="1"/>
  <c r="K184" i="1"/>
  <c r="P184" i="1" s="1"/>
  <c r="K182" i="1"/>
  <c r="P182" i="1" s="1"/>
  <c r="K180" i="1"/>
  <c r="P180" i="1" s="1"/>
  <c r="K228" i="1"/>
  <c r="P228" i="1" s="1"/>
  <c r="K222" i="1"/>
  <c r="P222" i="1" s="1"/>
  <c r="K214" i="1"/>
  <c r="P214" i="1" s="1"/>
  <c r="K230" i="1"/>
  <c r="P230" i="1" s="1"/>
  <c r="K137" i="1"/>
  <c r="P137" i="1" s="1"/>
  <c r="K115" i="1"/>
  <c r="P115" i="1" s="1"/>
  <c r="K8" i="1"/>
  <c r="P8" i="1" s="1"/>
  <c r="K135" i="1"/>
  <c r="P135" i="1" s="1"/>
  <c r="K119" i="1"/>
  <c r="P119" i="1" s="1"/>
  <c r="K64" i="1"/>
  <c r="P64" i="1" s="1"/>
  <c r="K60" i="1"/>
  <c r="P60" i="1" s="1"/>
  <c r="K56" i="1"/>
  <c r="P56" i="1" s="1"/>
  <c r="K52" i="1"/>
  <c r="P52" i="1" s="1"/>
  <c r="K48" i="1"/>
  <c r="P48" i="1" s="1"/>
  <c r="K44" i="1"/>
  <c r="P44" i="1" s="1"/>
  <c r="K40" i="1"/>
  <c r="P40" i="1" s="1"/>
  <c r="K36" i="1"/>
  <c r="P36" i="1" s="1"/>
  <c r="K32" i="1"/>
  <c r="P32" i="1" s="1"/>
  <c r="K31" i="1"/>
  <c r="P31" i="1" s="1"/>
  <c r="K30" i="1"/>
  <c r="P30" i="1" s="1"/>
  <c r="K29" i="1"/>
  <c r="P29" i="1" s="1"/>
  <c r="K28" i="1"/>
  <c r="P28" i="1" s="1"/>
  <c r="K27" i="1"/>
  <c r="P27" i="1" s="1"/>
  <c r="K26" i="1"/>
  <c r="P26" i="1" s="1"/>
  <c r="K25" i="1"/>
  <c r="P25" i="1" s="1"/>
  <c r="K24" i="1"/>
  <c r="P24" i="1" s="1"/>
  <c r="K23" i="1"/>
  <c r="P23" i="1" s="1"/>
  <c r="K22" i="1"/>
  <c r="P22" i="1" s="1"/>
  <c r="K21" i="1"/>
  <c r="P21" i="1" s="1"/>
  <c r="K20" i="1"/>
  <c r="P20" i="1" s="1"/>
  <c r="K19" i="1"/>
  <c r="P19" i="1" s="1"/>
  <c r="K18" i="1"/>
  <c r="P18" i="1" s="1"/>
  <c r="K17" i="1"/>
  <c r="P17" i="1" s="1"/>
  <c r="K16" i="1"/>
  <c r="P16" i="1" s="1"/>
  <c r="K15" i="1"/>
  <c r="P15" i="1" s="1"/>
  <c r="K14" i="1"/>
  <c r="P14" i="1" s="1"/>
  <c r="K13" i="1"/>
  <c r="P13" i="1" s="1"/>
  <c r="K11" i="1"/>
  <c r="P11" i="1" s="1"/>
  <c r="K10" i="1"/>
  <c r="P10" i="1" s="1"/>
  <c r="K133" i="1"/>
  <c r="P133" i="1" s="1"/>
  <c r="K128" i="1"/>
  <c r="P128" i="1" s="1"/>
  <c r="K123" i="1"/>
  <c r="P123" i="1" s="1"/>
  <c r="K121" i="1"/>
  <c r="P121" i="1" s="1"/>
  <c r="K112" i="1"/>
  <c r="P112" i="1" s="1"/>
  <c r="K107" i="1"/>
  <c r="P107" i="1" s="1"/>
  <c r="K105" i="1"/>
  <c r="P105" i="1" s="1"/>
  <c r="K101" i="1"/>
  <c r="P101" i="1" s="1"/>
  <c r="K97" i="1"/>
  <c r="P97" i="1" s="1"/>
  <c r="K93" i="1"/>
  <c r="P93" i="1" s="1"/>
  <c r="K89" i="1"/>
  <c r="P89" i="1" s="1"/>
  <c r="K85" i="1"/>
  <c r="P85" i="1" s="1"/>
  <c r="K81" i="1"/>
  <c r="P81" i="1" s="1"/>
  <c r="K77" i="1"/>
  <c r="P77" i="1" s="1"/>
  <c r="K73" i="1"/>
  <c r="P73" i="1" s="1"/>
  <c r="K69" i="1"/>
  <c r="P69" i="1" s="1"/>
  <c r="K65" i="1"/>
  <c r="P65" i="1" s="1"/>
  <c r="K61" i="1"/>
  <c r="P61" i="1" s="1"/>
  <c r="K57" i="1"/>
  <c r="P57" i="1" s="1"/>
  <c r="K53" i="1"/>
  <c r="P53" i="1" s="1"/>
  <c r="K49" i="1"/>
  <c r="P49" i="1" s="1"/>
  <c r="K45" i="1"/>
  <c r="P45" i="1" s="1"/>
  <c r="K41" i="1"/>
  <c r="P41" i="1" s="1"/>
  <c r="K37" i="1"/>
  <c r="P37" i="1" s="1"/>
  <c r="K33" i="1"/>
  <c r="P33" i="1" s="1"/>
  <c r="K12" i="1"/>
  <c r="P12" i="1" s="1"/>
  <c r="K9" i="1"/>
  <c r="P9" i="1" s="1"/>
  <c r="K139" i="1"/>
  <c r="P139" i="1" s="1"/>
  <c r="K131" i="1"/>
  <c r="P131" i="1" s="1"/>
  <c r="K127" i="1"/>
  <c r="P127" i="1" s="1"/>
  <c r="K125" i="1"/>
  <c r="P125" i="1" s="1"/>
  <c r="K116" i="1"/>
  <c r="P116" i="1" s="1"/>
  <c r="K111" i="1"/>
  <c r="P111" i="1" s="1"/>
  <c r="K109" i="1"/>
  <c r="P109" i="1" s="1"/>
  <c r="K102" i="1"/>
  <c r="P102" i="1" s="1"/>
  <c r="K98" i="1"/>
  <c r="P98" i="1" s="1"/>
  <c r="K94" i="1"/>
  <c r="P94" i="1" s="1"/>
  <c r="K90" i="1"/>
  <c r="P90" i="1" s="1"/>
  <c r="K86" i="1"/>
  <c r="P86" i="1" s="1"/>
  <c r="K82" i="1"/>
  <c r="P82" i="1" s="1"/>
  <c r="K78" i="1"/>
  <c r="P78" i="1" s="1"/>
  <c r="K74" i="1"/>
  <c r="P74" i="1" s="1"/>
  <c r="K70" i="1"/>
  <c r="P70" i="1" s="1"/>
  <c r="K66" i="1"/>
  <c r="P66" i="1" s="1"/>
  <c r="K62" i="1"/>
  <c r="P62" i="1" s="1"/>
  <c r="K58" i="1"/>
  <c r="P58" i="1" s="1"/>
  <c r="K54" i="1"/>
  <c r="P54" i="1" s="1"/>
  <c r="K50" i="1"/>
  <c r="P50" i="1" s="1"/>
  <c r="K46" i="1"/>
  <c r="P46" i="1" s="1"/>
  <c r="K42" i="1"/>
  <c r="P42" i="1" s="1"/>
  <c r="K38" i="1"/>
  <c r="P38" i="1" s="1"/>
  <c r="K34" i="1"/>
  <c r="P34" i="1" s="1"/>
  <c r="K4" i="1"/>
  <c r="P4" i="1" s="1"/>
  <c r="K6" i="1"/>
  <c r="P6" i="1" s="1"/>
  <c r="K43" i="1"/>
  <c r="P43" i="1" s="1"/>
  <c r="K59" i="1"/>
  <c r="P59" i="1" s="1"/>
  <c r="K39" i="1"/>
  <c r="P39" i="1" s="1"/>
  <c r="K55" i="1"/>
  <c r="P55" i="1" s="1"/>
  <c r="K68" i="1"/>
  <c r="P68" i="1" s="1"/>
  <c r="K72" i="1"/>
  <c r="P72" i="1" s="1"/>
  <c r="K76" i="1"/>
  <c r="P76" i="1" s="1"/>
  <c r="K80" i="1"/>
  <c r="P80" i="1" s="1"/>
  <c r="K84" i="1"/>
  <c r="P84" i="1" s="1"/>
  <c r="K88" i="1"/>
  <c r="P88" i="1" s="1"/>
  <c r="K92" i="1"/>
  <c r="P92" i="1" s="1"/>
  <c r="K96" i="1"/>
  <c r="P96" i="1" s="1"/>
  <c r="K100" i="1"/>
  <c r="P100" i="1" s="1"/>
  <c r="K104" i="1"/>
  <c r="P104" i="1" s="1"/>
  <c r="K108" i="1"/>
  <c r="P108" i="1" s="1"/>
  <c r="K113" i="1"/>
  <c r="P113" i="1" s="1"/>
  <c r="K117" i="1"/>
  <c r="P117" i="1" s="1"/>
  <c r="K110" i="1"/>
  <c r="P110" i="1" s="1"/>
  <c r="K126" i="1"/>
  <c r="P126" i="1" s="1"/>
  <c r="K134" i="1"/>
  <c r="P134" i="1" s="1"/>
  <c r="K143" i="1"/>
  <c r="P143" i="1" s="1"/>
  <c r="K146" i="1"/>
  <c r="P146" i="1" s="1"/>
  <c r="K151" i="1"/>
  <c r="P151" i="1" s="1"/>
  <c r="K154" i="1"/>
  <c r="P154" i="1" s="1"/>
  <c r="K159" i="1"/>
  <c r="P159" i="1" s="1"/>
  <c r="K162" i="1"/>
  <c r="P162" i="1" s="1"/>
  <c r="K167" i="1"/>
  <c r="P167" i="1" s="1"/>
  <c r="K170" i="1"/>
  <c r="P170" i="1" s="1"/>
  <c r="K175" i="1"/>
  <c r="P175" i="1" s="1"/>
  <c r="K178" i="1"/>
  <c r="P178" i="1" s="1"/>
  <c r="K106" i="1"/>
  <c r="P106" i="1" s="1"/>
  <c r="K122" i="1"/>
  <c r="P122" i="1" s="1"/>
  <c r="K136" i="1"/>
  <c r="P136" i="1" s="1"/>
  <c r="K142" i="1"/>
  <c r="P142" i="1" s="1"/>
  <c r="K145" i="1"/>
  <c r="P145" i="1" s="1"/>
  <c r="K148" i="1"/>
  <c r="P148" i="1" s="1"/>
  <c r="K153" i="1"/>
  <c r="P153" i="1" s="1"/>
  <c r="K156" i="1"/>
  <c r="P156" i="1" s="1"/>
  <c r="K161" i="1"/>
  <c r="P161" i="1" s="1"/>
  <c r="K164" i="1"/>
  <c r="P164" i="1" s="1"/>
  <c r="K169" i="1"/>
  <c r="P169" i="1" s="1"/>
  <c r="K172" i="1"/>
  <c r="P172" i="1" s="1"/>
  <c r="K177" i="1"/>
  <c r="P177" i="1" s="1"/>
  <c r="K183" i="1"/>
  <c r="P183" i="1" s="1"/>
  <c r="K187" i="1"/>
  <c r="P187" i="1" s="1"/>
  <c r="K191" i="1"/>
  <c r="P191" i="1" s="1"/>
  <c r="K195" i="1"/>
  <c r="P195" i="1" s="1"/>
  <c r="K199" i="1"/>
  <c r="P199" i="1" s="1"/>
  <c r="K203" i="1"/>
  <c r="P203" i="1" s="1"/>
  <c r="K207" i="1"/>
  <c r="P207" i="1" s="1"/>
  <c r="K211" i="1"/>
  <c r="P211" i="1" s="1"/>
  <c r="K212" i="1"/>
  <c r="P212" i="1" s="1"/>
  <c r="K218" i="1"/>
  <c r="P218" i="1" s="1"/>
  <c r="K118" i="1"/>
  <c r="P118" i="1" s="1"/>
  <c r="K130" i="1"/>
  <c r="P130" i="1" s="1"/>
  <c r="K138" i="1"/>
  <c r="P138" i="1" s="1"/>
  <c r="K141" i="1"/>
  <c r="P141" i="1" s="1"/>
  <c r="K147" i="1"/>
  <c r="P147" i="1" s="1"/>
  <c r="K150" i="1"/>
  <c r="P150" i="1" s="1"/>
  <c r="K155" i="1"/>
  <c r="P155" i="1" s="1"/>
  <c r="K158" i="1"/>
  <c r="P158" i="1" s="1"/>
  <c r="K163" i="1"/>
  <c r="P163" i="1" s="1"/>
  <c r="K166" i="1"/>
  <c r="P166" i="1" s="1"/>
  <c r="K171" i="1"/>
  <c r="P171" i="1" s="1"/>
  <c r="K174" i="1"/>
  <c r="P174" i="1" s="1"/>
  <c r="K179" i="1"/>
  <c r="P179" i="1" s="1"/>
  <c r="K114" i="1"/>
  <c r="P114" i="1" s="1"/>
  <c r="K132" i="1"/>
  <c r="P132" i="1" s="1"/>
  <c r="K140" i="1"/>
  <c r="P140" i="1" s="1"/>
  <c r="K144" i="1"/>
  <c r="P144" i="1" s="1"/>
  <c r="K149" i="1"/>
  <c r="P149" i="1" s="1"/>
  <c r="K152" i="1"/>
  <c r="P152" i="1" s="1"/>
  <c r="K157" i="1"/>
  <c r="P157" i="1" s="1"/>
  <c r="K160" i="1"/>
  <c r="P160" i="1" s="1"/>
  <c r="K165" i="1"/>
  <c r="P165" i="1" s="1"/>
  <c r="K168" i="1"/>
  <c r="P168" i="1" s="1"/>
  <c r="K173" i="1"/>
  <c r="P173" i="1" s="1"/>
  <c r="K176" i="1"/>
  <c r="P176" i="1" s="1"/>
  <c r="K181" i="1"/>
  <c r="P181" i="1" s="1"/>
  <c r="K185" i="1"/>
  <c r="P185" i="1" s="1"/>
  <c r="K189" i="1"/>
  <c r="P189" i="1" s="1"/>
  <c r="K193" i="1"/>
  <c r="P193" i="1" s="1"/>
  <c r="K197" i="1"/>
  <c r="P197" i="1" s="1"/>
  <c r="K201" i="1"/>
  <c r="P201" i="1" s="1"/>
  <c r="K205" i="1"/>
  <c r="P205" i="1" s="1"/>
  <c r="K209" i="1"/>
  <c r="P209" i="1" s="1"/>
  <c r="K220" i="1"/>
  <c r="P220" i="1" s="1"/>
  <c r="K215" i="1"/>
  <c r="P215" i="1" s="1"/>
  <c r="K223" i="1"/>
  <c r="P223" i="1" s="1"/>
  <c r="K227" i="1"/>
  <c r="P227" i="1" s="1"/>
  <c r="K233" i="1"/>
  <c r="P233" i="1" s="1"/>
  <c r="K241" i="1"/>
  <c r="P241" i="1" s="1"/>
  <c r="K217" i="1"/>
  <c r="P217" i="1" s="1"/>
  <c r="K225" i="1"/>
  <c r="P225" i="1" s="1"/>
  <c r="K235" i="1"/>
  <c r="P235" i="1" s="1"/>
  <c r="K243" i="1"/>
  <c r="P243" i="1" s="1"/>
  <c r="K219" i="1"/>
  <c r="P219" i="1" s="1"/>
  <c r="K231" i="1"/>
  <c r="P231" i="1" s="1"/>
  <c r="K237" i="1"/>
  <c r="P237" i="1" s="1"/>
  <c r="K245" i="1"/>
  <c r="P245" i="1" s="1"/>
  <c r="K247" i="1"/>
  <c r="P247" i="1" s="1"/>
  <c r="K249" i="1"/>
  <c r="P249" i="1" s="1"/>
  <c r="K251" i="1"/>
  <c r="P251" i="1" s="1"/>
  <c r="K253" i="1"/>
  <c r="P253" i="1" s="1"/>
  <c r="K255" i="1"/>
  <c r="P255" i="1" s="1"/>
  <c r="K257" i="1"/>
  <c r="P257" i="1" s="1"/>
  <c r="K259" i="1"/>
  <c r="P259" i="1" s="1"/>
  <c r="K261" i="1"/>
  <c r="P261" i="1" s="1"/>
  <c r="K265" i="1"/>
  <c r="P265" i="1" s="1"/>
  <c r="K269" i="1"/>
  <c r="P269" i="1" s="1"/>
  <c r="K213" i="1"/>
  <c r="P213" i="1" s="1"/>
  <c r="K221" i="1"/>
  <c r="P221" i="1" s="1"/>
  <c r="K229" i="1"/>
  <c r="P229" i="1" s="1"/>
  <c r="K239" i="1"/>
  <c r="P239" i="1" s="1"/>
  <c r="L6" i="2"/>
  <c r="L8" i="2"/>
  <c r="L11" i="2"/>
  <c r="L17" i="2"/>
  <c r="L22" i="2"/>
  <c r="L24" i="2"/>
  <c r="L27" i="2"/>
  <c r="L33" i="2"/>
  <c r="L38" i="2"/>
  <c r="L42" i="2"/>
  <c r="L45" i="2"/>
  <c r="L58" i="2"/>
  <c r="L2" i="2"/>
  <c r="L4" i="2"/>
  <c r="L7" i="2"/>
  <c r="L13" i="2"/>
  <c r="L18" i="2"/>
  <c r="L20" i="2"/>
  <c r="L23" i="2"/>
  <c r="L29" i="2"/>
  <c r="L34" i="2"/>
  <c r="L36" i="2"/>
  <c r="L54" i="2"/>
  <c r="L3" i="2"/>
  <c r="L9" i="2"/>
  <c r="L14" i="2"/>
  <c r="L16" i="2"/>
  <c r="L19" i="2"/>
  <c r="L25" i="2"/>
  <c r="L30" i="2"/>
  <c r="L32" i="2"/>
  <c r="L35" i="2"/>
  <c r="L46" i="2"/>
  <c r="L50" i="2"/>
  <c r="L5" i="2"/>
  <c r="L10" i="2"/>
  <c r="L12" i="2"/>
  <c r="L15" i="2"/>
  <c r="L21" i="2"/>
  <c r="L26" i="2"/>
  <c r="L28" i="2"/>
  <c r="L31" i="2"/>
  <c r="L37" i="2"/>
  <c r="L43" i="2"/>
  <c r="L62" i="2"/>
  <c r="L52" i="2"/>
  <c r="L56" i="2"/>
  <c r="L60" i="2"/>
  <c r="L64" i="2"/>
  <c r="L69" i="2"/>
  <c r="L71" i="2"/>
  <c r="L74" i="2"/>
  <c r="L80" i="2"/>
  <c r="L85" i="2"/>
  <c r="L87" i="2"/>
  <c r="L90" i="2"/>
  <c r="L96" i="2"/>
  <c r="L101" i="2"/>
  <c r="L103" i="2"/>
  <c r="L106" i="2"/>
  <c r="L112" i="2"/>
  <c r="L117" i="2"/>
  <c r="L123" i="2"/>
  <c r="L129" i="2"/>
  <c r="L41" i="2"/>
  <c r="L49" i="2"/>
  <c r="L53" i="2"/>
  <c r="L57" i="2"/>
  <c r="L61" i="2"/>
  <c r="L65" i="2"/>
  <c r="L67" i="2"/>
  <c r="L70" i="2"/>
  <c r="L76" i="2"/>
  <c r="L81" i="2"/>
  <c r="L83" i="2"/>
  <c r="L86" i="2"/>
  <c r="L92" i="2"/>
  <c r="L97" i="2"/>
  <c r="L99" i="2"/>
  <c r="L102" i="2"/>
  <c r="L108" i="2"/>
  <c r="L113" i="2"/>
  <c r="L115" i="2"/>
  <c r="L118" i="2"/>
  <c r="L120" i="2"/>
  <c r="L141" i="2"/>
  <c r="L39" i="2"/>
  <c r="L47" i="2"/>
  <c r="L51" i="2"/>
  <c r="L55" i="2"/>
  <c r="L59" i="2"/>
  <c r="L63" i="2"/>
  <c r="L66" i="2"/>
  <c r="L72" i="2"/>
  <c r="L77" i="2"/>
  <c r="L79" i="2"/>
  <c r="L82" i="2"/>
  <c r="L88" i="2"/>
  <c r="L93" i="2"/>
  <c r="L95" i="2"/>
  <c r="L98" i="2"/>
  <c r="L104" i="2"/>
  <c r="L109" i="2"/>
  <c r="L111" i="2"/>
  <c r="L114" i="2"/>
  <c r="L121" i="2"/>
  <c r="L125" i="2"/>
  <c r="L126" i="2"/>
  <c r="L137" i="2"/>
  <c r="L68" i="2"/>
  <c r="L73" i="2"/>
  <c r="L75" i="2"/>
  <c r="L78" i="2"/>
  <c r="L84" i="2"/>
  <c r="L89" i="2"/>
  <c r="L91" i="2"/>
  <c r="L94" i="2"/>
  <c r="L100" i="2"/>
  <c r="L105" i="2"/>
  <c r="L107" i="2"/>
  <c r="L110" i="2"/>
  <c r="L116" i="2"/>
  <c r="L122" i="2"/>
  <c r="L133" i="2"/>
  <c r="L124" i="2"/>
  <c r="L128" i="2"/>
  <c r="L136" i="2"/>
  <c r="L145" i="2"/>
  <c r="L147" i="2"/>
  <c r="L148" i="2"/>
  <c r="L161" i="2"/>
  <c r="L163" i="2"/>
  <c r="L164" i="2"/>
  <c r="L177" i="2"/>
  <c r="L179" i="2"/>
  <c r="L180" i="2"/>
  <c r="L193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K119" i="2"/>
  <c r="L119" i="2" s="1"/>
  <c r="K131" i="2"/>
  <c r="L131" i="2" s="1"/>
  <c r="K139" i="2"/>
  <c r="L139" i="2" s="1"/>
  <c r="L149" i="2"/>
  <c r="K151" i="2"/>
  <c r="L151" i="2" s="1"/>
  <c r="L152" i="2"/>
  <c r="L165" i="2"/>
  <c r="K167" i="2"/>
  <c r="L167" i="2" s="1"/>
  <c r="L168" i="2"/>
  <c r="L181" i="2"/>
  <c r="K183" i="2"/>
  <c r="L183" i="2" s="1"/>
  <c r="L184" i="2"/>
  <c r="L132" i="2"/>
  <c r="L140" i="2"/>
  <c r="L153" i="2"/>
  <c r="L155" i="2"/>
  <c r="L156" i="2"/>
  <c r="L169" i="2"/>
  <c r="L171" i="2"/>
  <c r="L172" i="2"/>
  <c r="L185" i="2"/>
  <c r="L187" i="2"/>
  <c r="L188" i="2"/>
  <c r="K127" i="2"/>
  <c r="L127" i="2" s="1"/>
  <c r="K135" i="2"/>
  <c r="L135" i="2" s="1"/>
  <c r="K143" i="2"/>
  <c r="L143" i="2" s="1"/>
  <c r="L144" i="2"/>
  <c r="L157" i="2"/>
  <c r="L159" i="2"/>
  <c r="L160" i="2"/>
  <c r="L173" i="2"/>
  <c r="L175" i="2"/>
  <c r="L176" i="2"/>
  <c r="L189" i="2"/>
  <c r="L191" i="2"/>
  <c r="L192" i="2"/>
  <c r="L223" i="2" l="1"/>
  <c r="L194" i="2"/>
  <c r="L178" i="2"/>
  <c r="L162" i="2"/>
  <c r="L146" i="2"/>
  <c r="L190" i="2"/>
  <c r="L174" i="2"/>
  <c r="L158" i="2"/>
  <c r="L142" i="2"/>
  <c r="L134" i="2"/>
  <c r="L186" i="2"/>
  <c r="L170" i="2"/>
  <c r="L154" i="2"/>
  <c r="L182" i="2"/>
  <c r="L166" i="2"/>
  <c r="L150" i="2"/>
  <c r="L138" i="2"/>
  <c r="L130" i="2"/>
  <c r="L44" i="2"/>
  <c r="L48" i="2"/>
  <c r="L40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<sst xmlns="http://schemas.openxmlformats.org/spreadsheetml/2006/main" count="40" uniqueCount="33">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</sst>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H2" zoomScale="85" zoomScaleNormal="85" workbookViewId="0">
      <selection activeCell="M2" sqref="M2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-0.33889000000000002</v>
      </c>
      <c r="AC3" t="s">
        <v>24</v>
      </c>
    </row>
    <row r="4" spans="1:29" x14ac:dyDescent="0.3">
      <c r="A4" s="1">
        <v>4.9330253999999997E-2</v>
      </c>
      <c r="B4" s="1">
        <v>0.92948723</v>
      </c>
      <c r="C4">
        <f t="shared" ref="C4:C67" si="0">A4*B4</f>
        <v>4.5851841145656415E-2</v>
      </c>
      <c r="D4">
        <v>1.66E-2</v>
      </c>
      <c r="E4">
        <v>2.7899999999999999E-3</v>
      </c>
      <c r="F4">
        <f t="shared" ref="F4:F67" si="1">A4*200</f>
        <v>9.8660508</v>
      </c>
      <c r="G4">
        <f t="shared" ref="G4:G67" si="2">-B4</f>
        <v>-0.92948723</v>
      </c>
      <c r="H4">
        <f t="shared" ref="H4:H67" si="3">-C4*200</f>
        <v>-9.1703682291312827</v>
      </c>
      <c r="I4">
        <v>1</v>
      </c>
      <c r="J4">
        <f t="shared" ref="J4:J67" si="4">LN(F4/1000)</f>
        <v>-4.6186556271872927</v>
      </c>
      <c r="K4">
        <f t="shared" ref="K4:K67" si="5">((-G4)-$N$2)</f>
        <v>-0.29223792177521746</v>
      </c>
      <c r="L4">
        <v>1</v>
      </c>
      <c r="M4">
        <f t="shared" ref="M4:M67" si="6">-1*($S$4+($S$5*J4))</f>
        <v>0.32393023952625127</v>
      </c>
      <c r="N4">
        <f t="shared" ref="N4:N67" si="7">D4*A4</f>
        <v>8.1888221639999997E-4</v>
      </c>
      <c r="O4">
        <f t="shared" ref="O4:O67" si="8">E4*A4</f>
        <v>1.3763140866E-4</v>
      </c>
      <c r="P4">
        <f t="shared" ref="P4:P67" si="9">-K4-M4-N4-O4</f>
        <v>-3.2648831376093819E-2</v>
      </c>
      <c r="R4" s="2" t="s">
        <v>25</v>
      </c>
      <c r="S4">
        <v>-0.77</v>
      </c>
      <c r="V4">
        <v>-6</v>
      </c>
      <c r="W4">
        <f t="shared" ref="W4:W35" si="10">V4*$S$5+$S$4</f>
        <v>-0.19052000000000002</v>
      </c>
      <c r="Y4">
        <v>0</v>
      </c>
      <c r="Z4">
        <f t="shared" ref="Z4:Z31" si="11">$AB$4*Y4+$AB$3</f>
        <v>-0.33889000000000002</v>
      </c>
      <c r="AB4">
        <v>8.4570399999999992</v>
      </c>
      <c r="AC4" t="s">
        <v>26</v>
      </c>
    </row>
    <row r="5" spans="1:29" x14ac:dyDescent="0.3">
      <c r="A5" s="1">
        <v>9.9739395000000008E-2</v>
      </c>
      <c r="B5" s="1">
        <v>0.83251452000000004</v>
      </c>
      <c r="C5">
        <f t="shared" si="0"/>
        <v>8.3034494553515414E-2</v>
      </c>
      <c r="D5">
        <v>1.66E-2</v>
      </c>
      <c r="E5">
        <v>2.7899999999999999E-3</v>
      </c>
      <c r="F5">
        <f t="shared" si="1"/>
        <v>19.947879</v>
      </c>
      <c r="G5">
        <f t="shared" si="2"/>
        <v>-0.83251452000000004</v>
      </c>
      <c r="H5">
        <f t="shared" si="3"/>
        <v>-16.606898910703084</v>
      </c>
      <c r="I5">
        <v>1</v>
      </c>
      <c r="J5">
        <f t="shared" si="4"/>
        <v>-3.9146324570876625</v>
      </c>
      <c r="K5">
        <f t="shared" si="5"/>
        <v>-0.38921063177521742</v>
      </c>
      <c r="L5">
        <v>1</v>
      </c>
      <c r="M5">
        <f t="shared" si="6"/>
        <v>0.3919247972944736</v>
      </c>
      <c r="N5">
        <f t="shared" si="7"/>
        <v>1.6556739570000002E-3</v>
      </c>
      <c r="O5">
        <f t="shared" si="8"/>
        <v>2.7827291205000001E-4</v>
      </c>
      <c r="P5">
        <f t="shared" si="9"/>
        <v>-4.6481123883061843E-3</v>
      </c>
      <c r="R5" s="2" t="s">
        <v>27</v>
      </c>
      <c r="S5">
        <v>-9.6579999999999999E-2</v>
      </c>
      <c r="V5">
        <v>-5.9</v>
      </c>
      <c r="W5">
        <f t="shared" si="10"/>
        <v>-0.20017799999999997</v>
      </c>
      <c r="Y5">
        <v>0.01</v>
      </c>
      <c r="Z5">
        <f t="shared" si="11"/>
        <v>-0.25431960000000003</v>
      </c>
    </row>
    <row r="6" spans="1:29" x14ac:dyDescent="0.3">
      <c r="A6" s="1">
        <v>0.15014854</v>
      </c>
      <c r="B6" s="1">
        <v>0.78606164000000001</v>
      </c>
      <c r="C6">
        <f t="shared" si="0"/>
        <v>0.11802600759600559</v>
      </c>
      <c r="D6">
        <v>1.66E-2</v>
      </c>
      <c r="E6">
        <v>2.7899999999999999E-3</v>
      </c>
      <c r="F6">
        <f t="shared" si="1"/>
        <v>30.029707999999999</v>
      </c>
      <c r="G6">
        <f t="shared" si="2"/>
        <v>-0.78606164000000001</v>
      </c>
      <c r="H6">
        <f t="shared" si="3"/>
        <v>-23.60520151920112</v>
      </c>
      <c r="I6">
        <v>1</v>
      </c>
      <c r="J6">
        <f t="shared" si="4"/>
        <v>-3.5055681206438964</v>
      </c>
      <c r="K6">
        <f t="shared" si="5"/>
        <v>-0.43566351177521745</v>
      </c>
      <c r="L6">
        <v>1</v>
      </c>
      <c r="M6">
        <f t="shared" si="6"/>
        <v>0.43143223090821248</v>
      </c>
      <c r="N6">
        <f t="shared" si="7"/>
        <v>2.4924657640000001E-3</v>
      </c>
      <c r="O6">
        <f t="shared" si="8"/>
        <v>4.189144266E-4</v>
      </c>
      <c r="P6">
        <f t="shared" si="9"/>
        <v>1.3199006764049717E-3</v>
      </c>
      <c r="V6">
        <v>-5.8</v>
      </c>
      <c r="W6">
        <f t="shared" si="10"/>
        <v>-0.20983600000000002</v>
      </c>
      <c r="Y6">
        <v>0.02</v>
      </c>
      <c r="Z6">
        <f t="shared" si="11"/>
        <v>-0.16974920000000004</v>
      </c>
      <c r="AB6" t="s">
        <v>28</v>
      </c>
    </row>
    <row r="7" spans="1:29" x14ac:dyDescent="0.3">
      <c r="A7" s="1">
        <v>0.20106685999999999</v>
      </c>
      <c r="B7" s="1">
        <v>0.76043897999999999</v>
      </c>
      <c r="C7">
        <f t="shared" si="0"/>
        <v>0.1528990779302028</v>
      </c>
      <c r="D7">
        <v>1.66E-2</v>
      </c>
      <c r="E7">
        <v>2.7899999999999999E-3</v>
      </c>
      <c r="F7">
        <f t="shared" si="1"/>
        <v>40.213372</v>
      </c>
      <c r="G7">
        <f t="shared" si="2"/>
        <v>-0.76043897999999999</v>
      </c>
      <c r="H7">
        <f t="shared" si="3"/>
        <v>-30.57981558604056</v>
      </c>
      <c r="I7">
        <v>1</v>
      </c>
      <c r="J7">
        <f t="shared" si="4"/>
        <v>-3.2135557018526018</v>
      </c>
      <c r="K7">
        <f t="shared" si="5"/>
        <v>-0.46128617177521747</v>
      </c>
      <c r="L7">
        <v>1</v>
      </c>
      <c r="M7">
        <f t="shared" si="6"/>
        <v>0.45963479031507576</v>
      </c>
      <c r="N7">
        <f t="shared" si="7"/>
        <v>3.3377098759999999E-3</v>
      </c>
      <c r="O7">
        <f t="shared" si="8"/>
        <v>5.6097653939999996E-4</v>
      </c>
      <c r="P7">
        <f t="shared" si="9"/>
        <v>-2.2473049552582899E-3</v>
      </c>
      <c r="V7">
        <v>-5.7</v>
      </c>
      <c r="W7">
        <f t="shared" si="10"/>
        <v>-0.21949399999999997</v>
      </c>
      <c r="Y7">
        <v>0.03</v>
      </c>
      <c r="Z7">
        <f t="shared" si="11"/>
        <v>-8.5178800000000054E-2</v>
      </c>
      <c r="AB7" t="s">
        <v>29</v>
      </c>
      <c r="AC7">
        <f>-AB3/AB4</f>
        <v>4.0071940064135919E-2</v>
      </c>
    </row>
    <row r="8" spans="1:29" x14ac:dyDescent="0.3">
      <c r="A8" s="1">
        <v>0.25198521000000002</v>
      </c>
      <c r="B8" s="1">
        <v>0.73968506000000001</v>
      </c>
      <c r="C8">
        <f t="shared" si="0"/>
        <v>0.18638969517796261</v>
      </c>
      <c r="D8">
        <v>1.66E-2</v>
      </c>
      <c r="E8">
        <v>2.7899999999999999E-3</v>
      </c>
      <c r="F8">
        <f t="shared" si="1"/>
        <v>50.397042000000006</v>
      </c>
      <c r="G8">
        <f t="shared" si="2"/>
        <v>-0.73968506000000001</v>
      </c>
      <c r="H8">
        <f t="shared" si="3"/>
        <v>-37.277939035592524</v>
      </c>
      <c r="I8">
        <v>1</v>
      </c>
      <c r="J8">
        <f t="shared" si="4"/>
        <v>-2.9878227961033579</v>
      </c>
      <c r="K8">
        <f t="shared" si="5"/>
        <v>-0.48204009177521745</v>
      </c>
      <c r="L8">
        <v>1</v>
      </c>
      <c r="M8">
        <f t="shared" si="6"/>
        <v>0.48143607435233771</v>
      </c>
      <c r="N8">
        <f t="shared" si="7"/>
        <v>4.1829544860000007E-3</v>
      </c>
      <c r="O8">
        <f t="shared" si="8"/>
        <v>7.0303873590000002E-4</v>
      </c>
      <c r="P8">
        <f t="shared" si="9"/>
        <v>-4.2819757990202574E-3</v>
      </c>
      <c r="V8">
        <v>-5.6</v>
      </c>
      <c r="W8">
        <f t="shared" si="10"/>
        <v>-0.22915200000000002</v>
      </c>
      <c r="Y8">
        <v>0.04</v>
      </c>
      <c r="Z8">
        <f t="shared" si="11"/>
        <v>-6.0840000000006444E-4</v>
      </c>
    </row>
    <row r="9" spans="1:29" x14ac:dyDescent="0.3">
      <c r="A9" s="1">
        <v>0.30341272000000002</v>
      </c>
      <c r="B9" s="1">
        <v>0.72227240000000004</v>
      </c>
      <c r="C9">
        <f t="shared" si="0"/>
        <v>0.21914663346492802</v>
      </c>
      <c r="D9">
        <v>1.66E-2</v>
      </c>
      <c r="E9">
        <v>2.7899999999999999E-3</v>
      </c>
      <c r="F9">
        <f t="shared" si="1"/>
        <v>60.682544000000007</v>
      </c>
      <c r="G9">
        <f t="shared" si="2"/>
        <v>-0.72227240000000004</v>
      </c>
      <c r="H9">
        <f t="shared" si="3"/>
        <v>-43.829326692985603</v>
      </c>
      <c r="I9">
        <v>1</v>
      </c>
      <c r="J9">
        <f t="shared" si="4"/>
        <v>-2.8020992005289465</v>
      </c>
      <c r="K9">
        <f t="shared" si="5"/>
        <v>-0.49945275177521742</v>
      </c>
      <c r="L9">
        <v>1</v>
      </c>
      <c r="M9">
        <f t="shared" si="6"/>
        <v>0.49937325921291437</v>
      </c>
      <c r="N9">
        <f t="shared" si="7"/>
        <v>5.0366511520000008E-3</v>
      </c>
      <c r="O9">
        <f t="shared" si="8"/>
        <v>8.4652148880000008E-4</v>
      </c>
      <c r="P9">
        <f t="shared" si="9"/>
        <v>-5.8036800784969488E-3</v>
      </c>
      <c r="V9">
        <v>-5.5</v>
      </c>
      <c r="W9">
        <f t="shared" si="10"/>
        <v>-0.23880999999999997</v>
      </c>
      <c r="Y9">
        <v>0.05</v>
      </c>
      <c r="Z9">
        <f t="shared" si="11"/>
        <v>8.3961999999999981E-2</v>
      </c>
      <c r="AB9" t="s">
        <v>30</v>
      </c>
      <c r="AC9">
        <v>3.8800000000000001E-2</v>
      </c>
    </row>
    <row r="10" spans="1:29" x14ac:dyDescent="0.3">
      <c r="A10" s="1">
        <v>0.35433101999999989</v>
      </c>
      <c r="B10" s="1">
        <v>0.70776176000000002</v>
      </c>
      <c r="C10">
        <f t="shared" si="0"/>
        <v>0.2507819463377951</v>
      </c>
      <c r="D10">
        <v>1.66E-2</v>
      </c>
      <c r="E10">
        <v>2.7899999999999999E-3</v>
      </c>
      <c r="F10">
        <f t="shared" si="1"/>
        <v>70.866203999999982</v>
      </c>
      <c r="G10">
        <f t="shared" si="2"/>
        <v>-0.70776176000000002</v>
      </c>
      <c r="H10">
        <f t="shared" si="3"/>
        <v>-50.156389267559021</v>
      </c>
      <c r="I10">
        <v>1</v>
      </c>
      <c r="J10">
        <f t="shared" si="4"/>
        <v>-2.6469616304560915</v>
      </c>
      <c r="K10">
        <f t="shared" si="5"/>
        <v>-0.51396339177521744</v>
      </c>
      <c r="L10">
        <v>1</v>
      </c>
      <c r="M10">
        <f t="shared" si="6"/>
        <v>0.51435644573055073</v>
      </c>
      <c r="N10">
        <f t="shared" si="7"/>
        <v>5.8818949319999984E-3</v>
      </c>
      <c r="O10">
        <f t="shared" si="8"/>
        <v>9.8858354579999972E-4</v>
      </c>
      <c r="P10">
        <f t="shared" si="9"/>
        <v>-7.2635324331332875E-3</v>
      </c>
      <c r="V10">
        <v>-5.4</v>
      </c>
      <c r="W10">
        <f t="shared" si="10"/>
        <v>-0.24846800000000002</v>
      </c>
      <c r="Y10">
        <v>0.06</v>
      </c>
      <c r="Z10">
        <f t="shared" si="11"/>
        <v>0.16853239999999992</v>
      </c>
    </row>
    <row r="11" spans="1:29" x14ac:dyDescent="0.3">
      <c r="A11" s="1">
        <v>0.40626772999999999</v>
      </c>
      <c r="B11" s="1">
        <v>0.69435859</v>
      </c>
      <c r="C11">
        <f t="shared" si="0"/>
        <v>0.28209548816530067</v>
      </c>
      <c r="D11">
        <v>1.66E-2</v>
      </c>
      <c r="E11">
        <v>2.7899999999999999E-3</v>
      </c>
      <c r="F11">
        <f t="shared" si="1"/>
        <v>81.253546</v>
      </c>
      <c r="G11">
        <f t="shared" si="2"/>
        <v>-0.69435859</v>
      </c>
      <c r="H11">
        <f t="shared" si="3"/>
        <v>-56.419097633060133</v>
      </c>
      <c r="I11">
        <v>1</v>
      </c>
      <c r="J11">
        <f t="shared" si="4"/>
        <v>-2.5101808156476983</v>
      </c>
      <c r="K11">
        <f t="shared" si="5"/>
        <v>-0.52736656177521746</v>
      </c>
      <c r="L11">
        <v>1</v>
      </c>
      <c r="M11">
        <f t="shared" si="6"/>
        <v>0.52756673682474531</v>
      </c>
      <c r="N11">
        <f t="shared" si="7"/>
        <v>6.7440443179999999E-3</v>
      </c>
      <c r="O11">
        <f t="shared" si="8"/>
        <v>1.1334869667E-3</v>
      </c>
      <c r="P11">
        <f t="shared" si="9"/>
        <v>-8.0777063342278507E-3</v>
      </c>
      <c r="V11">
        <v>-5.3</v>
      </c>
      <c r="W11">
        <f t="shared" si="10"/>
        <v>-0.25812600000000008</v>
      </c>
      <c r="Y11">
        <v>7.0000000000000007E-2</v>
      </c>
      <c r="Z11">
        <f t="shared" si="11"/>
        <v>0.25310279999999996</v>
      </c>
      <c r="AB11" t="s">
        <v>31</v>
      </c>
      <c r="AC11">
        <f>AC7-AC9</f>
        <v>1.271940064135918E-3</v>
      </c>
    </row>
    <row r="12" spans="1:29" x14ac:dyDescent="0.3">
      <c r="A12" s="1">
        <v>0.45718607</v>
      </c>
      <c r="B12" s="1">
        <v>0.68345659999999997</v>
      </c>
      <c r="C12">
        <f t="shared" si="0"/>
        <v>0.31246683696956201</v>
      </c>
      <c r="D12">
        <v>1.66E-2</v>
      </c>
      <c r="E12">
        <v>2.7899999999999999E-3</v>
      </c>
      <c r="F12">
        <f t="shared" si="1"/>
        <v>91.437213999999997</v>
      </c>
      <c r="G12">
        <f t="shared" si="2"/>
        <v>-0.68345659999999997</v>
      </c>
      <c r="H12">
        <f t="shared" si="3"/>
        <v>-62.493367393912401</v>
      </c>
      <c r="I12">
        <v>1</v>
      </c>
      <c r="J12">
        <f t="shared" si="4"/>
        <v>-2.3921027280262344</v>
      </c>
      <c r="K12">
        <f t="shared" si="5"/>
        <v>-0.53826855177521749</v>
      </c>
      <c r="L12">
        <v>1</v>
      </c>
      <c r="M12">
        <f t="shared" si="6"/>
        <v>0.53897071852722633</v>
      </c>
      <c r="N12">
        <f t="shared" si="7"/>
        <v>7.589288762E-3</v>
      </c>
      <c r="O12">
        <f t="shared" si="8"/>
        <v>1.2755491352999999E-3</v>
      </c>
      <c r="P12">
        <f t="shared" si="9"/>
        <v>-9.5670046493088485E-3</v>
      </c>
      <c r="V12">
        <v>-5.2</v>
      </c>
      <c r="W12">
        <f t="shared" si="10"/>
        <v>-0.26778400000000002</v>
      </c>
      <c r="Y12">
        <v>0.08</v>
      </c>
      <c r="Z12">
        <f t="shared" si="11"/>
        <v>0.3376731999999999</v>
      </c>
      <c r="AC12">
        <f>AC11*3</f>
        <v>3.8158201924077539E-3</v>
      </c>
    </row>
    <row r="13" spans="1:29" x14ac:dyDescent="0.3">
      <c r="A13" s="1">
        <v>0.50912277000000006</v>
      </c>
      <c r="B13" s="1">
        <v>0.67255454999999997</v>
      </c>
      <c r="C13">
        <f t="shared" si="0"/>
        <v>0.34241283547210355</v>
      </c>
      <c r="D13">
        <v>1.66E-2</v>
      </c>
      <c r="E13">
        <v>2.7899999999999999E-3</v>
      </c>
      <c r="F13">
        <f t="shared" si="1"/>
        <v>101.82455400000001</v>
      </c>
      <c r="G13">
        <f t="shared" si="2"/>
        <v>-0.67255454999999997</v>
      </c>
      <c r="H13">
        <f t="shared" si="3"/>
        <v>-68.482567094420716</v>
      </c>
      <c r="I13">
        <v>1</v>
      </c>
      <c r="J13">
        <f t="shared" si="4"/>
        <v>-2.2845040055210881</v>
      </c>
      <c r="K13">
        <f t="shared" si="5"/>
        <v>-0.54917060177521748</v>
      </c>
      <c r="L13">
        <v>1</v>
      </c>
      <c r="M13">
        <f t="shared" si="6"/>
        <v>0.54936260314677332</v>
      </c>
      <c r="N13">
        <f t="shared" si="7"/>
        <v>8.4514379820000013E-3</v>
      </c>
      <c r="O13">
        <f t="shared" si="8"/>
        <v>1.4204525283000001E-3</v>
      </c>
      <c r="P13">
        <f t="shared" si="9"/>
        <v>-1.006389188185584E-2</v>
      </c>
      <c r="V13">
        <v>-5.0999999999999996</v>
      </c>
      <c r="W13">
        <f t="shared" si="10"/>
        <v>-0.27744200000000008</v>
      </c>
      <c r="Y13">
        <v>0.09</v>
      </c>
      <c r="Z13">
        <f t="shared" si="11"/>
        <v>0.42224359999999983</v>
      </c>
    </row>
    <row r="14" spans="1:29" x14ac:dyDescent="0.3">
      <c r="A14" s="1">
        <v>0.55953191999999996</v>
      </c>
      <c r="B14" s="1">
        <v>0.66360003000000001</v>
      </c>
      <c r="C14">
        <f t="shared" si="0"/>
        <v>0.37130539889795755</v>
      </c>
      <c r="D14">
        <v>1.66E-2</v>
      </c>
      <c r="E14">
        <v>2.7899999999999999E-3</v>
      </c>
      <c r="F14">
        <f t="shared" si="1"/>
        <v>111.90638399999999</v>
      </c>
      <c r="G14">
        <f t="shared" si="2"/>
        <v>-0.66360003000000001</v>
      </c>
      <c r="H14">
        <f t="shared" si="3"/>
        <v>-74.261079779591512</v>
      </c>
      <c r="I14">
        <v>1</v>
      </c>
      <c r="J14">
        <f t="shared" si="4"/>
        <v>-2.1900926143532629</v>
      </c>
      <c r="K14">
        <f t="shared" si="5"/>
        <v>-0.55812512177521745</v>
      </c>
      <c r="L14">
        <v>1</v>
      </c>
      <c r="M14">
        <f t="shared" si="6"/>
        <v>0.55848085530576186</v>
      </c>
      <c r="N14">
        <f t="shared" si="7"/>
        <v>9.2882298720000003E-3</v>
      </c>
      <c r="O14">
        <f t="shared" si="8"/>
        <v>1.5610940567999999E-3</v>
      </c>
      <c r="P14">
        <f t="shared" si="9"/>
        <v>-1.1205057459344411E-2</v>
      </c>
      <c r="V14">
        <v>-5</v>
      </c>
      <c r="W14">
        <f t="shared" si="10"/>
        <v>-0.28710000000000002</v>
      </c>
      <c r="Y14">
        <v>0.1</v>
      </c>
      <c r="Z14">
        <f t="shared" si="11"/>
        <v>0.50681399999999999</v>
      </c>
    </row>
    <row r="15" spans="1:29" x14ac:dyDescent="0.3">
      <c r="A15" s="1">
        <v>0.60994104000000005</v>
      </c>
      <c r="B15" s="1">
        <v>0.65411085000000002</v>
      </c>
      <c r="C15">
        <f t="shared" si="0"/>
        <v>0.39896905212428402</v>
      </c>
      <c r="D15">
        <v>1.66E-2</v>
      </c>
      <c r="E15">
        <v>2.7899999999999999E-3</v>
      </c>
      <c r="F15">
        <f t="shared" si="1"/>
        <v>121.98820800000001</v>
      </c>
      <c r="G15">
        <f t="shared" si="2"/>
        <v>-0.65411085000000002</v>
      </c>
      <c r="H15">
        <f t="shared" si="3"/>
        <v>-79.793810424856801</v>
      </c>
      <c r="I15">
        <v>1</v>
      </c>
      <c r="J15">
        <f t="shared" si="4"/>
        <v>-2.103830894658052</v>
      </c>
      <c r="K15">
        <f t="shared" si="5"/>
        <v>-0.56761430177521743</v>
      </c>
      <c r="L15">
        <v>1</v>
      </c>
      <c r="M15">
        <f t="shared" si="6"/>
        <v>0.5668120121939253</v>
      </c>
      <c r="N15">
        <f t="shared" si="7"/>
        <v>1.0125021264E-2</v>
      </c>
      <c r="O15">
        <f t="shared" si="8"/>
        <v>1.7017355016E-3</v>
      </c>
      <c r="P15">
        <f t="shared" si="9"/>
        <v>-1.1024467184307864E-2</v>
      </c>
      <c r="V15">
        <v>-4.9000000000000004</v>
      </c>
      <c r="W15">
        <f t="shared" si="10"/>
        <v>-0.29675799999999997</v>
      </c>
      <c r="Y15">
        <v>0.11</v>
      </c>
      <c r="Z15">
        <f t="shared" si="11"/>
        <v>0.59138439999999992</v>
      </c>
    </row>
    <row r="16" spans="1:29" x14ac:dyDescent="0.3">
      <c r="A16" s="1">
        <v>0.66085938</v>
      </c>
      <c r="B16" s="1">
        <v>0.64681739000000005</v>
      </c>
      <c r="C16">
        <f t="shared" si="0"/>
        <v>0.42745533932861823</v>
      </c>
      <c r="D16">
        <v>1.66E-2</v>
      </c>
      <c r="E16">
        <v>2.7899999999999999E-3</v>
      </c>
      <c r="F16">
        <f t="shared" si="1"/>
        <v>132.171876</v>
      </c>
      <c r="G16">
        <f t="shared" si="2"/>
        <v>-0.64681739000000005</v>
      </c>
      <c r="H16">
        <f t="shared" si="3"/>
        <v>-85.49106786572365</v>
      </c>
      <c r="I16">
        <v>1</v>
      </c>
      <c r="J16">
        <f t="shared" si="4"/>
        <v>-2.0236521124718885</v>
      </c>
      <c r="K16">
        <f t="shared" si="5"/>
        <v>-0.57490776177521741</v>
      </c>
      <c r="L16">
        <v>1</v>
      </c>
      <c r="M16">
        <f t="shared" si="6"/>
        <v>0.57455567897746507</v>
      </c>
      <c r="N16">
        <f t="shared" si="7"/>
        <v>1.0970265708000001E-2</v>
      </c>
      <c r="O16">
        <f t="shared" si="8"/>
        <v>1.8437976702E-3</v>
      </c>
      <c r="P16">
        <f t="shared" si="9"/>
        <v>-1.246198058044766E-2</v>
      </c>
      <c r="V16">
        <v>-4.8</v>
      </c>
      <c r="W16">
        <f t="shared" si="10"/>
        <v>-0.30641600000000002</v>
      </c>
      <c r="Y16">
        <v>0.12</v>
      </c>
      <c r="Z16">
        <f t="shared" si="11"/>
        <v>0.67595479999999986</v>
      </c>
    </row>
    <row r="17" spans="1:26" x14ac:dyDescent="0.3">
      <c r="A17" s="1">
        <v>0.71432361</v>
      </c>
      <c r="B17" s="1">
        <v>0.63811105000000001</v>
      </c>
      <c r="C17">
        <f t="shared" si="0"/>
        <v>0.4558177888168905</v>
      </c>
      <c r="D17">
        <v>1.66E-2</v>
      </c>
      <c r="E17">
        <v>2.7899999999999999E-3</v>
      </c>
      <c r="F17">
        <f t="shared" si="1"/>
        <v>142.864722</v>
      </c>
      <c r="G17">
        <f t="shared" si="2"/>
        <v>-0.63811105000000001</v>
      </c>
      <c r="H17">
        <f t="shared" si="3"/>
        <v>-91.163557763378094</v>
      </c>
      <c r="I17">
        <v>1</v>
      </c>
      <c r="J17">
        <f t="shared" si="4"/>
        <v>-1.9458570964626269</v>
      </c>
      <c r="K17">
        <f t="shared" si="5"/>
        <v>-0.58361410177521744</v>
      </c>
      <c r="L17">
        <v>1</v>
      </c>
      <c r="M17">
        <f t="shared" si="6"/>
        <v>0.58206912162363955</v>
      </c>
      <c r="N17">
        <f t="shared" si="7"/>
        <v>1.1857771926E-2</v>
      </c>
      <c r="O17">
        <f t="shared" si="8"/>
        <v>1.9929628719000001E-3</v>
      </c>
      <c r="P17">
        <f t="shared" si="9"/>
        <v>-1.2305754646322109E-2</v>
      </c>
      <c r="V17">
        <v>-4.7</v>
      </c>
      <c r="W17">
        <f t="shared" si="10"/>
        <v>-0.31607400000000002</v>
      </c>
      <c r="Y17">
        <v>0.13</v>
      </c>
      <c r="Z17">
        <f t="shared" si="11"/>
        <v>0.7605251999999999</v>
      </c>
    </row>
    <row r="18" spans="1:26" x14ac:dyDescent="0.3">
      <c r="A18" s="1">
        <v>0.76473285000000013</v>
      </c>
      <c r="B18" s="1">
        <v>0.63098936999999999</v>
      </c>
      <c r="C18">
        <f t="shared" si="0"/>
        <v>0.48253829923980457</v>
      </c>
      <c r="D18">
        <v>1.66E-2</v>
      </c>
      <c r="E18">
        <v>2.7899999999999999E-3</v>
      </c>
      <c r="F18">
        <f t="shared" si="1"/>
        <v>152.94657000000004</v>
      </c>
      <c r="G18">
        <f t="shared" si="2"/>
        <v>-0.63098936999999999</v>
      </c>
      <c r="H18">
        <f t="shared" si="3"/>
        <v>-96.507659847960909</v>
      </c>
      <c r="I18">
        <v>1</v>
      </c>
      <c r="J18">
        <f t="shared" si="4"/>
        <v>-1.8776666342659731</v>
      </c>
      <c r="K18">
        <f t="shared" si="5"/>
        <v>-0.59073578177521746</v>
      </c>
      <c r="L18">
        <v>1</v>
      </c>
      <c r="M18">
        <f t="shared" si="6"/>
        <v>0.58865495646259236</v>
      </c>
      <c r="N18">
        <f t="shared" si="7"/>
        <v>1.2694565310000003E-2</v>
      </c>
      <c r="O18">
        <f t="shared" si="8"/>
        <v>2.1336046515000005E-3</v>
      </c>
      <c r="P18">
        <f t="shared" si="9"/>
        <v>-1.2747344648874902E-2</v>
      </c>
      <c r="V18">
        <v>-4.5999999999999996</v>
      </c>
      <c r="W18">
        <f t="shared" si="10"/>
        <v>-0.32573200000000008</v>
      </c>
      <c r="Y18">
        <v>0.14000000000000001</v>
      </c>
      <c r="Z18">
        <f t="shared" si="11"/>
        <v>0.84509559999999995</v>
      </c>
    </row>
    <row r="19" spans="1:26" x14ac:dyDescent="0.3">
      <c r="A19" s="1">
        <v>0.81768786999999998</v>
      </c>
      <c r="B19" s="1">
        <v>0.62386775000000005</v>
      </c>
      <c r="C19">
        <f t="shared" si="0"/>
        <v>0.51012909165919251</v>
      </c>
      <c r="D19">
        <v>1.66E-2</v>
      </c>
      <c r="E19">
        <v>2.7899999999999999E-3</v>
      </c>
      <c r="F19">
        <f t="shared" si="1"/>
        <v>163.53757400000001</v>
      </c>
      <c r="G19">
        <f t="shared" si="2"/>
        <v>-0.62386775000000005</v>
      </c>
      <c r="H19">
        <f t="shared" si="3"/>
        <v>-102.02581833183851</v>
      </c>
      <c r="I19">
        <v>1</v>
      </c>
      <c r="J19">
        <f t="shared" si="4"/>
        <v>-1.8107125046496397</v>
      </c>
      <c r="K19">
        <f t="shared" si="5"/>
        <v>-0.5978574017752174</v>
      </c>
      <c r="L19">
        <v>1</v>
      </c>
      <c r="M19">
        <f t="shared" si="6"/>
        <v>0.5951213863009378</v>
      </c>
      <c r="N19">
        <f t="shared" si="7"/>
        <v>1.3573618641999999E-2</v>
      </c>
      <c r="O19">
        <f t="shared" si="8"/>
        <v>2.2813491573000001E-3</v>
      </c>
      <c r="P19">
        <f t="shared" si="9"/>
        <v>-1.3118952325020403E-2</v>
      </c>
      <c r="V19">
        <v>-4.5000000000000098</v>
      </c>
      <c r="W19">
        <f t="shared" si="10"/>
        <v>-0.33538999999999908</v>
      </c>
      <c r="Y19">
        <v>0.15</v>
      </c>
      <c r="Z19">
        <f t="shared" si="11"/>
        <v>0.92966599999999977</v>
      </c>
    </row>
    <row r="20" spans="1:26" x14ac:dyDescent="0.3">
      <c r="A20" s="1">
        <v>0.86860614000000003</v>
      </c>
      <c r="B20" s="1">
        <v>0.61707067000000004</v>
      </c>
      <c r="C20">
        <f t="shared" si="0"/>
        <v>0.5359913727759138</v>
      </c>
      <c r="D20">
        <v>1.66E-2</v>
      </c>
      <c r="E20">
        <v>2.7899999999999999E-3</v>
      </c>
      <c r="F20">
        <f t="shared" si="1"/>
        <v>173.721228</v>
      </c>
      <c r="G20">
        <f t="shared" si="2"/>
        <v>-0.61707067000000004</v>
      </c>
      <c r="H20">
        <f t="shared" si="3"/>
        <v>-107.19827455518276</v>
      </c>
      <c r="I20">
        <v>1</v>
      </c>
      <c r="J20">
        <f t="shared" si="4"/>
        <v>-1.7503034024940805</v>
      </c>
      <c r="K20">
        <f t="shared" si="5"/>
        <v>-0.60465448177521741</v>
      </c>
      <c r="L20">
        <v>1</v>
      </c>
      <c r="M20">
        <f t="shared" si="6"/>
        <v>0.60095569738712173</v>
      </c>
      <c r="N20">
        <f t="shared" si="7"/>
        <v>1.4418861924000001E-2</v>
      </c>
      <c r="O20">
        <f t="shared" si="8"/>
        <v>2.4234111305999999E-3</v>
      </c>
      <c r="P20">
        <f t="shared" si="9"/>
        <v>-1.3143488666504324E-2</v>
      </c>
      <c r="V20">
        <v>-4.4000000000000101</v>
      </c>
      <c r="W20">
        <f t="shared" si="10"/>
        <v>-0.34504799999999902</v>
      </c>
      <c r="Y20">
        <v>0.16</v>
      </c>
      <c r="Z20">
        <f t="shared" si="11"/>
        <v>1.0142363999999997</v>
      </c>
    </row>
    <row r="21" spans="1:26" x14ac:dyDescent="0.3">
      <c r="A21" s="1">
        <v>0.92105199999999987</v>
      </c>
      <c r="B21" s="1">
        <v>0.61040729000000005</v>
      </c>
      <c r="C21">
        <f t="shared" si="0"/>
        <v>0.56221685526907994</v>
      </c>
      <c r="D21">
        <v>1.66E-2</v>
      </c>
      <c r="E21">
        <v>2.7899999999999999E-3</v>
      </c>
      <c r="F21">
        <f t="shared" si="1"/>
        <v>184.21039999999996</v>
      </c>
      <c r="G21">
        <f t="shared" si="2"/>
        <v>-0.61040729000000005</v>
      </c>
      <c r="H21">
        <f t="shared" si="3"/>
        <v>-112.44337105381599</v>
      </c>
      <c r="I21">
        <v>1</v>
      </c>
      <c r="J21">
        <f t="shared" si="4"/>
        <v>-1.6916766963855934</v>
      </c>
      <c r="K21">
        <f t="shared" si="5"/>
        <v>-0.61131786177521741</v>
      </c>
      <c r="L21">
        <v>1</v>
      </c>
      <c r="M21">
        <f t="shared" si="6"/>
        <v>0.60661786466307943</v>
      </c>
      <c r="N21">
        <f t="shared" si="7"/>
        <v>1.5289463199999999E-2</v>
      </c>
      <c r="O21">
        <f t="shared" si="8"/>
        <v>2.5697350799999998E-3</v>
      </c>
      <c r="P21">
        <f t="shared" si="9"/>
        <v>-1.3159201167862022E-2</v>
      </c>
      <c r="V21">
        <v>-4.3000000000000096</v>
      </c>
      <c r="W21">
        <f t="shared" si="10"/>
        <v>-0.35470599999999908</v>
      </c>
      <c r="Y21">
        <v>0.17</v>
      </c>
      <c r="Z21">
        <f t="shared" si="11"/>
        <v>1.0988067999999998</v>
      </c>
    </row>
    <row r="22" spans="1:26" x14ac:dyDescent="0.3">
      <c r="A22" s="1">
        <v>0.97197034000000004</v>
      </c>
      <c r="B22" s="1">
        <v>0.60408753000000004</v>
      </c>
      <c r="C22">
        <f t="shared" si="0"/>
        <v>0.5871551619238603</v>
      </c>
      <c r="D22">
        <v>1.66E-2</v>
      </c>
      <c r="E22">
        <v>2.7899999999999999E-3</v>
      </c>
      <c r="F22">
        <f t="shared" si="1"/>
        <v>194.394068</v>
      </c>
      <c r="G22">
        <f t="shared" si="2"/>
        <v>-0.60408753000000004</v>
      </c>
      <c r="H22">
        <f t="shared" si="3"/>
        <v>-117.43103238477207</v>
      </c>
      <c r="I22">
        <v>1</v>
      </c>
      <c r="J22">
        <f t="shared" si="4"/>
        <v>-1.6378679018246645</v>
      </c>
      <c r="K22">
        <f t="shared" si="5"/>
        <v>-0.61763762177521742</v>
      </c>
      <c r="L22">
        <v>1</v>
      </c>
      <c r="M22">
        <f t="shared" si="6"/>
        <v>0.6118147180417739</v>
      </c>
      <c r="N22">
        <f t="shared" si="7"/>
        <v>1.6134707644000001E-2</v>
      </c>
      <c r="O22">
        <f t="shared" si="8"/>
        <v>2.7117972486000001E-3</v>
      </c>
      <c r="P22">
        <f t="shared" si="9"/>
        <v>-1.3023601159156482E-2</v>
      </c>
      <c r="V22">
        <v>-4.2000000000000099</v>
      </c>
      <c r="W22">
        <f t="shared" si="10"/>
        <v>-0.36436399999999908</v>
      </c>
      <c r="Y22">
        <v>0.18</v>
      </c>
      <c r="Z22">
        <f t="shared" si="11"/>
        <v>1.1833771999999998</v>
      </c>
    </row>
    <row r="23" spans="1:26" x14ac:dyDescent="0.3">
      <c r="A23" s="1">
        <v>1.0244162999999999</v>
      </c>
      <c r="B23" s="1">
        <v>0.59803510000000004</v>
      </c>
      <c r="C23">
        <f t="shared" si="0"/>
        <v>0.61263690441213003</v>
      </c>
      <c r="D23">
        <v>1.66E-2</v>
      </c>
      <c r="E23">
        <v>2.7899999999999999E-3</v>
      </c>
      <c r="F23">
        <f t="shared" si="1"/>
        <v>204.88325999999998</v>
      </c>
      <c r="G23">
        <f t="shared" si="2"/>
        <v>-0.59803510000000004</v>
      </c>
      <c r="H23">
        <f t="shared" si="3"/>
        <v>-122.527380882426</v>
      </c>
      <c r="I23">
        <v>1</v>
      </c>
      <c r="J23">
        <f t="shared" si="4"/>
        <v>-1.5853149254642365</v>
      </c>
      <c r="K23">
        <f t="shared" si="5"/>
        <v>-0.62369005177521741</v>
      </c>
      <c r="L23">
        <v>1</v>
      </c>
      <c r="M23">
        <f t="shared" si="6"/>
        <v>0.61689028449866412</v>
      </c>
      <c r="N23">
        <f t="shared" si="7"/>
        <v>1.7005310579999999E-2</v>
      </c>
      <c r="O23">
        <f t="shared" si="8"/>
        <v>2.8581214769999998E-3</v>
      </c>
      <c r="P23">
        <f t="shared" si="9"/>
        <v>-1.3063664780446706E-2</v>
      </c>
      <c r="V23">
        <v>-4.1000000000000103</v>
      </c>
      <c r="W23">
        <f t="shared" si="10"/>
        <v>-0.37402199999999902</v>
      </c>
      <c r="Y23">
        <v>0.19</v>
      </c>
      <c r="Z23">
        <f t="shared" si="11"/>
        <v>1.2679475999999998</v>
      </c>
    </row>
    <row r="24" spans="1:26" x14ac:dyDescent="0.3">
      <c r="A24" s="1">
        <v>1.0763529000000001</v>
      </c>
      <c r="B24" s="1">
        <v>0.59196358999999998</v>
      </c>
      <c r="C24">
        <f t="shared" si="0"/>
        <v>0.63716172679091099</v>
      </c>
      <c r="D24">
        <v>1.66E-2</v>
      </c>
      <c r="E24">
        <v>2.7899999999999999E-3</v>
      </c>
      <c r="F24">
        <f t="shared" si="1"/>
        <v>215.27058000000002</v>
      </c>
      <c r="G24">
        <f t="shared" si="2"/>
        <v>-0.59196358999999998</v>
      </c>
      <c r="H24">
        <f t="shared" si="3"/>
        <v>-127.4323453581822</v>
      </c>
      <c r="I24">
        <v>1</v>
      </c>
      <c r="J24">
        <f t="shared" si="4"/>
        <v>-1.5358595304885208</v>
      </c>
      <c r="K24">
        <f t="shared" si="5"/>
        <v>-0.62976156177521747</v>
      </c>
      <c r="L24">
        <v>1</v>
      </c>
      <c r="M24">
        <f t="shared" si="6"/>
        <v>0.62166668654541868</v>
      </c>
      <c r="N24">
        <f t="shared" si="7"/>
        <v>1.786745814E-2</v>
      </c>
      <c r="O24">
        <f t="shared" si="8"/>
        <v>3.0030245910000002E-3</v>
      </c>
      <c r="P24">
        <f t="shared" si="9"/>
        <v>-1.2775607501201209E-2</v>
      </c>
      <c r="V24">
        <v>-4.0000000000000098</v>
      </c>
      <c r="W24">
        <f t="shared" si="10"/>
        <v>-0.38367999999999908</v>
      </c>
      <c r="Y24">
        <v>0.2</v>
      </c>
      <c r="Z24">
        <f t="shared" si="11"/>
        <v>1.3525179999999999</v>
      </c>
    </row>
    <row r="25" spans="1:26" x14ac:dyDescent="0.3">
      <c r="A25" s="1">
        <v>1.1277805000000001</v>
      </c>
      <c r="B25" s="1">
        <v>0.58650303000000004</v>
      </c>
      <c r="C25">
        <f t="shared" si="0"/>
        <v>0.66144668042491506</v>
      </c>
      <c r="D25">
        <v>1.66E-2</v>
      </c>
      <c r="E25">
        <v>2.7899999999999999E-3</v>
      </c>
      <c r="F25">
        <f t="shared" si="1"/>
        <v>225.55610000000001</v>
      </c>
      <c r="G25">
        <f t="shared" si="2"/>
        <v>-0.58650303000000004</v>
      </c>
      <c r="H25">
        <f t="shared" si="3"/>
        <v>-132.28933608498301</v>
      </c>
      <c r="I25">
        <v>1</v>
      </c>
      <c r="J25">
        <f t="shared" si="4"/>
        <v>-1.4891863704923332</v>
      </c>
      <c r="K25">
        <f t="shared" si="5"/>
        <v>-0.63522212177521742</v>
      </c>
      <c r="L25">
        <v>1</v>
      </c>
      <c r="M25">
        <f t="shared" si="6"/>
        <v>0.62617438033785044</v>
      </c>
      <c r="N25">
        <f t="shared" si="7"/>
        <v>1.87211563E-2</v>
      </c>
      <c r="O25">
        <f t="shared" si="8"/>
        <v>3.146507595E-3</v>
      </c>
      <c r="P25">
        <f t="shared" si="9"/>
        <v>-1.2819922457633026E-2</v>
      </c>
      <c r="V25">
        <v>-3.9000000000000101</v>
      </c>
      <c r="W25">
        <f t="shared" si="10"/>
        <v>-0.39333799999999902</v>
      </c>
      <c r="Y25">
        <v>0.21</v>
      </c>
      <c r="Z25">
        <f t="shared" si="11"/>
        <v>1.4370883999999999</v>
      </c>
    </row>
    <row r="26" spans="1:26" x14ac:dyDescent="0.3">
      <c r="A26" s="1">
        <v>1.1781896999999999</v>
      </c>
      <c r="B26" s="1">
        <v>0.58075606999999996</v>
      </c>
      <c r="C26">
        <f t="shared" si="0"/>
        <v>0.68424081988647889</v>
      </c>
      <c r="D26">
        <v>1.66E-2</v>
      </c>
      <c r="E26">
        <v>2.7899999999999999E-3</v>
      </c>
      <c r="F26">
        <f t="shared" si="1"/>
        <v>235.63793999999999</v>
      </c>
      <c r="G26">
        <f t="shared" si="2"/>
        <v>-0.58075606999999996</v>
      </c>
      <c r="H26">
        <f t="shared" si="3"/>
        <v>-136.84816397729577</v>
      </c>
      <c r="I26">
        <v>1</v>
      </c>
      <c r="J26">
        <f t="shared" si="4"/>
        <v>-1.4454588045159042</v>
      </c>
      <c r="K26">
        <f t="shared" si="5"/>
        <v>-0.6409690817752175</v>
      </c>
      <c r="L26">
        <v>1</v>
      </c>
      <c r="M26">
        <f t="shared" si="6"/>
        <v>0.63039758865985396</v>
      </c>
      <c r="N26">
        <f t="shared" si="7"/>
        <v>1.955794902E-2</v>
      </c>
      <c r="O26">
        <f t="shared" si="8"/>
        <v>3.2871492629999994E-3</v>
      </c>
      <c r="P26">
        <f t="shared" si="9"/>
        <v>-1.227360516763646E-2</v>
      </c>
      <c r="V26">
        <v>-3.80000000000001</v>
      </c>
      <c r="W26">
        <f t="shared" si="10"/>
        <v>-0.40299599999999908</v>
      </c>
      <c r="Y26">
        <v>0.22</v>
      </c>
      <c r="Z26">
        <f t="shared" si="11"/>
        <v>1.5216588</v>
      </c>
    </row>
    <row r="27" spans="1:26" x14ac:dyDescent="0.3">
      <c r="A27" s="1">
        <v>1.2296172000000001</v>
      </c>
      <c r="B27" s="1">
        <v>0.57554369999999999</v>
      </c>
      <c r="C27">
        <f t="shared" si="0"/>
        <v>0.70769843287164003</v>
      </c>
      <c r="D27">
        <v>1.66E-2</v>
      </c>
      <c r="E27">
        <v>2.7899999999999999E-3</v>
      </c>
      <c r="F27">
        <f t="shared" si="1"/>
        <v>245.92344000000003</v>
      </c>
      <c r="G27">
        <f t="shared" si="2"/>
        <v>-0.57554369999999999</v>
      </c>
      <c r="H27">
        <f t="shared" si="3"/>
        <v>-141.53968657432802</v>
      </c>
      <c r="I27">
        <v>1</v>
      </c>
      <c r="J27">
        <f t="shared" si="4"/>
        <v>-1.4027350110008121</v>
      </c>
      <c r="K27">
        <f t="shared" si="5"/>
        <v>-0.64618145177521746</v>
      </c>
      <c r="L27">
        <v>1</v>
      </c>
      <c r="M27">
        <f t="shared" si="6"/>
        <v>0.63452385263754163</v>
      </c>
      <c r="N27">
        <f t="shared" si="7"/>
        <v>2.041164552E-2</v>
      </c>
      <c r="O27">
        <f t="shared" si="8"/>
        <v>3.4306319880000003E-3</v>
      </c>
      <c r="P27">
        <f t="shared" si="9"/>
        <v>-1.2184678370324168E-2</v>
      </c>
      <c r="V27">
        <v>-3.7000000000000099</v>
      </c>
      <c r="W27">
        <f t="shared" si="10"/>
        <v>-0.41265399999999908</v>
      </c>
      <c r="Y27">
        <v>0.23</v>
      </c>
      <c r="Z27">
        <f t="shared" si="11"/>
        <v>1.6062292</v>
      </c>
    </row>
    <row r="28" spans="1:26" x14ac:dyDescent="0.3">
      <c r="A28" s="1">
        <v>1.2810446</v>
      </c>
      <c r="B28" s="1">
        <v>0.57017863000000002</v>
      </c>
      <c r="C28">
        <f t="shared" si="0"/>
        <v>0.730424254996898</v>
      </c>
      <c r="D28">
        <v>1.66E-2</v>
      </c>
      <c r="E28">
        <v>2.7899999999999999E-3</v>
      </c>
      <c r="F28">
        <f t="shared" si="1"/>
        <v>256.20891999999998</v>
      </c>
      <c r="G28">
        <f t="shared" si="2"/>
        <v>-0.57017863000000002</v>
      </c>
      <c r="H28">
        <f t="shared" si="3"/>
        <v>-146.0848509993796</v>
      </c>
      <c r="I28">
        <v>1</v>
      </c>
      <c r="J28">
        <f t="shared" si="4"/>
        <v>-1.3617620735760148</v>
      </c>
      <c r="K28">
        <f t="shared" si="5"/>
        <v>-0.65154652177521744</v>
      </c>
      <c r="L28">
        <v>1</v>
      </c>
      <c r="M28">
        <f t="shared" si="6"/>
        <v>0.63848101893402853</v>
      </c>
      <c r="N28">
        <f t="shared" si="7"/>
        <v>2.1265340359999999E-2</v>
      </c>
      <c r="O28">
        <f t="shared" si="8"/>
        <v>3.5741144339999998E-3</v>
      </c>
      <c r="P28">
        <f t="shared" si="9"/>
        <v>-1.1773951952811095E-2</v>
      </c>
      <c r="V28">
        <v>-3.6000000000000099</v>
      </c>
      <c r="W28">
        <f t="shared" si="10"/>
        <v>-0.42231199999999908</v>
      </c>
      <c r="Y28">
        <v>0.24</v>
      </c>
      <c r="Z28">
        <f t="shared" si="11"/>
        <v>1.6907995999999996</v>
      </c>
    </row>
    <row r="29" spans="1:26" x14ac:dyDescent="0.3">
      <c r="A29" s="1">
        <v>1.3329812999999999</v>
      </c>
      <c r="B29" s="1">
        <v>0.56519538000000002</v>
      </c>
      <c r="C29">
        <f t="shared" si="0"/>
        <v>0.75339487238639402</v>
      </c>
      <c r="D29">
        <v>1.66E-2</v>
      </c>
      <c r="E29">
        <v>2.7899999999999999E-3</v>
      </c>
      <c r="F29">
        <f t="shared" si="1"/>
        <v>266.59625999999997</v>
      </c>
      <c r="G29">
        <f t="shared" si="2"/>
        <v>-0.56519538000000002</v>
      </c>
      <c r="H29">
        <f t="shared" si="3"/>
        <v>-150.67897447727881</v>
      </c>
      <c r="I29">
        <v>1</v>
      </c>
      <c r="J29">
        <f t="shared" si="4"/>
        <v>-1.3220198998430561</v>
      </c>
      <c r="K29">
        <f t="shared" si="5"/>
        <v>-0.65652977177521743</v>
      </c>
      <c r="L29">
        <v>1</v>
      </c>
      <c r="M29">
        <f t="shared" si="6"/>
        <v>0.64231931807315767</v>
      </c>
      <c r="N29">
        <f t="shared" si="7"/>
        <v>2.212748958E-2</v>
      </c>
      <c r="O29">
        <f t="shared" si="8"/>
        <v>3.7190178269999995E-3</v>
      </c>
      <c r="P29">
        <f t="shared" si="9"/>
        <v>-1.1636053704940244E-2</v>
      </c>
      <c r="V29">
        <v>-3.5000000000000102</v>
      </c>
      <c r="W29">
        <f t="shared" si="10"/>
        <v>-0.43196999999999902</v>
      </c>
      <c r="Y29">
        <v>0.25</v>
      </c>
      <c r="Z29">
        <f t="shared" si="11"/>
        <v>1.7753699999999997</v>
      </c>
    </row>
    <row r="30" spans="1:26" x14ac:dyDescent="0.3">
      <c r="A30" s="1">
        <v>1.3833905</v>
      </c>
      <c r="B30" s="1">
        <v>0.56026942000000002</v>
      </c>
      <c r="C30">
        <f t="shared" si="0"/>
        <v>0.77507139306851003</v>
      </c>
      <c r="D30">
        <v>1.66E-2</v>
      </c>
      <c r="E30">
        <v>2.7899999999999999E-3</v>
      </c>
      <c r="F30">
        <f t="shared" si="1"/>
        <v>276.67809999999997</v>
      </c>
      <c r="G30">
        <f t="shared" si="2"/>
        <v>-0.56026942000000002</v>
      </c>
      <c r="H30">
        <f t="shared" si="3"/>
        <v>-155.014278613702</v>
      </c>
      <c r="I30">
        <v>1</v>
      </c>
      <c r="J30">
        <f t="shared" si="4"/>
        <v>-1.284900542412265</v>
      </c>
      <c r="K30">
        <f t="shared" si="5"/>
        <v>-0.66145573177521744</v>
      </c>
      <c r="L30">
        <v>1</v>
      </c>
      <c r="M30">
        <f t="shared" si="6"/>
        <v>0.6459043056138235</v>
      </c>
      <c r="N30">
        <f t="shared" si="7"/>
        <v>2.29642823E-2</v>
      </c>
      <c r="O30">
        <f t="shared" si="8"/>
        <v>3.8596594949999999E-3</v>
      </c>
      <c r="P30">
        <f t="shared" si="9"/>
        <v>-1.1272515633606067E-2</v>
      </c>
      <c r="V30">
        <v>-3.4000000000000101</v>
      </c>
      <c r="W30">
        <f t="shared" si="10"/>
        <v>-0.44162799999999902</v>
      </c>
      <c r="Y30">
        <v>0.26</v>
      </c>
      <c r="Z30">
        <f t="shared" si="11"/>
        <v>1.8599403999999997</v>
      </c>
    </row>
    <row r="31" spans="1:26" x14ac:dyDescent="0.3">
      <c r="A31" s="1">
        <v>1.4337997</v>
      </c>
      <c r="B31" s="1">
        <v>0.55511438999999996</v>
      </c>
      <c r="C31">
        <f t="shared" si="0"/>
        <v>0.79592284584768291</v>
      </c>
      <c r="D31">
        <v>1.66E-2</v>
      </c>
      <c r="E31">
        <v>2.7899999999999999E-3</v>
      </c>
      <c r="F31">
        <f t="shared" si="1"/>
        <v>286.75994000000003</v>
      </c>
      <c r="G31">
        <f t="shared" si="2"/>
        <v>-0.55511438999999996</v>
      </c>
      <c r="H31">
        <f t="shared" si="3"/>
        <v>-159.18456916953659</v>
      </c>
      <c r="I31">
        <v>1</v>
      </c>
      <c r="J31">
        <f t="shared" si="4"/>
        <v>-1.24910985923169</v>
      </c>
      <c r="K31">
        <f t="shared" si="5"/>
        <v>-0.6666107617752175</v>
      </c>
      <c r="L31">
        <v>1</v>
      </c>
      <c r="M31">
        <f t="shared" si="6"/>
        <v>0.64936096979540336</v>
      </c>
      <c r="N31">
        <f t="shared" si="7"/>
        <v>2.380107502E-2</v>
      </c>
      <c r="O31">
        <f t="shared" si="8"/>
        <v>4.0003011630000002E-3</v>
      </c>
      <c r="P31">
        <f t="shared" si="9"/>
        <v>-1.0551584203185867E-2</v>
      </c>
      <c r="V31">
        <v>-3.30000000000001</v>
      </c>
      <c r="W31">
        <f t="shared" si="10"/>
        <v>-0.45128599999999908</v>
      </c>
      <c r="Y31">
        <v>0.27</v>
      </c>
      <c r="Z31">
        <f t="shared" si="11"/>
        <v>1.9445107999999998</v>
      </c>
    </row>
    <row r="32" spans="1:26" x14ac:dyDescent="0.3">
      <c r="A32" s="1">
        <v>1.4842086999999999</v>
      </c>
      <c r="B32" s="1">
        <v>0.55047482000000003</v>
      </c>
      <c r="C32">
        <f t="shared" si="0"/>
        <v>0.81701951697493402</v>
      </c>
      <c r="D32">
        <v>1.66E-2</v>
      </c>
      <c r="E32">
        <v>2.7899999999999999E-3</v>
      </c>
      <c r="F32">
        <f t="shared" si="1"/>
        <v>296.84173999999996</v>
      </c>
      <c r="G32">
        <f t="shared" si="2"/>
        <v>-0.55047482000000003</v>
      </c>
      <c r="H32">
        <f t="shared" si="3"/>
        <v>-163.4039033949868</v>
      </c>
      <c r="I32">
        <v>1</v>
      </c>
      <c r="J32">
        <f t="shared" si="4"/>
        <v>-1.2145561441536841</v>
      </c>
      <c r="K32">
        <f t="shared" si="5"/>
        <v>-0.67125033177521742</v>
      </c>
      <c r="L32">
        <v>1</v>
      </c>
      <c r="M32">
        <f t="shared" si="6"/>
        <v>0.65269816759763721</v>
      </c>
      <c r="N32">
        <f t="shared" si="7"/>
        <v>2.4637864419999999E-2</v>
      </c>
      <c r="O32">
        <f t="shared" si="8"/>
        <v>4.1409422730000001E-3</v>
      </c>
      <c r="P32">
        <f t="shared" si="9"/>
        <v>-1.0226642515419788E-2</v>
      </c>
      <c r="V32">
        <v>-3.2000000000000099</v>
      </c>
      <c r="W32">
        <f t="shared" si="10"/>
        <v>-0.46094399999999908</v>
      </c>
    </row>
    <row r="33" spans="1:23" x14ac:dyDescent="0.3">
      <c r="A33" s="1">
        <v>1.5381822999999999</v>
      </c>
      <c r="B33" s="1">
        <v>0.54545337000000005</v>
      </c>
      <c r="C33">
        <f t="shared" si="0"/>
        <v>0.83900671920935099</v>
      </c>
      <c r="D33">
        <v>1.66E-2</v>
      </c>
      <c r="E33">
        <v>2.7899999999999999E-3</v>
      </c>
      <c r="F33">
        <f t="shared" si="1"/>
        <v>307.63646</v>
      </c>
      <c r="G33">
        <f t="shared" si="2"/>
        <v>-0.54545337000000005</v>
      </c>
      <c r="H33">
        <f t="shared" si="3"/>
        <v>-167.80134384187019</v>
      </c>
      <c r="I33">
        <v>1</v>
      </c>
      <c r="J33">
        <f t="shared" si="4"/>
        <v>-1.1788365178156721</v>
      </c>
      <c r="K33">
        <f t="shared" si="5"/>
        <v>-0.67627178177521741</v>
      </c>
      <c r="L33">
        <v>1</v>
      </c>
      <c r="M33">
        <f t="shared" si="6"/>
        <v>0.65614796910936235</v>
      </c>
      <c r="N33">
        <f t="shared" si="7"/>
        <v>2.553382618E-2</v>
      </c>
      <c r="O33">
        <f t="shared" si="8"/>
        <v>4.2915286169999999E-3</v>
      </c>
      <c r="P33">
        <f t="shared" si="9"/>
        <v>-9.7015421311449426E-3</v>
      </c>
      <c r="V33">
        <v>-3.1000000000000099</v>
      </c>
      <c r="W33">
        <f t="shared" si="10"/>
        <v>-0.47060199999999908</v>
      </c>
    </row>
    <row r="34" spans="1:23" x14ac:dyDescent="0.3">
      <c r="A34" s="1">
        <v>1.5891006000000001</v>
      </c>
      <c r="B34" s="1">
        <v>0.54050832999999998</v>
      </c>
      <c r="C34">
        <f t="shared" si="0"/>
        <v>0.85892211150799802</v>
      </c>
      <c r="D34">
        <v>1.66E-2</v>
      </c>
      <c r="E34">
        <v>2.7899999999999999E-3</v>
      </c>
      <c r="F34">
        <f t="shared" si="1"/>
        <v>317.82012000000003</v>
      </c>
      <c r="G34">
        <f t="shared" si="2"/>
        <v>-0.54050832999999998</v>
      </c>
      <c r="H34">
        <f t="shared" si="3"/>
        <v>-171.78442230159959</v>
      </c>
      <c r="I34">
        <v>1</v>
      </c>
      <c r="J34">
        <f t="shared" si="4"/>
        <v>-1.1462697166255071</v>
      </c>
      <c r="K34">
        <f t="shared" si="5"/>
        <v>-0.68121682177521747</v>
      </c>
      <c r="L34">
        <v>1</v>
      </c>
      <c r="M34">
        <f t="shared" si="6"/>
        <v>0.65929327076830857</v>
      </c>
      <c r="N34">
        <f t="shared" si="7"/>
        <v>2.6379069960000001E-2</v>
      </c>
      <c r="O34">
        <f t="shared" si="8"/>
        <v>4.4335906740000002E-3</v>
      </c>
      <c r="P34">
        <f t="shared" si="9"/>
        <v>-8.889109627091097E-3</v>
      </c>
      <c r="V34">
        <v>-3.0000000000000102</v>
      </c>
      <c r="W34">
        <f t="shared" si="10"/>
        <v>-0.48025999999999902</v>
      </c>
    </row>
    <row r="35" spans="1:23" x14ac:dyDescent="0.3">
      <c r="A35" s="1">
        <v>1.6415462999999999</v>
      </c>
      <c r="B35" s="1">
        <v>0.53607875000000005</v>
      </c>
      <c r="C35">
        <f t="shared" si="0"/>
        <v>0.87999808857112505</v>
      </c>
      <c r="D35">
        <v>1.66E-2</v>
      </c>
      <c r="E35">
        <v>2.7899999999999999E-3</v>
      </c>
      <c r="F35">
        <f t="shared" si="1"/>
        <v>328.30925999999999</v>
      </c>
      <c r="G35">
        <f t="shared" si="2"/>
        <v>-0.53607875000000005</v>
      </c>
      <c r="H35">
        <f t="shared" si="3"/>
        <v>-175.999617714225</v>
      </c>
      <c r="I35">
        <v>1</v>
      </c>
      <c r="J35">
        <f t="shared" si="4"/>
        <v>-1.1137992489631399</v>
      </c>
      <c r="K35">
        <f t="shared" si="5"/>
        <v>-0.68564640177521741</v>
      </c>
      <c r="L35">
        <v>1</v>
      </c>
      <c r="M35">
        <f t="shared" si="6"/>
        <v>0.66242926853513995</v>
      </c>
      <c r="N35">
        <f t="shared" si="7"/>
        <v>2.7249668579999997E-2</v>
      </c>
      <c r="O35">
        <f t="shared" si="8"/>
        <v>4.5799141769999998E-3</v>
      </c>
      <c r="P35">
        <f t="shared" si="9"/>
        <v>-8.6124495169225372E-3</v>
      </c>
      <c r="V35">
        <v>-2.9000000000000101</v>
      </c>
      <c r="W35">
        <f t="shared" si="10"/>
        <v>-0.48991799999999902</v>
      </c>
    </row>
    <row r="36" spans="1:23" x14ac:dyDescent="0.3">
      <c r="A36" s="1">
        <v>1.6945015999999999</v>
      </c>
      <c r="B36" s="1">
        <v>0.53140103999999999</v>
      </c>
      <c r="C36">
        <f t="shared" si="0"/>
        <v>0.90045991252166391</v>
      </c>
      <c r="D36">
        <v>1.66E-2</v>
      </c>
      <c r="E36">
        <v>2.7899999999999999E-3</v>
      </c>
      <c r="F36">
        <f t="shared" si="1"/>
        <v>338.90031999999997</v>
      </c>
      <c r="G36">
        <f t="shared" si="2"/>
        <v>-0.53140103999999999</v>
      </c>
      <c r="H36">
        <f t="shared" si="3"/>
        <v>-180.09198250433278</v>
      </c>
      <c r="I36">
        <v>1</v>
      </c>
      <c r="J36">
        <f t="shared" si="4"/>
        <v>-1.0820492561382407</v>
      </c>
      <c r="K36">
        <f t="shared" si="5"/>
        <v>-0.69032411177521746</v>
      </c>
      <c r="L36">
        <v>1</v>
      </c>
      <c r="M36">
        <f t="shared" si="6"/>
        <v>0.66549568284216876</v>
      </c>
      <c r="N36">
        <f t="shared" si="7"/>
        <v>2.8128726560000001E-2</v>
      </c>
      <c r="O36">
        <f t="shared" si="8"/>
        <v>4.7276594639999994E-3</v>
      </c>
      <c r="P36">
        <f t="shared" si="9"/>
        <v>-8.0279570909512939E-3</v>
      </c>
      <c r="V36">
        <v>-2.80000000000001</v>
      </c>
      <c r="W36">
        <f t="shared" ref="W36:W67" si="12">V36*$S$5+$S$4</f>
        <v>-0.49957599999999908</v>
      </c>
    </row>
    <row r="37" spans="1:23" x14ac:dyDescent="0.3">
      <c r="A37" s="1">
        <v>1.7484747</v>
      </c>
      <c r="B37" s="1">
        <v>0.52618867000000002</v>
      </c>
      <c r="C37">
        <f t="shared" si="0"/>
        <v>0.92002757692164905</v>
      </c>
      <c r="D37">
        <v>1.66E-2</v>
      </c>
      <c r="E37">
        <v>2.7899999999999999E-3</v>
      </c>
      <c r="F37">
        <f t="shared" si="1"/>
        <v>349.69494000000003</v>
      </c>
      <c r="G37">
        <f t="shared" si="2"/>
        <v>-0.52618867000000002</v>
      </c>
      <c r="H37">
        <f t="shared" si="3"/>
        <v>-184.00551538432981</v>
      </c>
      <c r="I37">
        <v>1</v>
      </c>
      <c r="J37">
        <f t="shared" si="4"/>
        <v>-1.0506941045628162</v>
      </c>
      <c r="K37">
        <f t="shared" si="5"/>
        <v>-0.69553648177521743</v>
      </c>
      <c r="L37">
        <v>1</v>
      </c>
      <c r="M37">
        <f t="shared" si="6"/>
        <v>0.66852396338132325</v>
      </c>
      <c r="N37">
        <f t="shared" si="7"/>
        <v>2.9024680020000002E-2</v>
      </c>
      <c r="O37">
        <f t="shared" si="8"/>
        <v>4.878244413E-3</v>
      </c>
      <c r="P37">
        <f t="shared" si="9"/>
        <v>-6.8904060391058218E-3</v>
      </c>
      <c r="V37">
        <v>-2.7000000000000099</v>
      </c>
      <c r="W37">
        <f t="shared" si="12"/>
        <v>-0.50923399999999908</v>
      </c>
    </row>
    <row r="38" spans="1:23" x14ac:dyDescent="0.3">
      <c r="A38" s="1">
        <v>1.8034665999999999</v>
      </c>
      <c r="B38" s="1">
        <v>0.52139634000000001</v>
      </c>
      <c r="C38">
        <f t="shared" si="0"/>
        <v>0.94032088455224394</v>
      </c>
      <c r="D38">
        <v>1.66E-2</v>
      </c>
      <c r="E38">
        <v>2.7899999999999999E-3</v>
      </c>
      <c r="F38">
        <f t="shared" si="1"/>
        <v>360.69331999999997</v>
      </c>
      <c r="G38">
        <f t="shared" si="2"/>
        <v>-0.52139634000000001</v>
      </c>
      <c r="H38">
        <f t="shared" si="3"/>
        <v>-188.06417691044879</v>
      </c>
      <c r="I38">
        <v>1</v>
      </c>
      <c r="J38">
        <f t="shared" si="4"/>
        <v>-1.0197272107894613</v>
      </c>
      <c r="K38">
        <f t="shared" si="5"/>
        <v>-0.70032881177521744</v>
      </c>
      <c r="L38">
        <v>1</v>
      </c>
      <c r="M38">
        <f t="shared" si="6"/>
        <v>0.67151474598195382</v>
      </c>
      <c r="N38">
        <f t="shared" si="7"/>
        <v>2.9937545560000001E-2</v>
      </c>
      <c r="O38">
        <f t="shared" si="8"/>
        <v>5.0316718139999999E-3</v>
      </c>
      <c r="P38">
        <f t="shared" si="9"/>
        <v>-6.1551515807363793E-3</v>
      </c>
      <c r="V38">
        <v>-2.6000000000000099</v>
      </c>
      <c r="W38">
        <f t="shared" si="12"/>
        <v>-0.51889199999999902</v>
      </c>
    </row>
    <row r="39" spans="1:23" x14ac:dyDescent="0.3">
      <c r="A39" s="1">
        <v>1.854385</v>
      </c>
      <c r="B39" s="1">
        <v>0.51687132999999996</v>
      </c>
      <c r="C39">
        <f t="shared" si="0"/>
        <v>0.95847844128204995</v>
      </c>
      <c r="D39">
        <v>1.66E-2</v>
      </c>
      <c r="E39">
        <v>2.7899999999999999E-3</v>
      </c>
      <c r="F39">
        <f t="shared" si="1"/>
        <v>370.87700000000001</v>
      </c>
      <c r="G39">
        <f t="shared" si="2"/>
        <v>-0.51687132999999996</v>
      </c>
      <c r="H39">
        <f t="shared" si="3"/>
        <v>-191.69568825640999</v>
      </c>
      <c r="I39">
        <v>1</v>
      </c>
      <c r="J39">
        <f t="shared" si="4"/>
        <v>-0.99188480773318044</v>
      </c>
      <c r="K39">
        <f t="shared" si="5"/>
        <v>-0.70485382177521749</v>
      </c>
      <c r="L39">
        <v>1</v>
      </c>
      <c r="M39">
        <f t="shared" si="6"/>
        <v>0.67420376526912951</v>
      </c>
      <c r="N39">
        <f t="shared" si="7"/>
        <v>3.0782791E-2</v>
      </c>
      <c r="O39">
        <f t="shared" si="8"/>
        <v>5.1737341499999995E-3</v>
      </c>
      <c r="P39">
        <f t="shared" si="9"/>
        <v>-5.3064686439120139E-3</v>
      </c>
      <c r="V39">
        <v>-2.5000000000000102</v>
      </c>
      <c r="W39">
        <f t="shared" si="12"/>
        <v>-0.52854999999999897</v>
      </c>
    </row>
    <row r="40" spans="1:23" x14ac:dyDescent="0.3">
      <c r="A40" s="1">
        <v>1.9053032999999999</v>
      </c>
      <c r="B40" s="1">
        <v>0.51219362000000002</v>
      </c>
      <c r="C40">
        <f t="shared" si="0"/>
        <v>0.97588419442494601</v>
      </c>
      <c r="D40">
        <v>1.66E-2</v>
      </c>
      <c r="E40">
        <v>2.7899999999999999E-3</v>
      </c>
      <c r="F40">
        <f t="shared" si="1"/>
        <v>381.06065999999998</v>
      </c>
      <c r="G40">
        <f t="shared" si="2"/>
        <v>-0.51219362000000002</v>
      </c>
      <c r="H40">
        <f t="shared" si="3"/>
        <v>-195.17683888498919</v>
      </c>
      <c r="I40">
        <v>1</v>
      </c>
      <c r="J40">
        <f t="shared" si="4"/>
        <v>-0.96479670392999151</v>
      </c>
      <c r="K40">
        <f t="shared" si="5"/>
        <v>-0.70953153177521744</v>
      </c>
      <c r="L40">
        <v>1</v>
      </c>
      <c r="M40">
        <f t="shared" si="6"/>
        <v>0.67681993433444143</v>
      </c>
      <c r="N40">
        <f t="shared" si="7"/>
        <v>3.1628034780000001E-2</v>
      </c>
      <c r="O40">
        <f t="shared" si="8"/>
        <v>5.3157962069999998E-3</v>
      </c>
      <c r="P40">
        <f t="shared" si="9"/>
        <v>-4.2322335462239933E-3</v>
      </c>
      <c r="V40">
        <v>-2.4000000000000101</v>
      </c>
      <c r="W40">
        <f t="shared" si="12"/>
        <v>-0.53820799999999902</v>
      </c>
    </row>
    <row r="41" spans="1:23" x14ac:dyDescent="0.3">
      <c r="A41" s="1">
        <v>1.9577491</v>
      </c>
      <c r="B41" s="1">
        <v>0.50793588000000001</v>
      </c>
      <c r="C41">
        <f t="shared" si="0"/>
        <v>0.99441101192770798</v>
      </c>
      <c r="D41">
        <v>1.66E-2</v>
      </c>
      <c r="E41">
        <v>2.7899999999999999E-3</v>
      </c>
      <c r="F41">
        <f t="shared" si="1"/>
        <v>391.54982000000001</v>
      </c>
      <c r="G41">
        <f t="shared" si="2"/>
        <v>-0.50793588000000001</v>
      </c>
      <c r="H41">
        <f t="shared" si="3"/>
        <v>-198.8822023855416</v>
      </c>
      <c r="I41">
        <v>1</v>
      </c>
      <c r="J41">
        <f t="shared" si="4"/>
        <v>-0.93764251749669947</v>
      </c>
      <c r="K41">
        <f t="shared" si="5"/>
        <v>-0.71378927177521745</v>
      </c>
      <c r="L41">
        <v>1</v>
      </c>
      <c r="M41">
        <f t="shared" si="6"/>
        <v>0.67944248566016874</v>
      </c>
      <c r="N41">
        <f t="shared" si="7"/>
        <v>3.2498635060000003E-2</v>
      </c>
      <c r="O41">
        <f t="shared" si="8"/>
        <v>5.4621199889999996E-3</v>
      </c>
      <c r="P41">
        <f t="shared" si="9"/>
        <v>-3.6139689339512917E-3</v>
      </c>
      <c r="V41">
        <v>-2.30000000000001</v>
      </c>
      <c r="W41">
        <f t="shared" si="12"/>
        <v>-0.54786599999999908</v>
      </c>
    </row>
    <row r="42" spans="1:23" x14ac:dyDescent="0.3">
      <c r="A42" s="1">
        <v>2.0091768999999999</v>
      </c>
      <c r="B42" s="1">
        <v>0.50281900000000002</v>
      </c>
      <c r="C42">
        <f t="shared" si="0"/>
        <v>1.0102523196811</v>
      </c>
      <c r="D42">
        <v>1.66E-2</v>
      </c>
      <c r="E42">
        <v>2.7899999999999999E-3</v>
      </c>
      <c r="F42">
        <f t="shared" si="1"/>
        <v>401.83537999999999</v>
      </c>
      <c r="G42">
        <f t="shared" si="2"/>
        <v>-0.50281900000000002</v>
      </c>
      <c r="H42">
        <f t="shared" si="3"/>
        <v>-202.05046393621998</v>
      </c>
      <c r="I42">
        <v>1</v>
      </c>
      <c r="J42">
        <f t="shared" si="4"/>
        <v>-0.91171277671971906</v>
      </c>
      <c r="K42">
        <f t="shared" si="5"/>
        <v>-0.71890615177521744</v>
      </c>
      <c r="L42">
        <v>1</v>
      </c>
      <c r="M42">
        <f t="shared" si="6"/>
        <v>0.68194678002440956</v>
      </c>
      <c r="N42">
        <f t="shared" si="7"/>
        <v>3.3352336539999999E-2</v>
      </c>
      <c r="O42">
        <f t="shared" si="8"/>
        <v>5.6056035509999998E-3</v>
      </c>
      <c r="P42">
        <f t="shared" si="9"/>
        <v>-1.9985683401921202E-3</v>
      </c>
      <c r="V42">
        <v>-2.2000000000000099</v>
      </c>
      <c r="W42">
        <f t="shared" si="12"/>
        <v>-0.55752399999999902</v>
      </c>
    </row>
    <row r="43" spans="1:23" x14ac:dyDescent="0.3">
      <c r="A43" s="1">
        <v>2.0595859000000001</v>
      </c>
      <c r="B43" s="1">
        <v>0.49858036999999999</v>
      </c>
      <c r="C43">
        <f t="shared" si="0"/>
        <v>1.0268691000687831</v>
      </c>
      <c r="D43">
        <v>1.66E-2</v>
      </c>
      <c r="E43">
        <v>2.7899999999999999E-3</v>
      </c>
      <c r="F43">
        <f t="shared" si="1"/>
        <v>411.91718000000003</v>
      </c>
      <c r="G43">
        <f t="shared" si="2"/>
        <v>-0.49858036999999999</v>
      </c>
      <c r="H43">
        <f t="shared" si="3"/>
        <v>-205.37382001375661</v>
      </c>
      <c r="I43">
        <v>1</v>
      </c>
      <c r="J43">
        <f t="shared" si="4"/>
        <v>-0.88693296925719745</v>
      </c>
      <c r="K43">
        <f t="shared" si="5"/>
        <v>-0.72314478177521746</v>
      </c>
      <c r="L43">
        <v>1</v>
      </c>
      <c r="M43">
        <f t="shared" si="6"/>
        <v>0.68434001382913989</v>
      </c>
      <c r="N43">
        <f t="shared" si="7"/>
        <v>3.4189125940000002E-2</v>
      </c>
      <c r="O43">
        <f t="shared" si="8"/>
        <v>5.7462446609999997E-3</v>
      </c>
      <c r="P43">
        <f t="shared" si="9"/>
        <v>-1.1306026549224345E-3</v>
      </c>
      <c r="V43">
        <v>-2.1000000000000099</v>
      </c>
      <c r="W43">
        <f t="shared" si="12"/>
        <v>-0.56718199999999908</v>
      </c>
    </row>
    <row r="44" spans="1:23" x14ac:dyDescent="0.3">
      <c r="A44" s="1">
        <v>2.1099950999999999</v>
      </c>
      <c r="B44" s="1">
        <v>0.49403628999999999</v>
      </c>
      <c r="C44">
        <f t="shared" si="0"/>
        <v>1.0424141511221789</v>
      </c>
      <c r="D44">
        <v>1.66E-2</v>
      </c>
      <c r="E44">
        <v>2.7899999999999999E-3</v>
      </c>
      <c r="F44">
        <f t="shared" si="1"/>
        <v>421.99901999999997</v>
      </c>
      <c r="G44">
        <f t="shared" si="2"/>
        <v>-0.49403628999999999</v>
      </c>
      <c r="H44">
        <f t="shared" si="3"/>
        <v>-208.48283022443579</v>
      </c>
      <c r="I44">
        <v>1</v>
      </c>
      <c r="J44">
        <f t="shared" si="4"/>
        <v>-0.86275228722370334</v>
      </c>
      <c r="K44">
        <f t="shared" si="5"/>
        <v>-0.72768886177521752</v>
      </c>
      <c r="L44">
        <v>1</v>
      </c>
      <c r="M44">
        <f t="shared" si="6"/>
        <v>0.68667538409993478</v>
      </c>
      <c r="N44">
        <f t="shared" si="7"/>
        <v>3.5025918659999995E-2</v>
      </c>
      <c r="O44">
        <f t="shared" si="8"/>
        <v>5.886886329E-3</v>
      </c>
      <c r="P44">
        <f t="shared" si="9"/>
        <v>1.0067268628274374E-4</v>
      </c>
      <c r="V44">
        <v>-2.0000000000000102</v>
      </c>
      <c r="W44">
        <f t="shared" si="12"/>
        <v>-0.57683999999999902</v>
      </c>
    </row>
    <row r="45" spans="1:23" x14ac:dyDescent="0.3">
      <c r="A45" s="1">
        <v>2.1609136000000002</v>
      </c>
      <c r="B45" s="1">
        <v>0.48974036999999998</v>
      </c>
      <c r="C45">
        <f t="shared" si="0"/>
        <v>1.058286626002032</v>
      </c>
      <c r="D45">
        <v>1.66E-2</v>
      </c>
      <c r="E45">
        <v>2.7899999999999999E-3</v>
      </c>
      <c r="F45">
        <f t="shared" si="1"/>
        <v>432.18272000000002</v>
      </c>
      <c r="G45">
        <f t="shared" si="2"/>
        <v>-0.48974036999999998</v>
      </c>
      <c r="H45">
        <f t="shared" si="3"/>
        <v>-211.6573252004064</v>
      </c>
      <c r="I45">
        <v>1</v>
      </c>
      <c r="J45">
        <f t="shared" si="4"/>
        <v>-0.83890681719868343</v>
      </c>
      <c r="K45">
        <f t="shared" si="5"/>
        <v>-0.73198478177521742</v>
      </c>
      <c r="L45">
        <v>1</v>
      </c>
      <c r="M45">
        <f t="shared" si="6"/>
        <v>0.68897837959495112</v>
      </c>
      <c r="N45">
        <f t="shared" si="7"/>
        <v>3.5871165760000004E-2</v>
      </c>
      <c r="O45">
        <f t="shared" si="8"/>
        <v>6.0289489440000007E-3</v>
      </c>
      <c r="P45">
        <f t="shared" si="9"/>
        <v>1.1062874762662964E-3</v>
      </c>
      <c r="V45">
        <v>-1.9000000000000099</v>
      </c>
      <c r="W45">
        <f t="shared" si="12"/>
        <v>-0.58649799999999908</v>
      </c>
    </row>
    <row r="46" spans="1:23" x14ac:dyDescent="0.3">
      <c r="A46" s="1">
        <v>2.2118318000000001</v>
      </c>
      <c r="B46" s="1">
        <v>0.48523446999999997</v>
      </c>
      <c r="C46">
        <f t="shared" si="0"/>
        <v>1.0732570312021461</v>
      </c>
      <c r="D46">
        <v>1.66E-2</v>
      </c>
      <c r="E46">
        <v>2.7899999999999999E-3</v>
      </c>
      <c r="F46">
        <f t="shared" si="1"/>
        <v>442.36636000000004</v>
      </c>
      <c r="G46">
        <f t="shared" si="2"/>
        <v>-0.48523446999999997</v>
      </c>
      <c r="H46">
        <f t="shared" si="3"/>
        <v>-214.65140624042922</v>
      </c>
      <c r="I46">
        <v>1</v>
      </c>
      <c r="J46">
        <f t="shared" si="4"/>
        <v>-0.81561687144818451</v>
      </c>
      <c r="K46">
        <f t="shared" si="5"/>
        <v>-0.73649068177521748</v>
      </c>
      <c r="L46">
        <v>1</v>
      </c>
      <c r="M46">
        <f t="shared" si="6"/>
        <v>0.69122772255553433</v>
      </c>
      <c r="N46">
        <f t="shared" si="7"/>
        <v>3.6716407880000003E-2</v>
      </c>
      <c r="O46">
        <f t="shared" si="8"/>
        <v>6.1710107219999999E-3</v>
      </c>
      <c r="P46">
        <f t="shared" si="9"/>
        <v>2.3755406176831492E-3</v>
      </c>
      <c r="V46">
        <v>-1.80000000000001</v>
      </c>
      <c r="W46">
        <f t="shared" si="12"/>
        <v>-0.59615599999999902</v>
      </c>
    </row>
    <row r="47" spans="1:23" x14ac:dyDescent="0.3">
      <c r="A47" s="1">
        <v>2.2637686000000001</v>
      </c>
      <c r="B47" s="1">
        <v>0.48112949999999999</v>
      </c>
      <c r="C47">
        <f t="shared" si="0"/>
        <v>1.0891658546337</v>
      </c>
      <c r="D47">
        <v>1.66E-2</v>
      </c>
      <c r="E47">
        <v>2.7899999999999999E-3</v>
      </c>
      <c r="F47">
        <f t="shared" si="1"/>
        <v>452.75372000000004</v>
      </c>
      <c r="G47">
        <f t="shared" si="2"/>
        <v>-0.48112949999999999</v>
      </c>
      <c r="H47">
        <f t="shared" si="3"/>
        <v>-217.83317092674</v>
      </c>
      <c r="I47">
        <v>1</v>
      </c>
      <c r="J47">
        <f t="shared" si="4"/>
        <v>-0.79240696579737191</v>
      </c>
      <c r="K47">
        <f t="shared" si="5"/>
        <v>-0.74059565177521747</v>
      </c>
      <c r="L47">
        <v>1</v>
      </c>
      <c r="M47">
        <f t="shared" si="6"/>
        <v>0.6934693352432898</v>
      </c>
      <c r="N47">
        <f t="shared" si="7"/>
        <v>3.7578558760000005E-2</v>
      </c>
      <c r="O47">
        <f t="shared" si="8"/>
        <v>6.3159143939999999E-3</v>
      </c>
      <c r="P47">
        <f t="shared" si="9"/>
        <v>3.2318433779276647E-3</v>
      </c>
      <c r="V47">
        <v>-1.7000000000000199</v>
      </c>
      <c r="W47">
        <f t="shared" si="12"/>
        <v>-0.60581399999999808</v>
      </c>
    </row>
    <row r="48" spans="1:23" x14ac:dyDescent="0.3">
      <c r="A48" s="1">
        <v>2.3162143999999998</v>
      </c>
      <c r="B48" s="1">
        <v>0.47648993000000001</v>
      </c>
      <c r="C48">
        <f t="shared" si="0"/>
        <v>1.103652837320992</v>
      </c>
      <c r="D48">
        <v>1.66E-2</v>
      </c>
      <c r="E48">
        <v>2.7899999999999999E-3</v>
      </c>
      <c r="F48">
        <f t="shared" si="1"/>
        <v>463.24287999999996</v>
      </c>
      <c r="G48">
        <f t="shared" si="2"/>
        <v>-0.47648993000000001</v>
      </c>
      <c r="H48">
        <f t="shared" si="3"/>
        <v>-220.7305674641984</v>
      </c>
      <c r="I48">
        <v>1</v>
      </c>
      <c r="J48">
        <f t="shared" si="4"/>
        <v>-0.76950378360558669</v>
      </c>
      <c r="K48">
        <f t="shared" si="5"/>
        <v>-0.74523522177521739</v>
      </c>
      <c r="L48">
        <v>1</v>
      </c>
      <c r="M48">
        <f t="shared" si="6"/>
        <v>0.69568132457937248</v>
      </c>
      <c r="N48">
        <f t="shared" si="7"/>
        <v>3.844915904E-2</v>
      </c>
      <c r="O48">
        <f t="shared" si="8"/>
        <v>6.4622381759999997E-3</v>
      </c>
      <c r="P48">
        <f t="shared" si="9"/>
        <v>4.6424999798449097E-3</v>
      </c>
      <c r="V48">
        <v>-1.6000000000000201</v>
      </c>
      <c r="W48">
        <f t="shared" si="12"/>
        <v>-0.61547199999999802</v>
      </c>
    </row>
    <row r="49" spans="1:23" x14ac:dyDescent="0.3">
      <c r="A49" s="1">
        <v>2.3701880000000002</v>
      </c>
      <c r="B49" s="1">
        <v>0.47177401000000002</v>
      </c>
      <c r="C49">
        <f t="shared" si="0"/>
        <v>1.11819309721388</v>
      </c>
      <c r="D49">
        <v>1.66E-2</v>
      </c>
      <c r="E49">
        <v>2.7899999999999999E-3</v>
      </c>
      <c r="F49">
        <f t="shared" si="1"/>
        <v>474.03760000000005</v>
      </c>
      <c r="G49">
        <f t="shared" si="2"/>
        <v>-0.47177401000000002</v>
      </c>
      <c r="H49">
        <f t="shared" si="3"/>
        <v>-223.63861944277602</v>
      </c>
      <c r="I49">
        <v>1</v>
      </c>
      <c r="J49">
        <f t="shared" si="4"/>
        <v>-0.74646863553859877</v>
      </c>
      <c r="K49">
        <f t="shared" si="5"/>
        <v>-0.74995114177521738</v>
      </c>
      <c r="L49">
        <v>1</v>
      </c>
      <c r="M49">
        <f t="shared" si="6"/>
        <v>0.69790605917968218</v>
      </c>
      <c r="N49">
        <f t="shared" si="7"/>
        <v>3.9345120800000001E-2</v>
      </c>
      <c r="O49">
        <f t="shared" si="8"/>
        <v>6.6128245200000003E-3</v>
      </c>
      <c r="P49">
        <f t="shared" si="9"/>
        <v>6.0871372755351956E-3</v>
      </c>
      <c r="V49">
        <v>-1.50000000000002</v>
      </c>
      <c r="W49">
        <f t="shared" si="12"/>
        <v>-0.62512999999999808</v>
      </c>
    </row>
    <row r="50" spans="1:23" x14ac:dyDescent="0.3">
      <c r="A50" s="1">
        <v>2.4236521</v>
      </c>
      <c r="B50" s="1">
        <v>0.46722989999999998</v>
      </c>
      <c r="C50">
        <f t="shared" si="0"/>
        <v>1.13240272831779</v>
      </c>
      <c r="D50">
        <v>1.66E-2</v>
      </c>
      <c r="E50">
        <v>2.7899999999999999E-3</v>
      </c>
      <c r="F50">
        <f t="shared" si="1"/>
        <v>484.73041999999998</v>
      </c>
      <c r="G50">
        <f t="shared" si="2"/>
        <v>-0.46722989999999998</v>
      </c>
      <c r="H50">
        <f t="shared" si="3"/>
        <v>-226.48054566355799</v>
      </c>
      <c r="I50">
        <v>1</v>
      </c>
      <c r="J50">
        <f t="shared" si="4"/>
        <v>-0.72416237762976865</v>
      </c>
      <c r="K50">
        <f t="shared" si="5"/>
        <v>-0.75449525177521748</v>
      </c>
      <c r="L50">
        <v>1</v>
      </c>
      <c r="M50">
        <f t="shared" si="6"/>
        <v>0.7000603975685169</v>
      </c>
      <c r="N50">
        <f t="shared" si="7"/>
        <v>4.0232624860000003E-2</v>
      </c>
      <c r="O50">
        <f t="shared" si="8"/>
        <v>6.7619893589999994E-3</v>
      </c>
      <c r="P50">
        <f t="shared" si="9"/>
        <v>7.4402399877005754E-3</v>
      </c>
      <c r="V50">
        <v>-1.4000000000000199</v>
      </c>
      <c r="W50">
        <f t="shared" si="12"/>
        <v>-0.63478799999999813</v>
      </c>
    </row>
    <row r="51" spans="1:23" x14ac:dyDescent="0.3">
      <c r="A51" s="1">
        <v>2.4740612999999998</v>
      </c>
      <c r="B51" s="1">
        <v>0.46211301999999999</v>
      </c>
      <c r="C51">
        <f t="shared" si="0"/>
        <v>1.1432959390081259</v>
      </c>
      <c r="D51">
        <v>1.66E-2</v>
      </c>
      <c r="E51">
        <v>2.7899999999999999E-3</v>
      </c>
      <c r="F51">
        <f t="shared" si="1"/>
        <v>494.81225999999998</v>
      </c>
      <c r="G51">
        <f t="shared" si="2"/>
        <v>-0.46211301999999999</v>
      </c>
      <c r="H51">
        <f t="shared" si="3"/>
        <v>-228.65918780162517</v>
      </c>
      <c r="I51">
        <v>1</v>
      </c>
      <c r="J51">
        <f t="shared" si="4"/>
        <v>-0.70357686108281137</v>
      </c>
      <c r="K51">
        <f t="shared" si="5"/>
        <v>-0.75961213177521747</v>
      </c>
      <c r="L51">
        <v>1</v>
      </c>
      <c r="M51">
        <f t="shared" si="6"/>
        <v>0.70204854675662209</v>
      </c>
      <c r="N51">
        <f t="shared" si="7"/>
        <v>4.1069417579999996E-2</v>
      </c>
      <c r="O51">
        <f t="shared" si="8"/>
        <v>6.9026310269999997E-3</v>
      </c>
      <c r="P51">
        <f t="shared" si="9"/>
        <v>9.5915364115953805E-3</v>
      </c>
      <c r="V51">
        <v>-1.30000000000002</v>
      </c>
      <c r="W51">
        <f t="shared" si="12"/>
        <v>-0.64444599999999808</v>
      </c>
    </row>
    <row r="52" spans="1:23" x14ac:dyDescent="0.3">
      <c r="A52" s="1">
        <v>2.5270161</v>
      </c>
      <c r="B52" s="1">
        <v>0.45796987</v>
      </c>
      <c r="C52">
        <f t="shared" si="0"/>
        <v>1.1572972348049071</v>
      </c>
      <c r="D52">
        <v>1.66E-2</v>
      </c>
      <c r="E52">
        <v>2.7899999999999999E-3</v>
      </c>
      <c r="F52">
        <f t="shared" si="1"/>
        <v>505.40321999999998</v>
      </c>
      <c r="G52">
        <f t="shared" si="2"/>
        <v>-0.45796987</v>
      </c>
      <c r="H52">
        <f t="shared" si="3"/>
        <v>-231.45944696098141</v>
      </c>
      <c r="I52">
        <v>1</v>
      </c>
      <c r="J52">
        <f t="shared" si="4"/>
        <v>-0.68239871285720355</v>
      </c>
      <c r="K52">
        <f t="shared" si="5"/>
        <v>-0.76375528177521745</v>
      </c>
      <c r="L52">
        <v>1</v>
      </c>
      <c r="M52">
        <f t="shared" si="6"/>
        <v>0.70409393231225126</v>
      </c>
      <c r="N52">
        <f t="shared" si="7"/>
        <v>4.1948467259999997E-2</v>
      </c>
      <c r="O52">
        <f t="shared" si="8"/>
        <v>7.0503749190000001E-3</v>
      </c>
      <c r="P52">
        <f t="shared" si="9"/>
        <v>1.0662507283966199E-2</v>
      </c>
      <c r="V52">
        <v>-1.2000000000000199</v>
      </c>
      <c r="W52">
        <f t="shared" si="12"/>
        <v>-0.65410399999999813</v>
      </c>
    </row>
    <row r="53" spans="1:23" x14ac:dyDescent="0.3">
      <c r="A53" s="1">
        <v>2.5774252999999998</v>
      </c>
      <c r="B53" s="1">
        <v>0.45338759000000001</v>
      </c>
      <c r="C53">
        <f t="shared" si="0"/>
        <v>1.1685726451720269</v>
      </c>
      <c r="D53">
        <v>1.66E-2</v>
      </c>
      <c r="E53">
        <v>2.7899999999999999E-3</v>
      </c>
      <c r="F53">
        <f t="shared" si="1"/>
        <v>515.48505999999998</v>
      </c>
      <c r="G53">
        <f t="shared" si="2"/>
        <v>-0.45338759000000001</v>
      </c>
      <c r="H53">
        <f t="shared" si="3"/>
        <v>-233.71452903440536</v>
      </c>
      <c r="I53">
        <v>1</v>
      </c>
      <c r="J53">
        <f t="shared" si="4"/>
        <v>-0.66264695751638647</v>
      </c>
      <c r="K53">
        <f t="shared" si="5"/>
        <v>-0.7683375617752175</v>
      </c>
      <c r="L53">
        <v>1</v>
      </c>
      <c r="M53">
        <f t="shared" si="6"/>
        <v>0.70600155684306742</v>
      </c>
      <c r="N53">
        <f t="shared" si="7"/>
        <v>4.2785259979999997E-2</v>
      </c>
      <c r="O53">
        <f t="shared" si="8"/>
        <v>7.1910165869999996E-3</v>
      </c>
      <c r="P53">
        <f t="shared" si="9"/>
        <v>1.2359728365150084E-2</v>
      </c>
      <c r="V53">
        <v>-1.1000000000000201</v>
      </c>
      <c r="W53">
        <f t="shared" si="12"/>
        <v>-0.66376199999999808</v>
      </c>
    </row>
    <row r="54" spans="1:23" x14ac:dyDescent="0.3">
      <c r="A54" s="1">
        <v>2.6298710999999999</v>
      </c>
      <c r="B54" s="1">
        <v>0.44911077999999999</v>
      </c>
      <c r="C54">
        <f t="shared" si="0"/>
        <v>1.1811034610204578</v>
      </c>
      <c r="D54">
        <v>1.66E-2</v>
      </c>
      <c r="E54">
        <v>2.7899999999999999E-3</v>
      </c>
      <c r="F54">
        <f t="shared" si="1"/>
        <v>525.97421999999995</v>
      </c>
      <c r="G54">
        <f t="shared" si="2"/>
        <v>-0.44911077999999999</v>
      </c>
      <c r="H54">
        <f t="shared" si="3"/>
        <v>-236.22069220409156</v>
      </c>
      <c r="I54">
        <v>1</v>
      </c>
      <c r="J54">
        <f t="shared" si="4"/>
        <v>-0.64250307885236968</v>
      </c>
      <c r="K54">
        <f t="shared" si="5"/>
        <v>-0.77261437177521741</v>
      </c>
      <c r="L54">
        <v>1</v>
      </c>
      <c r="M54">
        <f t="shared" si="6"/>
        <v>0.70794705264443814</v>
      </c>
      <c r="N54">
        <f t="shared" si="7"/>
        <v>4.3655860259999998E-2</v>
      </c>
      <c r="O54">
        <f t="shared" si="8"/>
        <v>7.3373403689999993E-3</v>
      </c>
      <c r="P54">
        <f t="shared" si="9"/>
        <v>1.367411850177928E-2</v>
      </c>
      <c r="V54">
        <v>-1.00000000000002</v>
      </c>
      <c r="W54">
        <f t="shared" si="12"/>
        <v>-0.67341999999999813</v>
      </c>
    </row>
    <row r="55" spans="1:23" x14ac:dyDescent="0.3">
      <c r="A55" s="1">
        <v>2.6807892999999998</v>
      </c>
      <c r="B55" s="1">
        <v>0.44443303000000001</v>
      </c>
      <c r="C55">
        <f t="shared" si="0"/>
        <v>1.191431311390579</v>
      </c>
      <c r="D55">
        <v>1.66E-2</v>
      </c>
      <c r="E55">
        <v>2.7899999999999999E-3</v>
      </c>
      <c r="F55">
        <f t="shared" si="1"/>
        <v>536.15785999999991</v>
      </c>
      <c r="G55">
        <f t="shared" si="2"/>
        <v>-0.44443303000000001</v>
      </c>
      <c r="H55">
        <f t="shared" si="3"/>
        <v>-238.2862622781158</v>
      </c>
      <c r="I55">
        <v>1</v>
      </c>
      <c r="J55">
        <f t="shared" si="4"/>
        <v>-0.62332664634696933</v>
      </c>
      <c r="K55">
        <f t="shared" si="5"/>
        <v>-0.77729212177521745</v>
      </c>
      <c r="L55">
        <v>1</v>
      </c>
      <c r="M55">
        <f t="shared" si="6"/>
        <v>0.70979911249580974</v>
      </c>
      <c r="N55">
        <f t="shared" si="7"/>
        <v>4.4501102379999997E-2</v>
      </c>
      <c r="O55">
        <f t="shared" si="8"/>
        <v>7.4794021469999994E-3</v>
      </c>
      <c r="P55">
        <f t="shared" si="9"/>
        <v>1.5512504752407716E-2</v>
      </c>
      <c r="V55">
        <v>-0.90000000000002001</v>
      </c>
      <c r="W55">
        <f t="shared" si="12"/>
        <v>-0.68307799999999808</v>
      </c>
    </row>
    <row r="56" spans="1:23" x14ac:dyDescent="0.3">
      <c r="A56" s="1">
        <v>2.7342539000000001</v>
      </c>
      <c r="B56" s="1">
        <v>0.44025167999999998</v>
      </c>
      <c r="C56">
        <f t="shared" si="0"/>
        <v>1.203759873021552</v>
      </c>
      <c r="D56">
        <v>1.66E-2</v>
      </c>
      <c r="E56">
        <v>2.7899999999999999E-3</v>
      </c>
      <c r="F56">
        <f t="shared" si="1"/>
        <v>546.85077999999999</v>
      </c>
      <c r="G56">
        <f t="shared" si="2"/>
        <v>-0.44025167999999998</v>
      </c>
      <c r="H56">
        <f t="shared" si="3"/>
        <v>-240.75197460431039</v>
      </c>
      <c r="I56">
        <v>1</v>
      </c>
      <c r="J56">
        <f t="shared" si="4"/>
        <v>-0.60357931085100069</v>
      </c>
      <c r="K56">
        <f t="shared" si="5"/>
        <v>-0.78147347177521742</v>
      </c>
      <c r="L56">
        <v>1</v>
      </c>
      <c r="M56">
        <f t="shared" si="6"/>
        <v>0.71170631015801034</v>
      </c>
      <c r="N56">
        <f t="shared" si="7"/>
        <v>4.538861474E-2</v>
      </c>
      <c r="O56">
        <f t="shared" si="8"/>
        <v>7.6285683810000003E-3</v>
      </c>
      <c r="P56">
        <f t="shared" si="9"/>
        <v>1.6749978496207085E-2</v>
      </c>
      <c r="V56">
        <v>-0.80000000000002003</v>
      </c>
      <c r="W56">
        <f t="shared" si="12"/>
        <v>-0.69273599999999813</v>
      </c>
    </row>
    <row r="57" spans="1:23" x14ac:dyDescent="0.3">
      <c r="A57" s="1">
        <v>2.7866996999999998</v>
      </c>
      <c r="B57" s="1">
        <v>0.43481022000000003</v>
      </c>
      <c r="C57">
        <f t="shared" si="0"/>
        <v>1.211685509630934</v>
      </c>
      <c r="D57">
        <v>1.66E-2</v>
      </c>
      <c r="E57">
        <v>2.7899999999999999E-3</v>
      </c>
      <c r="F57">
        <f t="shared" si="1"/>
        <v>557.33993999999996</v>
      </c>
      <c r="G57">
        <f t="shared" si="2"/>
        <v>-0.43481022000000003</v>
      </c>
      <c r="H57">
        <f t="shared" si="3"/>
        <v>-242.33710192618679</v>
      </c>
      <c r="I57">
        <v>1</v>
      </c>
      <c r="J57">
        <f t="shared" si="4"/>
        <v>-0.58457992000887316</v>
      </c>
      <c r="K57">
        <f t="shared" si="5"/>
        <v>-0.78691493177521743</v>
      </c>
      <c r="L57">
        <v>1</v>
      </c>
      <c r="M57">
        <f t="shared" si="6"/>
        <v>0.71354127132554301</v>
      </c>
      <c r="N57">
        <f t="shared" si="7"/>
        <v>4.6259215019999994E-2</v>
      </c>
      <c r="O57">
        <f t="shared" si="8"/>
        <v>7.7748921629999992E-3</v>
      </c>
      <c r="P57">
        <f t="shared" si="9"/>
        <v>1.9339553266674421E-2</v>
      </c>
      <c r="V57">
        <v>-0.70000000000002005</v>
      </c>
      <c r="W57">
        <f t="shared" si="12"/>
        <v>-0.70239399999999808</v>
      </c>
    </row>
    <row r="58" spans="1:23" x14ac:dyDescent="0.3">
      <c r="A58" s="1">
        <v>2.8376182000000001</v>
      </c>
      <c r="B58" s="1">
        <v>0.43051434</v>
      </c>
      <c r="C58">
        <f t="shared" si="0"/>
        <v>1.221635326544988</v>
      </c>
      <c r="D58">
        <v>1.66E-2</v>
      </c>
      <c r="E58">
        <v>2.7899999999999999E-3</v>
      </c>
      <c r="F58">
        <f t="shared" si="1"/>
        <v>567.52364</v>
      </c>
      <c r="G58">
        <f t="shared" si="2"/>
        <v>-0.43051434</v>
      </c>
      <c r="H58">
        <f t="shared" si="3"/>
        <v>-244.32706530899759</v>
      </c>
      <c r="I58">
        <v>1</v>
      </c>
      <c r="J58">
        <f t="shared" si="4"/>
        <v>-0.56647287410651737</v>
      </c>
      <c r="K58">
        <f t="shared" si="5"/>
        <v>-0.79121081177521746</v>
      </c>
      <c r="L58">
        <v>1</v>
      </c>
      <c r="M58">
        <f t="shared" si="6"/>
        <v>0.71529004981879263</v>
      </c>
      <c r="N58">
        <f t="shared" si="7"/>
        <v>4.7104462120000003E-2</v>
      </c>
      <c r="O58">
        <f t="shared" si="8"/>
        <v>7.9169547779999998E-3</v>
      </c>
      <c r="P58">
        <f t="shared" si="9"/>
        <v>2.0899345058424827E-2</v>
      </c>
      <c r="V58">
        <v>-0.60000000000001996</v>
      </c>
      <c r="W58">
        <f t="shared" si="12"/>
        <v>-0.71205199999999813</v>
      </c>
    </row>
    <row r="59" spans="1:23" x14ac:dyDescent="0.3">
      <c r="A59" s="1">
        <v>2.8905729999999998</v>
      </c>
      <c r="B59" s="1">
        <v>0.42558836999999999</v>
      </c>
      <c r="C59">
        <f t="shared" si="0"/>
        <v>1.23019425143601</v>
      </c>
      <c r="D59">
        <v>1.66E-2</v>
      </c>
      <c r="E59">
        <v>2.7899999999999999E-3</v>
      </c>
      <c r="F59">
        <f t="shared" si="1"/>
        <v>578.1146</v>
      </c>
      <c r="G59">
        <f t="shared" si="2"/>
        <v>-0.42558836999999999</v>
      </c>
      <c r="H59">
        <f t="shared" si="3"/>
        <v>-246.038850287202</v>
      </c>
      <c r="I59">
        <v>1</v>
      </c>
      <c r="J59">
        <f t="shared" si="4"/>
        <v>-0.54798316006644399</v>
      </c>
      <c r="K59">
        <f t="shared" si="5"/>
        <v>-0.79613678177521741</v>
      </c>
      <c r="L59">
        <v>1</v>
      </c>
      <c r="M59">
        <f t="shared" si="6"/>
        <v>0.71707578640078284</v>
      </c>
      <c r="N59">
        <f t="shared" si="7"/>
        <v>4.7983511799999996E-2</v>
      </c>
      <c r="O59">
        <f t="shared" si="8"/>
        <v>8.0646986699999985E-3</v>
      </c>
      <c r="P59">
        <f t="shared" si="9"/>
        <v>2.3012784904434567E-2</v>
      </c>
      <c r="V59">
        <v>-0.50000000000001998</v>
      </c>
      <c r="W59">
        <f t="shared" si="12"/>
        <v>-0.72170999999999808</v>
      </c>
    </row>
    <row r="60" spans="1:23" x14ac:dyDescent="0.3">
      <c r="A60" s="1">
        <v>2.9425097999999998</v>
      </c>
      <c r="B60" s="1">
        <v>0.42054784000000001</v>
      </c>
      <c r="C60">
        <f t="shared" si="0"/>
        <v>1.2374661405688319</v>
      </c>
      <c r="D60">
        <v>1.66E-2</v>
      </c>
      <c r="E60">
        <v>2.7899999999999999E-3</v>
      </c>
      <c r="F60">
        <f t="shared" si="1"/>
        <v>588.50195999999994</v>
      </c>
      <c r="G60">
        <f t="shared" si="2"/>
        <v>-0.42054784000000001</v>
      </c>
      <c r="H60">
        <f t="shared" si="3"/>
        <v>-247.49322811376638</v>
      </c>
      <c r="I60">
        <v>1</v>
      </c>
      <c r="J60">
        <f t="shared" si="4"/>
        <v>-0.53017502178607734</v>
      </c>
      <c r="K60">
        <f t="shared" si="5"/>
        <v>-0.80117731177521745</v>
      </c>
      <c r="L60">
        <v>1</v>
      </c>
      <c r="M60">
        <f t="shared" si="6"/>
        <v>0.71879569639590069</v>
      </c>
      <c r="N60">
        <f t="shared" si="7"/>
        <v>4.8845662679999999E-2</v>
      </c>
      <c r="O60">
        <f t="shared" si="8"/>
        <v>8.2096023419999994E-3</v>
      </c>
      <c r="P60">
        <f t="shared" si="9"/>
        <v>2.5326350357316764E-2</v>
      </c>
      <c r="V60">
        <v>-0.40000000000002001</v>
      </c>
      <c r="W60">
        <f t="shared" si="12"/>
        <v>-0.73136799999999813</v>
      </c>
    </row>
    <row r="61" spans="1:23" x14ac:dyDescent="0.3">
      <c r="A61" s="1">
        <v>2.9934281999999999</v>
      </c>
      <c r="B61" s="1">
        <v>0.41579371999999998</v>
      </c>
      <c r="C61">
        <f t="shared" si="0"/>
        <v>1.2446486468309039</v>
      </c>
      <c r="D61">
        <v>1.66E-2</v>
      </c>
      <c r="E61">
        <v>2.7899999999999999E-3</v>
      </c>
      <c r="F61">
        <f t="shared" si="1"/>
        <v>598.68563999999992</v>
      </c>
      <c r="G61">
        <f t="shared" si="2"/>
        <v>-0.41579371999999998</v>
      </c>
      <c r="H61">
        <f t="shared" si="3"/>
        <v>-248.92972936618079</v>
      </c>
      <c r="I61">
        <v>1</v>
      </c>
      <c r="J61">
        <f t="shared" si="4"/>
        <v>-0.51301862663996933</v>
      </c>
      <c r="K61">
        <f t="shared" si="5"/>
        <v>-0.80593143177521753</v>
      </c>
      <c r="L61">
        <v>1</v>
      </c>
      <c r="M61">
        <f t="shared" si="6"/>
        <v>0.72045266103911176</v>
      </c>
      <c r="N61">
        <f t="shared" si="7"/>
        <v>4.9690908119999995E-2</v>
      </c>
      <c r="O61">
        <f t="shared" si="8"/>
        <v>8.3516646779999999E-3</v>
      </c>
      <c r="P61">
        <f t="shared" si="9"/>
        <v>2.7436197938105776E-2</v>
      </c>
      <c r="V61">
        <v>-0.30000000000001997</v>
      </c>
      <c r="W61">
        <f t="shared" si="12"/>
        <v>-0.74102599999999808</v>
      </c>
    </row>
    <row r="62" spans="1:23" x14ac:dyDescent="0.3">
      <c r="A62" s="1">
        <v>3.0453646999999999</v>
      </c>
      <c r="B62" s="1">
        <v>0.41065773</v>
      </c>
      <c r="C62">
        <f t="shared" si="0"/>
        <v>1.2506025547241311</v>
      </c>
      <c r="D62">
        <v>1.66E-2</v>
      </c>
      <c r="E62">
        <v>2.7899999999999999E-3</v>
      </c>
      <c r="F62">
        <f t="shared" si="1"/>
        <v>609.07294000000002</v>
      </c>
      <c r="G62">
        <f t="shared" si="2"/>
        <v>-0.41065773</v>
      </c>
      <c r="H62">
        <f t="shared" si="3"/>
        <v>-250.12051094482621</v>
      </c>
      <c r="I62">
        <v>1</v>
      </c>
      <c r="J62">
        <f t="shared" si="4"/>
        <v>-0.49581724832916507</v>
      </c>
      <c r="K62">
        <f t="shared" si="5"/>
        <v>-0.8110674217752174</v>
      </c>
      <c r="L62">
        <v>1</v>
      </c>
      <c r="M62">
        <f t="shared" si="6"/>
        <v>0.72211397015636924</v>
      </c>
      <c r="N62">
        <f t="shared" si="7"/>
        <v>5.0553054020000002E-2</v>
      </c>
      <c r="O62">
        <f t="shared" si="8"/>
        <v>8.4965675130000001E-3</v>
      </c>
      <c r="P62">
        <f t="shared" si="9"/>
        <v>2.9903830085848154E-2</v>
      </c>
      <c r="V62">
        <v>-0.20000000000002</v>
      </c>
      <c r="W62">
        <f t="shared" si="12"/>
        <v>-0.75068399999999813</v>
      </c>
    </row>
    <row r="63" spans="1:23" x14ac:dyDescent="0.3">
      <c r="A63" s="1">
        <v>3.1003566999999999</v>
      </c>
      <c r="B63" s="1">
        <v>0.4060182</v>
      </c>
      <c r="C63">
        <f t="shared" si="0"/>
        <v>1.2588012466919398</v>
      </c>
      <c r="D63">
        <v>1.66E-2</v>
      </c>
      <c r="E63">
        <v>2.7899999999999999E-3</v>
      </c>
      <c r="F63">
        <f t="shared" si="1"/>
        <v>620.07133999999996</v>
      </c>
      <c r="G63">
        <f t="shared" si="2"/>
        <v>-0.4060182</v>
      </c>
      <c r="H63">
        <f t="shared" si="3"/>
        <v>-251.76024933838795</v>
      </c>
      <c r="I63">
        <v>1</v>
      </c>
      <c r="J63">
        <f t="shared" si="4"/>
        <v>-0.47792074304628451</v>
      </c>
      <c r="K63">
        <f t="shared" si="5"/>
        <v>-0.81570695177521746</v>
      </c>
      <c r="L63">
        <v>1</v>
      </c>
      <c r="M63">
        <f t="shared" si="6"/>
        <v>0.72384241463658983</v>
      </c>
      <c r="N63">
        <f t="shared" si="7"/>
        <v>5.1465921219999995E-2</v>
      </c>
      <c r="O63">
        <f t="shared" si="8"/>
        <v>8.6499951930000003E-3</v>
      </c>
      <c r="P63">
        <f t="shared" si="9"/>
        <v>3.174862072562764E-2</v>
      </c>
      <c r="V63">
        <v>-0.10000000000002</v>
      </c>
      <c r="W63">
        <f t="shared" si="12"/>
        <v>-0.76034199999999807</v>
      </c>
    </row>
    <row r="64" spans="1:23" x14ac:dyDescent="0.3">
      <c r="A64" s="1">
        <v>3.1517841999999998</v>
      </c>
      <c r="B64" s="1">
        <v>0.40067216999999999</v>
      </c>
      <c r="C64">
        <f t="shared" si="0"/>
        <v>1.2628322147857138</v>
      </c>
      <c r="D64">
        <v>1.66E-2</v>
      </c>
      <c r="E64">
        <v>2.7899999999999999E-3</v>
      </c>
      <c r="F64">
        <f t="shared" si="1"/>
        <v>630.35683999999992</v>
      </c>
      <c r="G64">
        <f t="shared" si="2"/>
        <v>-0.40067216999999999</v>
      </c>
      <c r="H64">
        <f t="shared" si="3"/>
        <v>-252.56644295714275</v>
      </c>
      <c r="I64">
        <v>1</v>
      </c>
      <c r="J64">
        <f t="shared" si="4"/>
        <v>-0.46146920724927148</v>
      </c>
      <c r="K64">
        <f t="shared" si="5"/>
        <v>-0.82105298177521746</v>
      </c>
      <c r="L64">
        <v>1</v>
      </c>
      <c r="M64">
        <f t="shared" si="6"/>
        <v>0.72543130396386535</v>
      </c>
      <c r="N64">
        <f t="shared" si="7"/>
        <v>5.2319617719999996E-2</v>
      </c>
      <c r="O64">
        <f t="shared" si="8"/>
        <v>8.7934779179999999E-3</v>
      </c>
      <c r="P64">
        <f t="shared" si="9"/>
        <v>3.450858217335212E-2</v>
      </c>
      <c r="V64">
        <v>-2.0428103653102899E-14</v>
      </c>
      <c r="W64">
        <f t="shared" si="12"/>
        <v>-0.76999999999999802</v>
      </c>
    </row>
    <row r="65" spans="1:23" x14ac:dyDescent="0.3">
      <c r="A65" s="1">
        <v>3.2042299999999999</v>
      </c>
      <c r="B65" s="1">
        <v>0.39563166999999999</v>
      </c>
      <c r="C65">
        <f t="shared" si="0"/>
        <v>1.2676948659640999</v>
      </c>
      <c r="D65">
        <v>1.66E-2</v>
      </c>
      <c r="E65">
        <v>2.7899999999999999E-3</v>
      </c>
      <c r="F65">
        <f t="shared" si="1"/>
        <v>640.846</v>
      </c>
      <c r="G65">
        <f t="shared" si="2"/>
        <v>-0.39563166999999999</v>
      </c>
      <c r="H65">
        <f t="shared" si="3"/>
        <v>-253.53897319281998</v>
      </c>
      <c r="I65">
        <v>1</v>
      </c>
      <c r="J65">
        <f t="shared" si="4"/>
        <v>-0.44496610053601215</v>
      </c>
      <c r="K65">
        <f t="shared" si="5"/>
        <v>-0.82609348177521746</v>
      </c>
      <c r="L65">
        <v>1</v>
      </c>
      <c r="M65">
        <f t="shared" si="6"/>
        <v>0.72702517401023192</v>
      </c>
      <c r="N65">
        <f t="shared" si="7"/>
        <v>5.3190217999999997E-2</v>
      </c>
      <c r="O65">
        <f t="shared" si="8"/>
        <v>8.9398016999999996E-3</v>
      </c>
      <c r="P65">
        <f t="shared" si="9"/>
        <v>3.6938288064985544E-2</v>
      </c>
      <c r="V65">
        <v>9.9999999999980105E-2</v>
      </c>
      <c r="W65">
        <f t="shared" si="12"/>
        <v>-0.77965799999999807</v>
      </c>
    </row>
    <row r="66" spans="1:23" x14ac:dyDescent="0.3">
      <c r="A66" s="1">
        <v>3.2546388999999998</v>
      </c>
      <c r="B66" s="1">
        <v>0.39020928999999999</v>
      </c>
      <c r="C66">
        <f t="shared" si="0"/>
        <v>1.2699903343753809</v>
      </c>
      <c r="D66">
        <v>1.66E-2</v>
      </c>
      <c r="E66">
        <v>2.7899999999999999E-3</v>
      </c>
      <c r="F66">
        <f t="shared" si="1"/>
        <v>650.92777999999998</v>
      </c>
      <c r="G66">
        <f t="shared" si="2"/>
        <v>-0.39020928999999999</v>
      </c>
      <c r="H66">
        <f t="shared" si="3"/>
        <v>-253.99806687507618</v>
      </c>
      <c r="I66">
        <v>1</v>
      </c>
      <c r="J66">
        <f t="shared" si="4"/>
        <v>-0.42935657994750348</v>
      </c>
      <c r="K66">
        <f t="shared" si="5"/>
        <v>-0.83151586177521741</v>
      </c>
      <c r="L66">
        <v>1</v>
      </c>
      <c r="M66">
        <f t="shared" si="6"/>
        <v>0.72853274150867009</v>
      </c>
      <c r="N66">
        <f t="shared" si="7"/>
        <v>5.4027005739999995E-2</v>
      </c>
      <c r="O66">
        <f t="shared" si="8"/>
        <v>9.0804425309999985E-3</v>
      </c>
      <c r="P66">
        <f t="shared" si="9"/>
        <v>3.9875671995547327E-2</v>
      </c>
      <c r="V66">
        <v>0.19999999999998</v>
      </c>
      <c r="W66">
        <f t="shared" si="12"/>
        <v>-0.78931599999999813</v>
      </c>
    </row>
    <row r="67" spans="1:23" x14ac:dyDescent="0.3">
      <c r="A67" s="1">
        <v>3.3075942</v>
      </c>
      <c r="B67" s="1">
        <v>0.38600886000000001</v>
      </c>
      <c r="C67">
        <f t="shared" si="0"/>
        <v>1.2767606664846121</v>
      </c>
      <c r="D67">
        <v>1.66E-2</v>
      </c>
      <c r="E67">
        <v>2.7899999999999999E-3</v>
      </c>
      <c r="F67">
        <f t="shared" si="1"/>
        <v>661.51883999999995</v>
      </c>
      <c r="G67">
        <f t="shared" si="2"/>
        <v>-0.38600886000000001</v>
      </c>
      <c r="H67">
        <f t="shared" si="3"/>
        <v>-255.3521332969224</v>
      </c>
      <c r="I67">
        <v>1</v>
      </c>
      <c r="J67">
        <f t="shared" si="4"/>
        <v>-0.41321681510707137</v>
      </c>
      <c r="K67">
        <f t="shared" si="5"/>
        <v>-0.83571629177521745</v>
      </c>
      <c r="L67">
        <v>1</v>
      </c>
      <c r="M67">
        <f t="shared" si="6"/>
        <v>0.73009151999695909</v>
      </c>
      <c r="N67">
        <f t="shared" si="7"/>
        <v>5.4906063720000002E-2</v>
      </c>
      <c r="O67">
        <f t="shared" si="8"/>
        <v>9.2281878179999999E-3</v>
      </c>
      <c r="P67">
        <f t="shared" si="9"/>
        <v>4.1490520240258351E-2</v>
      </c>
      <c r="V67">
        <v>0.29999999999998</v>
      </c>
      <c r="W67">
        <f t="shared" si="12"/>
        <v>-0.79897399999999807</v>
      </c>
    </row>
    <row r="68" spans="1:23" x14ac:dyDescent="0.3">
      <c r="A68" s="1">
        <v>3.3590214999999999</v>
      </c>
      <c r="B68" s="1">
        <v>0.38020464999999998</v>
      </c>
      <c r="C68">
        <f t="shared" ref="C68:C131" si="13">A68*B68</f>
        <v>1.277115593749975</v>
      </c>
      <c r="D68">
        <v>1.66E-2</v>
      </c>
      <c r="E68">
        <v>2.7899999999999999E-3</v>
      </c>
      <c r="F68">
        <f t="shared" ref="F68:F131" si="14">A68*200</f>
        <v>671.80430000000001</v>
      </c>
      <c r="G68">
        <f t="shared" ref="G68:G131" si="15">-B68</f>
        <v>-0.38020464999999998</v>
      </c>
      <c r="H68">
        <f t="shared" ref="H68:H131" si="16">-C68*200</f>
        <v>-255.42311874999498</v>
      </c>
      <c r="I68">
        <v>1</v>
      </c>
      <c r="J68">
        <f t="shared" ref="J68:J131" si="17">LN(F68/1000)</f>
        <v>-0.39778820110993079</v>
      </c>
      <c r="K68">
        <f t="shared" ref="K68:K131" si="18">((-G68)-$N$2)</f>
        <v>-0.84152050177521742</v>
      </c>
      <c r="L68">
        <v>1</v>
      </c>
      <c r="M68">
        <f t="shared" ref="M68:M131" si="19">-1*($S$4+($S$5*J68))</f>
        <v>0.7315816155368029</v>
      </c>
      <c r="N68">
        <f t="shared" ref="N68:N131" si="20">D68*A68</f>
        <v>5.5759756899999999E-2</v>
      </c>
      <c r="O68">
        <f t="shared" ref="O68:O131" si="21">E68*A68</f>
        <v>9.3716699849999991E-3</v>
      </c>
      <c r="P68">
        <f t="shared" ref="P68:P131" si="22">-K68-M68-N68-O68</f>
        <v>4.4807459353414528E-2</v>
      </c>
      <c r="V68">
        <v>0.39999999999997998</v>
      </c>
      <c r="W68">
        <f t="shared" ref="W68:W99" si="23">V68*$S$5+$S$4</f>
        <v>-0.80863199999999813</v>
      </c>
    </row>
    <row r="69" spans="1:23" x14ac:dyDescent="0.3">
      <c r="A69" s="1">
        <v>3.4094304000000002</v>
      </c>
      <c r="B69" s="1">
        <v>0.37504956</v>
      </c>
      <c r="C69">
        <f t="shared" si="13"/>
        <v>1.278705371370624</v>
      </c>
      <c r="D69">
        <v>1.66E-2</v>
      </c>
      <c r="E69">
        <v>2.7899999999999999E-3</v>
      </c>
      <c r="F69">
        <f t="shared" si="14"/>
        <v>681.88607999999999</v>
      </c>
      <c r="G69">
        <f t="shared" si="15"/>
        <v>-0.37504956</v>
      </c>
      <c r="H69">
        <f t="shared" si="16"/>
        <v>-255.7410742741248</v>
      </c>
      <c r="I69">
        <v>1</v>
      </c>
      <c r="J69">
        <f t="shared" si="17"/>
        <v>-0.38289267321426323</v>
      </c>
      <c r="K69">
        <f t="shared" si="18"/>
        <v>-0.84667559177521745</v>
      </c>
      <c r="L69">
        <v>1</v>
      </c>
      <c r="M69">
        <f t="shared" si="19"/>
        <v>0.73302022562096647</v>
      </c>
      <c r="N69">
        <f t="shared" si="20"/>
        <v>5.6596544640000003E-2</v>
      </c>
      <c r="O69">
        <f t="shared" si="21"/>
        <v>9.5123108159999997E-3</v>
      </c>
      <c r="P69">
        <f t="shared" si="22"/>
        <v>4.7546510698250978E-2</v>
      </c>
      <c r="V69">
        <v>0.49999999999998002</v>
      </c>
      <c r="W69">
        <f t="shared" si="23"/>
        <v>-0.81828999999999807</v>
      </c>
    </row>
    <row r="70" spans="1:23" x14ac:dyDescent="0.3">
      <c r="A70" s="1">
        <v>3.4603494000000001</v>
      </c>
      <c r="B70" s="1">
        <v>0.36964627999999999</v>
      </c>
      <c r="C70">
        <f t="shared" si="13"/>
        <v>1.2791052832102321</v>
      </c>
      <c r="D70">
        <v>1.66E-2</v>
      </c>
      <c r="E70">
        <v>2.7899999999999999E-3</v>
      </c>
      <c r="F70">
        <f t="shared" si="14"/>
        <v>692.06988000000001</v>
      </c>
      <c r="G70">
        <f t="shared" si="15"/>
        <v>-0.36964627999999999</v>
      </c>
      <c r="H70">
        <f t="shared" si="16"/>
        <v>-255.82105664204641</v>
      </c>
      <c r="I70">
        <v>1</v>
      </c>
      <c r="J70">
        <f t="shared" si="17"/>
        <v>-0.3680683458039134</v>
      </c>
      <c r="K70">
        <f t="shared" si="18"/>
        <v>-0.85207887177521746</v>
      </c>
      <c r="L70">
        <v>1</v>
      </c>
      <c r="M70">
        <f t="shared" si="19"/>
        <v>0.73445195916225803</v>
      </c>
      <c r="N70">
        <f t="shared" si="20"/>
        <v>5.7441800040000005E-2</v>
      </c>
      <c r="O70">
        <f t="shared" si="21"/>
        <v>9.6543748259999996E-3</v>
      </c>
      <c r="P70">
        <f t="shared" si="22"/>
        <v>5.0530737746959431E-2</v>
      </c>
      <c r="V70">
        <v>0.59999999999997999</v>
      </c>
      <c r="W70">
        <f t="shared" si="23"/>
        <v>-0.82794799999999813</v>
      </c>
    </row>
    <row r="71" spans="1:23" x14ac:dyDescent="0.3">
      <c r="A71" s="1">
        <v>3.5112673000000001</v>
      </c>
      <c r="B71" s="1">
        <v>0.36431938000000003</v>
      </c>
      <c r="C71">
        <f t="shared" si="13"/>
        <v>1.2792227257502742</v>
      </c>
      <c r="D71">
        <v>1.66E-2</v>
      </c>
      <c r="E71">
        <v>2.7899999999999999E-3</v>
      </c>
      <c r="F71">
        <f t="shared" si="14"/>
        <v>702.25346000000002</v>
      </c>
      <c r="G71">
        <f t="shared" si="15"/>
        <v>-0.36431938000000003</v>
      </c>
      <c r="H71">
        <f t="shared" si="16"/>
        <v>-255.84454515005484</v>
      </c>
      <c r="I71">
        <v>1</v>
      </c>
      <c r="J71">
        <f t="shared" si="17"/>
        <v>-0.35346088598962982</v>
      </c>
      <c r="K71">
        <f t="shared" si="18"/>
        <v>-0.85740577177521748</v>
      </c>
      <c r="L71">
        <v>1</v>
      </c>
      <c r="M71">
        <f t="shared" si="19"/>
        <v>0.73586274763112158</v>
      </c>
      <c r="N71">
        <f t="shared" si="20"/>
        <v>5.8287037180000001E-2</v>
      </c>
      <c r="O71">
        <f t="shared" si="21"/>
        <v>9.7964357670000009E-3</v>
      </c>
      <c r="P71">
        <f t="shared" si="22"/>
        <v>5.3459551197095903E-2</v>
      </c>
      <c r="V71">
        <v>0.69999999999997997</v>
      </c>
      <c r="W71">
        <f t="shared" si="23"/>
        <v>-0.83760599999999807</v>
      </c>
    </row>
    <row r="72" spans="1:23" x14ac:dyDescent="0.3">
      <c r="A72" s="1">
        <v>3.561676499999999</v>
      </c>
      <c r="B72" s="1">
        <v>0.35906884</v>
      </c>
      <c r="C72">
        <f t="shared" si="13"/>
        <v>1.2788870493102598</v>
      </c>
      <c r="D72">
        <v>1.66E-2</v>
      </c>
      <c r="E72">
        <v>2.7899999999999999E-3</v>
      </c>
      <c r="F72">
        <f t="shared" si="14"/>
        <v>712.33529999999985</v>
      </c>
      <c r="G72">
        <f t="shared" si="15"/>
        <v>-0.35906884</v>
      </c>
      <c r="H72">
        <f t="shared" si="16"/>
        <v>-255.77740986205194</v>
      </c>
      <c r="I72">
        <v>1</v>
      </c>
      <c r="J72">
        <f t="shared" si="17"/>
        <v>-0.33920655145517253</v>
      </c>
      <c r="K72">
        <f t="shared" si="18"/>
        <v>-0.86265631177521751</v>
      </c>
      <c r="L72">
        <v>1</v>
      </c>
      <c r="M72">
        <f t="shared" si="19"/>
        <v>0.73723943126045943</v>
      </c>
      <c r="N72">
        <f t="shared" si="20"/>
        <v>5.9123829899999987E-2</v>
      </c>
      <c r="O72">
        <f t="shared" si="21"/>
        <v>9.9370774349999968E-3</v>
      </c>
      <c r="P72">
        <f t="shared" si="22"/>
        <v>5.6355973179758101E-2</v>
      </c>
      <c r="V72">
        <v>0.79999999999997995</v>
      </c>
      <c r="W72">
        <f t="shared" si="23"/>
        <v>-0.84726399999999802</v>
      </c>
    </row>
    <row r="73" spans="1:23" x14ac:dyDescent="0.3">
      <c r="A73" s="1">
        <v>3.6146318000000002</v>
      </c>
      <c r="B73" s="1">
        <v>0.35347462000000002</v>
      </c>
      <c r="C73">
        <f t="shared" si="13"/>
        <v>1.2776806019449161</v>
      </c>
      <c r="D73">
        <v>1.66E-2</v>
      </c>
      <c r="E73">
        <v>2.7899999999999999E-3</v>
      </c>
      <c r="F73">
        <f t="shared" si="14"/>
        <v>722.92636000000005</v>
      </c>
      <c r="G73">
        <f t="shared" si="15"/>
        <v>-0.35347462000000002</v>
      </c>
      <c r="H73">
        <f t="shared" si="16"/>
        <v>-255.53612038898322</v>
      </c>
      <c r="I73">
        <v>1</v>
      </c>
      <c r="J73">
        <f t="shared" si="17"/>
        <v>-0.3244479153994394</v>
      </c>
      <c r="K73">
        <f t="shared" si="18"/>
        <v>-0.86825053177521738</v>
      </c>
      <c r="L73">
        <v>1</v>
      </c>
      <c r="M73">
        <f t="shared" si="19"/>
        <v>0.73866482033072212</v>
      </c>
      <c r="N73">
        <f t="shared" si="20"/>
        <v>6.0002887880000001E-2</v>
      </c>
      <c r="O73">
        <f t="shared" si="21"/>
        <v>1.0084822722E-2</v>
      </c>
      <c r="P73">
        <f t="shared" si="22"/>
        <v>5.949800084249527E-2</v>
      </c>
      <c r="V73">
        <v>0.89999999999998004</v>
      </c>
      <c r="W73">
        <f t="shared" si="23"/>
        <v>-0.85692199999999807</v>
      </c>
    </row>
    <row r="74" spans="1:23" x14ac:dyDescent="0.3">
      <c r="A74" s="1">
        <v>3.6660588000000001</v>
      </c>
      <c r="B74" s="1">
        <v>0.34755585</v>
      </c>
      <c r="C74">
        <f t="shared" si="13"/>
        <v>1.2741601823839801</v>
      </c>
      <c r="D74">
        <v>1.66E-2</v>
      </c>
      <c r="E74">
        <v>2.7899999999999999E-3</v>
      </c>
      <c r="F74">
        <f t="shared" si="14"/>
        <v>733.21176000000003</v>
      </c>
      <c r="G74">
        <f t="shared" si="15"/>
        <v>-0.34755585</v>
      </c>
      <c r="H74">
        <f t="shared" si="16"/>
        <v>-254.83203647679602</v>
      </c>
      <c r="I74">
        <v>1</v>
      </c>
      <c r="J74">
        <f t="shared" si="17"/>
        <v>-0.31032072386534593</v>
      </c>
      <c r="K74">
        <f t="shared" si="18"/>
        <v>-0.87416930177521746</v>
      </c>
      <c r="L74">
        <v>1</v>
      </c>
      <c r="M74">
        <f t="shared" si="19"/>
        <v>0.74002922448908492</v>
      </c>
      <c r="N74">
        <f t="shared" si="20"/>
        <v>6.0856576080000002E-2</v>
      </c>
      <c r="O74">
        <f t="shared" si="21"/>
        <v>1.0228304052E-2</v>
      </c>
      <c r="P74">
        <f t="shared" si="22"/>
        <v>6.3055197154132533E-2</v>
      </c>
      <c r="V74">
        <v>0.99999999999998002</v>
      </c>
      <c r="W74">
        <f t="shared" si="23"/>
        <v>-0.86657999999999813</v>
      </c>
    </row>
    <row r="75" spans="1:23" x14ac:dyDescent="0.3">
      <c r="A75" s="1">
        <v>3.7164679999999999</v>
      </c>
      <c r="B75" s="1">
        <v>0.34215256999999999</v>
      </c>
      <c r="C75">
        <f t="shared" si="13"/>
        <v>1.2715990775227599</v>
      </c>
      <c r="D75">
        <v>1.66E-2</v>
      </c>
      <c r="E75">
        <v>2.7899999999999999E-3</v>
      </c>
      <c r="F75">
        <f t="shared" si="14"/>
        <v>743.29359999999997</v>
      </c>
      <c r="G75">
        <f t="shared" si="15"/>
        <v>-0.34215256999999999</v>
      </c>
      <c r="H75">
        <f t="shared" si="16"/>
        <v>-254.31981550455197</v>
      </c>
      <c r="I75">
        <v>1</v>
      </c>
      <c r="J75">
        <f t="shared" si="17"/>
        <v>-0.29666415753953845</v>
      </c>
      <c r="K75">
        <f t="shared" si="18"/>
        <v>-0.87957258177521747</v>
      </c>
      <c r="L75">
        <v>1</v>
      </c>
      <c r="M75">
        <f t="shared" si="19"/>
        <v>0.74134817566483135</v>
      </c>
      <c r="N75">
        <f t="shared" si="20"/>
        <v>6.1693368799999995E-2</v>
      </c>
      <c r="O75">
        <f t="shared" si="21"/>
        <v>1.036894572E-2</v>
      </c>
      <c r="P75">
        <f t="shared" si="22"/>
        <v>6.6162091590386121E-2</v>
      </c>
      <c r="V75">
        <v>1.0999999999999699</v>
      </c>
      <c r="W75">
        <f t="shared" si="23"/>
        <v>-0.87623799999999707</v>
      </c>
    </row>
    <row r="76" spans="1:23" x14ac:dyDescent="0.3">
      <c r="A76" s="1">
        <v>3.7689140999999999</v>
      </c>
      <c r="B76" s="1">
        <v>0.33623375999999999</v>
      </c>
      <c r="C76">
        <f t="shared" si="13"/>
        <v>1.2672361589600158</v>
      </c>
      <c r="D76">
        <v>1.66E-2</v>
      </c>
      <c r="E76">
        <v>2.7899999999999999E-3</v>
      </c>
      <c r="F76">
        <f t="shared" si="14"/>
        <v>753.78282000000002</v>
      </c>
      <c r="G76">
        <f t="shared" si="15"/>
        <v>-0.33623375999999999</v>
      </c>
      <c r="H76">
        <f t="shared" si="16"/>
        <v>-253.44723179200318</v>
      </c>
      <c r="I76">
        <v>1</v>
      </c>
      <c r="J76">
        <f t="shared" si="17"/>
        <v>-0.28265098960012264</v>
      </c>
      <c r="K76">
        <f t="shared" si="18"/>
        <v>-0.88549139177521741</v>
      </c>
      <c r="L76">
        <v>1</v>
      </c>
      <c r="M76">
        <f t="shared" si="19"/>
        <v>0.74270156742442017</v>
      </c>
      <c r="N76">
        <f t="shared" si="20"/>
        <v>6.2563974059999999E-2</v>
      </c>
      <c r="O76">
        <f t="shared" si="21"/>
        <v>1.0515270339E-2</v>
      </c>
      <c r="P76">
        <f t="shared" si="22"/>
        <v>6.9710579951797233E-2</v>
      </c>
      <c r="V76">
        <v>1.19999999999997</v>
      </c>
      <c r="W76">
        <f t="shared" si="23"/>
        <v>-0.88589599999999713</v>
      </c>
    </row>
    <row r="77" spans="1:23" x14ac:dyDescent="0.3">
      <c r="A77" s="1">
        <v>3.8203415999999999</v>
      </c>
      <c r="B77" s="1">
        <v>0.33023860999999999</v>
      </c>
      <c r="C77">
        <f t="shared" si="13"/>
        <v>1.261624299709176</v>
      </c>
      <c r="D77">
        <v>1.66E-2</v>
      </c>
      <c r="E77">
        <v>2.7899999999999999E-3</v>
      </c>
      <c r="F77">
        <f t="shared" si="14"/>
        <v>764.06831999999997</v>
      </c>
      <c r="G77">
        <f t="shared" si="15"/>
        <v>-0.33023860999999999</v>
      </c>
      <c r="H77">
        <f t="shared" si="16"/>
        <v>-252.3248599418352</v>
      </c>
      <c r="I77">
        <v>1</v>
      </c>
      <c r="J77">
        <f t="shared" si="17"/>
        <v>-0.26909806972994194</v>
      </c>
      <c r="K77">
        <f t="shared" si="18"/>
        <v>-0.89148654177521747</v>
      </c>
      <c r="L77">
        <v>1</v>
      </c>
      <c r="M77">
        <f t="shared" si="19"/>
        <v>0.74401050842548222</v>
      </c>
      <c r="N77">
        <f t="shared" si="20"/>
        <v>6.341767056E-2</v>
      </c>
      <c r="O77">
        <f t="shared" si="21"/>
        <v>1.0658753064E-2</v>
      </c>
      <c r="P77">
        <f t="shared" si="22"/>
        <v>7.3399609725735254E-2</v>
      </c>
      <c r="V77">
        <v>1.2999999999999701</v>
      </c>
      <c r="W77">
        <f t="shared" si="23"/>
        <v>-0.89555399999999707</v>
      </c>
    </row>
    <row r="78" spans="1:23" x14ac:dyDescent="0.3">
      <c r="A78" s="1">
        <v>3.8727877999999998</v>
      </c>
      <c r="B78" s="1">
        <v>0.32451075000000001</v>
      </c>
      <c r="C78">
        <f t="shared" si="13"/>
        <v>1.25676127356885</v>
      </c>
      <c r="D78">
        <v>1.66E-2</v>
      </c>
      <c r="E78">
        <v>2.7899999999999999E-3</v>
      </c>
      <c r="F78">
        <f t="shared" si="14"/>
        <v>774.55755999999997</v>
      </c>
      <c r="G78">
        <f t="shared" si="15"/>
        <v>-0.32451075000000001</v>
      </c>
      <c r="H78">
        <f t="shared" si="16"/>
        <v>-251.35225471377001</v>
      </c>
      <c r="I78">
        <v>1</v>
      </c>
      <c r="J78">
        <f t="shared" si="17"/>
        <v>-0.25546330297129821</v>
      </c>
      <c r="K78">
        <f t="shared" si="18"/>
        <v>-0.8972144017752175</v>
      </c>
      <c r="L78">
        <v>1</v>
      </c>
      <c r="M78">
        <f t="shared" si="19"/>
        <v>0.74532735419903207</v>
      </c>
      <c r="N78">
        <f t="shared" si="20"/>
        <v>6.4288277480000003E-2</v>
      </c>
      <c r="O78">
        <f t="shared" si="21"/>
        <v>1.0805077961999998E-2</v>
      </c>
      <c r="P78">
        <f t="shared" si="22"/>
        <v>7.6793692134185423E-2</v>
      </c>
      <c r="V78">
        <v>1.3999999999999699</v>
      </c>
      <c r="W78">
        <f t="shared" si="23"/>
        <v>-0.90521199999999713</v>
      </c>
    </row>
    <row r="79" spans="1:23" x14ac:dyDescent="0.3">
      <c r="A79" s="1">
        <v>3.9247244000000001</v>
      </c>
      <c r="B79" s="1">
        <v>0.31819101999999999</v>
      </c>
      <c r="C79">
        <f t="shared" si="13"/>
        <v>1.248812060054888</v>
      </c>
      <c r="D79">
        <v>1.66E-2</v>
      </c>
      <c r="E79">
        <v>2.7899999999999999E-3</v>
      </c>
      <c r="F79">
        <f t="shared" si="14"/>
        <v>784.94488000000001</v>
      </c>
      <c r="G79">
        <f t="shared" si="15"/>
        <v>-0.31819101999999999</v>
      </c>
      <c r="H79">
        <f t="shared" si="16"/>
        <v>-249.76241201097758</v>
      </c>
      <c r="I79">
        <v>1</v>
      </c>
      <c r="J79">
        <f t="shared" si="17"/>
        <v>-0.24214178022553617</v>
      </c>
      <c r="K79">
        <f t="shared" si="18"/>
        <v>-0.90353413177521746</v>
      </c>
      <c r="L79">
        <v>1</v>
      </c>
      <c r="M79">
        <f t="shared" si="19"/>
        <v>0.74661394686581772</v>
      </c>
      <c r="N79">
        <f t="shared" si="20"/>
        <v>6.5150425040000001E-2</v>
      </c>
      <c r="O79">
        <f t="shared" si="21"/>
        <v>1.0949981076000001E-2</v>
      </c>
      <c r="P79">
        <f t="shared" si="22"/>
        <v>8.0819778793399744E-2</v>
      </c>
      <c r="V79">
        <v>1.49999999999997</v>
      </c>
      <c r="W79">
        <f t="shared" si="23"/>
        <v>-0.91486999999999719</v>
      </c>
    </row>
    <row r="80" spans="1:23" x14ac:dyDescent="0.3">
      <c r="A80" s="1">
        <v>3.9781884999999999</v>
      </c>
      <c r="B80" s="1">
        <v>0.31133666999999998</v>
      </c>
      <c r="C80">
        <f t="shared" si="13"/>
        <v>1.2385559602222949</v>
      </c>
      <c r="D80">
        <v>1.66E-2</v>
      </c>
      <c r="E80">
        <v>2.7899999999999999E-3</v>
      </c>
      <c r="F80">
        <f t="shared" si="14"/>
        <v>795.6377</v>
      </c>
      <c r="G80">
        <f t="shared" si="15"/>
        <v>-0.31133666999999998</v>
      </c>
      <c r="H80">
        <f t="shared" si="16"/>
        <v>-247.71119204445898</v>
      </c>
      <c r="I80">
        <v>1</v>
      </c>
      <c r="J80">
        <f t="shared" si="17"/>
        <v>-0.22861134750406795</v>
      </c>
      <c r="K80">
        <f t="shared" si="18"/>
        <v>-0.91038848177521747</v>
      </c>
      <c r="L80">
        <v>1</v>
      </c>
      <c r="M80">
        <f t="shared" si="19"/>
        <v>0.7479207160580571</v>
      </c>
      <c r="N80">
        <f t="shared" si="20"/>
        <v>6.6037929100000003E-2</v>
      </c>
      <c r="O80">
        <f t="shared" si="21"/>
        <v>1.1099145914999999E-2</v>
      </c>
      <c r="P80">
        <f t="shared" si="22"/>
        <v>8.5330690702160372E-2</v>
      </c>
      <c r="V80">
        <v>1.5999999999999699</v>
      </c>
      <c r="W80">
        <f t="shared" si="23"/>
        <v>-0.92452799999999713</v>
      </c>
    </row>
    <row r="81" spans="1:23" x14ac:dyDescent="0.3">
      <c r="A81" s="1">
        <v>4.0321619000000002</v>
      </c>
      <c r="B81" s="1">
        <v>0.30503604000000001</v>
      </c>
      <c r="C81">
        <f t="shared" si="13"/>
        <v>1.2299546986148762</v>
      </c>
      <c r="D81">
        <v>1.66E-2</v>
      </c>
      <c r="E81">
        <v>2.7899999999999999E-3</v>
      </c>
      <c r="F81">
        <f t="shared" si="14"/>
        <v>806.43238000000008</v>
      </c>
      <c r="G81">
        <f t="shared" si="15"/>
        <v>-0.30503604000000001</v>
      </c>
      <c r="H81">
        <f t="shared" si="16"/>
        <v>-245.99093972297524</v>
      </c>
      <c r="I81">
        <v>1</v>
      </c>
      <c r="J81">
        <f t="shared" si="17"/>
        <v>-0.21513522870133259</v>
      </c>
      <c r="K81">
        <f t="shared" si="18"/>
        <v>-0.91668911177521739</v>
      </c>
      <c r="L81">
        <v>1</v>
      </c>
      <c r="M81">
        <f t="shared" si="19"/>
        <v>0.74922223961202528</v>
      </c>
      <c r="N81">
        <f t="shared" si="20"/>
        <v>6.6933887540000001E-2</v>
      </c>
      <c r="O81">
        <f t="shared" si="21"/>
        <v>1.1249731701E-2</v>
      </c>
      <c r="P81">
        <f t="shared" si="22"/>
        <v>8.9283252922192108E-2</v>
      </c>
      <c r="V81">
        <v>1.69999999999997</v>
      </c>
      <c r="W81">
        <f t="shared" si="23"/>
        <v>-0.93418599999999707</v>
      </c>
    </row>
    <row r="82" spans="1:23" x14ac:dyDescent="0.3">
      <c r="A82" s="1">
        <v>4.0846077000000003</v>
      </c>
      <c r="B82" s="1">
        <v>0.29779982999999999</v>
      </c>
      <c r="C82">
        <f t="shared" si="13"/>
        <v>1.2163954786766911</v>
      </c>
      <c r="D82">
        <v>1.66E-2</v>
      </c>
      <c r="E82">
        <v>2.7899999999999999E-3</v>
      </c>
      <c r="F82">
        <f t="shared" si="14"/>
        <v>816.92154000000005</v>
      </c>
      <c r="G82">
        <f t="shared" si="15"/>
        <v>-0.29779982999999999</v>
      </c>
      <c r="H82">
        <f t="shared" si="16"/>
        <v>-243.27909573533822</v>
      </c>
      <c r="I82">
        <v>1</v>
      </c>
      <c r="J82">
        <f t="shared" si="17"/>
        <v>-0.20221222300544583</v>
      </c>
      <c r="K82">
        <f t="shared" si="18"/>
        <v>-0.92392532177521747</v>
      </c>
      <c r="L82">
        <v>1</v>
      </c>
      <c r="M82">
        <f t="shared" si="19"/>
        <v>0.75047034350213404</v>
      </c>
      <c r="N82">
        <f t="shared" si="20"/>
        <v>6.7804487820000009E-2</v>
      </c>
      <c r="O82">
        <f t="shared" si="21"/>
        <v>1.1396055483E-2</v>
      </c>
      <c r="P82">
        <f t="shared" si="22"/>
        <v>9.4254434970083414E-2</v>
      </c>
      <c r="V82">
        <v>1.7999999999999701</v>
      </c>
      <c r="W82">
        <f t="shared" si="23"/>
        <v>-0.94384399999999713</v>
      </c>
    </row>
    <row r="83" spans="1:23" x14ac:dyDescent="0.3">
      <c r="A83" s="1">
        <v>4.1350170999999998</v>
      </c>
      <c r="B83" s="1">
        <v>0.29098368000000002</v>
      </c>
      <c r="C83">
        <f t="shared" si="13"/>
        <v>1.2032224926209281</v>
      </c>
      <c r="D83">
        <v>1.66E-2</v>
      </c>
      <c r="E83">
        <v>2.7899999999999999E-3</v>
      </c>
      <c r="F83">
        <f t="shared" si="14"/>
        <v>827.00342000000001</v>
      </c>
      <c r="G83">
        <f t="shared" si="15"/>
        <v>-0.29098368000000002</v>
      </c>
      <c r="H83">
        <f t="shared" si="16"/>
        <v>-240.64449852418562</v>
      </c>
      <c r="I83">
        <v>1</v>
      </c>
      <c r="J83">
        <f t="shared" si="17"/>
        <v>-0.18994644853773415</v>
      </c>
      <c r="K83">
        <f t="shared" si="18"/>
        <v>-0.93074147177521738</v>
      </c>
      <c r="L83">
        <v>1</v>
      </c>
      <c r="M83">
        <f t="shared" si="19"/>
        <v>0.75165497200022569</v>
      </c>
      <c r="N83">
        <f t="shared" si="20"/>
        <v>6.8641283859999999E-2</v>
      </c>
      <c r="O83">
        <f t="shared" si="21"/>
        <v>1.1536697709E-2</v>
      </c>
      <c r="P83">
        <f t="shared" si="22"/>
        <v>9.8908518205991697E-2</v>
      </c>
      <c r="V83">
        <v>1.8999999999999699</v>
      </c>
      <c r="W83">
        <f t="shared" si="23"/>
        <v>-0.95350199999999707</v>
      </c>
    </row>
    <row r="84" spans="1:23" x14ac:dyDescent="0.3">
      <c r="A84" s="1">
        <v>4.1884813999999997</v>
      </c>
      <c r="B84" s="1">
        <v>0.28403389000000001</v>
      </c>
      <c r="C84">
        <f t="shared" si="13"/>
        <v>1.189670665234646</v>
      </c>
      <c r="D84">
        <v>1.66E-2</v>
      </c>
      <c r="E84">
        <v>2.7899999999999999E-3</v>
      </c>
      <c r="F84">
        <f t="shared" si="14"/>
        <v>837.69627999999989</v>
      </c>
      <c r="G84">
        <f t="shared" si="15"/>
        <v>-0.28403389000000001</v>
      </c>
      <c r="H84">
        <f t="shared" si="16"/>
        <v>-237.93413304692922</v>
      </c>
      <c r="I84">
        <v>1</v>
      </c>
      <c r="J84">
        <f t="shared" si="17"/>
        <v>-0.17709967856280528</v>
      </c>
      <c r="K84">
        <f t="shared" si="18"/>
        <v>-0.93769126177521744</v>
      </c>
      <c r="L84">
        <v>1</v>
      </c>
      <c r="M84">
        <f t="shared" si="19"/>
        <v>0.75289571304440428</v>
      </c>
      <c r="N84">
        <f t="shared" si="20"/>
        <v>6.9528791239999999E-2</v>
      </c>
      <c r="O84">
        <f t="shared" si="21"/>
        <v>1.1685863105999998E-2</v>
      </c>
      <c r="P84">
        <f t="shared" si="22"/>
        <v>0.10358089438481316</v>
      </c>
      <c r="V84">
        <v>1.99999999999997</v>
      </c>
      <c r="W84">
        <f t="shared" si="23"/>
        <v>-0.96315999999999713</v>
      </c>
    </row>
    <row r="85" spans="1:23" x14ac:dyDescent="0.3">
      <c r="A85" s="1">
        <v>4.2393999000000004</v>
      </c>
      <c r="B85" s="1">
        <v>0.27700770000000002</v>
      </c>
      <c r="C85">
        <f t="shared" si="13"/>
        <v>1.1743464156792303</v>
      </c>
      <c r="D85">
        <v>1.66E-2</v>
      </c>
      <c r="E85">
        <v>2.7899999999999999E-3</v>
      </c>
      <c r="F85">
        <f t="shared" si="14"/>
        <v>847.87998000000005</v>
      </c>
      <c r="G85">
        <f t="shared" si="15"/>
        <v>-0.27700770000000002</v>
      </c>
      <c r="H85">
        <f t="shared" si="16"/>
        <v>-234.86928313584605</v>
      </c>
      <c r="I85">
        <v>1</v>
      </c>
      <c r="J85">
        <f t="shared" si="17"/>
        <v>-0.16501618622584466</v>
      </c>
      <c r="K85">
        <f t="shared" si="18"/>
        <v>-0.94471745177521749</v>
      </c>
      <c r="L85">
        <v>1</v>
      </c>
      <c r="M85">
        <f t="shared" si="19"/>
        <v>0.7540627367343079</v>
      </c>
      <c r="N85">
        <f t="shared" si="20"/>
        <v>7.0374038340000014E-2</v>
      </c>
      <c r="O85">
        <f t="shared" si="21"/>
        <v>1.1827925721000001E-2</v>
      </c>
      <c r="P85">
        <f t="shared" si="22"/>
        <v>0.10845275097990957</v>
      </c>
      <c r="V85">
        <v>2.0999999999999699</v>
      </c>
      <c r="W85">
        <f t="shared" si="23"/>
        <v>-0.97281799999999707</v>
      </c>
    </row>
    <row r="86" spans="1:23" x14ac:dyDescent="0.3">
      <c r="A86" s="1">
        <v>4.2903178999999998</v>
      </c>
      <c r="B86" s="1">
        <v>0.26956150000000001</v>
      </c>
      <c r="C86">
        <f t="shared" si="13"/>
        <v>1.15650452860085</v>
      </c>
      <c r="D86">
        <v>1.66E-2</v>
      </c>
      <c r="E86">
        <v>2.7899999999999999E-3</v>
      </c>
      <c r="F86">
        <f t="shared" si="14"/>
        <v>858.06358</v>
      </c>
      <c r="G86">
        <f t="shared" si="15"/>
        <v>-0.26956150000000001</v>
      </c>
      <c r="H86">
        <f t="shared" si="16"/>
        <v>-231.30090572016999</v>
      </c>
      <c r="I86">
        <v>1</v>
      </c>
      <c r="J86">
        <f t="shared" si="17"/>
        <v>-0.15307707967553152</v>
      </c>
      <c r="K86">
        <f t="shared" si="18"/>
        <v>-0.95216365177521745</v>
      </c>
      <c r="L86">
        <v>1</v>
      </c>
      <c r="M86">
        <f t="shared" si="19"/>
        <v>0.75521581564493723</v>
      </c>
      <c r="N86">
        <f t="shared" si="20"/>
        <v>7.1219277139999995E-2</v>
      </c>
      <c r="O86">
        <f t="shared" si="21"/>
        <v>1.1969986940999999E-2</v>
      </c>
      <c r="P86">
        <f t="shared" si="22"/>
        <v>0.11375857204928023</v>
      </c>
      <c r="V86">
        <v>2.19999999999997</v>
      </c>
      <c r="W86">
        <f t="shared" si="23"/>
        <v>-0.98247599999999713</v>
      </c>
    </row>
    <row r="87" spans="1:23" x14ac:dyDescent="0.3">
      <c r="A87" s="1">
        <v>4.3422548999999986</v>
      </c>
      <c r="B87" s="1">
        <v>0.26163796</v>
      </c>
      <c r="C87">
        <f t="shared" si="13"/>
        <v>1.1360987138360037</v>
      </c>
      <c r="D87">
        <v>1.66E-2</v>
      </c>
      <c r="E87">
        <v>2.7899999999999999E-3</v>
      </c>
      <c r="F87">
        <f t="shared" si="14"/>
        <v>868.45097999999973</v>
      </c>
      <c r="G87">
        <f t="shared" si="15"/>
        <v>-0.26163796</v>
      </c>
      <c r="H87">
        <f t="shared" si="16"/>
        <v>-227.21974276720073</v>
      </c>
      <c r="I87">
        <v>1</v>
      </c>
      <c r="J87">
        <f t="shared" si="17"/>
        <v>-0.1410441370355188</v>
      </c>
      <c r="K87">
        <f t="shared" si="18"/>
        <v>-0.9600871917752174</v>
      </c>
      <c r="L87">
        <v>1</v>
      </c>
      <c r="M87">
        <f t="shared" si="19"/>
        <v>0.75637795724510959</v>
      </c>
      <c r="N87">
        <f t="shared" si="20"/>
        <v>7.2081431339999974E-2</v>
      </c>
      <c r="O87">
        <f t="shared" si="21"/>
        <v>1.2114891170999996E-2</v>
      </c>
      <c r="P87">
        <f t="shared" si="22"/>
        <v>0.11951291201910784</v>
      </c>
      <c r="V87">
        <v>2.2999999999999701</v>
      </c>
      <c r="W87">
        <f t="shared" si="23"/>
        <v>-0.99213399999999718</v>
      </c>
    </row>
    <row r="88" spans="1:23" x14ac:dyDescent="0.3">
      <c r="A88" s="1">
        <v>4.3926635999999997</v>
      </c>
      <c r="B88" s="1">
        <v>0.25365713000000001</v>
      </c>
      <c r="C88">
        <f t="shared" si="13"/>
        <v>1.1142304418314679</v>
      </c>
      <c r="D88">
        <v>1.66E-2</v>
      </c>
      <c r="E88">
        <v>2.7899999999999999E-3</v>
      </c>
      <c r="F88">
        <f t="shared" si="14"/>
        <v>878.53271999999993</v>
      </c>
      <c r="G88">
        <f t="shared" si="15"/>
        <v>-0.25365713000000001</v>
      </c>
      <c r="H88">
        <f t="shared" si="16"/>
        <v>-222.84608836629357</v>
      </c>
      <c r="I88">
        <v>1</v>
      </c>
      <c r="J88">
        <f t="shared" si="17"/>
        <v>-0.12950212674407807</v>
      </c>
      <c r="K88">
        <f t="shared" si="18"/>
        <v>-0.96806802177521745</v>
      </c>
      <c r="L88">
        <v>1</v>
      </c>
      <c r="M88">
        <f t="shared" si="19"/>
        <v>0.75749268459905694</v>
      </c>
      <c r="N88">
        <f t="shared" si="20"/>
        <v>7.2918215760000002E-2</v>
      </c>
      <c r="O88">
        <f t="shared" si="21"/>
        <v>1.2255531443999998E-2</v>
      </c>
      <c r="P88">
        <f t="shared" si="22"/>
        <v>0.1254015899721605</v>
      </c>
      <c r="V88">
        <v>2.3999999999999702</v>
      </c>
      <c r="W88">
        <f t="shared" si="23"/>
        <v>-1.0017919999999971</v>
      </c>
    </row>
    <row r="89" spans="1:23" x14ac:dyDescent="0.3">
      <c r="A89" s="1">
        <v>4.3987739000000001</v>
      </c>
      <c r="B89" s="1">
        <v>0.25144237000000003</v>
      </c>
      <c r="C89">
        <f t="shared" si="13"/>
        <v>1.1060381345101431</v>
      </c>
      <c r="D89">
        <v>1.66E-2</v>
      </c>
      <c r="E89">
        <v>2.7899999999999999E-3</v>
      </c>
      <c r="F89">
        <f t="shared" si="14"/>
        <v>879.75477999999998</v>
      </c>
      <c r="G89">
        <f t="shared" si="15"/>
        <v>-0.25144237000000003</v>
      </c>
      <c r="H89">
        <f t="shared" si="16"/>
        <v>-221.20762690202861</v>
      </c>
      <c r="I89">
        <v>1</v>
      </c>
      <c r="J89">
        <f t="shared" si="17"/>
        <v>-0.12811206943345271</v>
      </c>
      <c r="K89">
        <f t="shared" si="18"/>
        <v>-0.97028278177521743</v>
      </c>
      <c r="L89">
        <v>1</v>
      </c>
      <c r="M89">
        <f t="shared" si="19"/>
        <v>0.75762693633411715</v>
      </c>
      <c r="N89">
        <f t="shared" si="20"/>
        <v>7.3019646739999999E-2</v>
      </c>
      <c r="O89">
        <f t="shared" si="21"/>
        <v>1.2272579181E-2</v>
      </c>
      <c r="P89">
        <f t="shared" si="22"/>
        <v>0.12736361952010028</v>
      </c>
      <c r="V89">
        <v>2.4999999999999698</v>
      </c>
      <c r="W89">
        <f t="shared" si="23"/>
        <v>-1.0114499999999971</v>
      </c>
    </row>
    <row r="90" spans="1:23" x14ac:dyDescent="0.3">
      <c r="C90">
        <f t="shared" si="13"/>
        <v>0</v>
      </c>
      <c r="D90">
        <v>1.66E-2</v>
      </c>
      <c r="E90">
        <v>2.7899999999999999E-3</v>
      </c>
      <c r="F90">
        <f t="shared" si="14"/>
        <v>0</v>
      </c>
      <c r="G90">
        <f t="shared" si="15"/>
        <v>0</v>
      </c>
      <c r="H90">
        <f t="shared" si="16"/>
        <v>0</v>
      </c>
      <c r="I90">
        <v>1</v>
      </c>
      <c r="J90" t="e">
        <f t="shared" si="17"/>
        <v>#NUM!</v>
      </c>
      <c r="K90">
        <f t="shared" si="18"/>
        <v>-1.2217251517752175</v>
      </c>
      <c r="L90">
        <v>1</v>
      </c>
      <c r="M90" t="e">
        <f t="shared" si="19"/>
        <v>#NUM!</v>
      </c>
      <c r="N90">
        <f t="shared" si="20"/>
        <v>0</v>
      </c>
      <c r="O90">
        <f t="shared" si="21"/>
        <v>0</v>
      </c>
      <c r="P90" t="e">
        <f t="shared" si="22"/>
        <v>#NUM!</v>
      </c>
      <c r="V90">
        <v>2.5999999999999699</v>
      </c>
      <c r="W90">
        <f t="shared" si="23"/>
        <v>-1.0211079999999972</v>
      </c>
    </row>
    <row r="91" spans="1:23" x14ac:dyDescent="0.3">
      <c r="C91">
        <f t="shared" si="13"/>
        <v>0</v>
      </c>
      <c r="D91">
        <v>1.66E-2</v>
      </c>
      <c r="E91">
        <v>2.7899999999999999E-3</v>
      </c>
      <c r="F91">
        <f t="shared" si="14"/>
        <v>0</v>
      </c>
      <c r="G91">
        <f t="shared" si="15"/>
        <v>0</v>
      </c>
      <c r="H91">
        <f t="shared" si="16"/>
        <v>0</v>
      </c>
      <c r="I91">
        <v>1</v>
      </c>
      <c r="J91" t="e">
        <f t="shared" si="17"/>
        <v>#NUM!</v>
      </c>
      <c r="K91">
        <f t="shared" si="18"/>
        <v>-1.2217251517752175</v>
      </c>
      <c r="L91">
        <v>1</v>
      </c>
      <c r="M91" t="e">
        <f t="shared" si="19"/>
        <v>#NUM!</v>
      </c>
      <c r="N91">
        <f t="shared" si="20"/>
        <v>0</v>
      </c>
      <c r="O91">
        <f t="shared" si="21"/>
        <v>0</v>
      </c>
      <c r="P91" t="e">
        <f t="shared" si="22"/>
        <v>#NUM!</v>
      </c>
      <c r="V91">
        <v>2.69999999999997</v>
      </c>
      <c r="W91">
        <f t="shared" si="23"/>
        <v>-1.0307659999999972</v>
      </c>
    </row>
    <row r="92" spans="1:23" x14ac:dyDescent="0.3">
      <c r="C92">
        <f t="shared" si="13"/>
        <v>0</v>
      </c>
      <c r="D92">
        <v>1.66E-2</v>
      </c>
      <c r="E92">
        <v>2.7899999999999999E-3</v>
      </c>
      <c r="F92">
        <f t="shared" si="14"/>
        <v>0</v>
      </c>
      <c r="G92">
        <f t="shared" si="15"/>
        <v>0</v>
      </c>
      <c r="H92">
        <f t="shared" si="16"/>
        <v>0</v>
      </c>
      <c r="I92">
        <v>1</v>
      </c>
      <c r="J92" t="e">
        <f t="shared" si="17"/>
        <v>#NUM!</v>
      </c>
      <c r="K92">
        <f t="shared" si="18"/>
        <v>-1.2217251517752175</v>
      </c>
      <c r="L92">
        <v>1</v>
      </c>
      <c r="M92" t="e">
        <f t="shared" si="19"/>
        <v>#NUM!</v>
      </c>
      <c r="N92">
        <f t="shared" si="20"/>
        <v>0</v>
      </c>
      <c r="O92">
        <f t="shared" si="21"/>
        <v>0</v>
      </c>
      <c r="P92" t="e">
        <f t="shared" si="22"/>
        <v>#NUM!</v>
      </c>
      <c r="V92">
        <v>2.7999999999999701</v>
      </c>
      <c r="W92">
        <f t="shared" si="23"/>
        <v>-1.0404239999999971</v>
      </c>
    </row>
    <row r="93" spans="1:23" x14ac:dyDescent="0.3">
      <c r="C93">
        <f t="shared" si="13"/>
        <v>0</v>
      </c>
      <c r="D93">
        <v>1.66E-2</v>
      </c>
      <c r="E93">
        <v>2.7899999999999999E-3</v>
      </c>
      <c r="F93">
        <f t="shared" si="14"/>
        <v>0</v>
      </c>
      <c r="G93">
        <f t="shared" si="15"/>
        <v>0</v>
      </c>
      <c r="H93">
        <f t="shared" si="16"/>
        <v>0</v>
      </c>
      <c r="I93">
        <v>1</v>
      </c>
      <c r="J93" t="e">
        <f t="shared" si="17"/>
        <v>#NUM!</v>
      </c>
      <c r="K93">
        <f t="shared" si="18"/>
        <v>-1.2217251517752175</v>
      </c>
      <c r="L93">
        <v>1</v>
      </c>
      <c r="M93" t="e">
        <f t="shared" si="19"/>
        <v>#NUM!</v>
      </c>
      <c r="N93">
        <f t="shared" si="20"/>
        <v>0</v>
      </c>
      <c r="O93">
        <f t="shared" si="21"/>
        <v>0</v>
      </c>
      <c r="P93" t="e">
        <f t="shared" si="22"/>
        <v>#NUM!</v>
      </c>
      <c r="V93">
        <v>2.8999999999999702</v>
      </c>
      <c r="W93">
        <f t="shared" si="23"/>
        <v>-1.0500819999999971</v>
      </c>
    </row>
    <row r="94" spans="1:23" x14ac:dyDescent="0.3">
      <c r="C94">
        <f t="shared" si="13"/>
        <v>0</v>
      </c>
      <c r="D94">
        <v>1.66E-2</v>
      </c>
      <c r="E94">
        <v>2.7899999999999999E-3</v>
      </c>
      <c r="F94">
        <f t="shared" si="14"/>
        <v>0</v>
      </c>
      <c r="G94">
        <f t="shared" si="15"/>
        <v>0</v>
      </c>
      <c r="H94">
        <f t="shared" si="16"/>
        <v>0</v>
      </c>
      <c r="I94">
        <v>1</v>
      </c>
      <c r="J94" t="e">
        <f t="shared" si="17"/>
        <v>#NUM!</v>
      </c>
      <c r="K94">
        <f t="shared" si="18"/>
        <v>-1.2217251517752175</v>
      </c>
      <c r="L94">
        <v>1</v>
      </c>
      <c r="M94" t="e">
        <f t="shared" si="19"/>
        <v>#NUM!</v>
      </c>
      <c r="N94">
        <f t="shared" si="20"/>
        <v>0</v>
      </c>
      <c r="O94">
        <f t="shared" si="21"/>
        <v>0</v>
      </c>
      <c r="P94" t="e">
        <f t="shared" si="22"/>
        <v>#NUM!</v>
      </c>
      <c r="V94">
        <v>2.9999999999999698</v>
      </c>
      <c r="W94">
        <f t="shared" si="23"/>
        <v>-1.059739999999997</v>
      </c>
    </row>
    <row r="95" spans="1:23" x14ac:dyDescent="0.3">
      <c r="C95">
        <f t="shared" si="13"/>
        <v>0</v>
      </c>
      <c r="D95">
        <v>1.66E-2</v>
      </c>
      <c r="E95">
        <v>2.7899999999999999E-3</v>
      </c>
      <c r="F95">
        <f t="shared" si="14"/>
        <v>0</v>
      </c>
      <c r="G95">
        <f t="shared" si="15"/>
        <v>0</v>
      </c>
      <c r="H95">
        <f t="shared" si="16"/>
        <v>0</v>
      </c>
      <c r="I95">
        <v>1</v>
      </c>
      <c r="J95" t="e">
        <f t="shared" si="17"/>
        <v>#NUM!</v>
      </c>
      <c r="K95">
        <f t="shared" si="18"/>
        <v>-1.2217251517752175</v>
      </c>
      <c r="L95">
        <v>1</v>
      </c>
      <c r="M95" t="e">
        <f t="shared" si="19"/>
        <v>#NUM!</v>
      </c>
      <c r="N95">
        <f t="shared" si="20"/>
        <v>0</v>
      </c>
      <c r="O95">
        <f t="shared" si="21"/>
        <v>0</v>
      </c>
      <c r="P95" t="e">
        <f t="shared" si="22"/>
        <v>#NUM!</v>
      </c>
      <c r="V95">
        <v>3.0999999999999699</v>
      </c>
      <c r="W95">
        <f t="shared" si="23"/>
        <v>-1.0693979999999972</v>
      </c>
    </row>
    <row r="96" spans="1:23" x14ac:dyDescent="0.3">
      <c r="C96">
        <f t="shared" si="13"/>
        <v>0</v>
      </c>
      <c r="D96">
        <v>1.66E-2</v>
      </c>
      <c r="E96">
        <v>2.7899999999999999E-3</v>
      </c>
      <c r="F96">
        <f t="shared" si="14"/>
        <v>0</v>
      </c>
      <c r="G96">
        <f t="shared" si="15"/>
        <v>0</v>
      </c>
      <c r="H96">
        <f t="shared" si="16"/>
        <v>0</v>
      </c>
      <c r="I96">
        <v>1</v>
      </c>
      <c r="J96" t="e">
        <f t="shared" si="17"/>
        <v>#NUM!</v>
      </c>
      <c r="K96">
        <f t="shared" si="18"/>
        <v>-1.2217251517752175</v>
      </c>
      <c r="L96">
        <v>1</v>
      </c>
      <c r="M96" t="e">
        <f t="shared" si="19"/>
        <v>#NUM!</v>
      </c>
      <c r="N96">
        <f t="shared" si="20"/>
        <v>0</v>
      </c>
      <c r="O96">
        <f t="shared" si="21"/>
        <v>0</v>
      </c>
      <c r="P96" t="e">
        <f t="shared" si="22"/>
        <v>#NUM!</v>
      </c>
      <c r="V96">
        <v>3.19999999999997</v>
      </c>
      <c r="W96">
        <f t="shared" si="23"/>
        <v>-1.0790559999999971</v>
      </c>
    </row>
    <row r="97" spans="3:23" x14ac:dyDescent="0.3">
      <c r="C97">
        <f t="shared" si="13"/>
        <v>0</v>
      </c>
      <c r="D97">
        <v>1.66E-2</v>
      </c>
      <c r="E97">
        <v>2.7899999999999999E-3</v>
      </c>
      <c r="F97">
        <f t="shared" si="14"/>
        <v>0</v>
      </c>
      <c r="G97">
        <f t="shared" si="15"/>
        <v>0</v>
      </c>
      <c r="H97">
        <f t="shared" si="16"/>
        <v>0</v>
      </c>
      <c r="I97">
        <v>1</v>
      </c>
      <c r="J97" t="e">
        <f t="shared" si="17"/>
        <v>#NUM!</v>
      </c>
      <c r="K97">
        <f t="shared" si="18"/>
        <v>-1.2217251517752175</v>
      </c>
      <c r="L97">
        <v>1</v>
      </c>
      <c r="M97" t="e">
        <f t="shared" si="19"/>
        <v>#NUM!</v>
      </c>
      <c r="N97">
        <f t="shared" si="20"/>
        <v>0</v>
      </c>
      <c r="O97">
        <f t="shared" si="21"/>
        <v>0</v>
      </c>
      <c r="P97" t="e">
        <f t="shared" si="22"/>
        <v>#NUM!</v>
      </c>
      <c r="V97">
        <v>3.2999999999999701</v>
      </c>
      <c r="W97">
        <f t="shared" si="23"/>
        <v>-1.0887139999999971</v>
      </c>
    </row>
    <row r="98" spans="3:23" x14ac:dyDescent="0.3">
      <c r="C98">
        <f t="shared" si="13"/>
        <v>0</v>
      </c>
      <c r="D98">
        <v>1.66E-2</v>
      </c>
      <c r="E98">
        <v>2.7899999999999999E-3</v>
      </c>
      <c r="F98">
        <f t="shared" si="14"/>
        <v>0</v>
      </c>
      <c r="G98">
        <f t="shared" si="15"/>
        <v>0</v>
      </c>
      <c r="H98">
        <f t="shared" si="16"/>
        <v>0</v>
      </c>
      <c r="I98">
        <v>1</v>
      </c>
      <c r="J98" t="e">
        <f t="shared" si="17"/>
        <v>#NUM!</v>
      </c>
      <c r="K98">
        <f t="shared" si="18"/>
        <v>-1.2217251517752175</v>
      </c>
      <c r="L98">
        <v>1</v>
      </c>
      <c r="M98" t="e">
        <f t="shared" si="19"/>
        <v>#NUM!</v>
      </c>
      <c r="N98">
        <f t="shared" si="20"/>
        <v>0</v>
      </c>
      <c r="O98">
        <f t="shared" si="21"/>
        <v>0</v>
      </c>
      <c r="P98" t="e">
        <f t="shared" si="22"/>
        <v>#NUM!</v>
      </c>
      <c r="V98">
        <v>3.3999999999999702</v>
      </c>
      <c r="W98">
        <f t="shared" si="23"/>
        <v>-1.0983719999999972</v>
      </c>
    </row>
    <row r="99" spans="3:23" x14ac:dyDescent="0.3">
      <c r="C99">
        <f t="shared" si="13"/>
        <v>0</v>
      </c>
      <c r="D99">
        <v>1.66E-2</v>
      </c>
      <c r="E99">
        <v>2.7899999999999999E-3</v>
      </c>
      <c r="F99">
        <f t="shared" si="14"/>
        <v>0</v>
      </c>
      <c r="G99">
        <f t="shared" si="15"/>
        <v>0</v>
      </c>
      <c r="H99">
        <f t="shared" si="16"/>
        <v>0</v>
      </c>
      <c r="I99">
        <v>1</v>
      </c>
      <c r="J99" t="e">
        <f t="shared" si="17"/>
        <v>#NUM!</v>
      </c>
      <c r="K99">
        <f t="shared" si="18"/>
        <v>-1.2217251517752175</v>
      </c>
      <c r="L99">
        <v>1</v>
      </c>
      <c r="M99" t="e">
        <f t="shared" si="19"/>
        <v>#NUM!</v>
      </c>
      <c r="N99">
        <f t="shared" si="20"/>
        <v>0</v>
      </c>
      <c r="O99">
        <f t="shared" si="21"/>
        <v>0</v>
      </c>
      <c r="P99" t="e">
        <f t="shared" si="22"/>
        <v>#NUM!</v>
      </c>
      <c r="V99">
        <v>3.4999999999999698</v>
      </c>
      <c r="W99">
        <f t="shared" si="23"/>
        <v>-1.1080299999999972</v>
      </c>
    </row>
    <row r="100" spans="3:23" x14ac:dyDescent="0.3">
      <c r="C100">
        <f t="shared" si="13"/>
        <v>0</v>
      </c>
      <c r="D100">
        <v>1.66E-2</v>
      </c>
      <c r="E100">
        <v>2.7899999999999999E-3</v>
      </c>
      <c r="F100">
        <f t="shared" si="14"/>
        <v>0</v>
      </c>
      <c r="G100">
        <f t="shared" si="15"/>
        <v>0</v>
      </c>
      <c r="H100">
        <f t="shared" si="16"/>
        <v>0</v>
      </c>
      <c r="I100">
        <v>1</v>
      </c>
      <c r="J100" t="e">
        <f t="shared" si="17"/>
        <v>#NUM!</v>
      </c>
      <c r="K100">
        <f t="shared" si="18"/>
        <v>-1.2217251517752175</v>
      </c>
      <c r="L100">
        <v>1</v>
      </c>
      <c r="M100" t="e">
        <f t="shared" si="19"/>
        <v>#NUM!</v>
      </c>
      <c r="N100">
        <f t="shared" si="20"/>
        <v>0</v>
      </c>
      <c r="O100">
        <f t="shared" si="21"/>
        <v>0</v>
      </c>
      <c r="P100" t="e">
        <f t="shared" si="22"/>
        <v>#NUM!</v>
      </c>
      <c r="V100">
        <v>3.5999999999999699</v>
      </c>
      <c r="W100">
        <f t="shared" ref="W100:W131" si="24">V100*$S$5+$S$4</f>
        <v>-1.1176879999999971</v>
      </c>
    </row>
    <row r="101" spans="3:23" x14ac:dyDescent="0.3">
      <c r="C101">
        <f t="shared" si="13"/>
        <v>0</v>
      </c>
      <c r="D101">
        <v>1.66E-2</v>
      </c>
      <c r="E101">
        <v>2.7899999999999999E-3</v>
      </c>
      <c r="F101">
        <f t="shared" si="14"/>
        <v>0</v>
      </c>
      <c r="G101">
        <f t="shared" si="15"/>
        <v>0</v>
      </c>
      <c r="H101">
        <f t="shared" si="16"/>
        <v>0</v>
      </c>
      <c r="I101">
        <v>1</v>
      </c>
      <c r="J101" t="e">
        <f t="shared" si="17"/>
        <v>#NUM!</v>
      </c>
      <c r="K101">
        <f t="shared" si="18"/>
        <v>-1.2217251517752175</v>
      </c>
      <c r="L101">
        <v>1</v>
      </c>
      <c r="M101" t="e">
        <f t="shared" si="19"/>
        <v>#NUM!</v>
      </c>
      <c r="N101">
        <f t="shared" si="20"/>
        <v>0</v>
      </c>
      <c r="O101">
        <f t="shared" si="21"/>
        <v>0</v>
      </c>
      <c r="P101" t="e">
        <f t="shared" si="22"/>
        <v>#NUM!</v>
      </c>
      <c r="V101">
        <v>3.69999999999997</v>
      </c>
      <c r="W101">
        <f t="shared" si="24"/>
        <v>-1.1273459999999971</v>
      </c>
    </row>
    <row r="102" spans="3:23" x14ac:dyDescent="0.3">
      <c r="C102">
        <f t="shared" si="13"/>
        <v>0</v>
      </c>
      <c r="D102">
        <v>1.66E-2</v>
      </c>
      <c r="E102">
        <v>2.7899999999999999E-3</v>
      </c>
      <c r="F102">
        <f t="shared" si="14"/>
        <v>0</v>
      </c>
      <c r="G102">
        <f t="shared" si="15"/>
        <v>0</v>
      </c>
      <c r="H102">
        <f t="shared" si="16"/>
        <v>0</v>
      </c>
      <c r="I102">
        <v>1</v>
      </c>
      <c r="J102" t="e">
        <f t="shared" si="17"/>
        <v>#NUM!</v>
      </c>
      <c r="K102">
        <f t="shared" si="18"/>
        <v>-1.2217251517752175</v>
      </c>
      <c r="L102">
        <v>1</v>
      </c>
      <c r="M102" t="e">
        <f t="shared" si="19"/>
        <v>#NUM!</v>
      </c>
      <c r="N102">
        <f t="shared" si="20"/>
        <v>0</v>
      </c>
      <c r="O102">
        <f t="shared" si="21"/>
        <v>0</v>
      </c>
      <c r="P102" t="e">
        <f t="shared" si="22"/>
        <v>#NUM!</v>
      </c>
      <c r="V102">
        <v>3.7999999999999701</v>
      </c>
      <c r="W102">
        <f t="shared" si="24"/>
        <v>-1.137003999999997</v>
      </c>
    </row>
    <row r="103" spans="3:23" x14ac:dyDescent="0.3">
      <c r="C103">
        <f t="shared" si="13"/>
        <v>0</v>
      </c>
      <c r="D103">
        <v>1.66E-2</v>
      </c>
      <c r="E103">
        <v>2.7899999999999999E-3</v>
      </c>
      <c r="F103">
        <f t="shared" si="14"/>
        <v>0</v>
      </c>
      <c r="G103">
        <f t="shared" si="15"/>
        <v>0</v>
      </c>
      <c r="H103">
        <f t="shared" si="16"/>
        <v>0</v>
      </c>
      <c r="I103">
        <v>1</v>
      </c>
      <c r="J103" t="e">
        <f t="shared" si="17"/>
        <v>#NUM!</v>
      </c>
      <c r="K103">
        <f t="shared" si="18"/>
        <v>-1.2217251517752175</v>
      </c>
      <c r="L103">
        <v>1</v>
      </c>
      <c r="M103" t="e">
        <f t="shared" si="19"/>
        <v>#NUM!</v>
      </c>
      <c r="N103">
        <f t="shared" si="20"/>
        <v>0</v>
      </c>
      <c r="O103">
        <f t="shared" si="21"/>
        <v>0</v>
      </c>
      <c r="P103" t="e">
        <f t="shared" si="22"/>
        <v>#NUM!</v>
      </c>
      <c r="V103">
        <v>3.8999999999999599</v>
      </c>
      <c r="W103">
        <f t="shared" si="24"/>
        <v>-1.1466619999999961</v>
      </c>
    </row>
    <row r="104" spans="3:23" x14ac:dyDescent="0.3">
      <c r="C104">
        <f t="shared" si="13"/>
        <v>0</v>
      </c>
      <c r="D104">
        <v>1.66E-2</v>
      </c>
      <c r="E104">
        <v>2.7899999999999999E-3</v>
      </c>
      <c r="F104">
        <f t="shared" si="14"/>
        <v>0</v>
      </c>
      <c r="G104">
        <f t="shared" si="15"/>
        <v>0</v>
      </c>
      <c r="H104">
        <f t="shared" si="16"/>
        <v>0</v>
      </c>
      <c r="I104">
        <v>1</v>
      </c>
      <c r="J104" t="e">
        <f t="shared" si="17"/>
        <v>#NUM!</v>
      </c>
      <c r="K104">
        <f t="shared" si="18"/>
        <v>-1.2217251517752175</v>
      </c>
      <c r="L104">
        <v>1</v>
      </c>
      <c r="M104" t="e">
        <f t="shared" si="19"/>
        <v>#NUM!</v>
      </c>
      <c r="N104">
        <f t="shared" si="20"/>
        <v>0</v>
      </c>
      <c r="O104">
        <f t="shared" si="21"/>
        <v>0</v>
      </c>
      <c r="P104" t="e">
        <f t="shared" si="22"/>
        <v>#NUM!</v>
      </c>
      <c r="V104">
        <v>3.99999999999996</v>
      </c>
      <c r="W104">
        <f t="shared" si="24"/>
        <v>-1.156319999999996</v>
      </c>
    </row>
    <row r="105" spans="3:23" x14ac:dyDescent="0.3">
      <c r="C105">
        <f t="shared" si="13"/>
        <v>0</v>
      </c>
      <c r="D105">
        <v>1.66E-2</v>
      </c>
      <c r="E105">
        <v>2.7899999999999999E-3</v>
      </c>
      <c r="F105">
        <f t="shared" si="14"/>
        <v>0</v>
      </c>
      <c r="G105">
        <f t="shared" si="15"/>
        <v>0</v>
      </c>
      <c r="H105">
        <f t="shared" si="16"/>
        <v>0</v>
      </c>
      <c r="I105">
        <v>1</v>
      </c>
      <c r="J105" t="e">
        <f t="shared" si="17"/>
        <v>#NUM!</v>
      </c>
      <c r="K105">
        <f t="shared" si="18"/>
        <v>-1.2217251517752175</v>
      </c>
      <c r="L105">
        <v>1</v>
      </c>
      <c r="M105" t="e">
        <f t="shared" si="19"/>
        <v>#NUM!</v>
      </c>
      <c r="N105">
        <f t="shared" si="20"/>
        <v>0</v>
      </c>
      <c r="O105">
        <f t="shared" si="21"/>
        <v>0</v>
      </c>
      <c r="P105" t="e">
        <f t="shared" si="22"/>
        <v>#NUM!</v>
      </c>
      <c r="V105">
        <v>4.0999999999999996</v>
      </c>
      <c r="W105">
        <f t="shared" si="24"/>
        <v>-1.165978</v>
      </c>
    </row>
    <row r="106" spans="3:23" x14ac:dyDescent="0.3">
      <c r="C106">
        <f t="shared" si="13"/>
        <v>0</v>
      </c>
      <c r="D106">
        <v>1.66E-2</v>
      </c>
      <c r="E106">
        <v>2.7899999999999999E-3</v>
      </c>
      <c r="F106">
        <f t="shared" si="14"/>
        <v>0</v>
      </c>
      <c r="G106">
        <f t="shared" si="15"/>
        <v>0</v>
      </c>
      <c r="H106">
        <f t="shared" si="16"/>
        <v>0</v>
      </c>
      <c r="I106">
        <v>1</v>
      </c>
      <c r="J106" t="e">
        <f t="shared" si="17"/>
        <v>#NUM!</v>
      </c>
      <c r="K106">
        <f t="shared" si="18"/>
        <v>-1.2217251517752175</v>
      </c>
      <c r="L106">
        <v>1</v>
      </c>
      <c r="M106" t="e">
        <f t="shared" si="19"/>
        <v>#NUM!</v>
      </c>
      <c r="N106">
        <f t="shared" si="20"/>
        <v>0</v>
      </c>
      <c r="O106">
        <f t="shared" si="21"/>
        <v>0</v>
      </c>
      <c r="P106" t="e">
        <f t="shared" si="22"/>
        <v>#NUM!</v>
      </c>
      <c r="V106">
        <v>4.2</v>
      </c>
      <c r="W106">
        <f t="shared" si="24"/>
        <v>-1.1756359999999999</v>
      </c>
    </row>
    <row r="107" spans="3:23" x14ac:dyDescent="0.3">
      <c r="C107">
        <f t="shared" si="13"/>
        <v>0</v>
      </c>
      <c r="D107">
        <v>1.66E-2</v>
      </c>
      <c r="E107">
        <v>2.7899999999999999E-3</v>
      </c>
      <c r="F107">
        <f t="shared" si="14"/>
        <v>0</v>
      </c>
      <c r="G107">
        <f t="shared" si="15"/>
        <v>0</v>
      </c>
      <c r="H107">
        <f t="shared" si="16"/>
        <v>0</v>
      </c>
      <c r="I107">
        <v>1</v>
      </c>
      <c r="J107" t="e">
        <f t="shared" si="17"/>
        <v>#NUM!</v>
      </c>
      <c r="K107">
        <f t="shared" si="18"/>
        <v>-1.2217251517752175</v>
      </c>
      <c r="L107">
        <v>1</v>
      </c>
      <c r="M107" t="e">
        <f t="shared" si="19"/>
        <v>#NUM!</v>
      </c>
      <c r="N107">
        <f t="shared" si="20"/>
        <v>0</v>
      </c>
      <c r="O107">
        <f t="shared" si="21"/>
        <v>0</v>
      </c>
      <c r="P107" t="e">
        <f t="shared" si="22"/>
        <v>#NUM!</v>
      </c>
      <c r="V107">
        <v>4.3</v>
      </c>
      <c r="W107">
        <f t="shared" si="24"/>
        <v>-1.1852940000000001</v>
      </c>
    </row>
    <row r="108" spans="3:23" x14ac:dyDescent="0.3">
      <c r="C108">
        <f t="shared" si="13"/>
        <v>0</v>
      </c>
      <c r="D108">
        <v>1.66E-2</v>
      </c>
      <c r="E108">
        <v>2.7899999999999999E-3</v>
      </c>
      <c r="F108">
        <f t="shared" si="14"/>
        <v>0</v>
      </c>
      <c r="G108">
        <f t="shared" si="15"/>
        <v>0</v>
      </c>
      <c r="H108">
        <f t="shared" si="16"/>
        <v>0</v>
      </c>
      <c r="I108">
        <v>1</v>
      </c>
      <c r="J108" t="e">
        <f t="shared" si="17"/>
        <v>#NUM!</v>
      </c>
      <c r="K108">
        <f t="shared" si="18"/>
        <v>-1.2217251517752175</v>
      </c>
      <c r="L108">
        <v>1</v>
      </c>
      <c r="M108" t="e">
        <f t="shared" si="19"/>
        <v>#NUM!</v>
      </c>
      <c r="N108">
        <f t="shared" si="20"/>
        <v>0</v>
      </c>
      <c r="O108">
        <f t="shared" si="21"/>
        <v>0</v>
      </c>
      <c r="P108" t="e">
        <f t="shared" si="22"/>
        <v>#NUM!</v>
      </c>
      <c r="V108">
        <v>4.4000000000000004</v>
      </c>
      <c r="W108">
        <f t="shared" si="24"/>
        <v>-1.194952</v>
      </c>
    </row>
    <row r="109" spans="3:23" x14ac:dyDescent="0.3">
      <c r="C109">
        <f t="shared" si="13"/>
        <v>0</v>
      </c>
      <c r="D109">
        <v>1.66E-2</v>
      </c>
      <c r="E109">
        <v>2.7899999999999999E-3</v>
      </c>
      <c r="F109">
        <f t="shared" si="14"/>
        <v>0</v>
      </c>
      <c r="G109">
        <f t="shared" si="15"/>
        <v>0</v>
      </c>
      <c r="H109">
        <f t="shared" si="16"/>
        <v>0</v>
      </c>
      <c r="I109">
        <v>1</v>
      </c>
      <c r="J109" t="e">
        <f t="shared" si="17"/>
        <v>#NUM!</v>
      </c>
      <c r="K109">
        <f t="shared" si="18"/>
        <v>-1.2217251517752175</v>
      </c>
      <c r="L109">
        <v>1</v>
      </c>
      <c r="M109" t="e">
        <f t="shared" si="19"/>
        <v>#NUM!</v>
      </c>
      <c r="N109">
        <f t="shared" si="20"/>
        <v>0</v>
      </c>
      <c r="O109">
        <f t="shared" si="21"/>
        <v>0</v>
      </c>
      <c r="P109" t="e">
        <f t="shared" si="22"/>
        <v>#NUM!</v>
      </c>
      <c r="V109">
        <v>4.5</v>
      </c>
      <c r="W109">
        <f t="shared" si="24"/>
        <v>-1.20461</v>
      </c>
    </row>
    <row r="110" spans="3:23" x14ac:dyDescent="0.3">
      <c r="C110">
        <f t="shared" si="13"/>
        <v>0</v>
      </c>
      <c r="D110">
        <v>1.66E-2</v>
      </c>
      <c r="E110">
        <v>2.7899999999999999E-3</v>
      </c>
      <c r="F110">
        <f t="shared" si="14"/>
        <v>0</v>
      </c>
      <c r="G110">
        <f t="shared" si="15"/>
        <v>0</v>
      </c>
      <c r="H110">
        <f t="shared" si="16"/>
        <v>0</v>
      </c>
      <c r="I110">
        <v>1</v>
      </c>
      <c r="J110" t="e">
        <f t="shared" si="17"/>
        <v>#NUM!</v>
      </c>
      <c r="K110">
        <f t="shared" si="18"/>
        <v>-1.2217251517752175</v>
      </c>
      <c r="L110">
        <v>1</v>
      </c>
      <c r="M110" t="e">
        <f t="shared" si="19"/>
        <v>#NUM!</v>
      </c>
      <c r="N110">
        <f t="shared" si="20"/>
        <v>0</v>
      </c>
      <c r="O110">
        <f t="shared" si="21"/>
        <v>0</v>
      </c>
      <c r="P110" t="e">
        <f t="shared" si="22"/>
        <v>#NUM!</v>
      </c>
      <c r="V110">
        <v>4.5999999999999996</v>
      </c>
      <c r="W110">
        <f t="shared" si="24"/>
        <v>-1.2142679999999999</v>
      </c>
    </row>
    <row r="111" spans="3:23" x14ac:dyDescent="0.3">
      <c r="C111">
        <f t="shared" si="13"/>
        <v>0</v>
      </c>
      <c r="D111">
        <v>1.66E-2</v>
      </c>
      <c r="E111">
        <v>2.7899999999999999E-3</v>
      </c>
      <c r="F111">
        <f t="shared" si="14"/>
        <v>0</v>
      </c>
      <c r="G111">
        <f t="shared" si="15"/>
        <v>0</v>
      </c>
      <c r="H111">
        <f t="shared" si="16"/>
        <v>0</v>
      </c>
      <c r="I111">
        <v>1</v>
      </c>
      <c r="J111" t="e">
        <f t="shared" si="17"/>
        <v>#NUM!</v>
      </c>
      <c r="K111">
        <f t="shared" si="18"/>
        <v>-1.2217251517752175</v>
      </c>
      <c r="L111">
        <v>1</v>
      </c>
      <c r="M111" t="e">
        <f t="shared" si="19"/>
        <v>#NUM!</v>
      </c>
      <c r="N111">
        <f t="shared" si="20"/>
        <v>0</v>
      </c>
      <c r="O111">
        <f t="shared" si="21"/>
        <v>0</v>
      </c>
      <c r="P111" t="e">
        <f t="shared" si="22"/>
        <v>#NUM!</v>
      </c>
      <c r="V111">
        <v>4.7</v>
      </c>
      <c r="W111">
        <f t="shared" si="24"/>
        <v>-1.2239260000000001</v>
      </c>
    </row>
    <row r="112" spans="3:23" x14ac:dyDescent="0.3">
      <c r="C112">
        <f t="shared" si="13"/>
        <v>0</v>
      </c>
      <c r="D112">
        <v>1.66E-2</v>
      </c>
      <c r="E112">
        <v>2.7899999999999999E-3</v>
      </c>
      <c r="F112">
        <f t="shared" si="14"/>
        <v>0</v>
      </c>
      <c r="G112">
        <f t="shared" si="15"/>
        <v>0</v>
      </c>
      <c r="H112">
        <f t="shared" si="16"/>
        <v>0</v>
      </c>
      <c r="I112">
        <v>1</v>
      </c>
      <c r="J112" t="e">
        <f t="shared" si="17"/>
        <v>#NUM!</v>
      </c>
      <c r="K112">
        <f t="shared" si="18"/>
        <v>-1.2217251517752175</v>
      </c>
      <c r="L112">
        <v>1</v>
      </c>
      <c r="M112" t="e">
        <f t="shared" si="19"/>
        <v>#NUM!</v>
      </c>
      <c r="N112">
        <f t="shared" si="20"/>
        <v>0</v>
      </c>
      <c r="O112">
        <f t="shared" si="21"/>
        <v>0</v>
      </c>
      <c r="P112" t="e">
        <f t="shared" si="22"/>
        <v>#NUM!</v>
      </c>
      <c r="V112">
        <v>4.8</v>
      </c>
      <c r="W112">
        <f t="shared" si="24"/>
        <v>-1.233584</v>
      </c>
    </row>
    <row r="113" spans="3:23" x14ac:dyDescent="0.3">
      <c r="C113">
        <f t="shared" si="13"/>
        <v>0</v>
      </c>
      <c r="D113">
        <v>1.66E-2</v>
      </c>
      <c r="E113">
        <v>2.7899999999999999E-3</v>
      </c>
      <c r="F113">
        <f t="shared" si="14"/>
        <v>0</v>
      </c>
      <c r="G113">
        <f t="shared" si="15"/>
        <v>0</v>
      </c>
      <c r="H113">
        <f t="shared" si="16"/>
        <v>0</v>
      </c>
      <c r="I113">
        <v>1</v>
      </c>
      <c r="J113" t="e">
        <f t="shared" si="17"/>
        <v>#NUM!</v>
      </c>
      <c r="K113">
        <f t="shared" si="18"/>
        <v>-1.2217251517752175</v>
      </c>
      <c r="L113">
        <v>1</v>
      </c>
      <c r="M113" t="e">
        <f t="shared" si="19"/>
        <v>#NUM!</v>
      </c>
      <c r="N113">
        <f t="shared" si="20"/>
        <v>0</v>
      </c>
      <c r="O113">
        <f t="shared" si="21"/>
        <v>0</v>
      </c>
      <c r="P113" t="e">
        <f t="shared" si="22"/>
        <v>#NUM!</v>
      </c>
      <c r="V113">
        <v>4.9000000000000004</v>
      </c>
      <c r="W113">
        <f t="shared" si="24"/>
        <v>-1.243242</v>
      </c>
    </row>
    <row r="114" spans="3:23" x14ac:dyDescent="0.3">
      <c r="C114">
        <f t="shared" si="13"/>
        <v>0</v>
      </c>
      <c r="D114">
        <v>1.66E-2</v>
      </c>
      <c r="E114">
        <v>2.7899999999999999E-3</v>
      </c>
      <c r="F114">
        <f t="shared" si="14"/>
        <v>0</v>
      </c>
      <c r="G114">
        <f t="shared" si="15"/>
        <v>0</v>
      </c>
      <c r="H114">
        <f t="shared" si="16"/>
        <v>0</v>
      </c>
      <c r="I114">
        <v>1</v>
      </c>
      <c r="J114" t="e">
        <f t="shared" si="17"/>
        <v>#NUM!</v>
      </c>
      <c r="K114">
        <f t="shared" si="18"/>
        <v>-1.2217251517752175</v>
      </c>
      <c r="L114">
        <v>1</v>
      </c>
      <c r="M114" t="e">
        <f t="shared" si="19"/>
        <v>#NUM!</v>
      </c>
      <c r="N114">
        <f t="shared" si="20"/>
        <v>0</v>
      </c>
      <c r="O114">
        <f t="shared" si="21"/>
        <v>0</v>
      </c>
      <c r="P114" t="e">
        <f t="shared" si="22"/>
        <v>#NUM!</v>
      </c>
      <c r="V114">
        <v>5</v>
      </c>
      <c r="W114">
        <f t="shared" si="24"/>
        <v>-1.2528999999999999</v>
      </c>
    </row>
    <row r="115" spans="3:23" x14ac:dyDescent="0.3">
      <c r="C115">
        <f t="shared" si="13"/>
        <v>0</v>
      </c>
      <c r="D115">
        <v>1.66E-2</v>
      </c>
      <c r="E115">
        <v>2.7899999999999999E-3</v>
      </c>
      <c r="F115">
        <f t="shared" si="14"/>
        <v>0</v>
      </c>
      <c r="G115">
        <f t="shared" si="15"/>
        <v>0</v>
      </c>
      <c r="H115">
        <f t="shared" si="16"/>
        <v>0</v>
      </c>
      <c r="I115">
        <v>1</v>
      </c>
      <c r="J115" t="e">
        <f t="shared" si="17"/>
        <v>#NUM!</v>
      </c>
      <c r="K115">
        <f t="shared" si="18"/>
        <v>-1.2217251517752175</v>
      </c>
      <c r="L115">
        <v>1</v>
      </c>
      <c r="M115" t="e">
        <f t="shared" si="19"/>
        <v>#NUM!</v>
      </c>
      <c r="N115">
        <f t="shared" si="20"/>
        <v>0</v>
      </c>
      <c r="O115">
        <f t="shared" si="21"/>
        <v>0</v>
      </c>
      <c r="P115" t="e">
        <f t="shared" si="22"/>
        <v>#NUM!</v>
      </c>
      <c r="V115">
        <v>5.0999999999999996</v>
      </c>
      <c r="W115">
        <f t="shared" si="24"/>
        <v>-1.2625579999999998</v>
      </c>
    </row>
    <row r="116" spans="3:23" x14ac:dyDescent="0.3">
      <c r="C116">
        <f t="shared" si="13"/>
        <v>0</v>
      </c>
      <c r="D116">
        <v>1.66E-2</v>
      </c>
      <c r="E116">
        <v>2.7899999999999999E-3</v>
      </c>
      <c r="F116">
        <f t="shared" si="14"/>
        <v>0</v>
      </c>
      <c r="G116">
        <f t="shared" si="15"/>
        <v>0</v>
      </c>
      <c r="H116">
        <f t="shared" si="16"/>
        <v>0</v>
      </c>
      <c r="I116">
        <v>1</v>
      </c>
      <c r="J116" t="e">
        <f t="shared" si="17"/>
        <v>#NUM!</v>
      </c>
      <c r="K116">
        <f t="shared" si="18"/>
        <v>-1.2217251517752175</v>
      </c>
      <c r="L116">
        <v>1</v>
      </c>
      <c r="M116" t="e">
        <f t="shared" si="19"/>
        <v>#NUM!</v>
      </c>
      <c r="N116">
        <f t="shared" si="20"/>
        <v>0</v>
      </c>
      <c r="O116">
        <f t="shared" si="21"/>
        <v>0</v>
      </c>
      <c r="P116" t="e">
        <f t="shared" si="22"/>
        <v>#NUM!</v>
      </c>
      <c r="V116">
        <v>5.2</v>
      </c>
      <c r="W116">
        <f t="shared" si="24"/>
        <v>-1.272216</v>
      </c>
    </row>
    <row r="117" spans="3:23" x14ac:dyDescent="0.3">
      <c r="C117">
        <f t="shared" si="13"/>
        <v>0</v>
      </c>
      <c r="D117">
        <v>1.66E-2</v>
      </c>
      <c r="E117">
        <v>2.7899999999999999E-3</v>
      </c>
      <c r="F117">
        <f t="shared" si="14"/>
        <v>0</v>
      </c>
      <c r="G117">
        <f t="shared" si="15"/>
        <v>0</v>
      </c>
      <c r="H117">
        <f t="shared" si="16"/>
        <v>0</v>
      </c>
      <c r="I117">
        <v>1</v>
      </c>
      <c r="J117" t="e">
        <f t="shared" si="17"/>
        <v>#NUM!</v>
      </c>
      <c r="K117">
        <f t="shared" si="18"/>
        <v>-1.2217251517752175</v>
      </c>
      <c r="L117">
        <v>1</v>
      </c>
      <c r="M117" t="e">
        <f t="shared" si="19"/>
        <v>#NUM!</v>
      </c>
      <c r="N117">
        <f t="shared" si="20"/>
        <v>0</v>
      </c>
      <c r="O117">
        <f t="shared" si="21"/>
        <v>0</v>
      </c>
      <c r="P117" t="e">
        <f t="shared" si="22"/>
        <v>#NUM!</v>
      </c>
      <c r="V117">
        <v>5.3</v>
      </c>
      <c r="W117">
        <f t="shared" si="24"/>
        <v>-1.281874</v>
      </c>
    </row>
    <row r="118" spans="3:23" x14ac:dyDescent="0.3">
      <c r="C118">
        <f t="shared" si="13"/>
        <v>0</v>
      </c>
      <c r="D118">
        <v>1.66E-2</v>
      </c>
      <c r="E118">
        <v>2.7899999999999999E-3</v>
      </c>
      <c r="F118">
        <f t="shared" si="14"/>
        <v>0</v>
      </c>
      <c r="G118">
        <f t="shared" si="15"/>
        <v>0</v>
      </c>
      <c r="H118">
        <f t="shared" si="16"/>
        <v>0</v>
      </c>
      <c r="I118">
        <v>1</v>
      </c>
      <c r="J118" t="e">
        <f t="shared" si="17"/>
        <v>#NUM!</v>
      </c>
      <c r="K118">
        <f t="shared" si="18"/>
        <v>-1.2217251517752175</v>
      </c>
      <c r="L118">
        <v>1</v>
      </c>
      <c r="M118" t="e">
        <f t="shared" si="19"/>
        <v>#NUM!</v>
      </c>
      <c r="N118">
        <f t="shared" si="20"/>
        <v>0</v>
      </c>
      <c r="O118">
        <f t="shared" si="21"/>
        <v>0</v>
      </c>
      <c r="P118" t="e">
        <f t="shared" si="22"/>
        <v>#NUM!</v>
      </c>
      <c r="V118">
        <v>5.4</v>
      </c>
      <c r="W118">
        <f t="shared" si="24"/>
        <v>-1.2915320000000001</v>
      </c>
    </row>
    <row r="119" spans="3:23" x14ac:dyDescent="0.3">
      <c r="C119">
        <f t="shared" si="13"/>
        <v>0</v>
      </c>
      <c r="D119">
        <v>1.66E-2</v>
      </c>
      <c r="E119">
        <v>2.7899999999999999E-3</v>
      </c>
      <c r="F119">
        <f t="shared" si="14"/>
        <v>0</v>
      </c>
      <c r="G119">
        <f t="shared" si="15"/>
        <v>0</v>
      </c>
      <c r="H119">
        <f t="shared" si="16"/>
        <v>0</v>
      </c>
      <c r="I119">
        <v>1</v>
      </c>
      <c r="J119" t="e">
        <f t="shared" si="17"/>
        <v>#NUM!</v>
      </c>
      <c r="K119">
        <f t="shared" si="18"/>
        <v>-1.2217251517752175</v>
      </c>
      <c r="L119">
        <v>1</v>
      </c>
      <c r="M119" t="e">
        <f t="shared" si="19"/>
        <v>#NUM!</v>
      </c>
      <c r="N119">
        <f t="shared" si="20"/>
        <v>0</v>
      </c>
      <c r="O119">
        <f t="shared" si="21"/>
        <v>0</v>
      </c>
      <c r="P119" t="e">
        <f t="shared" si="22"/>
        <v>#NUM!</v>
      </c>
      <c r="V119">
        <v>5.5</v>
      </c>
      <c r="W119">
        <f t="shared" si="24"/>
        <v>-1.3011900000000001</v>
      </c>
    </row>
    <row r="120" spans="3:23" x14ac:dyDescent="0.3">
      <c r="C120">
        <f t="shared" si="13"/>
        <v>0</v>
      </c>
      <c r="D120">
        <v>1.66E-2</v>
      </c>
      <c r="E120">
        <v>2.7899999999999999E-3</v>
      </c>
      <c r="F120">
        <f t="shared" si="14"/>
        <v>0</v>
      </c>
      <c r="G120">
        <f t="shared" si="15"/>
        <v>0</v>
      </c>
      <c r="H120">
        <f t="shared" si="16"/>
        <v>0</v>
      </c>
      <c r="I120">
        <v>1</v>
      </c>
      <c r="J120" t="e">
        <f t="shared" si="17"/>
        <v>#NUM!</v>
      </c>
      <c r="K120">
        <f t="shared" si="18"/>
        <v>-1.2217251517752175</v>
      </c>
      <c r="L120">
        <v>1</v>
      </c>
      <c r="M120" t="e">
        <f t="shared" si="19"/>
        <v>#NUM!</v>
      </c>
      <c r="N120">
        <f t="shared" si="20"/>
        <v>0</v>
      </c>
      <c r="O120">
        <f t="shared" si="21"/>
        <v>0</v>
      </c>
      <c r="P120" t="e">
        <f t="shared" si="22"/>
        <v>#NUM!</v>
      </c>
      <c r="V120">
        <v>5.6</v>
      </c>
      <c r="W120">
        <f t="shared" si="24"/>
        <v>-1.310848</v>
      </c>
    </row>
    <row r="121" spans="3:23" x14ac:dyDescent="0.3">
      <c r="C121">
        <f t="shared" si="13"/>
        <v>0</v>
      </c>
      <c r="D121">
        <v>1.66E-2</v>
      </c>
      <c r="E121">
        <v>2.7899999999999999E-3</v>
      </c>
      <c r="F121">
        <f t="shared" si="14"/>
        <v>0</v>
      </c>
      <c r="G121">
        <f t="shared" si="15"/>
        <v>0</v>
      </c>
      <c r="H121">
        <f t="shared" si="16"/>
        <v>0</v>
      </c>
      <c r="I121">
        <v>1</v>
      </c>
      <c r="J121" t="e">
        <f t="shared" si="17"/>
        <v>#NUM!</v>
      </c>
      <c r="K121">
        <f t="shared" si="18"/>
        <v>-1.2217251517752175</v>
      </c>
      <c r="L121">
        <v>1</v>
      </c>
      <c r="M121" t="e">
        <f t="shared" si="19"/>
        <v>#NUM!</v>
      </c>
      <c r="N121">
        <f t="shared" si="20"/>
        <v>0</v>
      </c>
      <c r="O121">
        <f t="shared" si="21"/>
        <v>0</v>
      </c>
      <c r="P121" t="e">
        <f t="shared" si="22"/>
        <v>#NUM!</v>
      </c>
      <c r="V121">
        <v>5.7</v>
      </c>
      <c r="W121">
        <f t="shared" si="24"/>
        <v>-1.320506</v>
      </c>
    </row>
    <row r="122" spans="3:23" x14ac:dyDescent="0.3">
      <c r="C122">
        <f t="shared" si="13"/>
        <v>0</v>
      </c>
      <c r="D122">
        <v>1.66E-2</v>
      </c>
      <c r="E122">
        <v>2.7899999999999999E-3</v>
      </c>
      <c r="F122">
        <f t="shared" si="14"/>
        <v>0</v>
      </c>
      <c r="G122">
        <f t="shared" si="15"/>
        <v>0</v>
      </c>
      <c r="H122">
        <f t="shared" si="16"/>
        <v>0</v>
      </c>
      <c r="I122">
        <v>1</v>
      </c>
      <c r="J122" t="e">
        <f t="shared" si="17"/>
        <v>#NUM!</v>
      </c>
      <c r="K122">
        <f t="shared" si="18"/>
        <v>-1.2217251517752175</v>
      </c>
      <c r="L122">
        <v>1</v>
      </c>
      <c r="M122" t="e">
        <f t="shared" si="19"/>
        <v>#NUM!</v>
      </c>
      <c r="N122">
        <f t="shared" si="20"/>
        <v>0</v>
      </c>
      <c r="O122">
        <f t="shared" si="21"/>
        <v>0</v>
      </c>
      <c r="P122" t="e">
        <f t="shared" si="22"/>
        <v>#NUM!</v>
      </c>
      <c r="V122">
        <v>5.8</v>
      </c>
      <c r="W122">
        <f t="shared" si="24"/>
        <v>-1.3301639999999999</v>
      </c>
    </row>
    <row r="123" spans="3:23" x14ac:dyDescent="0.3">
      <c r="C123">
        <f t="shared" si="13"/>
        <v>0</v>
      </c>
      <c r="D123">
        <v>1.66E-2</v>
      </c>
      <c r="E123">
        <v>2.7899999999999999E-3</v>
      </c>
      <c r="F123">
        <f t="shared" si="14"/>
        <v>0</v>
      </c>
      <c r="G123">
        <f t="shared" si="15"/>
        <v>0</v>
      </c>
      <c r="H123">
        <f t="shared" si="16"/>
        <v>0</v>
      </c>
      <c r="I123">
        <v>1</v>
      </c>
      <c r="J123" t="e">
        <f t="shared" si="17"/>
        <v>#NUM!</v>
      </c>
      <c r="K123">
        <f t="shared" si="18"/>
        <v>-1.2217251517752175</v>
      </c>
      <c r="L123">
        <v>1</v>
      </c>
      <c r="M123" t="e">
        <f t="shared" si="19"/>
        <v>#NUM!</v>
      </c>
      <c r="N123">
        <f t="shared" si="20"/>
        <v>0</v>
      </c>
      <c r="O123">
        <f t="shared" si="21"/>
        <v>0</v>
      </c>
      <c r="P123" t="e">
        <f t="shared" si="22"/>
        <v>#NUM!</v>
      </c>
      <c r="V123">
        <v>5.9</v>
      </c>
      <c r="W123">
        <f t="shared" si="24"/>
        <v>-1.3398220000000001</v>
      </c>
    </row>
    <row r="124" spans="3:23" x14ac:dyDescent="0.3">
      <c r="C124">
        <f t="shared" si="13"/>
        <v>0</v>
      </c>
      <c r="D124">
        <v>1.66E-2</v>
      </c>
      <c r="E124">
        <v>2.7899999999999999E-3</v>
      </c>
      <c r="F124">
        <f t="shared" si="14"/>
        <v>0</v>
      </c>
      <c r="G124">
        <f t="shared" si="15"/>
        <v>0</v>
      </c>
      <c r="H124">
        <f t="shared" si="16"/>
        <v>0</v>
      </c>
      <c r="I124">
        <v>1</v>
      </c>
      <c r="J124" t="e">
        <f t="shared" si="17"/>
        <v>#NUM!</v>
      </c>
      <c r="K124">
        <f t="shared" si="18"/>
        <v>-1.2217251517752175</v>
      </c>
      <c r="L124">
        <v>1</v>
      </c>
      <c r="M124" t="e">
        <f t="shared" si="19"/>
        <v>#NUM!</v>
      </c>
      <c r="N124">
        <f t="shared" si="20"/>
        <v>0</v>
      </c>
      <c r="O124">
        <f t="shared" si="21"/>
        <v>0</v>
      </c>
      <c r="P124" t="e">
        <f t="shared" si="22"/>
        <v>#NUM!</v>
      </c>
      <c r="V124">
        <v>6</v>
      </c>
      <c r="W124">
        <f t="shared" si="24"/>
        <v>-1.34948</v>
      </c>
    </row>
    <row r="125" spans="3:23" x14ac:dyDescent="0.3">
      <c r="C125">
        <f t="shared" si="13"/>
        <v>0</v>
      </c>
      <c r="D125">
        <v>1.66E-2</v>
      </c>
      <c r="E125">
        <v>2.7899999999999999E-3</v>
      </c>
      <c r="F125">
        <f t="shared" si="14"/>
        <v>0</v>
      </c>
      <c r="G125">
        <f t="shared" si="15"/>
        <v>0</v>
      </c>
      <c r="H125">
        <f t="shared" si="16"/>
        <v>0</v>
      </c>
      <c r="I125">
        <v>1</v>
      </c>
      <c r="J125" t="e">
        <f t="shared" si="17"/>
        <v>#NUM!</v>
      </c>
      <c r="K125">
        <f t="shared" si="18"/>
        <v>-1.2217251517752175</v>
      </c>
      <c r="L125">
        <v>1</v>
      </c>
      <c r="M125" t="e">
        <f t="shared" si="19"/>
        <v>#NUM!</v>
      </c>
      <c r="N125">
        <f t="shared" si="20"/>
        <v>0</v>
      </c>
      <c r="O125">
        <f t="shared" si="21"/>
        <v>0</v>
      </c>
      <c r="P125" t="e">
        <f t="shared" si="22"/>
        <v>#NUM!</v>
      </c>
      <c r="V125">
        <v>6.1</v>
      </c>
      <c r="W125">
        <f t="shared" si="24"/>
        <v>-1.359138</v>
      </c>
    </row>
    <row r="126" spans="3:23" x14ac:dyDescent="0.3">
      <c r="C126">
        <f t="shared" si="13"/>
        <v>0</v>
      </c>
      <c r="D126">
        <v>1.66E-2</v>
      </c>
      <c r="E126">
        <v>2.7899999999999999E-3</v>
      </c>
      <c r="F126">
        <f t="shared" si="14"/>
        <v>0</v>
      </c>
      <c r="G126">
        <f t="shared" si="15"/>
        <v>0</v>
      </c>
      <c r="H126">
        <f t="shared" si="16"/>
        <v>0</v>
      </c>
      <c r="I126">
        <v>1</v>
      </c>
      <c r="J126" t="e">
        <f t="shared" si="17"/>
        <v>#NUM!</v>
      </c>
      <c r="K126">
        <f t="shared" si="18"/>
        <v>-1.2217251517752175</v>
      </c>
      <c r="L126">
        <v>1</v>
      </c>
      <c r="M126" t="e">
        <f t="shared" si="19"/>
        <v>#NUM!</v>
      </c>
      <c r="N126">
        <f t="shared" si="20"/>
        <v>0</v>
      </c>
      <c r="O126">
        <f t="shared" si="21"/>
        <v>0</v>
      </c>
      <c r="P126" t="e">
        <f t="shared" si="22"/>
        <v>#NUM!</v>
      </c>
      <c r="V126">
        <v>6.2</v>
      </c>
      <c r="W126">
        <f t="shared" si="24"/>
        <v>-1.3687960000000001</v>
      </c>
    </row>
    <row r="127" spans="3:23" x14ac:dyDescent="0.3">
      <c r="C127">
        <f t="shared" si="13"/>
        <v>0</v>
      </c>
      <c r="D127">
        <v>1.66E-2</v>
      </c>
      <c r="E127">
        <v>2.7899999999999999E-3</v>
      </c>
      <c r="F127">
        <f t="shared" si="14"/>
        <v>0</v>
      </c>
      <c r="G127">
        <f t="shared" si="15"/>
        <v>0</v>
      </c>
      <c r="H127">
        <f t="shared" si="16"/>
        <v>0</v>
      </c>
      <c r="I127">
        <v>1</v>
      </c>
      <c r="J127" t="e">
        <f t="shared" si="17"/>
        <v>#NUM!</v>
      </c>
      <c r="K127">
        <f t="shared" si="18"/>
        <v>-1.2217251517752175</v>
      </c>
      <c r="L127">
        <v>1</v>
      </c>
      <c r="M127" t="e">
        <f t="shared" si="19"/>
        <v>#NUM!</v>
      </c>
      <c r="N127">
        <f t="shared" si="20"/>
        <v>0</v>
      </c>
      <c r="O127">
        <f t="shared" si="21"/>
        <v>0</v>
      </c>
      <c r="P127" t="e">
        <f t="shared" si="22"/>
        <v>#NUM!</v>
      </c>
      <c r="V127">
        <v>6.3</v>
      </c>
      <c r="W127">
        <f t="shared" si="24"/>
        <v>-1.3784540000000001</v>
      </c>
    </row>
    <row r="128" spans="3:23" x14ac:dyDescent="0.3">
      <c r="C128">
        <f t="shared" si="13"/>
        <v>0</v>
      </c>
      <c r="D128">
        <v>1.66E-2</v>
      </c>
      <c r="E128">
        <v>2.7899999999999999E-3</v>
      </c>
      <c r="F128">
        <f t="shared" si="14"/>
        <v>0</v>
      </c>
      <c r="G128">
        <f t="shared" si="15"/>
        <v>0</v>
      </c>
      <c r="H128">
        <f t="shared" si="16"/>
        <v>0</v>
      </c>
      <c r="I128">
        <v>1</v>
      </c>
      <c r="J128" t="e">
        <f t="shared" si="17"/>
        <v>#NUM!</v>
      </c>
      <c r="K128">
        <f t="shared" si="18"/>
        <v>-1.2217251517752175</v>
      </c>
      <c r="L128">
        <v>1</v>
      </c>
      <c r="M128" t="e">
        <f t="shared" si="19"/>
        <v>#NUM!</v>
      </c>
      <c r="N128">
        <f t="shared" si="20"/>
        <v>0</v>
      </c>
      <c r="O128">
        <f t="shared" si="21"/>
        <v>0</v>
      </c>
      <c r="P128" t="e">
        <f t="shared" si="22"/>
        <v>#NUM!</v>
      </c>
      <c r="V128">
        <v>6.4</v>
      </c>
      <c r="W128">
        <f t="shared" si="24"/>
        <v>-1.388112</v>
      </c>
    </row>
    <row r="129" spans="3:23" x14ac:dyDescent="0.3">
      <c r="C129">
        <f t="shared" si="13"/>
        <v>0</v>
      </c>
      <c r="D129">
        <v>1.66E-2</v>
      </c>
      <c r="E129">
        <v>2.7899999999999999E-3</v>
      </c>
      <c r="F129">
        <f t="shared" si="14"/>
        <v>0</v>
      </c>
      <c r="G129">
        <f t="shared" si="15"/>
        <v>0</v>
      </c>
      <c r="H129">
        <f t="shared" si="16"/>
        <v>0</v>
      </c>
      <c r="I129">
        <v>1</v>
      </c>
      <c r="J129" t="e">
        <f t="shared" si="17"/>
        <v>#NUM!</v>
      </c>
      <c r="K129">
        <f t="shared" si="18"/>
        <v>-1.2217251517752175</v>
      </c>
      <c r="L129">
        <v>1</v>
      </c>
      <c r="M129" t="e">
        <f t="shared" si="19"/>
        <v>#NUM!</v>
      </c>
      <c r="N129">
        <f t="shared" si="20"/>
        <v>0</v>
      </c>
      <c r="O129">
        <f t="shared" si="21"/>
        <v>0</v>
      </c>
      <c r="P129" t="e">
        <f t="shared" si="22"/>
        <v>#NUM!</v>
      </c>
      <c r="V129">
        <v>6.5</v>
      </c>
      <c r="W129">
        <f t="shared" si="24"/>
        <v>-1.39777</v>
      </c>
    </row>
    <row r="130" spans="3:23" x14ac:dyDescent="0.3">
      <c r="C130">
        <f t="shared" si="13"/>
        <v>0</v>
      </c>
      <c r="D130">
        <v>1.66E-2</v>
      </c>
      <c r="E130">
        <v>2.7899999999999999E-3</v>
      </c>
      <c r="F130">
        <f t="shared" si="14"/>
        <v>0</v>
      </c>
      <c r="G130">
        <f t="shared" si="15"/>
        <v>0</v>
      </c>
      <c r="H130">
        <f t="shared" si="16"/>
        <v>0</v>
      </c>
      <c r="I130">
        <v>1</v>
      </c>
      <c r="J130" t="e">
        <f t="shared" si="17"/>
        <v>#NUM!</v>
      </c>
      <c r="K130">
        <f t="shared" si="18"/>
        <v>-1.2217251517752175</v>
      </c>
      <c r="L130">
        <v>1</v>
      </c>
      <c r="M130" t="e">
        <f t="shared" si="19"/>
        <v>#NUM!</v>
      </c>
      <c r="N130">
        <f t="shared" si="20"/>
        <v>0</v>
      </c>
      <c r="O130">
        <f t="shared" si="21"/>
        <v>0</v>
      </c>
      <c r="P130" t="e">
        <f t="shared" si="22"/>
        <v>#NUM!</v>
      </c>
      <c r="V130">
        <v>6.6</v>
      </c>
      <c r="W130">
        <f t="shared" si="24"/>
        <v>-1.4074279999999999</v>
      </c>
    </row>
    <row r="131" spans="3:23" x14ac:dyDescent="0.3">
      <c r="C131">
        <f t="shared" si="13"/>
        <v>0</v>
      </c>
      <c r="D131">
        <v>1.66E-2</v>
      </c>
      <c r="E131">
        <v>2.7899999999999999E-3</v>
      </c>
      <c r="F131">
        <f t="shared" si="14"/>
        <v>0</v>
      </c>
      <c r="G131">
        <f t="shared" si="15"/>
        <v>0</v>
      </c>
      <c r="H131">
        <f t="shared" si="16"/>
        <v>0</v>
      </c>
      <c r="I131">
        <v>1</v>
      </c>
      <c r="J131" t="e">
        <f t="shared" si="17"/>
        <v>#NUM!</v>
      </c>
      <c r="K131">
        <f t="shared" si="18"/>
        <v>-1.2217251517752175</v>
      </c>
      <c r="L131">
        <v>1</v>
      </c>
      <c r="M131" t="e">
        <f t="shared" si="19"/>
        <v>#NUM!</v>
      </c>
      <c r="N131">
        <f t="shared" si="20"/>
        <v>0</v>
      </c>
      <c r="O131">
        <f t="shared" si="21"/>
        <v>0</v>
      </c>
      <c r="P131" t="e">
        <f t="shared" si="22"/>
        <v>#NUM!</v>
      </c>
      <c r="V131">
        <v>6.7</v>
      </c>
      <c r="W131">
        <f t="shared" si="24"/>
        <v>-1.4170860000000001</v>
      </c>
    </row>
    <row r="132" spans="3:23" x14ac:dyDescent="0.3">
      <c r="C132">
        <f t="shared" ref="C132:C195" si="25">A132*B132</f>
        <v>0</v>
      </c>
      <c r="D132">
        <v>1.66E-2</v>
      </c>
      <c r="E132">
        <v>2.7899999999999999E-3</v>
      </c>
      <c r="F132">
        <f t="shared" ref="F132:F195" si="26">A132*200</f>
        <v>0</v>
      </c>
      <c r="G132">
        <f t="shared" ref="G132:G195" si="27">-B132</f>
        <v>0</v>
      </c>
      <c r="H132">
        <f t="shared" ref="H132:H195" si="28">-C132*200</f>
        <v>0</v>
      </c>
      <c r="I132">
        <v>1</v>
      </c>
      <c r="J132" t="e">
        <f t="shared" ref="J132:J195" si="29">LN(F132/1000)</f>
        <v>#NUM!</v>
      </c>
      <c r="K132">
        <f t="shared" ref="K132:K195" si="30">((-G132)-$N$2)</f>
        <v>-1.2217251517752175</v>
      </c>
      <c r="L132">
        <v>1</v>
      </c>
      <c r="M132" t="e">
        <f t="shared" ref="M132:M195" si="31">-1*($S$4+($S$5*J132))</f>
        <v>#NUM!</v>
      </c>
      <c r="N132">
        <f t="shared" ref="N132:N195" si="32">D132*A132</f>
        <v>0</v>
      </c>
      <c r="O132">
        <f t="shared" ref="O132:O195" si="33">E132*A132</f>
        <v>0</v>
      </c>
      <c r="P132" t="e">
        <f t="shared" ref="P132:P195" si="34">-K132-M132-N132-O132</f>
        <v>#NUM!</v>
      </c>
      <c r="V132">
        <v>6.8</v>
      </c>
      <c r="W132">
        <f t="shared" ref="W132:W139" si="35">V132*$S$5+$S$4</f>
        <v>-1.426744</v>
      </c>
    </row>
    <row r="133" spans="3:23" x14ac:dyDescent="0.3">
      <c r="C133">
        <f t="shared" si="25"/>
        <v>0</v>
      </c>
      <c r="D133">
        <v>1.66E-2</v>
      </c>
      <c r="E133">
        <v>2.7899999999999999E-3</v>
      </c>
      <c r="F133">
        <f t="shared" si="26"/>
        <v>0</v>
      </c>
      <c r="G133">
        <f t="shared" si="27"/>
        <v>0</v>
      </c>
      <c r="H133">
        <f t="shared" si="28"/>
        <v>0</v>
      </c>
      <c r="I133">
        <v>1</v>
      </c>
      <c r="J133" t="e">
        <f t="shared" si="29"/>
        <v>#NUM!</v>
      </c>
      <c r="K133">
        <f t="shared" si="30"/>
        <v>-1.2217251517752175</v>
      </c>
      <c r="L133">
        <v>1</v>
      </c>
      <c r="M133" t="e">
        <f t="shared" si="31"/>
        <v>#NUM!</v>
      </c>
      <c r="N133">
        <f t="shared" si="32"/>
        <v>0</v>
      </c>
      <c r="O133">
        <f t="shared" si="33"/>
        <v>0</v>
      </c>
      <c r="P133" t="e">
        <f t="shared" si="34"/>
        <v>#NUM!</v>
      </c>
      <c r="V133">
        <v>6.9</v>
      </c>
      <c r="W133">
        <f t="shared" si="35"/>
        <v>-1.4364020000000002</v>
      </c>
    </row>
    <row r="134" spans="3:23" x14ac:dyDescent="0.3">
      <c r="C134">
        <f t="shared" si="25"/>
        <v>0</v>
      </c>
      <c r="D134">
        <v>1.66E-2</v>
      </c>
      <c r="E134">
        <v>2.7899999999999999E-3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32"/>
        <v>0</v>
      </c>
      <c r="O134">
        <f t="shared" si="33"/>
        <v>0</v>
      </c>
      <c r="P134" t="e">
        <f t="shared" si="34"/>
        <v>#NUM!</v>
      </c>
      <c r="V134">
        <v>7</v>
      </c>
      <c r="W134">
        <f t="shared" si="35"/>
        <v>-1.4460600000000001</v>
      </c>
    </row>
    <row r="135" spans="3:23" x14ac:dyDescent="0.3">
      <c r="C135">
        <f t="shared" si="25"/>
        <v>0</v>
      </c>
      <c r="D135">
        <v>1.66E-2</v>
      </c>
      <c r="E135">
        <v>2.7899999999999999E-3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si="32"/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5"/>
        <v>-1.4557180000000001</v>
      </c>
    </row>
    <row r="136" spans="3:23" x14ac:dyDescent="0.3">
      <c r="C136">
        <f t="shared" si="25"/>
        <v>0</v>
      </c>
      <c r="D136">
        <v>1.66E-2</v>
      </c>
      <c r="E136">
        <v>2.7899999999999999E-3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2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5"/>
        <v>-1.465376</v>
      </c>
    </row>
    <row r="137" spans="3:23" x14ac:dyDescent="0.3">
      <c r="C137">
        <f t="shared" si="25"/>
        <v>0</v>
      </c>
      <c r="D137">
        <v>1.66E-2</v>
      </c>
      <c r="E137">
        <v>2.7899999999999999E-3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2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5"/>
        <v>-1.475034</v>
      </c>
    </row>
    <row r="138" spans="3:23" x14ac:dyDescent="0.3">
      <c r="C138">
        <f t="shared" si="25"/>
        <v>0</v>
      </c>
      <c r="D138">
        <v>1.66E-2</v>
      </c>
      <c r="E138">
        <v>2.7899999999999999E-3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2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5"/>
        <v>-1.4846919999999999</v>
      </c>
    </row>
    <row r="139" spans="3:23" x14ac:dyDescent="0.3">
      <c r="C139">
        <f t="shared" si="25"/>
        <v>0</v>
      </c>
      <c r="D139">
        <v>1.66E-2</v>
      </c>
      <c r="E139">
        <v>2.7899999999999999E-3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2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5"/>
        <v>-1.4943500000000001</v>
      </c>
    </row>
    <row r="140" spans="3:23" x14ac:dyDescent="0.3">
      <c r="C140">
        <f t="shared" si="25"/>
        <v>0</v>
      </c>
      <c r="D140">
        <v>1.66E-2</v>
      </c>
      <c r="E140">
        <v>2.7899999999999999E-3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2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1.66E-2</v>
      </c>
      <c r="E141">
        <v>2.7899999999999999E-3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2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1.66E-2</v>
      </c>
      <c r="E142">
        <v>2.7899999999999999E-3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2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1.66E-2</v>
      </c>
      <c r="E143">
        <v>2.7899999999999999E-3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2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1.66E-2</v>
      </c>
      <c r="E144">
        <v>2.7899999999999999E-3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2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1.66E-2</v>
      </c>
      <c r="E145">
        <v>2.7899999999999999E-3</v>
      </c>
      <c r="F145">
        <f t="shared" si="26"/>
        <v>0</v>
      </c>
      <c r="G145">
        <f t="shared" si="27"/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si="32"/>
        <v>0</v>
      </c>
      <c r="O145">
        <f t="shared" si="33"/>
        <v>0</v>
      </c>
      <c r="P145" t="e">
        <f t="shared" si="34"/>
        <v>#NUM!</v>
      </c>
    </row>
    <row r="146" spans="3:16" x14ac:dyDescent="0.3">
      <c r="C146">
        <f t="shared" si="25"/>
        <v>0</v>
      </c>
      <c r="D146">
        <v>1.66E-2</v>
      </c>
      <c r="E146">
        <v>2.7899999999999999E-3</v>
      </c>
      <c r="F146">
        <f t="shared" si="26"/>
        <v>0</v>
      </c>
      <c r="G146">
        <f t="shared" si="2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2"/>
        <v>0</v>
      </c>
      <c r="O146">
        <f t="shared" si="33"/>
        <v>0</v>
      </c>
      <c r="P146" t="e">
        <f t="shared" si="34"/>
        <v>#NUM!</v>
      </c>
    </row>
    <row r="147" spans="3:16" x14ac:dyDescent="0.3">
      <c r="C147">
        <f t="shared" si="25"/>
        <v>0</v>
      </c>
      <c r="D147">
        <v>1.66E-2</v>
      </c>
      <c r="E147">
        <v>2.7899999999999999E-3</v>
      </c>
      <c r="F147">
        <f t="shared" si="26"/>
        <v>0</v>
      </c>
      <c r="G147">
        <f t="shared" si="2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2"/>
        <v>0</v>
      </c>
      <c r="O147">
        <f t="shared" si="33"/>
        <v>0</v>
      </c>
      <c r="P147" t="e">
        <f t="shared" si="34"/>
        <v>#NUM!</v>
      </c>
    </row>
    <row r="148" spans="3:16" x14ac:dyDescent="0.3">
      <c r="C148">
        <f t="shared" si="25"/>
        <v>0</v>
      </c>
      <c r="D148">
        <v>1.66E-2</v>
      </c>
      <c r="E148">
        <v>2.7899999999999999E-3</v>
      </c>
      <c r="F148">
        <f t="shared" si="26"/>
        <v>0</v>
      </c>
      <c r="G148">
        <f t="shared" si="2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2"/>
        <v>0</v>
      </c>
      <c r="O148">
        <f t="shared" si="33"/>
        <v>0</v>
      </c>
      <c r="P148" t="e">
        <f t="shared" si="34"/>
        <v>#NUM!</v>
      </c>
    </row>
    <row r="149" spans="3:16" x14ac:dyDescent="0.3">
      <c r="C149">
        <f t="shared" si="25"/>
        <v>0</v>
      </c>
      <c r="D149">
        <v>1.66E-2</v>
      </c>
      <c r="E149">
        <v>2.7899999999999999E-3</v>
      </c>
      <c r="F149">
        <f t="shared" si="26"/>
        <v>0</v>
      </c>
      <c r="G149">
        <f t="shared" si="2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2"/>
        <v>0</v>
      </c>
      <c r="O149">
        <f t="shared" si="33"/>
        <v>0</v>
      </c>
      <c r="P149" t="e">
        <f t="shared" si="34"/>
        <v>#NUM!</v>
      </c>
    </row>
    <row r="150" spans="3:16" x14ac:dyDescent="0.3">
      <c r="C150">
        <f t="shared" si="25"/>
        <v>0</v>
      </c>
      <c r="D150">
        <v>1.66E-2</v>
      </c>
      <c r="E150">
        <v>2.7899999999999999E-3</v>
      </c>
      <c r="F150">
        <f t="shared" si="26"/>
        <v>0</v>
      </c>
      <c r="G150">
        <f t="shared" si="2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2"/>
        <v>0</v>
      </c>
      <c r="O150">
        <f t="shared" si="33"/>
        <v>0</v>
      </c>
      <c r="P150" t="e">
        <f t="shared" si="34"/>
        <v>#NUM!</v>
      </c>
    </row>
    <row r="151" spans="3:16" x14ac:dyDescent="0.3">
      <c r="C151">
        <f t="shared" si="25"/>
        <v>0</v>
      </c>
      <c r="D151">
        <v>1.66E-2</v>
      </c>
      <c r="E151">
        <v>2.7899999999999999E-3</v>
      </c>
      <c r="F151">
        <f t="shared" si="26"/>
        <v>0</v>
      </c>
      <c r="G151">
        <f t="shared" si="2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2"/>
        <v>0</v>
      </c>
      <c r="O151">
        <f t="shared" si="33"/>
        <v>0</v>
      </c>
      <c r="P151" t="e">
        <f t="shared" si="34"/>
        <v>#NUM!</v>
      </c>
    </row>
    <row r="152" spans="3:16" x14ac:dyDescent="0.3">
      <c r="C152">
        <f t="shared" si="25"/>
        <v>0</v>
      </c>
      <c r="D152">
        <v>1.66E-2</v>
      </c>
      <c r="E152">
        <v>2.7899999999999999E-3</v>
      </c>
      <c r="F152">
        <f t="shared" si="26"/>
        <v>0</v>
      </c>
      <c r="G152">
        <f t="shared" si="2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2"/>
        <v>0</v>
      </c>
      <c r="O152">
        <f t="shared" si="33"/>
        <v>0</v>
      </c>
      <c r="P152" t="e">
        <f t="shared" si="34"/>
        <v>#NUM!</v>
      </c>
    </row>
    <row r="153" spans="3:16" x14ac:dyDescent="0.3">
      <c r="C153">
        <f t="shared" si="25"/>
        <v>0</v>
      </c>
      <c r="D153">
        <v>1.66E-2</v>
      </c>
      <c r="E153">
        <v>2.7899999999999999E-3</v>
      </c>
      <c r="F153">
        <f t="shared" si="26"/>
        <v>0</v>
      </c>
      <c r="G153">
        <f t="shared" si="2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2"/>
        <v>0</v>
      </c>
      <c r="O153">
        <f t="shared" si="33"/>
        <v>0</v>
      </c>
      <c r="P153" t="e">
        <f t="shared" si="34"/>
        <v>#NUM!</v>
      </c>
    </row>
    <row r="154" spans="3:16" x14ac:dyDescent="0.3">
      <c r="C154">
        <f t="shared" si="25"/>
        <v>0</v>
      </c>
      <c r="D154">
        <v>1.66E-2</v>
      </c>
      <c r="E154">
        <v>2.7899999999999999E-3</v>
      </c>
      <c r="F154">
        <f t="shared" si="26"/>
        <v>0</v>
      </c>
      <c r="G154">
        <f t="shared" si="2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2"/>
        <v>0</v>
      </c>
      <c r="O154">
        <f t="shared" si="33"/>
        <v>0</v>
      </c>
      <c r="P154" t="e">
        <f t="shared" si="34"/>
        <v>#NUM!</v>
      </c>
    </row>
    <row r="155" spans="3:16" x14ac:dyDescent="0.3">
      <c r="C155">
        <f t="shared" si="25"/>
        <v>0</v>
      </c>
      <c r="D155">
        <v>1.66E-2</v>
      </c>
      <c r="E155">
        <v>2.7899999999999999E-3</v>
      </c>
      <c r="F155">
        <f t="shared" si="26"/>
        <v>0</v>
      </c>
      <c r="G155">
        <f t="shared" si="2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2"/>
        <v>0</v>
      </c>
      <c r="O155">
        <f t="shared" si="33"/>
        <v>0</v>
      </c>
      <c r="P155" t="e">
        <f t="shared" si="34"/>
        <v>#NUM!</v>
      </c>
    </row>
    <row r="156" spans="3:16" x14ac:dyDescent="0.3">
      <c r="C156">
        <f t="shared" si="25"/>
        <v>0</v>
      </c>
      <c r="D156">
        <v>1.66E-2</v>
      </c>
      <c r="E156">
        <v>2.7899999999999999E-3</v>
      </c>
      <c r="F156">
        <f t="shared" si="26"/>
        <v>0</v>
      </c>
      <c r="G156">
        <f t="shared" si="2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2"/>
        <v>0</v>
      </c>
      <c r="O156">
        <f t="shared" si="33"/>
        <v>0</v>
      </c>
      <c r="P156" t="e">
        <f t="shared" si="34"/>
        <v>#NUM!</v>
      </c>
    </row>
    <row r="157" spans="3:16" x14ac:dyDescent="0.3">
      <c r="C157">
        <f t="shared" si="25"/>
        <v>0</v>
      </c>
      <c r="D157">
        <v>1.66E-2</v>
      </c>
      <c r="E157">
        <v>2.7899999999999999E-3</v>
      </c>
      <c r="F157">
        <f t="shared" si="26"/>
        <v>0</v>
      </c>
      <c r="G157">
        <f t="shared" si="2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2"/>
        <v>0</v>
      </c>
      <c r="O157">
        <f t="shared" si="33"/>
        <v>0</v>
      </c>
      <c r="P157" t="e">
        <f t="shared" si="34"/>
        <v>#NUM!</v>
      </c>
    </row>
    <row r="158" spans="3:16" x14ac:dyDescent="0.3">
      <c r="C158">
        <f t="shared" si="25"/>
        <v>0</v>
      </c>
      <c r="D158">
        <v>1.66E-2</v>
      </c>
      <c r="E158">
        <v>2.7899999999999999E-3</v>
      </c>
      <c r="F158">
        <f t="shared" si="26"/>
        <v>0</v>
      </c>
      <c r="G158">
        <f t="shared" si="2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2"/>
        <v>0</v>
      </c>
      <c r="O158">
        <f t="shared" si="33"/>
        <v>0</v>
      </c>
      <c r="P158" t="e">
        <f t="shared" si="34"/>
        <v>#NUM!</v>
      </c>
    </row>
    <row r="159" spans="3:16" x14ac:dyDescent="0.3">
      <c r="C159">
        <f t="shared" si="25"/>
        <v>0</v>
      </c>
      <c r="D159">
        <v>1.66E-2</v>
      </c>
      <c r="E159">
        <v>2.7899999999999999E-3</v>
      </c>
      <c r="F159">
        <f t="shared" si="26"/>
        <v>0</v>
      </c>
      <c r="G159">
        <f t="shared" si="2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2"/>
        <v>0</v>
      </c>
      <c r="O159">
        <f t="shared" si="33"/>
        <v>0</v>
      </c>
      <c r="P159" t="e">
        <f t="shared" si="34"/>
        <v>#NUM!</v>
      </c>
    </row>
    <row r="160" spans="3:16" x14ac:dyDescent="0.3">
      <c r="C160">
        <f t="shared" si="25"/>
        <v>0</v>
      </c>
      <c r="D160">
        <v>1.66E-2</v>
      </c>
      <c r="E160">
        <v>2.7899999999999999E-3</v>
      </c>
      <c r="F160">
        <f t="shared" si="26"/>
        <v>0</v>
      </c>
      <c r="G160">
        <f t="shared" si="2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2"/>
        <v>0</v>
      </c>
      <c r="O160">
        <f t="shared" si="33"/>
        <v>0</v>
      </c>
      <c r="P160" t="e">
        <f t="shared" si="34"/>
        <v>#NUM!</v>
      </c>
    </row>
    <row r="161" spans="3:16" x14ac:dyDescent="0.3">
      <c r="C161">
        <f t="shared" si="25"/>
        <v>0</v>
      </c>
      <c r="D161">
        <v>1.66E-2</v>
      </c>
      <c r="E161">
        <v>2.7899999999999999E-3</v>
      </c>
      <c r="F161">
        <f t="shared" si="26"/>
        <v>0</v>
      </c>
      <c r="G161">
        <f t="shared" si="2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2"/>
        <v>0</v>
      </c>
      <c r="O161">
        <f t="shared" si="33"/>
        <v>0</v>
      </c>
      <c r="P161" t="e">
        <f t="shared" si="34"/>
        <v>#NUM!</v>
      </c>
    </row>
    <row r="162" spans="3:16" x14ac:dyDescent="0.3">
      <c r="C162">
        <f t="shared" si="25"/>
        <v>0</v>
      </c>
      <c r="D162">
        <v>1.66E-2</v>
      </c>
      <c r="E162">
        <v>2.7899999999999999E-3</v>
      </c>
      <c r="F162">
        <f t="shared" si="26"/>
        <v>0</v>
      </c>
      <c r="G162">
        <f t="shared" si="2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2"/>
        <v>0</v>
      </c>
      <c r="O162">
        <f t="shared" si="33"/>
        <v>0</v>
      </c>
      <c r="P162" t="e">
        <f t="shared" si="34"/>
        <v>#NUM!</v>
      </c>
    </row>
    <row r="163" spans="3:16" x14ac:dyDescent="0.3">
      <c r="C163">
        <f t="shared" si="25"/>
        <v>0</v>
      </c>
      <c r="D163">
        <v>1.66E-2</v>
      </c>
      <c r="E163">
        <v>2.7899999999999999E-3</v>
      </c>
      <c r="F163">
        <f t="shared" si="26"/>
        <v>0</v>
      </c>
      <c r="G163">
        <f t="shared" si="2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2"/>
        <v>0</v>
      </c>
      <c r="O163">
        <f t="shared" si="33"/>
        <v>0</v>
      </c>
      <c r="P163" t="e">
        <f t="shared" si="34"/>
        <v>#NUM!</v>
      </c>
    </row>
    <row r="164" spans="3:16" x14ac:dyDescent="0.3">
      <c r="C164">
        <f t="shared" si="25"/>
        <v>0</v>
      </c>
      <c r="D164">
        <v>1.66E-2</v>
      </c>
      <c r="E164">
        <v>2.7899999999999999E-3</v>
      </c>
      <c r="F164">
        <f t="shared" si="26"/>
        <v>0</v>
      </c>
      <c r="G164">
        <f t="shared" si="2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2"/>
        <v>0</v>
      </c>
      <c r="O164">
        <f t="shared" si="33"/>
        <v>0</v>
      </c>
      <c r="P164" t="e">
        <f t="shared" si="34"/>
        <v>#NUM!</v>
      </c>
    </row>
    <row r="165" spans="3:16" x14ac:dyDescent="0.3">
      <c r="C165">
        <f t="shared" si="25"/>
        <v>0</v>
      </c>
      <c r="D165">
        <v>1.66E-2</v>
      </c>
      <c r="E165">
        <v>2.7899999999999999E-3</v>
      </c>
      <c r="F165">
        <f t="shared" si="26"/>
        <v>0</v>
      </c>
      <c r="G165">
        <f t="shared" si="2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2"/>
        <v>0</v>
      </c>
      <c r="O165">
        <f t="shared" si="33"/>
        <v>0</v>
      </c>
      <c r="P165" t="e">
        <f t="shared" si="34"/>
        <v>#NUM!</v>
      </c>
    </row>
    <row r="166" spans="3:16" x14ac:dyDescent="0.3">
      <c r="C166">
        <f t="shared" si="25"/>
        <v>0</v>
      </c>
      <c r="D166">
        <v>1.66E-2</v>
      </c>
      <c r="E166">
        <v>2.7899999999999999E-3</v>
      </c>
      <c r="F166">
        <f t="shared" si="26"/>
        <v>0</v>
      </c>
      <c r="G166">
        <f t="shared" si="2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2"/>
        <v>0</v>
      </c>
      <c r="O166">
        <f t="shared" si="33"/>
        <v>0</v>
      </c>
      <c r="P166" t="e">
        <f t="shared" si="34"/>
        <v>#NUM!</v>
      </c>
    </row>
    <row r="167" spans="3:16" x14ac:dyDescent="0.3">
      <c r="C167">
        <f t="shared" si="25"/>
        <v>0</v>
      </c>
      <c r="D167">
        <v>1.66E-2</v>
      </c>
      <c r="E167">
        <v>2.7899999999999999E-3</v>
      </c>
      <c r="F167">
        <f t="shared" si="26"/>
        <v>0</v>
      </c>
      <c r="G167">
        <f t="shared" si="2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2"/>
        <v>0</v>
      </c>
      <c r="O167">
        <f t="shared" si="33"/>
        <v>0</v>
      </c>
      <c r="P167" t="e">
        <f t="shared" si="34"/>
        <v>#NUM!</v>
      </c>
    </row>
    <row r="168" spans="3:16" x14ac:dyDescent="0.3">
      <c r="C168">
        <f t="shared" si="25"/>
        <v>0</v>
      </c>
      <c r="D168">
        <v>1.66E-2</v>
      </c>
      <c r="E168">
        <v>2.7899999999999999E-3</v>
      </c>
      <c r="F168">
        <f t="shared" si="26"/>
        <v>0</v>
      </c>
      <c r="G168">
        <f t="shared" si="2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2"/>
        <v>0</v>
      </c>
      <c r="O168">
        <f t="shared" si="33"/>
        <v>0</v>
      </c>
      <c r="P168" t="e">
        <f t="shared" si="34"/>
        <v>#NUM!</v>
      </c>
    </row>
    <row r="169" spans="3:16" x14ac:dyDescent="0.3">
      <c r="C169">
        <f t="shared" si="25"/>
        <v>0</v>
      </c>
      <c r="D169">
        <v>1.66E-2</v>
      </c>
      <c r="E169">
        <v>2.7899999999999999E-3</v>
      </c>
      <c r="F169">
        <f t="shared" si="26"/>
        <v>0</v>
      </c>
      <c r="G169">
        <f t="shared" si="2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2"/>
        <v>0</v>
      </c>
      <c r="O169">
        <f t="shared" si="33"/>
        <v>0</v>
      </c>
      <c r="P169" t="e">
        <f t="shared" si="34"/>
        <v>#NUM!</v>
      </c>
    </row>
    <row r="170" spans="3:16" x14ac:dyDescent="0.3">
      <c r="C170">
        <f t="shared" si="25"/>
        <v>0</v>
      </c>
      <c r="D170">
        <v>1.66E-2</v>
      </c>
      <c r="E170">
        <v>2.7899999999999999E-3</v>
      </c>
      <c r="F170">
        <f t="shared" si="26"/>
        <v>0</v>
      </c>
      <c r="G170">
        <f t="shared" si="2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2"/>
        <v>0</v>
      </c>
      <c r="O170">
        <f t="shared" si="33"/>
        <v>0</v>
      </c>
      <c r="P170" t="e">
        <f t="shared" si="34"/>
        <v>#NUM!</v>
      </c>
    </row>
    <row r="171" spans="3:16" x14ac:dyDescent="0.3">
      <c r="C171">
        <f t="shared" si="25"/>
        <v>0</v>
      </c>
      <c r="D171">
        <v>1.66E-2</v>
      </c>
      <c r="E171">
        <v>2.7899999999999999E-3</v>
      </c>
      <c r="F171">
        <f t="shared" si="26"/>
        <v>0</v>
      </c>
      <c r="G171">
        <f t="shared" si="2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2"/>
        <v>0</v>
      </c>
      <c r="O171">
        <f t="shared" si="33"/>
        <v>0</v>
      </c>
      <c r="P171" t="e">
        <f t="shared" si="34"/>
        <v>#NUM!</v>
      </c>
    </row>
    <row r="172" spans="3:16" x14ac:dyDescent="0.3">
      <c r="C172">
        <f t="shared" si="25"/>
        <v>0</v>
      </c>
      <c r="D172">
        <v>1.66E-2</v>
      </c>
      <c r="E172">
        <v>2.7899999999999999E-3</v>
      </c>
      <c r="F172">
        <f t="shared" si="26"/>
        <v>0</v>
      </c>
      <c r="G172">
        <f t="shared" si="2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2"/>
        <v>0</v>
      </c>
      <c r="O172">
        <f t="shared" si="33"/>
        <v>0</v>
      </c>
      <c r="P172" t="e">
        <f t="shared" si="34"/>
        <v>#NUM!</v>
      </c>
    </row>
    <row r="173" spans="3:16" x14ac:dyDescent="0.3">
      <c r="C173">
        <f t="shared" si="25"/>
        <v>0</v>
      </c>
      <c r="D173">
        <v>1.66E-2</v>
      </c>
      <c r="E173">
        <v>2.7899999999999999E-3</v>
      </c>
      <c r="F173">
        <f t="shared" si="26"/>
        <v>0</v>
      </c>
      <c r="G173">
        <f t="shared" si="2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2"/>
        <v>0</v>
      </c>
      <c r="O173">
        <f t="shared" si="33"/>
        <v>0</v>
      </c>
      <c r="P173" t="e">
        <f t="shared" si="34"/>
        <v>#NUM!</v>
      </c>
    </row>
    <row r="174" spans="3:16" x14ac:dyDescent="0.3">
      <c r="C174">
        <f t="shared" si="25"/>
        <v>0</v>
      </c>
      <c r="D174">
        <v>1.66E-2</v>
      </c>
      <c r="E174">
        <v>2.7899999999999999E-3</v>
      </c>
      <c r="F174">
        <f t="shared" si="26"/>
        <v>0</v>
      </c>
      <c r="G174">
        <f t="shared" si="2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2"/>
        <v>0</v>
      </c>
      <c r="O174">
        <f t="shared" si="33"/>
        <v>0</v>
      </c>
      <c r="P174" t="e">
        <f t="shared" si="34"/>
        <v>#NUM!</v>
      </c>
    </row>
    <row r="175" spans="3:16" x14ac:dyDescent="0.3">
      <c r="C175">
        <f t="shared" si="25"/>
        <v>0</v>
      </c>
      <c r="D175">
        <v>1.66E-2</v>
      </c>
      <c r="E175">
        <v>2.7899999999999999E-3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2"/>
        <v>0</v>
      </c>
      <c r="O175">
        <f t="shared" si="33"/>
        <v>0</v>
      </c>
      <c r="P175" t="e">
        <f t="shared" si="34"/>
        <v>#NUM!</v>
      </c>
    </row>
    <row r="176" spans="3:16" x14ac:dyDescent="0.3">
      <c r="C176">
        <f t="shared" si="25"/>
        <v>0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2"/>
        <v>0</v>
      </c>
      <c r="O176">
        <f t="shared" si="33"/>
        <v>0</v>
      </c>
      <c r="P176" t="e">
        <f t="shared" si="34"/>
        <v>#NUM!</v>
      </c>
    </row>
    <row r="177" spans="3:16" x14ac:dyDescent="0.3">
      <c r="C177">
        <f t="shared" si="25"/>
        <v>0</v>
      </c>
      <c r="F177">
        <f t="shared" si="26"/>
        <v>0</v>
      </c>
      <c r="G177">
        <f t="shared" si="2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2"/>
        <v>0</v>
      </c>
      <c r="O177">
        <f t="shared" si="33"/>
        <v>0</v>
      </c>
      <c r="P177" t="e">
        <f t="shared" si="34"/>
        <v>#NUM!</v>
      </c>
    </row>
    <row r="178" spans="3:16" x14ac:dyDescent="0.3">
      <c r="C178">
        <f t="shared" si="25"/>
        <v>0</v>
      </c>
      <c r="F178">
        <f t="shared" si="26"/>
        <v>0</v>
      </c>
      <c r="G178">
        <f t="shared" si="2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2"/>
        <v>0</v>
      </c>
      <c r="O178">
        <f t="shared" si="33"/>
        <v>0</v>
      </c>
      <c r="P178" t="e">
        <f t="shared" si="34"/>
        <v>#NUM!</v>
      </c>
    </row>
    <row r="179" spans="3:16" x14ac:dyDescent="0.3">
      <c r="C179">
        <f t="shared" si="25"/>
        <v>0</v>
      </c>
      <c r="F179">
        <f t="shared" si="26"/>
        <v>0</v>
      </c>
      <c r="G179">
        <f t="shared" si="2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2"/>
        <v>0</v>
      </c>
      <c r="O179">
        <f t="shared" si="33"/>
        <v>0</v>
      </c>
      <c r="P179" t="e">
        <f t="shared" si="34"/>
        <v>#NUM!</v>
      </c>
    </row>
    <row r="180" spans="3:16" x14ac:dyDescent="0.3">
      <c r="C180">
        <f t="shared" si="25"/>
        <v>0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2"/>
        <v>0</v>
      </c>
      <c r="O180">
        <f t="shared" si="33"/>
        <v>0</v>
      </c>
      <c r="P180" t="e">
        <f t="shared" si="34"/>
        <v>#NUM!</v>
      </c>
    </row>
    <row r="181" spans="3:16" x14ac:dyDescent="0.3">
      <c r="C181">
        <f t="shared" si="25"/>
        <v>0</v>
      </c>
      <c r="F181">
        <f t="shared" si="26"/>
        <v>0</v>
      </c>
      <c r="G181">
        <f t="shared" si="2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2"/>
        <v>0</v>
      </c>
      <c r="O181">
        <f t="shared" si="33"/>
        <v>0</v>
      </c>
      <c r="P181" t="e">
        <f t="shared" si="34"/>
        <v>#NUM!</v>
      </c>
    </row>
    <row r="182" spans="3:16" x14ac:dyDescent="0.3">
      <c r="C182">
        <f t="shared" si="25"/>
        <v>0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2"/>
        <v>0</v>
      </c>
      <c r="O182">
        <f t="shared" si="33"/>
        <v>0</v>
      </c>
      <c r="P182" t="e">
        <f t="shared" si="34"/>
        <v>#NUM!</v>
      </c>
    </row>
    <row r="183" spans="3:16" x14ac:dyDescent="0.3">
      <c r="C183">
        <f t="shared" si="25"/>
        <v>0</v>
      </c>
      <c r="F183">
        <f t="shared" si="26"/>
        <v>0</v>
      </c>
      <c r="G183">
        <f t="shared" si="2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2"/>
        <v>0</v>
      </c>
      <c r="O183">
        <f t="shared" si="33"/>
        <v>0</v>
      </c>
      <c r="P183" t="e">
        <f t="shared" si="34"/>
        <v>#NUM!</v>
      </c>
    </row>
    <row r="184" spans="3:16" x14ac:dyDescent="0.3">
      <c r="C184">
        <f t="shared" si="25"/>
        <v>0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3:16" x14ac:dyDescent="0.3">
      <c r="C185">
        <f t="shared" si="25"/>
        <v>0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3:16" x14ac:dyDescent="0.3">
      <c r="C186">
        <f t="shared" si="25"/>
        <v>0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3:16" x14ac:dyDescent="0.3">
      <c r="C187">
        <f t="shared" si="25"/>
        <v>0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3:16" x14ac:dyDescent="0.3">
      <c r="C188">
        <f t="shared" si="25"/>
        <v>0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3:16" x14ac:dyDescent="0.3">
      <c r="C189">
        <f t="shared" si="25"/>
        <v>0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3:16" x14ac:dyDescent="0.3">
      <c r="C190">
        <f t="shared" si="25"/>
        <v>0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3:16" x14ac:dyDescent="0.3">
      <c r="C191">
        <f t="shared" si="25"/>
        <v>0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3:16" x14ac:dyDescent="0.3">
      <c r="C192">
        <f t="shared" si="25"/>
        <v>0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1.66E-2</v>
      </c>
      <c r="E228">
        <v>2.7899999999999999E-3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1.66E-2</v>
      </c>
      <c r="E229">
        <v>2.7899999999999999E-3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1.66E-2</v>
      </c>
      <c r="E230">
        <v>2.7899999999999999E-3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1.66E-2</v>
      </c>
      <c r="E231">
        <v>2.7899999999999999E-3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1.66E-2</v>
      </c>
      <c r="E232">
        <v>2.7899999999999999E-3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1.66E-2</v>
      </c>
      <c r="E233">
        <v>2.7899999999999999E-3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1.66E-2</v>
      </c>
      <c r="E234">
        <v>2.7899999999999999E-3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1.66E-2</v>
      </c>
      <c r="E235">
        <v>2.7899999999999999E-3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1.66E-2</v>
      </c>
      <c r="E236">
        <v>2.7899999999999999E-3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1.66E-2</v>
      </c>
      <c r="E237">
        <v>2.7899999999999999E-3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1.66E-2</v>
      </c>
      <c r="E238">
        <v>2.7899999999999999E-3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1.66E-2</v>
      </c>
      <c r="E239">
        <v>2.7899999999999999E-3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1.66E-2</v>
      </c>
      <c r="E240">
        <v>2.7899999999999999E-3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1.66E-2</v>
      </c>
      <c r="E241">
        <v>2.7899999999999999E-3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1.66E-2</v>
      </c>
      <c r="E242">
        <v>2.7899999999999999E-3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1.66E-2</v>
      </c>
      <c r="E243">
        <v>2.7899999999999999E-3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1.66E-2</v>
      </c>
      <c r="E244">
        <v>2.7899999999999999E-3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1.66E-2</v>
      </c>
      <c r="E245">
        <v>2.7899999999999999E-3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1.66E-2</v>
      </c>
      <c r="E246">
        <v>2.7899999999999999E-3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1.66E-2</v>
      </c>
      <c r="E247">
        <v>2.7899999999999999E-3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1.66E-2</v>
      </c>
      <c r="E248">
        <v>2.7899999999999999E-3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1.66E-2</v>
      </c>
      <c r="E249">
        <v>2.7899999999999999E-3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1.66E-2</v>
      </c>
      <c r="E250">
        <v>2.7899999999999999E-3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1.66E-2</v>
      </c>
      <c r="E251">
        <v>2.7899999999999999E-3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1.66E-2</v>
      </c>
      <c r="E252">
        <v>2.7899999999999999E-3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1.66E-2</v>
      </c>
      <c r="E253">
        <v>2.7899999999999999E-3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1.66E-2</v>
      </c>
      <c r="E254">
        <v>2.7899999999999999E-3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1.66E-2</v>
      </c>
      <c r="E255">
        <v>2.7899999999999999E-3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1.66E-2</v>
      </c>
      <c r="E256">
        <v>2.7899999999999999E-3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1.66E-2</v>
      </c>
      <c r="E257">
        <v>2.7899999999999999E-3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1.66E-2</v>
      </c>
      <c r="E258">
        <v>2.7899999999999999E-3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1.66E-2</v>
      </c>
      <c r="E259">
        <v>2.7899999999999999E-3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03" si="46">A260*B260</f>
        <v>0</v>
      </c>
      <c r="D260">
        <v>1.66E-2</v>
      </c>
      <c r="E260">
        <v>2.7899999999999999E-3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03" si="55">-K260-M260-N260-O260</f>
        <v>#NUM!</v>
      </c>
    </row>
    <row r="261" spans="3:16" x14ac:dyDescent="0.3">
      <c r="C261">
        <f t="shared" si="46"/>
        <v>0</v>
      </c>
      <c r="D261">
        <v>1.66E-2</v>
      </c>
      <c r="E261">
        <v>2.7899999999999999E-3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1.66E-2</v>
      </c>
      <c r="E262">
        <v>2.7899999999999999E-3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1.66E-2</v>
      </c>
      <c r="E263">
        <v>2.7899999999999999E-3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1.66E-2</v>
      </c>
      <c r="E264">
        <v>2.7899999999999999E-3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1.66E-2</v>
      </c>
      <c r="E265">
        <v>2.7899999999999999E-3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1.66E-2</v>
      </c>
      <c r="E266">
        <v>2.7899999999999999E-3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1.66E-2</v>
      </c>
      <c r="E267">
        <v>2.7899999999999999E-3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1.66E-2</v>
      </c>
      <c r="E268">
        <v>2.7899999999999999E-3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1.66E-2</v>
      </c>
      <c r="E269">
        <v>2.7899999999999999E-3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1.66E-2</v>
      </c>
      <c r="E270">
        <v>2.7899999999999999E-3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1.66E-2</v>
      </c>
      <c r="E271">
        <v>2.7899999999999999E-3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1.66E-2</v>
      </c>
      <c r="E272">
        <v>2.7899999999999999E-3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1.66E-2</v>
      </c>
      <c r="E273">
        <v>2.7899999999999999E-3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1.66E-2</v>
      </c>
      <c r="E274">
        <v>2.7899999999999999E-3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1.66E-2</v>
      </c>
      <c r="E275">
        <v>2.7899999999999999E-3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1.66E-2</v>
      </c>
      <c r="E276">
        <v>2.7899999999999999E-3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1.66E-2</v>
      </c>
      <c r="E277">
        <v>2.7899999999999999E-3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1.66E-2</v>
      </c>
      <c r="E278">
        <v>2.7899999999999999E-3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1.66E-2</v>
      </c>
      <c r="E279">
        <v>2.7899999999999999E-3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1.66E-2</v>
      </c>
      <c r="E280">
        <v>2.7899999999999999E-3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1.66E-2</v>
      </c>
      <c r="E281">
        <v>2.7899999999999999E-3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1.66E-2</v>
      </c>
      <c r="E282">
        <v>2.7899999999999999E-3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1.66E-2</v>
      </c>
      <c r="E283">
        <v>2.7899999999999999E-3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1.66E-2</v>
      </c>
      <c r="E284">
        <v>2.7899999999999999E-3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1.66E-2</v>
      </c>
      <c r="E285">
        <v>2.7899999999999999E-3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1.66E-2</v>
      </c>
      <c r="E286">
        <v>2.7899999999999999E-3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1.66E-2</v>
      </c>
      <c r="E287">
        <v>2.7899999999999999E-3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1.66E-2</v>
      </c>
      <c r="E288">
        <v>2.7899999999999999E-3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1.66E-2</v>
      </c>
      <c r="E289">
        <v>2.7899999999999999E-3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1.66E-2</v>
      </c>
      <c r="E290">
        <v>2.7899999999999999E-3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1.66E-2</v>
      </c>
      <c r="E291">
        <v>2.7899999999999999E-3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1.66E-2</v>
      </c>
      <c r="E292">
        <v>2.7899999999999999E-3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1.66E-2</v>
      </c>
      <c r="E293">
        <v>2.7899999999999999E-3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1.66E-2</v>
      </c>
      <c r="E294">
        <v>2.7899999999999999E-3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1.66E-2</v>
      </c>
      <c r="E295">
        <v>2.7899999999999999E-3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1.66E-2</v>
      </c>
      <c r="E296">
        <v>2.7899999999999999E-3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1.66E-2</v>
      </c>
      <c r="E297">
        <v>2.7899999999999999E-3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1.66E-2</v>
      </c>
      <c r="E298">
        <v>2.7899999999999999E-3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1.66E-2</v>
      </c>
      <c r="E299">
        <v>2.7899999999999999E-3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1.66E-2</v>
      </c>
      <c r="E300">
        <v>2.7899999999999999E-3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1.66E-2</v>
      </c>
      <c r="E301">
        <v>2.7899999999999999E-3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1.66E-2</v>
      </c>
      <c r="E302">
        <v>2.7899999999999999E-3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1.66E-2</v>
      </c>
      <c r="E303">
        <v>2.7899999999999999E-3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23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23" si="28">K194-$I$1</f>
        <v>-0.65273690721887978</v>
      </c>
      <c r="N194">
        <v>2004.2352000000001</v>
      </c>
      <c r="O194">
        <f t="shared" ref="O194:O232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2026-06-03T03:29:25Z</dcterms:modified>
</cp:coreProperties>
</file>