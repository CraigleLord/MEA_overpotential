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KAIST MASc 2021\Laboratory Work\Protocol\overpotential calculation\For paper SI\260603 New data set (reproducibility)\Overpotential DATA raw alt\Air BP\KB BM\BOL\"/>
    </mc:Choice>
  </mc:AlternateContent>
  <xr:revisionPtr revIDLastSave="0" documentId="13_ncr:1_{8422702B-D898-4468-B124-10A211BFA10B}" xr6:coauthVersionLast="36" xr6:coauthVersionMax="36" xr10:uidLastSave="{00000000-0000-0000-0000-000000000000}"/>
  <bookViews>
    <workbookView xWindow="0" yWindow="0" windowWidth="23595" windowHeight="11265" xr2:uid="{00000000-000D-0000-FFFF-FFFF00000000}"/>
  </bookViews>
  <sheets>
    <sheet name="Sheet1" sheetId="1" r:id="rId1"/>
    <sheet name="Sheet3" sheetId="2" r:id="rId2"/>
  </sheets>
  <calcPr calcId="191029"/>
</workbook>
</file>

<file path=xl/calcChain.xml><?xml version="1.0" encoding="utf-8"?>
<calcChain xmlns="http://schemas.openxmlformats.org/spreadsheetml/2006/main">
  <c r="D156" i="2" l="1"/>
  <c r="C156" i="2"/>
  <c r="D155" i="2"/>
  <c r="C155" i="2"/>
  <c r="D154" i="2"/>
  <c r="C154" i="2"/>
  <c r="D153" i="2"/>
  <c r="C153" i="2"/>
  <c r="D152" i="2"/>
  <c r="C152" i="2"/>
  <c r="D151" i="2"/>
  <c r="C151" i="2"/>
  <c r="D150" i="2"/>
  <c r="C150" i="2"/>
  <c r="D149" i="2"/>
  <c r="C149" i="2"/>
  <c r="D148" i="2"/>
  <c r="C148" i="2"/>
  <c r="D147" i="2"/>
  <c r="C147" i="2"/>
  <c r="D146" i="2"/>
  <c r="C146" i="2"/>
  <c r="D145" i="2"/>
  <c r="C145" i="2"/>
  <c r="D144" i="2"/>
  <c r="C144" i="2"/>
  <c r="D143" i="2"/>
  <c r="C143" i="2"/>
  <c r="D142" i="2"/>
  <c r="C142" i="2"/>
  <c r="D141" i="2"/>
  <c r="C141" i="2"/>
  <c r="D140" i="2"/>
  <c r="C140" i="2"/>
  <c r="D139" i="2"/>
  <c r="C139" i="2"/>
  <c r="D138" i="2"/>
  <c r="C138" i="2"/>
  <c r="D137" i="2"/>
  <c r="C137" i="2"/>
  <c r="D136" i="2"/>
  <c r="C136" i="2"/>
  <c r="D135" i="2"/>
  <c r="C135" i="2"/>
  <c r="D134" i="2"/>
  <c r="C134" i="2"/>
  <c r="D133" i="2"/>
  <c r="C133" i="2"/>
  <c r="D132" i="2"/>
  <c r="C132" i="2"/>
  <c r="D131" i="2"/>
  <c r="C131" i="2"/>
  <c r="D130" i="2"/>
  <c r="C130" i="2"/>
  <c r="D129" i="2"/>
  <c r="C129" i="2"/>
  <c r="D128" i="2"/>
  <c r="C128" i="2"/>
  <c r="D127" i="2"/>
  <c r="C127" i="2"/>
  <c r="D126" i="2"/>
  <c r="C126" i="2"/>
  <c r="D125" i="2"/>
  <c r="C125" i="2"/>
  <c r="D124" i="2"/>
  <c r="C124" i="2"/>
  <c r="D123" i="2"/>
  <c r="C123" i="2"/>
  <c r="D122" i="2"/>
  <c r="C122" i="2"/>
  <c r="D121" i="2"/>
  <c r="C121" i="2"/>
  <c r="D120" i="2"/>
  <c r="C120" i="2"/>
  <c r="D119" i="2"/>
  <c r="C119" i="2"/>
  <c r="D118" i="2"/>
  <c r="C118" i="2"/>
  <c r="D117" i="2"/>
  <c r="C117" i="2"/>
  <c r="D116" i="2"/>
  <c r="C116" i="2"/>
  <c r="D115" i="2"/>
  <c r="C115" i="2"/>
  <c r="D114" i="2"/>
  <c r="C114" i="2"/>
  <c r="D113" i="2"/>
  <c r="C113" i="2"/>
  <c r="D112" i="2"/>
  <c r="C112" i="2"/>
  <c r="D111" i="2"/>
  <c r="C111" i="2"/>
  <c r="D110" i="2"/>
  <c r="C110" i="2"/>
  <c r="D109" i="2"/>
  <c r="C109" i="2"/>
  <c r="D108" i="2"/>
  <c r="C108" i="2"/>
  <c r="D107" i="2"/>
  <c r="C107" i="2"/>
  <c r="D106" i="2"/>
  <c r="C106" i="2"/>
  <c r="D105" i="2"/>
  <c r="C105" i="2"/>
  <c r="D104" i="2"/>
  <c r="C104" i="2"/>
  <c r="D103" i="2"/>
  <c r="C103" i="2"/>
  <c r="D102" i="2"/>
  <c r="C102" i="2"/>
  <c r="D101" i="2"/>
  <c r="C101" i="2"/>
  <c r="D100" i="2"/>
  <c r="C100" i="2"/>
  <c r="D99" i="2"/>
  <c r="C99" i="2"/>
  <c r="D98" i="2"/>
  <c r="C98" i="2"/>
  <c r="D97" i="2"/>
  <c r="C97" i="2"/>
  <c r="D96" i="2"/>
  <c r="C96" i="2"/>
  <c r="D95" i="2"/>
  <c r="C95" i="2"/>
  <c r="D94" i="2"/>
  <c r="C94" i="2"/>
  <c r="D93" i="2"/>
  <c r="C93" i="2"/>
  <c r="D92" i="2"/>
  <c r="C92" i="2"/>
  <c r="D91" i="2"/>
  <c r="C91" i="2"/>
  <c r="D90" i="2"/>
  <c r="C90" i="2"/>
  <c r="D89" i="2"/>
  <c r="C89" i="2"/>
  <c r="D88" i="2"/>
  <c r="C88" i="2"/>
  <c r="D87" i="2"/>
  <c r="C87" i="2"/>
  <c r="D86" i="2"/>
  <c r="C86" i="2"/>
  <c r="D85" i="2"/>
  <c r="C85" i="2"/>
  <c r="D84" i="2"/>
  <c r="C84" i="2"/>
  <c r="D83" i="2"/>
  <c r="C83" i="2"/>
  <c r="D82" i="2"/>
  <c r="C82" i="2"/>
  <c r="D81" i="2"/>
  <c r="C81" i="2"/>
  <c r="D80" i="2"/>
  <c r="C80" i="2"/>
  <c r="D79" i="2"/>
  <c r="C79" i="2"/>
  <c r="D78" i="2"/>
  <c r="C78" i="2"/>
  <c r="D77" i="2"/>
  <c r="C77" i="2"/>
  <c r="D76" i="2"/>
  <c r="C76" i="2"/>
  <c r="D75" i="2"/>
  <c r="C75" i="2"/>
  <c r="D74" i="2"/>
  <c r="C74" i="2"/>
  <c r="D73" i="2"/>
  <c r="C73" i="2"/>
  <c r="D72" i="2"/>
  <c r="C72" i="2"/>
  <c r="D71" i="2"/>
  <c r="C71" i="2"/>
  <c r="D70" i="2"/>
  <c r="C70" i="2"/>
  <c r="D69" i="2"/>
  <c r="C69" i="2"/>
  <c r="D68" i="2"/>
  <c r="C68" i="2"/>
  <c r="D67" i="2"/>
  <c r="C67" i="2"/>
  <c r="D66" i="2"/>
  <c r="C66" i="2"/>
  <c r="D65" i="2"/>
  <c r="C65" i="2"/>
  <c r="D64" i="2"/>
  <c r="C64" i="2"/>
  <c r="D63" i="2"/>
  <c r="C63" i="2"/>
  <c r="D62" i="2"/>
  <c r="C62" i="2"/>
  <c r="D61" i="2"/>
  <c r="C61" i="2"/>
  <c r="D60" i="2"/>
  <c r="C60" i="2"/>
  <c r="D59" i="2"/>
  <c r="C59" i="2"/>
  <c r="D58" i="2"/>
  <c r="C58" i="2"/>
  <c r="D57" i="2"/>
  <c r="C57" i="2"/>
  <c r="D56" i="2"/>
  <c r="C56" i="2"/>
  <c r="D55" i="2"/>
  <c r="C55" i="2"/>
  <c r="D54" i="2"/>
  <c r="C54" i="2"/>
  <c r="D53" i="2"/>
  <c r="C53" i="2"/>
  <c r="D52" i="2"/>
  <c r="C52" i="2"/>
  <c r="D51" i="2"/>
  <c r="C51" i="2"/>
  <c r="D50" i="2"/>
  <c r="C50" i="2"/>
  <c r="D49" i="2"/>
  <c r="C49" i="2"/>
  <c r="D48" i="2"/>
  <c r="C48" i="2"/>
  <c r="D47" i="2"/>
  <c r="C47" i="2"/>
  <c r="D46" i="2"/>
  <c r="C46" i="2"/>
  <c r="D45" i="2"/>
  <c r="C45" i="2"/>
  <c r="D44" i="2"/>
  <c r="C44" i="2"/>
  <c r="D43" i="2"/>
  <c r="C43" i="2"/>
  <c r="D42" i="2"/>
  <c r="C42" i="2"/>
  <c r="D41" i="2"/>
  <c r="C41" i="2"/>
  <c r="D40" i="2"/>
  <c r="C40" i="2"/>
  <c r="D39" i="2"/>
  <c r="C39" i="2"/>
  <c r="D38" i="2"/>
  <c r="C38" i="2"/>
  <c r="D37" i="2"/>
  <c r="C37" i="2"/>
  <c r="D36" i="2"/>
  <c r="C36" i="2"/>
  <c r="D35" i="2"/>
  <c r="C35" i="2"/>
  <c r="D34" i="2"/>
  <c r="C34" i="2"/>
  <c r="D33" i="2"/>
  <c r="C33" i="2"/>
  <c r="D32" i="2"/>
  <c r="C32" i="2"/>
  <c r="D31" i="2"/>
  <c r="C31" i="2"/>
  <c r="D30" i="2"/>
  <c r="C30" i="2"/>
  <c r="D29" i="2"/>
  <c r="C29" i="2"/>
  <c r="D28" i="2"/>
  <c r="C28" i="2"/>
  <c r="D27" i="2"/>
  <c r="C27" i="2"/>
  <c r="D26" i="2"/>
  <c r="C26" i="2"/>
  <c r="D25" i="2"/>
  <c r="C25" i="2"/>
  <c r="D24" i="2"/>
  <c r="C24" i="2"/>
  <c r="D23" i="2"/>
  <c r="C23" i="2"/>
  <c r="D22" i="2"/>
  <c r="C22" i="2"/>
  <c r="D21" i="2"/>
  <c r="C21" i="2"/>
  <c r="D20" i="2"/>
  <c r="C20" i="2"/>
  <c r="D19" i="2"/>
  <c r="C19" i="2"/>
  <c r="D18" i="2"/>
  <c r="C18" i="2"/>
  <c r="D17" i="2"/>
  <c r="C17" i="2"/>
  <c r="D16" i="2"/>
  <c r="C16" i="2"/>
  <c r="D15" i="2"/>
  <c r="C15" i="2"/>
  <c r="D14" i="2"/>
  <c r="C14" i="2"/>
  <c r="D13" i="2"/>
  <c r="C13" i="2"/>
  <c r="D12" i="2"/>
  <c r="C12" i="2"/>
  <c r="D11" i="2"/>
  <c r="C11" i="2"/>
  <c r="D10" i="2"/>
  <c r="C10" i="2"/>
  <c r="D9" i="2"/>
  <c r="C9" i="2"/>
  <c r="D8" i="2"/>
  <c r="C8" i="2"/>
  <c r="D7" i="2"/>
  <c r="C7" i="2"/>
  <c r="D6" i="2"/>
  <c r="C6" i="2"/>
  <c r="D5" i="2"/>
  <c r="C5" i="2"/>
  <c r="D4" i="2"/>
  <c r="C4" i="2"/>
  <c r="D3" i="2"/>
  <c r="C3" i="2"/>
  <c r="D2" i="2"/>
  <c r="C2" i="2"/>
  <c r="O303" i="1"/>
  <c r="N303" i="1"/>
  <c r="J303" i="1"/>
  <c r="M303" i="1" s="1"/>
  <c r="G303" i="1"/>
  <c r="F303" i="1"/>
  <c r="C303" i="1"/>
  <c r="H303" i="1" s="1"/>
  <c r="O302" i="1"/>
  <c r="N302" i="1"/>
  <c r="M302" i="1"/>
  <c r="J302" i="1"/>
  <c r="H302" i="1"/>
  <c r="G302" i="1"/>
  <c r="F302" i="1"/>
  <c r="C302" i="1"/>
  <c r="O301" i="1"/>
  <c r="N301" i="1"/>
  <c r="J301" i="1"/>
  <c r="M301" i="1" s="1"/>
  <c r="G301" i="1"/>
  <c r="F301" i="1"/>
  <c r="C301" i="1"/>
  <c r="H301" i="1" s="1"/>
  <c r="O300" i="1"/>
  <c r="N300" i="1"/>
  <c r="M300" i="1"/>
  <c r="J300" i="1"/>
  <c r="H300" i="1"/>
  <c r="G300" i="1"/>
  <c r="F300" i="1"/>
  <c r="C300" i="1"/>
  <c r="O299" i="1"/>
  <c r="N299" i="1"/>
  <c r="J299" i="1"/>
  <c r="M299" i="1" s="1"/>
  <c r="G299" i="1"/>
  <c r="F299" i="1"/>
  <c r="C299" i="1"/>
  <c r="H299" i="1" s="1"/>
  <c r="O298" i="1"/>
  <c r="N298" i="1"/>
  <c r="M298" i="1"/>
  <c r="J298" i="1"/>
  <c r="H298" i="1"/>
  <c r="G298" i="1"/>
  <c r="F298" i="1"/>
  <c r="C298" i="1"/>
  <c r="O297" i="1"/>
  <c r="N297" i="1"/>
  <c r="J297" i="1"/>
  <c r="M297" i="1" s="1"/>
  <c r="G297" i="1"/>
  <c r="F297" i="1"/>
  <c r="C297" i="1"/>
  <c r="H297" i="1" s="1"/>
  <c r="O296" i="1"/>
  <c r="N296" i="1"/>
  <c r="M296" i="1"/>
  <c r="J296" i="1"/>
  <c r="H296" i="1"/>
  <c r="G296" i="1"/>
  <c r="F296" i="1"/>
  <c r="C296" i="1"/>
  <c r="O295" i="1"/>
  <c r="N295" i="1"/>
  <c r="J295" i="1"/>
  <c r="M295" i="1" s="1"/>
  <c r="G295" i="1"/>
  <c r="F295" i="1"/>
  <c r="C295" i="1"/>
  <c r="H295" i="1" s="1"/>
  <c r="O294" i="1"/>
  <c r="N294" i="1"/>
  <c r="M294" i="1"/>
  <c r="J294" i="1"/>
  <c r="H294" i="1"/>
  <c r="G294" i="1"/>
  <c r="F294" i="1"/>
  <c r="C294" i="1"/>
  <c r="O293" i="1"/>
  <c r="N293" i="1"/>
  <c r="J293" i="1"/>
  <c r="M293" i="1" s="1"/>
  <c r="G293" i="1"/>
  <c r="F293" i="1"/>
  <c r="C293" i="1"/>
  <c r="H293" i="1" s="1"/>
  <c r="O292" i="1"/>
  <c r="N292" i="1"/>
  <c r="M292" i="1"/>
  <c r="J292" i="1"/>
  <c r="H292" i="1"/>
  <c r="G292" i="1"/>
  <c r="F292" i="1"/>
  <c r="C292" i="1"/>
  <c r="O291" i="1"/>
  <c r="N291" i="1"/>
  <c r="J291" i="1"/>
  <c r="M291" i="1" s="1"/>
  <c r="G291" i="1"/>
  <c r="F291" i="1"/>
  <c r="C291" i="1"/>
  <c r="H291" i="1" s="1"/>
  <c r="O290" i="1"/>
  <c r="N290" i="1"/>
  <c r="M290" i="1"/>
  <c r="J290" i="1"/>
  <c r="H290" i="1"/>
  <c r="G290" i="1"/>
  <c r="F290" i="1"/>
  <c r="C290" i="1"/>
  <c r="O289" i="1"/>
  <c r="N289" i="1"/>
  <c r="J289" i="1"/>
  <c r="M289" i="1" s="1"/>
  <c r="G289" i="1"/>
  <c r="F289" i="1"/>
  <c r="C289" i="1"/>
  <c r="H289" i="1" s="1"/>
  <c r="O288" i="1"/>
  <c r="N288" i="1"/>
  <c r="M288" i="1"/>
  <c r="J288" i="1"/>
  <c r="H288" i="1"/>
  <c r="G288" i="1"/>
  <c r="F288" i="1"/>
  <c r="C288" i="1"/>
  <c r="O287" i="1"/>
  <c r="N287" i="1"/>
  <c r="J287" i="1"/>
  <c r="M287" i="1" s="1"/>
  <c r="G287" i="1"/>
  <c r="F287" i="1"/>
  <c r="C287" i="1"/>
  <c r="H287" i="1" s="1"/>
  <c r="O286" i="1"/>
  <c r="N286" i="1"/>
  <c r="M286" i="1"/>
  <c r="J286" i="1"/>
  <c r="H286" i="1"/>
  <c r="G286" i="1"/>
  <c r="F286" i="1"/>
  <c r="C286" i="1"/>
  <c r="O285" i="1"/>
  <c r="N285" i="1"/>
  <c r="J285" i="1"/>
  <c r="M285" i="1" s="1"/>
  <c r="G285" i="1"/>
  <c r="F285" i="1"/>
  <c r="C285" i="1"/>
  <c r="H285" i="1" s="1"/>
  <c r="O284" i="1"/>
  <c r="N284" i="1"/>
  <c r="M284" i="1"/>
  <c r="J284" i="1"/>
  <c r="H284" i="1"/>
  <c r="G284" i="1"/>
  <c r="F284" i="1"/>
  <c r="C284" i="1"/>
  <c r="O283" i="1"/>
  <c r="N283" i="1"/>
  <c r="J283" i="1"/>
  <c r="M283" i="1" s="1"/>
  <c r="G283" i="1"/>
  <c r="F283" i="1"/>
  <c r="C283" i="1"/>
  <c r="H283" i="1" s="1"/>
  <c r="O282" i="1"/>
  <c r="N282" i="1"/>
  <c r="M282" i="1"/>
  <c r="J282" i="1"/>
  <c r="H282" i="1"/>
  <c r="G282" i="1"/>
  <c r="F282" i="1"/>
  <c r="C282" i="1"/>
  <c r="O281" i="1"/>
  <c r="N281" i="1"/>
  <c r="J281" i="1"/>
  <c r="M281" i="1" s="1"/>
  <c r="G281" i="1"/>
  <c r="F281" i="1"/>
  <c r="C281" i="1"/>
  <c r="H281" i="1" s="1"/>
  <c r="O280" i="1"/>
  <c r="N280" i="1"/>
  <c r="M280" i="1"/>
  <c r="J280" i="1"/>
  <c r="H280" i="1"/>
  <c r="G280" i="1"/>
  <c r="F280" i="1"/>
  <c r="C280" i="1"/>
  <c r="O279" i="1"/>
  <c r="N279" i="1"/>
  <c r="J279" i="1"/>
  <c r="M279" i="1" s="1"/>
  <c r="G279" i="1"/>
  <c r="F279" i="1"/>
  <c r="C279" i="1"/>
  <c r="H279" i="1" s="1"/>
  <c r="O278" i="1"/>
  <c r="N278" i="1"/>
  <c r="M278" i="1"/>
  <c r="J278" i="1"/>
  <c r="H278" i="1"/>
  <c r="G278" i="1"/>
  <c r="F278" i="1"/>
  <c r="C278" i="1"/>
  <c r="O277" i="1"/>
  <c r="N277" i="1"/>
  <c r="J277" i="1"/>
  <c r="M277" i="1" s="1"/>
  <c r="G277" i="1"/>
  <c r="F277" i="1"/>
  <c r="C277" i="1"/>
  <c r="H277" i="1" s="1"/>
  <c r="O276" i="1"/>
  <c r="N276" i="1"/>
  <c r="M276" i="1"/>
  <c r="J276" i="1"/>
  <c r="H276" i="1"/>
  <c r="G276" i="1"/>
  <c r="F276" i="1"/>
  <c r="C276" i="1"/>
  <c r="O275" i="1"/>
  <c r="N275" i="1"/>
  <c r="J275" i="1"/>
  <c r="M275" i="1" s="1"/>
  <c r="G275" i="1"/>
  <c r="F275" i="1"/>
  <c r="C275" i="1"/>
  <c r="H275" i="1" s="1"/>
  <c r="O274" i="1"/>
  <c r="N274" i="1"/>
  <c r="M274" i="1"/>
  <c r="J274" i="1"/>
  <c r="H274" i="1"/>
  <c r="G274" i="1"/>
  <c r="F274" i="1"/>
  <c r="C274" i="1"/>
  <c r="O273" i="1"/>
  <c r="N273" i="1"/>
  <c r="J273" i="1"/>
  <c r="M273" i="1" s="1"/>
  <c r="G273" i="1"/>
  <c r="F273" i="1"/>
  <c r="C273" i="1"/>
  <c r="H273" i="1" s="1"/>
  <c r="O272" i="1"/>
  <c r="N272" i="1"/>
  <c r="M272" i="1"/>
  <c r="J272" i="1"/>
  <c r="H272" i="1"/>
  <c r="G272" i="1"/>
  <c r="F272" i="1"/>
  <c r="C272" i="1"/>
  <c r="O271" i="1"/>
  <c r="N271" i="1"/>
  <c r="J271" i="1"/>
  <c r="M271" i="1" s="1"/>
  <c r="G271" i="1"/>
  <c r="F271" i="1"/>
  <c r="C271" i="1"/>
  <c r="H271" i="1" s="1"/>
  <c r="O270" i="1"/>
  <c r="N270" i="1"/>
  <c r="J270" i="1"/>
  <c r="M270" i="1" s="1"/>
  <c r="G270" i="1"/>
  <c r="F270" i="1"/>
  <c r="C270" i="1"/>
  <c r="H270" i="1" s="1"/>
  <c r="O269" i="1"/>
  <c r="N269" i="1"/>
  <c r="G269" i="1"/>
  <c r="F269" i="1"/>
  <c r="J269" i="1" s="1"/>
  <c r="M269" i="1" s="1"/>
  <c r="C269" i="1"/>
  <c r="H269" i="1" s="1"/>
  <c r="O268" i="1"/>
  <c r="N268" i="1"/>
  <c r="M268" i="1"/>
  <c r="J268" i="1"/>
  <c r="G268" i="1"/>
  <c r="F268" i="1"/>
  <c r="C268" i="1"/>
  <c r="H268" i="1" s="1"/>
  <c r="O267" i="1"/>
  <c r="N267" i="1"/>
  <c r="M267" i="1"/>
  <c r="G267" i="1"/>
  <c r="F267" i="1"/>
  <c r="J267" i="1" s="1"/>
  <c r="C267" i="1"/>
  <c r="H267" i="1" s="1"/>
  <c r="O266" i="1"/>
  <c r="N266" i="1"/>
  <c r="M266" i="1"/>
  <c r="J266" i="1"/>
  <c r="G266" i="1"/>
  <c r="F266" i="1"/>
  <c r="C266" i="1"/>
  <c r="H266" i="1" s="1"/>
  <c r="O265" i="1"/>
  <c r="N265" i="1"/>
  <c r="J265" i="1"/>
  <c r="M265" i="1" s="1"/>
  <c r="G265" i="1"/>
  <c r="F265" i="1"/>
  <c r="C265" i="1"/>
  <c r="H265" i="1" s="1"/>
  <c r="O264" i="1"/>
  <c r="N264" i="1"/>
  <c r="M264" i="1"/>
  <c r="J264" i="1"/>
  <c r="H264" i="1"/>
  <c r="G264" i="1"/>
  <c r="F264" i="1"/>
  <c r="C264" i="1"/>
  <c r="O263" i="1"/>
  <c r="N263" i="1"/>
  <c r="J263" i="1"/>
  <c r="M263" i="1" s="1"/>
  <c r="G263" i="1"/>
  <c r="F263" i="1"/>
  <c r="C263" i="1"/>
  <c r="H263" i="1" s="1"/>
  <c r="O262" i="1"/>
  <c r="N262" i="1"/>
  <c r="J262" i="1"/>
  <c r="M262" i="1" s="1"/>
  <c r="H262" i="1"/>
  <c r="G262" i="1"/>
  <c r="F262" i="1"/>
  <c r="C262" i="1"/>
  <c r="O261" i="1"/>
  <c r="N261" i="1"/>
  <c r="G261" i="1"/>
  <c r="F261" i="1"/>
  <c r="J261" i="1" s="1"/>
  <c r="M261" i="1" s="1"/>
  <c r="C261" i="1"/>
  <c r="H261" i="1" s="1"/>
  <c r="O260" i="1"/>
  <c r="N260" i="1"/>
  <c r="M260" i="1"/>
  <c r="J260" i="1"/>
  <c r="G260" i="1"/>
  <c r="F260" i="1"/>
  <c r="C260" i="1"/>
  <c r="H260" i="1" s="1"/>
  <c r="O259" i="1"/>
  <c r="N259" i="1"/>
  <c r="M259" i="1"/>
  <c r="G259" i="1"/>
  <c r="F259" i="1"/>
  <c r="J259" i="1" s="1"/>
  <c r="C259" i="1"/>
  <c r="H259" i="1" s="1"/>
  <c r="O258" i="1"/>
  <c r="N258" i="1"/>
  <c r="M258" i="1"/>
  <c r="J258" i="1"/>
  <c r="G258" i="1"/>
  <c r="F258" i="1"/>
  <c r="C258" i="1"/>
  <c r="H258" i="1" s="1"/>
  <c r="O257" i="1"/>
  <c r="N257" i="1"/>
  <c r="J257" i="1"/>
  <c r="M257" i="1" s="1"/>
  <c r="G257" i="1"/>
  <c r="F257" i="1"/>
  <c r="C257" i="1"/>
  <c r="H257" i="1" s="1"/>
  <c r="O256" i="1"/>
  <c r="N256" i="1"/>
  <c r="M256" i="1"/>
  <c r="J256" i="1"/>
  <c r="H256" i="1"/>
  <c r="G256" i="1"/>
  <c r="F256" i="1"/>
  <c r="C256" i="1"/>
  <c r="O255" i="1"/>
  <c r="N255" i="1"/>
  <c r="J255" i="1"/>
  <c r="M255" i="1" s="1"/>
  <c r="G255" i="1"/>
  <c r="F255" i="1"/>
  <c r="C255" i="1"/>
  <c r="H255" i="1" s="1"/>
  <c r="O254" i="1"/>
  <c r="N254" i="1"/>
  <c r="J254" i="1"/>
  <c r="M254" i="1" s="1"/>
  <c r="G254" i="1"/>
  <c r="F254" i="1"/>
  <c r="C254" i="1"/>
  <c r="H254" i="1" s="1"/>
  <c r="O253" i="1"/>
  <c r="N253" i="1"/>
  <c r="M253" i="1"/>
  <c r="G253" i="1"/>
  <c r="F253" i="1"/>
  <c r="J253" i="1" s="1"/>
  <c r="C253" i="1"/>
  <c r="H253" i="1" s="1"/>
  <c r="O252" i="1"/>
  <c r="N252" i="1"/>
  <c r="J252" i="1"/>
  <c r="M252" i="1" s="1"/>
  <c r="G252" i="1"/>
  <c r="F252" i="1"/>
  <c r="C252" i="1"/>
  <c r="H252" i="1" s="1"/>
  <c r="O251" i="1"/>
  <c r="N251" i="1"/>
  <c r="G251" i="1"/>
  <c r="F251" i="1"/>
  <c r="J251" i="1" s="1"/>
  <c r="M251" i="1" s="1"/>
  <c r="C251" i="1"/>
  <c r="H251" i="1" s="1"/>
  <c r="O250" i="1"/>
  <c r="N250" i="1"/>
  <c r="M250" i="1"/>
  <c r="J250" i="1"/>
  <c r="G250" i="1"/>
  <c r="F250" i="1"/>
  <c r="C250" i="1"/>
  <c r="H250" i="1" s="1"/>
  <c r="O249" i="1"/>
  <c r="N249" i="1"/>
  <c r="J249" i="1"/>
  <c r="M249" i="1" s="1"/>
  <c r="G249" i="1"/>
  <c r="F249" i="1"/>
  <c r="C249" i="1"/>
  <c r="H249" i="1" s="1"/>
  <c r="O248" i="1"/>
  <c r="N248" i="1"/>
  <c r="M248" i="1"/>
  <c r="J248" i="1"/>
  <c r="H248" i="1"/>
  <c r="G248" i="1"/>
  <c r="F248" i="1"/>
  <c r="C248" i="1"/>
  <c r="O247" i="1"/>
  <c r="N247" i="1"/>
  <c r="J247" i="1"/>
  <c r="M247" i="1" s="1"/>
  <c r="G247" i="1"/>
  <c r="F247" i="1"/>
  <c r="C247" i="1"/>
  <c r="H247" i="1" s="1"/>
  <c r="O246" i="1"/>
  <c r="N246" i="1"/>
  <c r="G246" i="1"/>
  <c r="F246" i="1"/>
  <c r="J246" i="1" s="1"/>
  <c r="M246" i="1" s="1"/>
  <c r="C246" i="1"/>
  <c r="H246" i="1" s="1"/>
  <c r="O245" i="1"/>
  <c r="N245" i="1"/>
  <c r="J245" i="1"/>
  <c r="M245" i="1" s="1"/>
  <c r="G245" i="1"/>
  <c r="F245" i="1"/>
  <c r="C245" i="1"/>
  <c r="H245" i="1" s="1"/>
  <c r="O244" i="1"/>
  <c r="N244" i="1"/>
  <c r="M244" i="1"/>
  <c r="G244" i="1"/>
  <c r="F244" i="1"/>
  <c r="J244" i="1" s="1"/>
  <c r="C244" i="1"/>
  <c r="H244" i="1" s="1"/>
  <c r="O243" i="1"/>
  <c r="N243" i="1"/>
  <c r="J243" i="1"/>
  <c r="M243" i="1" s="1"/>
  <c r="H243" i="1"/>
  <c r="G243" i="1"/>
  <c r="F243" i="1"/>
  <c r="C243" i="1"/>
  <c r="O242" i="1"/>
  <c r="N242" i="1"/>
  <c r="M242" i="1"/>
  <c r="G242" i="1"/>
  <c r="F242" i="1"/>
  <c r="J242" i="1" s="1"/>
  <c r="C242" i="1"/>
  <c r="H242" i="1" s="1"/>
  <c r="O241" i="1"/>
  <c r="N241" i="1"/>
  <c r="J241" i="1"/>
  <c r="M241" i="1" s="1"/>
  <c r="H241" i="1"/>
  <c r="G241" i="1"/>
  <c r="F241" i="1"/>
  <c r="C241" i="1"/>
  <c r="O240" i="1"/>
  <c r="N240" i="1"/>
  <c r="G240" i="1"/>
  <c r="F240" i="1"/>
  <c r="J240" i="1" s="1"/>
  <c r="M240" i="1" s="1"/>
  <c r="C240" i="1"/>
  <c r="H240" i="1" s="1"/>
  <c r="O239" i="1"/>
  <c r="N239" i="1"/>
  <c r="J239" i="1"/>
  <c r="M239" i="1" s="1"/>
  <c r="G239" i="1"/>
  <c r="F239" i="1"/>
  <c r="C239" i="1"/>
  <c r="H239" i="1" s="1"/>
  <c r="O238" i="1"/>
  <c r="N238" i="1"/>
  <c r="G238" i="1"/>
  <c r="F238" i="1"/>
  <c r="J238" i="1" s="1"/>
  <c r="M238" i="1" s="1"/>
  <c r="C238" i="1"/>
  <c r="H238" i="1" s="1"/>
  <c r="O237" i="1"/>
  <c r="N237" i="1"/>
  <c r="J237" i="1"/>
  <c r="M237" i="1" s="1"/>
  <c r="G237" i="1"/>
  <c r="F237" i="1"/>
  <c r="C237" i="1"/>
  <c r="H237" i="1" s="1"/>
  <c r="O236" i="1"/>
  <c r="N236" i="1"/>
  <c r="M236" i="1"/>
  <c r="G236" i="1"/>
  <c r="F236" i="1"/>
  <c r="J236" i="1" s="1"/>
  <c r="C236" i="1"/>
  <c r="H236" i="1" s="1"/>
  <c r="O235" i="1"/>
  <c r="N235" i="1"/>
  <c r="J235" i="1"/>
  <c r="M235" i="1" s="1"/>
  <c r="H235" i="1"/>
  <c r="G235" i="1"/>
  <c r="F235" i="1"/>
  <c r="C235" i="1"/>
  <c r="O234" i="1"/>
  <c r="N234" i="1"/>
  <c r="M234" i="1"/>
  <c r="G234" i="1"/>
  <c r="F234" i="1"/>
  <c r="J234" i="1" s="1"/>
  <c r="C234" i="1"/>
  <c r="H234" i="1" s="1"/>
  <c r="O233" i="1"/>
  <c r="N233" i="1"/>
  <c r="J233" i="1"/>
  <c r="M233" i="1" s="1"/>
  <c r="H233" i="1"/>
  <c r="G233" i="1"/>
  <c r="F233" i="1"/>
  <c r="C233" i="1"/>
  <c r="O232" i="1"/>
  <c r="N232" i="1"/>
  <c r="G232" i="1"/>
  <c r="F232" i="1"/>
  <c r="J232" i="1" s="1"/>
  <c r="M232" i="1" s="1"/>
  <c r="C232" i="1"/>
  <c r="H232" i="1" s="1"/>
  <c r="O231" i="1"/>
  <c r="N231" i="1"/>
  <c r="J231" i="1"/>
  <c r="M231" i="1" s="1"/>
  <c r="G231" i="1"/>
  <c r="F231" i="1"/>
  <c r="C231" i="1"/>
  <c r="H231" i="1" s="1"/>
  <c r="O230" i="1"/>
  <c r="N230" i="1"/>
  <c r="G230" i="1"/>
  <c r="F230" i="1"/>
  <c r="J230" i="1" s="1"/>
  <c r="M230" i="1" s="1"/>
  <c r="C230" i="1"/>
  <c r="H230" i="1" s="1"/>
  <c r="O229" i="1"/>
  <c r="N229" i="1"/>
  <c r="J229" i="1"/>
  <c r="M229" i="1" s="1"/>
  <c r="G229" i="1"/>
  <c r="F229" i="1"/>
  <c r="C229" i="1"/>
  <c r="H229" i="1" s="1"/>
  <c r="O228" i="1"/>
  <c r="N228" i="1"/>
  <c r="M228" i="1"/>
  <c r="G228" i="1"/>
  <c r="F228" i="1"/>
  <c r="J228" i="1" s="1"/>
  <c r="C228" i="1"/>
  <c r="H228" i="1" s="1"/>
  <c r="O227" i="1"/>
  <c r="N227" i="1"/>
  <c r="J227" i="1"/>
  <c r="M227" i="1" s="1"/>
  <c r="H227" i="1"/>
  <c r="G227" i="1"/>
  <c r="F227" i="1"/>
  <c r="C227" i="1"/>
  <c r="O226" i="1"/>
  <c r="N226" i="1"/>
  <c r="M226" i="1"/>
  <c r="G226" i="1"/>
  <c r="F226" i="1"/>
  <c r="J226" i="1" s="1"/>
  <c r="C226" i="1"/>
  <c r="H226" i="1" s="1"/>
  <c r="O225" i="1"/>
  <c r="N225" i="1"/>
  <c r="J225" i="1"/>
  <c r="M225" i="1" s="1"/>
  <c r="G225" i="1"/>
  <c r="F225" i="1"/>
  <c r="C225" i="1"/>
  <c r="H225" i="1" s="1"/>
  <c r="O224" i="1"/>
  <c r="N224" i="1"/>
  <c r="H224" i="1"/>
  <c r="G224" i="1"/>
  <c r="F224" i="1"/>
  <c r="J224" i="1" s="1"/>
  <c r="M224" i="1" s="1"/>
  <c r="C224" i="1"/>
  <c r="O223" i="1"/>
  <c r="N223" i="1"/>
  <c r="J223" i="1"/>
  <c r="M223" i="1" s="1"/>
  <c r="G223" i="1"/>
  <c r="F223" i="1"/>
  <c r="C223" i="1"/>
  <c r="H223" i="1" s="1"/>
  <c r="O222" i="1"/>
  <c r="N222" i="1"/>
  <c r="H222" i="1"/>
  <c r="G222" i="1"/>
  <c r="F222" i="1"/>
  <c r="J222" i="1" s="1"/>
  <c r="M222" i="1" s="1"/>
  <c r="C222" i="1"/>
  <c r="O221" i="1"/>
  <c r="N221" i="1"/>
  <c r="G221" i="1"/>
  <c r="F221" i="1"/>
  <c r="J221" i="1" s="1"/>
  <c r="M221" i="1" s="1"/>
  <c r="C221" i="1"/>
  <c r="H221" i="1" s="1"/>
  <c r="O220" i="1"/>
  <c r="N220" i="1"/>
  <c r="H220" i="1"/>
  <c r="G220" i="1"/>
  <c r="F220" i="1"/>
  <c r="J220" i="1" s="1"/>
  <c r="M220" i="1" s="1"/>
  <c r="C220" i="1"/>
  <c r="O219" i="1"/>
  <c r="N219" i="1"/>
  <c r="G219" i="1"/>
  <c r="F219" i="1"/>
  <c r="J219" i="1" s="1"/>
  <c r="M219" i="1" s="1"/>
  <c r="C219" i="1"/>
  <c r="H219" i="1" s="1"/>
  <c r="O218" i="1"/>
  <c r="N218" i="1"/>
  <c r="M218" i="1"/>
  <c r="H218" i="1"/>
  <c r="G218" i="1"/>
  <c r="F218" i="1"/>
  <c r="J218" i="1" s="1"/>
  <c r="C218" i="1"/>
  <c r="O217" i="1"/>
  <c r="N217" i="1"/>
  <c r="J217" i="1"/>
  <c r="M217" i="1" s="1"/>
  <c r="G217" i="1"/>
  <c r="F217" i="1"/>
  <c r="C217" i="1"/>
  <c r="H217" i="1" s="1"/>
  <c r="O216" i="1"/>
  <c r="N216" i="1"/>
  <c r="H216" i="1"/>
  <c r="G216" i="1"/>
  <c r="F216" i="1"/>
  <c r="J216" i="1" s="1"/>
  <c r="M216" i="1" s="1"/>
  <c r="C216" i="1"/>
  <c r="O215" i="1"/>
  <c r="N215" i="1"/>
  <c r="J215" i="1"/>
  <c r="M215" i="1" s="1"/>
  <c r="G215" i="1"/>
  <c r="F215" i="1"/>
  <c r="C215" i="1"/>
  <c r="H215" i="1" s="1"/>
  <c r="O214" i="1"/>
  <c r="N214" i="1"/>
  <c r="M214" i="1"/>
  <c r="J214" i="1"/>
  <c r="H214" i="1"/>
  <c r="G214" i="1"/>
  <c r="F214" i="1"/>
  <c r="C214" i="1"/>
  <c r="O213" i="1"/>
  <c r="N213" i="1"/>
  <c r="J213" i="1"/>
  <c r="M213" i="1" s="1"/>
  <c r="G213" i="1"/>
  <c r="F213" i="1"/>
  <c r="C213" i="1"/>
  <c r="H213" i="1" s="1"/>
  <c r="O212" i="1"/>
  <c r="N212" i="1"/>
  <c r="M212" i="1"/>
  <c r="J212" i="1"/>
  <c r="H212" i="1"/>
  <c r="G212" i="1"/>
  <c r="F212" i="1"/>
  <c r="C212" i="1"/>
  <c r="O211" i="1"/>
  <c r="N211" i="1"/>
  <c r="J211" i="1"/>
  <c r="M211" i="1" s="1"/>
  <c r="G211" i="1"/>
  <c r="F211" i="1"/>
  <c r="C211" i="1"/>
  <c r="H211" i="1" s="1"/>
  <c r="O210" i="1"/>
  <c r="N210" i="1"/>
  <c r="M210" i="1"/>
  <c r="J210" i="1"/>
  <c r="H210" i="1"/>
  <c r="G210" i="1"/>
  <c r="F210" i="1"/>
  <c r="C210" i="1"/>
  <c r="O209" i="1"/>
  <c r="N209" i="1"/>
  <c r="J209" i="1"/>
  <c r="M209" i="1" s="1"/>
  <c r="G209" i="1"/>
  <c r="F209" i="1"/>
  <c r="C209" i="1"/>
  <c r="H209" i="1" s="1"/>
  <c r="O208" i="1"/>
  <c r="N208" i="1"/>
  <c r="M208" i="1"/>
  <c r="J208" i="1"/>
  <c r="H208" i="1"/>
  <c r="G208" i="1"/>
  <c r="F208" i="1"/>
  <c r="C208" i="1"/>
  <c r="O207" i="1"/>
  <c r="N207" i="1"/>
  <c r="J207" i="1"/>
  <c r="M207" i="1" s="1"/>
  <c r="G207" i="1"/>
  <c r="F207" i="1"/>
  <c r="C207" i="1"/>
  <c r="H207" i="1" s="1"/>
  <c r="O206" i="1"/>
  <c r="N206" i="1"/>
  <c r="M206" i="1"/>
  <c r="J206" i="1"/>
  <c r="H206" i="1"/>
  <c r="G206" i="1"/>
  <c r="F206" i="1"/>
  <c r="C206" i="1"/>
  <c r="O205" i="1"/>
  <c r="N205" i="1"/>
  <c r="J205" i="1"/>
  <c r="M205" i="1" s="1"/>
  <c r="G205" i="1"/>
  <c r="F205" i="1"/>
  <c r="C205" i="1"/>
  <c r="H205" i="1" s="1"/>
  <c r="O204" i="1"/>
  <c r="N204" i="1"/>
  <c r="J204" i="1"/>
  <c r="M204" i="1" s="1"/>
  <c r="H204" i="1"/>
  <c r="G204" i="1"/>
  <c r="F204" i="1"/>
  <c r="C204" i="1"/>
  <c r="O203" i="1"/>
  <c r="N203" i="1"/>
  <c r="M203" i="1"/>
  <c r="G203" i="1"/>
  <c r="F203" i="1"/>
  <c r="J203" i="1" s="1"/>
  <c r="C203" i="1"/>
  <c r="H203" i="1" s="1"/>
  <c r="O202" i="1"/>
  <c r="N202" i="1"/>
  <c r="J202" i="1"/>
  <c r="M202" i="1" s="1"/>
  <c r="G202" i="1"/>
  <c r="F202" i="1"/>
  <c r="C202" i="1"/>
  <c r="H202" i="1" s="1"/>
  <c r="O201" i="1"/>
  <c r="N201" i="1"/>
  <c r="M201" i="1"/>
  <c r="G201" i="1"/>
  <c r="F201" i="1"/>
  <c r="J201" i="1" s="1"/>
  <c r="C201" i="1"/>
  <c r="H201" i="1" s="1"/>
  <c r="O200" i="1"/>
  <c r="N200" i="1"/>
  <c r="M200" i="1"/>
  <c r="J200" i="1"/>
  <c r="G200" i="1"/>
  <c r="F200" i="1"/>
  <c r="C200" i="1"/>
  <c r="H200" i="1" s="1"/>
  <c r="O199" i="1"/>
  <c r="N199" i="1"/>
  <c r="J199" i="1"/>
  <c r="M199" i="1" s="1"/>
  <c r="H199" i="1"/>
  <c r="G199" i="1"/>
  <c r="F199" i="1"/>
  <c r="C199" i="1"/>
  <c r="O198" i="1"/>
  <c r="N198" i="1"/>
  <c r="G198" i="1"/>
  <c r="F198" i="1"/>
  <c r="J198" i="1" s="1"/>
  <c r="M198" i="1" s="1"/>
  <c r="C198" i="1"/>
  <c r="H198" i="1" s="1"/>
  <c r="O197" i="1"/>
  <c r="N197" i="1"/>
  <c r="J197" i="1"/>
  <c r="M197" i="1" s="1"/>
  <c r="G197" i="1"/>
  <c r="F197" i="1"/>
  <c r="C197" i="1"/>
  <c r="H197" i="1" s="1"/>
  <c r="O196" i="1"/>
  <c r="N196" i="1"/>
  <c r="M196" i="1"/>
  <c r="G196" i="1"/>
  <c r="F196" i="1"/>
  <c r="J196" i="1" s="1"/>
  <c r="C196" i="1"/>
  <c r="H196" i="1" s="1"/>
  <c r="O195" i="1"/>
  <c r="N195" i="1"/>
  <c r="J195" i="1"/>
  <c r="M195" i="1" s="1"/>
  <c r="H195" i="1"/>
  <c r="G195" i="1"/>
  <c r="F195" i="1"/>
  <c r="C195" i="1"/>
  <c r="O194" i="1"/>
  <c r="N194" i="1"/>
  <c r="M194" i="1"/>
  <c r="G194" i="1"/>
  <c r="F194" i="1"/>
  <c r="J194" i="1" s="1"/>
  <c r="C194" i="1"/>
  <c r="H194" i="1" s="1"/>
  <c r="O193" i="1"/>
  <c r="N193" i="1"/>
  <c r="J193" i="1"/>
  <c r="M193" i="1" s="1"/>
  <c r="H193" i="1"/>
  <c r="G193" i="1"/>
  <c r="F193" i="1"/>
  <c r="C193" i="1"/>
  <c r="O192" i="1"/>
  <c r="N192" i="1"/>
  <c r="M192" i="1"/>
  <c r="G192" i="1"/>
  <c r="K192" i="1" s="1"/>
  <c r="P192" i="1" s="1"/>
  <c r="F192" i="1"/>
  <c r="J192" i="1" s="1"/>
  <c r="C192" i="1"/>
  <c r="H192" i="1" s="1"/>
  <c r="O191" i="1"/>
  <c r="N191" i="1"/>
  <c r="J191" i="1"/>
  <c r="M191" i="1" s="1"/>
  <c r="H191" i="1"/>
  <c r="G191" i="1"/>
  <c r="F191" i="1"/>
  <c r="C191" i="1"/>
  <c r="O190" i="1"/>
  <c r="N190" i="1"/>
  <c r="G190" i="1"/>
  <c r="F190" i="1"/>
  <c r="J190" i="1" s="1"/>
  <c r="M190" i="1" s="1"/>
  <c r="C190" i="1"/>
  <c r="H190" i="1" s="1"/>
  <c r="O189" i="1"/>
  <c r="N189" i="1"/>
  <c r="J189" i="1"/>
  <c r="M189" i="1" s="1"/>
  <c r="G189" i="1"/>
  <c r="F189" i="1"/>
  <c r="C189" i="1"/>
  <c r="H189" i="1" s="1"/>
  <c r="O188" i="1"/>
  <c r="N188" i="1"/>
  <c r="M188" i="1"/>
  <c r="G188" i="1"/>
  <c r="F188" i="1"/>
  <c r="J188" i="1" s="1"/>
  <c r="C188" i="1"/>
  <c r="H188" i="1" s="1"/>
  <c r="O187" i="1"/>
  <c r="N187" i="1"/>
  <c r="J187" i="1"/>
  <c r="M187" i="1" s="1"/>
  <c r="H187" i="1"/>
  <c r="G187" i="1"/>
  <c r="F187" i="1"/>
  <c r="C187" i="1"/>
  <c r="O186" i="1"/>
  <c r="N186" i="1"/>
  <c r="M186" i="1"/>
  <c r="G186" i="1"/>
  <c r="F186" i="1"/>
  <c r="J186" i="1" s="1"/>
  <c r="C186" i="1"/>
  <c r="H186" i="1" s="1"/>
  <c r="O185" i="1"/>
  <c r="N185" i="1"/>
  <c r="J185" i="1"/>
  <c r="M185" i="1" s="1"/>
  <c r="H185" i="1"/>
  <c r="G185" i="1"/>
  <c r="F185" i="1"/>
  <c r="C185" i="1"/>
  <c r="O184" i="1"/>
  <c r="N184" i="1"/>
  <c r="M184" i="1"/>
  <c r="G184" i="1"/>
  <c r="K184" i="1" s="1"/>
  <c r="F184" i="1"/>
  <c r="J184" i="1" s="1"/>
  <c r="C184" i="1"/>
  <c r="H184" i="1" s="1"/>
  <c r="O183" i="1"/>
  <c r="N183" i="1"/>
  <c r="J183" i="1"/>
  <c r="M183" i="1" s="1"/>
  <c r="H183" i="1"/>
  <c r="G183" i="1"/>
  <c r="F183" i="1"/>
  <c r="C183" i="1"/>
  <c r="O182" i="1"/>
  <c r="N182" i="1"/>
  <c r="G182" i="1"/>
  <c r="F182" i="1"/>
  <c r="J182" i="1" s="1"/>
  <c r="M182" i="1" s="1"/>
  <c r="C182" i="1"/>
  <c r="H182" i="1" s="1"/>
  <c r="O181" i="1"/>
  <c r="N181" i="1"/>
  <c r="J181" i="1"/>
  <c r="M181" i="1" s="1"/>
  <c r="G181" i="1"/>
  <c r="F181" i="1"/>
  <c r="C181" i="1"/>
  <c r="H181" i="1" s="1"/>
  <c r="O180" i="1"/>
  <c r="N180" i="1"/>
  <c r="G180" i="1"/>
  <c r="F180" i="1"/>
  <c r="J180" i="1" s="1"/>
  <c r="M180" i="1" s="1"/>
  <c r="C180" i="1"/>
  <c r="H180" i="1" s="1"/>
  <c r="O179" i="1"/>
  <c r="N179" i="1"/>
  <c r="J179" i="1"/>
  <c r="M179" i="1" s="1"/>
  <c r="H179" i="1"/>
  <c r="G179" i="1"/>
  <c r="F179" i="1"/>
  <c r="C179" i="1"/>
  <c r="O178" i="1"/>
  <c r="N178" i="1"/>
  <c r="M178" i="1"/>
  <c r="G178" i="1"/>
  <c r="F178" i="1"/>
  <c r="J178" i="1" s="1"/>
  <c r="C178" i="1"/>
  <c r="H178" i="1" s="1"/>
  <c r="O177" i="1"/>
  <c r="N177" i="1"/>
  <c r="J177" i="1"/>
  <c r="M177" i="1" s="1"/>
  <c r="H177" i="1"/>
  <c r="G177" i="1"/>
  <c r="F177" i="1"/>
  <c r="C177" i="1"/>
  <c r="O176" i="1"/>
  <c r="N176" i="1"/>
  <c r="M176" i="1"/>
  <c r="G176" i="1"/>
  <c r="K176" i="1" s="1"/>
  <c r="F176" i="1"/>
  <c r="J176" i="1" s="1"/>
  <c r="C176" i="1"/>
  <c r="H176" i="1" s="1"/>
  <c r="O175" i="1"/>
  <c r="N175" i="1"/>
  <c r="J175" i="1"/>
  <c r="M175" i="1" s="1"/>
  <c r="H175" i="1"/>
  <c r="G175" i="1"/>
  <c r="F175" i="1"/>
  <c r="C175" i="1"/>
  <c r="O174" i="1"/>
  <c r="N174" i="1"/>
  <c r="G174" i="1"/>
  <c r="F174" i="1"/>
  <c r="J174" i="1" s="1"/>
  <c r="M174" i="1" s="1"/>
  <c r="C174" i="1"/>
  <c r="H174" i="1" s="1"/>
  <c r="O173" i="1"/>
  <c r="N173" i="1"/>
  <c r="J173" i="1"/>
  <c r="M173" i="1" s="1"/>
  <c r="G173" i="1"/>
  <c r="F173" i="1"/>
  <c r="C173" i="1"/>
  <c r="H173" i="1" s="1"/>
  <c r="O172" i="1"/>
  <c r="N172" i="1"/>
  <c r="M172" i="1"/>
  <c r="G172" i="1"/>
  <c r="F172" i="1"/>
  <c r="J172" i="1" s="1"/>
  <c r="C172" i="1"/>
  <c r="H172" i="1" s="1"/>
  <c r="O171" i="1"/>
  <c r="N171" i="1"/>
  <c r="J171" i="1"/>
  <c r="M171" i="1" s="1"/>
  <c r="G171" i="1"/>
  <c r="F171" i="1"/>
  <c r="C171" i="1"/>
  <c r="H171" i="1" s="1"/>
  <c r="O170" i="1"/>
  <c r="N170" i="1"/>
  <c r="M170" i="1"/>
  <c r="G170" i="1"/>
  <c r="F170" i="1"/>
  <c r="J170" i="1" s="1"/>
  <c r="C170" i="1"/>
  <c r="H170" i="1" s="1"/>
  <c r="O169" i="1"/>
  <c r="N169" i="1"/>
  <c r="J169" i="1"/>
  <c r="M169" i="1" s="1"/>
  <c r="H169" i="1"/>
  <c r="G169" i="1"/>
  <c r="F169" i="1"/>
  <c r="C169" i="1"/>
  <c r="O168" i="1"/>
  <c r="N168" i="1"/>
  <c r="M168" i="1"/>
  <c r="G168" i="1"/>
  <c r="F168" i="1"/>
  <c r="J168" i="1" s="1"/>
  <c r="C168" i="1"/>
  <c r="H168" i="1" s="1"/>
  <c r="O167" i="1"/>
  <c r="N167" i="1"/>
  <c r="J167" i="1"/>
  <c r="M167" i="1" s="1"/>
  <c r="H167" i="1"/>
  <c r="G167" i="1"/>
  <c r="F167" i="1"/>
  <c r="C167" i="1"/>
  <c r="O166" i="1"/>
  <c r="N166" i="1"/>
  <c r="G166" i="1"/>
  <c r="F166" i="1"/>
  <c r="J166" i="1" s="1"/>
  <c r="M166" i="1" s="1"/>
  <c r="C166" i="1"/>
  <c r="H166" i="1" s="1"/>
  <c r="O165" i="1"/>
  <c r="N165" i="1"/>
  <c r="J165" i="1"/>
  <c r="M165" i="1" s="1"/>
  <c r="G165" i="1"/>
  <c r="F165" i="1"/>
  <c r="C165" i="1"/>
  <c r="H165" i="1" s="1"/>
  <c r="O164" i="1"/>
  <c r="N164" i="1"/>
  <c r="G164" i="1"/>
  <c r="F164" i="1"/>
  <c r="J164" i="1" s="1"/>
  <c r="M164" i="1" s="1"/>
  <c r="C164" i="1"/>
  <c r="H164" i="1" s="1"/>
  <c r="O163" i="1"/>
  <c r="N163" i="1"/>
  <c r="J163" i="1"/>
  <c r="M163" i="1" s="1"/>
  <c r="H163" i="1"/>
  <c r="G163" i="1"/>
  <c r="F163" i="1"/>
  <c r="C163" i="1"/>
  <c r="O162" i="1"/>
  <c r="N162" i="1"/>
  <c r="M162" i="1"/>
  <c r="G162" i="1"/>
  <c r="F162" i="1"/>
  <c r="J162" i="1" s="1"/>
  <c r="C162" i="1"/>
  <c r="H162" i="1" s="1"/>
  <c r="O161" i="1"/>
  <c r="N161" i="1"/>
  <c r="J161" i="1"/>
  <c r="M161" i="1" s="1"/>
  <c r="H161" i="1"/>
  <c r="G161" i="1"/>
  <c r="F161" i="1"/>
  <c r="C161" i="1"/>
  <c r="O160" i="1"/>
  <c r="N160" i="1"/>
  <c r="M160" i="1"/>
  <c r="G160" i="1"/>
  <c r="K160" i="1" s="1"/>
  <c r="F160" i="1"/>
  <c r="J160" i="1" s="1"/>
  <c r="C160" i="1"/>
  <c r="H160" i="1" s="1"/>
  <c r="O159" i="1"/>
  <c r="N159" i="1"/>
  <c r="J159" i="1"/>
  <c r="M159" i="1" s="1"/>
  <c r="H159" i="1"/>
  <c r="G159" i="1"/>
  <c r="F159" i="1"/>
  <c r="C159" i="1"/>
  <c r="O158" i="1"/>
  <c r="N158" i="1"/>
  <c r="G158" i="1"/>
  <c r="F158" i="1"/>
  <c r="J158" i="1" s="1"/>
  <c r="M158" i="1" s="1"/>
  <c r="C158" i="1"/>
  <c r="H158" i="1" s="1"/>
  <c r="O157" i="1"/>
  <c r="N157" i="1"/>
  <c r="J157" i="1"/>
  <c r="M157" i="1" s="1"/>
  <c r="G157" i="1"/>
  <c r="F157" i="1"/>
  <c r="C157" i="1"/>
  <c r="H157" i="1" s="1"/>
  <c r="O156" i="1"/>
  <c r="N156" i="1"/>
  <c r="M156" i="1"/>
  <c r="G156" i="1"/>
  <c r="F156" i="1"/>
  <c r="J156" i="1" s="1"/>
  <c r="C156" i="1"/>
  <c r="H156" i="1" s="1"/>
  <c r="O155" i="1"/>
  <c r="N155" i="1"/>
  <c r="J155" i="1"/>
  <c r="M155" i="1" s="1"/>
  <c r="G155" i="1"/>
  <c r="F155" i="1"/>
  <c r="C155" i="1"/>
  <c r="H155" i="1" s="1"/>
  <c r="O154" i="1"/>
  <c r="N154" i="1"/>
  <c r="M154" i="1"/>
  <c r="G154" i="1"/>
  <c r="F154" i="1"/>
  <c r="J154" i="1" s="1"/>
  <c r="C154" i="1"/>
  <c r="H154" i="1" s="1"/>
  <c r="O153" i="1"/>
  <c r="N153" i="1"/>
  <c r="J153" i="1"/>
  <c r="M153" i="1" s="1"/>
  <c r="H153" i="1"/>
  <c r="G153" i="1"/>
  <c r="F153" i="1"/>
  <c r="C153" i="1"/>
  <c r="O152" i="1"/>
  <c r="N152" i="1"/>
  <c r="M152" i="1"/>
  <c r="G152" i="1"/>
  <c r="F152" i="1"/>
  <c r="J152" i="1" s="1"/>
  <c r="C152" i="1"/>
  <c r="H152" i="1" s="1"/>
  <c r="O151" i="1"/>
  <c r="N151" i="1"/>
  <c r="J151" i="1"/>
  <c r="M151" i="1" s="1"/>
  <c r="H151" i="1"/>
  <c r="G151" i="1"/>
  <c r="F151" i="1"/>
  <c r="C151" i="1"/>
  <c r="O150" i="1"/>
  <c r="N150" i="1"/>
  <c r="G150" i="1"/>
  <c r="F150" i="1"/>
  <c r="J150" i="1" s="1"/>
  <c r="M150" i="1" s="1"/>
  <c r="C150" i="1"/>
  <c r="H150" i="1" s="1"/>
  <c r="O149" i="1"/>
  <c r="N149" i="1"/>
  <c r="J149" i="1"/>
  <c r="M149" i="1" s="1"/>
  <c r="G149" i="1"/>
  <c r="F149" i="1"/>
  <c r="C149" i="1"/>
  <c r="H149" i="1" s="1"/>
  <c r="O148" i="1"/>
  <c r="N148" i="1"/>
  <c r="G148" i="1"/>
  <c r="F148" i="1"/>
  <c r="J148" i="1" s="1"/>
  <c r="M148" i="1" s="1"/>
  <c r="C148" i="1"/>
  <c r="H148" i="1" s="1"/>
  <c r="O147" i="1"/>
  <c r="N147" i="1"/>
  <c r="J147" i="1"/>
  <c r="M147" i="1" s="1"/>
  <c r="H147" i="1"/>
  <c r="G147" i="1"/>
  <c r="F147" i="1"/>
  <c r="C147" i="1"/>
  <c r="O146" i="1"/>
  <c r="N146" i="1"/>
  <c r="M146" i="1"/>
  <c r="G146" i="1"/>
  <c r="F146" i="1"/>
  <c r="J146" i="1" s="1"/>
  <c r="C146" i="1"/>
  <c r="H146" i="1" s="1"/>
  <c r="O145" i="1"/>
  <c r="N145" i="1"/>
  <c r="J145" i="1"/>
  <c r="M145" i="1" s="1"/>
  <c r="H145" i="1"/>
  <c r="G145" i="1"/>
  <c r="F145" i="1"/>
  <c r="C145" i="1"/>
  <c r="O144" i="1"/>
  <c r="N144" i="1"/>
  <c r="M144" i="1"/>
  <c r="G144" i="1"/>
  <c r="K144" i="1" s="1"/>
  <c r="F144" i="1"/>
  <c r="J144" i="1" s="1"/>
  <c r="C144" i="1"/>
  <c r="H144" i="1" s="1"/>
  <c r="O143" i="1"/>
  <c r="N143" i="1"/>
  <c r="J143" i="1"/>
  <c r="M143" i="1" s="1"/>
  <c r="H143" i="1"/>
  <c r="G143" i="1"/>
  <c r="F143" i="1"/>
  <c r="C143" i="1"/>
  <c r="O142" i="1"/>
  <c r="N142" i="1"/>
  <c r="G142" i="1"/>
  <c r="F142" i="1"/>
  <c r="J142" i="1" s="1"/>
  <c r="M142" i="1" s="1"/>
  <c r="C142" i="1"/>
  <c r="H142" i="1" s="1"/>
  <c r="O141" i="1"/>
  <c r="N141" i="1"/>
  <c r="J141" i="1"/>
  <c r="M141" i="1" s="1"/>
  <c r="G141" i="1"/>
  <c r="F141" i="1"/>
  <c r="C141" i="1"/>
  <c r="H141" i="1" s="1"/>
  <c r="O140" i="1"/>
  <c r="N140" i="1"/>
  <c r="M140" i="1"/>
  <c r="G140" i="1"/>
  <c r="F140" i="1"/>
  <c r="J140" i="1" s="1"/>
  <c r="C140" i="1"/>
  <c r="H140" i="1" s="1"/>
  <c r="W139" i="1"/>
  <c r="O139" i="1"/>
  <c r="N139" i="1"/>
  <c r="G139" i="1"/>
  <c r="F139" i="1"/>
  <c r="J139" i="1" s="1"/>
  <c r="M139" i="1" s="1"/>
  <c r="C139" i="1"/>
  <c r="H139" i="1" s="1"/>
  <c r="W138" i="1"/>
  <c r="O138" i="1"/>
  <c r="N138" i="1"/>
  <c r="J138" i="1"/>
  <c r="M138" i="1" s="1"/>
  <c r="H138" i="1"/>
  <c r="G138" i="1"/>
  <c r="F138" i="1"/>
  <c r="C138" i="1"/>
  <c r="W137" i="1"/>
  <c r="O137" i="1"/>
  <c r="N137" i="1"/>
  <c r="H137" i="1"/>
  <c r="G137" i="1"/>
  <c r="F137" i="1"/>
  <c r="J137" i="1" s="1"/>
  <c r="M137" i="1" s="1"/>
  <c r="C137" i="1"/>
  <c r="W136" i="1"/>
  <c r="O136" i="1"/>
  <c r="N136" i="1"/>
  <c r="J136" i="1"/>
  <c r="M136" i="1" s="1"/>
  <c r="G136" i="1"/>
  <c r="F136" i="1"/>
  <c r="C136" i="1"/>
  <c r="H136" i="1" s="1"/>
  <c r="W135" i="1"/>
  <c r="O135" i="1"/>
  <c r="N135" i="1"/>
  <c r="J135" i="1"/>
  <c r="M135" i="1" s="1"/>
  <c r="G135" i="1"/>
  <c r="F135" i="1"/>
  <c r="C135" i="1"/>
  <c r="H135" i="1" s="1"/>
  <c r="W134" i="1"/>
  <c r="O134" i="1"/>
  <c r="N134" i="1"/>
  <c r="M134" i="1"/>
  <c r="J134" i="1"/>
  <c r="H134" i="1"/>
  <c r="G134" i="1"/>
  <c r="F134" i="1"/>
  <c r="C134" i="1"/>
  <c r="W133" i="1"/>
  <c r="O133" i="1"/>
  <c r="N133" i="1"/>
  <c r="H133" i="1"/>
  <c r="G133" i="1"/>
  <c r="F133" i="1"/>
  <c r="J133" i="1" s="1"/>
  <c r="M133" i="1" s="1"/>
  <c r="C133" i="1"/>
  <c r="W132" i="1"/>
  <c r="O132" i="1"/>
  <c r="N132" i="1"/>
  <c r="M132" i="1"/>
  <c r="G132" i="1"/>
  <c r="F132" i="1"/>
  <c r="J132" i="1" s="1"/>
  <c r="C132" i="1"/>
  <c r="H132" i="1" s="1"/>
  <c r="W131" i="1"/>
  <c r="O131" i="1"/>
  <c r="N131" i="1"/>
  <c r="J131" i="1"/>
  <c r="M131" i="1" s="1"/>
  <c r="G131" i="1"/>
  <c r="F131" i="1"/>
  <c r="C131" i="1"/>
  <c r="H131" i="1" s="1"/>
  <c r="W130" i="1"/>
  <c r="O130" i="1"/>
  <c r="N130" i="1"/>
  <c r="M130" i="1"/>
  <c r="J130" i="1"/>
  <c r="G130" i="1"/>
  <c r="F130" i="1"/>
  <c r="C130" i="1"/>
  <c r="H130" i="1" s="1"/>
  <c r="W129" i="1"/>
  <c r="O129" i="1"/>
  <c r="N129" i="1"/>
  <c r="H129" i="1"/>
  <c r="G129" i="1"/>
  <c r="F129" i="1"/>
  <c r="J129" i="1" s="1"/>
  <c r="M129" i="1" s="1"/>
  <c r="C129" i="1"/>
  <c r="W128" i="1"/>
  <c r="O128" i="1"/>
  <c r="N128" i="1"/>
  <c r="M128" i="1"/>
  <c r="G128" i="1"/>
  <c r="F128" i="1"/>
  <c r="J128" i="1" s="1"/>
  <c r="C128" i="1"/>
  <c r="H128" i="1" s="1"/>
  <c r="W127" i="1"/>
  <c r="O127" i="1"/>
  <c r="N127" i="1"/>
  <c r="J127" i="1"/>
  <c r="M127" i="1" s="1"/>
  <c r="H127" i="1"/>
  <c r="G127" i="1"/>
  <c r="F127" i="1"/>
  <c r="C127" i="1"/>
  <c r="W126" i="1"/>
  <c r="O126" i="1"/>
  <c r="N126" i="1"/>
  <c r="J126" i="1"/>
  <c r="M126" i="1" s="1"/>
  <c r="G126" i="1"/>
  <c r="F126" i="1"/>
  <c r="C126" i="1"/>
  <c r="H126" i="1" s="1"/>
  <c r="W125" i="1"/>
  <c r="O125" i="1"/>
  <c r="N125" i="1"/>
  <c r="M125" i="1"/>
  <c r="H125" i="1"/>
  <c r="G125" i="1"/>
  <c r="F125" i="1"/>
  <c r="J125" i="1" s="1"/>
  <c r="C125" i="1"/>
  <c r="W124" i="1"/>
  <c r="O124" i="1"/>
  <c r="N124" i="1"/>
  <c r="J124" i="1"/>
  <c r="M124" i="1" s="1"/>
  <c r="G124" i="1"/>
  <c r="F124" i="1"/>
  <c r="C124" i="1"/>
  <c r="H124" i="1" s="1"/>
  <c r="W123" i="1"/>
  <c r="O123" i="1"/>
  <c r="N123" i="1"/>
  <c r="H123" i="1"/>
  <c r="G123" i="1"/>
  <c r="F123" i="1"/>
  <c r="J123" i="1" s="1"/>
  <c r="M123" i="1" s="1"/>
  <c r="C123" i="1"/>
  <c r="W122" i="1"/>
  <c r="O122" i="1"/>
  <c r="N122" i="1"/>
  <c r="J122" i="1"/>
  <c r="M122" i="1" s="1"/>
  <c r="H122" i="1"/>
  <c r="G122" i="1"/>
  <c r="F122" i="1"/>
  <c r="C122" i="1"/>
  <c r="W121" i="1"/>
  <c r="O121" i="1"/>
  <c r="N121" i="1"/>
  <c r="H121" i="1"/>
  <c r="G121" i="1"/>
  <c r="F121" i="1"/>
  <c r="J121" i="1" s="1"/>
  <c r="M121" i="1" s="1"/>
  <c r="C121" i="1"/>
  <c r="W120" i="1"/>
  <c r="O120" i="1"/>
  <c r="N120" i="1"/>
  <c r="J120" i="1"/>
  <c r="M120" i="1" s="1"/>
  <c r="G120" i="1"/>
  <c r="F120" i="1"/>
  <c r="C120" i="1"/>
  <c r="H120" i="1" s="1"/>
  <c r="W119" i="1"/>
  <c r="O119" i="1"/>
  <c r="N119" i="1"/>
  <c r="J119" i="1"/>
  <c r="M119" i="1" s="1"/>
  <c r="G119" i="1"/>
  <c r="F119" i="1"/>
  <c r="C119" i="1"/>
  <c r="H119" i="1" s="1"/>
  <c r="W118" i="1"/>
  <c r="O118" i="1"/>
  <c r="N118" i="1"/>
  <c r="M118" i="1"/>
  <c r="J118" i="1"/>
  <c r="H118" i="1"/>
  <c r="G118" i="1"/>
  <c r="F118" i="1"/>
  <c r="C118" i="1"/>
  <c r="W117" i="1"/>
  <c r="O117" i="1"/>
  <c r="N117" i="1"/>
  <c r="H117" i="1"/>
  <c r="G117" i="1"/>
  <c r="F117" i="1"/>
  <c r="J117" i="1" s="1"/>
  <c r="M117" i="1" s="1"/>
  <c r="C117" i="1"/>
  <c r="W116" i="1"/>
  <c r="O116" i="1"/>
  <c r="N116" i="1"/>
  <c r="G116" i="1"/>
  <c r="F116" i="1"/>
  <c r="J116" i="1" s="1"/>
  <c r="M116" i="1" s="1"/>
  <c r="C116" i="1"/>
  <c r="H116" i="1" s="1"/>
  <c r="W115" i="1"/>
  <c r="O115" i="1"/>
  <c r="N115" i="1"/>
  <c r="J115" i="1"/>
  <c r="M115" i="1" s="1"/>
  <c r="G115" i="1"/>
  <c r="F115" i="1"/>
  <c r="C115" i="1"/>
  <c r="H115" i="1" s="1"/>
  <c r="W114" i="1"/>
  <c r="O114" i="1"/>
  <c r="N114" i="1"/>
  <c r="G114" i="1"/>
  <c r="F114" i="1"/>
  <c r="J114" i="1" s="1"/>
  <c r="M114" i="1" s="1"/>
  <c r="C114" i="1"/>
  <c r="H114" i="1" s="1"/>
  <c r="W113" i="1"/>
  <c r="O113" i="1"/>
  <c r="N113" i="1"/>
  <c r="J113" i="1"/>
  <c r="M113" i="1" s="1"/>
  <c r="G113" i="1"/>
  <c r="F113" i="1"/>
  <c r="C113" i="1"/>
  <c r="H113" i="1" s="1"/>
  <c r="W112" i="1"/>
  <c r="O112" i="1"/>
  <c r="N112" i="1"/>
  <c r="M112" i="1"/>
  <c r="J112" i="1"/>
  <c r="H112" i="1"/>
  <c r="G112" i="1"/>
  <c r="F112" i="1"/>
  <c r="C112" i="1"/>
  <c r="W111" i="1"/>
  <c r="O111" i="1"/>
  <c r="N111" i="1"/>
  <c r="H111" i="1"/>
  <c r="G111" i="1"/>
  <c r="F111" i="1"/>
  <c r="J111" i="1" s="1"/>
  <c r="M111" i="1" s="1"/>
  <c r="C111" i="1"/>
  <c r="W110" i="1"/>
  <c r="O110" i="1"/>
  <c r="N110" i="1"/>
  <c r="G110" i="1"/>
  <c r="F110" i="1"/>
  <c r="J110" i="1" s="1"/>
  <c r="M110" i="1" s="1"/>
  <c r="C110" i="1"/>
  <c r="H110" i="1" s="1"/>
  <c r="W109" i="1"/>
  <c r="O109" i="1"/>
  <c r="N109" i="1"/>
  <c r="J109" i="1"/>
  <c r="M109" i="1" s="1"/>
  <c r="G109" i="1"/>
  <c r="F109" i="1"/>
  <c r="C109" i="1"/>
  <c r="H109" i="1" s="1"/>
  <c r="W108" i="1"/>
  <c r="O108" i="1"/>
  <c r="N108" i="1"/>
  <c r="M108" i="1"/>
  <c r="J108" i="1"/>
  <c r="H108" i="1"/>
  <c r="G108" i="1"/>
  <c r="F108" i="1"/>
  <c r="C108" i="1"/>
  <c r="W107" i="1"/>
  <c r="O107" i="1"/>
  <c r="N107" i="1"/>
  <c r="H107" i="1"/>
  <c r="G107" i="1"/>
  <c r="F107" i="1"/>
  <c r="J107" i="1" s="1"/>
  <c r="M107" i="1" s="1"/>
  <c r="C107" i="1"/>
  <c r="W106" i="1"/>
  <c r="O106" i="1"/>
  <c r="N106" i="1"/>
  <c r="G106" i="1"/>
  <c r="F106" i="1"/>
  <c r="J106" i="1" s="1"/>
  <c r="M106" i="1" s="1"/>
  <c r="C106" i="1"/>
  <c r="H106" i="1" s="1"/>
  <c r="W105" i="1"/>
  <c r="O105" i="1"/>
  <c r="N105" i="1"/>
  <c r="J105" i="1"/>
  <c r="M105" i="1" s="1"/>
  <c r="G105" i="1"/>
  <c r="F105" i="1"/>
  <c r="C105" i="1"/>
  <c r="H105" i="1" s="1"/>
  <c r="W104" i="1"/>
  <c r="O104" i="1"/>
  <c r="N104" i="1"/>
  <c r="M104" i="1"/>
  <c r="J104" i="1"/>
  <c r="H104" i="1"/>
  <c r="G104" i="1"/>
  <c r="F104" i="1"/>
  <c r="C104" i="1"/>
  <c r="W103" i="1"/>
  <c r="O103" i="1"/>
  <c r="N103" i="1"/>
  <c r="H103" i="1"/>
  <c r="G103" i="1"/>
  <c r="F103" i="1"/>
  <c r="J103" i="1" s="1"/>
  <c r="M103" i="1" s="1"/>
  <c r="C103" i="1"/>
  <c r="W102" i="1"/>
  <c r="O102" i="1"/>
  <c r="N102" i="1"/>
  <c r="G102" i="1"/>
  <c r="F102" i="1"/>
  <c r="J102" i="1" s="1"/>
  <c r="M102" i="1" s="1"/>
  <c r="C102" i="1"/>
  <c r="H102" i="1" s="1"/>
  <c r="W101" i="1"/>
  <c r="O101" i="1"/>
  <c r="N101" i="1"/>
  <c r="J101" i="1"/>
  <c r="M101" i="1" s="1"/>
  <c r="G101" i="1"/>
  <c r="F101" i="1"/>
  <c r="C101" i="1"/>
  <c r="H101" i="1" s="1"/>
  <c r="W100" i="1"/>
  <c r="O100" i="1"/>
  <c r="N100" i="1"/>
  <c r="M100" i="1"/>
  <c r="J100" i="1"/>
  <c r="H100" i="1"/>
  <c r="G100" i="1"/>
  <c r="F100" i="1"/>
  <c r="C100" i="1"/>
  <c r="W99" i="1"/>
  <c r="O99" i="1"/>
  <c r="N99" i="1"/>
  <c r="H99" i="1"/>
  <c r="G99" i="1"/>
  <c r="F99" i="1"/>
  <c r="J99" i="1" s="1"/>
  <c r="M99" i="1" s="1"/>
  <c r="C99" i="1"/>
  <c r="W98" i="1"/>
  <c r="O98" i="1"/>
  <c r="N98" i="1"/>
  <c r="G98" i="1"/>
  <c r="F98" i="1"/>
  <c r="J98" i="1" s="1"/>
  <c r="M98" i="1" s="1"/>
  <c r="C98" i="1"/>
  <c r="H98" i="1" s="1"/>
  <c r="W97" i="1"/>
  <c r="O97" i="1"/>
  <c r="N97" i="1"/>
  <c r="J97" i="1"/>
  <c r="M97" i="1" s="1"/>
  <c r="G97" i="1"/>
  <c r="F97" i="1"/>
  <c r="C97" i="1"/>
  <c r="H97" i="1" s="1"/>
  <c r="W96" i="1"/>
  <c r="O96" i="1"/>
  <c r="N96" i="1"/>
  <c r="M96" i="1"/>
  <c r="J96" i="1"/>
  <c r="H96" i="1"/>
  <c r="G96" i="1"/>
  <c r="F96" i="1"/>
  <c r="C96" i="1"/>
  <c r="W95" i="1"/>
  <c r="O95" i="1"/>
  <c r="N95" i="1"/>
  <c r="H95" i="1"/>
  <c r="G95" i="1"/>
  <c r="F95" i="1"/>
  <c r="J95" i="1" s="1"/>
  <c r="M95" i="1" s="1"/>
  <c r="C95" i="1"/>
  <c r="W94" i="1"/>
  <c r="O94" i="1"/>
  <c r="N94" i="1"/>
  <c r="G94" i="1"/>
  <c r="F94" i="1"/>
  <c r="J94" i="1" s="1"/>
  <c r="M94" i="1" s="1"/>
  <c r="C94" i="1"/>
  <c r="H94" i="1" s="1"/>
  <c r="W93" i="1"/>
  <c r="O93" i="1"/>
  <c r="N93" i="1"/>
  <c r="J93" i="1"/>
  <c r="M93" i="1" s="1"/>
  <c r="G93" i="1"/>
  <c r="F93" i="1"/>
  <c r="C93" i="1"/>
  <c r="H93" i="1" s="1"/>
  <c r="W92" i="1"/>
  <c r="O92" i="1"/>
  <c r="N92" i="1"/>
  <c r="M92" i="1"/>
  <c r="J92" i="1"/>
  <c r="H92" i="1"/>
  <c r="G92" i="1"/>
  <c r="F92" i="1"/>
  <c r="C92" i="1"/>
  <c r="W91" i="1"/>
  <c r="O91" i="1"/>
  <c r="N91" i="1"/>
  <c r="H91" i="1"/>
  <c r="G91" i="1"/>
  <c r="F91" i="1"/>
  <c r="J91" i="1" s="1"/>
  <c r="M91" i="1" s="1"/>
  <c r="C91" i="1"/>
  <c r="W90" i="1"/>
  <c r="O90" i="1"/>
  <c r="N90" i="1"/>
  <c r="G90" i="1"/>
  <c r="F90" i="1"/>
  <c r="J90" i="1" s="1"/>
  <c r="M90" i="1" s="1"/>
  <c r="C90" i="1"/>
  <c r="H90" i="1" s="1"/>
  <c r="W89" i="1"/>
  <c r="O89" i="1"/>
  <c r="N89" i="1"/>
  <c r="J89" i="1"/>
  <c r="M89" i="1" s="1"/>
  <c r="G89" i="1"/>
  <c r="F89" i="1"/>
  <c r="C89" i="1"/>
  <c r="H89" i="1" s="1"/>
  <c r="W88" i="1"/>
  <c r="O88" i="1"/>
  <c r="N88" i="1"/>
  <c r="M88" i="1"/>
  <c r="J88" i="1"/>
  <c r="H88" i="1"/>
  <c r="G88" i="1"/>
  <c r="F88" i="1"/>
  <c r="C88" i="1"/>
  <c r="W87" i="1"/>
  <c r="O87" i="1"/>
  <c r="N87" i="1"/>
  <c r="H87" i="1"/>
  <c r="G87" i="1"/>
  <c r="F87" i="1"/>
  <c r="J87" i="1" s="1"/>
  <c r="M87" i="1" s="1"/>
  <c r="C87" i="1"/>
  <c r="W86" i="1"/>
  <c r="O86" i="1"/>
  <c r="N86" i="1"/>
  <c r="G86" i="1"/>
  <c r="F86" i="1"/>
  <c r="J86" i="1" s="1"/>
  <c r="M86" i="1" s="1"/>
  <c r="C86" i="1"/>
  <c r="H86" i="1" s="1"/>
  <c r="W85" i="1"/>
  <c r="O85" i="1"/>
  <c r="N85" i="1"/>
  <c r="J85" i="1"/>
  <c r="M85" i="1" s="1"/>
  <c r="G85" i="1"/>
  <c r="F85" i="1"/>
  <c r="C85" i="1"/>
  <c r="H85" i="1" s="1"/>
  <c r="W84" i="1"/>
  <c r="O84" i="1"/>
  <c r="N84" i="1"/>
  <c r="M84" i="1"/>
  <c r="J84" i="1"/>
  <c r="H84" i="1"/>
  <c r="G84" i="1"/>
  <c r="F84" i="1"/>
  <c r="C84" i="1"/>
  <c r="W83" i="1"/>
  <c r="O83" i="1"/>
  <c r="N83" i="1"/>
  <c r="H83" i="1"/>
  <c r="G83" i="1"/>
  <c r="F83" i="1"/>
  <c r="J83" i="1" s="1"/>
  <c r="M83" i="1" s="1"/>
  <c r="C83" i="1"/>
  <c r="W82" i="1"/>
  <c r="O82" i="1"/>
  <c r="N82" i="1"/>
  <c r="G82" i="1"/>
  <c r="F82" i="1"/>
  <c r="J82" i="1" s="1"/>
  <c r="M82" i="1" s="1"/>
  <c r="C82" i="1"/>
  <c r="H82" i="1" s="1"/>
  <c r="W81" i="1"/>
  <c r="O81" i="1"/>
  <c r="N81" i="1"/>
  <c r="J81" i="1"/>
  <c r="M81" i="1" s="1"/>
  <c r="G81" i="1"/>
  <c r="F81" i="1"/>
  <c r="C81" i="1"/>
  <c r="H81" i="1" s="1"/>
  <c r="W80" i="1"/>
  <c r="O80" i="1"/>
  <c r="N80" i="1"/>
  <c r="M80" i="1"/>
  <c r="J80" i="1"/>
  <c r="H80" i="1"/>
  <c r="G80" i="1"/>
  <c r="F80" i="1"/>
  <c r="C80" i="1"/>
  <c r="W79" i="1"/>
  <c r="O79" i="1"/>
  <c r="N79" i="1"/>
  <c r="H79" i="1"/>
  <c r="G79" i="1"/>
  <c r="F79" i="1"/>
  <c r="J79" i="1" s="1"/>
  <c r="M79" i="1" s="1"/>
  <c r="C79" i="1"/>
  <c r="W78" i="1"/>
  <c r="O78" i="1"/>
  <c r="N78" i="1"/>
  <c r="J78" i="1"/>
  <c r="M78" i="1" s="1"/>
  <c r="G78" i="1"/>
  <c r="K78" i="1" s="1"/>
  <c r="F78" i="1"/>
  <c r="C78" i="1"/>
  <c r="H78" i="1" s="1"/>
  <c r="W77" i="1"/>
  <c r="O77" i="1"/>
  <c r="N77" i="1"/>
  <c r="J77" i="1"/>
  <c r="M77" i="1" s="1"/>
  <c r="G77" i="1"/>
  <c r="F77" i="1"/>
  <c r="C77" i="1"/>
  <c r="H77" i="1" s="1"/>
  <c r="W76" i="1"/>
  <c r="O76" i="1"/>
  <c r="N76" i="1"/>
  <c r="M76" i="1"/>
  <c r="J76" i="1"/>
  <c r="G76" i="1"/>
  <c r="F76" i="1"/>
  <c r="C76" i="1"/>
  <c r="H76" i="1" s="1"/>
  <c r="W75" i="1"/>
  <c r="O75" i="1"/>
  <c r="N75" i="1"/>
  <c r="H75" i="1"/>
  <c r="G75" i="1"/>
  <c r="F75" i="1"/>
  <c r="J75" i="1" s="1"/>
  <c r="M75" i="1" s="1"/>
  <c r="C75" i="1"/>
  <c r="W74" i="1"/>
  <c r="O74" i="1"/>
  <c r="N74" i="1"/>
  <c r="G74" i="1"/>
  <c r="K74" i="1" s="1"/>
  <c r="F74" i="1"/>
  <c r="J74" i="1" s="1"/>
  <c r="M74" i="1" s="1"/>
  <c r="C74" i="1"/>
  <c r="H74" i="1" s="1"/>
  <c r="W73" i="1"/>
  <c r="O73" i="1"/>
  <c r="N73" i="1"/>
  <c r="J73" i="1"/>
  <c r="M73" i="1" s="1"/>
  <c r="H73" i="1"/>
  <c r="G73" i="1"/>
  <c r="F73" i="1"/>
  <c r="C73" i="1"/>
  <c r="W72" i="1"/>
  <c r="O72" i="1"/>
  <c r="N72" i="1"/>
  <c r="J72" i="1"/>
  <c r="M72" i="1" s="1"/>
  <c r="G72" i="1"/>
  <c r="F72" i="1"/>
  <c r="C72" i="1"/>
  <c r="H72" i="1" s="1"/>
  <c r="W71" i="1"/>
  <c r="O71" i="1"/>
  <c r="N71" i="1"/>
  <c r="H71" i="1"/>
  <c r="G71" i="1"/>
  <c r="K71" i="1" s="1"/>
  <c r="F71" i="1"/>
  <c r="J71" i="1" s="1"/>
  <c r="M71" i="1" s="1"/>
  <c r="C71" i="1"/>
  <c r="W70" i="1"/>
  <c r="O70" i="1"/>
  <c r="N70" i="1"/>
  <c r="G70" i="1"/>
  <c r="F70" i="1"/>
  <c r="J70" i="1" s="1"/>
  <c r="M70" i="1" s="1"/>
  <c r="C70" i="1"/>
  <c r="H70" i="1" s="1"/>
  <c r="W69" i="1"/>
  <c r="O69" i="1"/>
  <c r="N69" i="1"/>
  <c r="H69" i="1"/>
  <c r="G69" i="1"/>
  <c r="F69" i="1"/>
  <c r="J69" i="1" s="1"/>
  <c r="M69" i="1" s="1"/>
  <c r="C69" i="1"/>
  <c r="W68" i="1"/>
  <c r="O68" i="1"/>
  <c r="N68" i="1"/>
  <c r="J68" i="1"/>
  <c r="M68" i="1" s="1"/>
  <c r="H68" i="1"/>
  <c r="G68" i="1"/>
  <c r="F68" i="1"/>
  <c r="C68" i="1"/>
  <c r="W67" i="1"/>
  <c r="O67" i="1"/>
  <c r="N67" i="1"/>
  <c r="H67" i="1"/>
  <c r="G67" i="1"/>
  <c r="K67" i="1" s="1"/>
  <c r="F67" i="1"/>
  <c r="J67" i="1" s="1"/>
  <c r="M67" i="1" s="1"/>
  <c r="C67" i="1"/>
  <c r="W66" i="1"/>
  <c r="O66" i="1"/>
  <c r="N66" i="1"/>
  <c r="J66" i="1"/>
  <c r="M66" i="1" s="1"/>
  <c r="G66" i="1"/>
  <c r="F66" i="1"/>
  <c r="C66" i="1"/>
  <c r="H66" i="1" s="1"/>
  <c r="W65" i="1"/>
  <c r="O65" i="1"/>
  <c r="N65" i="1"/>
  <c r="G65" i="1"/>
  <c r="F65" i="1"/>
  <c r="J65" i="1" s="1"/>
  <c r="M65" i="1" s="1"/>
  <c r="C65" i="1"/>
  <c r="H65" i="1" s="1"/>
  <c r="W64" i="1"/>
  <c r="O64" i="1"/>
  <c r="N64" i="1"/>
  <c r="M64" i="1"/>
  <c r="J64" i="1"/>
  <c r="H64" i="1"/>
  <c r="G64" i="1"/>
  <c r="F64" i="1"/>
  <c r="C64" i="1"/>
  <c r="W63" i="1"/>
  <c r="O63" i="1"/>
  <c r="N63" i="1"/>
  <c r="H63" i="1"/>
  <c r="G63" i="1"/>
  <c r="F63" i="1"/>
  <c r="J63" i="1" s="1"/>
  <c r="M63" i="1" s="1"/>
  <c r="C63" i="1"/>
  <c r="W62" i="1"/>
  <c r="O62" i="1"/>
  <c r="N62" i="1"/>
  <c r="J62" i="1"/>
  <c r="M62" i="1" s="1"/>
  <c r="G62" i="1"/>
  <c r="K62" i="1" s="1"/>
  <c r="F62" i="1"/>
  <c r="C62" i="1"/>
  <c r="H62" i="1" s="1"/>
  <c r="W61" i="1"/>
  <c r="O61" i="1"/>
  <c r="N61" i="1"/>
  <c r="J61" i="1"/>
  <c r="M61" i="1" s="1"/>
  <c r="G61" i="1"/>
  <c r="F61" i="1"/>
  <c r="C61" i="1"/>
  <c r="H61" i="1" s="1"/>
  <c r="W60" i="1"/>
  <c r="O60" i="1"/>
  <c r="N60" i="1"/>
  <c r="M60" i="1"/>
  <c r="J60" i="1"/>
  <c r="G60" i="1"/>
  <c r="F60" i="1"/>
  <c r="C60" i="1"/>
  <c r="H60" i="1" s="1"/>
  <c r="W59" i="1"/>
  <c r="O59" i="1"/>
  <c r="N59" i="1"/>
  <c r="H59" i="1"/>
  <c r="G59" i="1"/>
  <c r="F59" i="1"/>
  <c r="J59" i="1" s="1"/>
  <c r="M59" i="1" s="1"/>
  <c r="C59" i="1"/>
  <c r="W58" i="1"/>
  <c r="O58" i="1"/>
  <c r="N58" i="1"/>
  <c r="G58" i="1"/>
  <c r="K58" i="1" s="1"/>
  <c r="F58" i="1"/>
  <c r="J58" i="1" s="1"/>
  <c r="M58" i="1" s="1"/>
  <c r="C58" i="1"/>
  <c r="H58" i="1" s="1"/>
  <c r="W57" i="1"/>
  <c r="O57" i="1"/>
  <c r="N57" i="1"/>
  <c r="J57" i="1"/>
  <c r="M57" i="1" s="1"/>
  <c r="H57" i="1"/>
  <c r="G57" i="1"/>
  <c r="F57" i="1"/>
  <c r="C57" i="1"/>
  <c r="W56" i="1"/>
  <c r="O56" i="1"/>
  <c r="N56" i="1"/>
  <c r="J56" i="1"/>
  <c r="M56" i="1" s="1"/>
  <c r="G56" i="1"/>
  <c r="F56" i="1"/>
  <c r="C56" i="1"/>
  <c r="H56" i="1" s="1"/>
  <c r="W55" i="1"/>
  <c r="O55" i="1"/>
  <c r="N55" i="1"/>
  <c r="H55" i="1"/>
  <c r="G55" i="1"/>
  <c r="K55" i="1" s="1"/>
  <c r="F55" i="1"/>
  <c r="J55" i="1" s="1"/>
  <c r="M55" i="1" s="1"/>
  <c r="C55" i="1"/>
  <c r="W54" i="1"/>
  <c r="O54" i="1"/>
  <c r="N54" i="1"/>
  <c r="G54" i="1"/>
  <c r="F54" i="1"/>
  <c r="J54" i="1" s="1"/>
  <c r="M54" i="1" s="1"/>
  <c r="C54" i="1"/>
  <c r="H54" i="1" s="1"/>
  <c r="W53" i="1"/>
  <c r="O53" i="1"/>
  <c r="N53" i="1"/>
  <c r="J53" i="1"/>
  <c r="M53" i="1" s="1"/>
  <c r="G53" i="1"/>
  <c r="F53" i="1"/>
  <c r="C53" i="1"/>
  <c r="H53" i="1" s="1"/>
  <c r="W52" i="1"/>
  <c r="O52" i="1"/>
  <c r="N52" i="1"/>
  <c r="G52" i="1"/>
  <c r="F52" i="1"/>
  <c r="J52" i="1" s="1"/>
  <c r="M52" i="1" s="1"/>
  <c r="C52" i="1"/>
  <c r="H52" i="1" s="1"/>
  <c r="W51" i="1"/>
  <c r="O51" i="1"/>
  <c r="N51" i="1"/>
  <c r="M51" i="1"/>
  <c r="J51" i="1"/>
  <c r="H51" i="1"/>
  <c r="G51" i="1"/>
  <c r="F51" i="1"/>
  <c r="C51" i="1"/>
  <c r="W50" i="1"/>
  <c r="O50" i="1"/>
  <c r="N50" i="1"/>
  <c r="H50" i="1"/>
  <c r="G50" i="1"/>
  <c r="F50" i="1"/>
  <c r="J50" i="1" s="1"/>
  <c r="M50" i="1" s="1"/>
  <c r="C50" i="1"/>
  <c r="W49" i="1"/>
  <c r="O49" i="1"/>
  <c r="N49" i="1"/>
  <c r="J49" i="1"/>
  <c r="M49" i="1" s="1"/>
  <c r="G49" i="1"/>
  <c r="K49" i="1" s="1"/>
  <c r="F49" i="1"/>
  <c r="C49" i="1"/>
  <c r="H49" i="1" s="1"/>
  <c r="W48" i="1"/>
  <c r="O48" i="1"/>
  <c r="N48" i="1"/>
  <c r="J48" i="1"/>
  <c r="M48" i="1" s="1"/>
  <c r="G48" i="1"/>
  <c r="F48" i="1"/>
  <c r="C48" i="1"/>
  <c r="H48" i="1" s="1"/>
  <c r="W47" i="1"/>
  <c r="O47" i="1"/>
  <c r="N47" i="1"/>
  <c r="M47" i="1"/>
  <c r="J47" i="1"/>
  <c r="G47" i="1"/>
  <c r="F47" i="1"/>
  <c r="C47" i="1"/>
  <c r="H47" i="1" s="1"/>
  <c r="W46" i="1"/>
  <c r="O46" i="1"/>
  <c r="N46" i="1"/>
  <c r="H46" i="1"/>
  <c r="G46" i="1"/>
  <c r="F46" i="1"/>
  <c r="J46" i="1" s="1"/>
  <c r="M46" i="1" s="1"/>
  <c r="C46" i="1"/>
  <c r="W45" i="1"/>
  <c r="O45" i="1"/>
  <c r="N45" i="1"/>
  <c r="G45" i="1"/>
  <c r="K45" i="1" s="1"/>
  <c r="F45" i="1"/>
  <c r="J45" i="1" s="1"/>
  <c r="M45" i="1" s="1"/>
  <c r="C45" i="1"/>
  <c r="H45" i="1" s="1"/>
  <c r="W44" i="1"/>
  <c r="O44" i="1"/>
  <c r="N44" i="1"/>
  <c r="J44" i="1"/>
  <c r="M44" i="1" s="1"/>
  <c r="H44" i="1"/>
  <c r="G44" i="1"/>
  <c r="K44" i="1" s="1"/>
  <c r="F44" i="1"/>
  <c r="C44" i="1"/>
  <c r="W43" i="1"/>
  <c r="O43" i="1"/>
  <c r="N43" i="1"/>
  <c r="H43" i="1"/>
  <c r="G43" i="1"/>
  <c r="K43" i="1" s="1"/>
  <c r="F43" i="1"/>
  <c r="J43" i="1" s="1"/>
  <c r="M43" i="1" s="1"/>
  <c r="C43" i="1"/>
  <c r="W42" i="1"/>
  <c r="O42" i="1"/>
  <c r="N42" i="1"/>
  <c r="G42" i="1"/>
  <c r="F42" i="1"/>
  <c r="J42" i="1" s="1"/>
  <c r="M42" i="1" s="1"/>
  <c r="C42" i="1"/>
  <c r="H42" i="1" s="1"/>
  <c r="W41" i="1"/>
  <c r="O41" i="1"/>
  <c r="N41" i="1"/>
  <c r="J41" i="1"/>
  <c r="M41" i="1" s="1"/>
  <c r="G41" i="1"/>
  <c r="F41" i="1"/>
  <c r="C41" i="1"/>
  <c r="H41" i="1" s="1"/>
  <c r="W40" i="1"/>
  <c r="O40" i="1"/>
  <c r="N40" i="1"/>
  <c r="J40" i="1"/>
  <c r="M40" i="1" s="1"/>
  <c r="H40" i="1"/>
  <c r="G40" i="1"/>
  <c r="K40" i="1" s="1"/>
  <c r="F40" i="1"/>
  <c r="C40" i="1"/>
  <c r="W39" i="1"/>
  <c r="O39" i="1"/>
  <c r="N39" i="1"/>
  <c r="H39" i="1"/>
  <c r="G39" i="1"/>
  <c r="K39" i="1" s="1"/>
  <c r="F39" i="1"/>
  <c r="J39" i="1" s="1"/>
  <c r="M39" i="1" s="1"/>
  <c r="C39" i="1"/>
  <c r="W38" i="1"/>
  <c r="O38" i="1"/>
  <c r="N38" i="1"/>
  <c r="G38" i="1"/>
  <c r="F38" i="1"/>
  <c r="J38" i="1" s="1"/>
  <c r="M38" i="1" s="1"/>
  <c r="C38" i="1"/>
  <c r="H38" i="1" s="1"/>
  <c r="W37" i="1"/>
  <c r="O37" i="1"/>
  <c r="N37" i="1"/>
  <c r="J37" i="1"/>
  <c r="M37" i="1" s="1"/>
  <c r="G37" i="1"/>
  <c r="F37" i="1"/>
  <c r="C37" i="1"/>
  <c r="H37" i="1" s="1"/>
  <c r="W36" i="1"/>
  <c r="O36" i="1"/>
  <c r="N36" i="1"/>
  <c r="J36" i="1"/>
  <c r="M36" i="1" s="1"/>
  <c r="H36" i="1"/>
  <c r="G36" i="1"/>
  <c r="K36" i="1" s="1"/>
  <c r="F36" i="1"/>
  <c r="C36" i="1"/>
  <c r="W35" i="1"/>
  <c r="O35" i="1"/>
  <c r="N35" i="1"/>
  <c r="H35" i="1"/>
  <c r="G35" i="1"/>
  <c r="K35" i="1" s="1"/>
  <c r="F35" i="1"/>
  <c r="J35" i="1" s="1"/>
  <c r="M35" i="1" s="1"/>
  <c r="C35" i="1"/>
  <c r="W34" i="1"/>
  <c r="O34" i="1"/>
  <c r="N34" i="1"/>
  <c r="G34" i="1"/>
  <c r="F34" i="1"/>
  <c r="J34" i="1" s="1"/>
  <c r="M34" i="1" s="1"/>
  <c r="C34" i="1"/>
  <c r="H34" i="1" s="1"/>
  <c r="W33" i="1"/>
  <c r="O33" i="1"/>
  <c r="N33" i="1"/>
  <c r="J33" i="1"/>
  <c r="M33" i="1" s="1"/>
  <c r="G33" i="1"/>
  <c r="F33" i="1"/>
  <c r="C33" i="1"/>
  <c r="H33" i="1" s="1"/>
  <c r="W32" i="1"/>
  <c r="O32" i="1"/>
  <c r="N32" i="1"/>
  <c r="J32" i="1"/>
  <c r="M32" i="1" s="1"/>
  <c r="H32" i="1"/>
  <c r="G32" i="1"/>
  <c r="K32" i="1" s="1"/>
  <c r="F32" i="1"/>
  <c r="C32" i="1"/>
  <c r="Z31" i="1"/>
  <c r="W31" i="1"/>
  <c r="O31" i="1"/>
  <c r="N31" i="1"/>
  <c r="J31" i="1"/>
  <c r="M31" i="1" s="1"/>
  <c r="H31" i="1"/>
  <c r="G31" i="1"/>
  <c r="K31" i="1" s="1"/>
  <c r="F31" i="1"/>
  <c r="C31" i="1"/>
  <c r="Z30" i="1"/>
  <c r="W30" i="1"/>
  <c r="O30" i="1"/>
  <c r="N30" i="1"/>
  <c r="J30" i="1"/>
  <c r="M30" i="1" s="1"/>
  <c r="H30" i="1"/>
  <c r="G30" i="1"/>
  <c r="K30" i="1" s="1"/>
  <c r="F30" i="1"/>
  <c r="C30" i="1"/>
  <c r="Z29" i="1"/>
  <c r="W29" i="1"/>
  <c r="O29" i="1"/>
  <c r="N29" i="1"/>
  <c r="J29" i="1"/>
  <c r="M29" i="1" s="1"/>
  <c r="H29" i="1"/>
  <c r="G29" i="1"/>
  <c r="K29" i="1" s="1"/>
  <c r="P29" i="1" s="1"/>
  <c r="F29" i="1"/>
  <c r="C29" i="1"/>
  <c r="Z28" i="1"/>
  <c r="W28" i="1"/>
  <c r="O28" i="1"/>
  <c r="N28" i="1"/>
  <c r="J28" i="1"/>
  <c r="M28" i="1" s="1"/>
  <c r="H28" i="1"/>
  <c r="G28" i="1"/>
  <c r="K28" i="1" s="1"/>
  <c r="F28" i="1"/>
  <c r="C28" i="1"/>
  <c r="Z27" i="1"/>
  <c r="W27" i="1"/>
  <c r="O27" i="1"/>
  <c r="N27" i="1"/>
  <c r="J27" i="1"/>
  <c r="M27" i="1" s="1"/>
  <c r="H27" i="1"/>
  <c r="G27" i="1"/>
  <c r="K27" i="1" s="1"/>
  <c r="F27" i="1"/>
  <c r="C27" i="1"/>
  <c r="Z26" i="1"/>
  <c r="W26" i="1"/>
  <c r="O26" i="1"/>
  <c r="N26" i="1"/>
  <c r="J26" i="1"/>
  <c r="M26" i="1" s="1"/>
  <c r="H26" i="1"/>
  <c r="G26" i="1"/>
  <c r="K26" i="1" s="1"/>
  <c r="P26" i="1" s="1"/>
  <c r="F26" i="1"/>
  <c r="C26" i="1"/>
  <c r="Z25" i="1"/>
  <c r="W25" i="1"/>
  <c r="O25" i="1"/>
  <c r="N25" i="1"/>
  <c r="J25" i="1"/>
  <c r="M25" i="1" s="1"/>
  <c r="H25" i="1"/>
  <c r="G25" i="1"/>
  <c r="K25" i="1" s="1"/>
  <c r="P25" i="1" s="1"/>
  <c r="F25" i="1"/>
  <c r="C25" i="1"/>
  <c r="Z24" i="1"/>
  <c r="W24" i="1"/>
  <c r="O24" i="1"/>
  <c r="N24" i="1"/>
  <c r="J24" i="1"/>
  <c r="M24" i="1" s="1"/>
  <c r="H24" i="1"/>
  <c r="G24" i="1"/>
  <c r="K24" i="1" s="1"/>
  <c r="F24" i="1"/>
  <c r="C24" i="1"/>
  <c r="Z23" i="1"/>
  <c r="W23" i="1"/>
  <c r="O23" i="1"/>
  <c r="N23" i="1"/>
  <c r="J23" i="1"/>
  <c r="M23" i="1" s="1"/>
  <c r="H23" i="1"/>
  <c r="G23" i="1"/>
  <c r="K23" i="1" s="1"/>
  <c r="F23" i="1"/>
  <c r="C23" i="1"/>
  <c r="Z22" i="1"/>
  <c r="W22" i="1"/>
  <c r="O22" i="1"/>
  <c r="N22" i="1"/>
  <c r="J22" i="1"/>
  <c r="M22" i="1" s="1"/>
  <c r="H22" i="1"/>
  <c r="G22" i="1"/>
  <c r="K22" i="1" s="1"/>
  <c r="P22" i="1" s="1"/>
  <c r="F22" i="1"/>
  <c r="C22" i="1"/>
  <c r="Z21" i="1"/>
  <c r="W21" i="1"/>
  <c r="O21" i="1"/>
  <c r="N21" i="1"/>
  <c r="J21" i="1"/>
  <c r="M21" i="1" s="1"/>
  <c r="H21" i="1"/>
  <c r="G21" i="1"/>
  <c r="K21" i="1" s="1"/>
  <c r="F21" i="1"/>
  <c r="C21" i="1"/>
  <c r="Z20" i="1"/>
  <c r="W20" i="1"/>
  <c r="O20" i="1"/>
  <c r="N20" i="1"/>
  <c r="J20" i="1"/>
  <c r="M20" i="1" s="1"/>
  <c r="H20" i="1"/>
  <c r="G20" i="1"/>
  <c r="K20" i="1" s="1"/>
  <c r="F20" i="1"/>
  <c r="C20" i="1"/>
  <c r="Z19" i="1"/>
  <c r="W19" i="1"/>
  <c r="O19" i="1"/>
  <c r="N19" i="1"/>
  <c r="J19" i="1"/>
  <c r="M19" i="1" s="1"/>
  <c r="H19" i="1"/>
  <c r="G19" i="1"/>
  <c r="K19" i="1" s="1"/>
  <c r="F19" i="1"/>
  <c r="C19" i="1"/>
  <c r="Z18" i="1"/>
  <c r="W18" i="1"/>
  <c r="O18" i="1"/>
  <c r="N18" i="1"/>
  <c r="J18" i="1"/>
  <c r="M18" i="1" s="1"/>
  <c r="H18" i="1"/>
  <c r="G18" i="1"/>
  <c r="K18" i="1" s="1"/>
  <c r="P18" i="1" s="1"/>
  <c r="F18" i="1"/>
  <c r="C18" i="1"/>
  <c r="Z17" i="1"/>
  <c r="W17" i="1"/>
  <c r="O17" i="1"/>
  <c r="N17" i="1"/>
  <c r="J17" i="1"/>
  <c r="M17" i="1" s="1"/>
  <c r="H17" i="1"/>
  <c r="G17" i="1"/>
  <c r="K17" i="1" s="1"/>
  <c r="P17" i="1" s="1"/>
  <c r="F17" i="1"/>
  <c r="C17" i="1"/>
  <c r="Z16" i="1"/>
  <c r="W16" i="1"/>
  <c r="O16" i="1"/>
  <c r="N16" i="1"/>
  <c r="J16" i="1"/>
  <c r="M16" i="1" s="1"/>
  <c r="H16" i="1"/>
  <c r="G16" i="1"/>
  <c r="K16" i="1" s="1"/>
  <c r="F16" i="1"/>
  <c r="C16" i="1"/>
  <c r="Z15" i="1"/>
  <c r="W15" i="1"/>
  <c r="O15" i="1"/>
  <c r="N15" i="1"/>
  <c r="J15" i="1"/>
  <c r="M15" i="1" s="1"/>
  <c r="H15" i="1"/>
  <c r="G15" i="1"/>
  <c r="K15" i="1" s="1"/>
  <c r="F15" i="1"/>
  <c r="C15" i="1"/>
  <c r="Z14" i="1"/>
  <c r="W14" i="1"/>
  <c r="O14" i="1"/>
  <c r="N14" i="1"/>
  <c r="J14" i="1"/>
  <c r="M14" i="1" s="1"/>
  <c r="H14" i="1"/>
  <c r="G14" i="1"/>
  <c r="K14" i="1" s="1"/>
  <c r="P14" i="1" s="1"/>
  <c r="F14" i="1"/>
  <c r="C14" i="1"/>
  <c r="Z13" i="1"/>
  <c r="W13" i="1"/>
  <c r="O13" i="1"/>
  <c r="N13" i="1"/>
  <c r="J13" i="1"/>
  <c r="M13" i="1" s="1"/>
  <c r="H13" i="1"/>
  <c r="G13" i="1"/>
  <c r="K13" i="1" s="1"/>
  <c r="F13" i="1"/>
  <c r="C13" i="1"/>
  <c r="AC12" i="1"/>
  <c r="Z12" i="1"/>
  <c r="W12" i="1"/>
  <c r="O12" i="1"/>
  <c r="N12" i="1"/>
  <c r="J12" i="1"/>
  <c r="M12" i="1" s="1"/>
  <c r="G12" i="1"/>
  <c r="F12" i="1"/>
  <c r="C12" i="1"/>
  <c r="H12" i="1" s="1"/>
  <c r="AC11" i="1"/>
  <c r="Z11" i="1"/>
  <c r="W11" i="1"/>
  <c r="O11" i="1"/>
  <c r="N11" i="1"/>
  <c r="G11" i="1"/>
  <c r="F11" i="1"/>
  <c r="J11" i="1" s="1"/>
  <c r="M11" i="1" s="1"/>
  <c r="C11" i="1"/>
  <c r="H11" i="1" s="1"/>
  <c r="Z10" i="1"/>
  <c r="W10" i="1"/>
  <c r="O10" i="1"/>
  <c r="N10" i="1"/>
  <c r="G10" i="1"/>
  <c r="F10" i="1"/>
  <c r="J10" i="1" s="1"/>
  <c r="M10" i="1" s="1"/>
  <c r="C10" i="1"/>
  <c r="H10" i="1" s="1"/>
  <c r="Z9" i="1"/>
  <c r="W9" i="1"/>
  <c r="O9" i="1"/>
  <c r="N9" i="1"/>
  <c r="G9" i="1"/>
  <c r="F9" i="1"/>
  <c r="J9" i="1" s="1"/>
  <c r="M9" i="1" s="1"/>
  <c r="C9" i="1"/>
  <c r="H9" i="1" s="1"/>
  <c r="Z8" i="1"/>
  <c r="W8" i="1"/>
  <c r="O8" i="1"/>
  <c r="N8" i="1"/>
  <c r="G8" i="1"/>
  <c r="F8" i="1"/>
  <c r="J8" i="1" s="1"/>
  <c r="M8" i="1" s="1"/>
  <c r="C8" i="1"/>
  <c r="H8" i="1" s="1"/>
  <c r="AC7" i="1"/>
  <c r="Z7" i="1"/>
  <c r="W7" i="1"/>
  <c r="O7" i="1"/>
  <c r="N7" i="1"/>
  <c r="H7" i="1"/>
  <c r="G7" i="1"/>
  <c r="K7" i="1" s="1"/>
  <c r="F7" i="1"/>
  <c r="J7" i="1" s="1"/>
  <c r="M7" i="1" s="1"/>
  <c r="C7" i="1"/>
  <c r="Z6" i="1"/>
  <c r="W6" i="1"/>
  <c r="O6" i="1"/>
  <c r="N6" i="1"/>
  <c r="H6" i="1"/>
  <c r="G6" i="1"/>
  <c r="K6" i="1" s="1"/>
  <c r="F6" i="1"/>
  <c r="J6" i="1" s="1"/>
  <c r="M6" i="1" s="1"/>
  <c r="C6" i="1"/>
  <c r="Z5" i="1"/>
  <c r="W5" i="1"/>
  <c r="O5" i="1"/>
  <c r="N5" i="1"/>
  <c r="H5" i="1"/>
  <c r="G5" i="1"/>
  <c r="K5" i="1" s="1"/>
  <c r="F5" i="1"/>
  <c r="J5" i="1" s="1"/>
  <c r="M5" i="1" s="1"/>
  <c r="C5" i="1"/>
  <c r="Z4" i="1"/>
  <c r="W4" i="1"/>
  <c r="O4" i="1"/>
  <c r="N4" i="1"/>
  <c r="H4" i="1"/>
  <c r="G4" i="1"/>
  <c r="K4" i="1" s="1"/>
  <c r="F4" i="1"/>
  <c r="J4" i="1" s="1"/>
  <c r="M4" i="1" s="1"/>
  <c r="C4" i="1"/>
  <c r="S2" i="1"/>
  <c r="N2" i="1"/>
  <c r="K219" i="1" s="1"/>
  <c r="P144" i="1" l="1"/>
  <c r="P78" i="1"/>
  <c r="P160" i="1"/>
  <c r="P21" i="1"/>
  <c r="P44" i="1"/>
  <c r="P184" i="1"/>
  <c r="P43" i="1"/>
  <c r="P13" i="1"/>
  <c r="P39" i="1"/>
  <c r="P219" i="1"/>
  <c r="P176" i="1"/>
  <c r="P35" i="1"/>
  <c r="P30" i="1"/>
  <c r="P7" i="1"/>
  <c r="P4" i="1"/>
  <c r="P6" i="1"/>
  <c r="P15" i="1"/>
  <c r="P19" i="1"/>
  <c r="P23" i="1"/>
  <c r="P27" i="1"/>
  <c r="P31" i="1"/>
  <c r="P5" i="1"/>
  <c r="P55" i="1"/>
  <c r="P74" i="1"/>
  <c r="P16" i="1"/>
  <c r="P20" i="1"/>
  <c r="P24" i="1"/>
  <c r="P28" i="1"/>
  <c r="P32" i="1"/>
  <c r="P36" i="1"/>
  <c r="P40" i="1"/>
  <c r="P45" i="1"/>
  <c r="P49" i="1"/>
  <c r="P58" i="1"/>
  <c r="P62" i="1"/>
  <c r="P67" i="1"/>
  <c r="P71" i="1"/>
  <c r="K8" i="1"/>
  <c r="P8" i="1" s="1"/>
  <c r="K9" i="1"/>
  <c r="P9" i="1" s="1"/>
  <c r="K10" i="1"/>
  <c r="P10" i="1" s="1"/>
  <c r="K66" i="1"/>
  <c r="P66" i="1" s="1"/>
  <c r="K76" i="1"/>
  <c r="P76" i="1" s="1"/>
  <c r="K159" i="1"/>
  <c r="P159" i="1" s="1"/>
  <c r="K191" i="1"/>
  <c r="P191" i="1" s="1"/>
  <c r="K222" i="1"/>
  <c r="P222" i="1" s="1"/>
  <c r="K232" i="1"/>
  <c r="P232" i="1" s="1"/>
  <c r="K240" i="1"/>
  <c r="P240" i="1" s="1"/>
  <c r="K303" i="1"/>
  <c r="P303" i="1" s="1"/>
  <c r="K301" i="1"/>
  <c r="P301" i="1" s="1"/>
  <c r="K299" i="1"/>
  <c r="P299" i="1" s="1"/>
  <c r="K297" i="1"/>
  <c r="P297" i="1" s="1"/>
  <c r="K295" i="1"/>
  <c r="P295" i="1" s="1"/>
  <c r="K293" i="1"/>
  <c r="P293" i="1" s="1"/>
  <c r="K291" i="1"/>
  <c r="P291" i="1" s="1"/>
  <c r="K289" i="1"/>
  <c r="P289" i="1" s="1"/>
  <c r="K287" i="1"/>
  <c r="P287" i="1" s="1"/>
  <c r="K285" i="1"/>
  <c r="P285" i="1" s="1"/>
  <c r="K283" i="1"/>
  <c r="P283" i="1" s="1"/>
  <c r="K281" i="1"/>
  <c r="P281" i="1" s="1"/>
  <c r="K279" i="1"/>
  <c r="P279" i="1" s="1"/>
  <c r="K277" i="1"/>
  <c r="P277" i="1" s="1"/>
  <c r="K275" i="1"/>
  <c r="P275" i="1" s="1"/>
  <c r="K273" i="1"/>
  <c r="P273" i="1" s="1"/>
  <c r="K247" i="1"/>
  <c r="P247" i="1" s="1"/>
  <c r="K244" i="1"/>
  <c r="P244" i="1" s="1"/>
  <c r="K236" i="1"/>
  <c r="P236" i="1" s="1"/>
  <c r="K228" i="1"/>
  <c r="P228" i="1" s="1"/>
  <c r="K221" i="1"/>
  <c r="P221" i="1" s="1"/>
  <c r="K271" i="1"/>
  <c r="P271" i="1" s="1"/>
  <c r="K269" i="1"/>
  <c r="P269" i="1" s="1"/>
  <c r="K223" i="1"/>
  <c r="P223" i="1" s="1"/>
  <c r="K215" i="1"/>
  <c r="P215" i="1" s="1"/>
  <c r="K213" i="1"/>
  <c r="P213" i="1" s="1"/>
  <c r="K211" i="1"/>
  <c r="P211" i="1" s="1"/>
  <c r="K209" i="1"/>
  <c r="P209" i="1" s="1"/>
  <c r="K261" i="1"/>
  <c r="P261" i="1" s="1"/>
  <c r="K255" i="1"/>
  <c r="P255" i="1" s="1"/>
  <c r="K253" i="1"/>
  <c r="P253" i="1" s="1"/>
  <c r="K139" i="1"/>
  <c r="P139" i="1" s="1"/>
  <c r="K127" i="1"/>
  <c r="P127" i="1" s="1"/>
  <c r="K263" i="1"/>
  <c r="P263" i="1" s="1"/>
  <c r="K225" i="1"/>
  <c r="P225" i="1" s="1"/>
  <c r="K217" i="1"/>
  <c r="P217" i="1" s="1"/>
  <c r="K131" i="1"/>
  <c r="P131" i="1" s="1"/>
  <c r="K115" i="1"/>
  <c r="P115" i="1" s="1"/>
  <c r="K113" i="1"/>
  <c r="P113" i="1" s="1"/>
  <c r="K109" i="1"/>
  <c r="P109" i="1" s="1"/>
  <c r="K105" i="1"/>
  <c r="P105" i="1" s="1"/>
  <c r="K101" i="1"/>
  <c r="P101" i="1" s="1"/>
  <c r="K97" i="1"/>
  <c r="P97" i="1" s="1"/>
  <c r="K93" i="1"/>
  <c r="P93" i="1" s="1"/>
  <c r="K89" i="1"/>
  <c r="P89" i="1" s="1"/>
  <c r="K85" i="1"/>
  <c r="P85" i="1" s="1"/>
  <c r="K81" i="1"/>
  <c r="P81" i="1" s="1"/>
  <c r="K242" i="1"/>
  <c r="P242" i="1" s="1"/>
  <c r="K234" i="1"/>
  <c r="P234" i="1" s="1"/>
  <c r="K226" i="1"/>
  <c r="P226" i="1" s="1"/>
  <c r="K11" i="1"/>
  <c r="P11" i="1" s="1"/>
  <c r="K34" i="1"/>
  <c r="P34" i="1" s="1"/>
  <c r="K51" i="1"/>
  <c r="P51" i="1" s="1"/>
  <c r="K52" i="1"/>
  <c r="P52" i="1" s="1"/>
  <c r="K63" i="1"/>
  <c r="P63" i="1" s="1"/>
  <c r="K65" i="1"/>
  <c r="P65" i="1" s="1"/>
  <c r="K70" i="1"/>
  <c r="P70" i="1" s="1"/>
  <c r="K79" i="1"/>
  <c r="P79" i="1" s="1"/>
  <c r="K84" i="1"/>
  <c r="P84" i="1" s="1"/>
  <c r="K87" i="1"/>
  <c r="P87" i="1" s="1"/>
  <c r="K92" i="1"/>
  <c r="P92" i="1" s="1"/>
  <c r="K95" i="1"/>
  <c r="P95" i="1" s="1"/>
  <c r="K100" i="1"/>
  <c r="P100" i="1" s="1"/>
  <c r="K103" i="1"/>
  <c r="P103" i="1" s="1"/>
  <c r="K108" i="1"/>
  <c r="P108" i="1" s="1"/>
  <c r="K111" i="1"/>
  <c r="P111" i="1" s="1"/>
  <c r="K120" i="1"/>
  <c r="P120" i="1" s="1"/>
  <c r="K133" i="1"/>
  <c r="P133" i="1" s="1"/>
  <c r="K158" i="1"/>
  <c r="P158" i="1" s="1"/>
  <c r="K190" i="1"/>
  <c r="P190" i="1" s="1"/>
  <c r="K193" i="1"/>
  <c r="P193" i="1" s="1"/>
  <c r="K194" i="1"/>
  <c r="P194" i="1" s="1"/>
  <c r="K37" i="1"/>
  <c r="P37" i="1" s="1"/>
  <c r="K46" i="1"/>
  <c r="P46" i="1" s="1"/>
  <c r="K48" i="1"/>
  <c r="P48" i="1" s="1"/>
  <c r="K53" i="1"/>
  <c r="P53" i="1" s="1"/>
  <c r="K59" i="1"/>
  <c r="P59" i="1" s="1"/>
  <c r="K61" i="1"/>
  <c r="P61" i="1" s="1"/>
  <c r="K77" i="1"/>
  <c r="P77" i="1" s="1"/>
  <c r="K119" i="1"/>
  <c r="P119" i="1" s="1"/>
  <c r="K121" i="1"/>
  <c r="P121" i="1" s="1"/>
  <c r="K122" i="1"/>
  <c r="P122" i="1" s="1"/>
  <c r="K136" i="1"/>
  <c r="P136" i="1" s="1"/>
  <c r="K143" i="1"/>
  <c r="P143" i="1" s="1"/>
  <c r="K175" i="1"/>
  <c r="P175" i="1" s="1"/>
  <c r="R53" i="1"/>
  <c r="K56" i="1"/>
  <c r="P56" i="1" s="1"/>
  <c r="K57" i="1"/>
  <c r="P57" i="1" s="1"/>
  <c r="K72" i="1"/>
  <c r="P72" i="1" s="1"/>
  <c r="K73" i="1"/>
  <c r="P73" i="1" s="1"/>
  <c r="K116" i="1"/>
  <c r="P116" i="1" s="1"/>
  <c r="K118" i="1"/>
  <c r="P118" i="1" s="1"/>
  <c r="K125" i="1"/>
  <c r="P125" i="1" s="1"/>
  <c r="K135" i="1"/>
  <c r="P135" i="1" s="1"/>
  <c r="K137" i="1"/>
  <c r="P137" i="1" s="1"/>
  <c r="K138" i="1"/>
  <c r="P138" i="1" s="1"/>
  <c r="K148" i="1"/>
  <c r="P148" i="1" s="1"/>
  <c r="K150" i="1"/>
  <c r="P150" i="1" s="1"/>
  <c r="K153" i="1"/>
  <c r="P153" i="1" s="1"/>
  <c r="K154" i="1"/>
  <c r="P154" i="1" s="1"/>
  <c r="K164" i="1"/>
  <c r="P164" i="1" s="1"/>
  <c r="K166" i="1"/>
  <c r="P166" i="1" s="1"/>
  <c r="K169" i="1"/>
  <c r="P169" i="1" s="1"/>
  <c r="K170" i="1"/>
  <c r="P170" i="1" s="1"/>
  <c r="K180" i="1"/>
  <c r="P180" i="1" s="1"/>
  <c r="K182" i="1"/>
  <c r="P182" i="1" s="1"/>
  <c r="K185" i="1"/>
  <c r="P185" i="1" s="1"/>
  <c r="K186" i="1"/>
  <c r="P186" i="1" s="1"/>
  <c r="K196" i="1"/>
  <c r="P196" i="1" s="1"/>
  <c r="K198" i="1"/>
  <c r="P198" i="1" s="1"/>
  <c r="K200" i="1"/>
  <c r="P200" i="1" s="1"/>
  <c r="K203" i="1"/>
  <c r="P203" i="1" s="1"/>
  <c r="K205" i="1"/>
  <c r="P205" i="1" s="1"/>
  <c r="K272" i="1"/>
  <c r="P272" i="1" s="1"/>
  <c r="K38" i="1"/>
  <c r="P38" i="1" s="1"/>
  <c r="K42" i="1"/>
  <c r="P42" i="1" s="1"/>
  <c r="K50" i="1"/>
  <c r="P50" i="1" s="1"/>
  <c r="K54" i="1"/>
  <c r="P54" i="1" s="1"/>
  <c r="K64" i="1"/>
  <c r="P64" i="1" s="1"/>
  <c r="K80" i="1"/>
  <c r="P80" i="1" s="1"/>
  <c r="K83" i="1"/>
  <c r="P83" i="1" s="1"/>
  <c r="K88" i="1"/>
  <c r="P88" i="1" s="1"/>
  <c r="K91" i="1"/>
  <c r="P91" i="1" s="1"/>
  <c r="K96" i="1"/>
  <c r="P96" i="1" s="1"/>
  <c r="K99" i="1"/>
  <c r="P99" i="1" s="1"/>
  <c r="K104" i="1"/>
  <c r="P104" i="1" s="1"/>
  <c r="K107" i="1"/>
  <c r="P107" i="1" s="1"/>
  <c r="K112" i="1"/>
  <c r="P112" i="1" s="1"/>
  <c r="K140" i="1"/>
  <c r="P140" i="1" s="1"/>
  <c r="K142" i="1"/>
  <c r="P142" i="1" s="1"/>
  <c r="K145" i="1"/>
  <c r="P145" i="1" s="1"/>
  <c r="K146" i="1"/>
  <c r="P146" i="1" s="1"/>
  <c r="K156" i="1"/>
  <c r="P156" i="1" s="1"/>
  <c r="K161" i="1"/>
  <c r="P161" i="1" s="1"/>
  <c r="K162" i="1"/>
  <c r="P162" i="1" s="1"/>
  <c r="K172" i="1"/>
  <c r="P172" i="1" s="1"/>
  <c r="K174" i="1"/>
  <c r="P174" i="1" s="1"/>
  <c r="K177" i="1"/>
  <c r="P177" i="1" s="1"/>
  <c r="K178" i="1"/>
  <c r="P178" i="1" s="1"/>
  <c r="K188" i="1"/>
  <c r="P188" i="1" s="1"/>
  <c r="K210" i="1"/>
  <c r="P210" i="1" s="1"/>
  <c r="K12" i="1"/>
  <c r="P12" i="1" s="1"/>
  <c r="K33" i="1"/>
  <c r="P33" i="1" s="1"/>
  <c r="K41" i="1"/>
  <c r="P41" i="1" s="1"/>
  <c r="K47" i="1"/>
  <c r="P47" i="1" s="1"/>
  <c r="K60" i="1"/>
  <c r="P60" i="1" s="1"/>
  <c r="K75" i="1"/>
  <c r="P75" i="1" s="1"/>
  <c r="K68" i="1"/>
  <c r="P68" i="1" s="1"/>
  <c r="K69" i="1"/>
  <c r="P69" i="1" s="1"/>
  <c r="K82" i="1"/>
  <c r="P82" i="1" s="1"/>
  <c r="K86" i="1"/>
  <c r="P86" i="1" s="1"/>
  <c r="K90" i="1"/>
  <c r="P90" i="1" s="1"/>
  <c r="K94" i="1"/>
  <c r="P94" i="1" s="1"/>
  <c r="K98" i="1"/>
  <c r="P98" i="1" s="1"/>
  <c r="K102" i="1"/>
  <c r="P102" i="1" s="1"/>
  <c r="K106" i="1"/>
  <c r="P106" i="1" s="1"/>
  <c r="K110" i="1"/>
  <c r="P110" i="1" s="1"/>
  <c r="K117" i="1"/>
  <c r="P117" i="1" s="1"/>
  <c r="K123" i="1"/>
  <c r="P123" i="1" s="1"/>
  <c r="K124" i="1"/>
  <c r="P124" i="1" s="1"/>
  <c r="K128" i="1"/>
  <c r="P128" i="1" s="1"/>
  <c r="K129" i="1"/>
  <c r="P129" i="1" s="1"/>
  <c r="K132" i="1"/>
  <c r="P132" i="1" s="1"/>
  <c r="K134" i="1"/>
  <c r="P134" i="1" s="1"/>
  <c r="K151" i="1"/>
  <c r="P151" i="1" s="1"/>
  <c r="K152" i="1"/>
  <c r="P152" i="1" s="1"/>
  <c r="K167" i="1"/>
  <c r="P167" i="1" s="1"/>
  <c r="K168" i="1"/>
  <c r="P168" i="1" s="1"/>
  <c r="K183" i="1"/>
  <c r="P183" i="1" s="1"/>
  <c r="K199" i="1"/>
  <c r="P199" i="1" s="1"/>
  <c r="K212" i="1"/>
  <c r="P212" i="1" s="1"/>
  <c r="K231" i="1"/>
  <c r="P231" i="1" s="1"/>
  <c r="K239" i="1"/>
  <c r="P239" i="1" s="1"/>
  <c r="K288" i="1"/>
  <c r="P288" i="1" s="1"/>
  <c r="K233" i="1"/>
  <c r="P233" i="1" s="1"/>
  <c r="K241" i="1"/>
  <c r="P241" i="1" s="1"/>
  <c r="K267" i="1"/>
  <c r="P267" i="1" s="1"/>
  <c r="K286" i="1"/>
  <c r="P286" i="1" s="1"/>
  <c r="K302" i="1"/>
  <c r="P302" i="1" s="1"/>
  <c r="K114" i="1"/>
  <c r="P114" i="1" s="1"/>
  <c r="K130" i="1"/>
  <c r="P130" i="1" s="1"/>
  <c r="K141" i="1"/>
  <c r="P141" i="1" s="1"/>
  <c r="K149" i="1"/>
  <c r="P149" i="1" s="1"/>
  <c r="K157" i="1"/>
  <c r="P157" i="1" s="1"/>
  <c r="K165" i="1"/>
  <c r="P165" i="1" s="1"/>
  <c r="K173" i="1"/>
  <c r="P173" i="1" s="1"/>
  <c r="K181" i="1"/>
  <c r="P181" i="1" s="1"/>
  <c r="K189" i="1"/>
  <c r="P189" i="1" s="1"/>
  <c r="K197" i="1"/>
  <c r="P197" i="1" s="1"/>
  <c r="K208" i="1"/>
  <c r="P208" i="1" s="1"/>
  <c r="K216" i="1"/>
  <c r="P216" i="1" s="1"/>
  <c r="K224" i="1"/>
  <c r="P224" i="1" s="1"/>
  <c r="K248" i="1"/>
  <c r="P248" i="1" s="1"/>
  <c r="K249" i="1"/>
  <c r="P249" i="1" s="1"/>
  <c r="K258" i="1"/>
  <c r="P258" i="1" s="1"/>
  <c r="K266" i="1"/>
  <c r="P266" i="1" s="1"/>
  <c r="K280" i="1"/>
  <c r="P280" i="1" s="1"/>
  <c r="K296" i="1"/>
  <c r="P296" i="1" s="1"/>
  <c r="K126" i="1"/>
  <c r="P126" i="1" s="1"/>
  <c r="K147" i="1"/>
  <c r="P147" i="1" s="1"/>
  <c r="K155" i="1"/>
  <c r="P155" i="1" s="1"/>
  <c r="K163" i="1"/>
  <c r="P163" i="1" s="1"/>
  <c r="K171" i="1"/>
  <c r="P171" i="1" s="1"/>
  <c r="K179" i="1"/>
  <c r="P179" i="1" s="1"/>
  <c r="K187" i="1"/>
  <c r="P187" i="1" s="1"/>
  <c r="K195" i="1"/>
  <c r="P195" i="1" s="1"/>
  <c r="K201" i="1"/>
  <c r="P201" i="1" s="1"/>
  <c r="K206" i="1"/>
  <c r="P206" i="1" s="1"/>
  <c r="K207" i="1"/>
  <c r="P207" i="1" s="1"/>
  <c r="K214" i="1"/>
  <c r="P214" i="1" s="1"/>
  <c r="K230" i="1"/>
  <c r="P230" i="1" s="1"/>
  <c r="K238" i="1"/>
  <c r="P238" i="1" s="1"/>
  <c r="K246" i="1"/>
  <c r="P246" i="1" s="1"/>
  <c r="K278" i="1"/>
  <c r="P278" i="1" s="1"/>
  <c r="K294" i="1"/>
  <c r="P294" i="1" s="1"/>
  <c r="K202" i="1"/>
  <c r="P202" i="1" s="1"/>
  <c r="K220" i="1"/>
  <c r="P220" i="1" s="1"/>
  <c r="K229" i="1"/>
  <c r="P229" i="1" s="1"/>
  <c r="K237" i="1"/>
  <c r="P237" i="1" s="1"/>
  <c r="K245" i="1"/>
  <c r="P245" i="1" s="1"/>
  <c r="K251" i="1"/>
  <c r="P251" i="1" s="1"/>
  <c r="K256" i="1"/>
  <c r="P256" i="1" s="1"/>
  <c r="K257" i="1"/>
  <c r="P257" i="1" s="1"/>
  <c r="K276" i="1"/>
  <c r="P276" i="1" s="1"/>
  <c r="K284" i="1"/>
  <c r="P284" i="1" s="1"/>
  <c r="K292" i="1"/>
  <c r="P292" i="1" s="1"/>
  <c r="K300" i="1"/>
  <c r="P300" i="1" s="1"/>
  <c r="K204" i="1"/>
  <c r="P204" i="1" s="1"/>
  <c r="K218" i="1"/>
  <c r="P218" i="1" s="1"/>
  <c r="R225" i="1"/>
  <c r="K227" i="1"/>
  <c r="P227" i="1" s="1"/>
  <c r="K235" i="1"/>
  <c r="P235" i="1" s="1"/>
  <c r="K243" i="1"/>
  <c r="P243" i="1" s="1"/>
  <c r="K250" i="1"/>
  <c r="P250" i="1" s="1"/>
  <c r="K259" i="1"/>
  <c r="P259" i="1" s="1"/>
  <c r="K264" i="1"/>
  <c r="P264" i="1" s="1"/>
  <c r="K265" i="1"/>
  <c r="P265" i="1" s="1"/>
  <c r="K274" i="1"/>
  <c r="P274" i="1" s="1"/>
  <c r="K282" i="1"/>
  <c r="P282" i="1" s="1"/>
  <c r="K290" i="1"/>
  <c r="P290" i="1" s="1"/>
  <c r="K298" i="1"/>
  <c r="P298" i="1" s="1"/>
  <c r="K252" i="1"/>
  <c r="P252" i="1" s="1"/>
  <c r="K260" i="1"/>
  <c r="P260" i="1" s="1"/>
  <c r="K268" i="1"/>
  <c r="P268" i="1" s="1"/>
  <c r="K254" i="1"/>
  <c r="P254" i="1" s="1"/>
  <c r="K262" i="1"/>
  <c r="P262" i="1" s="1"/>
  <c r="K270" i="1"/>
  <c r="P270" i="1" s="1"/>
</calcChain>
</file>

<file path=xl/sharedStrings.xml><?xml version="1.0" encoding="utf-8"?>
<sst xmlns="http://schemas.openxmlformats.org/spreadsheetml/2006/main" count="38" uniqueCount="33">
  <si>
    <t>Overpotential Calculation</t>
  </si>
  <si>
    <t>T</t>
  </si>
  <si>
    <t>Log()</t>
  </si>
  <si>
    <t>P_H2</t>
  </si>
  <si>
    <t>P_O2</t>
  </si>
  <si>
    <t>Raw</t>
  </si>
  <si>
    <t>mA/cm2</t>
  </si>
  <si>
    <t>mW/cm2</t>
  </si>
  <si>
    <t>Total Opot</t>
  </si>
  <si>
    <t>Erev</t>
  </si>
  <si>
    <t>EIS</t>
  </si>
  <si>
    <t>I</t>
  </si>
  <si>
    <t>V</t>
  </si>
  <si>
    <t>P</t>
  </si>
  <si>
    <t>IR</t>
  </si>
  <si>
    <t>Ln(i)</t>
  </si>
  <si>
    <t>Kin Opot</t>
  </si>
  <si>
    <t>Ohmic</t>
  </si>
  <si>
    <t>proton</t>
  </si>
  <si>
    <t>Mass</t>
  </si>
  <si>
    <t>x</t>
  </si>
  <si>
    <t>y</t>
  </si>
  <si>
    <t>X</t>
  </si>
  <si>
    <t>Y</t>
  </si>
  <si>
    <t>intercept</t>
  </si>
  <si>
    <t>Intercept</t>
  </si>
  <si>
    <t>slope</t>
  </si>
  <si>
    <t>Slope</t>
  </si>
  <si>
    <t>y=0</t>
  </si>
  <si>
    <t>x=</t>
  </si>
  <si>
    <t>y intercept EIS</t>
  </si>
  <si>
    <t>R=</t>
  </si>
  <si>
    <t>A/cm2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</si>
</sst>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3"/>
      <charset val="129"/>
      <scheme val="minor"/>
    </font>
    <font>
      <sz val="8"/>
      <name val="Calibri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 applyAlignment="1">
      <alignment vertical="center"/>
    </xf>
    <xf numFmtId="0" fontId="0" fillId="0" borderId="0" xfId="0" applyAlignment="1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303"/>
  <sheetViews>
    <sheetView tabSelected="1" topLeftCell="A115" zoomScale="85" zoomScaleNormal="85" workbookViewId="0">
      <selection activeCell="A4" sqref="A4:B158"/>
    </sheetView>
  </sheetViews>
  <sheetFormatPr defaultRowHeight="15"/>
  <cols>
    <col min="10" max="10" width="12.28515625" style="1" customWidth="1"/>
    <col min="11" max="11" width="13.5703125" style="1" bestFit="1" customWidth="1"/>
    <col min="28" max="28" width="14" style="1" bestFit="1" customWidth="1"/>
  </cols>
  <sheetData>
    <row r="1" spans="1:29">
      <c r="A1" s="2" t="s">
        <v>0</v>
      </c>
      <c r="R1" s="3" t="s">
        <v>1</v>
      </c>
      <c r="S1" s="3" t="s">
        <v>2</v>
      </c>
      <c r="T1" s="3" t="s">
        <v>3</v>
      </c>
      <c r="U1" s="3" t="s">
        <v>4</v>
      </c>
    </row>
    <row r="2" spans="1:29">
      <c r="A2" t="s">
        <v>5</v>
      </c>
      <c r="F2" t="s">
        <v>6</v>
      </c>
      <c r="H2" t="s">
        <v>7</v>
      </c>
      <c r="J2" s="2" t="s">
        <v>8</v>
      </c>
      <c r="M2" t="s">
        <v>9</v>
      </c>
      <c r="N2" s="2">
        <f>1.23-0.0009*(R2-298)+(2.303*8.314*R2/(4*96485))*LOG(S2)</f>
        <v>1.2217251517752175</v>
      </c>
      <c r="R2" s="4">
        <v>353</v>
      </c>
      <c r="S2" s="4">
        <f>(((T2/101.3)^2)*((U2/101.3)))^2</f>
        <v>225.93493049352588</v>
      </c>
      <c r="T2" s="4">
        <v>250</v>
      </c>
      <c r="U2" s="4">
        <v>250</v>
      </c>
      <c r="Y2" t="s">
        <v>10</v>
      </c>
    </row>
    <row r="3" spans="1:29">
      <c r="A3" t="s">
        <v>11</v>
      </c>
      <c r="B3" t="s">
        <v>12</v>
      </c>
      <c r="C3" t="s">
        <v>13</v>
      </c>
      <c r="D3" t="s">
        <v>14</v>
      </c>
      <c r="F3" t="s">
        <v>11</v>
      </c>
      <c r="G3" t="s">
        <v>12</v>
      </c>
      <c r="H3" t="s">
        <v>13</v>
      </c>
      <c r="J3" t="s">
        <v>15</v>
      </c>
      <c r="K3" t="s">
        <v>8</v>
      </c>
      <c r="M3" t="s">
        <v>16</v>
      </c>
      <c r="N3" t="s">
        <v>17</v>
      </c>
      <c r="O3" t="s">
        <v>18</v>
      </c>
      <c r="P3" t="s">
        <v>19</v>
      </c>
      <c r="V3" t="s">
        <v>20</v>
      </c>
      <c r="W3" t="s">
        <v>21</v>
      </c>
      <c r="Y3" t="s">
        <v>22</v>
      </c>
      <c r="Z3" t="s">
        <v>23</v>
      </c>
      <c r="AB3">
        <v>-0.38053999999999999</v>
      </c>
      <c r="AC3" t="s">
        <v>24</v>
      </c>
    </row>
    <row r="4" spans="1:29">
      <c r="A4">
        <v>5.595E-2</v>
      </c>
      <c r="B4">
        <v>0.85258999999999996</v>
      </c>
      <c r="C4">
        <f t="shared" ref="C4:C67" si="0">A4*B4</f>
        <v>4.77024105E-2</v>
      </c>
      <c r="D4">
        <v>1.4500000000000001E-2</v>
      </c>
      <c r="E4">
        <v>1.089E-2</v>
      </c>
      <c r="F4">
        <f t="shared" ref="F4:F67" si="1">A4*200</f>
        <v>11.19</v>
      </c>
      <c r="G4">
        <f t="shared" ref="G4:G67" si="2">-B4</f>
        <v>-0.85258999999999996</v>
      </c>
      <c r="H4">
        <f t="shared" ref="H4:H67" si="3">-C4*200</f>
        <v>-9.5404821000000002</v>
      </c>
      <c r="I4">
        <v>1</v>
      </c>
      <c r="J4">
        <f t="shared" ref="J4:J67" si="4">LN(F4/1000)</f>
        <v>-4.4927347566583036</v>
      </c>
      <c r="K4">
        <f t="shared" ref="K4:K67" si="5">((-G4)-$N$2)</f>
        <v>-0.3691351517752175</v>
      </c>
      <c r="L4">
        <v>1</v>
      </c>
      <c r="M4">
        <f t="shared" ref="M4:M67" si="6">-1*($S$4+($S$5*J4))</f>
        <v>0.26278298457525695</v>
      </c>
      <c r="N4">
        <f t="shared" ref="N4:N67" si="7">D4*A4</f>
        <v>8.1127500000000008E-4</v>
      </c>
      <c r="O4">
        <f t="shared" ref="O4:O67" si="8">E4*A4</f>
        <v>6.0929549999999999E-4</v>
      </c>
      <c r="P4">
        <f t="shared" ref="P4:P67" si="9">-K4-M4-N4-O4</f>
        <v>0.10493159669996055</v>
      </c>
      <c r="R4" s="2" t="s">
        <v>25</v>
      </c>
      <c r="S4">
        <v>-0.49034</v>
      </c>
      <c r="V4">
        <v>-6</v>
      </c>
      <c r="W4">
        <f t="shared" ref="W4:W35" si="10">V4*$S$5+$S$4</f>
        <v>-0.18643999999999999</v>
      </c>
      <c r="Y4">
        <v>0</v>
      </c>
      <c r="Z4">
        <f t="shared" ref="Z4:Z31" si="11">$AB$4*Y4+$AB$3</f>
        <v>-0.38053999999999999</v>
      </c>
      <c r="AB4">
        <v>11.144740000000001</v>
      </c>
      <c r="AC4" t="s">
        <v>26</v>
      </c>
    </row>
    <row r="5" spans="1:29">
      <c r="A5">
        <v>0.1099</v>
      </c>
      <c r="B5">
        <v>0.84677000000000002</v>
      </c>
      <c r="C5">
        <f t="shared" si="0"/>
        <v>9.3060023000000006E-2</v>
      </c>
      <c r="D5">
        <v>1.4500000000000001E-2</v>
      </c>
      <c r="E5">
        <v>1.089E-2</v>
      </c>
      <c r="F5">
        <f t="shared" si="1"/>
        <v>21.98</v>
      </c>
      <c r="G5">
        <f t="shared" si="2"/>
        <v>-0.84677000000000002</v>
      </c>
      <c r="H5">
        <f t="shared" si="3"/>
        <v>-18.612004600000002</v>
      </c>
      <c r="I5">
        <v>1</v>
      </c>
      <c r="J5">
        <f t="shared" si="4"/>
        <v>-3.8176223300066616</v>
      </c>
      <c r="K5">
        <f t="shared" si="5"/>
        <v>-0.37495515177521743</v>
      </c>
      <c r="L5">
        <v>1</v>
      </c>
      <c r="M5">
        <f t="shared" si="6"/>
        <v>0.29697742898516255</v>
      </c>
      <c r="N5">
        <f t="shared" si="7"/>
        <v>1.59355E-3</v>
      </c>
      <c r="O5">
        <f t="shared" si="8"/>
        <v>1.1968110000000001E-3</v>
      </c>
      <c r="P5">
        <f t="shared" si="9"/>
        <v>7.5187361790054877E-2</v>
      </c>
      <c r="R5" s="2" t="s">
        <v>27</v>
      </c>
      <c r="S5">
        <v>-5.0650000000000001E-2</v>
      </c>
      <c r="V5">
        <v>-5.9</v>
      </c>
      <c r="W5">
        <f t="shared" si="10"/>
        <v>-0.19150499999999998</v>
      </c>
      <c r="Y5">
        <v>0.01</v>
      </c>
      <c r="Z5">
        <f t="shared" si="11"/>
        <v>-0.26909260000000002</v>
      </c>
    </row>
    <row r="6" spans="1:29">
      <c r="A6">
        <v>0.16489999999999999</v>
      </c>
      <c r="B6">
        <v>0.83760000000000001</v>
      </c>
      <c r="C6">
        <f t="shared" si="0"/>
        <v>0.13812024000000001</v>
      </c>
      <c r="D6">
        <v>1.4500000000000001E-2</v>
      </c>
      <c r="E6">
        <v>1.089E-2</v>
      </c>
      <c r="F6">
        <f t="shared" si="1"/>
        <v>32.979999999999997</v>
      </c>
      <c r="G6">
        <f t="shared" si="2"/>
        <v>-0.83760000000000001</v>
      </c>
      <c r="H6">
        <f t="shared" si="3"/>
        <v>-27.624048000000002</v>
      </c>
      <c r="I6">
        <v>1</v>
      </c>
      <c r="J6">
        <f t="shared" si="4"/>
        <v>-3.4118539618506842</v>
      </c>
      <c r="K6">
        <f t="shared" si="5"/>
        <v>-0.38412515177521744</v>
      </c>
      <c r="L6">
        <v>1</v>
      </c>
      <c r="M6">
        <f t="shared" si="6"/>
        <v>0.31752959683226284</v>
      </c>
      <c r="N6">
        <f t="shared" si="7"/>
        <v>2.39105E-3</v>
      </c>
      <c r="O6">
        <f t="shared" si="8"/>
        <v>1.7957609999999999E-3</v>
      </c>
      <c r="P6">
        <f t="shared" si="9"/>
        <v>6.2408743942954599E-2</v>
      </c>
      <c r="V6">
        <v>-5.8</v>
      </c>
      <c r="W6">
        <f t="shared" si="10"/>
        <v>-0.19657000000000002</v>
      </c>
      <c r="Y6">
        <v>0.02</v>
      </c>
      <c r="Z6">
        <f t="shared" si="11"/>
        <v>-0.15764519999999999</v>
      </c>
      <c r="AB6" t="s">
        <v>28</v>
      </c>
    </row>
    <row r="7" spans="1:29">
      <c r="A7">
        <v>0.21784999999999999</v>
      </c>
      <c r="B7">
        <v>0.83013999999999999</v>
      </c>
      <c r="C7">
        <f t="shared" si="0"/>
        <v>0.18084599899999998</v>
      </c>
      <c r="D7">
        <v>1.4500000000000001E-2</v>
      </c>
      <c r="E7">
        <v>1.089E-2</v>
      </c>
      <c r="F7">
        <f t="shared" si="1"/>
        <v>43.57</v>
      </c>
      <c r="G7">
        <f t="shared" si="2"/>
        <v>-0.83013999999999999</v>
      </c>
      <c r="H7">
        <f t="shared" si="3"/>
        <v>-36.169199799999994</v>
      </c>
      <c r="I7">
        <v>1</v>
      </c>
      <c r="J7">
        <f t="shared" si="4"/>
        <v>-3.1333864388527863</v>
      </c>
      <c r="K7">
        <f t="shared" si="5"/>
        <v>-0.39158515177521747</v>
      </c>
      <c r="L7">
        <v>1</v>
      </c>
      <c r="M7">
        <f t="shared" si="6"/>
        <v>0.33163397687210638</v>
      </c>
      <c r="N7">
        <f t="shared" si="7"/>
        <v>3.1588250000000001E-3</v>
      </c>
      <c r="O7">
        <f t="shared" si="8"/>
        <v>2.3723864999999999E-3</v>
      </c>
      <c r="P7">
        <f t="shared" si="9"/>
        <v>5.4419963403111088E-2</v>
      </c>
      <c r="V7">
        <v>-5.7</v>
      </c>
      <c r="W7">
        <f t="shared" si="10"/>
        <v>-0.20163500000000001</v>
      </c>
      <c r="Y7">
        <v>0.03</v>
      </c>
      <c r="Z7">
        <f t="shared" si="11"/>
        <v>-4.6197800000000011E-2</v>
      </c>
      <c r="AB7" t="s">
        <v>29</v>
      </c>
      <c r="AC7">
        <f>-AB3/AB4</f>
        <v>3.4145255968286381E-2</v>
      </c>
    </row>
    <row r="8" spans="1:29">
      <c r="A8">
        <v>0.26879999999999998</v>
      </c>
      <c r="B8">
        <v>0.82340000000000002</v>
      </c>
      <c r="C8">
        <f t="shared" si="0"/>
        <v>0.22132991999999999</v>
      </c>
      <c r="D8">
        <v>1.4500000000000001E-2</v>
      </c>
      <c r="E8">
        <v>1.089E-2</v>
      </c>
      <c r="F8">
        <f t="shared" si="1"/>
        <v>53.76</v>
      </c>
      <c r="G8">
        <f t="shared" si="2"/>
        <v>-0.82340000000000002</v>
      </c>
      <c r="H8">
        <f t="shared" si="3"/>
        <v>-44.265983999999996</v>
      </c>
      <c r="I8">
        <v>1</v>
      </c>
      <c r="J8">
        <f t="shared" si="4"/>
        <v>-2.9232255827672429</v>
      </c>
      <c r="K8">
        <f t="shared" si="5"/>
        <v>-0.39832515177521743</v>
      </c>
      <c r="L8">
        <v>1</v>
      </c>
      <c r="M8">
        <f t="shared" si="6"/>
        <v>0.34227862423283917</v>
      </c>
      <c r="N8">
        <f t="shared" si="7"/>
        <v>3.8975999999999998E-3</v>
      </c>
      <c r="O8">
        <f t="shared" si="8"/>
        <v>2.9272320000000001E-3</v>
      </c>
      <c r="P8">
        <f t="shared" si="9"/>
        <v>4.9221695542378263E-2</v>
      </c>
      <c r="V8">
        <v>-5.6</v>
      </c>
      <c r="W8">
        <f t="shared" si="10"/>
        <v>-0.20669999999999999</v>
      </c>
      <c r="Y8">
        <v>0.04</v>
      </c>
      <c r="Z8">
        <f t="shared" si="11"/>
        <v>6.5249600000000019E-2</v>
      </c>
    </row>
    <row r="9" spans="1:29">
      <c r="A9">
        <v>0.31919999999999998</v>
      </c>
      <c r="B9">
        <v>0.81735999999999998</v>
      </c>
      <c r="C9">
        <f t="shared" si="0"/>
        <v>0.260901312</v>
      </c>
      <c r="D9">
        <v>1.4500000000000001E-2</v>
      </c>
      <c r="E9">
        <v>1.089E-2</v>
      </c>
      <c r="F9">
        <f t="shared" si="1"/>
        <v>63.839999999999996</v>
      </c>
      <c r="G9">
        <f t="shared" si="2"/>
        <v>-0.81735999999999998</v>
      </c>
      <c r="H9">
        <f t="shared" si="3"/>
        <v>-52.180262399999997</v>
      </c>
      <c r="I9">
        <v>1</v>
      </c>
      <c r="J9">
        <f t="shared" si="4"/>
        <v>-2.7513753258405838</v>
      </c>
      <c r="K9">
        <f t="shared" si="5"/>
        <v>-0.40436515177521748</v>
      </c>
      <c r="L9">
        <v>1</v>
      </c>
      <c r="M9">
        <f t="shared" si="6"/>
        <v>0.35098283974617439</v>
      </c>
      <c r="N9">
        <f t="shared" si="7"/>
        <v>4.6284000000000004E-3</v>
      </c>
      <c r="O9">
        <f t="shared" si="8"/>
        <v>3.476088E-3</v>
      </c>
      <c r="P9">
        <f t="shared" si="9"/>
        <v>4.5277824029043089E-2</v>
      </c>
      <c r="V9">
        <v>-5.5</v>
      </c>
      <c r="W9">
        <f t="shared" si="10"/>
        <v>-0.21176499999999998</v>
      </c>
      <c r="Y9">
        <v>0.05</v>
      </c>
      <c r="Z9">
        <f t="shared" si="11"/>
        <v>0.1766970000000001</v>
      </c>
      <c r="AB9" t="s">
        <v>30</v>
      </c>
      <c r="AC9">
        <v>3.083E-2</v>
      </c>
    </row>
    <row r="10" spans="1:29">
      <c r="A10">
        <v>0.37009999999999998</v>
      </c>
      <c r="B10">
        <v>0.81252999999999997</v>
      </c>
      <c r="C10">
        <f t="shared" si="0"/>
        <v>0.30071735299999997</v>
      </c>
      <c r="D10">
        <v>1.4500000000000001E-2</v>
      </c>
      <c r="E10">
        <v>1.089E-2</v>
      </c>
      <c r="F10">
        <f t="shared" si="1"/>
        <v>74.02</v>
      </c>
      <c r="G10">
        <f t="shared" si="2"/>
        <v>-0.81252999999999997</v>
      </c>
      <c r="H10">
        <f t="shared" si="3"/>
        <v>-60.143470599999993</v>
      </c>
      <c r="I10">
        <v>1</v>
      </c>
      <c r="J10">
        <f t="shared" si="4"/>
        <v>-2.6034199520241272</v>
      </c>
      <c r="K10">
        <f t="shared" si="5"/>
        <v>-0.40919515177521748</v>
      </c>
      <c r="L10">
        <v>1</v>
      </c>
      <c r="M10">
        <f t="shared" si="6"/>
        <v>0.35847677942997797</v>
      </c>
      <c r="N10">
        <f t="shared" si="7"/>
        <v>5.36645E-3</v>
      </c>
      <c r="O10">
        <f t="shared" si="8"/>
        <v>4.0303889999999997E-3</v>
      </c>
      <c r="P10">
        <f t="shared" si="9"/>
        <v>4.1321533345239511E-2</v>
      </c>
      <c r="V10">
        <v>-5.4</v>
      </c>
      <c r="W10">
        <f t="shared" si="10"/>
        <v>-0.21682999999999997</v>
      </c>
      <c r="Y10">
        <v>0.06</v>
      </c>
      <c r="Z10">
        <f t="shared" si="11"/>
        <v>0.28814439999999997</v>
      </c>
    </row>
    <row r="11" spans="1:29">
      <c r="A11">
        <v>0.42049999999999998</v>
      </c>
      <c r="B11">
        <v>0.80689999999999995</v>
      </c>
      <c r="C11">
        <f t="shared" si="0"/>
        <v>0.33930144999999995</v>
      </c>
      <c r="D11">
        <v>1.4500000000000001E-2</v>
      </c>
      <c r="E11">
        <v>1.089E-2</v>
      </c>
      <c r="F11">
        <f t="shared" si="1"/>
        <v>84.1</v>
      </c>
      <c r="G11">
        <f t="shared" si="2"/>
        <v>-0.80689999999999995</v>
      </c>
      <c r="H11">
        <f t="shared" si="3"/>
        <v>-67.860289999999992</v>
      </c>
      <c r="I11">
        <v>1</v>
      </c>
      <c r="J11">
        <f t="shared" si="4"/>
        <v>-2.4757487120032349</v>
      </c>
      <c r="K11">
        <f t="shared" si="5"/>
        <v>-0.4148251517752175</v>
      </c>
      <c r="L11">
        <v>1</v>
      </c>
      <c r="M11">
        <f t="shared" si="6"/>
        <v>0.36494332773703614</v>
      </c>
      <c r="N11">
        <f t="shared" si="7"/>
        <v>6.0972500000000002E-3</v>
      </c>
      <c r="O11">
        <f t="shared" si="8"/>
        <v>4.579245E-3</v>
      </c>
      <c r="P11">
        <f t="shared" si="9"/>
        <v>3.9205329038181365E-2</v>
      </c>
      <c r="V11">
        <v>-5.3</v>
      </c>
      <c r="W11">
        <f t="shared" si="10"/>
        <v>-0.22189500000000001</v>
      </c>
      <c r="Y11">
        <v>7.0000000000000007E-2</v>
      </c>
      <c r="Z11">
        <f t="shared" si="11"/>
        <v>0.39959180000000016</v>
      </c>
      <c r="AB11" t="s">
        <v>31</v>
      </c>
      <c r="AC11">
        <f>AC7-AC9</f>
        <v>3.3152559682863812E-3</v>
      </c>
    </row>
    <row r="12" spans="1:29">
      <c r="A12">
        <v>0.47094999999999998</v>
      </c>
      <c r="B12">
        <v>0.80222000000000004</v>
      </c>
      <c r="C12">
        <f t="shared" si="0"/>
        <v>0.37780550899999998</v>
      </c>
      <c r="D12">
        <v>1.4500000000000001E-2</v>
      </c>
      <c r="E12">
        <v>1.089E-2</v>
      </c>
      <c r="F12">
        <f t="shared" si="1"/>
        <v>94.19</v>
      </c>
      <c r="G12">
        <f t="shared" si="2"/>
        <v>-0.80222000000000004</v>
      </c>
      <c r="H12">
        <f t="shared" si="3"/>
        <v>-75.561101800000003</v>
      </c>
      <c r="I12">
        <v>1</v>
      </c>
      <c r="J12">
        <f t="shared" si="4"/>
        <v>-2.3624412601474112</v>
      </c>
      <c r="K12">
        <f t="shared" si="5"/>
        <v>-0.41950515177521741</v>
      </c>
      <c r="L12">
        <v>1</v>
      </c>
      <c r="M12">
        <f t="shared" si="6"/>
        <v>0.37068235017353363</v>
      </c>
      <c r="N12">
        <f t="shared" si="7"/>
        <v>6.8287750000000005E-3</v>
      </c>
      <c r="O12">
        <f t="shared" si="8"/>
        <v>5.1286455E-3</v>
      </c>
      <c r="P12">
        <f t="shared" si="9"/>
        <v>3.6865381101683782E-2</v>
      </c>
      <c r="V12">
        <v>-5.2</v>
      </c>
      <c r="W12">
        <f t="shared" si="10"/>
        <v>-0.22696</v>
      </c>
      <c r="Y12">
        <v>0.08</v>
      </c>
      <c r="Z12">
        <f t="shared" si="11"/>
        <v>0.51103920000000003</v>
      </c>
      <c r="AC12">
        <f>AC11*3</f>
        <v>9.9457679048591437E-3</v>
      </c>
    </row>
    <row r="13" spans="1:29">
      <c r="A13">
        <v>0.52285000000000004</v>
      </c>
      <c r="B13">
        <v>0.79720000000000002</v>
      </c>
      <c r="C13">
        <f t="shared" si="0"/>
        <v>0.41681602000000006</v>
      </c>
      <c r="D13">
        <v>1.4500000000000001E-2</v>
      </c>
      <c r="E13">
        <v>1.089E-2</v>
      </c>
      <c r="F13">
        <f t="shared" si="1"/>
        <v>104.57000000000001</v>
      </c>
      <c r="G13">
        <f t="shared" si="2"/>
        <v>-0.79720000000000002</v>
      </c>
      <c r="H13">
        <f t="shared" si="3"/>
        <v>-83.36320400000001</v>
      </c>
      <c r="I13">
        <v>1</v>
      </c>
      <c r="J13">
        <f t="shared" si="4"/>
        <v>-2.2578985753716396</v>
      </c>
      <c r="K13">
        <f t="shared" si="5"/>
        <v>-0.42452515177521744</v>
      </c>
      <c r="L13">
        <v>1</v>
      </c>
      <c r="M13">
        <f t="shared" si="6"/>
        <v>0.37597743715742643</v>
      </c>
      <c r="N13">
        <f t="shared" si="7"/>
        <v>7.5813250000000007E-3</v>
      </c>
      <c r="O13">
        <f t="shared" si="8"/>
        <v>5.6938365000000005E-3</v>
      </c>
      <c r="P13">
        <f t="shared" si="9"/>
        <v>3.5272553117791004E-2</v>
      </c>
      <c r="V13">
        <v>-5.0999999999999996</v>
      </c>
      <c r="W13">
        <f t="shared" si="10"/>
        <v>-0.23202500000000004</v>
      </c>
      <c r="Y13">
        <v>0.09</v>
      </c>
      <c r="Z13">
        <f t="shared" si="11"/>
        <v>0.62248660000000011</v>
      </c>
    </row>
    <row r="14" spans="1:29">
      <c r="A14">
        <v>0.57430000000000003</v>
      </c>
      <c r="B14">
        <v>0.79266000000000003</v>
      </c>
      <c r="C14">
        <f t="shared" si="0"/>
        <v>0.45522463800000007</v>
      </c>
      <c r="D14">
        <v>1.4500000000000001E-2</v>
      </c>
      <c r="E14">
        <v>1.089E-2</v>
      </c>
      <c r="F14">
        <f t="shared" si="1"/>
        <v>114.86000000000001</v>
      </c>
      <c r="G14">
        <f t="shared" si="2"/>
        <v>-0.79266000000000003</v>
      </c>
      <c r="H14">
        <f t="shared" si="3"/>
        <v>-91.044927600000008</v>
      </c>
      <c r="I14">
        <v>1</v>
      </c>
      <c r="J14">
        <f t="shared" si="4"/>
        <v>-2.1640412835459863</v>
      </c>
      <c r="K14">
        <f t="shared" si="5"/>
        <v>-0.42906515177521742</v>
      </c>
      <c r="L14">
        <v>1</v>
      </c>
      <c r="M14">
        <f t="shared" si="6"/>
        <v>0.3807313089883958</v>
      </c>
      <c r="N14">
        <f t="shared" si="7"/>
        <v>8.3273500000000007E-3</v>
      </c>
      <c r="O14">
        <f t="shared" si="8"/>
        <v>6.2541270000000008E-3</v>
      </c>
      <c r="P14">
        <f t="shared" si="9"/>
        <v>3.3752365786821628E-2</v>
      </c>
      <c r="V14">
        <v>-5</v>
      </c>
      <c r="W14">
        <f t="shared" si="10"/>
        <v>-0.23709000000000002</v>
      </c>
      <c r="Y14">
        <v>0.1</v>
      </c>
      <c r="Z14">
        <f t="shared" si="11"/>
        <v>0.7339340000000002</v>
      </c>
    </row>
    <row r="15" spans="1:29">
      <c r="A15">
        <v>0.62575000000000003</v>
      </c>
      <c r="B15">
        <v>0.78815000000000002</v>
      </c>
      <c r="C15">
        <f t="shared" si="0"/>
        <v>0.49318486250000004</v>
      </c>
      <c r="D15">
        <v>1.4500000000000001E-2</v>
      </c>
      <c r="E15">
        <v>1.089E-2</v>
      </c>
      <c r="F15">
        <f t="shared" si="1"/>
        <v>125.15</v>
      </c>
      <c r="G15">
        <f t="shared" si="2"/>
        <v>-0.78815000000000002</v>
      </c>
      <c r="H15">
        <f t="shared" si="3"/>
        <v>-98.636972500000013</v>
      </c>
      <c r="I15">
        <v>1</v>
      </c>
      <c r="J15">
        <f t="shared" si="4"/>
        <v>-2.0782422611043536</v>
      </c>
      <c r="K15">
        <f t="shared" si="5"/>
        <v>-0.43357515177521744</v>
      </c>
      <c r="L15">
        <v>1</v>
      </c>
      <c r="M15">
        <f t="shared" si="6"/>
        <v>0.3850770294750645</v>
      </c>
      <c r="N15">
        <f t="shared" si="7"/>
        <v>9.0733750000000016E-3</v>
      </c>
      <c r="O15">
        <f t="shared" si="8"/>
        <v>6.8144175000000003E-3</v>
      </c>
      <c r="P15">
        <f t="shared" si="9"/>
        <v>3.261032980015293E-2</v>
      </c>
      <c r="V15">
        <v>-4.9000000000000004</v>
      </c>
      <c r="W15">
        <f t="shared" si="10"/>
        <v>-0.24215499999999998</v>
      </c>
      <c r="Y15">
        <v>0.11</v>
      </c>
      <c r="Z15">
        <f t="shared" si="11"/>
        <v>0.84538140000000006</v>
      </c>
    </row>
    <row r="16" spans="1:29">
      <c r="A16">
        <v>0.67664999999999997</v>
      </c>
      <c r="B16">
        <v>0.78425999999999996</v>
      </c>
      <c r="C16">
        <f t="shared" si="0"/>
        <v>0.53066952899999997</v>
      </c>
      <c r="D16">
        <v>1.4500000000000001E-2</v>
      </c>
      <c r="E16">
        <v>1.089E-2</v>
      </c>
      <c r="F16">
        <f t="shared" si="1"/>
        <v>135.32999999999998</v>
      </c>
      <c r="G16">
        <f t="shared" si="2"/>
        <v>-0.78425999999999996</v>
      </c>
      <c r="H16">
        <f t="shared" si="3"/>
        <v>-106.13390579999999</v>
      </c>
      <c r="I16">
        <v>1</v>
      </c>
      <c r="J16">
        <f t="shared" si="4"/>
        <v>-2.000039038893723</v>
      </c>
      <c r="K16">
        <f t="shared" si="5"/>
        <v>-0.4374651517752175</v>
      </c>
      <c r="L16">
        <v>1</v>
      </c>
      <c r="M16">
        <f t="shared" si="6"/>
        <v>0.38903802268003296</v>
      </c>
      <c r="N16">
        <f t="shared" si="7"/>
        <v>9.8114250000000004E-3</v>
      </c>
      <c r="O16">
        <f t="shared" si="8"/>
        <v>7.3687185000000004E-3</v>
      </c>
      <c r="P16">
        <f t="shared" si="9"/>
        <v>3.1246985595184542E-2</v>
      </c>
      <c r="V16">
        <v>-4.8</v>
      </c>
      <c r="W16">
        <f t="shared" si="10"/>
        <v>-0.24722</v>
      </c>
      <c r="Y16">
        <v>0.12</v>
      </c>
      <c r="Z16">
        <f t="shared" si="11"/>
        <v>0.95682879999999992</v>
      </c>
    </row>
    <row r="17" spans="1:26">
      <c r="A17">
        <v>0.72859999999999991</v>
      </c>
      <c r="B17">
        <v>0.78020999999999996</v>
      </c>
      <c r="C17">
        <f t="shared" si="0"/>
        <v>0.56846100599999994</v>
      </c>
      <c r="D17">
        <v>1.4500000000000001E-2</v>
      </c>
      <c r="E17">
        <v>1.089E-2</v>
      </c>
      <c r="F17">
        <f t="shared" si="1"/>
        <v>145.71999999999997</v>
      </c>
      <c r="G17">
        <f t="shared" si="2"/>
        <v>-0.78020999999999996</v>
      </c>
      <c r="H17">
        <f t="shared" si="3"/>
        <v>-113.69220119999999</v>
      </c>
      <c r="I17">
        <v>1</v>
      </c>
      <c r="J17">
        <f t="shared" si="4"/>
        <v>-1.9260683068417743</v>
      </c>
      <c r="K17">
        <f t="shared" si="5"/>
        <v>-0.4415151517752175</v>
      </c>
      <c r="L17">
        <v>1</v>
      </c>
      <c r="M17">
        <f t="shared" si="6"/>
        <v>0.39278464025846416</v>
      </c>
      <c r="N17">
        <f t="shared" si="7"/>
        <v>1.05647E-2</v>
      </c>
      <c r="O17">
        <f t="shared" si="8"/>
        <v>7.9344539999999988E-3</v>
      </c>
      <c r="P17">
        <f t="shared" si="9"/>
        <v>3.0231357516753342E-2</v>
      </c>
      <c r="V17">
        <v>-4.7</v>
      </c>
      <c r="W17">
        <f t="shared" si="10"/>
        <v>-0.25228499999999998</v>
      </c>
      <c r="Y17">
        <v>0.13</v>
      </c>
      <c r="Z17">
        <f t="shared" si="11"/>
        <v>1.0682762000000001</v>
      </c>
    </row>
    <row r="18" spans="1:26">
      <c r="A18">
        <v>0.78</v>
      </c>
      <c r="B18">
        <v>0.77651999999999999</v>
      </c>
      <c r="C18">
        <f t="shared" si="0"/>
        <v>0.60568560000000005</v>
      </c>
      <c r="D18">
        <v>1.4500000000000001E-2</v>
      </c>
      <c r="E18">
        <v>1.089E-2</v>
      </c>
      <c r="F18">
        <f t="shared" si="1"/>
        <v>156</v>
      </c>
      <c r="G18">
        <f t="shared" si="2"/>
        <v>-0.77651999999999999</v>
      </c>
      <c r="H18">
        <f t="shared" si="3"/>
        <v>-121.13712000000001</v>
      </c>
      <c r="I18">
        <v>1</v>
      </c>
      <c r="J18">
        <f t="shared" si="4"/>
        <v>-1.8578992717325999</v>
      </c>
      <c r="K18">
        <f t="shared" si="5"/>
        <v>-0.44520515177521747</v>
      </c>
      <c r="L18">
        <v>1</v>
      </c>
      <c r="M18">
        <f t="shared" si="6"/>
        <v>0.39623740188674383</v>
      </c>
      <c r="N18">
        <f t="shared" si="7"/>
        <v>1.1310000000000001E-2</v>
      </c>
      <c r="O18">
        <f t="shared" si="8"/>
        <v>8.4942000000000004E-3</v>
      </c>
      <c r="P18">
        <f t="shared" si="9"/>
        <v>2.9163549888473632E-2</v>
      </c>
      <c r="V18">
        <v>-4.5999999999999996</v>
      </c>
      <c r="W18">
        <f t="shared" si="10"/>
        <v>-0.25735000000000002</v>
      </c>
      <c r="Y18">
        <v>0.14000000000000001</v>
      </c>
      <c r="Z18">
        <f t="shared" si="11"/>
        <v>1.1797236000000004</v>
      </c>
    </row>
    <row r="19" spans="1:26">
      <c r="A19">
        <v>0.83095000000000008</v>
      </c>
      <c r="B19">
        <v>0.77217000000000002</v>
      </c>
      <c r="C19">
        <f t="shared" si="0"/>
        <v>0.64163466150000004</v>
      </c>
      <c r="D19">
        <v>1.4500000000000001E-2</v>
      </c>
      <c r="E19">
        <v>1.089E-2</v>
      </c>
      <c r="F19">
        <f t="shared" si="1"/>
        <v>166.19000000000003</v>
      </c>
      <c r="G19">
        <f t="shared" si="2"/>
        <v>-0.77217000000000002</v>
      </c>
      <c r="H19">
        <f t="shared" si="3"/>
        <v>-128.32693230000001</v>
      </c>
      <c r="I19">
        <v>1</v>
      </c>
      <c r="J19">
        <f t="shared" si="4"/>
        <v>-1.7946235668427051</v>
      </c>
      <c r="K19">
        <f t="shared" si="5"/>
        <v>-0.44955515177521743</v>
      </c>
      <c r="L19">
        <v>1</v>
      </c>
      <c r="M19">
        <f t="shared" si="6"/>
        <v>0.39944231633941696</v>
      </c>
      <c r="N19">
        <f t="shared" si="7"/>
        <v>1.2048775000000001E-2</v>
      </c>
      <c r="O19">
        <f t="shared" si="8"/>
        <v>9.0490455000000018E-3</v>
      </c>
      <c r="P19">
        <f t="shared" si="9"/>
        <v>2.9015014935800474E-2</v>
      </c>
      <c r="V19">
        <v>-4.5000000000000098</v>
      </c>
      <c r="W19">
        <f t="shared" si="10"/>
        <v>-0.26241499999999951</v>
      </c>
      <c r="Y19">
        <v>0.15</v>
      </c>
      <c r="Z19">
        <f t="shared" si="11"/>
        <v>1.2911709999999998</v>
      </c>
    </row>
    <row r="20" spans="1:26">
      <c r="A20">
        <v>0.88234999999999997</v>
      </c>
      <c r="B20">
        <v>0.76870000000000005</v>
      </c>
      <c r="C20">
        <f t="shared" si="0"/>
        <v>0.67826244499999999</v>
      </c>
      <c r="D20">
        <v>1.4500000000000001E-2</v>
      </c>
      <c r="E20">
        <v>1.089E-2</v>
      </c>
      <c r="F20">
        <f t="shared" si="1"/>
        <v>176.47</v>
      </c>
      <c r="G20">
        <f t="shared" si="2"/>
        <v>-0.76870000000000005</v>
      </c>
      <c r="H20">
        <f t="shared" si="3"/>
        <v>-135.652489</v>
      </c>
      <c r="I20">
        <v>1</v>
      </c>
      <c r="J20">
        <f t="shared" si="4"/>
        <v>-1.7346043887269953</v>
      </c>
      <c r="K20">
        <f t="shared" si="5"/>
        <v>-0.45302515177521741</v>
      </c>
      <c r="L20">
        <v>1</v>
      </c>
      <c r="M20">
        <f t="shared" si="6"/>
        <v>0.40248228771097772</v>
      </c>
      <c r="N20">
        <f t="shared" si="7"/>
        <v>1.2794075E-2</v>
      </c>
      <c r="O20">
        <f t="shared" si="8"/>
        <v>9.6087914999999999E-3</v>
      </c>
      <c r="P20">
        <f t="shared" si="9"/>
        <v>2.813999756423969E-2</v>
      </c>
      <c r="V20">
        <v>-4.4000000000000101</v>
      </c>
      <c r="W20">
        <f t="shared" si="10"/>
        <v>-0.2674799999999995</v>
      </c>
      <c r="Y20">
        <v>0.16</v>
      </c>
      <c r="Z20">
        <f t="shared" si="11"/>
        <v>1.4026184000000002</v>
      </c>
    </row>
    <row r="21" spans="1:26">
      <c r="A21">
        <v>0.93530000000000002</v>
      </c>
      <c r="B21">
        <v>0.76512999999999998</v>
      </c>
      <c r="C21">
        <f t="shared" si="0"/>
        <v>0.71562608900000002</v>
      </c>
      <c r="D21">
        <v>1.4500000000000001E-2</v>
      </c>
      <c r="E21">
        <v>1.089E-2</v>
      </c>
      <c r="F21">
        <f t="shared" si="1"/>
        <v>187.06</v>
      </c>
      <c r="G21">
        <f t="shared" si="2"/>
        <v>-0.76512999999999998</v>
      </c>
      <c r="H21">
        <f t="shared" si="3"/>
        <v>-143.1252178</v>
      </c>
      <c r="I21">
        <v>1</v>
      </c>
      <c r="J21">
        <f t="shared" si="4"/>
        <v>-1.6763258579757321</v>
      </c>
      <c r="K21">
        <f t="shared" si="5"/>
        <v>-0.45659515177521748</v>
      </c>
      <c r="L21">
        <v>1</v>
      </c>
      <c r="M21">
        <f t="shared" si="6"/>
        <v>0.40543409529352914</v>
      </c>
      <c r="N21">
        <f t="shared" si="7"/>
        <v>1.356185E-2</v>
      </c>
      <c r="O21">
        <f t="shared" si="8"/>
        <v>1.0185417E-2</v>
      </c>
      <c r="P21">
        <f t="shared" si="9"/>
        <v>2.7413789481688336E-2</v>
      </c>
      <c r="V21">
        <v>-4.3000000000000096</v>
      </c>
      <c r="W21">
        <f t="shared" si="10"/>
        <v>-0.27254499999999948</v>
      </c>
      <c r="Y21">
        <v>0.17</v>
      </c>
      <c r="Z21">
        <f t="shared" si="11"/>
        <v>1.5140658</v>
      </c>
    </row>
    <row r="22" spans="1:26">
      <c r="A22">
        <v>0.98775000000000002</v>
      </c>
      <c r="B22">
        <v>0.76144000000000001</v>
      </c>
      <c r="C22">
        <f t="shared" si="0"/>
        <v>0.75211236000000004</v>
      </c>
      <c r="D22">
        <v>1.4500000000000001E-2</v>
      </c>
      <c r="E22">
        <v>1.089E-2</v>
      </c>
      <c r="F22">
        <f t="shared" si="1"/>
        <v>197.55</v>
      </c>
      <c r="G22">
        <f t="shared" si="2"/>
        <v>-0.76144000000000001</v>
      </c>
      <c r="H22">
        <f t="shared" si="3"/>
        <v>-150.422472</v>
      </c>
      <c r="I22">
        <v>1</v>
      </c>
      <c r="J22">
        <f t="shared" si="4"/>
        <v>-1.6217635621247373</v>
      </c>
      <c r="K22">
        <f t="shared" si="5"/>
        <v>-0.46028515177521745</v>
      </c>
      <c r="L22">
        <v>1</v>
      </c>
      <c r="M22">
        <f t="shared" si="6"/>
        <v>0.40819767557838205</v>
      </c>
      <c r="N22">
        <f t="shared" si="7"/>
        <v>1.4322375000000002E-2</v>
      </c>
      <c r="O22">
        <f t="shared" si="8"/>
        <v>1.0756597500000001E-2</v>
      </c>
      <c r="P22">
        <f t="shared" si="9"/>
        <v>2.7008503696835405E-2</v>
      </c>
      <c r="V22">
        <v>-4.2000000000000099</v>
      </c>
      <c r="W22">
        <f t="shared" si="10"/>
        <v>-0.27760999999999947</v>
      </c>
      <c r="Y22">
        <v>0.18</v>
      </c>
      <c r="Z22">
        <f t="shared" si="11"/>
        <v>1.6255132000000003</v>
      </c>
    </row>
    <row r="23" spans="1:26">
      <c r="A23">
        <v>1.0391999999999999</v>
      </c>
      <c r="B23">
        <v>0.75766</v>
      </c>
      <c r="C23">
        <f t="shared" si="0"/>
        <v>0.78736027199999992</v>
      </c>
      <c r="D23">
        <v>1.4500000000000001E-2</v>
      </c>
      <c r="E23">
        <v>1.089E-2</v>
      </c>
      <c r="F23">
        <f t="shared" si="1"/>
        <v>207.83999999999997</v>
      </c>
      <c r="G23">
        <f t="shared" si="2"/>
        <v>-0.75766</v>
      </c>
      <c r="H23">
        <f t="shared" si="3"/>
        <v>-157.47205439999999</v>
      </c>
      <c r="I23">
        <v>1</v>
      </c>
      <c r="J23">
        <f t="shared" si="4"/>
        <v>-1.5709867260598478</v>
      </c>
      <c r="K23">
        <f t="shared" si="5"/>
        <v>-0.46406515177521745</v>
      </c>
      <c r="L23">
        <v>1</v>
      </c>
      <c r="M23">
        <f t="shared" si="6"/>
        <v>0.41076952232506869</v>
      </c>
      <c r="N23">
        <f t="shared" si="7"/>
        <v>1.5068399999999999E-2</v>
      </c>
      <c r="O23">
        <f t="shared" si="8"/>
        <v>1.1316887999999999E-2</v>
      </c>
      <c r="P23">
        <f t="shared" si="9"/>
        <v>2.691034145014877E-2</v>
      </c>
      <c r="V23">
        <v>-4.1000000000000103</v>
      </c>
      <c r="W23">
        <f t="shared" si="10"/>
        <v>-0.28267499999999945</v>
      </c>
      <c r="Y23">
        <v>0.19</v>
      </c>
      <c r="Z23">
        <f t="shared" si="11"/>
        <v>1.7369606000000002</v>
      </c>
    </row>
    <row r="24" spans="1:26">
      <c r="A24">
        <v>1.09365</v>
      </c>
      <c r="B24">
        <v>0.75427999999999995</v>
      </c>
      <c r="C24">
        <f t="shared" si="0"/>
        <v>0.82491832199999993</v>
      </c>
      <c r="D24">
        <v>1.4500000000000001E-2</v>
      </c>
      <c r="E24">
        <v>1.089E-2</v>
      </c>
      <c r="F24">
        <f t="shared" si="1"/>
        <v>218.73</v>
      </c>
      <c r="G24">
        <f t="shared" si="2"/>
        <v>-0.75427999999999995</v>
      </c>
      <c r="H24">
        <f t="shared" si="3"/>
        <v>-164.98366439999998</v>
      </c>
      <c r="I24">
        <v>1</v>
      </c>
      <c r="J24">
        <f t="shared" si="4"/>
        <v>-1.5199171864956884</v>
      </c>
      <c r="K24">
        <f t="shared" si="5"/>
        <v>-0.4674451517752175</v>
      </c>
      <c r="L24">
        <v>1</v>
      </c>
      <c r="M24">
        <f t="shared" si="6"/>
        <v>0.41335619450399341</v>
      </c>
      <c r="N24">
        <f t="shared" si="7"/>
        <v>1.5857925000000002E-2</v>
      </c>
      <c r="O24">
        <f t="shared" si="8"/>
        <v>1.19098485E-2</v>
      </c>
      <c r="P24">
        <f t="shared" si="9"/>
        <v>2.632118377122409E-2</v>
      </c>
      <c r="V24">
        <v>-4.0000000000000098</v>
      </c>
      <c r="W24">
        <f t="shared" si="10"/>
        <v>-0.2877399999999995</v>
      </c>
      <c r="Y24">
        <v>0.2</v>
      </c>
      <c r="Z24">
        <f t="shared" si="11"/>
        <v>1.8484080000000005</v>
      </c>
    </row>
    <row r="25" spans="1:26">
      <c r="A25">
        <v>1.1451</v>
      </c>
      <c r="B25">
        <v>0.75083</v>
      </c>
      <c r="C25">
        <f t="shared" si="0"/>
        <v>0.85977543300000003</v>
      </c>
      <c r="D25">
        <v>1.4500000000000001E-2</v>
      </c>
      <c r="E25">
        <v>1.089E-2</v>
      </c>
      <c r="F25">
        <f t="shared" si="1"/>
        <v>229.02</v>
      </c>
      <c r="G25">
        <f t="shared" si="2"/>
        <v>-0.75083</v>
      </c>
      <c r="H25">
        <f t="shared" si="3"/>
        <v>-171.95508660000002</v>
      </c>
      <c r="I25">
        <v>1</v>
      </c>
      <c r="J25">
        <f t="shared" si="4"/>
        <v>-1.4739459429969437</v>
      </c>
      <c r="K25">
        <f t="shared" si="5"/>
        <v>-0.47089515177521746</v>
      </c>
      <c r="L25">
        <v>1</v>
      </c>
      <c r="M25">
        <f t="shared" si="6"/>
        <v>0.41568463798720479</v>
      </c>
      <c r="N25">
        <f t="shared" si="7"/>
        <v>1.6603949999999999E-2</v>
      </c>
      <c r="O25">
        <f t="shared" si="8"/>
        <v>1.2470139E-2</v>
      </c>
      <c r="P25">
        <f t="shared" si="9"/>
        <v>2.6136424788012674E-2</v>
      </c>
      <c r="V25">
        <v>-3.9000000000000101</v>
      </c>
      <c r="W25">
        <f t="shared" si="10"/>
        <v>-0.29280499999999948</v>
      </c>
      <c r="Y25">
        <v>0.21</v>
      </c>
      <c r="Z25">
        <f t="shared" si="11"/>
        <v>1.9598554000000004</v>
      </c>
    </row>
    <row r="26" spans="1:26">
      <c r="A26">
        <v>1.1964999999999999</v>
      </c>
      <c r="B26">
        <v>0.74734999999999996</v>
      </c>
      <c r="C26">
        <f t="shared" si="0"/>
        <v>0.89420427499999988</v>
      </c>
      <c r="D26">
        <v>1.4500000000000001E-2</v>
      </c>
      <c r="E26">
        <v>1.089E-2</v>
      </c>
      <c r="F26">
        <f t="shared" si="1"/>
        <v>239.29999999999998</v>
      </c>
      <c r="G26">
        <f t="shared" si="2"/>
        <v>-0.74734999999999996</v>
      </c>
      <c r="H26">
        <f t="shared" si="3"/>
        <v>-178.84085499999998</v>
      </c>
      <c r="I26">
        <v>1</v>
      </c>
      <c r="J26">
        <f t="shared" si="4"/>
        <v>-1.4300372840678095</v>
      </c>
      <c r="K26">
        <f t="shared" si="5"/>
        <v>-0.4743751517752175</v>
      </c>
      <c r="L26">
        <v>1</v>
      </c>
      <c r="M26">
        <f t="shared" si="6"/>
        <v>0.41790861156196546</v>
      </c>
      <c r="N26">
        <f t="shared" si="7"/>
        <v>1.734925E-2</v>
      </c>
      <c r="O26">
        <f t="shared" si="8"/>
        <v>1.3029885E-2</v>
      </c>
      <c r="P26">
        <f t="shared" si="9"/>
        <v>2.6087405213252042E-2</v>
      </c>
      <c r="V26">
        <v>-3.80000000000001</v>
      </c>
      <c r="W26">
        <f t="shared" si="10"/>
        <v>-0.29786999999999952</v>
      </c>
      <c r="Y26">
        <v>0.22</v>
      </c>
      <c r="Z26">
        <f t="shared" si="11"/>
        <v>2.0713028000000002</v>
      </c>
    </row>
    <row r="27" spans="1:26">
      <c r="A27">
        <v>1.2474499999999999</v>
      </c>
      <c r="B27">
        <v>0.74417999999999995</v>
      </c>
      <c r="C27">
        <f t="shared" si="0"/>
        <v>0.92832734099999992</v>
      </c>
      <c r="D27">
        <v>1.4500000000000001E-2</v>
      </c>
      <c r="E27">
        <v>1.089E-2</v>
      </c>
      <c r="F27">
        <f t="shared" si="1"/>
        <v>249.48999999999998</v>
      </c>
      <c r="G27">
        <f t="shared" si="2"/>
        <v>-0.74417999999999995</v>
      </c>
      <c r="H27">
        <f t="shared" si="3"/>
        <v>-185.66546819999999</v>
      </c>
      <c r="I27">
        <v>1</v>
      </c>
      <c r="J27">
        <f t="shared" si="4"/>
        <v>-1.3883364447541156</v>
      </c>
      <c r="K27">
        <f t="shared" si="5"/>
        <v>-0.4775451517752175</v>
      </c>
      <c r="L27">
        <v>1</v>
      </c>
      <c r="M27">
        <f t="shared" si="6"/>
        <v>0.42002075907320402</v>
      </c>
      <c r="N27">
        <f t="shared" si="7"/>
        <v>1.8088025000000001E-2</v>
      </c>
      <c r="O27">
        <f t="shared" si="8"/>
        <v>1.3584730499999999E-2</v>
      </c>
      <c r="P27">
        <f t="shared" si="9"/>
        <v>2.5851637202013483E-2</v>
      </c>
      <c r="V27">
        <v>-3.7000000000000099</v>
      </c>
      <c r="W27">
        <f t="shared" si="10"/>
        <v>-0.30293499999999951</v>
      </c>
      <c r="Y27">
        <v>0.23</v>
      </c>
      <c r="Z27">
        <f t="shared" si="11"/>
        <v>2.1827502000000005</v>
      </c>
    </row>
    <row r="28" spans="1:26">
      <c r="A28">
        <v>1.30345</v>
      </c>
      <c r="B28">
        <v>0.74097000000000002</v>
      </c>
      <c r="C28">
        <f t="shared" si="0"/>
        <v>0.96581734650000006</v>
      </c>
      <c r="D28">
        <v>1.4500000000000001E-2</v>
      </c>
      <c r="E28">
        <v>1.089E-2</v>
      </c>
      <c r="F28">
        <f t="shared" si="1"/>
        <v>260.69</v>
      </c>
      <c r="G28">
        <f t="shared" si="2"/>
        <v>-0.74097000000000002</v>
      </c>
      <c r="H28">
        <f t="shared" si="3"/>
        <v>-193.1634693</v>
      </c>
      <c r="I28">
        <v>1</v>
      </c>
      <c r="J28">
        <f t="shared" si="4"/>
        <v>-1.3444233170445845</v>
      </c>
      <c r="K28">
        <f t="shared" si="5"/>
        <v>-0.48075515177521744</v>
      </c>
      <c r="L28">
        <v>1</v>
      </c>
      <c r="M28">
        <f t="shared" si="6"/>
        <v>0.42224495899169179</v>
      </c>
      <c r="N28">
        <f t="shared" si="7"/>
        <v>1.8900025000000001E-2</v>
      </c>
      <c r="O28">
        <f t="shared" si="8"/>
        <v>1.41945705E-2</v>
      </c>
      <c r="P28">
        <f t="shared" si="9"/>
        <v>2.5415597283525649E-2</v>
      </c>
      <c r="V28">
        <v>-3.6000000000000099</v>
      </c>
      <c r="W28">
        <f t="shared" si="10"/>
        <v>-0.3079999999999995</v>
      </c>
      <c r="Y28">
        <v>0.24</v>
      </c>
      <c r="Z28">
        <f t="shared" si="11"/>
        <v>2.2941975999999999</v>
      </c>
    </row>
    <row r="29" spans="1:26">
      <c r="A29">
        <v>1.3543499999999999</v>
      </c>
      <c r="B29">
        <v>0.73768999999999996</v>
      </c>
      <c r="C29">
        <f t="shared" si="0"/>
        <v>0.99909045149999987</v>
      </c>
      <c r="D29">
        <v>1.4500000000000001E-2</v>
      </c>
      <c r="E29">
        <v>1.089E-2</v>
      </c>
      <c r="F29">
        <f t="shared" si="1"/>
        <v>270.87</v>
      </c>
      <c r="G29">
        <f t="shared" si="2"/>
        <v>-0.73768999999999996</v>
      </c>
      <c r="H29">
        <f t="shared" si="3"/>
        <v>-199.81809029999997</v>
      </c>
      <c r="I29">
        <v>1</v>
      </c>
      <c r="J29">
        <f t="shared" si="4"/>
        <v>-1.3061162779946396</v>
      </c>
      <c r="K29">
        <f t="shared" si="5"/>
        <v>-0.4840351517752175</v>
      </c>
      <c r="L29">
        <v>1</v>
      </c>
      <c r="M29">
        <f t="shared" si="6"/>
        <v>0.42418521051957148</v>
      </c>
      <c r="N29">
        <f t="shared" si="7"/>
        <v>1.9638075000000001E-2</v>
      </c>
      <c r="O29">
        <f t="shared" si="8"/>
        <v>1.47488715E-2</v>
      </c>
      <c r="P29">
        <f t="shared" si="9"/>
        <v>2.5462994755646017E-2</v>
      </c>
      <c r="V29">
        <v>-3.5000000000000102</v>
      </c>
      <c r="W29">
        <f t="shared" si="10"/>
        <v>-0.31306499999999948</v>
      </c>
      <c r="Y29">
        <v>0.25</v>
      </c>
      <c r="Z29">
        <f t="shared" si="11"/>
        <v>2.4056450000000003</v>
      </c>
    </row>
    <row r="30" spans="1:26">
      <c r="A30">
        <v>1.4057999999999999</v>
      </c>
      <c r="B30">
        <v>0.73406000000000005</v>
      </c>
      <c r="C30">
        <f t="shared" si="0"/>
        <v>1.031941548</v>
      </c>
      <c r="D30">
        <v>1.4500000000000001E-2</v>
      </c>
      <c r="E30">
        <v>1.089E-2</v>
      </c>
      <c r="F30">
        <f t="shared" si="1"/>
        <v>281.15999999999997</v>
      </c>
      <c r="G30">
        <f t="shared" si="2"/>
        <v>-0.73406000000000005</v>
      </c>
      <c r="H30">
        <f t="shared" si="3"/>
        <v>-206.38830960000001</v>
      </c>
      <c r="I30">
        <v>1</v>
      </c>
      <c r="J30">
        <f t="shared" si="4"/>
        <v>-1.2688313766744326</v>
      </c>
      <c r="K30">
        <f t="shared" si="5"/>
        <v>-0.48766515177521741</v>
      </c>
      <c r="L30">
        <v>1</v>
      </c>
      <c r="M30">
        <f t="shared" si="6"/>
        <v>0.42607369077143997</v>
      </c>
      <c r="N30">
        <f t="shared" si="7"/>
        <v>2.0384099999999999E-2</v>
      </c>
      <c r="O30">
        <f t="shared" si="8"/>
        <v>1.5309161999999999E-2</v>
      </c>
      <c r="P30">
        <f t="shared" si="9"/>
        <v>2.5898199003777433E-2</v>
      </c>
      <c r="V30">
        <v>-3.4000000000000101</v>
      </c>
      <c r="W30">
        <f t="shared" si="10"/>
        <v>-0.31812999999999947</v>
      </c>
      <c r="Y30">
        <v>0.26</v>
      </c>
      <c r="Z30">
        <f t="shared" si="11"/>
        <v>2.5170924000000006</v>
      </c>
    </row>
    <row r="31" spans="1:26">
      <c r="A31">
        <v>1.4561999999999999</v>
      </c>
      <c r="B31">
        <v>0.73097000000000001</v>
      </c>
      <c r="C31">
        <f t="shared" si="0"/>
        <v>1.0644385139999999</v>
      </c>
      <c r="D31">
        <v>1.4500000000000001E-2</v>
      </c>
      <c r="E31">
        <v>1.089E-2</v>
      </c>
      <c r="F31">
        <f t="shared" si="1"/>
        <v>291.24</v>
      </c>
      <c r="G31">
        <f t="shared" si="2"/>
        <v>-0.73097000000000001</v>
      </c>
      <c r="H31">
        <f t="shared" si="3"/>
        <v>-212.88770279999997</v>
      </c>
      <c r="I31">
        <v>1</v>
      </c>
      <c r="J31">
        <f t="shared" si="4"/>
        <v>-1.2336076094556268</v>
      </c>
      <c r="K31">
        <f t="shared" si="5"/>
        <v>-0.49075515177521745</v>
      </c>
      <c r="L31">
        <v>1</v>
      </c>
      <c r="M31">
        <f t="shared" si="6"/>
        <v>0.42785777458107249</v>
      </c>
      <c r="N31">
        <f t="shared" si="7"/>
        <v>2.1114899999999999E-2</v>
      </c>
      <c r="O31">
        <f t="shared" si="8"/>
        <v>1.5858018000000002E-2</v>
      </c>
      <c r="P31">
        <f t="shared" si="9"/>
        <v>2.5924459194144954E-2</v>
      </c>
      <c r="V31">
        <v>-3.30000000000001</v>
      </c>
      <c r="W31">
        <f t="shared" si="10"/>
        <v>-0.32319499999999945</v>
      </c>
      <c r="Y31">
        <v>0.27</v>
      </c>
      <c r="Z31">
        <f t="shared" si="11"/>
        <v>2.6285398000000004</v>
      </c>
    </row>
    <row r="32" spans="1:26">
      <c r="A32">
        <v>1.5071000000000001</v>
      </c>
      <c r="B32">
        <v>0.72765000000000002</v>
      </c>
      <c r="C32">
        <f t="shared" si="0"/>
        <v>1.0966413150000001</v>
      </c>
      <c r="D32">
        <v>1.4500000000000001E-2</v>
      </c>
      <c r="E32">
        <v>1.089E-2</v>
      </c>
      <c r="F32">
        <f t="shared" si="1"/>
        <v>301.42</v>
      </c>
      <c r="G32">
        <f t="shared" si="2"/>
        <v>-0.72765000000000002</v>
      </c>
      <c r="H32">
        <f t="shared" si="3"/>
        <v>-219.32826300000002</v>
      </c>
      <c r="I32">
        <v>1</v>
      </c>
      <c r="J32">
        <f t="shared" si="4"/>
        <v>-1.1992506379906067</v>
      </c>
      <c r="K32">
        <f t="shared" si="5"/>
        <v>-0.49407515177521744</v>
      </c>
      <c r="L32">
        <v>1</v>
      </c>
      <c r="M32">
        <f t="shared" si="6"/>
        <v>0.42959795518577576</v>
      </c>
      <c r="N32">
        <f t="shared" si="7"/>
        <v>2.1852950000000003E-2</v>
      </c>
      <c r="O32">
        <f t="shared" si="8"/>
        <v>1.6412319000000002E-2</v>
      </c>
      <c r="P32">
        <f t="shared" si="9"/>
        <v>2.6211927589441672E-2</v>
      </c>
      <c r="V32">
        <v>-3.2000000000000099</v>
      </c>
      <c r="W32">
        <f t="shared" si="10"/>
        <v>-0.3282599999999995</v>
      </c>
    </row>
    <row r="33" spans="1:23">
      <c r="A33">
        <v>1.55755</v>
      </c>
      <c r="B33">
        <v>0.72484000000000004</v>
      </c>
      <c r="C33">
        <f t="shared" si="0"/>
        <v>1.1289745420000001</v>
      </c>
      <c r="D33">
        <v>1.4500000000000001E-2</v>
      </c>
      <c r="E33">
        <v>1.089E-2</v>
      </c>
      <c r="F33">
        <f t="shared" si="1"/>
        <v>311.51</v>
      </c>
      <c r="G33">
        <f t="shared" si="2"/>
        <v>-0.72484000000000004</v>
      </c>
      <c r="H33">
        <f t="shared" si="3"/>
        <v>-225.79490840000003</v>
      </c>
      <c r="I33">
        <v>1</v>
      </c>
      <c r="J33">
        <f t="shared" si="4"/>
        <v>-1.1663238385411787</v>
      </c>
      <c r="K33">
        <f t="shared" si="5"/>
        <v>-0.49688515177521742</v>
      </c>
      <c r="L33">
        <v>1</v>
      </c>
      <c r="M33">
        <f t="shared" si="6"/>
        <v>0.4312656975778893</v>
      </c>
      <c r="N33">
        <f t="shared" si="7"/>
        <v>2.2584475E-2</v>
      </c>
      <c r="O33">
        <f t="shared" si="8"/>
        <v>1.69617195E-2</v>
      </c>
      <c r="P33">
        <f t="shared" si="9"/>
        <v>2.607325969732812E-2</v>
      </c>
      <c r="V33">
        <v>-3.1000000000000099</v>
      </c>
      <c r="W33">
        <f t="shared" si="10"/>
        <v>-0.33332499999999954</v>
      </c>
    </row>
    <row r="34" spans="1:23">
      <c r="A34">
        <v>1.60945</v>
      </c>
      <c r="B34">
        <v>0.72162999999999999</v>
      </c>
      <c r="C34">
        <f t="shared" si="0"/>
        <v>1.1614274035000001</v>
      </c>
      <c r="D34">
        <v>1.4500000000000001E-2</v>
      </c>
      <c r="E34">
        <v>1.089E-2</v>
      </c>
      <c r="F34">
        <f t="shared" si="1"/>
        <v>321.89</v>
      </c>
      <c r="G34">
        <f t="shared" si="2"/>
        <v>-0.72162999999999999</v>
      </c>
      <c r="H34">
        <f t="shared" si="3"/>
        <v>-232.28548070000002</v>
      </c>
      <c r="I34">
        <v>1</v>
      </c>
      <c r="J34">
        <f t="shared" si="4"/>
        <v>-1.1335454067082256</v>
      </c>
      <c r="K34">
        <f t="shared" si="5"/>
        <v>-0.50009515177521746</v>
      </c>
      <c r="L34">
        <v>1</v>
      </c>
      <c r="M34">
        <f t="shared" si="6"/>
        <v>0.43292592515022837</v>
      </c>
      <c r="N34">
        <f t="shared" si="7"/>
        <v>2.3337025000000001E-2</v>
      </c>
      <c r="O34">
        <f t="shared" si="8"/>
        <v>1.7526910499999999E-2</v>
      </c>
      <c r="P34">
        <f t="shared" si="9"/>
        <v>2.630529112498909E-2</v>
      </c>
      <c r="V34">
        <v>-3.0000000000000102</v>
      </c>
      <c r="W34">
        <f t="shared" si="10"/>
        <v>-0.33838999999999947</v>
      </c>
    </row>
    <row r="35" spans="1:23">
      <c r="A35">
        <v>1.6598999999999999</v>
      </c>
      <c r="B35">
        <v>0.71880999999999995</v>
      </c>
      <c r="C35">
        <f t="shared" si="0"/>
        <v>1.193152719</v>
      </c>
      <c r="D35">
        <v>1.4500000000000001E-2</v>
      </c>
      <c r="E35">
        <v>1.089E-2</v>
      </c>
      <c r="F35">
        <f t="shared" si="1"/>
        <v>331.97999999999996</v>
      </c>
      <c r="G35">
        <f t="shared" si="2"/>
        <v>-0.71880999999999995</v>
      </c>
      <c r="H35">
        <f t="shared" si="3"/>
        <v>-238.6305438</v>
      </c>
      <c r="I35">
        <v>1</v>
      </c>
      <c r="J35">
        <f t="shared" si="4"/>
        <v>-1.1026805528440637</v>
      </c>
      <c r="K35">
        <f t="shared" si="5"/>
        <v>-0.50291515177521751</v>
      </c>
      <c r="L35">
        <v>1</v>
      </c>
      <c r="M35">
        <f t="shared" si="6"/>
        <v>0.43448922999844819</v>
      </c>
      <c r="N35">
        <f t="shared" si="7"/>
        <v>2.4068550000000001E-2</v>
      </c>
      <c r="O35">
        <f t="shared" si="8"/>
        <v>1.8076311000000001E-2</v>
      </c>
      <c r="P35">
        <f t="shared" si="9"/>
        <v>2.6281060776769314E-2</v>
      </c>
      <c r="V35">
        <v>-2.9000000000000101</v>
      </c>
      <c r="W35">
        <f t="shared" si="10"/>
        <v>-0.34345499999999951</v>
      </c>
    </row>
    <row r="36" spans="1:23">
      <c r="A36">
        <v>1.71285</v>
      </c>
      <c r="B36">
        <v>0.71552000000000004</v>
      </c>
      <c r="C36">
        <f t="shared" si="0"/>
        <v>1.2255784320000001</v>
      </c>
      <c r="D36">
        <v>1.4500000000000001E-2</v>
      </c>
      <c r="E36">
        <v>1.089E-2</v>
      </c>
      <c r="F36">
        <f t="shared" si="1"/>
        <v>342.57</v>
      </c>
      <c r="G36">
        <f t="shared" si="2"/>
        <v>-0.71552000000000004</v>
      </c>
      <c r="H36">
        <f t="shared" si="3"/>
        <v>-245.11568640000002</v>
      </c>
      <c r="I36">
        <v>1</v>
      </c>
      <c r="J36">
        <f t="shared" si="4"/>
        <v>-1.0712792626004708</v>
      </c>
      <c r="K36">
        <f t="shared" si="5"/>
        <v>-0.50620515177521741</v>
      </c>
      <c r="L36">
        <v>1</v>
      </c>
      <c r="M36">
        <f t="shared" si="6"/>
        <v>0.43607970534928614</v>
      </c>
      <c r="N36">
        <f t="shared" si="7"/>
        <v>2.4836324999999999E-2</v>
      </c>
      <c r="O36">
        <f t="shared" si="8"/>
        <v>1.8652936500000002E-2</v>
      </c>
      <c r="P36">
        <f t="shared" si="9"/>
        <v>2.6636184925931269E-2</v>
      </c>
      <c r="V36">
        <v>-2.80000000000001</v>
      </c>
      <c r="W36">
        <f t="shared" ref="W36:W67" si="12">V36*$S$5+$S$4</f>
        <v>-0.3485199999999995</v>
      </c>
    </row>
    <row r="37" spans="1:23">
      <c r="A37">
        <v>1.7637499999999999</v>
      </c>
      <c r="B37">
        <v>0.71274999999999999</v>
      </c>
      <c r="C37">
        <f t="shared" si="0"/>
        <v>1.2571128125</v>
      </c>
      <c r="D37">
        <v>1.4500000000000001E-2</v>
      </c>
      <c r="E37">
        <v>1.089E-2</v>
      </c>
      <c r="F37">
        <f t="shared" si="1"/>
        <v>352.75</v>
      </c>
      <c r="G37">
        <f t="shared" si="2"/>
        <v>-0.71274999999999999</v>
      </c>
      <c r="H37">
        <f t="shared" si="3"/>
        <v>-251.4225625</v>
      </c>
      <c r="I37">
        <v>1</v>
      </c>
      <c r="J37">
        <f t="shared" si="4"/>
        <v>-1.0419956882492136</v>
      </c>
      <c r="K37">
        <f t="shared" si="5"/>
        <v>-0.50897515177521746</v>
      </c>
      <c r="L37">
        <v>1</v>
      </c>
      <c r="M37">
        <f t="shared" si="6"/>
        <v>0.43756291839017736</v>
      </c>
      <c r="N37">
        <f t="shared" si="7"/>
        <v>2.5574375E-2</v>
      </c>
      <c r="O37">
        <f t="shared" si="8"/>
        <v>1.9207237499999998E-2</v>
      </c>
      <c r="P37">
        <f t="shared" si="9"/>
        <v>2.6630620885040108E-2</v>
      </c>
      <c r="V37">
        <v>-2.7000000000000099</v>
      </c>
      <c r="W37">
        <f t="shared" si="12"/>
        <v>-0.35358499999999948</v>
      </c>
    </row>
    <row r="38" spans="1:23">
      <c r="A38">
        <v>1.81975</v>
      </c>
      <c r="B38">
        <v>0.70952999999999999</v>
      </c>
      <c r="C38">
        <f t="shared" si="0"/>
        <v>1.2911672175</v>
      </c>
      <c r="D38">
        <v>1.4500000000000001E-2</v>
      </c>
      <c r="E38">
        <v>1.089E-2</v>
      </c>
      <c r="F38">
        <f t="shared" si="1"/>
        <v>363.95</v>
      </c>
      <c r="G38">
        <f t="shared" si="2"/>
        <v>-0.70952999999999999</v>
      </c>
      <c r="H38">
        <f t="shared" si="3"/>
        <v>-258.23344350000002</v>
      </c>
      <c r="I38">
        <v>1</v>
      </c>
      <c r="J38">
        <f t="shared" si="4"/>
        <v>-1.01073878341787</v>
      </c>
      <c r="K38">
        <f t="shared" si="5"/>
        <v>-0.51219515177521746</v>
      </c>
      <c r="L38">
        <v>1</v>
      </c>
      <c r="M38">
        <f t="shared" si="6"/>
        <v>0.43914608061988486</v>
      </c>
      <c r="N38">
        <f t="shared" si="7"/>
        <v>2.6386375E-2</v>
      </c>
      <c r="O38">
        <f t="shared" si="8"/>
        <v>1.9817077500000002E-2</v>
      </c>
      <c r="P38">
        <f t="shared" si="9"/>
        <v>2.6845618655332595E-2</v>
      </c>
      <c r="V38">
        <v>-2.6000000000000099</v>
      </c>
      <c r="W38">
        <f t="shared" si="12"/>
        <v>-0.35864999999999947</v>
      </c>
    </row>
    <row r="39" spans="1:23">
      <c r="A39">
        <v>1.8722000000000001</v>
      </c>
      <c r="B39">
        <v>0.70650999999999997</v>
      </c>
      <c r="C39">
        <f t="shared" si="0"/>
        <v>1.3227280219999999</v>
      </c>
      <c r="D39">
        <v>1.4500000000000001E-2</v>
      </c>
      <c r="E39">
        <v>1.089E-2</v>
      </c>
      <c r="F39">
        <f t="shared" si="1"/>
        <v>374.44</v>
      </c>
      <c r="G39">
        <f t="shared" si="2"/>
        <v>-0.70650999999999997</v>
      </c>
      <c r="H39">
        <f t="shared" si="3"/>
        <v>-264.5456044</v>
      </c>
      <c r="I39">
        <v>1</v>
      </c>
      <c r="J39">
        <f t="shared" si="4"/>
        <v>-0.98232370247859313</v>
      </c>
      <c r="K39">
        <f t="shared" si="5"/>
        <v>-0.51521515177521748</v>
      </c>
      <c r="L39">
        <v>1</v>
      </c>
      <c r="M39">
        <f t="shared" si="6"/>
        <v>0.44058530446945926</v>
      </c>
      <c r="N39">
        <f t="shared" si="7"/>
        <v>2.7146900000000002E-2</v>
      </c>
      <c r="O39">
        <f t="shared" si="8"/>
        <v>2.0388258000000003E-2</v>
      </c>
      <c r="P39">
        <f t="shared" si="9"/>
        <v>2.7094689305758219E-2</v>
      </c>
      <c r="V39">
        <v>-2.5000000000000102</v>
      </c>
      <c r="W39">
        <f t="shared" si="12"/>
        <v>-0.36371499999999946</v>
      </c>
    </row>
    <row r="40" spans="1:23">
      <c r="A40">
        <v>1.9226000000000001</v>
      </c>
      <c r="B40">
        <v>0.70355000000000001</v>
      </c>
      <c r="C40">
        <f t="shared" si="0"/>
        <v>1.35264523</v>
      </c>
      <c r="D40">
        <v>1.4500000000000001E-2</v>
      </c>
      <c r="E40">
        <v>1.089E-2</v>
      </c>
      <c r="F40">
        <f t="shared" si="1"/>
        <v>384.52000000000004</v>
      </c>
      <c r="G40">
        <f t="shared" si="2"/>
        <v>-0.70355000000000001</v>
      </c>
      <c r="H40">
        <f t="shared" si="3"/>
        <v>-270.52904599999999</v>
      </c>
      <c r="I40">
        <v>1</v>
      </c>
      <c r="J40">
        <f t="shared" si="4"/>
        <v>-0.95575947578452158</v>
      </c>
      <c r="K40">
        <f t="shared" si="5"/>
        <v>-0.51817515177521745</v>
      </c>
      <c r="L40">
        <v>1</v>
      </c>
      <c r="M40">
        <f t="shared" si="6"/>
        <v>0.44193078255151397</v>
      </c>
      <c r="N40">
        <f t="shared" si="7"/>
        <v>2.7877700000000002E-2</v>
      </c>
      <c r="O40">
        <f t="shared" si="8"/>
        <v>2.0937114000000003E-2</v>
      </c>
      <c r="P40">
        <f t="shared" si="9"/>
        <v>2.742955522370347E-2</v>
      </c>
      <c r="V40">
        <v>-2.4000000000000101</v>
      </c>
      <c r="W40">
        <f t="shared" si="12"/>
        <v>-0.3687799999999995</v>
      </c>
    </row>
    <row r="41" spans="1:23">
      <c r="A41">
        <v>1.9730000000000001</v>
      </c>
      <c r="B41">
        <v>0.70072999999999996</v>
      </c>
      <c r="C41">
        <f t="shared" si="0"/>
        <v>1.3825402899999999</v>
      </c>
      <c r="D41">
        <v>1.4500000000000001E-2</v>
      </c>
      <c r="E41">
        <v>1.089E-2</v>
      </c>
      <c r="F41">
        <f t="shared" si="1"/>
        <v>394.6</v>
      </c>
      <c r="G41">
        <f t="shared" si="2"/>
        <v>-0.70072999999999996</v>
      </c>
      <c r="H41">
        <f t="shared" si="3"/>
        <v>-276.50805800000001</v>
      </c>
      <c r="I41">
        <v>1</v>
      </c>
      <c r="J41">
        <f t="shared" si="4"/>
        <v>-0.92988268539362207</v>
      </c>
      <c r="K41">
        <f t="shared" si="5"/>
        <v>-0.52099515177521749</v>
      </c>
      <c r="L41">
        <v>1</v>
      </c>
      <c r="M41">
        <f t="shared" si="6"/>
        <v>0.44324144198481302</v>
      </c>
      <c r="N41">
        <f t="shared" si="7"/>
        <v>2.8608500000000002E-2</v>
      </c>
      <c r="O41">
        <f t="shared" si="8"/>
        <v>2.148597E-2</v>
      </c>
      <c r="P41">
        <f t="shared" si="9"/>
        <v>2.7659239790404466E-2</v>
      </c>
      <c r="V41">
        <v>-2.30000000000001</v>
      </c>
      <c r="W41">
        <f t="shared" si="12"/>
        <v>-0.37384499999999948</v>
      </c>
    </row>
    <row r="42" spans="1:23">
      <c r="A42">
        <v>2.02495</v>
      </c>
      <c r="B42">
        <v>0.69798000000000004</v>
      </c>
      <c r="C42">
        <f t="shared" si="0"/>
        <v>1.4133746010000001</v>
      </c>
      <c r="D42">
        <v>1.4500000000000001E-2</v>
      </c>
      <c r="E42">
        <v>1.089E-2</v>
      </c>
      <c r="F42">
        <f t="shared" si="1"/>
        <v>404.99</v>
      </c>
      <c r="G42">
        <f t="shared" si="2"/>
        <v>-0.69798000000000004</v>
      </c>
      <c r="H42">
        <f t="shared" si="3"/>
        <v>-282.67492020000003</v>
      </c>
      <c r="I42">
        <v>1</v>
      </c>
      <c r="J42">
        <f t="shared" si="4"/>
        <v>-0.90389290353845919</v>
      </c>
      <c r="K42">
        <f t="shared" si="5"/>
        <v>-0.52374515177521741</v>
      </c>
      <c r="L42">
        <v>1</v>
      </c>
      <c r="M42">
        <f t="shared" si="6"/>
        <v>0.44455782443577702</v>
      </c>
      <c r="N42">
        <f t="shared" si="7"/>
        <v>2.9361775000000003E-2</v>
      </c>
      <c r="O42">
        <f t="shared" si="8"/>
        <v>2.2051705500000001E-2</v>
      </c>
      <c r="P42">
        <f t="shared" si="9"/>
        <v>2.7773846839440387E-2</v>
      </c>
      <c r="V42">
        <v>-2.2000000000000099</v>
      </c>
      <c r="W42">
        <f t="shared" si="12"/>
        <v>-0.37890999999999952</v>
      </c>
    </row>
    <row r="43" spans="1:23">
      <c r="A43">
        <v>2.0769000000000002</v>
      </c>
      <c r="B43">
        <v>0.69467000000000001</v>
      </c>
      <c r="C43">
        <f t="shared" si="0"/>
        <v>1.4427601230000002</v>
      </c>
      <c r="D43">
        <v>1.4500000000000001E-2</v>
      </c>
      <c r="E43">
        <v>1.089E-2</v>
      </c>
      <c r="F43">
        <f t="shared" si="1"/>
        <v>415.38000000000005</v>
      </c>
      <c r="G43">
        <f t="shared" si="2"/>
        <v>-0.69467000000000001</v>
      </c>
      <c r="H43">
        <f t="shared" si="3"/>
        <v>-288.55202460000004</v>
      </c>
      <c r="I43">
        <v>1</v>
      </c>
      <c r="J43">
        <f t="shared" si="4"/>
        <v>-0.87856151506414792</v>
      </c>
      <c r="K43">
        <f t="shared" si="5"/>
        <v>-0.52705515177521745</v>
      </c>
      <c r="L43">
        <v>1</v>
      </c>
      <c r="M43">
        <f t="shared" si="6"/>
        <v>0.4458408592620009</v>
      </c>
      <c r="N43">
        <f t="shared" si="7"/>
        <v>3.0115050000000004E-2</v>
      </c>
      <c r="O43">
        <f t="shared" si="8"/>
        <v>2.2617441000000002E-2</v>
      </c>
      <c r="P43">
        <f t="shared" si="9"/>
        <v>2.848180151321654E-2</v>
      </c>
      <c r="V43">
        <v>-2.1000000000000099</v>
      </c>
      <c r="W43">
        <f t="shared" si="12"/>
        <v>-0.38397499999999951</v>
      </c>
    </row>
    <row r="44" spans="1:23">
      <c r="A44">
        <v>2.1273</v>
      </c>
      <c r="B44">
        <v>0.69201999999999997</v>
      </c>
      <c r="C44">
        <f t="shared" si="0"/>
        <v>1.4721341459999999</v>
      </c>
      <c r="D44">
        <v>1.4500000000000001E-2</v>
      </c>
      <c r="E44">
        <v>1.089E-2</v>
      </c>
      <c r="F44">
        <f t="shared" si="1"/>
        <v>425.46</v>
      </c>
      <c r="G44">
        <f t="shared" si="2"/>
        <v>-0.69201999999999997</v>
      </c>
      <c r="H44">
        <f t="shared" si="3"/>
        <v>-294.42682919999999</v>
      </c>
      <c r="I44">
        <v>1</v>
      </c>
      <c r="J44">
        <f t="shared" si="4"/>
        <v>-0.85458434243817671</v>
      </c>
      <c r="K44">
        <f t="shared" si="5"/>
        <v>-0.52970515177521749</v>
      </c>
      <c r="L44">
        <v>1</v>
      </c>
      <c r="M44">
        <f t="shared" si="6"/>
        <v>0.44705530305550634</v>
      </c>
      <c r="N44">
        <f t="shared" si="7"/>
        <v>3.0845850000000001E-2</v>
      </c>
      <c r="O44">
        <f t="shared" si="8"/>
        <v>2.3166296999999999E-2</v>
      </c>
      <c r="P44">
        <f t="shared" si="9"/>
        <v>2.863770171971115E-2</v>
      </c>
      <c r="V44">
        <v>-2.0000000000000102</v>
      </c>
      <c r="W44">
        <f t="shared" si="12"/>
        <v>-0.3890399999999995</v>
      </c>
    </row>
    <row r="45" spans="1:23">
      <c r="A45">
        <v>2.1818</v>
      </c>
      <c r="B45">
        <v>0.68901999999999997</v>
      </c>
      <c r="C45">
        <f t="shared" si="0"/>
        <v>1.5033038359999999</v>
      </c>
      <c r="D45">
        <v>1.4500000000000001E-2</v>
      </c>
      <c r="E45">
        <v>1.089E-2</v>
      </c>
      <c r="F45">
        <f t="shared" si="1"/>
        <v>436.36</v>
      </c>
      <c r="G45">
        <f t="shared" si="2"/>
        <v>-0.68901999999999997</v>
      </c>
      <c r="H45">
        <f t="shared" si="3"/>
        <v>-300.66076720000001</v>
      </c>
      <c r="I45">
        <v>1</v>
      </c>
      <c r="J45">
        <f t="shared" si="4"/>
        <v>-0.82928768825258103</v>
      </c>
      <c r="K45">
        <f t="shared" si="5"/>
        <v>-0.53270515177521749</v>
      </c>
      <c r="L45">
        <v>1</v>
      </c>
      <c r="M45">
        <f t="shared" si="6"/>
        <v>0.44833657859000675</v>
      </c>
      <c r="N45">
        <f t="shared" si="7"/>
        <v>3.16361E-2</v>
      </c>
      <c r="O45">
        <f t="shared" si="8"/>
        <v>2.3759802E-2</v>
      </c>
      <c r="P45">
        <f t="shared" si="9"/>
        <v>2.8972671185210738E-2</v>
      </c>
      <c r="V45">
        <v>-1.9000000000000099</v>
      </c>
      <c r="W45">
        <f t="shared" si="12"/>
        <v>-0.39410499999999948</v>
      </c>
    </row>
    <row r="46" spans="1:23">
      <c r="A46">
        <v>2.2326999999999999</v>
      </c>
      <c r="B46">
        <v>0.68600000000000005</v>
      </c>
      <c r="C46">
        <f t="shared" si="0"/>
        <v>1.5316322</v>
      </c>
      <c r="D46">
        <v>1.4500000000000001E-2</v>
      </c>
      <c r="E46">
        <v>1.089E-2</v>
      </c>
      <c r="F46">
        <f t="shared" si="1"/>
        <v>446.53999999999996</v>
      </c>
      <c r="G46">
        <f t="shared" si="2"/>
        <v>-0.68600000000000005</v>
      </c>
      <c r="H46">
        <f t="shared" si="3"/>
        <v>-306.32643999999999</v>
      </c>
      <c r="I46">
        <v>1</v>
      </c>
      <c r="J46">
        <f t="shared" si="4"/>
        <v>-0.80622629701184623</v>
      </c>
      <c r="K46">
        <f t="shared" si="5"/>
        <v>-0.5357251517752174</v>
      </c>
      <c r="L46">
        <v>1</v>
      </c>
      <c r="M46">
        <f t="shared" si="6"/>
        <v>0.44950463805634999</v>
      </c>
      <c r="N46">
        <f t="shared" si="7"/>
        <v>3.2374149999999997E-2</v>
      </c>
      <c r="O46">
        <f t="shared" si="8"/>
        <v>2.4314103E-2</v>
      </c>
      <c r="P46">
        <f t="shared" si="9"/>
        <v>2.9532260718867411E-2</v>
      </c>
      <c r="V46">
        <v>-1.80000000000001</v>
      </c>
      <c r="W46">
        <f t="shared" si="12"/>
        <v>-0.39916999999999947</v>
      </c>
    </row>
    <row r="47" spans="1:23">
      <c r="A47">
        <v>2.2867000000000002</v>
      </c>
      <c r="B47">
        <v>0.68320000000000003</v>
      </c>
      <c r="C47">
        <f t="shared" si="0"/>
        <v>1.5622734400000002</v>
      </c>
      <c r="D47">
        <v>1.4500000000000001E-2</v>
      </c>
      <c r="E47">
        <v>1.089E-2</v>
      </c>
      <c r="F47">
        <f t="shared" si="1"/>
        <v>457.34000000000003</v>
      </c>
      <c r="G47">
        <f t="shared" si="2"/>
        <v>-0.68320000000000003</v>
      </c>
      <c r="H47">
        <f t="shared" si="3"/>
        <v>-312.45468800000003</v>
      </c>
      <c r="I47">
        <v>1</v>
      </c>
      <c r="J47">
        <f t="shared" si="4"/>
        <v>-0.78232818221118816</v>
      </c>
      <c r="K47">
        <f t="shared" si="5"/>
        <v>-0.53852515177521743</v>
      </c>
      <c r="L47">
        <v>1</v>
      </c>
      <c r="M47">
        <f t="shared" si="6"/>
        <v>0.45071507757100332</v>
      </c>
      <c r="N47">
        <f t="shared" si="7"/>
        <v>3.3157150000000003E-2</v>
      </c>
      <c r="O47">
        <f t="shared" si="8"/>
        <v>2.4902163000000001E-2</v>
      </c>
      <c r="P47">
        <f t="shared" si="9"/>
        <v>2.9750761204214101E-2</v>
      </c>
      <c r="V47">
        <v>-1.7000000000000199</v>
      </c>
      <c r="W47">
        <f t="shared" si="12"/>
        <v>-0.40423499999999901</v>
      </c>
    </row>
    <row r="48" spans="1:23">
      <c r="A48">
        <v>2.3380999999999998</v>
      </c>
      <c r="B48">
        <v>0.68022000000000005</v>
      </c>
      <c r="C48">
        <f t="shared" si="0"/>
        <v>1.5904223820000001</v>
      </c>
      <c r="D48">
        <v>1.4500000000000001E-2</v>
      </c>
      <c r="E48">
        <v>1.089E-2</v>
      </c>
      <c r="F48">
        <f t="shared" si="1"/>
        <v>467.61999999999995</v>
      </c>
      <c r="G48">
        <f t="shared" si="2"/>
        <v>-0.68022000000000005</v>
      </c>
      <c r="H48">
        <f t="shared" si="3"/>
        <v>-318.08447640000003</v>
      </c>
      <c r="I48">
        <v>1</v>
      </c>
      <c r="J48">
        <f t="shared" si="4"/>
        <v>-0.76009927869924487</v>
      </c>
      <c r="K48">
        <f t="shared" si="5"/>
        <v>-0.54150515177521741</v>
      </c>
      <c r="L48">
        <v>1</v>
      </c>
      <c r="M48">
        <f t="shared" si="6"/>
        <v>0.45184097153388325</v>
      </c>
      <c r="N48">
        <f t="shared" si="7"/>
        <v>3.3902450000000001E-2</v>
      </c>
      <c r="O48">
        <f t="shared" si="8"/>
        <v>2.5461908999999998E-2</v>
      </c>
      <c r="P48">
        <f t="shared" si="9"/>
        <v>3.0299821241334159E-2</v>
      </c>
      <c r="V48">
        <v>-1.6000000000000201</v>
      </c>
      <c r="W48">
        <f t="shared" si="12"/>
        <v>-0.409299999999999</v>
      </c>
    </row>
    <row r="49" spans="1:23">
      <c r="A49">
        <v>2.3885000000000001</v>
      </c>
      <c r="B49">
        <v>0.67759999999999998</v>
      </c>
      <c r="C49">
        <f t="shared" si="0"/>
        <v>1.6184476000000001</v>
      </c>
      <c r="D49">
        <v>1.4500000000000001E-2</v>
      </c>
      <c r="E49">
        <v>1.089E-2</v>
      </c>
      <c r="F49">
        <f t="shared" si="1"/>
        <v>477.7</v>
      </c>
      <c r="G49">
        <f t="shared" si="2"/>
        <v>-0.67759999999999998</v>
      </c>
      <c r="H49">
        <f t="shared" si="3"/>
        <v>-323.68952000000002</v>
      </c>
      <c r="I49">
        <v>1</v>
      </c>
      <c r="J49">
        <f t="shared" si="4"/>
        <v>-0.73877235858622081</v>
      </c>
      <c r="K49">
        <f t="shared" si="5"/>
        <v>-0.54412515177521747</v>
      </c>
      <c r="L49">
        <v>1</v>
      </c>
      <c r="M49">
        <f t="shared" si="6"/>
        <v>0.4529211800376079</v>
      </c>
      <c r="N49">
        <f t="shared" si="7"/>
        <v>3.4633250000000004E-2</v>
      </c>
      <c r="O49">
        <f t="shared" si="8"/>
        <v>2.6010765000000002E-2</v>
      </c>
      <c r="P49">
        <f t="shared" si="9"/>
        <v>3.0559956737609573E-2</v>
      </c>
      <c r="V49">
        <v>-1.50000000000002</v>
      </c>
      <c r="W49">
        <f t="shared" si="12"/>
        <v>-0.41436499999999898</v>
      </c>
    </row>
    <row r="50" spans="1:23">
      <c r="A50">
        <v>2.4399500000000001</v>
      </c>
      <c r="B50">
        <v>0.67478000000000005</v>
      </c>
      <c r="C50">
        <f t="shared" si="0"/>
        <v>1.6464294610000001</v>
      </c>
      <c r="D50">
        <v>1.4500000000000001E-2</v>
      </c>
      <c r="E50">
        <v>1.089E-2</v>
      </c>
      <c r="F50">
        <f t="shared" si="1"/>
        <v>487.99</v>
      </c>
      <c r="G50">
        <f t="shared" si="2"/>
        <v>-0.67478000000000005</v>
      </c>
      <c r="H50">
        <f t="shared" si="3"/>
        <v>-329.28589220000003</v>
      </c>
      <c r="I50">
        <v>1</v>
      </c>
      <c r="J50">
        <f t="shared" si="4"/>
        <v>-0.71746036514222833</v>
      </c>
      <c r="K50">
        <f t="shared" si="5"/>
        <v>-0.54694515177521741</v>
      </c>
      <c r="L50">
        <v>1</v>
      </c>
      <c r="M50">
        <f t="shared" si="6"/>
        <v>0.45400063250554612</v>
      </c>
      <c r="N50">
        <f t="shared" si="7"/>
        <v>3.5379275000000002E-2</v>
      </c>
      <c r="O50">
        <f t="shared" si="8"/>
        <v>2.6571055500000003E-2</v>
      </c>
      <c r="P50">
        <f t="shared" si="9"/>
        <v>3.0994188769671284E-2</v>
      </c>
      <c r="V50">
        <v>-1.4000000000000199</v>
      </c>
      <c r="W50">
        <f t="shared" si="12"/>
        <v>-0.41942999999999897</v>
      </c>
    </row>
    <row r="51" spans="1:23">
      <c r="A51">
        <v>2.4903499999999998</v>
      </c>
      <c r="B51">
        <v>0.67218</v>
      </c>
      <c r="C51">
        <f t="shared" si="0"/>
        <v>1.673963463</v>
      </c>
      <c r="D51">
        <v>1.4500000000000001E-2</v>
      </c>
      <c r="E51">
        <v>1.089E-2</v>
      </c>
      <c r="F51">
        <f t="shared" si="1"/>
        <v>498.07</v>
      </c>
      <c r="G51">
        <f t="shared" si="2"/>
        <v>-0.67218</v>
      </c>
      <c r="H51">
        <f t="shared" si="3"/>
        <v>-334.79269260000001</v>
      </c>
      <c r="I51">
        <v>1</v>
      </c>
      <c r="J51">
        <f t="shared" si="4"/>
        <v>-0.69701464958643544</v>
      </c>
      <c r="K51">
        <f t="shared" si="5"/>
        <v>-0.54954515177521746</v>
      </c>
      <c r="L51">
        <v>1</v>
      </c>
      <c r="M51">
        <f t="shared" si="6"/>
        <v>0.45503620799844702</v>
      </c>
      <c r="N51">
        <f t="shared" si="7"/>
        <v>3.6110074999999998E-2</v>
      </c>
      <c r="O51">
        <f t="shared" si="8"/>
        <v>2.71199115E-2</v>
      </c>
      <c r="P51">
        <f t="shared" si="9"/>
        <v>3.1278957276770436E-2</v>
      </c>
      <c r="V51">
        <v>-1.30000000000002</v>
      </c>
      <c r="W51">
        <f t="shared" si="12"/>
        <v>-0.42449499999999896</v>
      </c>
    </row>
    <row r="52" spans="1:23">
      <c r="A52">
        <v>2.5412499999999998</v>
      </c>
      <c r="B52">
        <v>0.66930000000000001</v>
      </c>
      <c r="C52">
        <f t="shared" si="0"/>
        <v>1.700858625</v>
      </c>
      <c r="D52">
        <v>1.4500000000000001E-2</v>
      </c>
      <c r="E52">
        <v>1.089E-2</v>
      </c>
      <c r="F52">
        <f t="shared" si="1"/>
        <v>508.24999999999994</v>
      </c>
      <c r="G52">
        <f t="shared" si="2"/>
        <v>-0.66930000000000001</v>
      </c>
      <c r="H52">
        <f t="shared" si="3"/>
        <v>-340.17172499999998</v>
      </c>
      <c r="I52">
        <v>1</v>
      </c>
      <c r="J52">
        <f t="shared" si="4"/>
        <v>-0.67678182647368113</v>
      </c>
      <c r="K52">
        <f t="shared" si="5"/>
        <v>-0.55242515177521745</v>
      </c>
      <c r="L52">
        <v>1</v>
      </c>
      <c r="M52">
        <f t="shared" si="6"/>
        <v>0.45606100048910803</v>
      </c>
      <c r="N52">
        <f t="shared" si="7"/>
        <v>3.6848124999999995E-2</v>
      </c>
      <c r="O52">
        <f t="shared" si="8"/>
        <v>2.76742125E-2</v>
      </c>
      <c r="P52">
        <f t="shared" si="9"/>
        <v>3.1841813786109424E-2</v>
      </c>
      <c r="V52">
        <v>-1.2000000000000199</v>
      </c>
      <c r="W52">
        <f t="shared" si="12"/>
        <v>-0.429559999999999</v>
      </c>
    </row>
    <row r="53" spans="1:23">
      <c r="A53">
        <v>2.5926999999999998</v>
      </c>
      <c r="B53">
        <v>0.66642000000000001</v>
      </c>
      <c r="C53">
        <f t="shared" si="0"/>
        <v>1.727827134</v>
      </c>
      <c r="D53">
        <v>1.4500000000000001E-2</v>
      </c>
      <c r="E53">
        <v>1.089E-2</v>
      </c>
      <c r="F53">
        <f t="shared" si="1"/>
        <v>518.54</v>
      </c>
      <c r="G53">
        <f t="shared" si="2"/>
        <v>-0.66642000000000001</v>
      </c>
      <c r="H53">
        <f t="shared" si="3"/>
        <v>-345.56542680000001</v>
      </c>
      <c r="I53">
        <v>1</v>
      </c>
      <c r="J53">
        <f t="shared" si="4"/>
        <v>-0.65673810867578142</v>
      </c>
      <c r="K53">
        <f t="shared" si="5"/>
        <v>-0.55530515177521744</v>
      </c>
      <c r="L53">
        <v>1</v>
      </c>
      <c r="M53" s="5">
        <f t="shared" si="6"/>
        <v>0.45707621479557164</v>
      </c>
      <c r="N53">
        <f t="shared" si="7"/>
        <v>3.759415E-2</v>
      </c>
      <c r="O53">
        <f t="shared" si="8"/>
        <v>2.8234502999999998E-2</v>
      </c>
      <c r="P53">
        <f t="shared" si="9"/>
        <v>3.2400283979645797E-2</v>
      </c>
      <c r="R53">
        <f>N2-M53</f>
        <v>0.76464893697964587</v>
      </c>
      <c r="V53">
        <v>-1.1000000000000201</v>
      </c>
      <c r="W53">
        <f t="shared" si="12"/>
        <v>-0.43462499999999898</v>
      </c>
    </row>
    <row r="54" spans="1:23">
      <c r="A54">
        <v>2.6431</v>
      </c>
      <c r="B54">
        <v>0.66379999999999995</v>
      </c>
      <c r="C54">
        <f t="shared" si="0"/>
        <v>1.7544897799999999</v>
      </c>
      <c r="D54">
        <v>1.4500000000000001E-2</v>
      </c>
      <c r="E54">
        <v>1.089E-2</v>
      </c>
      <c r="F54">
        <f t="shared" si="1"/>
        <v>528.62</v>
      </c>
      <c r="G54">
        <f t="shared" si="2"/>
        <v>-0.66379999999999995</v>
      </c>
      <c r="H54">
        <f t="shared" si="3"/>
        <v>-350.89795599999997</v>
      </c>
      <c r="I54">
        <v>1</v>
      </c>
      <c r="J54">
        <f t="shared" si="4"/>
        <v>-0.63748544173504396</v>
      </c>
      <c r="K54">
        <f t="shared" si="5"/>
        <v>-0.55792515177521751</v>
      </c>
      <c r="L54">
        <v>1</v>
      </c>
      <c r="M54">
        <f t="shared" si="6"/>
        <v>0.45805136237612004</v>
      </c>
      <c r="N54">
        <f t="shared" si="7"/>
        <v>3.8324950000000003E-2</v>
      </c>
      <c r="O54">
        <f t="shared" si="8"/>
        <v>2.8783359000000001E-2</v>
      </c>
      <c r="P54">
        <f t="shared" si="9"/>
        <v>3.2765480399097463E-2</v>
      </c>
      <c r="V54">
        <v>-1.00000000000002</v>
      </c>
      <c r="W54">
        <f t="shared" si="12"/>
        <v>-0.43968999999999897</v>
      </c>
    </row>
    <row r="55" spans="1:23">
      <c r="A55">
        <v>2.6940499999999998</v>
      </c>
      <c r="B55">
        <v>0.66108999999999996</v>
      </c>
      <c r="C55">
        <f t="shared" si="0"/>
        <v>1.7810095144999998</v>
      </c>
      <c r="D55">
        <v>1.4500000000000001E-2</v>
      </c>
      <c r="E55">
        <v>1.089E-2</v>
      </c>
      <c r="F55">
        <f t="shared" si="1"/>
        <v>538.80999999999995</v>
      </c>
      <c r="G55">
        <f t="shared" si="2"/>
        <v>-0.66108999999999996</v>
      </c>
      <c r="H55">
        <f t="shared" si="3"/>
        <v>-356.20190289999994</v>
      </c>
      <c r="I55">
        <v>1</v>
      </c>
      <c r="J55">
        <f t="shared" si="4"/>
        <v>-0.61839227485572357</v>
      </c>
      <c r="K55">
        <f t="shared" si="5"/>
        <v>-0.5606351517752175</v>
      </c>
      <c r="L55">
        <v>1</v>
      </c>
      <c r="M55">
        <f t="shared" si="6"/>
        <v>0.45901843127855757</v>
      </c>
      <c r="N55">
        <f t="shared" si="7"/>
        <v>3.9063725000000001E-2</v>
      </c>
      <c r="O55">
        <f t="shared" si="8"/>
        <v>2.9338204499999999E-2</v>
      </c>
      <c r="P55">
        <f t="shared" si="9"/>
        <v>3.3214790996659936E-2</v>
      </c>
      <c r="V55">
        <v>-0.90000000000002001</v>
      </c>
      <c r="W55">
        <f t="shared" si="12"/>
        <v>-0.44475499999999901</v>
      </c>
    </row>
    <row r="56" spans="1:23">
      <c r="A56">
        <v>2.7444500000000001</v>
      </c>
      <c r="B56">
        <v>0.65852999999999995</v>
      </c>
      <c r="C56">
        <f t="shared" si="0"/>
        <v>1.8073026584999998</v>
      </c>
      <c r="D56">
        <v>1.4500000000000001E-2</v>
      </c>
      <c r="E56">
        <v>1.089E-2</v>
      </c>
      <c r="F56">
        <f t="shared" si="1"/>
        <v>548.89</v>
      </c>
      <c r="G56">
        <f t="shared" si="2"/>
        <v>-0.65852999999999995</v>
      </c>
      <c r="H56">
        <f t="shared" si="3"/>
        <v>-361.46053169999999</v>
      </c>
      <c r="I56">
        <v>1</v>
      </c>
      <c r="J56">
        <f t="shared" si="4"/>
        <v>-0.59985722184693913</v>
      </c>
      <c r="K56">
        <f t="shared" si="5"/>
        <v>-0.56319515177521751</v>
      </c>
      <c r="L56">
        <v>1</v>
      </c>
      <c r="M56">
        <f t="shared" si="6"/>
        <v>0.45995723171345254</v>
      </c>
      <c r="N56">
        <f t="shared" si="7"/>
        <v>3.9794525000000004E-2</v>
      </c>
      <c r="O56">
        <f t="shared" si="8"/>
        <v>2.9887060500000003E-2</v>
      </c>
      <c r="P56">
        <f t="shared" si="9"/>
        <v>3.3556334561764961E-2</v>
      </c>
      <c r="V56">
        <v>-0.80000000000002003</v>
      </c>
      <c r="W56">
        <f t="shared" si="12"/>
        <v>-0.449819999999999</v>
      </c>
    </row>
    <row r="57" spans="1:23">
      <c r="A57">
        <v>2.7958500000000002</v>
      </c>
      <c r="B57">
        <v>0.65576000000000001</v>
      </c>
      <c r="C57">
        <f t="shared" si="0"/>
        <v>1.8334065960000001</v>
      </c>
      <c r="D57">
        <v>1.4500000000000001E-2</v>
      </c>
      <c r="E57">
        <v>1.089E-2</v>
      </c>
      <c r="F57">
        <f t="shared" si="1"/>
        <v>559.17000000000007</v>
      </c>
      <c r="G57">
        <f t="shared" si="2"/>
        <v>-0.65576000000000001</v>
      </c>
      <c r="H57">
        <f t="shared" si="3"/>
        <v>-366.68131920000002</v>
      </c>
      <c r="I57">
        <v>1</v>
      </c>
      <c r="J57">
        <f t="shared" si="4"/>
        <v>-0.58130173757031511</v>
      </c>
      <c r="K57">
        <f t="shared" si="5"/>
        <v>-0.56596515177521745</v>
      </c>
      <c r="L57">
        <v>1</v>
      </c>
      <c r="M57">
        <f t="shared" si="6"/>
        <v>0.46089706699206356</v>
      </c>
      <c r="N57">
        <f t="shared" si="7"/>
        <v>4.0539825000000002E-2</v>
      </c>
      <c r="O57">
        <f t="shared" si="8"/>
        <v>3.0446806500000003E-2</v>
      </c>
      <c r="P57">
        <f t="shared" si="9"/>
        <v>3.4081453283153873E-2</v>
      </c>
      <c r="V57">
        <v>-0.70000000000002005</v>
      </c>
      <c r="W57">
        <f t="shared" si="12"/>
        <v>-0.45488499999999898</v>
      </c>
    </row>
    <row r="58" spans="1:23">
      <c r="A58">
        <v>2.8488000000000002</v>
      </c>
      <c r="B58">
        <v>0.65278000000000003</v>
      </c>
      <c r="C58">
        <f t="shared" si="0"/>
        <v>1.8596396640000001</v>
      </c>
      <c r="D58">
        <v>1.4500000000000001E-2</v>
      </c>
      <c r="E58">
        <v>1.089E-2</v>
      </c>
      <c r="F58">
        <f t="shared" si="1"/>
        <v>569.76</v>
      </c>
      <c r="G58">
        <f t="shared" si="2"/>
        <v>-0.65278000000000003</v>
      </c>
      <c r="H58">
        <f t="shared" si="3"/>
        <v>-371.92793280000001</v>
      </c>
      <c r="I58">
        <v>1</v>
      </c>
      <c r="J58">
        <f t="shared" si="4"/>
        <v>-0.56254005945266938</v>
      </c>
      <c r="K58">
        <f t="shared" si="5"/>
        <v>-0.56894515177521743</v>
      </c>
      <c r="L58">
        <v>1</v>
      </c>
      <c r="M58">
        <f t="shared" si="6"/>
        <v>0.46184734598872229</v>
      </c>
      <c r="N58">
        <f t="shared" si="7"/>
        <v>4.1307600000000007E-2</v>
      </c>
      <c r="O58">
        <f t="shared" si="8"/>
        <v>3.1023432000000004E-2</v>
      </c>
      <c r="P58">
        <f t="shared" si="9"/>
        <v>3.4766773786495134E-2</v>
      </c>
      <c r="V58">
        <v>-0.60000000000001996</v>
      </c>
      <c r="W58">
        <f t="shared" si="12"/>
        <v>-0.45994999999999897</v>
      </c>
    </row>
    <row r="59" spans="1:23">
      <c r="A59">
        <v>2.8992499999999999</v>
      </c>
      <c r="B59">
        <v>0.65020999999999995</v>
      </c>
      <c r="C59">
        <f t="shared" si="0"/>
        <v>1.8851213424999997</v>
      </c>
      <c r="D59">
        <v>1.4500000000000001E-2</v>
      </c>
      <c r="E59">
        <v>1.089E-2</v>
      </c>
      <c r="F59">
        <f t="shared" si="1"/>
        <v>579.85</v>
      </c>
      <c r="G59">
        <f t="shared" si="2"/>
        <v>-0.65020999999999995</v>
      </c>
      <c r="H59">
        <f t="shared" si="3"/>
        <v>-377.02426849999995</v>
      </c>
      <c r="I59">
        <v>1</v>
      </c>
      <c r="J59">
        <f t="shared" si="4"/>
        <v>-0.54498582957942487</v>
      </c>
      <c r="K59">
        <f t="shared" si="5"/>
        <v>-0.5715151517752175</v>
      </c>
      <c r="L59">
        <v>1</v>
      </c>
      <c r="M59">
        <f t="shared" si="6"/>
        <v>0.4627364677318021</v>
      </c>
      <c r="N59">
        <f t="shared" si="7"/>
        <v>4.2039125000000004E-2</v>
      </c>
      <c r="O59">
        <f t="shared" si="8"/>
        <v>3.1572832500000002E-2</v>
      </c>
      <c r="P59">
        <f t="shared" si="9"/>
        <v>3.5166726543415384E-2</v>
      </c>
      <c r="V59">
        <v>-0.50000000000001998</v>
      </c>
      <c r="W59">
        <f t="shared" si="12"/>
        <v>-0.46501499999999896</v>
      </c>
    </row>
    <row r="60" spans="1:23">
      <c r="A60">
        <v>2.9496500000000001</v>
      </c>
      <c r="B60">
        <v>0.64753000000000005</v>
      </c>
      <c r="C60">
        <f t="shared" si="0"/>
        <v>1.9099868645000002</v>
      </c>
      <c r="D60">
        <v>1.4500000000000001E-2</v>
      </c>
      <c r="E60">
        <v>1.089E-2</v>
      </c>
      <c r="F60">
        <f t="shared" si="1"/>
        <v>589.93000000000006</v>
      </c>
      <c r="G60">
        <f t="shared" si="2"/>
        <v>-0.64753000000000005</v>
      </c>
      <c r="H60">
        <f t="shared" si="3"/>
        <v>-381.99737290000002</v>
      </c>
      <c r="I60">
        <v>1</v>
      </c>
      <c r="J60">
        <f t="shared" si="4"/>
        <v>-0.5277513931889326</v>
      </c>
      <c r="K60">
        <f t="shared" si="5"/>
        <v>-0.57419515177521741</v>
      </c>
      <c r="L60">
        <v>1</v>
      </c>
      <c r="M60">
        <f t="shared" si="6"/>
        <v>0.46360939193498057</v>
      </c>
      <c r="N60">
        <f t="shared" si="7"/>
        <v>4.2769925E-2</v>
      </c>
      <c r="O60">
        <f t="shared" si="8"/>
        <v>3.2121688500000002E-2</v>
      </c>
      <c r="P60">
        <f t="shared" si="9"/>
        <v>3.5694146340236828E-2</v>
      </c>
      <c r="V60">
        <v>-0.40000000000002001</v>
      </c>
      <c r="W60">
        <f t="shared" si="12"/>
        <v>-0.470079999999999</v>
      </c>
    </row>
    <row r="61" spans="1:23">
      <c r="A61">
        <v>3.0015999999999998</v>
      </c>
      <c r="B61">
        <v>0.64459</v>
      </c>
      <c r="C61">
        <f t="shared" si="0"/>
        <v>1.9348013439999998</v>
      </c>
      <c r="D61">
        <v>1.4500000000000001E-2</v>
      </c>
      <c r="E61">
        <v>1.089E-2</v>
      </c>
      <c r="F61">
        <f t="shared" si="1"/>
        <v>600.31999999999994</v>
      </c>
      <c r="G61">
        <f t="shared" si="2"/>
        <v>-0.64459</v>
      </c>
      <c r="H61">
        <f t="shared" si="3"/>
        <v>-386.96026879999994</v>
      </c>
      <c r="I61">
        <v>1</v>
      </c>
      <c r="J61">
        <f t="shared" si="4"/>
        <v>-0.51029243260433199</v>
      </c>
      <c r="K61">
        <f t="shared" si="5"/>
        <v>-0.57713515177521746</v>
      </c>
      <c r="L61">
        <v>1</v>
      </c>
      <c r="M61">
        <f t="shared" si="6"/>
        <v>0.46449368828859061</v>
      </c>
      <c r="N61">
        <f t="shared" si="7"/>
        <v>4.3523199999999998E-2</v>
      </c>
      <c r="O61">
        <f t="shared" si="8"/>
        <v>3.2687424E-2</v>
      </c>
      <c r="P61">
        <f t="shared" si="9"/>
        <v>3.643083948662685E-2</v>
      </c>
      <c r="V61">
        <v>-0.30000000000001997</v>
      </c>
      <c r="W61">
        <f t="shared" si="12"/>
        <v>-0.47514499999999898</v>
      </c>
    </row>
    <row r="62" spans="1:23">
      <c r="A62">
        <v>3.0539999999999998</v>
      </c>
      <c r="B62">
        <v>0.64190000000000003</v>
      </c>
      <c r="C62">
        <f t="shared" si="0"/>
        <v>1.9603626000000001</v>
      </c>
      <c r="D62">
        <v>1.4500000000000001E-2</v>
      </c>
      <c r="E62">
        <v>1.089E-2</v>
      </c>
      <c r="F62">
        <f t="shared" si="1"/>
        <v>610.79999999999995</v>
      </c>
      <c r="G62">
        <f t="shared" si="2"/>
        <v>-0.64190000000000003</v>
      </c>
      <c r="H62">
        <f t="shared" si="3"/>
        <v>-392.07252</v>
      </c>
      <c r="I62">
        <v>1</v>
      </c>
      <c r="J62">
        <f t="shared" si="4"/>
        <v>-0.49298570563765964</v>
      </c>
      <c r="K62">
        <f t="shared" si="5"/>
        <v>-0.57982515177521743</v>
      </c>
      <c r="L62">
        <v>1</v>
      </c>
      <c r="M62">
        <f t="shared" si="6"/>
        <v>0.46537027400945252</v>
      </c>
      <c r="N62">
        <f t="shared" si="7"/>
        <v>4.4283000000000003E-2</v>
      </c>
      <c r="O62">
        <f t="shared" si="8"/>
        <v>3.3258059999999999E-2</v>
      </c>
      <c r="P62">
        <f t="shared" si="9"/>
        <v>3.6913817765764904E-2</v>
      </c>
      <c r="V62">
        <v>-0.20000000000002</v>
      </c>
      <c r="W62">
        <f t="shared" si="12"/>
        <v>-0.48020999999999897</v>
      </c>
    </row>
    <row r="63" spans="1:23">
      <c r="A63">
        <v>3.1064500000000002</v>
      </c>
      <c r="B63">
        <v>0.63907000000000003</v>
      </c>
      <c r="C63">
        <f t="shared" si="0"/>
        <v>1.9852390015000001</v>
      </c>
      <c r="D63">
        <v>1.4500000000000001E-2</v>
      </c>
      <c r="E63">
        <v>1.089E-2</v>
      </c>
      <c r="F63">
        <f t="shared" si="1"/>
        <v>621.29000000000008</v>
      </c>
      <c r="G63">
        <f t="shared" si="2"/>
        <v>-0.63907000000000003</v>
      </c>
      <c r="H63">
        <f t="shared" si="3"/>
        <v>-397.04780030000001</v>
      </c>
      <c r="I63">
        <v>1</v>
      </c>
      <c r="J63">
        <f t="shared" si="4"/>
        <v>-0.47595731732610091</v>
      </c>
      <c r="K63">
        <f t="shared" si="5"/>
        <v>-0.58265515177521743</v>
      </c>
      <c r="L63">
        <v>1</v>
      </c>
      <c r="M63">
        <f t="shared" si="6"/>
        <v>0.46623276187743301</v>
      </c>
      <c r="N63">
        <f t="shared" si="7"/>
        <v>4.5043525000000008E-2</v>
      </c>
      <c r="O63">
        <f t="shared" si="8"/>
        <v>3.3829240500000003E-2</v>
      </c>
      <c r="P63">
        <f t="shared" si="9"/>
        <v>3.7549624397784413E-2</v>
      </c>
      <c r="V63">
        <v>-0.10000000000002</v>
      </c>
      <c r="W63">
        <f t="shared" si="12"/>
        <v>-0.48527499999999901</v>
      </c>
    </row>
    <row r="64" spans="1:23">
      <c r="A64">
        <v>3.1594000000000002</v>
      </c>
      <c r="B64">
        <v>0.63617000000000001</v>
      </c>
      <c r="C64">
        <f t="shared" si="0"/>
        <v>2.0099154980000002</v>
      </c>
      <c r="D64">
        <v>1.4500000000000001E-2</v>
      </c>
      <c r="E64">
        <v>1.089E-2</v>
      </c>
      <c r="F64">
        <f t="shared" si="1"/>
        <v>631.88</v>
      </c>
      <c r="G64">
        <f t="shared" si="2"/>
        <v>-0.63617000000000001</v>
      </c>
      <c r="H64">
        <f t="shared" si="3"/>
        <v>-401.98309960000006</v>
      </c>
      <c r="I64">
        <v>1</v>
      </c>
      <c r="J64">
        <f t="shared" si="4"/>
        <v>-0.45905577628124061</v>
      </c>
      <c r="K64">
        <f t="shared" si="5"/>
        <v>-0.58555515177521744</v>
      </c>
      <c r="L64">
        <v>1</v>
      </c>
      <c r="M64">
        <f t="shared" si="6"/>
        <v>0.46708882493135517</v>
      </c>
      <c r="N64">
        <f t="shared" si="7"/>
        <v>4.5811300000000006E-2</v>
      </c>
      <c r="O64">
        <f t="shared" si="8"/>
        <v>3.4405866E-2</v>
      </c>
      <c r="P64">
        <f t="shared" si="9"/>
        <v>3.8249160843862269E-2</v>
      </c>
      <c r="V64">
        <v>-2.0428103653102899E-14</v>
      </c>
      <c r="W64">
        <f t="shared" si="12"/>
        <v>-0.49033999999999894</v>
      </c>
    </row>
    <row r="65" spans="1:23">
      <c r="A65">
        <v>3.2124000000000001</v>
      </c>
      <c r="B65">
        <v>0.63336999999999999</v>
      </c>
      <c r="C65">
        <f t="shared" si="0"/>
        <v>2.0346377879999999</v>
      </c>
      <c r="D65">
        <v>1.4500000000000001E-2</v>
      </c>
      <c r="E65">
        <v>1.089E-2</v>
      </c>
      <c r="F65">
        <f t="shared" si="1"/>
        <v>642.48</v>
      </c>
      <c r="G65">
        <f t="shared" si="2"/>
        <v>-0.63336999999999999</v>
      </c>
      <c r="H65">
        <f t="shared" si="3"/>
        <v>-406.9275576</v>
      </c>
      <c r="I65">
        <v>1</v>
      </c>
      <c r="J65">
        <f t="shared" si="4"/>
        <v>-0.44241959110193019</v>
      </c>
      <c r="K65">
        <f t="shared" si="5"/>
        <v>-0.58835515177521747</v>
      </c>
      <c r="L65">
        <v>1</v>
      </c>
      <c r="M65">
        <f t="shared" si="6"/>
        <v>0.46793144771068723</v>
      </c>
      <c r="N65">
        <f t="shared" si="7"/>
        <v>4.6579800000000005E-2</v>
      </c>
      <c r="O65">
        <f t="shared" si="8"/>
        <v>3.4983036000000002E-2</v>
      </c>
      <c r="P65">
        <f t="shared" si="9"/>
        <v>3.8860868064530228E-2</v>
      </c>
      <c r="V65">
        <v>9.9999999999980105E-2</v>
      </c>
      <c r="W65">
        <f t="shared" si="12"/>
        <v>-0.49540499999999899</v>
      </c>
    </row>
    <row r="66" spans="1:23">
      <c r="A66">
        <v>3.2653500000000002</v>
      </c>
      <c r="B66">
        <v>0.63063999999999998</v>
      </c>
      <c r="C66">
        <f t="shared" si="0"/>
        <v>2.0592603240000003</v>
      </c>
      <c r="D66">
        <v>1.4500000000000001E-2</v>
      </c>
      <c r="E66">
        <v>1.089E-2</v>
      </c>
      <c r="F66">
        <f t="shared" si="1"/>
        <v>653.07000000000005</v>
      </c>
      <c r="G66">
        <f t="shared" si="2"/>
        <v>-0.63063999999999998</v>
      </c>
      <c r="H66">
        <f t="shared" si="3"/>
        <v>-411.85206480000005</v>
      </c>
      <c r="I66">
        <v>1</v>
      </c>
      <c r="J66">
        <f t="shared" si="4"/>
        <v>-0.42607095790118238</v>
      </c>
      <c r="K66">
        <f t="shared" si="5"/>
        <v>-0.59108515177521748</v>
      </c>
      <c r="L66">
        <v>1</v>
      </c>
      <c r="M66">
        <f t="shared" si="6"/>
        <v>0.46875950598230509</v>
      </c>
      <c r="N66">
        <f t="shared" si="7"/>
        <v>4.7347575000000003E-2</v>
      </c>
      <c r="O66">
        <f t="shared" si="8"/>
        <v>3.5559661500000006E-2</v>
      </c>
      <c r="P66">
        <f t="shared" si="9"/>
        <v>3.9418409292912376E-2</v>
      </c>
      <c r="V66">
        <v>0.19999999999998</v>
      </c>
      <c r="W66">
        <f t="shared" si="12"/>
        <v>-0.50046999999999897</v>
      </c>
    </row>
    <row r="67" spans="1:23">
      <c r="A67">
        <v>3.3162500000000001</v>
      </c>
      <c r="B67">
        <v>0.62787000000000004</v>
      </c>
      <c r="C67">
        <f t="shared" si="0"/>
        <v>2.0821738875000002</v>
      </c>
      <c r="D67">
        <v>1.4500000000000001E-2</v>
      </c>
      <c r="E67">
        <v>1.089E-2</v>
      </c>
      <c r="F67">
        <f t="shared" si="1"/>
        <v>663.25</v>
      </c>
      <c r="G67">
        <f t="shared" si="2"/>
        <v>-0.62787000000000004</v>
      </c>
      <c r="H67">
        <f t="shared" si="3"/>
        <v>-416.43477750000005</v>
      </c>
      <c r="I67">
        <v>1</v>
      </c>
      <c r="J67">
        <f t="shared" si="4"/>
        <v>-0.41060328596428802</v>
      </c>
      <c r="K67">
        <f t="shared" si="5"/>
        <v>-0.59385515177521742</v>
      </c>
      <c r="L67">
        <v>1</v>
      </c>
      <c r="M67">
        <f t="shared" si="6"/>
        <v>0.46954294356590881</v>
      </c>
      <c r="N67">
        <f t="shared" si="7"/>
        <v>4.8085625000000007E-2</v>
      </c>
      <c r="O67">
        <f t="shared" si="8"/>
        <v>3.6113962500000006E-2</v>
      </c>
      <c r="P67">
        <f t="shared" si="9"/>
        <v>4.0112620709308593E-2</v>
      </c>
      <c r="V67">
        <v>0.29999999999998</v>
      </c>
      <c r="W67">
        <f t="shared" si="12"/>
        <v>-0.50553499999999896</v>
      </c>
    </row>
    <row r="68" spans="1:23">
      <c r="A68">
        <v>3.3702000000000001</v>
      </c>
      <c r="B68">
        <v>0.62521000000000004</v>
      </c>
      <c r="C68">
        <f t="shared" ref="C68:C131" si="13">A68*B68</f>
        <v>2.1070827420000002</v>
      </c>
      <c r="D68">
        <v>1.4500000000000001E-2</v>
      </c>
      <c r="E68">
        <v>1.089E-2</v>
      </c>
      <c r="F68">
        <f t="shared" ref="F68:F131" si="14">A68*200</f>
        <v>674.04</v>
      </c>
      <c r="G68">
        <f t="shared" ref="G68:G131" si="15">-B68</f>
        <v>-0.62521000000000004</v>
      </c>
      <c r="H68">
        <f t="shared" ref="H68:H131" si="16">-C68*200</f>
        <v>-421.41654840000007</v>
      </c>
      <c r="I68">
        <v>1</v>
      </c>
      <c r="J68">
        <f t="shared" ref="J68:J131" si="17">LN(F68/1000)</f>
        <v>-0.39446582264979541</v>
      </c>
      <c r="K68">
        <f t="shared" ref="K68:K131" si="18">((-G68)-$N$2)</f>
        <v>-0.59651515177521741</v>
      </c>
      <c r="L68">
        <v>1</v>
      </c>
      <c r="M68">
        <f t="shared" ref="M68:M131" si="19">-1*($S$4+($S$5*J68))</f>
        <v>0.47036030608278784</v>
      </c>
      <c r="N68">
        <f t="shared" ref="N68:N131" si="20">D68*A68</f>
        <v>4.8867900000000006E-2</v>
      </c>
      <c r="O68">
        <f t="shared" ref="O68:O131" si="21">E68*A68</f>
        <v>3.6701478000000003E-2</v>
      </c>
      <c r="P68">
        <f t="shared" ref="P68:P131" si="22">-K68-M68-N68-O68</f>
        <v>4.0585467692429565E-2</v>
      </c>
      <c r="V68">
        <v>0.39999999999997998</v>
      </c>
      <c r="W68">
        <f t="shared" ref="W68:W99" si="23">V68*$S$5+$S$4</f>
        <v>-0.51059999999999894</v>
      </c>
    </row>
    <row r="69" spans="1:23">
      <c r="A69">
        <v>3.4206500000000002</v>
      </c>
      <c r="B69">
        <v>0.62205999999999995</v>
      </c>
      <c r="C69">
        <f t="shared" si="13"/>
        <v>2.1278495390000001</v>
      </c>
      <c r="D69">
        <v>1.4500000000000001E-2</v>
      </c>
      <c r="E69">
        <v>1.089E-2</v>
      </c>
      <c r="F69">
        <f t="shared" si="14"/>
        <v>684.13</v>
      </c>
      <c r="G69">
        <f t="shared" si="15"/>
        <v>-0.62205999999999995</v>
      </c>
      <c r="H69">
        <f t="shared" si="16"/>
        <v>-425.56990780000001</v>
      </c>
      <c r="I69">
        <v>1</v>
      </c>
      <c r="J69">
        <f t="shared" si="17"/>
        <v>-0.37960732093887911</v>
      </c>
      <c r="K69">
        <f t="shared" si="18"/>
        <v>-0.59966515177521751</v>
      </c>
      <c r="L69">
        <v>1</v>
      </c>
      <c r="M69">
        <f t="shared" si="19"/>
        <v>0.47111288919444577</v>
      </c>
      <c r="N69">
        <f t="shared" si="20"/>
        <v>4.9599425000000003E-2</v>
      </c>
      <c r="O69">
        <f t="shared" si="21"/>
        <v>3.7250878500000001E-2</v>
      </c>
      <c r="P69">
        <f t="shared" si="22"/>
        <v>4.1701959080771733E-2</v>
      </c>
      <c r="V69">
        <v>0.49999999999998002</v>
      </c>
      <c r="W69">
        <f t="shared" si="23"/>
        <v>-0.51566499999999893</v>
      </c>
    </row>
    <row r="70" spans="1:23">
      <c r="A70">
        <v>3.47105</v>
      </c>
      <c r="B70">
        <v>0.61953999999999998</v>
      </c>
      <c r="C70">
        <f t="shared" si="13"/>
        <v>2.1504543169999999</v>
      </c>
      <c r="D70">
        <v>1.4500000000000001E-2</v>
      </c>
      <c r="E70">
        <v>1.089E-2</v>
      </c>
      <c r="F70">
        <f t="shared" si="14"/>
        <v>694.21</v>
      </c>
      <c r="G70">
        <f t="shared" si="15"/>
        <v>-0.61953999999999998</v>
      </c>
      <c r="H70">
        <f t="shared" si="16"/>
        <v>-430.09086339999999</v>
      </c>
      <c r="I70">
        <v>1</v>
      </c>
      <c r="J70">
        <f t="shared" si="17"/>
        <v>-0.36498077058761835</v>
      </c>
      <c r="K70">
        <f t="shared" si="18"/>
        <v>-0.60218515177521748</v>
      </c>
      <c r="L70">
        <v>1</v>
      </c>
      <c r="M70">
        <f t="shared" si="19"/>
        <v>0.47185372396973713</v>
      </c>
      <c r="N70">
        <f t="shared" si="20"/>
        <v>5.0330224999999999E-2</v>
      </c>
      <c r="O70">
        <f t="shared" si="21"/>
        <v>3.7799734500000001E-2</v>
      </c>
      <c r="P70">
        <f t="shared" si="22"/>
        <v>4.2201468305480341E-2</v>
      </c>
      <c r="V70">
        <v>0.59999999999997999</v>
      </c>
      <c r="W70">
        <f t="shared" si="23"/>
        <v>-0.52072999999999903</v>
      </c>
    </row>
    <row r="71" spans="1:23">
      <c r="A71">
        <v>3.5234999999999999</v>
      </c>
      <c r="B71">
        <v>0.61697999999999997</v>
      </c>
      <c r="C71">
        <f t="shared" si="13"/>
        <v>2.1739290299999996</v>
      </c>
      <c r="D71">
        <v>1.4500000000000001E-2</v>
      </c>
      <c r="E71">
        <v>1.089E-2</v>
      </c>
      <c r="F71">
        <f t="shared" si="14"/>
        <v>704.69999999999993</v>
      </c>
      <c r="G71">
        <f t="shared" si="15"/>
        <v>-0.61697999999999997</v>
      </c>
      <c r="H71">
        <f t="shared" si="16"/>
        <v>-434.78580599999992</v>
      </c>
      <c r="I71">
        <v>1</v>
      </c>
      <c r="J71">
        <f t="shared" si="17"/>
        <v>-0.34998309864916044</v>
      </c>
      <c r="K71">
        <f t="shared" si="18"/>
        <v>-0.60474515177521748</v>
      </c>
      <c r="L71">
        <v>1</v>
      </c>
      <c r="M71">
        <f t="shared" si="19"/>
        <v>0.47261335605342003</v>
      </c>
      <c r="N71">
        <f t="shared" si="20"/>
        <v>5.1090749999999997E-2</v>
      </c>
      <c r="O71">
        <f t="shared" si="21"/>
        <v>3.8370914999999998E-2</v>
      </c>
      <c r="P71">
        <f t="shared" si="22"/>
        <v>4.2670130721797463E-2</v>
      </c>
      <c r="V71">
        <v>0.69999999999997997</v>
      </c>
      <c r="W71">
        <f t="shared" si="23"/>
        <v>-0.52579499999999901</v>
      </c>
    </row>
    <row r="72" spans="1:23">
      <c r="A72">
        <v>3.5743999999999998</v>
      </c>
      <c r="B72">
        <v>0.61414000000000002</v>
      </c>
      <c r="C72">
        <f t="shared" si="13"/>
        <v>2.195182016</v>
      </c>
      <c r="D72">
        <v>1.4500000000000001E-2</v>
      </c>
      <c r="E72">
        <v>1.089E-2</v>
      </c>
      <c r="F72">
        <f t="shared" si="14"/>
        <v>714.88</v>
      </c>
      <c r="G72">
        <f t="shared" si="15"/>
        <v>-0.61414000000000002</v>
      </c>
      <c r="H72">
        <f t="shared" si="16"/>
        <v>-439.0364032</v>
      </c>
      <c r="I72">
        <v>1</v>
      </c>
      <c r="J72">
        <f t="shared" si="17"/>
        <v>-0.33564058254135593</v>
      </c>
      <c r="K72">
        <f t="shared" si="18"/>
        <v>-0.60758515177521744</v>
      </c>
      <c r="L72">
        <v>1</v>
      </c>
      <c r="M72">
        <f t="shared" si="19"/>
        <v>0.47333980449428031</v>
      </c>
      <c r="N72">
        <f t="shared" si="20"/>
        <v>5.1828800000000001E-2</v>
      </c>
      <c r="O72">
        <f t="shared" si="21"/>
        <v>3.8925215999999999E-2</v>
      </c>
      <c r="P72">
        <f t="shared" si="22"/>
        <v>4.3491331280937115E-2</v>
      </c>
      <c r="V72">
        <v>0.79999999999997995</v>
      </c>
      <c r="W72">
        <f t="shared" si="23"/>
        <v>-0.530859999999999</v>
      </c>
    </row>
    <row r="73" spans="1:23">
      <c r="A73">
        <v>3.6258499999999998</v>
      </c>
      <c r="B73">
        <v>0.61153999999999997</v>
      </c>
      <c r="C73">
        <f t="shared" si="13"/>
        <v>2.2173523089999998</v>
      </c>
      <c r="D73">
        <v>1.4500000000000001E-2</v>
      </c>
      <c r="E73">
        <v>1.089E-2</v>
      </c>
      <c r="F73">
        <f t="shared" si="14"/>
        <v>725.17</v>
      </c>
      <c r="G73">
        <f t="shared" si="15"/>
        <v>-0.61153999999999997</v>
      </c>
      <c r="H73">
        <f t="shared" si="16"/>
        <v>-443.47046179999995</v>
      </c>
      <c r="I73">
        <v>1</v>
      </c>
      <c r="J73">
        <f t="shared" si="17"/>
        <v>-0.32134916885562698</v>
      </c>
      <c r="K73">
        <f t="shared" si="18"/>
        <v>-0.61018515177521748</v>
      </c>
      <c r="L73">
        <v>1</v>
      </c>
      <c r="M73">
        <f t="shared" si="19"/>
        <v>0.47406366459746252</v>
      </c>
      <c r="N73">
        <f t="shared" si="20"/>
        <v>5.2574824999999999E-2</v>
      </c>
      <c r="O73">
        <f t="shared" si="21"/>
        <v>3.9485506499999996E-2</v>
      </c>
      <c r="P73">
        <f t="shared" si="22"/>
        <v>4.4061155677754975E-2</v>
      </c>
      <c r="V73">
        <v>0.89999999999998004</v>
      </c>
      <c r="W73">
        <f t="shared" si="23"/>
        <v>-0.53592499999999899</v>
      </c>
    </row>
    <row r="74" spans="1:23">
      <c r="A74">
        <v>3.68235</v>
      </c>
      <c r="B74">
        <v>0.60858000000000001</v>
      </c>
      <c r="C74">
        <f t="shared" si="13"/>
        <v>2.2410045630000002</v>
      </c>
      <c r="D74">
        <v>1.4500000000000001E-2</v>
      </c>
      <c r="E74">
        <v>1.089E-2</v>
      </c>
      <c r="F74">
        <f t="shared" si="14"/>
        <v>736.47</v>
      </c>
      <c r="G74">
        <f t="shared" si="15"/>
        <v>-0.60858000000000001</v>
      </c>
      <c r="H74">
        <f t="shared" si="16"/>
        <v>-448.20091260000004</v>
      </c>
      <c r="I74">
        <v>1</v>
      </c>
      <c r="J74">
        <f t="shared" si="17"/>
        <v>-0.30588677710662721</v>
      </c>
      <c r="K74">
        <f t="shared" si="18"/>
        <v>-0.61314515177521745</v>
      </c>
      <c r="L74">
        <v>1</v>
      </c>
      <c r="M74">
        <f t="shared" si="19"/>
        <v>0.47484683473954931</v>
      </c>
      <c r="N74">
        <f t="shared" si="20"/>
        <v>5.3394075000000006E-2</v>
      </c>
      <c r="O74">
        <f t="shared" si="21"/>
        <v>4.0100791500000003E-2</v>
      </c>
      <c r="P74">
        <f t="shared" si="22"/>
        <v>4.4803450535668123E-2</v>
      </c>
      <c r="V74">
        <v>0.99999999999998002</v>
      </c>
      <c r="W74">
        <f t="shared" si="23"/>
        <v>-0.54098999999999897</v>
      </c>
    </row>
    <row r="75" spans="1:23">
      <c r="A75">
        <v>3.73325</v>
      </c>
      <c r="B75">
        <v>0.60565999999999998</v>
      </c>
      <c r="C75">
        <f t="shared" si="13"/>
        <v>2.2610801949999999</v>
      </c>
      <c r="D75">
        <v>1.4500000000000001E-2</v>
      </c>
      <c r="E75">
        <v>1.089E-2</v>
      </c>
      <c r="F75">
        <f t="shared" si="14"/>
        <v>746.65</v>
      </c>
      <c r="G75">
        <f t="shared" si="15"/>
        <v>-0.60565999999999998</v>
      </c>
      <c r="H75">
        <f t="shared" si="16"/>
        <v>-452.21603899999997</v>
      </c>
      <c r="I75">
        <v>1</v>
      </c>
      <c r="J75">
        <f t="shared" si="17"/>
        <v>-0.29215874447885953</v>
      </c>
      <c r="K75">
        <f t="shared" si="18"/>
        <v>-0.61606515177521748</v>
      </c>
      <c r="L75">
        <v>1</v>
      </c>
      <c r="M75">
        <f t="shared" si="19"/>
        <v>0.47554215959214574</v>
      </c>
      <c r="N75">
        <f t="shared" si="20"/>
        <v>5.4132125000000003E-2</v>
      </c>
      <c r="O75">
        <f t="shared" si="21"/>
        <v>4.0655092500000004E-2</v>
      </c>
      <c r="P75">
        <f t="shared" si="22"/>
        <v>4.5735774683071731E-2</v>
      </c>
      <c r="V75">
        <v>1.0999999999999699</v>
      </c>
      <c r="W75">
        <f t="shared" si="23"/>
        <v>-0.54605499999999851</v>
      </c>
    </row>
    <row r="76" spans="1:23">
      <c r="A76">
        <v>3.7867500000000001</v>
      </c>
      <c r="B76">
        <v>0.60285999999999995</v>
      </c>
      <c r="C76">
        <f t="shared" si="13"/>
        <v>2.2828801049999998</v>
      </c>
      <c r="D76">
        <v>1.4500000000000001E-2</v>
      </c>
      <c r="E76">
        <v>1.089E-2</v>
      </c>
      <c r="F76">
        <f t="shared" si="14"/>
        <v>757.35</v>
      </c>
      <c r="G76">
        <f t="shared" si="15"/>
        <v>-0.60285999999999995</v>
      </c>
      <c r="H76">
        <f t="shared" si="16"/>
        <v>-456.57602099999997</v>
      </c>
      <c r="I76">
        <v>1</v>
      </c>
      <c r="J76">
        <f t="shared" si="17"/>
        <v>-0.27792978100910271</v>
      </c>
      <c r="K76">
        <f t="shared" si="18"/>
        <v>-0.6188651517752175</v>
      </c>
      <c r="L76">
        <v>1</v>
      </c>
      <c r="M76">
        <f t="shared" si="19"/>
        <v>0.47626285659188894</v>
      </c>
      <c r="N76">
        <f t="shared" si="20"/>
        <v>5.4907875000000002E-2</v>
      </c>
      <c r="O76">
        <f t="shared" si="21"/>
        <v>4.1237707500000005E-2</v>
      </c>
      <c r="P76">
        <f t="shared" si="22"/>
        <v>4.6456712683328565E-2</v>
      </c>
      <c r="V76">
        <v>1.19999999999997</v>
      </c>
      <c r="W76">
        <f t="shared" si="23"/>
        <v>-0.5511199999999985</v>
      </c>
    </row>
    <row r="77" spans="1:23">
      <c r="A77">
        <v>3.83765</v>
      </c>
      <c r="B77">
        <v>0.60001000000000004</v>
      </c>
      <c r="C77">
        <f t="shared" si="13"/>
        <v>2.3026283765</v>
      </c>
      <c r="D77">
        <v>1.4500000000000001E-2</v>
      </c>
      <c r="E77">
        <v>1.089E-2</v>
      </c>
      <c r="F77">
        <f t="shared" si="14"/>
        <v>767.53</v>
      </c>
      <c r="G77">
        <f t="shared" si="15"/>
        <v>-0.60001000000000004</v>
      </c>
      <c r="H77">
        <f t="shared" si="16"/>
        <v>-460.52567529999999</v>
      </c>
      <c r="I77">
        <v>1</v>
      </c>
      <c r="J77">
        <f t="shared" si="17"/>
        <v>-0.2645777123368161</v>
      </c>
      <c r="K77">
        <f t="shared" si="18"/>
        <v>-0.62171515177521741</v>
      </c>
      <c r="L77">
        <v>1</v>
      </c>
      <c r="M77">
        <f t="shared" si="19"/>
        <v>0.47693913887014028</v>
      </c>
      <c r="N77">
        <f t="shared" si="20"/>
        <v>5.5645925000000006E-2</v>
      </c>
      <c r="O77">
        <f t="shared" si="21"/>
        <v>4.1792008499999998E-2</v>
      </c>
      <c r="P77">
        <f t="shared" si="22"/>
        <v>4.7338079405077123E-2</v>
      </c>
      <c r="V77">
        <v>1.2999999999999701</v>
      </c>
      <c r="W77">
        <f t="shared" si="23"/>
        <v>-0.55618499999999849</v>
      </c>
    </row>
    <row r="78" spans="1:23">
      <c r="A78">
        <v>3.8906000000000001</v>
      </c>
      <c r="B78">
        <v>0.59736</v>
      </c>
      <c r="C78">
        <f t="shared" si="13"/>
        <v>2.3240888160000002</v>
      </c>
      <c r="D78">
        <v>1.4500000000000001E-2</v>
      </c>
      <c r="E78">
        <v>1.089E-2</v>
      </c>
      <c r="F78">
        <f t="shared" si="14"/>
        <v>778.12</v>
      </c>
      <c r="G78">
        <f t="shared" si="15"/>
        <v>-0.59736</v>
      </c>
      <c r="H78">
        <f t="shared" si="16"/>
        <v>-464.81776320000006</v>
      </c>
      <c r="I78">
        <v>1</v>
      </c>
      <c r="J78">
        <f t="shared" si="17"/>
        <v>-0.25087452505252072</v>
      </c>
      <c r="K78">
        <f t="shared" si="18"/>
        <v>-0.62436515177521745</v>
      </c>
      <c r="L78">
        <v>1</v>
      </c>
      <c r="M78">
        <f t="shared" si="19"/>
        <v>0.47763320530608983</v>
      </c>
      <c r="N78">
        <f t="shared" si="20"/>
        <v>5.6413700000000004E-2</v>
      </c>
      <c r="O78">
        <f t="shared" si="21"/>
        <v>4.2368634000000002E-2</v>
      </c>
      <c r="P78">
        <f t="shared" si="22"/>
        <v>4.7949612469127614E-2</v>
      </c>
      <c r="V78">
        <v>1.3999999999999699</v>
      </c>
      <c r="W78">
        <f t="shared" si="23"/>
        <v>-0.56124999999999847</v>
      </c>
    </row>
    <row r="79" spans="1:23">
      <c r="A79">
        <v>3.9415499999999999</v>
      </c>
      <c r="B79">
        <v>0.59455000000000002</v>
      </c>
      <c r="C79">
        <f t="shared" si="13"/>
        <v>2.3434485524999999</v>
      </c>
      <c r="D79">
        <v>1.4500000000000001E-2</v>
      </c>
      <c r="E79">
        <v>1.089E-2</v>
      </c>
      <c r="F79">
        <f t="shared" si="14"/>
        <v>788.31</v>
      </c>
      <c r="G79">
        <f t="shared" si="15"/>
        <v>-0.59455000000000002</v>
      </c>
      <c r="H79">
        <f t="shared" si="16"/>
        <v>-468.68971049999999</v>
      </c>
      <c r="I79">
        <v>1</v>
      </c>
      <c r="J79">
        <f t="shared" si="17"/>
        <v>-0.23786386547092012</v>
      </c>
      <c r="K79">
        <f t="shared" si="18"/>
        <v>-0.62717515177521743</v>
      </c>
      <c r="L79">
        <v>1</v>
      </c>
      <c r="M79">
        <f t="shared" si="19"/>
        <v>0.47829219521389787</v>
      </c>
      <c r="N79">
        <f t="shared" si="20"/>
        <v>5.7152475000000001E-2</v>
      </c>
      <c r="O79">
        <f t="shared" si="21"/>
        <v>4.29234795E-2</v>
      </c>
      <c r="P79">
        <f t="shared" si="22"/>
        <v>4.8807002061319549E-2</v>
      </c>
      <c r="V79">
        <v>1.49999999999997</v>
      </c>
      <c r="W79">
        <f t="shared" si="23"/>
        <v>-0.56631499999999846</v>
      </c>
    </row>
    <row r="80" spans="1:23">
      <c r="A80">
        <v>3.9919500000000001</v>
      </c>
      <c r="B80">
        <v>0.59179999999999999</v>
      </c>
      <c r="C80">
        <f t="shared" si="13"/>
        <v>2.3624360100000001</v>
      </c>
      <c r="D80">
        <v>1.4500000000000001E-2</v>
      </c>
      <c r="E80">
        <v>1.089E-2</v>
      </c>
      <c r="F80">
        <f t="shared" si="14"/>
        <v>798.39</v>
      </c>
      <c r="G80">
        <f t="shared" si="15"/>
        <v>-0.59179999999999999</v>
      </c>
      <c r="H80">
        <f t="shared" si="16"/>
        <v>-472.48720200000002</v>
      </c>
      <c r="I80">
        <v>1</v>
      </c>
      <c r="J80">
        <f t="shared" si="17"/>
        <v>-0.2251580791134222</v>
      </c>
      <c r="K80">
        <f t="shared" si="18"/>
        <v>-0.62992515177521746</v>
      </c>
      <c r="L80">
        <v>1</v>
      </c>
      <c r="M80">
        <f t="shared" si="19"/>
        <v>0.47893574329290517</v>
      </c>
      <c r="N80">
        <f t="shared" si="20"/>
        <v>5.7883275000000005E-2</v>
      </c>
      <c r="O80">
        <f t="shared" si="21"/>
        <v>4.3472335500000001E-2</v>
      </c>
      <c r="P80">
        <f t="shared" si="22"/>
        <v>4.963379798231228E-2</v>
      </c>
      <c r="V80">
        <v>1.5999999999999699</v>
      </c>
      <c r="W80">
        <f t="shared" si="23"/>
        <v>-0.57137999999999844</v>
      </c>
    </row>
    <row r="81" spans="1:23">
      <c r="A81">
        <v>4.0505000000000004</v>
      </c>
      <c r="B81">
        <v>0.58869000000000005</v>
      </c>
      <c r="C81">
        <f t="shared" si="13"/>
        <v>2.3844888450000004</v>
      </c>
      <c r="D81">
        <v>1.4500000000000001E-2</v>
      </c>
      <c r="E81">
        <v>1.089E-2</v>
      </c>
      <c r="F81">
        <f t="shared" si="14"/>
        <v>810.10000000000014</v>
      </c>
      <c r="G81">
        <f t="shared" si="15"/>
        <v>-0.58869000000000005</v>
      </c>
      <c r="H81">
        <f t="shared" si="16"/>
        <v>-476.8977690000001</v>
      </c>
      <c r="I81">
        <v>1</v>
      </c>
      <c r="J81">
        <f t="shared" si="17"/>
        <v>-0.2105975821456913</v>
      </c>
      <c r="K81">
        <f t="shared" si="18"/>
        <v>-0.63303515177521741</v>
      </c>
      <c r="L81">
        <v>1</v>
      </c>
      <c r="M81">
        <f t="shared" si="19"/>
        <v>0.47967323246432075</v>
      </c>
      <c r="N81">
        <f t="shared" si="20"/>
        <v>5.8732250000000007E-2</v>
      </c>
      <c r="O81">
        <f t="shared" si="21"/>
        <v>4.4109945000000005E-2</v>
      </c>
      <c r="P81">
        <f t="shared" si="22"/>
        <v>5.0519724310896637E-2</v>
      </c>
      <c r="V81">
        <v>1.69999999999997</v>
      </c>
      <c r="W81">
        <f t="shared" si="23"/>
        <v>-0.57644499999999843</v>
      </c>
    </row>
    <row r="82" spans="1:23">
      <c r="A82">
        <v>4.1029499999999999</v>
      </c>
      <c r="B82">
        <v>0.58581000000000005</v>
      </c>
      <c r="C82">
        <f t="shared" si="13"/>
        <v>2.4035491394999999</v>
      </c>
      <c r="D82">
        <v>1.4500000000000001E-2</v>
      </c>
      <c r="E82">
        <v>1.089E-2</v>
      </c>
      <c r="F82">
        <f t="shared" si="14"/>
        <v>820.58999999999992</v>
      </c>
      <c r="G82">
        <f t="shared" si="15"/>
        <v>-0.58581000000000005</v>
      </c>
      <c r="H82">
        <f t="shared" si="16"/>
        <v>-480.70982789999999</v>
      </c>
      <c r="I82">
        <v>1</v>
      </c>
      <c r="J82">
        <f t="shared" si="17"/>
        <v>-0.19773168525351953</v>
      </c>
      <c r="K82">
        <f t="shared" si="18"/>
        <v>-0.6359151517752174</v>
      </c>
      <c r="L82">
        <v>1</v>
      </c>
      <c r="M82">
        <f t="shared" si="19"/>
        <v>0.48032489014190921</v>
      </c>
      <c r="N82">
        <f t="shared" si="20"/>
        <v>5.9492774999999998E-2</v>
      </c>
      <c r="O82">
        <f t="shared" si="21"/>
        <v>4.4681125500000002E-2</v>
      </c>
      <c r="P82">
        <f t="shared" si="22"/>
        <v>5.1416361133308192E-2</v>
      </c>
      <c r="V82">
        <v>1.7999999999999701</v>
      </c>
      <c r="W82">
        <f t="shared" si="23"/>
        <v>-0.58150999999999853</v>
      </c>
    </row>
    <row r="83" spans="1:23">
      <c r="A83">
        <v>4.15435</v>
      </c>
      <c r="B83">
        <v>0.58274999999999999</v>
      </c>
      <c r="C83">
        <f t="shared" si="13"/>
        <v>2.4209474625</v>
      </c>
      <c r="D83">
        <v>1.4500000000000001E-2</v>
      </c>
      <c r="E83">
        <v>1.089E-2</v>
      </c>
      <c r="F83">
        <f t="shared" si="14"/>
        <v>830.87</v>
      </c>
      <c r="G83">
        <f t="shared" si="15"/>
        <v>-0.58274999999999999</v>
      </c>
      <c r="H83">
        <f t="shared" si="16"/>
        <v>-484.18949250000003</v>
      </c>
      <c r="I83">
        <v>1</v>
      </c>
      <c r="J83">
        <f t="shared" si="17"/>
        <v>-0.18528193439086738</v>
      </c>
      <c r="K83">
        <f t="shared" si="18"/>
        <v>-0.63897515177521746</v>
      </c>
      <c r="L83">
        <v>1</v>
      </c>
      <c r="M83">
        <f t="shared" si="19"/>
        <v>0.48095547002310257</v>
      </c>
      <c r="N83">
        <f t="shared" si="20"/>
        <v>6.0238075000000002E-2</v>
      </c>
      <c r="O83">
        <f t="shared" si="21"/>
        <v>4.5240871500000002E-2</v>
      </c>
      <c r="P83">
        <f t="shared" si="22"/>
        <v>5.254073525211489E-2</v>
      </c>
      <c r="V83">
        <v>1.8999999999999699</v>
      </c>
      <c r="W83">
        <f t="shared" si="23"/>
        <v>-0.58657499999999851</v>
      </c>
    </row>
    <row r="84" spans="1:23">
      <c r="A84">
        <v>4.2053000000000003</v>
      </c>
      <c r="B84">
        <v>0.58055999999999996</v>
      </c>
      <c r="C84">
        <f t="shared" si="13"/>
        <v>2.4414289679999999</v>
      </c>
      <c r="D84">
        <v>1.4500000000000001E-2</v>
      </c>
      <c r="E84">
        <v>1.089E-2</v>
      </c>
      <c r="F84">
        <f t="shared" si="14"/>
        <v>841.06000000000006</v>
      </c>
      <c r="G84">
        <f t="shared" si="15"/>
        <v>-0.58055999999999996</v>
      </c>
      <c r="H84">
        <f t="shared" si="16"/>
        <v>-488.28579359999998</v>
      </c>
      <c r="I84">
        <v>1</v>
      </c>
      <c r="J84">
        <f t="shared" si="17"/>
        <v>-0.17309227791549975</v>
      </c>
      <c r="K84">
        <f t="shared" si="18"/>
        <v>-0.64116515177521749</v>
      </c>
      <c r="L84">
        <v>1</v>
      </c>
      <c r="M84">
        <f t="shared" si="19"/>
        <v>0.48157287612357991</v>
      </c>
      <c r="N84">
        <f t="shared" si="20"/>
        <v>6.0976850000000006E-2</v>
      </c>
      <c r="O84">
        <f t="shared" si="21"/>
        <v>4.5795717000000007E-2</v>
      </c>
      <c r="P84">
        <f t="shared" si="22"/>
        <v>5.2819708651637577E-2</v>
      </c>
      <c r="V84">
        <v>1.99999999999997</v>
      </c>
      <c r="W84">
        <f t="shared" si="23"/>
        <v>-0.5916399999999985</v>
      </c>
    </row>
    <row r="85" spans="1:23">
      <c r="A85">
        <v>4.2577499999999997</v>
      </c>
      <c r="B85">
        <v>0.57735000000000003</v>
      </c>
      <c r="C85">
        <f t="shared" si="13"/>
        <v>2.4582119625000001</v>
      </c>
      <c r="D85">
        <v>1.4500000000000001E-2</v>
      </c>
      <c r="E85">
        <v>1.089E-2</v>
      </c>
      <c r="F85">
        <f t="shared" si="14"/>
        <v>851.55</v>
      </c>
      <c r="G85">
        <f t="shared" si="15"/>
        <v>-0.57735000000000003</v>
      </c>
      <c r="H85">
        <f t="shared" si="16"/>
        <v>-491.64239250000003</v>
      </c>
      <c r="I85">
        <v>1</v>
      </c>
      <c r="J85">
        <f t="shared" si="17"/>
        <v>-0.16069706069729223</v>
      </c>
      <c r="K85">
        <f t="shared" si="18"/>
        <v>-0.64437515177521743</v>
      </c>
      <c r="L85">
        <v>1</v>
      </c>
      <c r="M85">
        <f t="shared" si="19"/>
        <v>0.48220069387568215</v>
      </c>
      <c r="N85">
        <f t="shared" si="20"/>
        <v>6.1737374999999997E-2</v>
      </c>
      <c r="O85">
        <f t="shared" si="21"/>
        <v>4.6366897499999997E-2</v>
      </c>
      <c r="P85">
        <f t="shared" si="22"/>
        <v>5.407018539953528E-2</v>
      </c>
      <c r="V85">
        <v>2.0999999999999699</v>
      </c>
      <c r="W85">
        <f t="shared" si="23"/>
        <v>-0.59670499999999849</v>
      </c>
    </row>
    <row r="86" spans="1:23">
      <c r="A86">
        <v>4.3102</v>
      </c>
      <c r="B86">
        <v>0.57435000000000003</v>
      </c>
      <c r="C86">
        <f t="shared" si="13"/>
        <v>2.4755633700000002</v>
      </c>
      <c r="D86">
        <v>1.4500000000000001E-2</v>
      </c>
      <c r="E86">
        <v>1.089E-2</v>
      </c>
      <c r="F86">
        <f t="shared" si="14"/>
        <v>862.04</v>
      </c>
      <c r="G86">
        <f t="shared" si="15"/>
        <v>-0.57435000000000003</v>
      </c>
      <c r="H86">
        <f t="shared" si="16"/>
        <v>-495.11267400000003</v>
      </c>
      <c r="I86">
        <v>1</v>
      </c>
      <c r="J86">
        <f t="shared" si="17"/>
        <v>-0.14845360568276603</v>
      </c>
      <c r="K86">
        <f t="shared" si="18"/>
        <v>-0.64737515177521743</v>
      </c>
      <c r="L86">
        <v>1</v>
      </c>
      <c r="M86">
        <f t="shared" si="19"/>
        <v>0.48282082487216788</v>
      </c>
      <c r="N86">
        <f t="shared" si="20"/>
        <v>6.2497900000000002E-2</v>
      </c>
      <c r="O86">
        <f t="shared" si="21"/>
        <v>4.6938078000000001E-2</v>
      </c>
      <c r="P86">
        <f t="shared" si="22"/>
        <v>5.5118348903049556E-2</v>
      </c>
      <c r="V86">
        <v>2.19999999999997</v>
      </c>
      <c r="W86">
        <f t="shared" si="23"/>
        <v>-0.60176999999999847</v>
      </c>
    </row>
    <row r="87" spans="1:23">
      <c r="A87">
        <v>4.3605999999999998</v>
      </c>
      <c r="B87">
        <v>0.57169999999999999</v>
      </c>
      <c r="C87">
        <f t="shared" si="13"/>
        <v>2.4929550199999997</v>
      </c>
      <c r="D87">
        <v>1.4500000000000001E-2</v>
      </c>
      <c r="E87">
        <v>1.089E-2</v>
      </c>
      <c r="F87">
        <f t="shared" si="14"/>
        <v>872.12</v>
      </c>
      <c r="G87">
        <f t="shared" si="15"/>
        <v>-0.57169999999999999</v>
      </c>
      <c r="H87">
        <f t="shared" si="16"/>
        <v>-498.59100399999994</v>
      </c>
      <c r="I87">
        <v>1</v>
      </c>
      <c r="J87">
        <f t="shared" si="17"/>
        <v>-0.13682824986228964</v>
      </c>
      <c r="K87">
        <f t="shared" si="18"/>
        <v>-0.65002515177521747</v>
      </c>
      <c r="L87">
        <v>1</v>
      </c>
      <c r="M87">
        <f t="shared" si="19"/>
        <v>0.48340964914447504</v>
      </c>
      <c r="N87">
        <f t="shared" si="20"/>
        <v>6.3228699999999999E-2</v>
      </c>
      <c r="O87">
        <f t="shared" si="21"/>
        <v>4.7486934000000001E-2</v>
      </c>
      <c r="P87">
        <f t="shared" si="22"/>
        <v>5.5899868630742429E-2</v>
      </c>
      <c r="V87">
        <v>2.2999999999999701</v>
      </c>
      <c r="W87">
        <f t="shared" si="23"/>
        <v>-0.60683499999999846</v>
      </c>
    </row>
    <row r="88" spans="1:23">
      <c r="A88">
        <v>4.4130500000000001</v>
      </c>
      <c r="B88">
        <v>0.56855</v>
      </c>
      <c r="C88">
        <f t="shared" si="13"/>
        <v>2.5090395775000003</v>
      </c>
      <c r="D88">
        <v>1.4500000000000001E-2</v>
      </c>
      <c r="E88">
        <v>1.089E-2</v>
      </c>
      <c r="F88">
        <f t="shared" si="14"/>
        <v>882.61</v>
      </c>
      <c r="G88">
        <f t="shared" si="15"/>
        <v>-0.56855</v>
      </c>
      <c r="H88">
        <f t="shared" si="16"/>
        <v>-501.80791550000004</v>
      </c>
      <c r="I88">
        <v>1</v>
      </c>
      <c r="J88">
        <f t="shared" si="17"/>
        <v>-0.12487185204998771</v>
      </c>
      <c r="K88">
        <f t="shared" si="18"/>
        <v>-0.65317515177521746</v>
      </c>
      <c r="L88">
        <v>1</v>
      </c>
      <c r="M88">
        <f t="shared" si="19"/>
        <v>0.48401524069366814</v>
      </c>
      <c r="N88">
        <f t="shared" si="20"/>
        <v>6.3989225000000011E-2</v>
      </c>
      <c r="O88">
        <f t="shared" si="21"/>
        <v>4.8058114500000006E-2</v>
      </c>
      <c r="P88">
        <f t="shared" si="22"/>
        <v>5.7112571581549303E-2</v>
      </c>
      <c r="V88">
        <v>2.3999999999999702</v>
      </c>
      <c r="W88">
        <f t="shared" si="23"/>
        <v>-0.61189999999999845</v>
      </c>
    </row>
    <row r="89" spans="1:23">
      <c r="A89">
        <v>4.46495</v>
      </c>
      <c r="B89">
        <v>0.56566000000000005</v>
      </c>
      <c r="C89">
        <f t="shared" si="13"/>
        <v>2.5256436170000001</v>
      </c>
      <c r="D89">
        <v>1.4500000000000001E-2</v>
      </c>
      <c r="E89">
        <v>1.089E-2</v>
      </c>
      <c r="F89">
        <f t="shared" si="14"/>
        <v>892.99</v>
      </c>
      <c r="G89">
        <f t="shared" si="15"/>
        <v>-0.56566000000000005</v>
      </c>
      <c r="H89">
        <f t="shared" si="16"/>
        <v>-505.12872340000001</v>
      </c>
      <c r="I89">
        <v>1</v>
      </c>
      <c r="J89">
        <f t="shared" si="17"/>
        <v>-0.11317989637662501</v>
      </c>
      <c r="K89">
        <f t="shared" si="18"/>
        <v>-0.6560651517752174</v>
      </c>
      <c r="L89">
        <v>1</v>
      </c>
      <c r="M89">
        <f t="shared" si="19"/>
        <v>0.48460743824852393</v>
      </c>
      <c r="N89">
        <f t="shared" si="20"/>
        <v>6.4741775000000001E-2</v>
      </c>
      <c r="O89">
        <f t="shared" si="21"/>
        <v>4.8623305499999998E-2</v>
      </c>
      <c r="P89">
        <f t="shared" si="22"/>
        <v>5.8092633026693478E-2</v>
      </c>
      <c r="V89">
        <v>2.4999999999999698</v>
      </c>
      <c r="W89">
        <f t="shared" si="23"/>
        <v>-0.61696499999999843</v>
      </c>
    </row>
    <row r="90" spans="1:23">
      <c r="A90">
        <v>4.51945</v>
      </c>
      <c r="B90">
        <v>0.56296999999999997</v>
      </c>
      <c r="C90">
        <f t="shared" si="13"/>
        <v>2.5443147664999999</v>
      </c>
      <c r="D90">
        <v>1.4500000000000001E-2</v>
      </c>
      <c r="E90">
        <v>1.089E-2</v>
      </c>
      <c r="F90">
        <f t="shared" si="14"/>
        <v>903.89</v>
      </c>
      <c r="G90">
        <f t="shared" si="15"/>
        <v>-0.56296999999999997</v>
      </c>
      <c r="H90">
        <f t="shared" si="16"/>
        <v>-508.86295329999996</v>
      </c>
      <c r="I90">
        <v>1</v>
      </c>
      <c r="J90">
        <f t="shared" si="17"/>
        <v>-0.10104760740967389</v>
      </c>
      <c r="K90">
        <f t="shared" si="18"/>
        <v>-0.65875515177521748</v>
      </c>
      <c r="L90">
        <v>1</v>
      </c>
      <c r="M90">
        <f t="shared" si="19"/>
        <v>0.48522193868470004</v>
      </c>
      <c r="N90">
        <f t="shared" si="20"/>
        <v>6.5532025000000008E-2</v>
      </c>
      <c r="O90">
        <f t="shared" si="21"/>
        <v>4.9216810499999999E-2</v>
      </c>
      <c r="P90">
        <f t="shared" si="22"/>
        <v>5.8784377590517439E-2</v>
      </c>
      <c r="V90">
        <v>2.5999999999999699</v>
      </c>
      <c r="W90">
        <f t="shared" si="23"/>
        <v>-0.62202999999999853</v>
      </c>
    </row>
    <row r="91" spans="1:23">
      <c r="A91">
        <v>4.5718999999999994</v>
      </c>
      <c r="B91">
        <v>0.55974000000000002</v>
      </c>
      <c r="C91">
        <f t="shared" si="13"/>
        <v>2.5590753059999996</v>
      </c>
      <c r="D91">
        <v>1.4500000000000001E-2</v>
      </c>
      <c r="E91">
        <v>1.089E-2</v>
      </c>
      <c r="F91">
        <f t="shared" si="14"/>
        <v>914.37999999999988</v>
      </c>
      <c r="G91">
        <f t="shared" si="15"/>
        <v>-0.55974000000000002</v>
      </c>
      <c r="H91">
        <f t="shared" si="16"/>
        <v>-511.81506119999989</v>
      </c>
      <c r="I91">
        <v>1</v>
      </c>
      <c r="J91">
        <f t="shared" si="17"/>
        <v>-8.9509039006704552E-2</v>
      </c>
      <c r="K91">
        <f t="shared" si="18"/>
        <v>-0.66198515177521744</v>
      </c>
      <c r="L91">
        <v>1</v>
      </c>
      <c r="M91">
        <f t="shared" si="19"/>
        <v>0.48580636717431042</v>
      </c>
      <c r="N91">
        <f t="shared" si="20"/>
        <v>6.6292549999999992E-2</v>
      </c>
      <c r="O91">
        <f t="shared" si="21"/>
        <v>4.9787990999999997E-2</v>
      </c>
      <c r="P91">
        <f t="shared" si="22"/>
        <v>6.0098243600907035E-2</v>
      </c>
      <c r="V91">
        <v>2.69999999999997</v>
      </c>
      <c r="W91">
        <f t="shared" si="23"/>
        <v>-0.62709499999999851</v>
      </c>
    </row>
    <row r="92" spans="1:23">
      <c r="A92">
        <v>4.6227999999999998</v>
      </c>
      <c r="B92">
        <v>0.55679999999999996</v>
      </c>
      <c r="C92">
        <f t="shared" si="13"/>
        <v>2.5739750399999997</v>
      </c>
      <c r="D92">
        <v>1.4500000000000001E-2</v>
      </c>
      <c r="E92">
        <v>1.089E-2</v>
      </c>
      <c r="F92">
        <f t="shared" si="14"/>
        <v>924.56</v>
      </c>
      <c r="G92">
        <f t="shared" si="15"/>
        <v>-0.55679999999999996</v>
      </c>
      <c r="H92">
        <f t="shared" si="16"/>
        <v>-514.79500799999994</v>
      </c>
      <c r="I92">
        <v>1</v>
      </c>
      <c r="J92">
        <f t="shared" si="17"/>
        <v>-7.8437330314951245E-2</v>
      </c>
      <c r="K92">
        <f t="shared" si="18"/>
        <v>-0.66492515177521749</v>
      </c>
      <c r="L92">
        <v>1</v>
      </c>
      <c r="M92">
        <f t="shared" si="19"/>
        <v>0.48636714921954771</v>
      </c>
      <c r="N92">
        <f t="shared" si="20"/>
        <v>6.7030599999999996E-2</v>
      </c>
      <c r="O92">
        <f t="shared" si="21"/>
        <v>5.0342291999999997E-2</v>
      </c>
      <c r="P92">
        <f t="shared" si="22"/>
        <v>6.1185110555669789E-2</v>
      </c>
      <c r="V92">
        <v>2.7999999999999701</v>
      </c>
      <c r="W92">
        <f t="shared" si="23"/>
        <v>-0.6321599999999985</v>
      </c>
    </row>
    <row r="93" spans="1:23">
      <c r="A93">
        <v>4.6747500000000004</v>
      </c>
      <c r="B93">
        <v>0.55369000000000002</v>
      </c>
      <c r="C93">
        <f t="shared" si="13"/>
        <v>2.5883623275000005</v>
      </c>
      <c r="D93">
        <v>1.4500000000000001E-2</v>
      </c>
      <c r="E93">
        <v>1.089E-2</v>
      </c>
      <c r="F93">
        <f t="shared" si="14"/>
        <v>934.95</v>
      </c>
      <c r="G93">
        <f t="shared" si="15"/>
        <v>-0.55369000000000002</v>
      </c>
      <c r="H93">
        <f t="shared" si="16"/>
        <v>-517.67246550000004</v>
      </c>
      <c r="I93">
        <v>1</v>
      </c>
      <c r="J93">
        <f t="shared" si="17"/>
        <v>-6.7262227059167706E-2</v>
      </c>
      <c r="K93">
        <f t="shared" si="18"/>
        <v>-0.66803515177521744</v>
      </c>
      <c r="L93">
        <v>1</v>
      </c>
      <c r="M93">
        <f t="shared" si="19"/>
        <v>0.48693316819945315</v>
      </c>
      <c r="N93">
        <f t="shared" si="20"/>
        <v>6.7783875000000007E-2</v>
      </c>
      <c r="O93">
        <f t="shared" si="21"/>
        <v>5.0908027500000008E-2</v>
      </c>
      <c r="P93">
        <f t="shared" si="22"/>
        <v>6.2410081075764276E-2</v>
      </c>
      <c r="V93">
        <v>2.8999999999999702</v>
      </c>
      <c r="W93">
        <f t="shared" si="23"/>
        <v>-0.63722499999999849</v>
      </c>
    </row>
    <row r="94" spans="1:23">
      <c r="A94">
        <v>4.7271999999999998</v>
      </c>
      <c r="B94">
        <v>0.55091999999999997</v>
      </c>
      <c r="C94">
        <f t="shared" si="13"/>
        <v>2.604309024</v>
      </c>
      <c r="D94">
        <v>1.4500000000000001E-2</v>
      </c>
      <c r="E94">
        <v>1.089E-2</v>
      </c>
      <c r="F94">
        <f t="shared" si="14"/>
        <v>945.43999999999994</v>
      </c>
      <c r="G94">
        <f t="shared" si="15"/>
        <v>-0.55091999999999997</v>
      </c>
      <c r="H94">
        <f t="shared" si="16"/>
        <v>-520.86180479999996</v>
      </c>
      <c r="I94">
        <v>1</v>
      </c>
      <c r="J94">
        <f t="shared" si="17"/>
        <v>-5.6104851384772642E-2</v>
      </c>
      <c r="K94">
        <f t="shared" si="18"/>
        <v>-0.67080515177521749</v>
      </c>
      <c r="L94">
        <v>1</v>
      </c>
      <c r="M94">
        <f t="shared" si="19"/>
        <v>0.48749828927736127</v>
      </c>
      <c r="N94">
        <f t="shared" si="20"/>
        <v>6.8544400000000005E-2</v>
      </c>
      <c r="O94">
        <f t="shared" si="21"/>
        <v>5.1479207999999999E-2</v>
      </c>
      <c r="P94">
        <f t="shared" si="22"/>
        <v>6.3283254497856212E-2</v>
      </c>
      <c r="V94">
        <v>2.9999999999999698</v>
      </c>
      <c r="W94">
        <f t="shared" si="23"/>
        <v>-0.64228999999999847</v>
      </c>
    </row>
    <row r="95" spans="1:23">
      <c r="A95">
        <v>4.7847499999999998</v>
      </c>
      <c r="B95">
        <v>0.54773000000000005</v>
      </c>
      <c r="C95">
        <f t="shared" si="13"/>
        <v>2.6207511175000002</v>
      </c>
      <c r="D95">
        <v>1.4500000000000001E-2</v>
      </c>
      <c r="E95">
        <v>1.089E-2</v>
      </c>
      <c r="F95">
        <f t="shared" si="14"/>
        <v>956.94999999999993</v>
      </c>
      <c r="G95">
        <f t="shared" si="15"/>
        <v>-0.54773000000000005</v>
      </c>
      <c r="H95">
        <f t="shared" si="16"/>
        <v>-524.15022350000004</v>
      </c>
      <c r="I95">
        <v>1</v>
      </c>
      <c r="J95">
        <f t="shared" si="17"/>
        <v>-4.4004135498054917E-2</v>
      </c>
      <c r="K95">
        <f t="shared" si="18"/>
        <v>-0.6739951517752174</v>
      </c>
      <c r="L95">
        <v>1</v>
      </c>
      <c r="M95">
        <f t="shared" si="19"/>
        <v>0.48811119053702351</v>
      </c>
      <c r="N95">
        <f t="shared" si="20"/>
        <v>6.9378875000000007E-2</v>
      </c>
      <c r="O95">
        <f t="shared" si="21"/>
        <v>5.2105927500000003E-2</v>
      </c>
      <c r="P95">
        <f t="shared" si="22"/>
        <v>6.4399158738193879E-2</v>
      </c>
      <c r="V95">
        <v>3.0999999999999699</v>
      </c>
      <c r="W95">
        <f t="shared" si="23"/>
        <v>-0.64735499999999846</v>
      </c>
    </row>
    <row r="96" spans="1:23">
      <c r="A96">
        <v>4.8387000000000002</v>
      </c>
      <c r="B96">
        <v>0.54434000000000005</v>
      </c>
      <c r="C96">
        <f t="shared" si="13"/>
        <v>2.6338979580000004</v>
      </c>
      <c r="D96">
        <v>1.4500000000000001E-2</v>
      </c>
      <c r="E96">
        <v>1.089E-2</v>
      </c>
      <c r="F96">
        <f t="shared" si="14"/>
        <v>967.74</v>
      </c>
      <c r="G96">
        <f t="shared" si="15"/>
        <v>-0.54434000000000005</v>
      </c>
      <c r="H96">
        <f t="shared" si="16"/>
        <v>-526.77959160000012</v>
      </c>
      <c r="I96">
        <v>1</v>
      </c>
      <c r="J96">
        <f t="shared" si="17"/>
        <v>-3.2791822824990824E-2</v>
      </c>
      <c r="K96">
        <f t="shared" si="18"/>
        <v>-0.67738515177521741</v>
      </c>
      <c r="L96">
        <v>1</v>
      </c>
      <c r="M96">
        <f t="shared" si="19"/>
        <v>0.4886790941739142</v>
      </c>
      <c r="N96">
        <f t="shared" si="20"/>
        <v>7.0161150000000005E-2</v>
      </c>
      <c r="O96">
        <f t="shared" si="21"/>
        <v>5.2693443000000006E-2</v>
      </c>
      <c r="P96">
        <f t="shared" si="22"/>
        <v>6.58514646013032E-2</v>
      </c>
      <c r="V96">
        <v>3.19999999999997</v>
      </c>
      <c r="W96">
        <f t="shared" si="23"/>
        <v>-0.65241999999999845</v>
      </c>
    </row>
    <row r="97" spans="1:23">
      <c r="A97">
        <v>4.8891</v>
      </c>
      <c r="B97">
        <v>0.54113</v>
      </c>
      <c r="C97">
        <f t="shared" si="13"/>
        <v>2.645638683</v>
      </c>
      <c r="D97">
        <v>1.4500000000000001E-2</v>
      </c>
      <c r="E97">
        <v>1.089E-2</v>
      </c>
      <c r="F97">
        <f t="shared" si="14"/>
        <v>977.82</v>
      </c>
      <c r="G97">
        <f t="shared" si="15"/>
        <v>-0.54113</v>
      </c>
      <c r="H97">
        <f t="shared" si="16"/>
        <v>-529.12773660000005</v>
      </c>
      <c r="I97">
        <v>1</v>
      </c>
      <c r="J97">
        <f t="shared" si="17"/>
        <v>-2.2429674966184626E-2</v>
      </c>
      <c r="K97">
        <f t="shared" si="18"/>
        <v>-0.68059515177521746</v>
      </c>
      <c r="L97">
        <v>1</v>
      </c>
      <c r="M97">
        <f t="shared" si="19"/>
        <v>0.48920393696296277</v>
      </c>
      <c r="N97">
        <f t="shared" si="20"/>
        <v>7.0891950000000009E-2</v>
      </c>
      <c r="O97">
        <f t="shared" si="21"/>
        <v>5.3242299E-2</v>
      </c>
      <c r="P97">
        <f t="shared" si="22"/>
        <v>6.7256965812254682E-2</v>
      </c>
      <c r="V97">
        <v>3.2999999999999701</v>
      </c>
      <c r="W97">
        <f t="shared" si="23"/>
        <v>-0.65748499999999854</v>
      </c>
    </row>
    <row r="98" spans="1:23">
      <c r="A98">
        <v>4.9436</v>
      </c>
      <c r="B98">
        <v>0.53825999999999996</v>
      </c>
      <c r="C98">
        <f t="shared" si="13"/>
        <v>2.6609421359999996</v>
      </c>
      <c r="D98">
        <v>1.4500000000000001E-2</v>
      </c>
      <c r="E98">
        <v>1.089E-2</v>
      </c>
      <c r="F98">
        <f t="shared" si="14"/>
        <v>988.72</v>
      </c>
      <c r="G98">
        <f t="shared" si="15"/>
        <v>-0.53825999999999996</v>
      </c>
      <c r="H98">
        <f t="shared" si="16"/>
        <v>-532.18842719999998</v>
      </c>
      <c r="I98">
        <v>1</v>
      </c>
      <c r="J98">
        <f t="shared" si="17"/>
        <v>-1.1344101700657002E-2</v>
      </c>
      <c r="K98">
        <f t="shared" si="18"/>
        <v>-0.68346515177521749</v>
      </c>
      <c r="L98">
        <v>1</v>
      </c>
      <c r="M98">
        <f t="shared" si="19"/>
        <v>0.48976542124886174</v>
      </c>
      <c r="N98">
        <f t="shared" si="20"/>
        <v>7.1682200000000001E-2</v>
      </c>
      <c r="O98">
        <f t="shared" si="21"/>
        <v>5.3835804000000001E-2</v>
      </c>
      <c r="P98">
        <f t="shared" si="22"/>
        <v>6.8181726526355749E-2</v>
      </c>
      <c r="V98">
        <v>3.3999999999999702</v>
      </c>
      <c r="W98">
        <f t="shared" si="23"/>
        <v>-0.66254999999999853</v>
      </c>
    </row>
    <row r="99" spans="1:23">
      <c r="A99">
        <v>4.9960500000000003</v>
      </c>
      <c r="B99">
        <v>0.53488000000000002</v>
      </c>
      <c r="C99">
        <f t="shared" si="13"/>
        <v>2.6722872240000002</v>
      </c>
      <c r="D99">
        <v>1.4500000000000001E-2</v>
      </c>
      <c r="E99">
        <v>1.089E-2</v>
      </c>
      <c r="F99">
        <f t="shared" si="14"/>
        <v>999.21</v>
      </c>
      <c r="G99">
        <f t="shared" si="15"/>
        <v>-0.53488000000000002</v>
      </c>
      <c r="H99">
        <f t="shared" si="16"/>
        <v>-534.45744480000008</v>
      </c>
      <c r="I99">
        <v>1</v>
      </c>
      <c r="J99">
        <f t="shared" si="17"/>
        <v>-7.9031221444372747E-4</v>
      </c>
      <c r="K99">
        <f t="shared" si="18"/>
        <v>-0.68684515177521743</v>
      </c>
      <c r="L99">
        <v>1</v>
      </c>
      <c r="M99">
        <f t="shared" si="19"/>
        <v>0.4902999706863384</v>
      </c>
      <c r="N99">
        <f t="shared" si="20"/>
        <v>7.2442725000000013E-2</v>
      </c>
      <c r="O99">
        <f t="shared" si="21"/>
        <v>5.4406984500000005E-2</v>
      </c>
      <c r="P99">
        <f t="shared" si="22"/>
        <v>6.969547158887901E-2</v>
      </c>
      <c r="V99">
        <v>3.4999999999999698</v>
      </c>
      <c r="W99">
        <f t="shared" si="23"/>
        <v>-0.66761499999999852</v>
      </c>
    </row>
    <row r="100" spans="1:23">
      <c r="A100">
        <v>5.0490000000000004</v>
      </c>
      <c r="B100">
        <v>0.53169999999999995</v>
      </c>
      <c r="C100">
        <f t="shared" si="13"/>
        <v>2.6845533000000001</v>
      </c>
      <c r="D100">
        <v>1.4500000000000001E-2</v>
      </c>
      <c r="E100">
        <v>1.089E-2</v>
      </c>
      <c r="F100">
        <f t="shared" si="14"/>
        <v>1009.8000000000001</v>
      </c>
      <c r="G100">
        <f t="shared" si="15"/>
        <v>-0.53169999999999995</v>
      </c>
      <c r="H100">
        <f t="shared" si="16"/>
        <v>-536.91066000000001</v>
      </c>
      <c r="I100">
        <v>1</v>
      </c>
      <c r="J100">
        <f t="shared" si="17"/>
        <v>9.7522914426783017E-3</v>
      </c>
      <c r="K100">
        <f t="shared" si="18"/>
        <v>-0.6900251517752175</v>
      </c>
      <c r="L100">
        <v>1</v>
      </c>
      <c r="M100">
        <f t="shared" si="19"/>
        <v>0.49083395356157167</v>
      </c>
      <c r="N100">
        <f t="shared" si="20"/>
        <v>7.3210500000000012E-2</v>
      </c>
      <c r="O100">
        <f t="shared" si="21"/>
        <v>5.4983610000000009E-2</v>
      </c>
      <c r="P100">
        <f t="shared" si="22"/>
        <v>7.0997088213645809E-2</v>
      </c>
      <c r="V100">
        <v>3.5999999999999699</v>
      </c>
      <c r="W100">
        <f t="shared" ref="W100:W131" si="24">V100*$S$5+$S$4</f>
        <v>-0.6726799999999985</v>
      </c>
    </row>
    <row r="101" spans="1:23">
      <c r="A101">
        <v>5.1009499999999992</v>
      </c>
      <c r="B101">
        <v>0.52824000000000004</v>
      </c>
      <c r="C101">
        <f t="shared" si="13"/>
        <v>2.6945258279999997</v>
      </c>
      <c r="D101">
        <v>1.4500000000000001E-2</v>
      </c>
      <c r="E101">
        <v>1.089E-2</v>
      </c>
      <c r="F101">
        <f t="shared" si="14"/>
        <v>1020.1899999999998</v>
      </c>
      <c r="G101">
        <f t="shared" si="15"/>
        <v>-0.52824000000000004</v>
      </c>
      <c r="H101">
        <f t="shared" si="16"/>
        <v>-538.90516559999992</v>
      </c>
      <c r="I101">
        <v>1</v>
      </c>
      <c r="J101">
        <f t="shared" si="17"/>
        <v>1.9988884459041227E-2</v>
      </c>
      <c r="K101">
        <f t="shared" si="18"/>
        <v>-0.69348515177521741</v>
      </c>
      <c r="L101">
        <v>1</v>
      </c>
      <c r="M101">
        <f t="shared" si="19"/>
        <v>0.49135243699785042</v>
      </c>
      <c r="N101">
        <f t="shared" si="20"/>
        <v>7.3963774999999995E-2</v>
      </c>
      <c r="O101">
        <f t="shared" si="21"/>
        <v>5.5549345499999993E-2</v>
      </c>
      <c r="P101">
        <f t="shared" si="22"/>
        <v>7.2619594277367E-2</v>
      </c>
      <c r="V101">
        <v>3.69999999999997</v>
      </c>
      <c r="W101">
        <f t="shared" si="24"/>
        <v>-0.67774499999999849</v>
      </c>
    </row>
    <row r="102" spans="1:23">
      <c r="A102">
        <v>5.1543999999999999</v>
      </c>
      <c r="B102">
        <v>0.52519000000000005</v>
      </c>
      <c r="C102">
        <f t="shared" si="13"/>
        <v>2.7070393360000002</v>
      </c>
      <c r="D102">
        <v>1.4500000000000001E-2</v>
      </c>
      <c r="E102">
        <v>1.089E-2</v>
      </c>
      <c r="F102">
        <f t="shared" si="14"/>
        <v>1030.8799999999999</v>
      </c>
      <c r="G102">
        <f t="shared" si="15"/>
        <v>-0.52519000000000005</v>
      </c>
      <c r="H102">
        <f t="shared" si="16"/>
        <v>-541.40786720000006</v>
      </c>
      <c r="I102">
        <v>1</v>
      </c>
      <c r="J102">
        <f t="shared" si="17"/>
        <v>3.0412806408195048E-2</v>
      </c>
      <c r="K102">
        <f t="shared" si="18"/>
        <v>-0.69653515177521741</v>
      </c>
      <c r="L102">
        <v>1</v>
      </c>
      <c r="M102">
        <f t="shared" si="19"/>
        <v>0.49188040864457505</v>
      </c>
      <c r="N102">
        <f t="shared" si="20"/>
        <v>7.4738800000000008E-2</v>
      </c>
      <c r="O102">
        <f t="shared" si="21"/>
        <v>5.6131416000000003E-2</v>
      </c>
      <c r="P102">
        <f t="shared" si="22"/>
        <v>7.3784527130642361E-2</v>
      </c>
      <c r="V102">
        <v>3.7999999999999701</v>
      </c>
      <c r="W102">
        <f t="shared" si="24"/>
        <v>-0.68280999999999847</v>
      </c>
    </row>
    <row r="103" spans="1:23">
      <c r="A103">
        <v>5.2073499999999999</v>
      </c>
      <c r="B103">
        <v>0.52173000000000003</v>
      </c>
      <c r="C103">
        <f t="shared" si="13"/>
        <v>2.7168307155</v>
      </c>
      <c r="D103">
        <v>1.4500000000000001E-2</v>
      </c>
      <c r="E103">
        <v>1.089E-2</v>
      </c>
      <c r="F103">
        <f t="shared" si="14"/>
        <v>1041.47</v>
      </c>
      <c r="G103">
        <f t="shared" si="15"/>
        <v>-0.52173000000000003</v>
      </c>
      <c r="H103">
        <f t="shared" si="16"/>
        <v>-543.36614310000004</v>
      </c>
      <c r="I103">
        <v>1</v>
      </c>
      <c r="J103">
        <f t="shared" si="17"/>
        <v>4.0633176695291637E-2</v>
      </c>
      <c r="K103">
        <f t="shared" si="18"/>
        <v>-0.69999515177521743</v>
      </c>
      <c r="L103">
        <v>1</v>
      </c>
      <c r="M103">
        <f t="shared" si="19"/>
        <v>0.49239807039961653</v>
      </c>
      <c r="N103">
        <f t="shared" si="20"/>
        <v>7.5506575000000006E-2</v>
      </c>
      <c r="O103">
        <f t="shared" si="21"/>
        <v>5.67080415E-2</v>
      </c>
      <c r="P103">
        <f t="shared" si="22"/>
        <v>7.538246487560088E-2</v>
      </c>
      <c r="V103">
        <v>3.8999999999999599</v>
      </c>
      <c r="W103">
        <f t="shared" si="24"/>
        <v>-0.68787499999999802</v>
      </c>
    </row>
    <row r="104" spans="1:23">
      <c r="A104">
        <v>5.2583000000000002</v>
      </c>
      <c r="B104">
        <v>0.51866000000000001</v>
      </c>
      <c r="C104">
        <f t="shared" si="13"/>
        <v>2.727269878</v>
      </c>
      <c r="D104">
        <v>1.4500000000000001E-2</v>
      </c>
      <c r="E104">
        <v>1.089E-2</v>
      </c>
      <c r="F104">
        <f t="shared" si="14"/>
        <v>1051.6600000000001</v>
      </c>
      <c r="G104">
        <f t="shared" si="15"/>
        <v>-0.51866000000000001</v>
      </c>
      <c r="H104">
        <f t="shared" si="16"/>
        <v>-545.45397560000004</v>
      </c>
      <c r="I104">
        <v>1</v>
      </c>
      <c r="J104">
        <f t="shared" si="17"/>
        <v>5.0369868160758835E-2</v>
      </c>
      <c r="K104">
        <f t="shared" si="18"/>
        <v>-0.70306515177521745</v>
      </c>
      <c r="L104">
        <v>1</v>
      </c>
      <c r="M104">
        <f t="shared" si="19"/>
        <v>0.49289123382234246</v>
      </c>
      <c r="N104">
        <f t="shared" si="20"/>
        <v>7.6245350000000003E-2</v>
      </c>
      <c r="O104">
        <f t="shared" si="21"/>
        <v>5.7262887000000005E-2</v>
      </c>
      <c r="P104">
        <f t="shared" si="22"/>
        <v>7.6665680952874987E-2</v>
      </c>
      <c r="V104">
        <v>3.99999999999996</v>
      </c>
      <c r="W104">
        <f t="shared" si="24"/>
        <v>-0.692939999999998</v>
      </c>
    </row>
    <row r="105" spans="1:23">
      <c r="A105">
        <v>5.3091999999999997</v>
      </c>
      <c r="B105">
        <v>0.51514000000000004</v>
      </c>
      <c r="C105">
        <f t="shared" si="13"/>
        <v>2.7349812880000002</v>
      </c>
      <c r="D105">
        <v>1.4500000000000001E-2</v>
      </c>
      <c r="E105">
        <v>1.089E-2</v>
      </c>
      <c r="F105">
        <f t="shared" si="14"/>
        <v>1061.8399999999999</v>
      </c>
      <c r="G105">
        <f t="shared" si="15"/>
        <v>-0.51514000000000004</v>
      </c>
      <c r="H105">
        <f t="shared" si="16"/>
        <v>-546.99625760000004</v>
      </c>
      <c r="I105">
        <v>1</v>
      </c>
      <c r="J105">
        <f t="shared" si="17"/>
        <v>6.0003252335809699E-2</v>
      </c>
      <c r="K105">
        <f t="shared" si="18"/>
        <v>-0.70658515177521741</v>
      </c>
      <c r="L105">
        <v>1</v>
      </c>
      <c r="M105">
        <f t="shared" si="19"/>
        <v>0.49337916473080878</v>
      </c>
      <c r="N105">
        <f t="shared" si="20"/>
        <v>7.6983399999999994E-2</v>
      </c>
      <c r="O105">
        <f t="shared" si="21"/>
        <v>5.7817187999999999E-2</v>
      </c>
      <c r="P105">
        <f t="shared" si="22"/>
        <v>7.8405399044408658E-2</v>
      </c>
      <c r="V105">
        <v>4.0999999999999996</v>
      </c>
      <c r="W105">
        <f t="shared" si="24"/>
        <v>-0.69800499999999999</v>
      </c>
    </row>
    <row r="106" spans="1:23">
      <c r="A106">
        <v>5.3642000000000003</v>
      </c>
      <c r="B106">
        <v>0.51158999999999999</v>
      </c>
      <c r="C106">
        <f t="shared" si="13"/>
        <v>2.7442710780000001</v>
      </c>
      <c r="D106">
        <v>1.4500000000000001E-2</v>
      </c>
      <c r="E106">
        <v>1.089E-2</v>
      </c>
      <c r="F106">
        <f t="shared" si="14"/>
        <v>1072.8400000000001</v>
      </c>
      <c r="G106">
        <f t="shared" si="15"/>
        <v>-0.51158999999999999</v>
      </c>
      <c r="H106">
        <f t="shared" si="16"/>
        <v>-548.85421559999997</v>
      </c>
      <c r="I106">
        <v>1</v>
      </c>
      <c r="J106">
        <f t="shared" si="17"/>
        <v>7.0309337897996343E-2</v>
      </c>
      <c r="K106">
        <f t="shared" si="18"/>
        <v>-0.71013515177521747</v>
      </c>
      <c r="L106">
        <v>1</v>
      </c>
      <c r="M106">
        <f t="shared" si="19"/>
        <v>0.49390116796453354</v>
      </c>
      <c r="N106">
        <f t="shared" si="20"/>
        <v>7.7780900000000014E-2</v>
      </c>
      <c r="O106">
        <f t="shared" si="21"/>
        <v>5.8416138000000006E-2</v>
      </c>
      <c r="P106">
        <f t="shared" si="22"/>
        <v>8.0036945810683907E-2</v>
      </c>
      <c r="V106">
        <v>4.2</v>
      </c>
      <c r="W106">
        <f t="shared" si="24"/>
        <v>-0.70306999999999997</v>
      </c>
    </row>
    <row r="107" spans="1:23">
      <c r="A107">
        <v>5.4151000000000007</v>
      </c>
      <c r="B107">
        <v>0.50824999999999998</v>
      </c>
      <c r="C107">
        <f t="shared" si="13"/>
        <v>2.7522245750000001</v>
      </c>
      <c r="D107">
        <v>1.4500000000000001E-2</v>
      </c>
      <c r="E107">
        <v>1.089E-2</v>
      </c>
      <c r="F107">
        <f t="shared" si="14"/>
        <v>1083.0200000000002</v>
      </c>
      <c r="G107">
        <f t="shared" si="15"/>
        <v>-0.50824999999999998</v>
      </c>
      <c r="H107">
        <f t="shared" si="16"/>
        <v>-550.44491500000004</v>
      </c>
      <c r="I107">
        <v>1</v>
      </c>
      <c r="J107">
        <f t="shared" si="17"/>
        <v>7.975343506902012E-2</v>
      </c>
      <c r="K107">
        <f t="shared" si="18"/>
        <v>-0.71347515177521748</v>
      </c>
      <c r="L107">
        <v>1</v>
      </c>
      <c r="M107">
        <f t="shared" si="19"/>
        <v>0.49437951148624587</v>
      </c>
      <c r="N107">
        <f t="shared" si="20"/>
        <v>7.8518950000000018E-2</v>
      </c>
      <c r="O107">
        <f t="shared" si="21"/>
        <v>5.8970439000000006E-2</v>
      </c>
      <c r="P107">
        <f t="shared" si="22"/>
        <v>8.160625128897156E-2</v>
      </c>
      <c r="V107">
        <v>4.3</v>
      </c>
      <c r="W107">
        <f t="shared" si="24"/>
        <v>-0.70813499999999996</v>
      </c>
    </row>
    <row r="108" spans="1:23">
      <c r="A108">
        <v>5.4691000000000001</v>
      </c>
      <c r="B108">
        <v>0.50478000000000001</v>
      </c>
      <c r="C108">
        <f t="shared" si="13"/>
        <v>2.7606922979999999</v>
      </c>
      <c r="D108">
        <v>1.4500000000000001E-2</v>
      </c>
      <c r="E108">
        <v>1.089E-2</v>
      </c>
      <c r="F108">
        <f t="shared" si="14"/>
        <v>1093.82</v>
      </c>
      <c r="G108">
        <f t="shared" si="15"/>
        <v>-0.50478000000000001</v>
      </c>
      <c r="H108">
        <f t="shared" si="16"/>
        <v>-552.13845960000003</v>
      </c>
      <c r="I108">
        <v>1</v>
      </c>
      <c r="J108">
        <f t="shared" si="17"/>
        <v>8.9676156641774529E-2</v>
      </c>
      <c r="K108">
        <f t="shared" si="18"/>
        <v>-0.71694515177521745</v>
      </c>
      <c r="L108">
        <v>1</v>
      </c>
      <c r="M108">
        <f t="shared" si="19"/>
        <v>0.49488209733390587</v>
      </c>
      <c r="N108">
        <f t="shared" si="20"/>
        <v>7.930195000000001E-2</v>
      </c>
      <c r="O108">
        <f t="shared" si="21"/>
        <v>5.9558499000000001E-2</v>
      </c>
      <c r="P108">
        <f t="shared" si="22"/>
        <v>8.320260544131157E-2</v>
      </c>
      <c r="V108">
        <v>4.4000000000000004</v>
      </c>
      <c r="W108">
        <f t="shared" si="24"/>
        <v>-0.71320000000000006</v>
      </c>
    </row>
    <row r="109" spans="1:23">
      <c r="A109">
        <v>5.5240500000000008</v>
      </c>
      <c r="B109">
        <v>0.50114999999999998</v>
      </c>
      <c r="C109">
        <f t="shared" si="13"/>
        <v>2.7683776575000003</v>
      </c>
      <c r="D109">
        <v>1.4500000000000001E-2</v>
      </c>
      <c r="E109">
        <v>1.089E-2</v>
      </c>
      <c r="F109">
        <f t="shared" si="14"/>
        <v>1104.8100000000002</v>
      </c>
      <c r="G109">
        <f t="shared" si="15"/>
        <v>-0.50114999999999998</v>
      </c>
      <c r="H109">
        <f t="shared" si="16"/>
        <v>-553.67553150000003</v>
      </c>
      <c r="I109">
        <v>1</v>
      </c>
      <c r="J109">
        <f t="shared" si="17"/>
        <v>9.9673374484001862E-2</v>
      </c>
      <c r="K109">
        <f t="shared" si="18"/>
        <v>-0.72057515177521747</v>
      </c>
      <c r="L109">
        <v>1</v>
      </c>
      <c r="M109">
        <f t="shared" si="19"/>
        <v>0.4953884564176147</v>
      </c>
      <c r="N109">
        <f t="shared" si="20"/>
        <v>8.0098725000000009E-2</v>
      </c>
      <c r="O109">
        <f t="shared" si="21"/>
        <v>6.0156904500000011E-2</v>
      </c>
      <c r="P109">
        <f t="shared" si="22"/>
        <v>8.4931065857602753E-2</v>
      </c>
      <c r="V109">
        <v>4.5</v>
      </c>
      <c r="W109">
        <f t="shared" si="24"/>
        <v>-0.71826499999999993</v>
      </c>
    </row>
    <row r="110" spans="1:23">
      <c r="A110">
        <v>5.5759999999999996</v>
      </c>
      <c r="B110">
        <v>0.49725000000000003</v>
      </c>
      <c r="C110">
        <f t="shared" si="13"/>
        <v>2.7726660000000001</v>
      </c>
      <c r="D110">
        <v>1.4500000000000001E-2</v>
      </c>
      <c r="E110">
        <v>1.089E-2</v>
      </c>
      <c r="F110">
        <f t="shared" si="14"/>
        <v>1115.1999999999998</v>
      </c>
      <c r="G110">
        <f t="shared" si="15"/>
        <v>-0.49725000000000003</v>
      </c>
      <c r="H110">
        <f t="shared" si="16"/>
        <v>-554.53319999999997</v>
      </c>
      <c r="I110">
        <v>1</v>
      </c>
      <c r="J110">
        <f t="shared" si="17"/>
        <v>0.10903376102412216</v>
      </c>
      <c r="K110">
        <f t="shared" si="18"/>
        <v>-0.72447515177521749</v>
      </c>
      <c r="L110">
        <v>1</v>
      </c>
      <c r="M110">
        <f t="shared" si="19"/>
        <v>0.49586255999587181</v>
      </c>
      <c r="N110">
        <f t="shared" si="20"/>
        <v>8.0851999999999993E-2</v>
      </c>
      <c r="O110">
        <f t="shared" si="21"/>
        <v>6.0722640000000001E-2</v>
      </c>
      <c r="P110">
        <f t="shared" si="22"/>
        <v>8.7037951779345701E-2</v>
      </c>
      <c r="V110">
        <v>4.5999999999999996</v>
      </c>
      <c r="W110">
        <f t="shared" si="24"/>
        <v>-0.72333000000000003</v>
      </c>
    </row>
    <row r="111" spans="1:23">
      <c r="A111">
        <v>5.6269</v>
      </c>
      <c r="B111">
        <v>0.49357000000000001</v>
      </c>
      <c r="C111">
        <f t="shared" si="13"/>
        <v>2.7772690330000001</v>
      </c>
      <c r="D111">
        <v>1.4500000000000001E-2</v>
      </c>
      <c r="E111">
        <v>1.089E-2</v>
      </c>
      <c r="F111">
        <f t="shared" si="14"/>
        <v>1125.3800000000001</v>
      </c>
      <c r="G111">
        <f t="shared" si="15"/>
        <v>-0.49357000000000001</v>
      </c>
      <c r="H111">
        <f t="shared" si="16"/>
        <v>-555.45380660000001</v>
      </c>
      <c r="I111">
        <v>1</v>
      </c>
      <c r="J111">
        <f t="shared" si="17"/>
        <v>0.11812075640009057</v>
      </c>
      <c r="K111">
        <f t="shared" si="18"/>
        <v>-0.72815515177521739</v>
      </c>
      <c r="L111">
        <v>1</v>
      </c>
      <c r="M111">
        <f t="shared" si="19"/>
        <v>0.49632281631166458</v>
      </c>
      <c r="N111">
        <f t="shared" si="20"/>
        <v>8.1590050000000011E-2</v>
      </c>
      <c r="O111">
        <f t="shared" si="21"/>
        <v>6.1276941000000001E-2</v>
      </c>
      <c r="P111">
        <f t="shared" si="22"/>
        <v>8.8965344463552781E-2</v>
      </c>
      <c r="V111">
        <v>4.7</v>
      </c>
      <c r="W111">
        <f t="shared" si="24"/>
        <v>-0.72839500000000001</v>
      </c>
    </row>
    <row r="112" spans="1:23">
      <c r="A112">
        <v>5.6778499999999994</v>
      </c>
      <c r="B112">
        <v>0.49025000000000002</v>
      </c>
      <c r="C112">
        <f t="shared" si="13"/>
        <v>2.7835659625</v>
      </c>
      <c r="D112">
        <v>1.4500000000000001E-2</v>
      </c>
      <c r="E112">
        <v>1.089E-2</v>
      </c>
      <c r="F112">
        <f t="shared" si="14"/>
        <v>1135.57</v>
      </c>
      <c r="G112">
        <f t="shared" si="15"/>
        <v>-0.49025000000000002</v>
      </c>
      <c r="H112">
        <f t="shared" si="16"/>
        <v>-556.71319249999999</v>
      </c>
      <c r="I112">
        <v>1</v>
      </c>
      <c r="J112">
        <f t="shared" si="17"/>
        <v>0.12713472751499424</v>
      </c>
      <c r="K112">
        <f t="shared" si="18"/>
        <v>-0.73147515177521738</v>
      </c>
      <c r="L112">
        <v>1</v>
      </c>
      <c r="M112">
        <f t="shared" si="19"/>
        <v>0.49677937394863447</v>
      </c>
      <c r="N112">
        <f t="shared" si="20"/>
        <v>8.2328824999999994E-2</v>
      </c>
      <c r="O112">
        <f t="shared" si="21"/>
        <v>6.1831786499999992E-2</v>
      </c>
      <c r="P112">
        <f t="shared" si="22"/>
        <v>9.0535166326582928E-2</v>
      </c>
      <c r="V112">
        <v>4.8</v>
      </c>
      <c r="W112">
        <f t="shared" si="24"/>
        <v>-0.73346</v>
      </c>
    </row>
    <row r="113" spans="1:23">
      <c r="A113">
        <v>5.7282500000000001</v>
      </c>
      <c r="B113">
        <v>0.48642999999999997</v>
      </c>
      <c r="C113">
        <f t="shared" si="13"/>
        <v>2.7863926475</v>
      </c>
      <c r="D113">
        <v>1.4500000000000001E-2</v>
      </c>
      <c r="E113">
        <v>1.089E-2</v>
      </c>
      <c r="F113">
        <f t="shared" si="14"/>
        <v>1145.6500000000001</v>
      </c>
      <c r="G113">
        <f t="shared" si="15"/>
        <v>-0.48642999999999997</v>
      </c>
      <c r="H113">
        <f t="shared" si="16"/>
        <v>-557.27852949999999</v>
      </c>
      <c r="I113">
        <v>1</v>
      </c>
      <c r="J113">
        <f t="shared" si="17"/>
        <v>0.13597216152321454</v>
      </c>
      <c r="K113">
        <f t="shared" si="18"/>
        <v>-0.73529515177521754</v>
      </c>
      <c r="L113">
        <v>1</v>
      </c>
      <c r="M113">
        <f t="shared" si="19"/>
        <v>0.49722698998115084</v>
      </c>
      <c r="N113">
        <f t="shared" si="20"/>
        <v>8.3059625000000012E-2</v>
      </c>
      <c r="O113">
        <f t="shared" si="21"/>
        <v>6.23806425E-2</v>
      </c>
      <c r="P113">
        <f t="shared" si="22"/>
        <v>9.2627894294066676E-2</v>
      </c>
      <c r="V113">
        <v>4.9000000000000004</v>
      </c>
      <c r="W113">
        <f t="shared" si="24"/>
        <v>-0.73852499999999999</v>
      </c>
    </row>
    <row r="114" spans="1:23">
      <c r="A114">
        <v>5.7797000000000001</v>
      </c>
      <c r="B114">
        <v>0.48277999999999999</v>
      </c>
      <c r="C114">
        <f t="shared" si="13"/>
        <v>2.7903235660000001</v>
      </c>
      <c r="D114">
        <v>1.4500000000000001E-2</v>
      </c>
      <c r="E114">
        <v>1.089E-2</v>
      </c>
      <c r="F114">
        <f t="shared" si="14"/>
        <v>1155.94</v>
      </c>
      <c r="G114">
        <f t="shared" si="15"/>
        <v>-0.48277999999999999</v>
      </c>
      <c r="H114">
        <f t="shared" si="16"/>
        <v>-558.06471320000003</v>
      </c>
      <c r="I114">
        <v>1</v>
      </c>
      <c r="J114">
        <f t="shared" si="17"/>
        <v>0.1449138657889856</v>
      </c>
      <c r="K114">
        <f t="shared" si="18"/>
        <v>-0.73894515177521747</v>
      </c>
      <c r="L114">
        <v>1</v>
      </c>
      <c r="M114">
        <f t="shared" si="19"/>
        <v>0.49767988730221213</v>
      </c>
      <c r="N114">
        <f t="shared" si="20"/>
        <v>8.3805650000000009E-2</v>
      </c>
      <c r="O114">
        <f t="shared" si="21"/>
        <v>6.2940933000000004E-2</v>
      </c>
      <c r="P114">
        <f t="shared" si="22"/>
        <v>9.4518681473005323E-2</v>
      </c>
      <c r="V114">
        <v>5</v>
      </c>
      <c r="W114">
        <f t="shared" si="24"/>
        <v>-0.74358999999999997</v>
      </c>
    </row>
    <row r="115" spans="1:23">
      <c r="A115">
        <v>5.8352000000000004</v>
      </c>
      <c r="B115">
        <v>0.47892000000000001</v>
      </c>
      <c r="C115">
        <f t="shared" si="13"/>
        <v>2.7945939840000005</v>
      </c>
      <c r="D115">
        <v>1.4500000000000001E-2</v>
      </c>
      <c r="E115">
        <v>1.089E-2</v>
      </c>
      <c r="F115">
        <f t="shared" si="14"/>
        <v>1167.04</v>
      </c>
      <c r="G115">
        <f t="shared" si="15"/>
        <v>-0.47892000000000001</v>
      </c>
      <c r="H115">
        <f t="shared" si="16"/>
        <v>-558.91879680000011</v>
      </c>
      <c r="I115">
        <v>1</v>
      </c>
      <c r="J115">
        <f t="shared" si="17"/>
        <v>0.15447062863817823</v>
      </c>
      <c r="K115">
        <f t="shared" si="18"/>
        <v>-0.74280515177521744</v>
      </c>
      <c r="L115">
        <v>1</v>
      </c>
      <c r="M115">
        <f t="shared" si="19"/>
        <v>0.49816393734052372</v>
      </c>
      <c r="N115">
        <f t="shared" si="20"/>
        <v>8.4610400000000016E-2</v>
      </c>
      <c r="O115">
        <f t="shared" si="21"/>
        <v>6.3545328000000012E-2</v>
      </c>
      <c r="P115">
        <f t="shared" si="22"/>
        <v>9.6485486434693679E-2</v>
      </c>
      <c r="V115">
        <v>5.0999999999999996</v>
      </c>
      <c r="W115">
        <f t="shared" si="24"/>
        <v>-0.74865499999999996</v>
      </c>
    </row>
    <row r="116" spans="1:23">
      <c r="A116">
        <v>5.8870999999999993</v>
      </c>
      <c r="B116">
        <v>0.4748</v>
      </c>
      <c r="C116">
        <f t="shared" si="13"/>
        <v>2.7951950799999996</v>
      </c>
      <c r="D116">
        <v>1.4500000000000001E-2</v>
      </c>
      <c r="E116">
        <v>1.089E-2</v>
      </c>
      <c r="F116">
        <f t="shared" si="14"/>
        <v>1177.4199999999998</v>
      </c>
      <c r="G116">
        <f t="shared" si="15"/>
        <v>-0.4748</v>
      </c>
      <c r="H116">
        <f t="shared" si="16"/>
        <v>-559.03901599999995</v>
      </c>
      <c r="I116">
        <v>1</v>
      </c>
      <c r="J116">
        <f t="shared" si="17"/>
        <v>0.16332560404835486</v>
      </c>
      <c r="K116">
        <f t="shared" si="18"/>
        <v>-0.74692515177521746</v>
      </c>
      <c r="L116">
        <v>1</v>
      </c>
      <c r="M116">
        <f t="shared" si="19"/>
        <v>0.49861244184504916</v>
      </c>
      <c r="N116">
        <f t="shared" si="20"/>
        <v>8.5362949999999993E-2</v>
      </c>
      <c r="O116">
        <f t="shared" si="21"/>
        <v>6.4110518999999991E-2</v>
      </c>
      <c r="P116">
        <f t="shared" si="22"/>
        <v>9.8839240930168312E-2</v>
      </c>
      <c r="V116">
        <v>5.2</v>
      </c>
      <c r="W116">
        <f t="shared" si="24"/>
        <v>-0.75371999999999995</v>
      </c>
    </row>
    <row r="117" spans="1:23">
      <c r="A117">
        <v>5.9380499999999996</v>
      </c>
      <c r="B117">
        <v>0.47110999999999997</v>
      </c>
      <c r="C117">
        <f t="shared" si="13"/>
        <v>2.7974747354999998</v>
      </c>
      <c r="D117">
        <v>1.4500000000000001E-2</v>
      </c>
      <c r="E117">
        <v>1.089E-2</v>
      </c>
      <c r="F117">
        <f t="shared" si="14"/>
        <v>1187.6099999999999</v>
      </c>
      <c r="G117">
        <f t="shared" si="15"/>
        <v>-0.47110999999999997</v>
      </c>
      <c r="H117">
        <f t="shared" si="16"/>
        <v>-559.49494709999999</v>
      </c>
      <c r="I117">
        <v>1</v>
      </c>
      <c r="J117">
        <f t="shared" si="17"/>
        <v>0.17194288421556667</v>
      </c>
      <c r="K117">
        <f t="shared" si="18"/>
        <v>-0.75061515177521754</v>
      </c>
      <c r="L117">
        <v>1</v>
      </c>
      <c r="M117">
        <f t="shared" si="19"/>
        <v>0.49904890708551847</v>
      </c>
      <c r="N117">
        <f t="shared" si="20"/>
        <v>8.6101725000000004E-2</v>
      </c>
      <c r="O117">
        <f t="shared" si="21"/>
        <v>6.4665364500000003E-2</v>
      </c>
      <c r="P117">
        <f t="shared" si="22"/>
        <v>0.10079915518969905</v>
      </c>
      <c r="V117">
        <v>5.3</v>
      </c>
      <c r="W117">
        <f t="shared" si="24"/>
        <v>-0.75878500000000004</v>
      </c>
    </row>
    <row r="118" spans="1:23">
      <c r="A118">
        <v>5.9894499999999997</v>
      </c>
      <c r="B118">
        <v>0.46716000000000002</v>
      </c>
      <c r="C118">
        <f t="shared" si="13"/>
        <v>2.798031462</v>
      </c>
      <c r="D118">
        <v>1.4500000000000001E-2</v>
      </c>
      <c r="E118">
        <v>1.089E-2</v>
      </c>
      <c r="F118">
        <f t="shared" si="14"/>
        <v>1197.8899999999999</v>
      </c>
      <c r="G118">
        <f t="shared" si="15"/>
        <v>-0.46716000000000002</v>
      </c>
      <c r="H118">
        <f t="shared" si="16"/>
        <v>-559.60629240000003</v>
      </c>
      <c r="I118">
        <v>1</v>
      </c>
      <c r="J118">
        <f t="shared" si="17"/>
        <v>0.1805616757780717</v>
      </c>
      <c r="K118">
        <f t="shared" si="18"/>
        <v>-0.75456515177521744</v>
      </c>
      <c r="L118">
        <v>1</v>
      </c>
      <c r="M118">
        <f t="shared" si="19"/>
        <v>0.49948544887815932</v>
      </c>
      <c r="N118">
        <f t="shared" si="20"/>
        <v>8.6847024999999994E-2</v>
      </c>
      <c r="O118">
        <f t="shared" si="21"/>
        <v>6.5225110500000003E-2</v>
      </c>
      <c r="P118">
        <f t="shared" si="22"/>
        <v>0.10300756739705812</v>
      </c>
      <c r="V118">
        <v>5.4</v>
      </c>
      <c r="W118">
        <f t="shared" si="24"/>
        <v>-0.76385000000000003</v>
      </c>
    </row>
    <row r="119" spans="1:23">
      <c r="A119">
        <v>6.04345</v>
      </c>
      <c r="B119">
        <v>0.46327000000000002</v>
      </c>
      <c r="C119">
        <f t="shared" si="13"/>
        <v>2.7997490814999999</v>
      </c>
      <c r="D119">
        <v>1.4500000000000001E-2</v>
      </c>
      <c r="E119">
        <v>1.089E-2</v>
      </c>
      <c r="F119">
        <f t="shared" si="14"/>
        <v>1208.69</v>
      </c>
      <c r="G119">
        <f t="shared" si="15"/>
        <v>-0.46327000000000002</v>
      </c>
      <c r="H119">
        <f t="shared" si="16"/>
        <v>-559.94981629999995</v>
      </c>
      <c r="I119">
        <v>1</v>
      </c>
      <c r="J119">
        <f t="shared" si="17"/>
        <v>0.18953712849751519</v>
      </c>
      <c r="K119">
        <f t="shared" si="18"/>
        <v>-0.75845515177521738</v>
      </c>
      <c r="L119">
        <v>1</v>
      </c>
      <c r="M119">
        <f t="shared" si="19"/>
        <v>0.49994005555839915</v>
      </c>
      <c r="N119">
        <f t="shared" si="20"/>
        <v>8.7630025E-2</v>
      </c>
      <c r="O119">
        <f t="shared" si="21"/>
        <v>6.5813170500000004E-2</v>
      </c>
      <c r="P119">
        <f t="shared" si="22"/>
        <v>0.10507190071681823</v>
      </c>
      <c r="V119">
        <v>5.5</v>
      </c>
      <c r="W119">
        <f t="shared" si="24"/>
        <v>-0.76891500000000002</v>
      </c>
    </row>
    <row r="120" spans="1:23">
      <c r="A120">
        <v>6.0938499999999998</v>
      </c>
      <c r="B120">
        <v>0.4587</v>
      </c>
      <c r="C120">
        <f t="shared" si="13"/>
        <v>2.7952489949999997</v>
      </c>
      <c r="D120">
        <v>1.4500000000000001E-2</v>
      </c>
      <c r="E120">
        <v>1.089E-2</v>
      </c>
      <c r="F120">
        <f t="shared" si="14"/>
        <v>1218.77</v>
      </c>
      <c r="G120">
        <f t="shared" si="15"/>
        <v>-0.4587</v>
      </c>
      <c r="H120">
        <f t="shared" si="16"/>
        <v>-559.04979899999989</v>
      </c>
      <c r="I120">
        <v>1</v>
      </c>
      <c r="J120">
        <f t="shared" si="17"/>
        <v>0.19784215345168327</v>
      </c>
      <c r="K120">
        <f t="shared" si="18"/>
        <v>-0.76302515177521746</v>
      </c>
      <c r="L120">
        <v>1</v>
      </c>
      <c r="M120">
        <f t="shared" si="19"/>
        <v>0.50036070507232777</v>
      </c>
      <c r="N120">
        <f t="shared" si="20"/>
        <v>8.8360825000000004E-2</v>
      </c>
      <c r="O120">
        <f t="shared" si="21"/>
        <v>6.6362026500000004E-2</v>
      </c>
      <c r="P120">
        <f t="shared" si="22"/>
        <v>0.10794159520288968</v>
      </c>
      <c r="V120">
        <v>5.6</v>
      </c>
      <c r="W120">
        <f t="shared" si="24"/>
        <v>-0.77398</v>
      </c>
    </row>
    <row r="121" spans="1:23">
      <c r="A121">
        <v>6.1473000000000004</v>
      </c>
      <c r="B121">
        <v>0.45443</v>
      </c>
      <c r="C121">
        <f t="shared" si="13"/>
        <v>2.7935175390000002</v>
      </c>
      <c r="D121">
        <v>1.4500000000000001E-2</v>
      </c>
      <c r="E121">
        <v>1.089E-2</v>
      </c>
      <c r="F121">
        <f t="shared" si="14"/>
        <v>1229.46</v>
      </c>
      <c r="G121">
        <f t="shared" si="15"/>
        <v>-0.45443</v>
      </c>
      <c r="H121">
        <f t="shared" si="16"/>
        <v>-558.70350780000001</v>
      </c>
      <c r="I121">
        <v>1</v>
      </c>
      <c r="J121">
        <f t="shared" si="17"/>
        <v>0.20657504859465911</v>
      </c>
      <c r="K121">
        <f t="shared" si="18"/>
        <v>-0.76729515177521745</v>
      </c>
      <c r="L121">
        <v>1</v>
      </c>
      <c r="M121">
        <f t="shared" si="19"/>
        <v>0.50080302621131945</v>
      </c>
      <c r="N121">
        <f t="shared" si="20"/>
        <v>8.9135850000000016E-2</v>
      </c>
      <c r="O121">
        <f t="shared" si="21"/>
        <v>6.6944097000000008E-2</v>
      </c>
      <c r="P121">
        <f t="shared" si="22"/>
        <v>0.11041217856389798</v>
      </c>
      <c r="V121">
        <v>5.7</v>
      </c>
      <c r="W121">
        <f t="shared" si="24"/>
        <v>-0.77904499999999999</v>
      </c>
    </row>
    <row r="122" spans="1:23">
      <c r="A122">
        <v>6.1992499999999993</v>
      </c>
      <c r="B122">
        <v>0.45004</v>
      </c>
      <c r="C122">
        <f t="shared" si="13"/>
        <v>2.7899104699999997</v>
      </c>
      <c r="D122">
        <v>1.4500000000000001E-2</v>
      </c>
      <c r="E122">
        <v>1.089E-2</v>
      </c>
      <c r="F122">
        <f t="shared" si="14"/>
        <v>1239.8499999999999</v>
      </c>
      <c r="G122">
        <f t="shared" si="15"/>
        <v>-0.45004</v>
      </c>
      <c r="H122">
        <f t="shared" si="16"/>
        <v>-557.98209399999996</v>
      </c>
      <c r="I122">
        <v>1</v>
      </c>
      <c r="J122">
        <f t="shared" si="17"/>
        <v>0.21499040455782253</v>
      </c>
      <c r="K122">
        <f t="shared" si="18"/>
        <v>-0.77168515177521746</v>
      </c>
      <c r="L122">
        <v>1</v>
      </c>
      <c r="M122">
        <f t="shared" si="19"/>
        <v>0.50122926399085366</v>
      </c>
      <c r="N122">
        <f t="shared" si="20"/>
        <v>8.9889125E-2</v>
      </c>
      <c r="O122">
        <f t="shared" si="21"/>
        <v>6.7509832499999992E-2</v>
      </c>
      <c r="P122">
        <f t="shared" si="22"/>
        <v>0.1130569302843638</v>
      </c>
      <c r="V122">
        <v>5.8</v>
      </c>
      <c r="W122">
        <f t="shared" si="24"/>
        <v>-0.78410999999999997</v>
      </c>
    </row>
    <row r="123" spans="1:23">
      <c r="A123">
        <v>6.2531999999999996</v>
      </c>
      <c r="B123">
        <v>0.44592999999999999</v>
      </c>
      <c r="C123">
        <f t="shared" si="13"/>
        <v>2.7884894759999996</v>
      </c>
      <c r="D123">
        <v>1.4500000000000001E-2</v>
      </c>
      <c r="E123">
        <v>1.089E-2</v>
      </c>
      <c r="F123">
        <f t="shared" si="14"/>
        <v>1250.6399999999999</v>
      </c>
      <c r="G123">
        <f t="shared" si="15"/>
        <v>-0.44592999999999999</v>
      </c>
      <c r="H123">
        <f t="shared" si="16"/>
        <v>-557.69789519999995</v>
      </c>
      <c r="I123">
        <v>1</v>
      </c>
      <c r="J123">
        <f t="shared" si="17"/>
        <v>0.22365542028693181</v>
      </c>
      <c r="K123">
        <f t="shared" si="18"/>
        <v>-0.77579515177521752</v>
      </c>
      <c r="L123">
        <v>1</v>
      </c>
      <c r="M123">
        <f t="shared" si="19"/>
        <v>0.50166814703753304</v>
      </c>
      <c r="N123">
        <f t="shared" si="20"/>
        <v>9.0671399999999999E-2</v>
      </c>
      <c r="O123">
        <f t="shared" si="21"/>
        <v>6.8097348000000002E-2</v>
      </c>
      <c r="P123">
        <f t="shared" si="22"/>
        <v>0.11535825673768446</v>
      </c>
      <c r="V123">
        <v>5.9</v>
      </c>
      <c r="W123">
        <f t="shared" si="24"/>
        <v>-0.78917499999999996</v>
      </c>
    </row>
    <row r="124" spans="1:23">
      <c r="A124">
        <v>6.3036499999999993</v>
      </c>
      <c r="B124">
        <v>0.44109999999999999</v>
      </c>
      <c r="C124">
        <f t="shared" si="13"/>
        <v>2.7805400149999997</v>
      </c>
      <c r="D124">
        <v>1.4500000000000001E-2</v>
      </c>
      <c r="E124">
        <v>1.089E-2</v>
      </c>
      <c r="F124">
        <f t="shared" si="14"/>
        <v>1260.7299999999998</v>
      </c>
      <c r="G124">
        <f t="shared" si="15"/>
        <v>-0.44109999999999999</v>
      </c>
      <c r="H124">
        <f t="shared" si="16"/>
        <v>-556.10800299999994</v>
      </c>
      <c r="I124">
        <v>1</v>
      </c>
      <c r="J124">
        <f t="shared" si="17"/>
        <v>0.23169091827559968</v>
      </c>
      <c r="K124">
        <f t="shared" si="18"/>
        <v>-0.78062515177521741</v>
      </c>
      <c r="L124">
        <v>1</v>
      </c>
      <c r="M124">
        <f t="shared" si="19"/>
        <v>0.50207514501065909</v>
      </c>
      <c r="N124">
        <f t="shared" si="20"/>
        <v>9.1402924999999996E-2</v>
      </c>
      <c r="O124">
        <f t="shared" si="21"/>
        <v>6.8646748499999993E-2</v>
      </c>
      <c r="P124">
        <f t="shared" si="22"/>
        <v>0.11850033326455833</v>
      </c>
      <c r="V124">
        <v>6</v>
      </c>
      <c r="W124">
        <f t="shared" si="24"/>
        <v>-0.79424000000000006</v>
      </c>
    </row>
    <row r="125" spans="1:23">
      <c r="A125">
        <v>6.3545499999999997</v>
      </c>
      <c r="B125">
        <v>0.437</v>
      </c>
      <c r="C125">
        <f t="shared" si="13"/>
        <v>2.77693835</v>
      </c>
      <c r="D125">
        <v>1.4500000000000001E-2</v>
      </c>
      <c r="E125">
        <v>1.089E-2</v>
      </c>
      <c r="F125">
        <f t="shared" si="14"/>
        <v>1270.9099999999999</v>
      </c>
      <c r="G125">
        <f t="shared" si="15"/>
        <v>-0.437</v>
      </c>
      <c r="H125">
        <f t="shared" si="16"/>
        <v>-555.38766999999996</v>
      </c>
      <c r="I125">
        <v>1</v>
      </c>
      <c r="J125">
        <f t="shared" si="17"/>
        <v>0.2397331793146199</v>
      </c>
      <c r="K125">
        <f t="shared" si="18"/>
        <v>-0.7847251517752174</v>
      </c>
      <c r="L125">
        <v>1</v>
      </c>
      <c r="M125">
        <f t="shared" si="19"/>
        <v>0.50248248553228547</v>
      </c>
      <c r="N125">
        <f t="shared" si="20"/>
        <v>9.2140975E-2</v>
      </c>
      <c r="O125">
        <f t="shared" si="21"/>
        <v>6.92010495E-2</v>
      </c>
      <c r="P125">
        <f t="shared" si="22"/>
        <v>0.12090064174293191</v>
      </c>
      <c r="V125">
        <v>6.1</v>
      </c>
      <c r="W125">
        <f t="shared" si="24"/>
        <v>-0.79930499999999993</v>
      </c>
    </row>
    <row r="126" spans="1:23">
      <c r="A126">
        <v>6.4049500000000004</v>
      </c>
      <c r="B126">
        <v>0.43214999999999998</v>
      </c>
      <c r="C126">
        <f t="shared" si="13"/>
        <v>2.7678991425000001</v>
      </c>
      <c r="D126">
        <v>1.4500000000000001E-2</v>
      </c>
      <c r="E126">
        <v>1.089E-2</v>
      </c>
      <c r="F126">
        <f t="shared" si="14"/>
        <v>1280.99</v>
      </c>
      <c r="G126">
        <f t="shared" si="15"/>
        <v>-0.43214999999999998</v>
      </c>
      <c r="H126">
        <f t="shared" si="16"/>
        <v>-553.57982850000008</v>
      </c>
      <c r="I126">
        <v>1</v>
      </c>
      <c r="J126">
        <f t="shared" si="17"/>
        <v>0.24763321648287812</v>
      </c>
      <c r="K126">
        <f t="shared" si="18"/>
        <v>-0.78957515177521742</v>
      </c>
      <c r="L126">
        <v>1</v>
      </c>
      <c r="M126">
        <f t="shared" si="19"/>
        <v>0.50288262241485782</v>
      </c>
      <c r="N126">
        <f t="shared" si="20"/>
        <v>9.2871775000000004E-2</v>
      </c>
      <c r="O126">
        <f t="shared" si="21"/>
        <v>6.9749905500000001E-2</v>
      </c>
      <c r="P126">
        <f t="shared" si="22"/>
        <v>0.12407084886035961</v>
      </c>
      <c r="V126">
        <v>6.2</v>
      </c>
      <c r="W126">
        <f t="shared" si="24"/>
        <v>-0.80437000000000003</v>
      </c>
    </row>
    <row r="127" spans="1:23">
      <c r="A127">
        <v>6.4569000000000001</v>
      </c>
      <c r="B127">
        <v>0.42764000000000002</v>
      </c>
      <c r="C127">
        <f t="shared" si="13"/>
        <v>2.7612287160000002</v>
      </c>
      <c r="D127">
        <v>1.4500000000000001E-2</v>
      </c>
      <c r="E127">
        <v>1.089E-2</v>
      </c>
      <c r="F127">
        <f t="shared" si="14"/>
        <v>1291.3800000000001</v>
      </c>
      <c r="G127">
        <f t="shared" si="15"/>
        <v>-0.42764000000000002</v>
      </c>
      <c r="H127">
        <f t="shared" si="16"/>
        <v>-552.24574319999999</v>
      </c>
      <c r="I127">
        <v>1</v>
      </c>
      <c r="J127">
        <f t="shared" si="17"/>
        <v>0.25571141402200587</v>
      </c>
      <c r="K127">
        <f t="shared" si="18"/>
        <v>-0.79408515177521743</v>
      </c>
      <c r="L127">
        <v>1</v>
      </c>
      <c r="M127">
        <f t="shared" si="19"/>
        <v>0.50329178312021461</v>
      </c>
      <c r="N127">
        <f t="shared" si="20"/>
        <v>9.3625050000000001E-2</v>
      </c>
      <c r="O127">
        <f t="shared" si="21"/>
        <v>7.0315640999999998E-2</v>
      </c>
      <c r="P127">
        <f t="shared" si="22"/>
        <v>0.12685267765500285</v>
      </c>
      <c r="V127">
        <v>6.3</v>
      </c>
      <c r="W127">
        <f t="shared" si="24"/>
        <v>-0.80943500000000002</v>
      </c>
    </row>
    <row r="128" spans="1:23">
      <c r="A128">
        <v>6.5077999999999996</v>
      </c>
      <c r="B128">
        <v>0.42312</v>
      </c>
      <c r="C128">
        <f t="shared" si="13"/>
        <v>2.7535803359999997</v>
      </c>
      <c r="D128">
        <v>1.4500000000000001E-2</v>
      </c>
      <c r="E128">
        <v>1.089E-2</v>
      </c>
      <c r="F128">
        <f t="shared" si="14"/>
        <v>1301.56</v>
      </c>
      <c r="G128">
        <f t="shared" si="15"/>
        <v>-0.42312</v>
      </c>
      <c r="H128">
        <f t="shared" si="16"/>
        <v>-550.7160672</v>
      </c>
      <c r="I128">
        <v>1</v>
      </c>
      <c r="J128">
        <f t="shared" si="17"/>
        <v>0.26356354504297319</v>
      </c>
      <c r="K128">
        <f t="shared" si="18"/>
        <v>-0.79860515177521751</v>
      </c>
      <c r="L128">
        <v>1</v>
      </c>
      <c r="M128">
        <f t="shared" si="19"/>
        <v>0.50368949355642656</v>
      </c>
      <c r="N128">
        <f t="shared" si="20"/>
        <v>9.4363100000000005E-2</v>
      </c>
      <c r="O128">
        <f t="shared" si="21"/>
        <v>7.0869941999999991E-2</v>
      </c>
      <c r="P128">
        <f t="shared" si="22"/>
        <v>0.12968261621879096</v>
      </c>
      <c r="V128">
        <v>6.4</v>
      </c>
      <c r="W128">
        <f t="shared" si="24"/>
        <v>-0.8145</v>
      </c>
    </row>
    <row r="129" spans="1:23">
      <c r="A129">
        <v>6.5627999999999993</v>
      </c>
      <c r="B129">
        <v>0.41853000000000001</v>
      </c>
      <c r="C129">
        <f t="shared" si="13"/>
        <v>2.7467286839999998</v>
      </c>
      <c r="D129">
        <v>1.4500000000000001E-2</v>
      </c>
      <c r="E129">
        <v>1.089E-2</v>
      </c>
      <c r="F129">
        <f t="shared" si="14"/>
        <v>1312.56</v>
      </c>
      <c r="G129">
        <f t="shared" si="15"/>
        <v>-0.41853000000000001</v>
      </c>
      <c r="H129">
        <f t="shared" si="16"/>
        <v>-549.34573679999994</v>
      </c>
      <c r="I129">
        <v>1</v>
      </c>
      <c r="J129">
        <f t="shared" si="17"/>
        <v>0.27197942872448988</v>
      </c>
      <c r="K129">
        <f t="shared" si="18"/>
        <v>-0.80319515177521739</v>
      </c>
      <c r="L129">
        <v>1</v>
      </c>
      <c r="M129">
        <f t="shared" si="19"/>
        <v>0.50411575806489539</v>
      </c>
      <c r="N129">
        <f t="shared" si="20"/>
        <v>9.5160599999999998E-2</v>
      </c>
      <c r="O129">
        <f t="shared" si="21"/>
        <v>7.1468891999999992E-2</v>
      </c>
      <c r="P129">
        <f t="shared" si="22"/>
        <v>0.132449901710322</v>
      </c>
      <c r="V129">
        <v>6.5</v>
      </c>
      <c r="W129">
        <f t="shared" si="24"/>
        <v>-0.81956499999999999</v>
      </c>
    </row>
    <row r="130" spans="1:23">
      <c r="A130">
        <v>6.6132</v>
      </c>
      <c r="B130">
        <v>0.41315000000000002</v>
      </c>
      <c r="C130">
        <f t="shared" si="13"/>
        <v>2.73224358</v>
      </c>
      <c r="D130">
        <v>1.4500000000000001E-2</v>
      </c>
      <c r="E130">
        <v>1.089E-2</v>
      </c>
      <c r="F130">
        <f t="shared" si="14"/>
        <v>1322.64</v>
      </c>
      <c r="G130">
        <f t="shared" si="15"/>
        <v>-0.41315000000000002</v>
      </c>
      <c r="H130">
        <f t="shared" si="16"/>
        <v>-546.44871599999999</v>
      </c>
      <c r="I130">
        <v>1</v>
      </c>
      <c r="J130">
        <f t="shared" si="17"/>
        <v>0.27962973926095258</v>
      </c>
      <c r="K130">
        <f t="shared" si="18"/>
        <v>-0.80857515177521744</v>
      </c>
      <c r="L130">
        <v>1</v>
      </c>
      <c r="M130">
        <f t="shared" si="19"/>
        <v>0.50450324629356724</v>
      </c>
      <c r="N130">
        <f t="shared" si="20"/>
        <v>9.5891400000000002E-2</v>
      </c>
      <c r="O130">
        <f t="shared" si="21"/>
        <v>7.2017748000000006E-2</v>
      </c>
      <c r="P130">
        <f t="shared" si="22"/>
        <v>0.13616275748165019</v>
      </c>
      <c r="V130">
        <v>6.6</v>
      </c>
      <c r="W130">
        <f t="shared" si="24"/>
        <v>-0.82462999999999997</v>
      </c>
    </row>
    <row r="131" spans="1:23">
      <c r="A131">
        <v>6.6651499999999997</v>
      </c>
      <c r="B131">
        <v>0.40841</v>
      </c>
      <c r="C131">
        <f t="shared" si="13"/>
        <v>2.7221139114999997</v>
      </c>
      <c r="D131">
        <v>1.4500000000000001E-2</v>
      </c>
      <c r="E131">
        <v>1.089E-2</v>
      </c>
      <c r="F131">
        <f t="shared" si="14"/>
        <v>1333.03</v>
      </c>
      <c r="G131">
        <f t="shared" si="15"/>
        <v>-0.40841</v>
      </c>
      <c r="H131">
        <f t="shared" si="16"/>
        <v>-544.42278229999999</v>
      </c>
      <c r="I131">
        <v>1</v>
      </c>
      <c r="J131">
        <f t="shared" si="17"/>
        <v>0.28745454656973035</v>
      </c>
      <c r="K131">
        <f t="shared" si="18"/>
        <v>-0.81331515177521752</v>
      </c>
      <c r="L131">
        <v>1</v>
      </c>
      <c r="M131">
        <f t="shared" si="19"/>
        <v>0.50489957278375686</v>
      </c>
      <c r="N131">
        <f t="shared" si="20"/>
        <v>9.6644674999999999E-2</v>
      </c>
      <c r="O131">
        <f t="shared" si="21"/>
        <v>7.2583483500000004E-2</v>
      </c>
      <c r="P131">
        <f t="shared" si="22"/>
        <v>0.13918742049146066</v>
      </c>
      <c r="V131">
        <v>6.7</v>
      </c>
      <c r="W131">
        <f t="shared" si="24"/>
        <v>-0.82969500000000007</v>
      </c>
    </row>
    <row r="132" spans="1:23">
      <c r="A132">
        <v>6.7155500000000004</v>
      </c>
      <c r="B132">
        <v>0.40339000000000003</v>
      </c>
      <c r="C132">
        <f t="shared" ref="C132:C195" si="25">A132*B132</f>
        <v>2.7089857145000003</v>
      </c>
      <c r="D132">
        <v>1.4500000000000001E-2</v>
      </c>
      <c r="E132">
        <v>1.089E-2</v>
      </c>
      <c r="F132">
        <f t="shared" ref="F132:F195" si="26">A132*200</f>
        <v>1343.1100000000001</v>
      </c>
      <c r="G132">
        <f t="shared" ref="G132:G195" si="27">-B132</f>
        <v>-0.40339000000000003</v>
      </c>
      <c r="H132">
        <f t="shared" ref="H132:H195" si="28">-C132*200</f>
        <v>-541.79714290000004</v>
      </c>
      <c r="I132">
        <v>1</v>
      </c>
      <c r="J132">
        <f t="shared" ref="J132:J195" si="29">LN(F132/1000)</f>
        <v>0.29498782036716609</v>
      </c>
      <c r="K132">
        <f t="shared" ref="K132:K195" si="30">((-G132)-$N$2)</f>
        <v>-0.81833515177521743</v>
      </c>
      <c r="L132">
        <v>1</v>
      </c>
      <c r="M132">
        <f t="shared" ref="M132:M195" si="31">-1*($S$4+($S$5*J132))</f>
        <v>0.50528113310159695</v>
      </c>
      <c r="N132">
        <f t="shared" ref="N132:N195" si="32">D132*A132</f>
        <v>9.7375475000000017E-2</v>
      </c>
      <c r="O132">
        <f t="shared" ref="O132:O195" si="33">E132*A132</f>
        <v>7.3132339500000004E-2</v>
      </c>
      <c r="P132">
        <f t="shared" ref="P132:P195" si="34">-K132-M132-N132-O132</f>
        <v>0.14254620417362046</v>
      </c>
      <c r="V132">
        <v>6.8</v>
      </c>
      <c r="W132">
        <f t="shared" ref="W132:W139" si="35">V132*$S$5+$S$4</f>
        <v>-0.83475999999999995</v>
      </c>
    </row>
    <row r="133" spans="1:23">
      <c r="A133">
        <v>6.7664999999999997</v>
      </c>
      <c r="B133">
        <v>0.39857999999999999</v>
      </c>
      <c r="C133">
        <f t="shared" si="25"/>
        <v>2.6969915699999998</v>
      </c>
      <c r="D133">
        <v>1.4500000000000001E-2</v>
      </c>
      <c r="E133">
        <v>1.089E-2</v>
      </c>
      <c r="F133">
        <f t="shared" si="26"/>
        <v>1353.3</v>
      </c>
      <c r="G133">
        <f t="shared" si="27"/>
        <v>-0.39857999999999999</v>
      </c>
      <c r="H133">
        <f t="shared" si="28"/>
        <v>-539.39831399999991</v>
      </c>
      <c r="I133">
        <v>1</v>
      </c>
      <c r="J133">
        <f t="shared" si="29"/>
        <v>0.30254605410032287</v>
      </c>
      <c r="K133">
        <f t="shared" si="30"/>
        <v>-0.82314515177521752</v>
      </c>
      <c r="L133">
        <v>1</v>
      </c>
      <c r="M133">
        <f t="shared" si="31"/>
        <v>0.50566395764018135</v>
      </c>
      <c r="N133">
        <f t="shared" si="32"/>
        <v>9.811425E-2</v>
      </c>
      <c r="O133">
        <f t="shared" si="33"/>
        <v>7.3687185000000002E-2</v>
      </c>
      <c r="P133">
        <f t="shared" si="34"/>
        <v>0.14567975913503617</v>
      </c>
      <c r="V133">
        <v>6.9</v>
      </c>
      <c r="W133">
        <f t="shared" si="35"/>
        <v>-0.83982500000000004</v>
      </c>
    </row>
    <row r="134" spans="1:23">
      <c r="A134">
        <v>6.8189000000000002</v>
      </c>
      <c r="B134">
        <v>0.39371</v>
      </c>
      <c r="C134">
        <f t="shared" si="25"/>
        <v>2.684669119</v>
      </c>
      <c r="D134">
        <v>1.4500000000000001E-2</v>
      </c>
      <c r="E134">
        <v>1.089E-2</v>
      </c>
      <c r="F134">
        <f t="shared" si="26"/>
        <v>1363.78</v>
      </c>
      <c r="G134">
        <f t="shared" si="27"/>
        <v>-0.39371</v>
      </c>
      <c r="H134">
        <f t="shared" si="28"/>
        <v>-536.93382380000003</v>
      </c>
      <c r="I134">
        <v>1</v>
      </c>
      <c r="J134">
        <f t="shared" si="29"/>
        <v>0.31026025609000685</v>
      </c>
      <c r="K134">
        <f t="shared" si="30"/>
        <v>-0.82801515177521745</v>
      </c>
      <c r="L134">
        <v>1</v>
      </c>
      <c r="M134">
        <f t="shared" si="31"/>
        <v>0.50605468197095882</v>
      </c>
      <c r="N134">
        <f t="shared" si="32"/>
        <v>9.8874050000000005E-2</v>
      </c>
      <c r="O134">
        <f t="shared" si="33"/>
        <v>7.4257821000000002E-2</v>
      </c>
      <c r="P134">
        <f t="shared" si="34"/>
        <v>0.14882859880425864</v>
      </c>
      <c r="V134">
        <v>7</v>
      </c>
      <c r="W134">
        <f t="shared" si="35"/>
        <v>-0.84489000000000003</v>
      </c>
    </row>
    <row r="135" spans="1:23">
      <c r="A135">
        <v>6.8693499999999998</v>
      </c>
      <c r="B135">
        <v>0.38812000000000002</v>
      </c>
      <c r="C135">
        <f t="shared" si="25"/>
        <v>2.666132122</v>
      </c>
      <c r="D135">
        <v>1.4500000000000001E-2</v>
      </c>
      <c r="E135">
        <v>1.089E-2</v>
      </c>
      <c r="F135">
        <f t="shared" si="26"/>
        <v>1373.87</v>
      </c>
      <c r="G135">
        <f t="shared" si="27"/>
        <v>-0.38812000000000002</v>
      </c>
      <c r="H135">
        <f t="shared" si="28"/>
        <v>-533.22642440000004</v>
      </c>
      <c r="I135">
        <v>1</v>
      </c>
      <c r="J135">
        <f t="shared" si="29"/>
        <v>0.31763157505902567</v>
      </c>
      <c r="K135">
        <f t="shared" si="30"/>
        <v>-0.83360515177521743</v>
      </c>
      <c r="L135">
        <v>1</v>
      </c>
      <c r="M135">
        <f t="shared" si="31"/>
        <v>0.50642803927673963</v>
      </c>
      <c r="N135">
        <f t="shared" si="32"/>
        <v>9.9605575000000002E-2</v>
      </c>
      <c r="O135">
        <f t="shared" si="33"/>
        <v>7.4807221500000007E-2</v>
      </c>
      <c r="P135">
        <f t="shared" si="34"/>
        <v>0.15276431599847778</v>
      </c>
      <c r="V135">
        <v>7.1</v>
      </c>
      <c r="W135">
        <f t="shared" si="35"/>
        <v>-0.84995500000000002</v>
      </c>
    </row>
    <row r="136" spans="1:23">
      <c r="A136">
        <v>6.9222999999999999</v>
      </c>
      <c r="B136">
        <v>0.38347999999999999</v>
      </c>
      <c r="C136">
        <f t="shared" si="25"/>
        <v>2.6545636039999998</v>
      </c>
      <c r="D136">
        <v>1.4500000000000001E-2</v>
      </c>
      <c r="E136">
        <v>1.089E-2</v>
      </c>
      <c r="F136">
        <f t="shared" si="26"/>
        <v>1384.46</v>
      </c>
      <c r="G136">
        <f t="shared" si="27"/>
        <v>-0.38347999999999999</v>
      </c>
      <c r="H136">
        <f t="shared" si="28"/>
        <v>-530.91272079999999</v>
      </c>
      <c r="I136">
        <v>1</v>
      </c>
      <c r="J136">
        <f t="shared" si="29"/>
        <v>0.32531017191502104</v>
      </c>
      <c r="K136">
        <f t="shared" si="30"/>
        <v>-0.83824515177521741</v>
      </c>
      <c r="L136">
        <v>1</v>
      </c>
      <c r="M136">
        <f t="shared" si="31"/>
        <v>0.50681696020749578</v>
      </c>
      <c r="N136">
        <f t="shared" si="32"/>
        <v>0.10037335</v>
      </c>
      <c r="O136">
        <f t="shared" si="33"/>
        <v>7.5383847000000004E-2</v>
      </c>
      <c r="P136">
        <f t="shared" si="34"/>
        <v>0.15567099456772163</v>
      </c>
      <c r="V136">
        <v>7.2</v>
      </c>
      <c r="W136">
        <f t="shared" si="35"/>
        <v>-0.85502</v>
      </c>
    </row>
    <row r="137" spans="1:23">
      <c r="A137">
        <v>6.9742000000000006</v>
      </c>
      <c r="B137">
        <v>0.37739</v>
      </c>
      <c r="C137">
        <f t="shared" si="25"/>
        <v>2.6319933380000005</v>
      </c>
      <c r="D137">
        <v>1.4500000000000001E-2</v>
      </c>
      <c r="E137">
        <v>1.089E-2</v>
      </c>
      <c r="F137">
        <f t="shared" si="26"/>
        <v>1394.8400000000001</v>
      </c>
      <c r="G137">
        <f t="shared" si="27"/>
        <v>-0.37739</v>
      </c>
      <c r="H137">
        <f t="shared" si="28"/>
        <v>-526.39866760000007</v>
      </c>
      <c r="I137">
        <v>1</v>
      </c>
      <c r="J137">
        <f t="shared" si="29"/>
        <v>0.33277971335481366</v>
      </c>
      <c r="K137">
        <f t="shared" si="30"/>
        <v>-0.84433515177521745</v>
      </c>
      <c r="L137">
        <v>1</v>
      </c>
      <c r="M137">
        <f t="shared" si="31"/>
        <v>0.50719529248142137</v>
      </c>
      <c r="N137">
        <f t="shared" si="32"/>
        <v>0.10112590000000002</v>
      </c>
      <c r="O137">
        <f t="shared" si="33"/>
        <v>7.594903800000001E-2</v>
      </c>
      <c r="P137">
        <f t="shared" si="34"/>
        <v>0.16006492129379607</v>
      </c>
      <c r="V137">
        <v>7.3</v>
      </c>
      <c r="W137">
        <f t="shared" si="35"/>
        <v>-0.86008499999999999</v>
      </c>
    </row>
    <row r="138" spans="1:23">
      <c r="A138">
        <v>7.0261499999999986</v>
      </c>
      <c r="B138">
        <v>0.37195</v>
      </c>
      <c r="C138">
        <f t="shared" si="25"/>
        <v>2.6133764924999996</v>
      </c>
      <c r="D138">
        <v>1.4500000000000001E-2</v>
      </c>
      <c r="E138">
        <v>1.089E-2</v>
      </c>
      <c r="F138">
        <f t="shared" si="26"/>
        <v>1405.2299999999998</v>
      </c>
      <c r="G138">
        <f t="shared" si="27"/>
        <v>-0.37195</v>
      </c>
      <c r="H138">
        <f t="shared" si="28"/>
        <v>-522.67529849999994</v>
      </c>
      <c r="I138">
        <v>1</v>
      </c>
      <c r="J138">
        <f t="shared" si="29"/>
        <v>0.34020099045576691</v>
      </c>
      <c r="K138">
        <f t="shared" si="30"/>
        <v>-0.84977515177521745</v>
      </c>
      <c r="L138">
        <v>1</v>
      </c>
      <c r="M138">
        <f t="shared" si="31"/>
        <v>0.50757118016658465</v>
      </c>
      <c r="N138">
        <f t="shared" si="32"/>
        <v>0.10187917499999999</v>
      </c>
      <c r="O138">
        <f t="shared" si="33"/>
        <v>7.651477349999998E-2</v>
      </c>
      <c r="P138">
        <f t="shared" si="34"/>
        <v>0.16381002310863285</v>
      </c>
      <c r="V138">
        <v>7.4</v>
      </c>
      <c r="W138">
        <f t="shared" si="35"/>
        <v>-0.86515000000000009</v>
      </c>
    </row>
    <row r="139" spans="1:23">
      <c r="A139">
        <v>7.0775999999999986</v>
      </c>
      <c r="B139">
        <v>0.36651</v>
      </c>
      <c r="C139">
        <f t="shared" si="25"/>
        <v>2.5940111759999995</v>
      </c>
      <c r="D139">
        <v>1.4500000000000001E-2</v>
      </c>
      <c r="E139">
        <v>1.089E-2</v>
      </c>
      <c r="F139">
        <f t="shared" si="26"/>
        <v>1415.5199999999998</v>
      </c>
      <c r="G139">
        <f t="shared" si="27"/>
        <v>-0.36651</v>
      </c>
      <c r="H139">
        <f t="shared" si="28"/>
        <v>-518.80223519999993</v>
      </c>
      <c r="I139">
        <v>1</v>
      </c>
      <c r="J139">
        <f t="shared" si="29"/>
        <v>0.34749695475293851</v>
      </c>
      <c r="K139">
        <f t="shared" si="30"/>
        <v>-0.85521515177521745</v>
      </c>
      <c r="L139">
        <v>1</v>
      </c>
      <c r="M139">
        <f t="shared" si="31"/>
        <v>0.50794072075823637</v>
      </c>
      <c r="N139">
        <f t="shared" si="32"/>
        <v>0.10262519999999999</v>
      </c>
      <c r="O139">
        <f t="shared" si="33"/>
        <v>7.7075063999999985E-2</v>
      </c>
      <c r="P139">
        <f t="shared" si="34"/>
        <v>0.16757416701698113</v>
      </c>
      <c r="V139">
        <v>7.5</v>
      </c>
      <c r="W139">
        <f t="shared" si="35"/>
        <v>-0.87021499999999996</v>
      </c>
    </row>
    <row r="140" spans="1:23">
      <c r="A140">
        <v>7.1280000000000001</v>
      </c>
      <c r="B140">
        <v>0.36120000000000002</v>
      </c>
      <c r="C140">
        <f t="shared" si="25"/>
        <v>2.5746336000000003</v>
      </c>
      <c r="D140">
        <v>1.4500000000000001E-2</v>
      </c>
      <c r="E140">
        <v>1.089E-2</v>
      </c>
      <c r="F140">
        <f t="shared" si="26"/>
        <v>1425.6</v>
      </c>
      <c r="G140">
        <f t="shared" si="27"/>
        <v>-0.36120000000000002</v>
      </c>
      <c r="H140">
        <f t="shared" si="28"/>
        <v>-514.92672000000005</v>
      </c>
      <c r="I140">
        <v>1</v>
      </c>
      <c r="J140">
        <f t="shared" si="29"/>
        <v>0.35459277773440778</v>
      </c>
      <c r="K140">
        <f t="shared" si="30"/>
        <v>-0.86052515177521749</v>
      </c>
      <c r="L140">
        <v>1</v>
      </c>
      <c r="M140">
        <f t="shared" si="31"/>
        <v>0.50830012419224779</v>
      </c>
      <c r="N140">
        <f t="shared" si="32"/>
        <v>0.103356</v>
      </c>
      <c r="O140">
        <f t="shared" si="33"/>
        <v>7.7623919999999999E-2</v>
      </c>
      <c r="P140">
        <f t="shared" si="34"/>
        <v>0.17124510758296968</v>
      </c>
    </row>
    <row r="141" spans="1:23">
      <c r="A141">
        <v>7.1783999999999999</v>
      </c>
      <c r="B141">
        <v>0.35550999999999999</v>
      </c>
      <c r="C141">
        <f t="shared" si="25"/>
        <v>2.551992984</v>
      </c>
      <c r="D141">
        <v>1.4500000000000001E-2</v>
      </c>
      <c r="E141">
        <v>1.089E-2</v>
      </c>
      <c r="F141">
        <f t="shared" si="26"/>
        <v>1435.68</v>
      </c>
      <c r="G141">
        <f t="shared" si="27"/>
        <v>-0.35550999999999999</v>
      </c>
      <c r="H141">
        <f t="shared" si="28"/>
        <v>-510.39859680000001</v>
      </c>
      <c r="I141">
        <v>1</v>
      </c>
      <c r="J141">
        <f t="shared" si="29"/>
        <v>0.3616386045676106</v>
      </c>
      <c r="K141">
        <f t="shared" si="30"/>
        <v>-0.86621515177521746</v>
      </c>
      <c r="L141">
        <v>1</v>
      </c>
      <c r="M141">
        <f t="shared" si="31"/>
        <v>0.50865699532134945</v>
      </c>
      <c r="N141">
        <f t="shared" si="32"/>
        <v>0.10408680000000001</v>
      </c>
      <c r="O141">
        <f t="shared" si="33"/>
        <v>7.8172775999999999E-2</v>
      </c>
      <c r="P141">
        <f t="shared" si="34"/>
        <v>0.17529858045386798</v>
      </c>
    </row>
    <row r="142" spans="1:23">
      <c r="A142">
        <v>7.2287999999999997</v>
      </c>
      <c r="B142">
        <v>0.35009000000000001</v>
      </c>
      <c r="C142">
        <f t="shared" si="25"/>
        <v>2.5307305919999998</v>
      </c>
      <c r="D142">
        <v>1.4500000000000001E-2</v>
      </c>
      <c r="E142">
        <v>1.089E-2</v>
      </c>
      <c r="F142">
        <f t="shared" si="26"/>
        <v>1445.76</v>
      </c>
      <c r="G142">
        <f t="shared" si="27"/>
        <v>-0.35009000000000001</v>
      </c>
      <c r="H142">
        <f t="shared" si="28"/>
        <v>-506.14611839999998</v>
      </c>
      <c r="I142">
        <v>1</v>
      </c>
      <c r="J142">
        <f t="shared" si="29"/>
        <v>0.36863513485744664</v>
      </c>
      <c r="K142">
        <f t="shared" si="30"/>
        <v>-0.87163515177521744</v>
      </c>
      <c r="L142">
        <v>1</v>
      </c>
      <c r="M142">
        <f t="shared" si="31"/>
        <v>0.50901136958052962</v>
      </c>
      <c r="N142">
        <f t="shared" si="32"/>
        <v>0.1048176</v>
      </c>
      <c r="O142">
        <f t="shared" si="33"/>
        <v>7.8721632E-2</v>
      </c>
      <c r="P142">
        <f t="shared" si="34"/>
        <v>0.17908455019468783</v>
      </c>
    </row>
    <row r="143" spans="1:23">
      <c r="A143">
        <v>7.2823000000000002</v>
      </c>
      <c r="B143">
        <v>0.34439999999999998</v>
      </c>
      <c r="C143">
        <f t="shared" si="25"/>
        <v>2.50802412</v>
      </c>
      <c r="D143">
        <v>1.4500000000000001E-2</v>
      </c>
      <c r="E143">
        <v>1.089E-2</v>
      </c>
      <c r="F143">
        <f t="shared" si="26"/>
        <v>1456.46</v>
      </c>
      <c r="G143">
        <f t="shared" si="27"/>
        <v>-0.34439999999999998</v>
      </c>
      <c r="H143">
        <f t="shared" si="28"/>
        <v>-501.60482400000001</v>
      </c>
      <c r="I143">
        <v>1</v>
      </c>
      <c r="J143">
        <f t="shared" si="29"/>
        <v>0.37600883394377044</v>
      </c>
      <c r="K143">
        <f t="shared" si="30"/>
        <v>-0.87732515177521742</v>
      </c>
      <c r="L143">
        <v>1</v>
      </c>
      <c r="M143">
        <f t="shared" si="31"/>
        <v>0.50938484743925194</v>
      </c>
      <c r="N143">
        <f t="shared" si="32"/>
        <v>0.10559335</v>
      </c>
      <c r="O143">
        <f t="shared" si="33"/>
        <v>7.9304247000000008E-2</v>
      </c>
      <c r="P143">
        <f t="shared" si="34"/>
        <v>0.18304270733596545</v>
      </c>
    </row>
    <row r="144" spans="1:23">
      <c r="A144">
        <v>7.3336999999999994</v>
      </c>
      <c r="B144">
        <v>0.33807999999999999</v>
      </c>
      <c r="C144">
        <f t="shared" si="25"/>
        <v>2.4793772959999996</v>
      </c>
      <c r="D144">
        <v>1.4500000000000001E-2</v>
      </c>
      <c r="E144">
        <v>1.089E-2</v>
      </c>
      <c r="F144">
        <f t="shared" si="26"/>
        <v>1466.7399999999998</v>
      </c>
      <c r="G144">
        <f t="shared" si="27"/>
        <v>-0.33807999999999999</v>
      </c>
      <c r="H144">
        <f t="shared" si="28"/>
        <v>-495.87545919999991</v>
      </c>
      <c r="I144">
        <v>1</v>
      </c>
      <c r="J144">
        <f t="shared" si="29"/>
        <v>0.38304225100614725</v>
      </c>
      <c r="K144">
        <f t="shared" si="30"/>
        <v>-0.88364515177521752</v>
      </c>
      <c r="L144">
        <v>1</v>
      </c>
      <c r="M144">
        <f t="shared" si="31"/>
        <v>0.50974109001346135</v>
      </c>
      <c r="N144">
        <f t="shared" si="32"/>
        <v>0.10633864999999999</v>
      </c>
      <c r="O144">
        <f t="shared" si="33"/>
        <v>7.9863992999999994E-2</v>
      </c>
      <c r="P144">
        <f t="shared" si="34"/>
        <v>0.18770141876175619</v>
      </c>
    </row>
    <row r="145" spans="1:16">
      <c r="A145">
        <v>7.3861500000000007</v>
      </c>
      <c r="B145">
        <v>0.33271000000000001</v>
      </c>
      <c r="C145">
        <f t="shared" si="25"/>
        <v>2.4574459665000004</v>
      </c>
      <c r="D145">
        <v>1.4500000000000001E-2</v>
      </c>
      <c r="E145">
        <v>1.089E-2</v>
      </c>
      <c r="F145">
        <f t="shared" si="26"/>
        <v>1477.23</v>
      </c>
      <c r="G145">
        <f t="shared" si="27"/>
        <v>-0.33271000000000001</v>
      </c>
      <c r="H145">
        <f t="shared" si="28"/>
        <v>-491.48919330000007</v>
      </c>
      <c r="I145">
        <v>1</v>
      </c>
      <c r="J145">
        <f t="shared" si="29"/>
        <v>0.39016871248217266</v>
      </c>
      <c r="K145">
        <f t="shared" si="30"/>
        <v>-0.88901515177521739</v>
      </c>
      <c r="L145">
        <v>1</v>
      </c>
      <c r="M145">
        <f t="shared" si="31"/>
        <v>0.51010204528722203</v>
      </c>
      <c r="N145">
        <f t="shared" si="32"/>
        <v>0.10709917500000002</v>
      </c>
      <c r="O145">
        <f t="shared" si="33"/>
        <v>8.0435173500000012E-2</v>
      </c>
      <c r="P145">
        <f t="shared" si="34"/>
        <v>0.19137875798799536</v>
      </c>
    </row>
    <row r="146" spans="1:16">
      <c r="A146">
        <v>7.4370499999999993</v>
      </c>
      <c r="B146">
        <v>0.32601000000000002</v>
      </c>
      <c r="C146">
        <f t="shared" si="25"/>
        <v>2.4245526704999998</v>
      </c>
      <c r="D146">
        <v>1.4500000000000001E-2</v>
      </c>
      <c r="E146">
        <v>1.089E-2</v>
      </c>
      <c r="F146">
        <f t="shared" si="26"/>
        <v>1487.4099999999999</v>
      </c>
      <c r="G146">
        <f t="shared" si="27"/>
        <v>-0.32601000000000002</v>
      </c>
      <c r="H146">
        <f t="shared" si="28"/>
        <v>-484.91053409999995</v>
      </c>
      <c r="I146">
        <v>1</v>
      </c>
      <c r="J146">
        <f t="shared" si="29"/>
        <v>0.39703635240551399</v>
      </c>
      <c r="K146">
        <f t="shared" si="30"/>
        <v>-0.89571515177521743</v>
      </c>
      <c r="L146">
        <v>1</v>
      </c>
      <c r="M146">
        <f t="shared" si="31"/>
        <v>0.51044989124933926</v>
      </c>
      <c r="N146">
        <f t="shared" si="32"/>
        <v>0.10783722499999999</v>
      </c>
      <c r="O146">
        <f t="shared" si="33"/>
        <v>8.0989474499999992E-2</v>
      </c>
      <c r="P146">
        <f t="shared" si="34"/>
        <v>0.1964385610258782</v>
      </c>
    </row>
    <row r="147" spans="1:16">
      <c r="A147">
        <v>7.4910500000000004</v>
      </c>
      <c r="B147">
        <v>0.32029999999999997</v>
      </c>
      <c r="C147">
        <f t="shared" si="25"/>
        <v>2.3993833150000001</v>
      </c>
      <c r="D147">
        <v>1.4500000000000001E-2</v>
      </c>
      <c r="E147">
        <v>1.089E-2</v>
      </c>
      <c r="F147">
        <f t="shared" si="26"/>
        <v>1498.21</v>
      </c>
      <c r="G147">
        <f t="shared" si="27"/>
        <v>-0.32029999999999997</v>
      </c>
      <c r="H147">
        <f t="shared" si="28"/>
        <v>-479.87666300000001</v>
      </c>
      <c r="I147">
        <v>1</v>
      </c>
      <c r="J147">
        <f t="shared" si="29"/>
        <v>0.40427106218564818</v>
      </c>
      <c r="K147">
        <f t="shared" si="30"/>
        <v>-0.90142515177521743</v>
      </c>
      <c r="L147">
        <v>1</v>
      </c>
      <c r="M147">
        <f t="shared" si="31"/>
        <v>0.51081632929970311</v>
      </c>
      <c r="N147">
        <f t="shared" si="32"/>
        <v>0.10862022500000001</v>
      </c>
      <c r="O147">
        <f t="shared" si="33"/>
        <v>8.1577534500000007E-2</v>
      </c>
      <c r="P147">
        <f t="shared" si="34"/>
        <v>0.20041106297551431</v>
      </c>
    </row>
    <row r="148" spans="1:16">
      <c r="A148">
        <v>7.5434999999999999</v>
      </c>
      <c r="B148">
        <v>0.31429000000000001</v>
      </c>
      <c r="C148">
        <f t="shared" si="25"/>
        <v>2.370846615</v>
      </c>
      <c r="D148">
        <v>1.4500000000000001E-2</v>
      </c>
      <c r="E148">
        <v>1.089E-2</v>
      </c>
      <c r="F148">
        <f t="shared" si="26"/>
        <v>1508.7</v>
      </c>
      <c r="G148">
        <f t="shared" si="27"/>
        <v>-0.31429000000000001</v>
      </c>
      <c r="H148">
        <f t="shared" si="28"/>
        <v>-474.16932300000002</v>
      </c>
      <c r="I148">
        <v>1</v>
      </c>
      <c r="J148">
        <f t="shared" si="29"/>
        <v>0.41124835286389183</v>
      </c>
      <c r="K148">
        <f t="shared" si="30"/>
        <v>-0.9074351517752175</v>
      </c>
      <c r="L148">
        <v>1</v>
      </c>
      <c r="M148">
        <f t="shared" si="31"/>
        <v>0.51116972907255609</v>
      </c>
      <c r="N148">
        <f t="shared" si="32"/>
        <v>0.10938075</v>
      </c>
      <c r="O148">
        <f t="shared" si="33"/>
        <v>8.2148714999999997E-2</v>
      </c>
      <c r="P148">
        <f t="shared" si="34"/>
        <v>0.2047359577026614</v>
      </c>
    </row>
    <row r="149" spans="1:16">
      <c r="A149">
        <v>7.5964499999999999</v>
      </c>
      <c r="B149">
        <v>0.30778</v>
      </c>
      <c r="C149">
        <f t="shared" si="25"/>
        <v>2.3380353810000001</v>
      </c>
      <c r="D149">
        <v>1.4500000000000001E-2</v>
      </c>
      <c r="E149">
        <v>1.089E-2</v>
      </c>
      <c r="F149">
        <f t="shared" si="26"/>
        <v>1519.29</v>
      </c>
      <c r="G149">
        <f t="shared" si="27"/>
        <v>-0.30778</v>
      </c>
      <c r="H149">
        <f t="shared" si="28"/>
        <v>-467.60707619999999</v>
      </c>
      <c r="I149">
        <v>1</v>
      </c>
      <c r="J149">
        <f t="shared" si="29"/>
        <v>0.41824312046737966</v>
      </c>
      <c r="K149">
        <f t="shared" si="30"/>
        <v>-0.91394515177521751</v>
      </c>
      <c r="L149">
        <v>1</v>
      </c>
      <c r="M149">
        <f t="shared" si="31"/>
        <v>0.5115240140516728</v>
      </c>
      <c r="N149">
        <f t="shared" si="32"/>
        <v>0.11014852500000001</v>
      </c>
      <c r="O149">
        <f t="shared" si="33"/>
        <v>8.2725340500000008E-2</v>
      </c>
      <c r="P149">
        <f t="shared" si="34"/>
        <v>0.20954727222354469</v>
      </c>
    </row>
    <row r="150" spans="1:16">
      <c r="A150">
        <v>7.64785</v>
      </c>
      <c r="B150">
        <v>0.30130000000000001</v>
      </c>
      <c r="C150">
        <f t="shared" si="25"/>
        <v>2.3042972050000001</v>
      </c>
      <c r="D150">
        <v>1.4500000000000001E-2</v>
      </c>
      <c r="E150">
        <v>1.089E-2</v>
      </c>
      <c r="F150">
        <f t="shared" si="26"/>
        <v>1529.57</v>
      </c>
      <c r="G150">
        <f t="shared" si="27"/>
        <v>-0.30130000000000001</v>
      </c>
      <c r="H150">
        <f t="shared" si="28"/>
        <v>-460.859441</v>
      </c>
      <c r="I150">
        <v>1</v>
      </c>
      <c r="J150">
        <f t="shared" si="29"/>
        <v>0.42498665015195158</v>
      </c>
      <c r="K150">
        <f t="shared" si="30"/>
        <v>-0.92042515177521744</v>
      </c>
      <c r="L150">
        <v>1</v>
      </c>
      <c r="M150">
        <f t="shared" si="31"/>
        <v>0.51186557383019637</v>
      </c>
      <c r="N150">
        <f t="shared" si="32"/>
        <v>0.110893825</v>
      </c>
      <c r="O150">
        <f t="shared" si="33"/>
        <v>8.3285086500000008E-2</v>
      </c>
      <c r="P150">
        <f t="shared" si="34"/>
        <v>0.21438066644502107</v>
      </c>
    </row>
    <row r="151" spans="1:16">
      <c r="A151">
        <v>7.6988000000000003</v>
      </c>
      <c r="B151">
        <v>0.29509999999999997</v>
      </c>
      <c r="C151">
        <f t="shared" si="25"/>
        <v>2.2719158799999999</v>
      </c>
      <c r="D151">
        <v>1.4500000000000001E-2</v>
      </c>
      <c r="E151">
        <v>1.089E-2</v>
      </c>
      <c r="F151">
        <f t="shared" si="26"/>
        <v>1539.76</v>
      </c>
      <c r="G151">
        <f t="shared" si="27"/>
        <v>-0.29509999999999997</v>
      </c>
      <c r="H151">
        <f t="shared" si="28"/>
        <v>-454.38317599999999</v>
      </c>
      <c r="I151">
        <v>1</v>
      </c>
      <c r="J151">
        <f t="shared" si="29"/>
        <v>0.43162656012473138</v>
      </c>
      <c r="K151">
        <f t="shared" si="30"/>
        <v>-0.92662515177521754</v>
      </c>
      <c r="L151">
        <v>1</v>
      </c>
      <c r="M151">
        <f t="shared" si="31"/>
        <v>0.51220188527031763</v>
      </c>
      <c r="N151">
        <f t="shared" si="32"/>
        <v>0.11163260000000001</v>
      </c>
      <c r="O151">
        <f t="shared" si="33"/>
        <v>8.3839932000000006E-2</v>
      </c>
      <c r="P151">
        <f t="shared" si="34"/>
        <v>0.21895073450489988</v>
      </c>
    </row>
    <row r="152" spans="1:16">
      <c r="A152">
        <v>7.7492000000000001</v>
      </c>
      <c r="B152">
        <v>0.28874</v>
      </c>
      <c r="C152">
        <f t="shared" si="25"/>
        <v>2.2375040080000002</v>
      </c>
      <c r="D152">
        <v>1.4500000000000001E-2</v>
      </c>
      <c r="E152">
        <v>1.089E-2</v>
      </c>
      <c r="F152">
        <f t="shared" si="26"/>
        <v>1549.84</v>
      </c>
      <c r="G152">
        <f t="shared" si="27"/>
        <v>-0.28874</v>
      </c>
      <c r="H152">
        <f t="shared" si="28"/>
        <v>-447.50080160000005</v>
      </c>
      <c r="I152">
        <v>1</v>
      </c>
      <c r="J152">
        <f t="shared" si="29"/>
        <v>0.43815169979655333</v>
      </c>
      <c r="K152">
        <f t="shared" si="30"/>
        <v>-0.93298515177521746</v>
      </c>
      <c r="L152">
        <v>1</v>
      </c>
      <c r="M152">
        <f t="shared" si="31"/>
        <v>0.51253238359469544</v>
      </c>
      <c r="N152">
        <f t="shared" si="32"/>
        <v>0.1123634</v>
      </c>
      <c r="O152">
        <f t="shared" si="33"/>
        <v>8.4388788000000006E-2</v>
      </c>
      <c r="P152">
        <f t="shared" si="34"/>
        <v>0.22370058018052202</v>
      </c>
    </row>
    <row r="153" spans="1:16">
      <c r="A153">
        <v>7.7995999999999999</v>
      </c>
      <c r="B153">
        <v>0.28244000000000002</v>
      </c>
      <c r="C153">
        <f t="shared" si="25"/>
        <v>2.2029190240000003</v>
      </c>
      <c r="D153">
        <v>1.4500000000000001E-2</v>
      </c>
      <c r="E153">
        <v>1.089E-2</v>
      </c>
      <c r="F153">
        <f t="shared" si="26"/>
        <v>1559.92</v>
      </c>
      <c r="G153">
        <f t="shared" si="27"/>
        <v>-0.28244000000000002</v>
      </c>
      <c r="H153">
        <f t="shared" si="28"/>
        <v>-440.58380480000005</v>
      </c>
      <c r="I153">
        <v>1</v>
      </c>
      <c r="J153">
        <f t="shared" si="29"/>
        <v>0.44463453789519425</v>
      </c>
      <c r="K153">
        <f t="shared" si="30"/>
        <v>-0.93928515177521743</v>
      </c>
      <c r="L153">
        <v>1</v>
      </c>
      <c r="M153">
        <f t="shared" si="31"/>
        <v>0.51286073934439158</v>
      </c>
      <c r="N153">
        <f t="shared" si="32"/>
        <v>0.11309420000000001</v>
      </c>
      <c r="O153">
        <f t="shared" si="33"/>
        <v>8.4937644000000007E-2</v>
      </c>
      <c r="P153">
        <f t="shared" si="34"/>
        <v>0.22839256843082581</v>
      </c>
    </row>
    <row r="154" spans="1:16">
      <c r="A154">
        <v>7.8505499999999993</v>
      </c>
      <c r="B154">
        <v>0.27668999999999999</v>
      </c>
      <c r="C154">
        <f t="shared" si="25"/>
        <v>2.1721686794999999</v>
      </c>
      <c r="D154">
        <v>1.4500000000000001E-2</v>
      </c>
      <c r="E154">
        <v>1.089E-2</v>
      </c>
      <c r="F154">
        <f t="shared" si="26"/>
        <v>1570.11</v>
      </c>
      <c r="G154">
        <f t="shared" si="27"/>
        <v>-0.27668999999999999</v>
      </c>
      <c r="H154">
        <f t="shared" si="28"/>
        <v>-434.43373589999999</v>
      </c>
      <c r="I154">
        <v>1</v>
      </c>
      <c r="J154">
        <f t="shared" si="29"/>
        <v>0.45114568060013815</v>
      </c>
      <c r="K154">
        <f t="shared" si="30"/>
        <v>-0.94503515177521746</v>
      </c>
      <c r="L154">
        <v>1</v>
      </c>
      <c r="M154">
        <f t="shared" si="31"/>
        <v>0.51319052872239701</v>
      </c>
      <c r="N154">
        <f t="shared" si="32"/>
        <v>0.11383297499999999</v>
      </c>
      <c r="O154">
        <f t="shared" si="33"/>
        <v>8.5492489499999991E-2</v>
      </c>
      <c r="P154">
        <f t="shared" si="34"/>
        <v>0.23251915855282046</v>
      </c>
    </row>
    <row r="155" spans="1:16">
      <c r="A155">
        <v>7.9029499999999997</v>
      </c>
      <c r="B155">
        <v>0.26878999999999997</v>
      </c>
      <c r="C155">
        <f t="shared" si="25"/>
        <v>2.1242339304999995</v>
      </c>
      <c r="D155">
        <v>1.4500000000000001E-2</v>
      </c>
      <c r="E155">
        <v>1.089E-2</v>
      </c>
      <c r="F155">
        <f t="shared" si="26"/>
        <v>1580.59</v>
      </c>
      <c r="G155">
        <f t="shared" si="27"/>
        <v>-0.26878999999999997</v>
      </c>
      <c r="H155">
        <f t="shared" si="28"/>
        <v>-424.84678609999992</v>
      </c>
      <c r="I155">
        <v>1</v>
      </c>
      <c r="J155">
        <f t="shared" si="29"/>
        <v>0.4577981950573487</v>
      </c>
      <c r="K155">
        <f t="shared" si="30"/>
        <v>-0.95293515177521748</v>
      </c>
      <c r="L155">
        <v>1</v>
      </c>
      <c r="M155">
        <f t="shared" si="31"/>
        <v>0.51352747857965475</v>
      </c>
      <c r="N155">
        <f t="shared" si="32"/>
        <v>0.11459277500000001</v>
      </c>
      <c r="O155">
        <f t="shared" si="33"/>
        <v>8.6063125500000004E-2</v>
      </c>
      <c r="P155">
        <f t="shared" si="34"/>
        <v>0.23875177269556275</v>
      </c>
    </row>
    <row r="156" spans="1:16">
      <c r="A156">
        <v>7.9559500000000014</v>
      </c>
      <c r="B156">
        <v>0.26304</v>
      </c>
      <c r="C156">
        <f t="shared" si="25"/>
        <v>2.0927330880000001</v>
      </c>
      <c r="D156">
        <v>1.4500000000000001E-2</v>
      </c>
      <c r="E156">
        <v>1.089E-2</v>
      </c>
      <c r="F156">
        <f t="shared" si="26"/>
        <v>1591.1900000000003</v>
      </c>
      <c r="G156">
        <f t="shared" si="27"/>
        <v>-0.26304</v>
      </c>
      <c r="H156">
        <f t="shared" si="28"/>
        <v>-418.54661760000005</v>
      </c>
      <c r="I156">
        <v>1</v>
      </c>
      <c r="J156">
        <f t="shared" si="29"/>
        <v>0.46448216397276954</v>
      </c>
      <c r="K156">
        <f t="shared" si="30"/>
        <v>-0.95868515177521751</v>
      </c>
      <c r="L156">
        <v>1</v>
      </c>
      <c r="M156">
        <f t="shared" si="31"/>
        <v>0.51386602160522077</v>
      </c>
      <c r="N156">
        <f t="shared" si="32"/>
        <v>0.11536127500000003</v>
      </c>
      <c r="O156">
        <f t="shared" si="33"/>
        <v>8.664029550000002E-2</v>
      </c>
      <c r="P156">
        <f t="shared" si="34"/>
        <v>0.24281755966999669</v>
      </c>
    </row>
    <row r="157" spans="1:16">
      <c r="A157">
        <v>8.0063499999999994</v>
      </c>
      <c r="B157">
        <v>0.25674000000000002</v>
      </c>
      <c r="C157">
        <f t="shared" si="25"/>
        <v>2.0555502990000001</v>
      </c>
      <c r="D157">
        <v>1.4500000000000001E-2</v>
      </c>
      <c r="E157">
        <v>1.089E-2</v>
      </c>
      <c r="F157">
        <f t="shared" si="26"/>
        <v>1601.27</v>
      </c>
      <c r="G157">
        <f t="shared" si="27"/>
        <v>-0.25674000000000002</v>
      </c>
      <c r="H157">
        <f t="shared" si="28"/>
        <v>-411.11005980000004</v>
      </c>
      <c r="I157">
        <v>1</v>
      </c>
      <c r="J157">
        <f t="shared" si="29"/>
        <v>0.47079706439280294</v>
      </c>
      <c r="K157">
        <f t="shared" si="30"/>
        <v>-0.96498515177521749</v>
      </c>
      <c r="L157">
        <v>1</v>
      </c>
      <c r="M157">
        <f t="shared" si="31"/>
        <v>0.51418587131149551</v>
      </c>
      <c r="N157">
        <f t="shared" si="32"/>
        <v>0.116092075</v>
      </c>
      <c r="O157">
        <f t="shared" si="33"/>
        <v>8.7189151499999992E-2</v>
      </c>
      <c r="P157">
        <f t="shared" si="34"/>
        <v>0.24751805396372195</v>
      </c>
    </row>
    <row r="158" spans="1:16">
      <c r="A158">
        <v>8.0440000000000005</v>
      </c>
      <c r="B158">
        <v>0.25151000000000001</v>
      </c>
      <c r="C158">
        <f t="shared" si="25"/>
        <v>2.0231464400000001</v>
      </c>
      <c r="D158">
        <v>1.4500000000000001E-2</v>
      </c>
      <c r="E158">
        <v>1.089E-2</v>
      </c>
      <c r="F158">
        <f t="shared" si="26"/>
        <v>1608.8000000000002</v>
      </c>
      <c r="G158">
        <f t="shared" si="27"/>
        <v>-0.25151000000000001</v>
      </c>
      <c r="H158">
        <f t="shared" si="28"/>
        <v>-404.62928800000003</v>
      </c>
      <c r="I158">
        <v>1</v>
      </c>
      <c r="J158">
        <f t="shared" si="29"/>
        <v>0.47548855947630536</v>
      </c>
      <c r="K158">
        <f t="shared" si="30"/>
        <v>-0.97021515177521744</v>
      </c>
      <c r="L158">
        <v>1</v>
      </c>
      <c r="M158">
        <f t="shared" si="31"/>
        <v>0.51442349553747491</v>
      </c>
      <c r="N158">
        <f t="shared" si="32"/>
        <v>0.11663800000000002</v>
      </c>
      <c r="O158">
        <f t="shared" si="33"/>
        <v>8.7599160000000009E-2</v>
      </c>
      <c r="P158">
        <f t="shared" si="34"/>
        <v>0.25155449623774251</v>
      </c>
    </row>
    <row r="159" spans="1:16">
      <c r="C159">
        <f t="shared" si="25"/>
        <v>0</v>
      </c>
      <c r="D159">
        <v>1.4500000000000001E-2</v>
      </c>
      <c r="E159">
        <v>1.089E-2</v>
      </c>
      <c r="F159">
        <f t="shared" si="26"/>
        <v>0</v>
      </c>
      <c r="G159">
        <f t="shared" si="27"/>
        <v>0</v>
      </c>
      <c r="H159">
        <f t="shared" si="28"/>
        <v>0</v>
      </c>
      <c r="I159">
        <v>1</v>
      </c>
      <c r="J159" t="e">
        <f t="shared" si="29"/>
        <v>#NUM!</v>
      </c>
      <c r="K159">
        <f t="shared" si="30"/>
        <v>-1.2217251517752175</v>
      </c>
      <c r="L159">
        <v>1</v>
      </c>
      <c r="M159" t="e">
        <f t="shared" si="31"/>
        <v>#NUM!</v>
      </c>
      <c r="N159">
        <f t="shared" si="32"/>
        <v>0</v>
      </c>
      <c r="O159">
        <f t="shared" si="33"/>
        <v>0</v>
      </c>
      <c r="P159" t="e">
        <f t="shared" si="34"/>
        <v>#NUM!</v>
      </c>
    </row>
    <row r="160" spans="1:16">
      <c r="C160">
        <f t="shared" si="25"/>
        <v>0</v>
      </c>
      <c r="D160">
        <v>1.4500000000000001E-2</v>
      </c>
      <c r="E160">
        <v>1.089E-2</v>
      </c>
      <c r="F160">
        <f t="shared" si="26"/>
        <v>0</v>
      </c>
      <c r="G160">
        <f t="shared" si="27"/>
        <v>0</v>
      </c>
      <c r="H160">
        <f t="shared" si="28"/>
        <v>0</v>
      </c>
      <c r="I160">
        <v>1</v>
      </c>
      <c r="J160" t="e">
        <f t="shared" si="29"/>
        <v>#NUM!</v>
      </c>
      <c r="K160">
        <f t="shared" si="30"/>
        <v>-1.2217251517752175</v>
      </c>
      <c r="L160">
        <v>1</v>
      </c>
      <c r="M160" t="e">
        <f t="shared" si="31"/>
        <v>#NUM!</v>
      </c>
      <c r="N160">
        <f t="shared" si="32"/>
        <v>0</v>
      </c>
      <c r="O160">
        <f t="shared" si="33"/>
        <v>0</v>
      </c>
      <c r="P160" t="e">
        <f t="shared" si="34"/>
        <v>#NUM!</v>
      </c>
    </row>
    <row r="161" spans="3:16">
      <c r="C161">
        <f t="shared" si="25"/>
        <v>0</v>
      </c>
      <c r="D161">
        <v>1.4500000000000001E-2</v>
      </c>
      <c r="E161">
        <v>1.089E-2</v>
      </c>
      <c r="F161">
        <f t="shared" si="26"/>
        <v>0</v>
      </c>
      <c r="G161">
        <f t="shared" si="27"/>
        <v>0</v>
      </c>
      <c r="H161">
        <f t="shared" si="28"/>
        <v>0</v>
      </c>
      <c r="I161">
        <v>1</v>
      </c>
      <c r="J161" t="e">
        <f t="shared" si="29"/>
        <v>#NUM!</v>
      </c>
      <c r="K161">
        <f t="shared" si="30"/>
        <v>-1.2217251517752175</v>
      </c>
      <c r="L161">
        <v>1</v>
      </c>
      <c r="M161" t="e">
        <f t="shared" si="31"/>
        <v>#NUM!</v>
      </c>
      <c r="N161">
        <f t="shared" si="32"/>
        <v>0</v>
      </c>
      <c r="O161">
        <f t="shared" si="33"/>
        <v>0</v>
      </c>
      <c r="P161" t="e">
        <f t="shared" si="34"/>
        <v>#NUM!</v>
      </c>
    </row>
    <row r="162" spans="3:16">
      <c r="C162">
        <f t="shared" si="25"/>
        <v>0</v>
      </c>
      <c r="D162">
        <v>1.4500000000000001E-2</v>
      </c>
      <c r="E162">
        <v>1.089E-2</v>
      </c>
      <c r="F162">
        <f t="shared" si="26"/>
        <v>0</v>
      </c>
      <c r="G162">
        <f t="shared" si="27"/>
        <v>0</v>
      </c>
      <c r="H162">
        <f t="shared" si="28"/>
        <v>0</v>
      </c>
      <c r="I162">
        <v>1</v>
      </c>
      <c r="J162" t="e">
        <f t="shared" si="29"/>
        <v>#NUM!</v>
      </c>
      <c r="K162">
        <f t="shared" si="30"/>
        <v>-1.2217251517752175</v>
      </c>
      <c r="L162">
        <v>1</v>
      </c>
      <c r="M162" t="e">
        <f t="shared" si="31"/>
        <v>#NUM!</v>
      </c>
      <c r="N162">
        <f t="shared" si="32"/>
        <v>0</v>
      </c>
      <c r="O162">
        <f t="shared" si="33"/>
        <v>0</v>
      </c>
      <c r="P162" t="e">
        <f t="shared" si="34"/>
        <v>#NUM!</v>
      </c>
    </row>
    <row r="163" spans="3:16">
      <c r="C163">
        <f t="shared" si="25"/>
        <v>0</v>
      </c>
      <c r="D163">
        <v>1.4500000000000001E-2</v>
      </c>
      <c r="E163">
        <v>1.089E-2</v>
      </c>
      <c r="F163">
        <f t="shared" si="26"/>
        <v>0</v>
      </c>
      <c r="G163">
        <f t="shared" si="27"/>
        <v>0</v>
      </c>
      <c r="H163">
        <f t="shared" si="28"/>
        <v>0</v>
      </c>
      <c r="I163">
        <v>1</v>
      </c>
      <c r="J163" t="e">
        <f t="shared" si="29"/>
        <v>#NUM!</v>
      </c>
      <c r="K163">
        <f t="shared" si="30"/>
        <v>-1.2217251517752175</v>
      </c>
      <c r="L163">
        <v>1</v>
      </c>
      <c r="M163" t="e">
        <f t="shared" si="31"/>
        <v>#NUM!</v>
      </c>
      <c r="N163">
        <f t="shared" si="32"/>
        <v>0</v>
      </c>
      <c r="O163">
        <f t="shared" si="33"/>
        <v>0</v>
      </c>
      <c r="P163" t="e">
        <f t="shared" si="34"/>
        <v>#NUM!</v>
      </c>
    </row>
    <row r="164" spans="3:16">
      <c r="C164">
        <f t="shared" si="25"/>
        <v>0</v>
      </c>
      <c r="D164">
        <v>1.4500000000000001E-2</v>
      </c>
      <c r="E164">
        <v>1.089E-2</v>
      </c>
      <c r="F164">
        <f t="shared" si="26"/>
        <v>0</v>
      </c>
      <c r="G164">
        <f t="shared" si="27"/>
        <v>0</v>
      </c>
      <c r="H164">
        <f t="shared" si="28"/>
        <v>0</v>
      </c>
      <c r="I164">
        <v>1</v>
      </c>
      <c r="J164" t="e">
        <f t="shared" si="29"/>
        <v>#NUM!</v>
      </c>
      <c r="K164">
        <f t="shared" si="30"/>
        <v>-1.2217251517752175</v>
      </c>
      <c r="L164">
        <v>1</v>
      </c>
      <c r="M164" t="e">
        <f t="shared" si="31"/>
        <v>#NUM!</v>
      </c>
      <c r="N164">
        <f t="shared" si="32"/>
        <v>0</v>
      </c>
      <c r="O164">
        <f t="shared" si="33"/>
        <v>0</v>
      </c>
      <c r="P164" t="e">
        <f t="shared" si="34"/>
        <v>#NUM!</v>
      </c>
    </row>
    <row r="165" spans="3:16">
      <c r="C165">
        <f t="shared" si="25"/>
        <v>0</v>
      </c>
      <c r="D165">
        <v>1.4500000000000001E-2</v>
      </c>
      <c r="E165">
        <v>1.089E-2</v>
      </c>
      <c r="F165">
        <f t="shared" si="26"/>
        <v>0</v>
      </c>
      <c r="G165">
        <f t="shared" si="27"/>
        <v>0</v>
      </c>
      <c r="H165">
        <f t="shared" si="28"/>
        <v>0</v>
      </c>
      <c r="I165">
        <v>1</v>
      </c>
      <c r="J165" t="e">
        <f t="shared" si="29"/>
        <v>#NUM!</v>
      </c>
      <c r="K165">
        <f t="shared" si="30"/>
        <v>-1.2217251517752175</v>
      </c>
      <c r="L165">
        <v>1</v>
      </c>
      <c r="M165" t="e">
        <f t="shared" si="31"/>
        <v>#NUM!</v>
      </c>
      <c r="N165">
        <f t="shared" si="32"/>
        <v>0</v>
      </c>
      <c r="O165">
        <f t="shared" si="33"/>
        <v>0</v>
      </c>
      <c r="P165" t="e">
        <f t="shared" si="34"/>
        <v>#NUM!</v>
      </c>
    </row>
    <row r="166" spans="3:16">
      <c r="C166">
        <f t="shared" si="25"/>
        <v>0</v>
      </c>
      <c r="D166">
        <v>1.4500000000000001E-2</v>
      </c>
      <c r="E166">
        <v>1.089E-2</v>
      </c>
      <c r="F166">
        <f t="shared" si="26"/>
        <v>0</v>
      </c>
      <c r="G166">
        <f t="shared" si="27"/>
        <v>0</v>
      </c>
      <c r="H166">
        <f t="shared" si="28"/>
        <v>0</v>
      </c>
      <c r="I166">
        <v>1</v>
      </c>
      <c r="J166" t="e">
        <f t="shared" si="29"/>
        <v>#NUM!</v>
      </c>
      <c r="K166">
        <f t="shared" si="30"/>
        <v>-1.2217251517752175</v>
      </c>
      <c r="L166">
        <v>1</v>
      </c>
      <c r="M166" t="e">
        <f t="shared" si="31"/>
        <v>#NUM!</v>
      </c>
      <c r="N166">
        <f t="shared" si="32"/>
        <v>0</v>
      </c>
      <c r="O166">
        <f t="shared" si="33"/>
        <v>0</v>
      </c>
      <c r="P166" t="e">
        <f t="shared" si="34"/>
        <v>#NUM!</v>
      </c>
    </row>
    <row r="167" spans="3:16">
      <c r="C167">
        <f t="shared" si="25"/>
        <v>0</v>
      </c>
      <c r="D167">
        <v>1.4500000000000001E-2</v>
      </c>
      <c r="E167">
        <v>1.089E-2</v>
      </c>
      <c r="F167">
        <f t="shared" si="26"/>
        <v>0</v>
      </c>
      <c r="G167">
        <f t="shared" si="27"/>
        <v>0</v>
      </c>
      <c r="H167">
        <f t="shared" si="28"/>
        <v>0</v>
      </c>
      <c r="I167">
        <v>1</v>
      </c>
      <c r="J167" t="e">
        <f t="shared" si="29"/>
        <v>#NUM!</v>
      </c>
      <c r="K167">
        <f t="shared" si="30"/>
        <v>-1.2217251517752175</v>
      </c>
      <c r="L167">
        <v>1</v>
      </c>
      <c r="M167" t="e">
        <f t="shared" si="31"/>
        <v>#NUM!</v>
      </c>
      <c r="N167">
        <f t="shared" si="32"/>
        <v>0</v>
      </c>
      <c r="O167">
        <f t="shared" si="33"/>
        <v>0</v>
      </c>
      <c r="P167" t="e">
        <f t="shared" si="34"/>
        <v>#NUM!</v>
      </c>
    </row>
    <row r="168" spans="3:16">
      <c r="C168">
        <f t="shared" si="25"/>
        <v>0</v>
      </c>
      <c r="D168">
        <v>1.4500000000000001E-2</v>
      </c>
      <c r="E168">
        <v>1.089E-2</v>
      </c>
      <c r="F168">
        <f t="shared" si="26"/>
        <v>0</v>
      </c>
      <c r="G168">
        <f t="shared" si="27"/>
        <v>0</v>
      </c>
      <c r="H168">
        <f t="shared" si="28"/>
        <v>0</v>
      </c>
      <c r="I168">
        <v>1</v>
      </c>
      <c r="J168" t="e">
        <f t="shared" si="29"/>
        <v>#NUM!</v>
      </c>
      <c r="K168">
        <f t="shared" si="30"/>
        <v>-1.2217251517752175</v>
      </c>
      <c r="L168">
        <v>1</v>
      </c>
      <c r="M168" t="e">
        <f t="shared" si="31"/>
        <v>#NUM!</v>
      </c>
      <c r="N168">
        <f t="shared" si="32"/>
        <v>0</v>
      </c>
      <c r="O168">
        <f t="shared" si="33"/>
        <v>0</v>
      </c>
      <c r="P168" t="e">
        <f t="shared" si="34"/>
        <v>#NUM!</v>
      </c>
    </row>
    <row r="169" spans="3:16">
      <c r="C169">
        <f t="shared" si="25"/>
        <v>0</v>
      </c>
      <c r="D169">
        <v>1.4500000000000001E-2</v>
      </c>
      <c r="E169">
        <v>1.089E-2</v>
      </c>
      <c r="F169">
        <f t="shared" si="26"/>
        <v>0</v>
      </c>
      <c r="G169">
        <f t="shared" si="27"/>
        <v>0</v>
      </c>
      <c r="H169">
        <f t="shared" si="28"/>
        <v>0</v>
      </c>
      <c r="I169">
        <v>1</v>
      </c>
      <c r="J169" t="e">
        <f t="shared" si="29"/>
        <v>#NUM!</v>
      </c>
      <c r="K169">
        <f t="shared" si="30"/>
        <v>-1.2217251517752175</v>
      </c>
      <c r="L169">
        <v>1</v>
      </c>
      <c r="M169" t="e">
        <f t="shared" si="31"/>
        <v>#NUM!</v>
      </c>
      <c r="N169">
        <f t="shared" si="32"/>
        <v>0</v>
      </c>
      <c r="O169">
        <f t="shared" si="33"/>
        <v>0</v>
      </c>
      <c r="P169" t="e">
        <f t="shared" si="34"/>
        <v>#NUM!</v>
      </c>
    </row>
    <row r="170" spans="3:16">
      <c r="C170">
        <f t="shared" si="25"/>
        <v>0</v>
      </c>
      <c r="D170">
        <v>1.4500000000000001E-2</v>
      </c>
      <c r="E170">
        <v>1.089E-2</v>
      </c>
      <c r="F170">
        <f t="shared" si="26"/>
        <v>0</v>
      </c>
      <c r="G170">
        <f t="shared" si="27"/>
        <v>0</v>
      </c>
      <c r="H170">
        <f t="shared" si="28"/>
        <v>0</v>
      </c>
      <c r="I170">
        <v>1</v>
      </c>
      <c r="J170" t="e">
        <f t="shared" si="29"/>
        <v>#NUM!</v>
      </c>
      <c r="K170">
        <f t="shared" si="30"/>
        <v>-1.2217251517752175</v>
      </c>
      <c r="L170">
        <v>1</v>
      </c>
      <c r="M170" t="e">
        <f t="shared" si="31"/>
        <v>#NUM!</v>
      </c>
      <c r="N170">
        <f t="shared" si="32"/>
        <v>0</v>
      </c>
      <c r="O170">
        <f t="shared" si="33"/>
        <v>0</v>
      </c>
      <c r="P170" t="e">
        <f t="shared" si="34"/>
        <v>#NUM!</v>
      </c>
    </row>
    <row r="171" spans="3:16">
      <c r="C171">
        <f t="shared" si="25"/>
        <v>0</v>
      </c>
      <c r="D171">
        <v>1.4500000000000001E-2</v>
      </c>
      <c r="E171">
        <v>1.089E-2</v>
      </c>
      <c r="F171">
        <f t="shared" si="26"/>
        <v>0</v>
      </c>
      <c r="G171">
        <f t="shared" si="27"/>
        <v>0</v>
      </c>
      <c r="H171">
        <f t="shared" si="28"/>
        <v>0</v>
      </c>
      <c r="I171">
        <v>1</v>
      </c>
      <c r="J171" t="e">
        <f t="shared" si="29"/>
        <v>#NUM!</v>
      </c>
      <c r="K171">
        <f t="shared" si="30"/>
        <v>-1.2217251517752175</v>
      </c>
      <c r="L171">
        <v>1</v>
      </c>
      <c r="M171" t="e">
        <f t="shared" si="31"/>
        <v>#NUM!</v>
      </c>
      <c r="N171">
        <f t="shared" si="32"/>
        <v>0</v>
      </c>
      <c r="O171">
        <f t="shared" si="33"/>
        <v>0</v>
      </c>
      <c r="P171" t="e">
        <f t="shared" si="34"/>
        <v>#NUM!</v>
      </c>
    </row>
    <row r="172" spans="3:16">
      <c r="C172">
        <f t="shared" si="25"/>
        <v>0</v>
      </c>
      <c r="D172">
        <v>1.4500000000000001E-2</v>
      </c>
      <c r="E172">
        <v>1.089E-2</v>
      </c>
      <c r="F172">
        <f t="shared" si="26"/>
        <v>0</v>
      </c>
      <c r="G172">
        <f t="shared" si="27"/>
        <v>0</v>
      </c>
      <c r="H172">
        <f t="shared" si="28"/>
        <v>0</v>
      </c>
      <c r="I172">
        <v>1</v>
      </c>
      <c r="J172" t="e">
        <f t="shared" si="29"/>
        <v>#NUM!</v>
      </c>
      <c r="K172">
        <f t="shared" si="30"/>
        <v>-1.2217251517752175</v>
      </c>
      <c r="L172">
        <v>1</v>
      </c>
      <c r="M172" t="e">
        <f t="shared" si="31"/>
        <v>#NUM!</v>
      </c>
      <c r="N172">
        <f t="shared" si="32"/>
        <v>0</v>
      </c>
      <c r="O172">
        <f t="shared" si="33"/>
        <v>0</v>
      </c>
      <c r="P172" t="e">
        <f t="shared" si="34"/>
        <v>#NUM!</v>
      </c>
    </row>
    <row r="173" spans="3:16">
      <c r="C173">
        <f t="shared" si="25"/>
        <v>0</v>
      </c>
      <c r="D173">
        <v>1.4500000000000001E-2</v>
      </c>
      <c r="E173">
        <v>1.089E-2</v>
      </c>
      <c r="F173">
        <f t="shared" si="26"/>
        <v>0</v>
      </c>
      <c r="G173">
        <f t="shared" si="27"/>
        <v>0</v>
      </c>
      <c r="H173">
        <f t="shared" si="28"/>
        <v>0</v>
      </c>
      <c r="I173">
        <v>1</v>
      </c>
      <c r="J173" t="e">
        <f t="shared" si="29"/>
        <v>#NUM!</v>
      </c>
      <c r="K173">
        <f t="shared" si="30"/>
        <v>-1.2217251517752175</v>
      </c>
      <c r="L173">
        <v>1</v>
      </c>
      <c r="M173" t="e">
        <f t="shared" si="31"/>
        <v>#NUM!</v>
      </c>
      <c r="N173">
        <f t="shared" si="32"/>
        <v>0</v>
      </c>
      <c r="O173">
        <f t="shared" si="33"/>
        <v>0</v>
      </c>
      <c r="P173" t="e">
        <f t="shared" si="34"/>
        <v>#NUM!</v>
      </c>
    </row>
    <row r="174" spans="3:16">
      <c r="C174">
        <f t="shared" si="25"/>
        <v>0</v>
      </c>
      <c r="D174">
        <v>1.4500000000000001E-2</v>
      </c>
      <c r="E174">
        <v>1.089E-2</v>
      </c>
      <c r="F174">
        <f t="shared" si="26"/>
        <v>0</v>
      </c>
      <c r="G174">
        <f t="shared" si="27"/>
        <v>0</v>
      </c>
      <c r="H174">
        <f t="shared" si="28"/>
        <v>0</v>
      </c>
      <c r="I174">
        <v>1</v>
      </c>
      <c r="J174" t="e">
        <f t="shared" si="29"/>
        <v>#NUM!</v>
      </c>
      <c r="K174">
        <f t="shared" si="30"/>
        <v>-1.2217251517752175</v>
      </c>
      <c r="L174">
        <v>1</v>
      </c>
      <c r="M174" t="e">
        <f t="shared" si="31"/>
        <v>#NUM!</v>
      </c>
      <c r="N174">
        <f t="shared" si="32"/>
        <v>0</v>
      </c>
      <c r="O174">
        <f t="shared" si="33"/>
        <v>0</v>
      </c>
      <c r="P174" t="e">
        <f t="shared" si="34"/>
        <v>#NUM!</v>
      </c>
    </row>
    <row r="175" spans="3:16">
      <c r="C175">
        <f t="shared" si="25"/>
        <v>0</v>
      </c>
      <c r="D175">
        <v>1.4500000000000001E-2</v>
      </c>
      <c r="E175">
        <v>1.089E-2</v>
      </c>
      <c r="F175">
        <f t="shared" si="26"/>
        <v>0</v>
      </c>
      <c r="G175">
        <f t="shared" si="27"/>
        <v>0</v>
      </c>
      <c r="H175">
        <f t="shared" si="28"/>
        <v>0</v>
      </c>
      <c r="I175">
        <v>1</v>
      </c>
      <c r="J175" t="e">
        <f t="shared" si="29"/>
        <v>#NUM!</v>
      </c>
      <c r="K175">
        <f t="shared" si="30"/>
        <v>-1.2217251517752175</v>
      </c>
      <c r="L175">
        <v>1</v>
      </c>
      <c r="M175" t="e">
        <f t="shared" si="31"/>
        <v>#NUM!</v>
      </c>
      <c r="N175">
        <f t="shared" si="32"/>
        <v>0</v>
      </c>
      <c r="O175">
        <f t="shared" si="33"/>
        <v>0</v>
      </c>
      <c r="P175" t="e">
        <f t="shared" si="34"/>
        <v>#NUM!</v>
      </c>
    </row>
    <row r="176" spans="3:16">
      <c r="C176">
        <f t="shared" si="25"/>
        <v>0</v>
      </c>
      <c r="D176">
        <v>1.4500000000000001E-2</v>
      </c>
      <c r="E176">
        <v>1.089E-2</v>
      </c>
      <c r="F176">
        <f t="shared" si="26"/>
        <v>0</v>
      </c>
      <c r="G176">
        <f t="shared" si="27"/>
        <v>0</v>
      </c>
      <c r="H176">
        <f t="shared" si="28"/>
        <v>0</v>
      </c>
      <c r="I176">
        <v>1</v>
      </c>
      <c r="J176" t="e">
        <f t="shared" si="29"/>
        <v>#NUM!</v>
      </c>
      <c r="K176">
        <f t="shared" si="30"/>
        <v>-1.2217251517752175</v>
      </c>
      <c r="L176">
        <v>1</v>
      </c>
      <c r="M176" t="e">
        <f t="shared" si="31"/>
        <v>#NUM!</v>
      </c>
      <c r="N176">
        <f t="shared" si="32"/>
        <v>0</v>
      </c>
      <c r="O176">
        <f t="shared" si="33"/>
        <v>0</v>
      </c>
      <c r="P176" t="e">
        <f t="shared" si="34"/>
        <v>#NUM!</v>
      </c>
    </row>
    <row r="177" spans="3:16">
      <c r="C177">
        <f t="shared" si="25"/>
        <v>0</v>
      </c>
      <c r="D177">
        <v>1.4500000000000001E-2</v>
      </c>
      <c r="E177">
        <v>1.089E-2</v>
      </c>
      <c r="F177">
        <f t="shared" si="26"/>
        <v>0</v>
      </c>
      <c r="G177">
        <f t="shared" si="27"/>
        <v>0</v>
      </c>
      <c r="H177">
        <f t="shared" si="28"/>
        <v>0</v>
      </c>
      <c r="I177">
        <v>1</v>
      </c>
      <c r="J177" t="e">
        <f t="shared" si="29"/>
        <v>#NUM!</v>
      </c>
      <c r="K177">
        <f t="shared" si="30"/>
        <v>-1.2217251517752175</v>
      </c>
      <c r="L177">
        <v>1</v>
      </c>
      <c r="M177" t="e">
        <f t="shared" si="31"/>
        <v>#NUM!</v>
      </c>
      <c r="N177">
        <f t="shared" si="32"/>
        <v>0</v>
      </c>
      <c r="O177">
        <f t="shared" si="33"/>
        <v>0</v>
      </c>
      <c r="P177" t="e">
        <f t="shared" si="34"/>
        <v>#NUM!</v>
      </c>
    </row>
    <row r="178" spans="3:16">
      <c r="C178">
        <f t="shared" si="25"/>
        <v>0</v>
      </c>
      <c r="D178">
        <v>1.4500000000000001E-2</v>
      </c>
      <c r="E178">
        <v>1.089E-2</v>
      </c>
      <c r="F178">
        <f t="shared" si="26"/>
        <v>0</v>
      </c>
      <c r="G178">
        <f t="shared" si="27"/>
        <v>0</v>
      </c>
      <c r="H178">
        <f t="shared" si="28"/>
        <v>0</v>
      </c>
      <c r="I178">
        <v>1</v>
      </c>
      <c r="J178" t="e">
        <f t="shared" si="29"/>
        <v>#NUM!</v>
      </c>
      <c r="K178">
        <f t="shared" si="30"/>
        <v>-1.2217251517752175</v>
      </c>
      <c r="L178">
        <v>1</v>
      </c>
      <c r="M178" t="e">
        <f t="shared" si="31"/>
        <v>#NUM!</v>
      </c>
      <c r="N178">
        <f t="shared" si="32"/>
        <v>0</v>
      </c>
      <c r="O178">
        <f t="shared" si="33"/>
        <v>0</v>
      </c>
      <c r="P178" t="e">
        <f t="shared" si="34"/>
        <v>#NUM!</v>
      </c>
    </row>
    <row r="179" spans="3:16">
      <c r="C179">
        <f t="shared" si="25"/>
        <v>0</v>
      </c>
      <c r="D179">
        <v>1.4500000000000001E-2</v>
      </c>
      <c r="E179">
        <v>1.089E-2</v>
      </c>
      <c r="F179">
        <f t="shared" si="26"/>
        <v>0</v>
      </c>
      <c r="G179">
        <f t="shared" si="27"/>
        <v>0</v>
      </c>
      <c r="H179">
        <f t="shared" si="28"/>
        <v>0</v>
      </c>
      <c r="I179">
        <v>1</v>
      </c>
      <c r="J179" t="e">
        <f t="shared" si="29"/>
        <v>#NUM!</v>
      </c>
      <c r="K179">
        <f t="shared" si="30"/>
        <v>-1.2217251517752175</v>
      </c>
      <c r="L179">
        <v>1</v>
      </c>
      <c r="M179" t="e">
        <f t="shared" si="31"/>
        <v>#NUM!</v>
      </c>
      <c r="N179">
        <f t="shared" si="32"/>
        <v>0</v>
      </c>
      <c r="O179">
        <f t="shared" si="33"/>
        <v>0</v>
      </c>
      <c r="P179" t="e">
        <f t="shared" si="34"/>
        <v>#NUM!</v>
      </c>
    </row>
    <row r="180" spans="3:16">
      <c r="C180">
        <f t="shared" si="25"/>
        <v>0</v>
      </c>
      <c r="D180">
        <v>1.4500000000000001E-2</v>
      </c>
      <c r="E180">
        <v>1.089E-2</v>
      </c>
      <c r="F180">
        <f t="shared" si="26"/>
        <v>0</v>
      </c>
      <c r="G180">
        <f t="shared" si="27"/>
        <v>0</v>
      </c>
      <c r="H180">
        <f t="shared" si="28"/>
        <v>0</v>
      </c>
      <c r="I180">
        <v>1</v>
      </c>
      <c r="J180" t="e">
        <f t="shared" si="29"/>
        <v>#NUM!</v>
      </c>
      <c r="K180">
        <f t="shared" si="30"/>
        <v>-1.2217251517752175</v>
      </c>
      <c r="L180">
        <v>1</v>
      </c>
      <c r="M180" t="e">
        <f t="shared" si="31"/>
        <v>#NUM!</v>
      </c>
      <c r="N180">
        <f t="shared" si="32"/>
        <v>0</v>
      </c>
      <c r="O180">
        <f t="shared" si="33"/>
        <v>0</v>
      </c>
      <c r="P180" t="e">
        <f t="shared" si="34"/>
        <v>#NUM!</v>
      </c>
    </row>
    <row r="181" spans="3:16">
      <c r="C181">
        <f t="shared" si="25"/>
        <v>0</v>
      </c>
      <c r="D181">
        <v>1.4500000000000001E-2</v>
      </c>
      <c r="E181">
        <v>1.089E-2</v>
      </c>
      <c r="F181">
        <f t="shared" si="26"/>
        <v>0</v>
      </c>
      <c r="G181">
        <f t="shared" si="27"/>
        <v>0</v>
      </c>
      <c r="H181">
        <f t="shared" si="28"/>
        <v>0</v>
      </c>
      <c r="I181">
        <v>1</v>
      </c>
      <c r="J181" t="e">
        <f t="shared" si="29"/>
        <v>#NUM!</v>
      </c>
      <c r="K181">
        <f t="shared" si="30"/>
        <v>-1.2217251517752175</v>
      </c>
      <c r="L181">
        <v>1</v>
      </c>
      <c r="M181" t="e">
        <f t="shared" si="31"/>
        <v>#NUM!</v>
      </c>
      <c r="N181">
        <f t="shared" si="32"/>
        <v>0</v>
      </c>
      <c r="O181">
        <f t="shared" si="33"/>
        <v>0</v>
      </c>
      <c r="P181" t="e">
        <f t="shared" si="34"/>
        <v>#NUM!</v>
      </c>
    </row>
    <row r="182" spans="3:16">
      <c r="C182">
        <f t="shared" si="25"/>
        <v>0</v>
      </c>
      <c r="D182">
        <v>1.4500000000000001E-2</v>
      </c>
      <c r="E182">
        <v>1.089E-2</v>
      </c>
      <c r="F182">
        <f t="shared" si="26"/>
        <v>0</v>
      </c>
      <c r="G182">
        <f t="shared" si="27"/>
        <v>0</v>
      </c>
      <c r="H182">
        <f t="shared" si="28"/>
        <v>0</v>
      </c>
      <c r="I182">
        <v>1</v>
      </c>
      <c r="J182" t="e">
        <f t="shared" si="29"/>
        <v>#NUM!</v>
      </c>
      <c r="K182">
        <f t="shared" si="30"/>
        <v>-1.2217251517752175</v>
      </c>
      <c r="L182">
        <v>1</v>
      </c>
      <c r="M182" t="e">
        <f t="shared" si="31"/>
        <v>#NUM!</v>
      </c>
      <c r="N182">
        <f t="shared" si="32"/>
        <v>0</v>
      </c>
      <c r="O182">
        <f t="shared" si="33"/>
        <v>0</v>
      </c>
      <c r="P182" t="e">
        <f t="shared" si="34"/>
        <v>#NUM!</v>
      </c>
    </row>
    <row r="183" spans="3:16">
      <c r="C183">
        <f t="shared" si="25"/>
        <v>0</v>
      </c>
      <c r="D183">
        <v>1.4500000000000001E-2</v>
      </c>
      <c r="E183">
        <v>1.089E-2</v>
      </c>
      <c r="F183">
        <f t="shared" si="26"/>
        <v>0</v>
      </c>
      <c r="G183">
        <f t="shared" si="27"/>
        <v>0</v>
      </c>
      <c r="H183">
        <f t="shared" si="28"/>
        <v>0</v>
      </c>
      <c r="I183">
        <v>1</v>
      </c>
      <c r="J183" t="e">
        <f t="shared" si="29"/>
        <v>#NUM!</v>
      </c>
      <c r="K183">
        <f t="shared" si="30"/>
        <v>-1.2217251517752175</v>
      </c>
      <c r="L183">
        <v>1</v>
      </c>
      <c r="M183" t="e">
        <f t="shared" si="31"/>
        <v>#NUM!</v>
      </c>
      <c r="N183">
        <f t="shared" si="32"/>
        <v>0</v>
      </c>
      <c r="O183">
        <f t="shared" si="33"/>
        <v>0</v>
      </c>
      <c r="P183" t="e">
        <f t="shared" si="34"/>
        <v>#NUM!</v>
      </c>
    </row>
    <row r="184" spans="3:16">
      <c r="C184">
        <f t="shared" si="25"/>
        <v>0</v>
      </c>
      <c r="D184">
        <v>1.4500000000000001E-2</v>
      </c>
      <c r="E184">
        <v>1.089E-2</v>
      </c>
      <c r="F184">
        <f t="shared" si="26"/>
        <v>0</v>
      </c>
      <c r="G184">
        <f t="shared" si="27"/>
        <v>0</v>
      </c>
      <c r="H184">
        <f t="shared" si="28"/>
        <v>0</v>
      </c>
      <c r="I184">
        <v>1</v>
      </c>
      <c r="J184" t="e">
        <f t="shared" si="29"/>
        <v>#NUM!</v>
      </c>
      <c r="K184">
        <f t="shared" si="30"/>
        <v>-1.2217251517752175</v>
      </c>
      <c r="L184">
        <v>1</v>
      </c>
      <c r="M184" t="e">
        <f t="shared" si="31"/>
        <v>#NUM!</v>
      </c>
      <c r="N184">
        <f t="shared" si="32"/>
        <v>0</v>
      </c>
      <c r="O184">
        <f t="shared" si="33"/>
        <v>0</v>
      </c>
      <c r="P184" t="e">
        <f t="shared" si="34"/>
        <v>#NUM!</v>
      </c>
    </row>
    <row r="185" spans="3:16">
      <c r="C185">
        <f t="shared" si="25"/>
        <v>0</v>
      </c>
      <c r="D185">
        <v>1.4500000000000001E-2</v>
      </c>
      <c r="E185">
        <v>1.089E-2</v>
      </c>
      <c r="F185">
        <f t="shared" si="26"/>
        <v>0</v>
      </c>
      <c r="G185">
        <f t="shared" si="27"/>
        <v>0</v>
      </c>
      <c r="H185">
        <f t="shared" si="28"/>
        <v>0</v>
      </c>
      <c r="I185">
        <v>1</v>
      </c>
      <c r="J185" t="e">
        <f t="shared" si="29"/>
        <v>#NUM!</v>
      </c>
      <c r="K185">
        <f t="shared" si="30"/>
        <v>-1.2217251517752175</v>
      </c>
      <c r="L185">
        <v>1</v>
      </c>
      <c r="M185" t="e">
        <f t="shared" si="31"/>
        <v>#NUM!</v>
      </c>
      <c r="N185">
        <f t="shared" si="32"/>
        <v>0</v>
      </c>
      <c r="O185">
        <f t="shared" si="33"/>
        <v>0</v>
      </c>
      <c r="P185" t="e">
        <f t="shared" si="34"/>
        <v>#NUM!</v>
      </c>
    </row>
    <row r="186" spans="3:16">
      <c r="C186">
        <f t="shared" si="25"/>
        <v>0</v>
      </c>
      <c r="D186">
        <v>1.4500000000000001E-2</v>
      </c>
      <c r="E186">
        <v>1.089E-2</v>
      </c>
      <c r="F186">
        <f t="shared" si="26"/>
        <v>0</v>
      </c>
      <c r="G186">
        <f t="shared" si="27"/>
        <v>0</v>
      </c>
      <c r="H186">
        <f t="shared" si="28"/>
        <v>0</v>
      </c>
      <c r="I186">
        <v>1</v>
      </c>
      <c r="J186" t="e">
        <f t="shared" si="29"/>
        <v>#NUM!</v>
      </c>
      <c r="K186">
        <f t="shared" si="30"/>
        <v>-1.2217251517752175</v>
      </c>
      <c r="L186">
        <v>1</v>
      </c>
      <c r="M186" t="e">
        <f t="shared" si="31"/>
        <v>#NUM!</v>
      </c>
      <c r="N186">
        <f t="shared" si="32"/>
        <v>0</v>
      </c>
      <c r="O186">
        <f t="shared" si="33"/>
        <v>0</v>
      </c>
      <c r="P186" t="e">
        <f t="shared" si="34"/>
        <v>#NUM!</v>
      </c>
    </row>
    <row r="187" spans="3:16">
      <c r="C187">
        <f t="shared" si="25"/>
        <v>0</v>
      </c>
      <c r="D187">
        <v>1.4500000000000001E-2</v>
      </c>
      <c r="E187">
        <v>1.089E-2</v>
      </c>
      <c r="F187">
        <f t="shared" si="26"/>
        <v>0</v>
      </c>
      <c r="G187">
        <f t="shared" si="27"/>
        <v>0</v>
      </c>
      <c r="H187">
        <f t="shared" si="28"/>
        <v>0</v>
      </c>
      <c r="I187">
        <v>1</v>
      </c>
      <c r="J187" t="e">
        <f t="shared" si="29"/>
        <v>#NUM!</v>
      </c>
      <c r="K187">
        <f t="shared" si="30"/>
        <v>-1.2217251517752175</v>
      </c>
      <c r="L187">
        <v>1</v>
      </c>
      <c r="M187" t="e">
        <f t="shared" si="31"/>
        <v>#NUM!</v>
      </c>
      <c r="N187">
        <f t="shared" si="32"/>
        <v>0</v>
      </c>
      <c r="O187">
        <f t="shared" si="33"/>
        <v>0</v>
      </c>
      <c r="P187" t="e">
        <f t="shared" si="34"/>
        <v>#NUM!</v>
      </c>
    </row>
    <row r="188" spans="3:16">
      <c r="C188">
        <f t="shared" si="25"/>
        <v>0</v>
      </c>
      <c r="D188">
        <v>1.4500000000000001E-2</v>
      </c>
      <c r="E188">
        <v>1.089E-2</v>
      </c>
      <c r="F188">
        <f t="shared" si="26"/>
        <v>0</v>
      </c>
      <c r="G188">
        <f t="shared" si="27"/>
        <v>0</v>
      </c>
      <c r="H188">
        <f t="shared" si="28"/>
        <v>0</v>
      </c>
      <c r="I188">
        <v>1</v>
      </c>
      <c r="J188" t="e">
        <f t="shared" si="29"/>
        <v>#NUM!</v>
      </c>
      <c r="K188">
        <f t="shared" si="30"/>
        <v>-1.2217251517752175</v>
      </c>
      <c r="L188">
        <v>1</v>
      </c>
      <c r="M188" t="e">
        <f t="shared" si="31"/>
        <v>#NUM!</v>
      </c>
      <c r="N188">
        <f t="shared" si="32"/>
        <v>0</v>
      </c>
      <c r="O188">
        <f t="shared" si="33"/>
        <v>0</v>
      </c>
      <c r="P188" t="e">
        <f t="shared" si="34"/>
        <v>#NUM!</v>
      </c>
    </row>
    <row r="189" spans="3:16">
      <c r="C189">
        <f t="shared" si="25"/>
        <v>0</v>
      </c>
      <c r="D189">
        <v>1.4500000000000001E-2</v>
      </c>
      <c r="E189">
        <v>1.089E-2</v>
      </c>
      <c r="F189">
        <f t="shared" si="26"/>
        <v>0</v>
      </c>
      <c r="G189">
        <f t="shared" si="27"/>
        <v>0</v>
      </c>
      <c r="H189">
        <f t="shared" si="28"/>
        <v>0</v>
      </c>
      <c r="I189">
        <v>1</v>
      </c>
      <c r="J189" t="e">
        <f t="shared" si="29"/>
        <v>#NUM!</v>
      </c>
      <c r="K189">
        <f t="shared" si="30"/>
        <v>-1.2217251517752175</v>
      </c>
      <c r="L189">
        <v>1</v>
      </c>
      <c r="M189" t="e">
        <f t="shared" si="31"/>
        <v>#NUM!</v>
      </c>
      <c r="N189">
        <f t="shared" si="32"/>
        <v>0</v>
      </c>
      <c r="O189">
        <f t="shared" si="33"/>
        <v>0</v>
      </c>
      <c r="P189" t="e">
        <f t="shared" si="34"/>
        <v>#NUM!</v>
      </c>
    </row>
    <row r="190" spans="3:16">
      <c r="C190">
        <f t="shared" si="25"/>
        <v>0</v>
      </c>
      <c r="D190">
        <v>1.4500000000000001E-2</v>
      </c>
      <c r="E190">
        <v>1.089E-2</v>
      </c>
      <c r="F190">
        <f t="shared" si="26"/>
        <v>0</v>
      </c>
      <c r="G190">
        <f t="shared" si="27"/>
        <v>0</v>
      </c>
      <c r="H190">
        <f t="shared" si="28"/>
        <v>0</v>
      </c>
      <c r="I190">
        <v>1</v>
      </c>
      <c r="J190" t="e">
        <f t="shared" si="29"/>
        <v>#NUM!</v>
      </c>
      <c r="K190">
        <f t="shared" si="30"/>
        <v>-1.2217251517752175</v>
      </c>
      <c r="L190">
        <v>1</v>
      </c>
      <c r="M190" t="e">
        <f t="shared" si="31"/>
        <v>#NUM!</v>
      </c>
      <c r="N190">
        <f t="shared" si="32"/>
        <v>0</v>
      </c>
      <c r="O190">
        <f t="shared" si="33"/>
        <v>0</v>
      </c>
      <c r="P190" t="e">
        <f t="shared" si="34"/>
        <v>#NUM!</v>
      </c>
    </row>
    <row r="191" spans="3:16">
      <c r="C191">
        <f t="shared" si="25"/>
        <v>0</v>
      </c>
      <c r="D191">
        <v>1.4500000000000001E-2</v>
      </c>
      <c r="E191">
        <v>1.089E-2</v>
      </c>
      <c r="F191">
        <f t="shared" si="26"/>
        <v>0</v>
      </c>
      <c r="G191">
        <f t="shared" si="27"/>
        <v>0</v>
      </c>
      <c r="H191">
        <f t="shared" si="28"/>
        <v>0</v>
      </c>
      <c r="I191">
        <v>1</v>
      </c>
      <c r="J191" t="e">
        <f t="shared" si="29"/>
        <v>#NUM!</v>
      </c>
      <c r="K191">
        <f t="shared" si="30"/>
        <v>-1.2217251517752175</v>
      </c>
      <c r="L191">
        <v>1</v>
      </c>
      <c r="M191" t="e">
        <f t="shared" si="31"/>
        <v>#NUM!</v>
      </c>
      <c r="N191">
        <f t="shared" si="32"/>
        <v>0</v>
      </c>
      <c r="O191">
        <f t="shared" si="33"/>
        <v>0</v>
      </c>
      <c r="P191" t="e">
        <f t="shared" si="34"/>
        <v>#NUM!</v>
      </c>
    </row>
    <row r="192" spans="3:16">
      <c r="C192">
        <f t="shared" si="25"/>
        <v>0</v>
      </c>
      <c r="D192">
        <v>1.4500000000000001E-2</v>
      </c>
      <c r="E192">
        <v>1.089E-2</v>
      </c>
      <c r="F192">
        <f t="shared" si="26"/>
        <v>0</v>
      </c>
      <c r="G192">
        <f t="shared" si="27"/>
        <v>0</v>
      </c>
      <c r="H192">
        <f t="shared" si="28"/>
        <v>0</v>
      </c>
      <c r="I192">
        <v>1</v>
      </c>
      <c r="J192" t="e">
        <f t="shared" si="29"/>
        <v>#NUM!</v>
      </c>
      <c r="K192">
        <f t="shared" si="30"/>
        <v>-1.2217251517752175</v>
      </c>
      <c r="L192">
        <v>1</v>
      </c>
      <c r="M192" t="e">
        <f t="shared" si="31"/>
        <v>#NUM!</v>
      </c>
      <c r="N192">
        <f t="shared" si="32"/>
        <v>0</v>
      </c>
      <c r="O192">
        <f t="shared" si="33"/>
        <v>0</v>
      </c>
      <c r="P192" t="e">
        <f t="shared" si="34"/>
        <v>#NUM!</v>
      </c>
    </row>
    <row r="193" spans="3:16">
      <c r="C193">
        <f t="shared" si="25"/>
        <v>0</v>
      </c>
      <c r="D193">
        <v>1.4500000000000001E-2</v>
      </c>
      <c r="E193">
        <v>1.089E-2</v>
      </c>
      <c r="F193">
        <f t="shared" si="26"/>
        <v>0</v>
      </c>
      <c r="G193">
        <f t="shared" si="27"/>
        <v>0</v>
      </c>
      <c r="H193">
        <f t="shared" si="28"/>
        <v>0</v>
      </c>
      <c r="I193">
        <v>1</v>
      </c>
      <c r="J193" t="e">
        <f t="shared" si="29"/>
        <v>#NUM!</v>
      </c>
      <c r="K193">
        <f t="shared" si="30"/>
        <v>-1.2217251517752175</v>
      </c>
      <c r="L193">
        <v>1</v>
      </c>
      <c r="M193" t="e">
        <f t="shared" si="31"/>
        <v>#NUM!</v>
      </c>
      <c r="N193">
        <f t="shared" si="32"/>
        <v>0</v>
      </c>
      <c r="O193">
        <f t="shared" si="33"/>
        <v>0</v>
      </c>
      <c r="P193" t="e">
        <f t="shared" si="34"/>
        <v>#NUM!</v>
      </c>
    </row>
    <row r="194" spans="3:16">
      <c r="C194">
        <f t="shared" si="25"/>
        <v>0</v>
      </c>
      <c r="D194">
        <v>1.4500000000000001E-2</v>
      </c>
      <c r="E194">
        <v>1.089E-2</v>
      </c>
      <c r="F194">
        <f t="shared" si="26"/>
        <v>0</v>
      </c>
      <c r="G194">
        <f t="shared" si="27"/>
        <v>0</v>
      </c>
      <c r="H194">
        <f t="shared" si="28"/>
        <v>0</v>
      </c>
      <c r="I194">
        <v>1</v>
      </c>
      <c r="J194" t="e">
        <f t="shared" si="29"/>
        <v>#NUM!</v>
      </c>
      <c r="K194">
        <f t="shared" si="30"/>
        <v>-1.2217251517752175</v>
      </c>
      <c r="L194">
        <v>1</v>
      </c>
      <c r="M194" t="e">
        <f t="shared" si="31"/>
        <v>#NUM!</v>
      </c>
      <c r="N194">
        <f t="shared" si="32"/>
        <v>0</v>
      </c>
      <c r="O194">
        <f t="shared" si="33"/>
        <v>0</v>
      </c>
      <c r="P194" t="e">
        <f t="shared" si="34"/>
        <v>#NUM!</v>
      </c>
    </row>
    <row r="195" spans="3:16">
      <c r="C195">
        <f t="shared" si="25"/>
        <v>0</v>
      </c>
      <c r="D195">
        <v>1.4500000000000001E-2</v>
      </c>
      <c r="E195">
        <v>1.089E-2</v>
      </c>
      <c r="F195">
        <f t="shared" si="26"/>
        <v>0</v>
      </c>
      <c r="G195">
        <f t="shared" si="27"/>
        <v>0</v>
      </c>
      <c r="H195">
        <f t="shared" si="28"/>
        <v>0</v>
      </c>
      <c r="I195">
        <v>1</v>
      </c>
      <c r="J195" t="e">
        <f t="shared" si="29"/>
        <v>#NUM!</v>
      </c>
      <c r="K195">
        <f t="shared" si="30"/>
        <v>-1.2217251517752175</v>
      </c>
      <c r="L195">
        <v>1</v>
      </c>
      <c r="M195" t="e">
        <f t="shared" si="31"/>
        <v>#NUM!</v>
      </c>
      <c r="N195">
        <f t="shared" si="32"/>
        <v>0</v>
      </c>
      <c r="O195">
        <f t="shared" si="33"/>
        <v>0</v>
      </c>
      <c r="P195" t="e">
        <f t="shared" si="34"/>
        <v>#NUM!</v>
      </c>
    </row>
    <row r="196" spans="3:16">
      <c r="C196">
        <f t="shared" ref="C196:C259" si="36">A196*B196</f>
        <v>0</v>
      </c>
      <c r="D196">
        <v>1.4500000000000001E-2</v>
      </c>
      <c r="E196">
        <v>1.089E-2</v>
      </c>
      <c r="F196">
        <f t="shared" ref="F196:F259" si="37">A196*200</f>
        <v>0</v>
      </c>
      <c r="G196">
        <f t="shared" ref="G196:G259" si="38">-B196</f>
        <v>0</v>
      </c>
      <c r="H196">
        <f t="shared" ref="H196:H259" si="39">-C196*200</f>
        <v>0</v>
      </c>
      <c r="I196">
        <v>1</v>
      </c>
      <c r="J196" t="e">
        <f t="shared" ref="J196:J259" si="40">LN(F196/1000)</f>
        <v>#NUM!</v>
      </c>
      <c r="K196">
        <f t="shared" ref="K196:K259" si="41">((-G196)-$N$2)</f>
        <v>-1.2217251517752175</v>
      </c>
      <c r="L196">
        <v>1</v>
      </c>
      <c r="M196" t="e">
        <f t="shared" ref="M196:M259" si="42">-1*($S$4+($S$5*J196))</f>
        <v>#NUM!</v>
      </c>
      <c r="N196">
        <f t="shared" ref="N196:N259" si="43">D196*A196</f>
        <v>0</v>
      </c>
      <c r="O196">
        <f t="shared" ref="O196:O259" si="44">E196*A196</f>
        <v>0</v>
      </c>
      <c r="P196" t="e">
        <f t="shared" ref="P196:P259" si="45">-K196-M196-N196-O196</f>
        <v>#NUM!</v>
      </c>
    </row>
    <row r="197" spans="3:16">
      <c r="C197">
        <f t="shared" si="36"/>
        <v>0</v>
      </c>
      <c r="D197">
        <v>1.4500000000000001E-2</v>
      </c>
      <c r="E197">
        <v>1.089E-2</v>
      </c>
      <c r="F197">
        <f t="shared" si="37"/>
        <v>0</v>
      </c>
      <c r="G197">
        <f t="shared" si="38"/>
        <v>0</v>
      </c>
      <c r="H197">
        <f t="shared" si="39"/>
        <v>0</v>
      </c>
      <c r="I197">
        <v>1</v>
      </c>
      <c r="J197" t="e">
        <f t="shared" si="40"/>
        <v>#NUM!</v>
      </c>
      <c r="K197">
        <f t="shared" si="41"/>
        <v>-1.2217251517752175</v>
      </c>
      <c r="L197">
        <v>1</v>
      </c>
      <c r="M197" t="e">
        <f t="shared" si="42"/>
        <v>#NUM!</v>
      </c>
      <c r="N197">
        <f t="shared" si="43"/>
        <v>0</v>
      </c>
      <c r="O197">
        <f t="shared" si="44"/>
        <v>0</v>
      </c>
      <c r="P197" t="e">
        <f t="shared" si="45"/>
        <v>#NUM!</v>
      </c>
    </row>
    <row r="198" spans="3:16">
      <c r="C198">
        <f t="shared" si="36"/>
        <v>0</v>
      </c>
      <c r="D198">
        <v>1.4500000000000001E-2</v>
      </c>
      <c r="E198">
        <v>1.089E-2</v>
      </c>
      <c r="F198">
        <f t="shared" si="37"/>
        <v>0</v>
      </c>
      <c r="G198">
        <f t="shared" si="38"/>
        <v>0</v>
      </c>
      <c r="H198">
        <f t="shared" si="39"/>
        <v>0</v>
      </c>
      <c r="I198">
        <v>1</v>
      </c>
      <c r="J198" t="e">
        <f t="shared" si="40"/>
        <v>#NUM!</v>
      </c>
      <c r="K198">
        <f t="shared" si="41"/>
        <v>-1.2217251517752175</v>
      </c>
      <c r="L198">
        <v>1</v>
      </c>
      <c r="M198" t="e">
        <f t="shared" si="42"/>
        <v>#NUM!</v>
      </c>
      <c r="N198">
        <f t="shared" si="43"/>
        <v>0</v>
      </c>
      <c r="O198">
        <f t="shared" si="44"/>
        <v>0</v>
      </c>
      <c r="P198" t="e">
        <f t="shared" si="45"/>
        <v>#NUM!</v>
      </c>
    </row>
    <row r="199" spans="3:16">
      <c r="C199">
        <f t="shared" si="36"/>
        <v>0</v>
      </c>
      <c r="D199">
        <v>1.4500000000000001E-2</v>
      </c>
      <c r="E199">
        <v>1.089E-2</v>
      </c>
      <c r="F199">
        <f t="shared" si="37"/>
        <v>0</v>
      </c>
      <c r="G199">
        <f t="shared" si="38"/>
        <v>0</v>
      </c>
      <c r="H199">
        <f t="shared" si="39"/>
        <v>0</v>
      </c>
      <c r="I199">
        <v>1</v>
      </c>
      <c r="J199" t="e">
        <f t="shared" si="40"/>
        <v>#NUM!</v>
      </c>
      <c r="K199">
        <f t="shared" si="41"/>
        <v>-1.2217251517752175</v>
      </c>
      <c r="L199">
        <v>1</v>
      </c>
      <c r="M199" t="e">
        <f t="shared" si="42"/>
        <v>#NUM!</v>
      </c>
      <c r="N199">
        <f t="shared" si="43"/>
        <v>0</v>
      </c>
      <c r="O199">
        <f t="shared" si="44"/>
        <v>0</v>
      </c>
      <c r="P199" t="e">
        <f t="shared" si="45"/>
        <v>#NUM!</v>
      </c>
    </row>
    <row r="200" spans="3:16">
      <c r="C200">
        <f t="shared" si="36"/>
        <v>0</v>
      </c>
      <c r="D200">
        <v>1.4500000000000001E-2</v>
      </c>
      <c r="E200">
        <v>1.089E-2</v>
      </c>
      <c r="F200">
        <f t="shared" si="37"/>
        <v>0</v>
      </c>
      <c r="G200">
        <f t="shared" si="38"/>
        <v>0</v>
      </c>
      <c r="H200">
        <f t="shared" si="39"/>
        <v>0</v>
      </c>
      <c r="I200">
        <v>1</v>
      </c>
      <c r="J200" t="e">
        <f t="shared" si="40"/>
        <v>#NUM!</v>
      </c>
      <c r="K200">
        <f t="shared" si="41"/>
        <v>-1.2217251517752175</v>
      </c>
      <c r="L200">
        <v>1</v>
      </c>
      <c r="M200" t="e">
        <f t="shared" si="42"/>
        <v>#NUM!</v>
      </c>
      <c r="N200">
        <f t="shared" si="43"/>
        <v>0</v>
      </c>
      <c r="O200">
        <f t="shared" si="44"/>
        <v>0</v>
      </c>
      <c r="P200" t="e">
        <f t="shared" si="45"/>
        <v>#NUM!</v>
      </c>
    </row>
    <row r="201" spans="3:16">
      <c r="C201">
        <f t="shared" si="36"/>
        <v>0</v>
      </c>
      <c r="D201">
        <v>1.4500000000000001E-2</v>
      </c>
      <c r="E201">
        <v>1.089E-2</v>
      </c>
      <c r="F201">
        <f t="shared" si="37"/>
        <v>0</v>
      </c>
      <c r="G201">
        <f t="shared" si="38"/>
        <v>0</v>
      </c>
      <c r="H201">
        <f t="shared" si="39"/>
        <v>0</v>
      </c>
      <c r="I201">
        <v>1</v>
      </c>
      <c r="J201" t="e">
        <f t="shared" si="40"/>
        <v>#NUM!</v>
      </c>
      <c r="K201">
        <f t="shared" si="41"/>
        <v>-1.2217251517752175</v>
      </c>
      <c r="L201">
        <v>1</v>
      </c>
      <c r="M201" t="e">
        <f t="shared" si="42"/>
        <v>#NUM!</v>
      </c>
      <c r="N201">
        <f t="shared" si="43"/>
        <v>0</v>
      </c>
      <c r="O201">
        <f t="shared" si="44"/>
        <v>0</v>
      </c>
      <c r="P201" t="e">
        <f t="shared" si="45"/>
        <v>#NUM!</v>
      </c>
    </row>
    <row r="202" spans="3:16">
      <c r="C202">
        <f t="shared" si="36"/>
        <v>0</v>
      </c>
      <c r="D202">
        <v>1.4500000000000001E-2</v>
      </c>
      <c r="E202">
        <v>1.089E-2</v>
      </c>
      <c r="F202">
        <f t="shared" si="37"/>
        <v>0</v>
      </c>
      <c r="G202">
        <f t="shared" si="38"/>
        <v>0</v>
      </c>
      <c r="H202">
        <f t="shared" si="39"/>
        <v>0</v>
      </c>
      <c r="I202">
        <v>1</v>
      </c>
      <c r="J202" t="e">
        <f t="shared" si="40"/>
        <v>#NUM!</v>
      </c>
      <c r="K202">
        <f t="shared" si="41"/>
        <v>-1.2217251517752175</v>
      </c>
      <c r="L202">
        <v>1</v>
      </c>
      <c r="M202" t="e">
        <f t="shared" si="42"/>
        <v>#NUM!</v>
      </c>
      <c r="N202">
        <f t="shared" si="43"/>
        <v>0</v>
      </c>
      <c r="O202">
        <f t="shared" si="44"/>
        <v>0</v>
      </c>
      <c r="P202" t="e">
        <f t="shared" si="45"/>
        <v>#NUM!</v>
      </c>
    </row>
    <row r="203" spans="3:16">
      <c r="C203">
        <f t="shared" si="36"/>
        <v>0</v>
      </c>
      <c r="D203">
        <v>1.4500000000000001E-2</v>
      </c>
      <c r="E203">
        <v>1.089E-2</v>
      </c>
      <c r="F203">
        <f t="shared" si="37"/>
        <v>0</v>
      </c>
      <c r="G203">
        <f t="shared" si="38"/>
        <v>0</v>
      </c>
      <c r="H203">
        <f t="shared" si="39"/>
        <v>0</v>
      </c>
      <c r="I203">
        <v>1</v>
      </c>
      <c r="J203" t="e">
        <f t="shared" si="40"/>
        <v>#NUM!</v>
      </c>
      <c r="K203">
        <f t="shared" si="41"/>
        <v>-1.2217251517752175</v>
      </c>
      <c r="L203">
        <v>1</v>
      </c>
      <c r="M203" t="e">
        <f t="shared" si="42"/>
        <v>#NUM!</v>
      </c>
      <c r="N203">
        <f t="shared" si="43"/>
        <v>0</v>
      </c>
      <c r="O203">
        <f t="shared" si="44"/>
        <v>0</v>
      </c>
      <c r="P203" t="e">
        <f t="shared" si="45"/>
        <v>#NUM!</v>
      </c>
    </row>
    <row r="204" spans="3:16">
      <c r="C204">
        <f t="shared" si="36"/>
        <v>0</v>
      </c>
      <c r="D204">
        <v>1.4500000000000001E-2</v>
      </c>
      <c r="E204">
        <v>1.089E-2</v>
      </c>
      <c r="F204">
        <f t="shared" si="37"/>
        <v>0</v>
      </c>
      <c r="G204">
        <f t="shared" si="38"/>
        <v>0</v>
      </c>
      <c r="H204">
        <f t="shared" si="39"/>
        <v>0</v>
      </c>
      <c r="I204">
        <v>1</v>
      </c>
      <c r="J204" t="e">
        <f t="shared" si="40"/>
        <v>#NUM!</v>
      </c>
      <c r="K204">
        <f t="shared" si="41"/>
        <v>-1.2217251517752175</v>
      </c>
      <c r="L204">
        <v>1</v>
      </c>
      <c r="M204" t="e">
        <f t="shared" si="42"/>
        <v>#NUM!</v>
      </c>
      <c r="N204">
        <f t="shared" si="43"/>
        <v>0</v>
      </c>
      <c r="O204">
        <f t="shared" si="44"/>
        <v>0</v>
      </c>
      <c r="P204" t="e">
        <f t="shared" si="45"/>
        <v>#NUM!</v>
      </c>
    </row>
    <row r="205" spans="3:16">
      <c r="C205">
        <f t="shared" si="36"/>
        <v>0</v>
      </c>
      <c r="D205">
        <v>1.4500000000000001E-2</v>
      </c>
      <c r="E205">
        <v>1.089E-2</v>
      </c>
      <c r="F205">
        <f t="shared" si="37"/>
        <v>0</v>
      </c>
      <c r="G205">
        <f t="shared" si="38"/>
        <v>0</v>
      </c>
      <c r="H205">
        <f t="shared" si="39"/>
        <v>0</v>
      </c>
      <c r="I205">
        <v>1</v>
      </c>
      <c r="J205" t="e">
        <f t="shared" si="40"/>
        <v>#NUM!</v>
      </c>
      <c r="K205">
        <f t="shared" si="41"/>
        <v>-1.2217251517752175</v>
      </c>
      <c r="L205">
        <v>1</v>
      </c>
      <c r="M205" t="e">
        <f t="shared" si="42"/>
        <v>#NUM!</v>
      </c>
      <c r="N205">
        <f t="shared" si="43"/>
        <v>0</v>
      </c>
      <c r="O205">
        <f t="shared" si="44"/>
        <v>0</v>
      </c>
      <c r="P205" t="e">
        <f t="shared" si="45"/>
        <v>#NUM!</v>
      </c>
    </row>
    <row r="206" spans="3:16">
      <c r="C206">
        <f t="shared" si="36"/>
        <v>0</v>
      </c>
      <c r="D206">
        <v>1.4500000000000001E-2</v>
      </c>
      <c r="E206">
        <v>1.089E-2</v>
      </c>
      <c r="F206">
        <f t="shared" si="37"/>
        <v>0</v>
      </c>
      <c r="G206">
        <f t="shared" si="38"/>
        <v>0</v>
      </c>
      <c r="H206">
        <f t="shared" si="39"/>
        <v>0</v>
      </c>
      <c r="I206">
        <v>1</v>
      </c>
      <c r="J206" t="e">
        <f t="shared" si="40"/>
        <v>#NUM!</v>
      </c>
      <c r="K206">
        <f t="shared" si="41"/>
        <v>-1.2217251517752175</v>
      </c>
      <c r="L206">
        <v>1</v>
      </c>
      <c r="M206" t="e">
        <f t="shared" si="42"/>
        <v>#NUM!</v>
      </c>
      <c r="N206">
        <f t="shared" si="43"/>
        <v>0</v>
      </c>
      <c r="O206">
        <f t="shared" si="44"/>
        <v>0</v>
      </c>
      <c r="P206" t="e">
        <f t="shared" si="45"/>
        <v>#NUM!</v>
      </c>
    </row>
    <row r="207" spans="3:16">
      <c r="C207">
        <f t="shared" si="36"/>
        <v>0</v>
      </c>
      <c r="D207">
        <v>1.4500000000000001E-2</v>
      </c>
      <c r="E207">
        <v>1.089E-2</v>
      </c>
      <c r="F207">
        <f t="shared" si="37"/>
        <v>0</v>
      </c>
      <c r="G207">
        <f t="shared" si="38"/>
        <v>0</v>
      </c>
      <c r="H207">
        <f t="shared" si="39"/>
        <v>0</v>
      </c>
      <c r="I207">
        <v>1</v>
      </c>
      <c r="J207" t="e">
        <f t="shared" si="40"/>
        <v>#NUM!</v>
      </c>
      <c r="K207">
        <f t="shared" si="41"/>
        <v>-1.2217251517752175</v>
      </c>
      <c r="L207">
        <v>1</v>
      </c>
      <c r="M207" t="e">
        <f t="shared" si="42"/>
        <v>#NUM!</v>
      </c>
      <c r="N207">
        <f t="shared" si="43"/>
        <v>0</v>
      </c>
      <c r="O207">
        <f t="shared" si="44"/>
        <v>0</v>
      </c>
      <c r="P207" t="e">
        <f t="shared" si="45"/>
        <v>#NUM!</v>
      </c>
    </row>
    <row r="208" spans="3:16">
      <c r="C208">
        <f t="shared" si="36"/>
        <v>0</v>
      </c>
      <c r="D208">
        <v>1.4500000000000001E-2</v>
      </c>
      <c r="E208">
        <v>1.089E-2</v>
      </c>
      <c r="F208">
        <f t="shared" si="37"/>
        <v>0</v>
      </c>
      <c r="G208">
        <f t="shared" si="38"/>
        <v>0</v>
      </c>
      <c r="H208">
        <f t="shared" si="39"/>
        <v>0</v>
      </c>
      <c r="I208">
        <v>1</v>
      </c>
      <c r="J208" t="e">
        <f t="shared" si="40"/>
        <v>#NUM!</v>
      </c>
      <c r="K208">
        <f t="shared" si="41"/>
        <v>-1.2217251517752175</v>
      </c>
      <c r="L208">
        <v>1</v>
      </c>
      <c r="M208" t="e">
        <f t="shared" si="42"/>
        <v>#NUM!</v>
      </c>
      <c r="N208">
        <f t="shared" si="43"/>
        <v>0</v>
      </c>
      <c r="O208">
        <f t="shared" si="44"/>
        <v>0</v>
      </c>
      <c r="P208" t="e">
        <f t="shared" si="45"/>
        <v>#NUM!</v>
      </c>
    </row>
    <row r="209" spans="3:16">
      <c r="C209">
        <f t="shared" si="36"/>
        <v>0</v>
      </c>
      <c r="D209">
        <v>1.4500000000000001E-2</v>
      </c>
      <c r="E209">
        <v>1.089E-2</v>
      </c>
      <c r="F209">
        <f t="shared" si="37"/>
        <v>0</v>
      </c>
      <c r="G209">
        <f t="shared" si="38"/>
        <v>0</v>
      </c>
      <c r="H209">
        <f t="shared" si="39"/>
        <v>0</v>
      </c>
      <c r="I209">
        <v>1</v>
      </c>
      <c r="J209" t="e">
        <f t="shared" si="40"/>
        <v>#NUM!</v>
      </c>
      <c r="K209">
        <f t="shared" si="41"/>
        <v>-1.2217251517752175</v>
      </c>
      <c r="L209">
        <v>1</v>
      </c>
      <c r="M209" t="e">
        <f t="shared" si="42"/>
        <v>#NUM!</v>
      </c>
      <c r="N209">
        <f t="shared" si="43"/>
        <v>0</v>
      </c>
      <c r="O209">
        <f t="shared" si="44"/>
        <v>0</v>
      </c>
      <c r="P209" t="e">
        <f t="shared" si="45"/>
        <v>#NUM!</v>
      </c>
    </row>
    <row r="210" spans="3:16">
      <c r="C210">
        <f t="shared" si="36"/>
        <v>0</v>
      </c>
      <c r="D210">
        <v>1.4500000000000001E-2</v>
      </c>
      <c r="E210">
        <v>1.089E-2</v>
      </c>
      <c r="F210">
        <f t="shared" si="37"/>
        <v>0</v>
      </c>
      <c r="G210">
        <f t="shared" si="38"/>
        <v>0</v>
      </c>
      <c r="H210">
        <f t="shared" si="39"/>
        <v>0</v>
      </c>
      <c r="I210">
        <v>1</v>
      </c>
      <c r="J210" t="e">
        <f t="shared" si="40"/>
        <v>#NUM!</v>
      </c>
      <c r="K210">
        <f t="shared" si="41"/>
        <v>-1.2217251517752175</v>
      </c>
      <c r="L210">
        <v>1</v>
      </c>
      <c r="M210" t="e">
        <f t="shared" si="42"/>
        <v>#NUM!</v>
      </c>
      <c r="N210">
        <f t="shared" si="43"/>
        <v>0</v>
      </c>
      <c r="O210">
        <f t="shared" si="44"/>
        <v>0</v>
      </c>
      <c r="P210" t="e">
        <f t="shared" si="45"/>
        <v>#NUM!</v>
      </c>
    </row>
    <row r="211" spans="3:16">
      <c r="C211">
        <f t="shared" si="36"/>
        <v>0</v>
      </c>
      <c r="D211">
        <v>1.4500000000000001E-2</v>
      </c>
      <c r="E211">
        <v>1.089E-2</v>
      </c>
      <c r="F211">
        <f t="shared" si="37"/>
        <v>0</v>
      </c>
      <c r="G211">
        <f t="shared" si="38"/>
        <v>0</v>
      </c>
      <c r="H211">
        <f t="shared" si="39"/>
        <v>0</v>
      </c>
      <c r="I211">
        <v>1</v>
      </c>
      <c r="J211" t="e">
        <f t="shared" si="40"/>
        <v>#NUM!</v>
      </c>
      <c r="K211">
        <f t="shared" si="41"/>
        <v>-1.2217251517752175</v>
      </c>
      <c r="L211">
        <v>1</v>
      </c>
      <c r="M211" t="e">
        <f t="shared" si="42"/>
        <v>#NUM!</v>
      </c>
      <c r="N211">
        <f t="shared" si="43"/>
        <v>0</v>
      </c>
      <c r="O211">
        <f t="shared" si="44"/>
        <v>0</v>
      </c>
      <c r="P211" t="e">
        <f t="shared" si="45"/>
        <v>#NUM!</v>
      </c>
    </row>
    <row r="212" spans="3:16">
      <c r="C212">
        <f t="shared" si="36"/>
        <v>0</v>
      </c>
      <c r="D212">
        <v>1.4500000000000001E-2</v>
      </c>
      <c r="E212">
        <v>1.089E-2</v>
      </c>
      <c r="F212">
        <f t="shared" si="37"/>
        <v>0</v>
      </c>
      <c r="G212">
        <f t="shared" si="38"/>
        <v>0</v>
      </c>
      <c r="H212">
        <f t="shared" si="39"/>
        <v>0</v>
      </c>
      <c r="I212">
        <v>1</v>
      </c>
      <c r="J212" t="e">
        <f t="shared" si="40"/>
        <v>#NUM!</v>
      </c>
      <c r="K212">
        <f t="shared" si="41"/>
        <v>-1.2217251517752175</v>
      </c>
      <c r="L212">
        <v>1</v>
      </c>
      <c r="M212" t="e">
        <f t="shared" si="42"/>
        <v>#NUM!</v>
      </c>
      <c r="N212">
        <f t="shared" si="43"/>
        <v>0</v>
      </c>
      <c r="O212">
        <f t="shared" si="44"/>
        <v>0</v>
      </c>
      <c r="P212" t="e">
        <f t="shared" si="45"/>
        <v>#NUM!</v>
      </c>
    </row>
    <row r="213" spans="3:16">
      <c r="C213">
        <f t="shared" si="36"/>
        <v>0</v>
      </c>
      <c r="D213">
        <v>1.4500000000000001E-2</v>
      </c>
      <c r="E213">
        <v>1.089E-2</v>
      </c>
      <c r="F213">
        <f t="shared" si="37"/>
        <v>0</v>
      </c>
      <c r="G213">
        <f t="shared" si="38"/>
        <v>0</v>
      </c>
      <c r="H213">
        <f t="shared" si="39"/>
        <v>0</v>
      </c>
      <c r="I213">
        <v>1</v>
      </c>
      <c r="J213" t="e">
        <f t="shared" si="40"/>
        <v>#NUM!</v>
      </c>
      <c r="K213">
        <f t="shared" si="41"/>
        <v>-1.2217251517752175</v>
      </c>
      <c r="L213">
        <v>1</v>
      </c>
      <c r="M213" t="e">
        <f t="shared" si="42"/>
        <v>#NUM!</v>
      </c>
      <c r="N213">
        <f t="shared" si="43"/>
        <v>0</v>
      </c>
      <c r="O213">
        <f t="shared" si="44"/>
        <v>0</v>
      </c>
      <c r="P213" t="e">
        <f t="shared" si="45"/>
        <v>#NUM!</v>
      </c>
    </row>
    <row r="214" spans="3:16">
      <c r="C214">
        <f t="shared" si="36"/>
        <v>0</v>
      </c>
      <c r="D214">
        <v>1.4500000000000001E-2</v>
      </c>
      <c r="E214">
        <v>1.089E-2</v>
      </c>
      <c r="F214">
        <f t="shared" si="37"/>
        <v>0</v>
      </c>
      <c r="G214">
        <f t="shared" si="38"/>
        <v>0</v>
      </c>
      <c r="H214">
        <f t="shared" si="39"/>
        <v>0</v>
      </c>
      <c r="I214">
        <v>1</v>
      </c>
      <c r="J214" t="e">
        <f t="shared" si="40"/>
        <v>#NUM!</v>
      </c>
      <c r="K214">
        <f t="shared" si="41"/>
        <v>-1.2217251517752175</v>
      </c>
      <c r="L214">
        <v>1</v>
      </c>
      <c r="M214" t="e">
        <f t="shared" si="42"/>
        <v>#NUM!</v>
      </c>
      <c r="N214">
        <f t="shared" si="43"/>
        <v>0</v>
      </c>
      <c r="O214">
        <f t="shared" si="44"/>
        <v>0</v>
      </c>
      <c r="P214" t="e">
        <f t="shared" si="45"/>
        <v>#NUM!</v>
      </c>
    </row>
    <row r="215" spans="3:16">
      <c r="C215">
        <f t="shared" si="36"/>
        <v>0</v>
      </c>
      <c r="D215">
        <v>1.4500000000000001E-2</v>
      </c>
      <c r="E215">
        <v>1.089E-2</v>
      </c>
      <c r="F215">
        <f t="shared" si="37"/>
        <v>0</v>
      </c>
      <c r="G215">
        <f t="shared" si="38"/>
        <v>0</v>
      </c>
      <c r="H215">
        <f t="shared" si="39"/>
        <v>0</v>
      </c>
      <c r="I215">
        <v>1</v>
      </c>
      <c r="J215" t="e">
        <f t="shared" si="40"/>
        <v>#NUM!</v>
      </c>
      <c r="K215">
        <f t="shared" si="41"/>
        <v>-1.2217251517752175</v>
      </c>
      <c r="L215">
        <v>1</v>
      </c>
      <c r="M215" t="e">
        <f t="shared" si="42"/>
        <v>#NUM!</v>
      </c>
      <c r="N215">
        <f t="shared" si="43"/>
        <v>0</v>
      </c>
      <c r="O215">
        <f t="shared" si="44"/>
        <v>0</v>
      </c>
      <c r="P215" t="e">
        <f t="shared" si="45"/>
        <v>#NUM!</v>
      </c>
    </row>
    <row r="216" spans="3:16">
      <c r="C216">
        <f t="shared" si="36"/>
        <v>0</v>
      </c>
      <c r="D216">
        <v>1.4500000000000001E-2</v>
      </c>
      <c r="E216">
        <v>1.089E-2</v>
      </c>
      <c r="F216">
        <f t="shared" si="37"/>
        <v>0</v>
      </c>
      <c r="G216">
        <f t="shared" si="38"/>
        <v>0</v>
      </c>
      <c r="H216">
        <f t="shared" si="39"/>
        <v>0</v>
      </c>
      <c r="I216">
        <v>1</v>
      </c>
      <c r="J216" t="e">
        <f t="shared" si="40"/>
        <v>#NUM!</v>
      </c>
      <c r="K216">
        <f t="shared" si="41"/>
        <v>-1.2217251517752175</v>
      </c>
      <c r="L216">
        <v>1</v>
      </c>
      <c r="M216" t="e">
        <f t="shared" si="42"/>
        <v>#NUM!</v>
      </c>
      <c r="N216">
        <f t="shared" si="43"/>
        <v>0</v>
      </c>
      <c r="O216">
        <f t="shared" si="44"/>
        <v>0</v>
      </c>
      <c r="P216" t="e">
        <f t="shared" si="45"/>
        <v>#NUM!</v>
      </c>
    </row>
    <row r="217" spans="3:16">
      <c r="C217">
        <f t="shared" si="36"/>
        <v>0</v>
      </c>
      <c r="D217">
        <v>1.4500000000000001E-2</v>
      </c>
      <c r="E217">
        <v>1.089E-2</v>
      </c>
      <c r="F217">
        <f t="shared" si="37"/>
        <v>0</v>
      </c>
      <c r="G217">
        <f t="shared" si="38"/>
        <v>0</v>
      </c>
      <c r="H217">
        <f t="shared" si="39"/>
        <v>0</v>
      </c>
      <c r="I217">
        <v>1</v>
      </c>
      <c r="J217" t="e">
        <f t="shared" si="40"/>
        <v>#NUM!</v>
      </c>
      <c r="K217">
        <f t="shared" si="41"/>
        <v>-1.2217251517752175</v>
      </c>
      <c r="L217">
        <v>1</v>
      </c>
      <c r="M217" t="e">
        <f t="shared" si="42"/>
        <v>#NUM!</v>
      </c>
      <c r="N217">
        <f t="shared" si="43"/>
        <v>0</v>
      </c>
      <c r="O217">
        <f t="shared" si="44"/>
        <v>0</v>
      </c>
      <c r="P217" t="e">
        <f t="shared" si="45"/>
        <v>#NUM!</v>
      </c>
    </row>
    <row r="218" spans="3:16">
      <c r="C218">
        <f t="shared" si="36"/>
        <v>0</v>
      </c>
      <c r="D218">
        <v>1.4500000000000001E-2</v>
      </c>
      <c r="E218">
        <v>1.089E-2</v>
      </c>
      <c r="F218">
        <f t="shared" si="37"/>
        <v>0</v>
      </c>
      <c r="G218">
        <f t="shared" si="38"/>
        <v>0</v>
      </c>
      <c r="H218">
        <f t="shared" si="39"/>
        <v>0</v>
      </c>
      <c r="I218">
        <v>1</v>
      </c>
      <c r="J218" t="e">
        <f t="shared" si="40"/>
        <v>#NUM!</v>
      </c>
      <c r="K218">
        <f t="shared" si="41"/>
        <v>-1.2217251517752175</v>
      </c>
      <c r="L218">
        <v>1</v>
      </c>
      <c r="M218" t="e">
        <f t="shared" si="42"/>
        <v>#NUM!</v>
      </c>
      <c r="N218">
        <f t="shared" si="43"/>
        <v>0</v>
      </c>
      <c r="O218">
        <f t="shared" si="44"/>
        <v>0</v>
      </c>
      <c r="P218" t="e">
        <f t="shared" si="45"/>
        <v>#NUM!</v>
      </c>
    </row>
    <row r="219" spans="3:16">
      <c r="C219">
        <f t="shared" si="36"/>
        <v>0</v>
      </c>
      <c r="D219">
        <v>1.4500000000000001E-2</v>
      </c>
      <c r="E219">
        <v>1.089E-2</v>
      </c>
      <c r="F219">
        <f t="shared" si="37"/>
        <v>0</v>
      </c>
      <c r="G219">
        <f t="shared" si="38"/>
        <v>0</v>
      </c>
      <c r="H219">
        <f t="shared" si="39"/>
        <v>0</v>
      </c>
      <c r="I219">
        <v>1</v>
      </c>
      <c r="J219" t="e">
        <f t="shared" si="40"/>
        <v>#NUM!</v>
      </c>
      <c r="K219">
        <f t="shared" si="41"/>
        <v>-1.2217251517752175</v>
      </c>
      <c r="L219">
        <v>1</v>
      </c>
      <c r="M219" t="e">
        <f t="shared" si="42"/>
        <v>#NUM!</v>
      </c>
      <c r="N219">
        <f t="shared" si="43"/>
        <v>0</v>
      </c>
      <c r="O219">
        <f t="shared" si="44"/>
        <v>0</v>
      </c>
      <c r="P219" t="e">
        <f t="shared" si="45"/>
        <v>#NUM!</v>
      </c>
    </row>
    <row r="220" spans="3:16">
      <c r="C220">
        <f t="shared" si="36"/>
        <v>0</v>
      </c>
      <c r="D220">
        <v>1.4500000000000001E-2</v>
      </c>
      <c r="E220">
        <v>1.089E-2</v>
      </c>
      <c r="F220">
        <f t="shared" si="37"/>
        <v>0</v>
      </c>
      <c r="G220">
        <f t="shared" si="38"/>
        <v>0</v>
      </c>
      <c r="H220">
        <f t="shared" si="39"/>
        <v>0</v>
      </c>
      <c r="I220">
        <v>1</v>
      </c>
      <c r="J220" t="e">
        <f t="shared" si="40"/>
        <v>#NUM!</v>
      </c>
      <c r="K220">
        <f t="shared" si="41"/>
        <v>-1.2217251517752175</v>
      </c>
      <c r="L220">
        <v>1</v>
      </c>
      <c r="M220" t="e">
        <f t="shared" si="42"/>
        <v>#NUM!</v>
      </c>
      <c r="N220">
        <f t="shared" si="43"/>
        <v>0</v>
      </c>
      <c r="O220">
        <f t="shared" si="44"/>
        <v>0</v>
      </c>
      <c r="P220" t="e">
        <f t="shared" si="45"/>
        <v>#NUM!</v>
      </c>
    </row>
    <row r="221" spans="3:16">
      <c r="C221">
        <f t="shared" si="36"/>
        <v>0</v>
      </c>
      <c r="D221">
        <v>1.4500000000000001E-2</v>
      </c>
      <c r="E221">
        <v>1.089E-2</v>
      </c>
      <c r="F221">
        <f t="shared" si="37"/>
        <v>0</v>
      </c>
      <c r="G221">
        <f t="shared" si="38"/>
        <v>0</v>
      </c>
      <c r="H221">
        <f t="shared" si="39"/>
        <v>0</v>
      </c>
      <c r="I221">
        <v>1</v>
      </c>
      <c r="J221" t="e">
        <f t="shared" si="40"/>
        <v>#NUM!</v>
      </c>
      <c r="K221">
        <f t="shared" si="41"/>
        <v>-1.2217251517752175</v>
      </c>
      <c r="L221">
        <v>1</v>
      </c>
      <c r="M221" t="e">
        <f t="shared" si="42"/>
        <v>#NUM!</v>
      </c>
      <c r="N221">
        <f t="shared" si="43"/>
        <v>0</v>
      </c>
      <c r="O221">
        <f t="shared" si="44"/>
        <v>0</v>
      </c>
      <c r="P221" t="e">
        <f t="shared" si="45"/>
        <v>#NUM!</v>
      </c>
    </row>
    <row r="222" spans="3:16">
      <c r="C222">
        <f t="shared" si="36"/>
        <v>0</v>
      </c>
      <c r="D222">
        <v>1.4500000000000001E-2</v>
      </c>
      <c r="E222">
        <v>1.089E-2</v>
      </c>
      <c r="F222">
        <f t="shared" si="37"/>
        <v>0</v>
      </c>
      <c r="G222">
        <f t="shared" si="38"/>
        <v>0</v>
      </c>
      <c r="H222">
        <f t="shared" si="39"/>
        <v>0</v>
      </c>
      <c r="I222">
        <v>1</v>
      </c>
      <c r="J222" t="e">
        <f t="shared" si="40"/>
        <v>#NUM!</v>
      </c>
      <c r="K222">
        <f t="shared" si="41"/>
        <v>-1.2217251517752175</v>
      </c>
      <c r="L222">
        <v>1</v>
      </c>
      <c r="M222" t="e">
        <f t="shared" si="42"/>
        <v>#NUM!</v>
      </c>
      <c r="N222">
        <f t="shared" si="43"/>
        <v>0</v>
      </c>
      <c r="O222">
        <f t="shared" si="44"/>
        <v>0</v>
      </c>
      <c r="P222" t="e">
        <f t="shared" si="45"/>
        <v>#NUM!</v>
      </c>
    </row>
    <row r="223" spans="3:16">
      <c r="C223">
        <f t="shared" si="36"/>
        <v>0</v>
      </c>
      <c r="D223">
        <v>1.4500000000000001E-2</v>
      </c>
      <c r="E223">
        <v>1.089E-2</v>
      </c>
      <c r="F223">
        <f t="shared" si="37"/>
        <v>0</v>
      </c>
      <c r="G223">
        <f t="shared" si="38"/>
        <v>0</v>
      </c>
      <c r="H223">
        <f t="shared" si="39"/>
        <v>0</v>
      </c>
      <c r="I223">
        <v>1</v>
      </c>
      <c r="J223" t="e">
        <f t="shared" si="40"/>
        <v>#NUM!</v>
      </c>
      <c r="K223">
        <f t="shared" si="41"/>
        <v>-1.2217251517752175</v>
      </c>
      <c r="L223">
        <v>1</v>
      </c>
      <c r="M223" t="e">
        <f t="shared" si="42"/>
        <v>#NUM!</v>
      </c>
      <c r="N223">
        <f t="shared" si="43"/>
        <v>0</v>
      </c>
      <c r="O223">
        <f t="shared" si="44"/>
        <v>0</v>
      </c>
      <c r="P223" t="e">
        <f t="shared" si="45"/>
        <v>#NUM!</v>
      </c>
    </row>
    <row r="224" spans="3:16">
      <c r="C224">
        <f t="shared" si="36"/>
        <v>0</v>
      </c>
      <c r="D224">
        <v>1.4500000000000001E-2</v>
      </c>
      <c r="E224">
        <v>1.089E-2</v>
      </c>
      <c r="F224">
        <f t="shared" si="37"/>
        <v>0</v>
      </c>
      <c r="G224">
        <f t="shared" si="38"/>
        <v>0</v>
      </c>
      <c r="H224">
        <f t="shared" si="39"/>
        <v>0</v>
      </c>
      <c r="I224">
        <v>1</v>
      </c>
      <c r="J224" t="e">
        <f t="shared" si="40"/>
        <v>#NUM!</v>
      </c>
      <c r="K224">
        <f t="shared" si="41"/>
        <v>-1.2217251517752175</v>
      </c>
      <c r="L224">
        <v>1</v>
      </c>
      <c r="M224" t="e">
        <f t="shared" si="42"/>
        <v>#NUM!</v>
      </c>
      <c r="N224">
        <f t="shared" si="43"/>
        <v>0</v>
      </c>
      <c r="O224">
        <f t="shared" si="44"/>
        <v>0</v>
      </c>
      <c r="P224" t="e">
        <f t="shared" si="45"/>
        <v>#NUM!</v>
      </c>
    </row>
    <row r="225" spans="3:18">
      <c r="C225">
        <f t="shared" si="36"/>
        <v>0</v>
      </c>
      <c r="D225">
        <v>1.4500000000000001E-2</v>
      </c>
      <c r="E225">
        <v>1.089E-2</v>
      </c>
      <c r="F225">
        <f t="shared" si="37"/>
        <v>0</v>
      </c>
      <c r="G225">
        <f t="shared" si="38"/>
        <v>0</v>
      </c>
      <c r="H225">
        <f t="shared" si="39"/>
        <v>0</v>
      </c>
      <c r="I225">
        <v>1</v>
      </c>
      <c r="J225" t="e">
        <f t="shared" si="40"/>
        <v>#NUM!</v>
      </c>
      <c r="K225">
        <f t="shared" si="41"/>
        <v>-1.2217251517752175</v>
      </c>
      <c r="L225">
        <v>1</v>
      </c>
      <c r="M225" t="e">
        <f t="shared" si="42"/>
        <v>#NUM!</v>
      </c>
      <c r="N225">
        <f t="shared" si="43"/>
        <v>0</v>
      </c>
      <c r="O225">
        <f t="shared" si="44"/>
        <v>0</v>
      </c>
      <c r="P225" t="e">
        <f t="shared" si="45"/>
        <v>#NUM!</v>
      </c>
      <c r="R225" t="e">
        <f>O225+N225+M225</f>
        <v>#NUM!</v>
      </c>
    </row>
    <row r="226" spans="3:18">
      <c r="C226">
        <f t="shared" si="36"/>
        <v>0</v>
      </c>
      <c r="D226">
        <v>1.4500000000000001E-2</v>
      </c>
      <c r="E226">
        <v>1.089E-2</v>
      </c>
      <c r="F226">
        <f t="shared" si="37"/>
        <v>0</v>
      </c>
      <c r="G226">
        <f t="shared" si="38"/>
        <v>0</v>
      </c>
      <c r="H226">
        <f t="shared" si="39"/>
        <v>0</v>
      </c>
      <c r="I226">
        <v>1</v>
      </c>
      <c r="J226" t="e">
        <f t="shared" si="40"/>
        <v>#NUM!</v>
      </c>
      <c r="K226">
        <f t="shared" si="41"/>
        <v>-1.2217251517752175</v>
      </c>
      <c r="L226">
        <v>1</v>
      </c>
      <c r="M226" t="e">
        <f t="shared" si="42"/>
        <v>#NUM!</v>
      </c>
      <c r="N226">
        <f t="shared" si="43"/>
        <v>0</v>
      </c>
      <c r="O226">
        <f t="shared" si="44"/>
        <v>0</v>
      </c>
      <c r="P226" t="e">
        <f t="shared" si="45"/>
        <v>#NUM!</v>
      </c>
    </row>
    <row r="227" spans="3:18">
      <c r="C227">
        <f t="shared" si="36"/>
        <v>0</v>
      </c>
      <c r="D227">
        <v>1.4500000000000001E-2</v>
      </c>
      <c r="E227">
        <v>1.089E-2</v>
      </c>
      <c r="F227">
        <f t="shared" si="37"/>
        <v>0</v>
      </c>
      <c r="G227">
        <f t="shared" si="38"/>
        <v>0</v>
      </c>
      <c r="H227">
        <f t="shared" si="39"/>
        <v>0</v>
      </c>
      <c r="I227">
        <v>1</v>
      </c>
      <c r="J227" t="e">
        <f t="shared" si="40"/>
        <v>#NUM!</v>
      </c>
      <c r="K227">
        <f t="shared" si="41"/>
        <v>-1.2217251517752175</v>
      </c>
      <c r="L227">
        <v>1</v>
      </c>
      <c r="M227" t="e">
        <f t="shared" si="42"/>
        <v>#NUM!</v>
      </c>
      <c r="N227">
        <f t="shared" si="43"/>
        <v>0</v>
      </c>
      <c r="O227">
        <f t="shared" si="44"/>
        <v>0</v>
      </c>
      <c r="P227" t="e">
        <f t="shared" si="45"/>
        <v>#NUM!</v>
      </c>
    </row>
    <row r="228" spans="3:18">
      <c r="C228">
        <f t="shared" si="36"/>
        <v>0</v>
      </c>
      <c r="D228">
        <v>1.4500000000000001E-2</v>
      </c>
      <c r="E228">
        <v>1.089E-2</v>
      </c>
      <c r="F228">
        <f t="shared" si="37"/>
        <v>0</v>
      </c>
      <c r="G228">
        <f t="shared" si="38"/>
        <v>0</v>
      </c>
      <c r="H228">
        <f t="shared" si="39"/>
        <v>0</v>
      </c>
      <c r="I228">
        <v>1</v>
      </c>
      <c r="J228" t="e">
        <f t="shared" si="40"/>
        <v>#NUM!</v>
      </c>
      <c r="K228">
        <f t="shared" si="41"/>
        <v>-1.2217251517752175</v>
      </c>
      <c r="L228">
        <v>1</v>
      </c>
      <c r="M228" t="e">
        <f t="shared" si="42"/>
        <v>#NUM!</v>
      </c>
      <c r="N228">
        <f t="shared" si="43"/>
        <v>0</v>
      </c>
      <c r="O228">
        <f t="shared" si="44"/>
        <v>0</v>
      </c>
      <c r="P228" t="e">
        <f t="shared" si="45"/>
        <v>#NUM!</v>
      </c>
    </row>
    <row r="229" spans="3:18">
      <c r="C229">
        <f t="shared" si="36"/>
        <v>0</v>
      </c>
      <c r="D229">
        <v>1.4500000000000001E-2</v>
      </c>
      <c r="E229">
        <v>1.089E-2</v>
      </c>
      <c r="F229">
        <f t="shared" si="37"/>
        <v>0</v>
      </c>
      <c r="G229">
        <f t="shared" si="38"/>
        <v>0</v>
      </c>
      <c r="H229">
        <f t="shared" si="39"/>
        <v>0</v>
      </c>
      <c r="I229">
        <v>1</v>
      </c>
      <c r="J229" t="e">
        <f t="shared" si="40"/>
        <v>#NUM!</v>
      </c>
      <c r="K229">
        <f t="shared" si="41"/>
        <v>-1.2217251517752175</v>
      </c>
      <c r="L229">
        <v>1</v>
      </c>
      <c r="M229" t="e">
        <f t="shared" si="42"/>
        <v>#NUM!</v>
      </c>
      <c r="N229">
        <f t="shared" si="43"/>
        <v>0</v>
      </c>
      <c r="O229">
        <f t="shared" si="44"/>
        <v>0</v>
      </c>
      <c r="P229" t="e">
        <f t="shared" si="45"/>
        <v>#NUM!</v>
      </c>
    </row>
    <row r="230" spans="3:18">
      <c r="C230">
        <f t="shared" si="36"/>
        <v>0</v>
      </c>
      <c r="D230">
        <v>1.4500000000000001E-2</v>
      </c>
      <c r="E230">
        <v>1.089E-2</v>
      </c>
      <c r="F230">
        <f t="shared" si="37"/>
        <v>0</v>
      </c>
      <c r="G230">
        <f t="shared" si="38"/>
        <v>0</v>
      </c>
      <c r="H230">
        <f t="shared" si="39"/>
        <v>0</v>
      </c>
      <c r="I230">
        <v>1</v>
      </c>
      <c r="J230" t="e">
        <f t="shared" si="40"/>
        <v>#NUM!</v>
      </c>
      <c r="K230">
        <f t="shared" si="41"/>
        <v>-1.2217251517752175</v>
      </c>
      <c r="L230">
        <v>1</v>
      </c>
      <c r="M230" t="e">
        <f t="shared" si="42"/>
        <v>#NUM!</v>
      </c>
      <c r="N230">
        <f t="shared" si="43"/>
        <v>0</v>
      </c>
      <c r="O230">
        <f t="shared" si="44"/>
        <v>0</v>
      </c>
      <c r="P230" t="e">
        <f t="shared" si="45"/>
        <v>#NUM!</v>
      </c>
    </row>
    <row r="231" spans="3:18">
      <c r="C231">
        <f t="shared" si="36"/>
        <v>0</v>
      </c>
      <c r="D231">
        <v>1.4500000000000001E-2</v>
      </c>
      <c r="E231">
        <v>1.089E-2</v>
      </c>
      <c r="F231">
        <f t="shared" si="37"/>
        <v>0</v>
      </c>
      <c r="G231">
        <f t="shared" si="38"/>
        <v>0</v>
      </c>
      <c r="H231">
        <f t="shared" si="39"/>
        <v>0</v>
      </c>
      <c r="I231">
        <v>1</v>
      </c>
      <c r="J231" t="e">
        <f t="shared" si="40"/>
        <v>#NUM!</v>
      </c>
      <c r="K231">
        <f t="shared" si="41"/>
        <v>-1.2217251517752175</v>
      </c>
      <c r="L231">
        <v>1</v>
      </c>
      <c r="M231" t="e">
        <f t="shared" si="42"/>
        <v>#NUM!</v>
      </c>
      <c r="N231">
        <f t="shared" si="43"/>
        <v>0</v>
      </c>
      <c r="O231">
        <f t="shared" si="44"/>
        <v>0</v>
      </c>
      <c r="P231" t="e">
        <f t="shared" si="45"/>
        <v>#NUM!</v>
      </c>
    </row>
    <row r="232" spans="3:18">
      <c r="C232">
        <f t="shared" si="36"/>
        <v>0</v>
      </c>
      <c r="D232">
        <v>1.4500000000000001E-2</v>
      </c>
      <c r="E232">
        <v>1.089E-2</v>
      </c>
      <c r="F232">
        <f t="shared" si="37"/>
        <v>0</v>
      </c>
      <c r="G232">
        <f t="shared" si="38"/>
        <v>0</v>
      </c>
      <c r="H232">
        <f t="shared" si="39"/>
        <v>0</v>
      </c>
      <c r="I232">
        <v>1</v>
      </c>
      <c r="J232" t="e">
        <f t="shared" si="40"/>
        <v>#NUM!</v>
      </c>
      <c r="K232">
        <f t="shared" si="41"/>
        <v>-1.2217251517752175</v>
      </c>
      <c r="L232">
        <v>1</v>
      </c>
      <c r="M232" t="e">
        <f t="shared" si="42"/>
        <v>#NUM!</v>
      </c>
      <c r="N232">
        <f t="shared" si="43"/>
        <v>0</v>
      </c>
      <c r="O232">
        <f t="shared" si="44"/>
        <v>0</v>
      </c>
      <c r="P232" t="e">
        <f t="shared" si="45"/>
        <v>#NUM!</v>
      </c>
    </row>
    <row r="233" spans="3:18">
      <c r="C233">
        <f t="shared" si="36"/>
        <v>0</v>
      </c>
      <c r="D233">
        <v>1.4500000000000001E-2</v>
      </c>
      <c r="E233">
        <v>1.089E-2</v>
      </c>
      <c r="F233">
        <f t="shared" si="37"/>
        <v>0</v>
      </c>
      <c r="G233">
        <f t="shared" si="38"/>
        <v>0</v>
      </c>
      <c r="H233">
        <f t="shared" si="39"/>
        <v>0</v>
      </c>
      <c r="I233">
        <v>1</v>
      </c>
      <c r="J233" t="e">
        <f t="shared" si="40"/>
        <v>#NUM!</v>
      </c>
      <c r="K233">
        <f t="shared" si="41"/>
        <v>-1.2217251517752175</v>
      </c>
      <c r="L233">
        <v>1</v>
      </c>
      <c r="M233" t="e">
        <f t="shared" si="42"/>
        <v>#NUM!</v>
      </c>
      <c r="N233">
        <f t="shared" si="43"/>
        <v>0</v>
      </c>
      <c r="O233">
        <f t="shared" si="44"/>
        <v>0</v>
      </c>
      <c r="P233" t="e">
        <f t="shared" si="45"/>
        <v>#NUM!</v>
      </c>
    </row>
    <row r="234" spans="3:18">
      <c r="C234">
        <f t="shared" si="36"/>
        <v>0</v>
      </c>
      <c r="D234">
        <v>1.4500000000000001E-2</v>
      </c>
      <c r="E234">
        <v>1.089E-2</v>
      </c>
      <c r="F234">
        <f t="shared" si="37"/>
        <v>0</v>
      </c>
      <c r="G234">
        <f t="shared" si="38"/>
        <v>0</v>
      </c>
      <c r="H234">
        <f t="shared" si="39"/>
        <v>0</v>
      </c>
      <c r="I234">
        <v>1</v>
      </c>
      <c r="J234" t="e">
        <f t="shared" si="40"/>
        <v>#NUM!</v>
      </c>
      <c r="K234">
        <f t="shared" si="41"/>
        <v>-1.2217251517752175</v>
      </c>
      <c r="L234">
        <v>1</v>
      </c>
      <c r="M234" t="e">
        <f t="shared" si="42"/>
        <v>#NUM!</v>
      </c>
      <c r="N234">
        <f t="shared" si="43"/>
        <v>0</v>
      </c>
      <c r="O234">
        <f t="shared" si="44"/>
        <v>0</v>
      </c>
      <c r="P234" t="e">
        <f t="shared" si="45"/>
        <v>#NUM!</v>
      </c>
    </row>
    <row r="235" spans="3:18">
      <c r="C235">
        <f t="shared" si="36"/>
        <v>0</v>
      </c>
      <c r="D235">
        <v>1.4500000000000001E-2</v>
      </c>
      <c r="E235">
        <v>1.089E-2</v>
      </c>
      <c r="F235">
        <f t="shared" si="37"/>
        <v>0</v>
      </c>
      <c r="G235">
        <f t="shared" si="38"/>
        <v>0</v>
      </c>
      <c r="H235">
        <f t="shared" si="39"/>
        <v>0</v>
      </c>
      <c r="I235">
        <v>1</v>
      </c>
      <c r="J235" t="e">
        <f t="shared" si="40"/>
        <v>#NUM!</v>
      </c>
      <c r="K235">
        <f t="shared" si="41"/>
        <v>-1.2217251517752175</v>
      </c>
      <c r="L235">
        <v>1</v>
      </c>
      <c r="M235" t="e">
        <f t="shared" si="42"/>
        <v>#NUM!</v>
      </c>
      <c r="N235">
        <f t="shared" si="43"/>
        <v>0</v>
      </c>
      <c r="O235">
        <f t="shared" si="44"/>
        <v>0</v>
      </c>
      <c r="P235" t="e">
        <f t="shared" si="45"/>
        <v>#NUM!</v>
      </c>
    </row>
    <row r="236" spans="3:18">
      <c r="C236">
        <f t="shared" si="36"/>
        <v>0</v>
      </c>
      <c r="D236">
        <v>1.4500000000000001E-2</v>
      </c>
      <c r="E236">
        <v>1.089E-2</v>
      </c>
      <c r="F236">
        <f t="shared" si="37"/>
        <v>0</v>
      </c>
      <c r="G236">
        <f t="shared" si="38"/>
        <v>0</v>
      </c>
      <c r="H236">
        <f t="shared" si="39"/>
        <v>0</v>
      </c>
      <c r="I236">
        <v>1</v>
      </c>
      <c r="J236" t="e">
        <f t="shared" si="40"/>
        <v>#NUM!</v>
      </c>
      <c r="K236">
        <f t="shared" si="41"/>
        <v>-1.2217251517752175</v>
      </c>
      <c r="L236">
        <v>1</v>
      </c>
      <c r="M236" t="e">
        <f t="shared" si="42"/>
        <v>#NUM!</v>
      </c>
      <c r="N236">
        <f t="shared" si="43"/>
        <v>0</v>
      </c>
      <c r="O236">
        <f t="shared" si="44"/>
        <v>0</v>
      </c>
      <c r="P236" t="e">
        <f t="shared" si="45"/>
        <v>#NUM!</v>
      </c>
    </row>
    <row r="237" spans="3:18">
      <c r="C237">
        <f t="shared" si="36"/>
        <v>0</v>
      </c>
      <c r="D237">
        <v>1.4500000000000001E-2</v>
      </c>
      <c r="E237">
        <v>1.089E-2</v>
      </c>
      <c r="F237">
        <f t="shared" si="37"/>
        <v>0</v>
      </c>
      <c r="G237">
        <f t="shared" si="38"/>
        <v>0</v>
      </c>
      <c r="H237">
        <f t="shared" si="39"/>
        <v>0</v>
      </c>
      <c r="I237">
        <v>1</v>
      </c>
      <c r="J237" t="e">
        <f t="shared" si="40"/>
        <v>#NUM!</v>
      </c>
      <c r="K237">
        <f t="shared" si="41"/>
        <v>-1.2217251517752175</v>
      </c>
      <c r="L237">
        <v>1</v>
      </c>
      <c r="M237" t="e">
        <f t="shared" si="42"/>
        <v>#NUM!</v>
      </c>
      <c r="N237">
        <f t="shared" si="43"/>
        <v>0</v>
      </c>
      <c r="O237">
        <f t="shared" si="44"/>
        <v>0</v>
      </c>
      <c r="P237" t="e">
        <f t="shared" si="45"/>
        <v>#NUM!</v>
      </c>
    </row>
    <row r="238" spans="3:18">
      <c r="C238">
        <f t="shared" si="36"/>
        <v>0</v>
      </c>
      <c r="D238">
        <v>1.4500000000000001E-2</v>
      </c>
      <c r="E238">
        <v>1.089E-2</v>
      </c>
      <c r="F238">
        <f t="shared" si="37"/>
        <v>0</v>
      </c>
      <c r="G238">
        <f t="shared" si="38"/>
        <v>0</v>
      </c>
      <c r="H238">
        <f t="shared" si="39"/>
        <v>0</v>
      </c>
      <c r="I238">
        <v>1</v>
      </c>
      <c r="J238" t="e">
        <f t="shared" si="40"/>
        <v>#NUM!</v>
      </c>
      <c r="K238">
        <f t="shared" si="41"/>
        <v>-1.2217251517752175</v>
      </c>
      <c r="L238">
        <v>1</v>
      </c>
      <c r="M238" t="e">
        <f t="shared" si="42"/>
        <v>#NUM!</v>
      </c>
      <c r="N238">
        <f t="shared" si="43"/>
        <v>0</v>
      </c>
      <c r="O238">
        <f t="shared" si="44"/>
        <v>0</v>
      </c>
      <c r="P238" t="e">
        <f t="shared" si="45"/>
        <v>#NUM!</v>
      </c>
    </row>
    <row r="239" spans="3:18">
      <c r="C239">
        <f t="shared" si="36"/>
        <v>0</v>
      </c>
      <c r="D239">
        <v>1.4500000000000001E-2</v>
      </c>
      <c r="E239">
        <v>1.089E-2</v>
      </c>
      <c r="F239">
        <f t="shared" si="37"/>
        <v>0</v>
      </c>
      <c r="G239">
        <f t="shared" si="38"/>
        <v>0</v>
      </c>
      <c r="H239">
        <f t="shared" si="39"/>
        <v>0</v>
      </c>
      <c r="I239">
        <v>1</v>
      </c>
      <c r="J239" t="e">
        <f t="shared" si="40"/>
        <v>#NUM!</v>
      </c>
      <c r="K239">
        <f t="shared" si="41"/>
        <v>-1.2217251517752175</v>
      </c>
      <c r="L239">
        <v>1</v>
      </c>
      <c r="M239" t="e">
        <f t="shared" si="42"/>
        <v>#NUM!</v>
      </c>
      <c r="N239">
        <f t="shared" si="43"/>
        <v>0</v>
      </c>
      <c r="O239">
        <f t="shared" si="44"/>
        <v>0</v>
      </c>
      <c r="P239" t="e">
        <f t="shared" si="45"/>
        <v>#NUM!</v>
      </c>
    </row>
    <row r="240" spans="3:18">
      <c r="C240">
        <f t="shared" si="36"/>
        <v>0</v>
      </c>
      <c r="D240">
        <v>1.4500000000000001E-2</v>
      </c>
      <c r="E240">
        <v>1.089E-2</v>
      </c>
      <c r="F240">
        <f t="shared" si="37"/>
        <v>0</v>
      </c>
      <c r="G240">
        <f t="shared" si="38"/>
        <v>0</v>
      </c>
      <c r="H240">
        <f t="shared" si="39"/>
        <v>0</v>
      </c>
      <c r="I240">
        <v>1</v>
      </c>
      <c r="J240" t="e">
        <f t="shared" si="40"/>
        <v>#NUM!</v>
      </c>
      <c r="K240">
        <f t="shared" si="41"/>
        <v>-1.2217251517752175</v>
      </c>
      <c r="L240">
        <v>1</v>
      </c>
      <c r="M240" t="e">
        <f t="shared" si="42"/>
        <v>#NUM!</v>
      </c>
      <c r="N240">
        <f t="shared" si="43"/>
        <v>0</v>
      </c>
      <c r="O240">
        <f t="shared" si="44"/>
        <v>0</v>
      </c>
      <c r="P240" t="e">
        <f t="shared" si="45"/>
        <v>#NUM!</v>
      </c>
    </row>
    <row r="241" spans="3:16">
      <c r="C241">
        <f t="shared" si="36"/>
        <v>0</v>
      </c>
      <c r="D241">
        <v>1.4500000000000001E-2</v>
      </c>
      <c r="E241">
        <v>1.089E-2</v>
      </c>
      <c r="F241">
        <f t="shared" si="37"/>
        <v>0</v>
      </c>
      <c r="G241">
        <f t="shared" si="38"/>
        <v>0</v>
      </c>
      <c r="H241">
        <f t="shared" si="39"/>
        <v>0</v>
      </c>
      <c r="I241">
        <v>1</v>
      </c>
      <c r="J241" t="e">
        <f t="shared" si="40"/>
        <v>#NUM!</v>
      </c>
      <c r="K241">
        <f t="shared" si="41"/>
        <v>-1.2217251517752175</v>
      </c>
      <c r="L241">
        <v>1</v>
      </c>
      <c r="M241" t="e">
        <f t="shared" si="42"/>
        <v>#NUM!</v>
      </c>
      <c r="N241">
        <f t="shared" si="43"/>
        <v>0</v>
      </c>
      <c r="O241">
        <f t="shared" si="44"/>
        <v>0</v>
      </c>
      <c r="P241" t="e">
        <f t="shared" si="45"/>
        <v>#NUM!</v>
      </c>
    </row>
    <row r="242" spans="3:16">
      <c r="C242">
        <f t="shared" si="36"/>
        <v>0</v>
      </c>
      <c r="D242">
        <v>1.4500000000000001E-2</v>
      </c>
      <c r="E242">
        <v>1.089E-2</v>
      </c>
      <c r="F242">
        <f t="shared" si="37"/>
        <v>0</v>
      </c>
      <c r="G242">
        <f t="shared" si="38"/>
        <v>0</v>
      </c>
      <c r="H242">
        <f t="shared" si="39"/>
        <v>0</v>
      </c>
      <c r="I242">
        <v>1</v>
      </c>
      <c r="J242" t="e">
        <f t="shared" si="40"/>
        <v>#NUM!</v>
      </c>
      <c r="K242">
        <f t="shared" si="41"/>
        <v>-1.2217251517752175</v>
      </c>
      <c r="L242">
        <v>1</v>
      </c>
      <c r="M242" t="e">
        <f t="shared" si="42"/>
        <v>#NUM!</v>
      </c>
      <c r="N242">
        <f t="shared" si="43"/>
        <v>0</v>
      </c>
      <c r="O242">
        <f t="shared" si="44"/>
        <v>0</v>
      </c>
      <c r="P242" t="e">
        <f t="shared" si="45"/>
        <v>#NUM!</v>
      </c>
    </row>
    <row r="243" spans="3:16">
      <c r="C243">
        <f t="shared" si="36"/>
        <v>0</v>
      </c>
      <c r="D243">
        <v>1.4500000000000001E-2</v>
      </c>
      <c r="E243">
        <v>1.089E-2</v>
      </c>
      <c r="F243">
        <f t="shared" si="37"/>
        <v>0</v>
      </c>
      <c r="G243">
        <f t="shared" si="38"/>
        <v>0</v>
      </c>
      <c r="H243">
        <f t="shared" si="39"/>
        <v>0</v>
      </c>
      <c r="I243">
        <v>1</v>
      </c>
      <c r="J243" t="e">
        <f t="shared" si="40"/>
        <v>#NUM!</v>
      </c>
      <c r="K243">
        <f t="shared" si="41"/>
        <v>-1.2217251517752175</v>
      </c>
      <c r="L243">
        <v>1</v>
      </c>
      <c r="M243" t="e">
        <f t="shared" si="42"/>
        <v>#NUM!</v>
      </c>
      <c r="N243">
        <f t="shared" si="43"/>
        <v>0</v>
      </c>
      <c r="O243">
        <f t="shared" si="44"/>
        <v>0</v>
      </c>
      <c r="P243" t="e">
        <f t="shared" si="45"/>
        <v>#NUM!</v>
      </c>
    </row>
    <row r="244" spans="3:16">
      <c r="C244">
        <f t="shared" si="36"/>
        <v>0</v>
      </c>
      <c r="D244">
        <v>1.4500000000000001E-2</v>
      </c>
      <c r="E244">
        <v>1.089E-2</v>
      </c>
      <c r="F244">
        <f t="shared" si="37"/>
        <v>0</v>
      </c>
      <c r="G244">
        <f t="shared" si="38"/>
        <v>0</v>
      </c>
      <c r="H244">
        <f t="shared" si="39"/>
        <v>0</v>
      </c>
      <c r="I244">
        <v>1</v>
      </c>
      <c r="J244" t="e">
        <f t="shared" si="40"/>
        <v>#NUM!</v>
      </c>
      <c r="K244">
        <f t="shared" si="41"/>
        <v>-1.2217251517752175</v>
      </c>
      <c r="L244">
        <v>1</v>
      </c>
      <c r="M244" t="e">
        <f t="shared" si="42"/>
        <v>#NUM!</v>
      </c>
      <c r="N244">
        <f t="shared" si="43"/>
        <v>0</v>
      </c>
      <c r="O244">
        <f t="shared" si="44"/>
        <v>0</v>
      </c>
      <c r="P244" t="e">
        <f t="shared" si="45"/>
        <v>#NUM!</v>
      </c>
    </row>
    <row r="245" spans="3:16">
      <c r="C245">
        <f t="shared" si="36"/>
        <v>0</v>
      </c>
      <c r="D245">
        <v>1.4500000000000001E-2</v>
      </c>
      <c r="E245">
        <v>1.089E-2</v>
      </c>
      <c r="F245">
        <f t="shared" si="37"/>
        <v>0</v>
      </c>
      <c r="G245">
        <f t="shared" si="38"/>
        <v>0</v>
      </c>
      <c r="H245">
        <f t="shared" si="39"/>
        <v>0</v>
      </c>
      <c r="I245">
        <v>1</v>
      </c>
      <c r="J245" t="e">
        <f t="shared" si="40"/>
        <v>#NUM!</v>
      </c>
      <c r="K245">
        <f t="shared" si="41"/>
        <v>-1.2217251517752175</v>
      </c>
      <c r="L245">
        <v>1</v>
      </c>
      <c r="M245" t="e">
        <f t="shared" si="42"/>
        <v>#NUM!</v>
      </c>
      <c r="N245">
        <f t="shared" si="43"/>
        <v>0</v>
      </c>
      <c r="O245">
        <f t="shared" si="44"/>
        <v>0</v>
      </c>
      <c r="P245" t="e">
        <f t="shared" si="45"/>
        <v>#NUM!</v>
      </c>
    </row>
    <row r="246" spans="3:16">
      <c r="C246">
        <f t="shared" si="36"/>
        <v>0</v>
      </c>
      <c r="D246">
        <v>1.4500000000000001E-2</v>
      </c>
      <c r="E246">
        <v>1.089E-2</v>
      </c>
      <c r="F246">
        <f t="shared" si="37"/>
        <v>0</v>
      </c>
      <c r="G246">
        <f t="shared" si="38"/>
        <v>0</v>
      </c>
      <c r="H246">
        <f t="shared" si="39"/>
        <v>0</v>
      </c>
      <c r="I246">
        <v>1</v>
      </c>
      <c r="J246" t="e">
        <f t="shared" si="40"/>
        <v>#NUM!</v>
      </c>
      <c r="K246">
        <f t="shared" si="41"/>
        <v>-1.2217251517752175</v>
      </c>
      <c r="L246">
        <v>1</v>
      </c>
      <c r="M246" t="e">
        <f t="shared" si="42"/>
        <v>#NUM!</v>
      </c>
      <c r="N246">
        <f t="shared" si="43"/>
        <v>0</v>
      </c>
      <c r="O246">
        <f t="shared" si="44"/>
        <v>0</v>
      </c>
      <c r="P246" t="e">
        <f t="shared" si="45"/>
        <v>#NUM!</v>
      </c>
    </row>
    <row r="247" spans="3:16">
      <c r="C247">
        <f t="shared" si="36"/>
        <v>0</v>
      </c>
      <c r="D247">
        <v>1.4500000000000001E-2</v>
      </c>
      <c r="E247">
        <v>1.089E-2</v>
      </c>
      <c r="F247">
        <f t="shared" si="37"/>
        <v>0</v>
      </c>
      <c r="G247">
        <f t="shared" si="38"/>
        <v>0</v>
      </c>
      <c r="H247">
        <f t="shared" si="39"/>
        <v>0</v>
      </c>
      <c r="I247">
        <v>1</v>
      </c>
      <c r="J247" t="e">
        <f t="shared" si="40"/>
        <v>#NUM!</v>
      </c>
      <c r="K247">
        <f t="shared" si="41"/>
        <v>-1.2217251517752175</v>
      </c>
      <c r="L247">
        <v>1</v>
      </c>
      <c r="M247" t="e">
        <f t="shared" si="42"/>
        <v>#NUM!</v>
      </c>
      <c r="N247">
        <f t="shared" si="43"/>
        <v>0</v>
      </c>
      <c r="O247">
        <f t="shared" si="44"/>
        <v>0</v>
      </c>
      <c r="P247" t="e">
        <f t="shared" si="45"/>
        <v>#NUM!</v>
      </c>
    </row>
    <row r="248" spans="3:16">
      <c r="C248">
        <f t="shared" si="36"/>
        <v>0</v>
      </c>
      <c r="D248">
        <v>1.4500000000000001E-2</v>
      </c>
      <c r="E248">
        <v>1.089E-2</v>
      </c>
      <c r="F248">
        <f t="shared" si="37"/>
        <v>0</v>
      </c>
      <c r="G248">
        <f t="shared" si="38"/>
        <v>0</v>
      </c>
      <c r="H248">
        <f t="shared" si="39"/>
        <v>0</v>
      </c>
      <c r="I248">
        <v>1</v>
      </c>
      <c r="J248" t="e">
        <f t="shared" si="40"/>
        <v>#NUM!</v>
      </c>
      <c r="K248">
        <f t="shared" si="41"/>
        <v>-1.2217251517752175</v>
      </c>
      <c r="L248">
        <v>1</v>
      </c>
      <c r="M248" t="e">
        <f t="shared" si="42"/>
        <v>#NUM!</v>
      </c>
      <c r="N248">
        <f t="shared" si="43"/>
        <v>0</v>
      </c>
      <c r="O248">
        <f t="shared" si="44"/>
        <v>0</v>
      </c>
      <c r="P248" t="e">
        <f t="shared" si="45"/>
        <v>#NUM!</v>
      </c>
    </row>
    <row r="249" spans="3:16">
      <c r="C249">
        <f t="shared" si="36"/>
        <v>0</v>
      </c>
      <c r="D249">
        <v>1.4500000000000001E-2</v>
      </c>
      <c r="E249">
        <v>1.089E-2</v>
      </c>
      <c r="F249">
        <f t="shared" si="37"/>
        <v>0</v>
      </c>
      <c r="G249">
        <f t="shared" si="38"/>
        <v>0</v>
      </c>
      <c r="H249">
        <f t="shared" si="39"/>
        <v>0</v>
      </c>
      <c r="I249">
        <v>1</v>
      </c>
      <c r="J249" t="e">
        <f t="shared" si="40"/>
        <v>#NUM!</v>
      </c>
      <c r="K249">
        <f t="shared" si="41"/>
        <v>-1.2217251517752175</v>
      </c>
      <c r="L249">
        <v>1</v>
      </c>
      <c r="M249" t="e">
        <f t="shared" si="42"/>
        <v>#NUM!</v>
      </c>
      <c r="N249">
        <f t="shared" si="43"/>
        <v>0</v>
      </c>
      <c r="O249">
        <f t="shared" si="44"/>
        <v>0</v>
      </c>
      <c r="P249" t="e">
        <f t="shared" si="45"/>
        <v>#NUM!</v>
      </c>
    </row>
    <row r="250" spans="3:16">
      <c r="C250">
        <f t="shared" si="36"/>
        <v>0</v>
      </c>
      <c r="D250">
        <v>1.4500000000000001E-2</v>
      </c>
      <c r="E250">
        <v>1.089E-2</v>
      </c>
      <c r="F250">
        <f t="shared" si="37"/>
        <v>0</v>
      </c>
      <c r="G250">
        <f t="shared" si="38"/>
        <v>0</v>
      </c>
      <c r="H250">
        <f t="shared" si="39"/>
        <v>0</v>
      </c>
      <c r="I250">
        <v>1</v>
      </c>
      <c r="J250" t="e">
        <f t="shared" si="40"/>
        <v>#NUM!</v>
      </c>
      <c r="K250">
        <f t="shared" si="41"/>
        <v>-1.2217251517752175</v>
      </c>
      <c r="L250">
        <v>1</v>
      </c>
      <c r="M250" t="e">
        <f t="shared" si="42"/>
        <v>#NUM!</v>
      </c>
      <c r="N250">
        <f t="shared" si="43"/>
        <v>0</v>
      </c>
      <c r="O250">
        <f t="shared" si="44"/>
        <v>0</v>
      </c>
      <c r="P250" t="e">
        <f t="shared" si="45"/>
        <v>#NUM!</v>
      </c>
    </row>
    <row r="251" spans="3:16">
      <c r="C251">
        <f t="shared" si="36"/>
        <v>0</v>
      </c>
      <c r="D251">
        <v>1.4500000000000001E-2</v>
      </c>
      <c r="E251">
        <v>1.089E-2</v>
      </c>
      <c r="F251">
        <f t="shared" si="37"/>
        <v>0</v>
      </c>
      <c r="G251">
        <f t="shared" si="38"/>
        <v>0</v>
      </c>
      <c r="H251">
        <f t="shared" si="39"/>
        <v>0</v>
      </c>
      <c r="I251">
        <v>1</v>
      </c>
      <c r="J251" t="e">
        <f t="shared" si="40"/>
        <v>#NUM!</v>
      </c>
      <c r="K251">
        <f t="shared" si="41"/>
        <v>-1.2217251517752175</v>
      </c>
      <c r="L251">
        <v>1</v>
      </c>
      <c r="M251" t="e">
        <f t="shared" si="42"/>
        <v>#NUM!</v>
      </c>
      <c r="N251">
        <f t="shared" si="43"/>
        <v>0</v>
      </c>
      <c r="O251">
        <f t="shared" si="44"/>
        <v>0</v>
      </c>
      <c r="P251" t="e">
        <f t="shared" si="45"/>
        <v>#NUM!</v>
      </c>
    </row>
    <row r="252" spans="3:16">
      <c r="C252">
        <f t="shared" si="36"/>
        <v>0</v>
      </c>
      <c r="D252">
        <v>1.4500000000000001E-2</v>
      </c>
      <c r="E252">
        <v>1.089E-2</v>
      </c>
      <c r="F252">
        <f t="shared" si="37"/>
        <v>0</v>
      </c>
      <c r="G252">
        <f t="shared" si="38"/>
        <v>0</v>
      </c>
      <c r="H252">
        <f t="shared" si="39"/>
        <v>0</v>
      </c>
      <c r="I252">
        <v>1</v>
      </c>
      <c r="J252" t="e">
        <f t="shared" si="40"/>
        <v>#NUM!</v>
      </c>
      <c r="K252">
        <f t="shared" si="41"/>
        <v>-1.2217251517752175</v>
      </c>
      <c r="L252">
        <v>1</v>
      </c>
      <c r="M252" t="e">
        <f t="shared" si="42"/>
        <v>#NUM!</v>
      </c>
      <c r="N252">
        <f t="shared" si="43"/>
        <v>0</v>
      </c>
      <c r="O252">
        <f t="shared" si="44"/>
        <v>0</v>
      </c>
      <c r="P252" t="e">
        <f t="shared" si="45"/>
        <v>#NUM!</v>
      </c>
    </row>
    <row r="253" spans="3:16">
      <c r="C253">
        <f t="shared" si="36"/>
        <v>0</v>
      </c>
      <c r="D253">
        <v>1.4500000000000001E-2</v>
      </c>
      <c r="E253">
        <v>1.089E-2</v>
      </c>
      <c r="F253">
        <f t="shared" si="37"/>
        <v>0</v>
      </c>
      <c r="G253">
        <f t="shared" si="38"/>
        <v>0</v>
      </c>
      <c r="H253">
        <f t="shared" si="39"/>
        <v>0</v>
      </c>
      <c r="I253">
        <v>1</v>
      </c>
      <c r="J253" t="e">
        <f t="shared" si="40"/>
        <v>#NUM!</v>
      </c>
      <c r="K253">
        <f t="shared" si="41"/>
        <v>-1.2217251517752175</v>
      </c>
      <c r="L253">
        <v>1</v>
      </c>
      <c r="M253" t="e">
        <f t="shared" si="42"/>
        <v>#NUM!</v>
      </c>
      <c r="N253">
        <f t="shared" si="43"/>
        <v>0</v>
      </c>
      <c r="O253">
        <f t="shared" si="44"/>
        <v>0</v>
      </c>
      <c r="P253" t="e">
        <f t="shared" si="45"/>
        <v>#NUM!</v>
      </c>
    </row>
    <row r="254" spans="3:16">
      <c r="C254">
        <f t="shared" si="36"/>
        <v>0</v>
      </c>
      <c r="D254">
        <v>1.4500000000000001E-2</v>
      </c>
      <c r="E254">
        <v>1.089E-2</v>
      </c>
      <c r="F254">
        <f t="shared" si="37"/>
        <v>0</v>
      </c>
      <c r="G254">
        <f t="shared" si="38"/>
        <v>0</v>
      </c>
      <c r="H254">
        <f t="shared" si="39"/>
        <v>0</v>
      </c>
      <c r="I254">
        <v>1</v>
      </c>
      <c r="J254" t="e">
        <f t="shared" si="40"/>
        <v>#NUM!</v>
      </c>
      <c r="K254">
        <f t="shared" si="41"/>
        <v>-1.2217251517752175</v>
      </c>
      <c r="L254">
        <v>1</v>
      </c>
      <c r="M254" t="e">
        <f t="shared" si="42"/>
        <v>#NUM!</v>
      </c>
      <c r="N254">
        <f t="shared" si="43"/>
        <v>0</v>
      </c>
      <c r="O254">
        <f t="shared" si="44"/>
        <v>0</v>
      </c>
      <c r="P254" t="e">
        <f t="shared" si="45"/>
        <v>#NUM!</v>
      </c>
    </row>
    <row r="255" spans="3:16">
      <c r="C255">
        <f t="shared" si="36"/>
        <v>0</v>
      </c>
      <c r="D255">
        <v>1.4500000000000001E-2</v>
      </c>
      <c r="E255">
        <v>1.089E-2</v>
      </c>
      <c r="F255">
        <f t="shared" si="37"/>
        <v>0</v>
      </c>
      <c r="G255">
        <f t="shared" si="38"/>
        <v>0</v>
      </c>
      <c r="H255">
        <f t="shared" si="39"/>
        <v>0</v>
      </c>
      <c r="I255">
        <v>1</v>
      </c>
      <c r="J255" t="e">
        <f t="shared" si="40"/>
        <v>#NUM!</v>
      </c>
      <c r="K255">
        <f t="shared" si="41"/>
        <v>-1.2217251517752175</v>
      </c>
      <c r="L255">
        <v>1</v>
      </c>
      <c r="M255" t="e">
        <f t="shared" si="42"/>
        <v>#NUM!</v>
      </c>
      <c r="N255">
        <f t="shared" si="43"/>
        <v>0</v>
      </c>
      <c r="O255">
        <f t="shared" si="44"/>
        <v>0</v>
      </c>
      <c r="P255" t="e">
        <f t="shared" si="45"/>
        <v>#NUM!</v>
      </c>
    </row>
    <row r="256" spans="3:16">
      <c r="C256">
        <f t="shared" si="36"/>
        <v>0</v>
      </c>
      <c r="D256">
        <v>1.4500000000000001E-2</v>
      </c>
      <c r="E256">
        <v>1.089E-2</v>
      </c>
      <c r="F256">
        <f t="shared" si="37"/>
        <v>0</v>
      </c>
      <c r="G256">
        <f t="shared" si="38"/>
        <v>0</v>
      </c>
      <c r="H256">
        <f t="shared" si="39"/>
        <v>0</v>
      </c>
      <c r="I256">
        <v>1</v>
      </c>
      <c r="J256" t="e">
        <f t="shared" si="40"/>
        <v>#NUM!</v>
      </c>
      <c r="K256">
        <f t="shared" si="41"/>
        <v>-1.2217251517752175</v>
      </c>
      <c r="L256">
        <v>1</v>
      </c>
      <c r="M256" t="e">
        <f t="shared" si="42"/>
        <v>#NUM!</v>
      </c>
      <c r="N256">
        <f t="shared" si="43"/>
        <v>0</v>
      </c>
      <c r="O256">
        <f t="shared" si="44"/>
        <v>0</v>
      </c>
      <c r="P256" t="e">
        <f t="shared" si="45"/>
        <v>#NUM!</v>
      </c>
    </row>
    <row r="257" spans="3:16">
      <c r="C257">
        <f t="shared" si="36"/>
        <v>0</v>
      </c>
      <c r="D257">
        <v>1.4500000000000001E-2</v>
      </c>
      <c r="E257">
        <v>1.089E-2</v>
      </c>
      <c r="F257">
        <f t="shared" si="37"/>
        <v>0</v>
      </c>
      <c r="G257">
        <f t="shared" si="38"/>
        <v>0</v>
      </c>
      <c r="H257">
        <f t="shared" si="39"/>
        <v>0</v>
      </c>
      <c r="I257">
        <v>1</v>
      </c>
      <c r="J257" t="e">
        <f t="shared" si="40"/>
        <v>#NUM!</v>
      </c>
      <c r="K257">
        <f t="shared" si="41"/>
        <v>-1.2217251517752175</v>
      </c>
      <c r="L257">
        <v>1</v>
      </c>
      <c r="M257" t="e">
        <f t="shared" si="42"/>
        <v>#NUM!</v>
      </c>
      <c r="N257">
        <f t="shared" si="43"/>
        <v>0</v>
      </c>
      <c r="O257">
        <f t="shared" si="44"/>
        <v>0</v>
      </c>
      <c r="P257" t="e">
        <f t="shared" si="45"/>
        <v>#NUM!</v>
      </c>
    </row>
    <row r="258" spans="3:16">
      <c r="C258">
        <f t="shared" si="36"/>
        <v>0</v>
      </c>
      <c r="D258">
        <v>1.4500000000000001E-2</v>
      </c>
      <c r="E258">
        <v>1.089E-2</v>
      </c>
      <c r="F258">
        <f t="shared" si="37"/>
        <v>0</v>
      </c>
      <c r="G258">
        <f t="shared" si="38"/>
        <v>0</v>
      </c>
      <c r="H258">
        <f t="shared" si="39"/>
        <v>0</v>
      </c>
      <c r="I258">
        <v>1</v>
      </c>
      <c r="J258" t="e">
        <f t="shared" si="40"/>
        <v>#NUM!</v>
      </c>
      <c r="K258">
        <f t="shared" si="41"/>
        <v>-1.2217251517752175</v>
      </c>
      <c r="L258">
        <v>1</v>
      </c>
      <c r="M258" t="e">
        <f t="shared" si="42"/>
        <v>#NUM!</v>
      </c>
      <c r="N258">
        <f t="shared" si="43"/>
        <v>0</v>
      </c>
      <c r="O258">
        <f t="shared" si="44"/>
        <v>0</v>
      </c>
      <c r="P258" t="e">
        <f t="shared" si="45"/>
        <v>#NUM!</v>
      </c>
    </row>
    <row r="259" spans="3:16">
      <c r="C259">
        <f t="shared" si="36"/>
        <v>0</v>
      </c>
      <c r="D259">
        <v>1.4500000000000001E-2</v>
      </c>
      <c r="E259">
        <v>1.089E-2</v>
      </c>
      <c r="F259">
        <f t="shared" si="37"/>
        <v>0</v>
      </c>
      <c r="G259">
        <f t="shared" si="38"/>
        <v>0</v>
      </c>
      <c r="H259">
        <f t="shared" si="39"/>
        <v>0</v>
      </c>
      <c r="I259">
        <v>1</v>
      </c>
      <c r="J259" t="e">
        <f t="shared" si="40"/>
        <v>#NUM!</v>
      </c>
      <c r="K259">
        <f t="shared" si="41"/>
        <v>-1.2217251517752175</v>
      </c>
      <c r="L259">
        <v>1</v>
      </c>
      <c r="M259" t="e">
        <f t="shared" si="42"/>
        <v>#NUM!</v>
      </c>
      <c r="N259">
        <f t="shared" si="43"/>
        <v>0</v>
      </c>
      <c r="O259">
        <f t="shared" si="44"/>
        <v>0</v>
      </c>
      <c r="P259" t="e">
        <f t="shared" si="45"/>
        <v>#NUM!</v>
      </c>
    </row>
    <row r="260" spans="3:16">
      <c r="C260">
        <f t="shared" ref="C260:C303" si="46">A260*B260</f>
        <v>0</v>
      </c>
      <c r="D260">
        <v>1.4500000000000001E-2</v>
      </c>
      <c r="E260">
        <v>1.089E-2</v>
      </c>
      <c r="F260">
        <f t="shared" ref="F260:F303" si="47">A260*200</f>
        <v>0</v>
      </c>
      <c r="G260">
        <f t="shared" ref="G260:G303" si="48">-B260</f>
        <v>0</v>
      </c>
      <c r="H260">
        <f t="shared" ref="H260:H303" si="49">-C260*200</f>
        <v>0</v>
      </c>
      <c r="I260">
        <v>1</v>
      </c>
      <c r="J260" t="e">
        <f t="shared" ref="J260:J303" si="50">LN(F260/1000)</f>
        <v>#NUM!</v>
      </c>
      <c r="K260">
        <f t="shared" ref="K260:K303" si="51">((-G260)-$N$2)</f>
        <v>-1.2217251517752175</v>
      </c>
      <c r="L260">
        <v>1</v>
      </c>
      <c r="M260" t="e">
        <f t="shared" ref="M260:M303" si="52">-1*($S$4+($S$5*J260))</f>
        <v>#NUM!</v>
      </c>
      <c r="N260">
        <f t="shared" ref="N260:N303" si="53">D260*A260</f>
        <v>0</v>
      </c>
      <c r="O260">
        <f t="shared" ref="O260:O303" si="54">E260*A260</f>
        <v>0</v>
      </c>
      <c r="P260" t="e">
        <f t="shared" ref="P260:P303" si="55">-K260-M260-N260-O260</f>
        <v>#NUM!</v>
      </c>
    </row>
    <row r="261" spans="3:16">
      <c r="C261">
        <f t="shared" si="46"/>
        <v>0</v>
      </c>
      <c r="D261">
        <v>1.4500000000000001E-2</v>
      </c>
      <c r="E261">
        <v>1.089E-2</v>
      </c>
      <c r="F261">
        <f t="shared" si="47"/>
        <v>0</v>
      </c>
      <c r="G261">
        <f t="shared" si="48"/>
        <v>0</v>
      </c>
      <c r="H261">
        <f t="shared" si="49"/>
        <v>0</v>
      </c>
      <c r="I261">
        <v>1</v>
      </c>
      <c r="J261" t="e">
        <f t="shared" si="50"/>
        <v>#NUM!</v>
      </c>
      <c r="K261">
        <f t="shared" si="51"/>
        <v>-1.2217251517752175</v>
      </c>
      <c r="L261">
        <v>1</v>
      </c>
      <c r="M261" t="e">
        <f t="shared" si="52"/>
        <v>#NUM!</v>
      </c>
      <c r="N261">
        <f t="shared" si="53"/>
        <v>0</v>
      </c>
      <c r="O261">
        <f t="shared" si="54"/>
        <v>0</v>
      </c>
      <c r="P261" t="e">
        <f t="shared" si="55"/>
        <v>#NUM!</v>
      </c>
    </row>
    <row r="262" spans="3:16">
      <c r="C262">
        <f t="shared" si="46"/>
        <v>0</v>
      </c>
      <c r="D262">
        <v>1.4500000000000001E-2</v>
      </c>
      <c r="E262">
        <v>1.089E-2</v>
      </c>
      <c r="F262">
        <f t="shared" si="47"/>
        <v>0</v>
      </c>
      <c r="G262">
        <f t="shared" si="48"/>
        <v>0</v>
      </c>
      <c r="H262">
        <f t="shared" si="49"/>
        <v>0</v>
      </c>
      <c r="I262">
        <v>1</v>
      </c>
      <c r="J262" t="e">
        <f t="shared" si="50"/>
        <v>#NUM!</v>
      </c>
      <c r="K262">
        <f t="shared" si="51"/>
        <v>-1.2217251517752175</v>
      </c>
      <c r="L262">
        <v>1</v>
      </c>
      <c r="M262" t="e">
        <f t="shared" si="52"/>
        <v>#NUM!</v>
      </c>
      <c r="N262">
        <f t="shared" si="53"/>
        <v>0</v>
      </c>
      <c r="O262">
        <f t="shared" si="54"/>
        <v>0</v>
      </c>
      <c r="P262" t="e">
        <f t="shared" si="55"/>
        <v>#NUM!</v>
      </c>
    </row>
    <row r="263" spans="3:16">
      <c r="C263">
        <f t="shared" si="46"/>
        <v>0</v>
      </c>
      <c r="D263">
        <v>1.4500000000000001E-2</v>
      </c>
      <c r="E263">
        <v>1.089E-2</v>
      </c>
      <c r="F263">
        <f t="shared" si="47"/>
        <v>0</v>
      </c>
      <c r="G263">
        <f t="shared" si="48"/>
        <v>0</v>
      </c>
      <c r="H263">
        <f t="shared" si="49"/>
        <v>0</v>
      </c>
      <c r="I263">
        <v>1</v>
      </c>
      <c r="J263" t="e">
        <f t="shared" si="50"/>
        <v>#NUM!</v>
      </c>
      <c r="K263">
        <f t="shared" si="51"/>
        <v>-1.2217251517752175</v>
      </c>
      <c r="L263">
        <v>1</v>
      </c>
      <c r="M263" t="e">
        <f t="shared" si="52"/>
        <v>#NUM!</v>
      </c>
      <c r="N263">
        <f t="shared" si="53"/>
        <v>0</v>
      </c>
      <c r="O263">
        <f t="shared" si="54"/>
        <v>0</v>
      </c>
      <c r="P263" t="e">
        <f t="shared" si="55"/>
        <v>#NUM!</v>
      </c>
    </row>
    <row r="264" spans="3:16">
      <c r="C264">
        <f t="shared" si="46"/>
        <v>0</v>
      </c>
      <c r="D264">
        <v>1.4500000000000001E-2</v>
      </c>
      <c r="E264">
        <v>1.089E-2</v>
      </c>
      <c r="F264">
        <f t="shared" si="47"/>
        <v>0</v>
      </c>
      <c r="G264">
        <f t="shared" si="48"/>
        <v>0</v>
      </c>
      <c r="H264">
        <f t="shared" si="49"/>
        <v>0</v>
      </c>
      <c r="I264">
        <v>1</v>
      </c>
      <c r="J264" t="e">
        <f t="shared" si="50"/>
        <v>#NUM!</v>
      </c>
      <c r="K264">
        <f t="shared" si="51"/>
        <v>-1.2217251517752175</v>
      </c>
      <c r="L264">
        <v>1</v>
      </c>
      <c r="M264" t="e">
        <f t="shared" si="52"/>
        <v>#NUM!</v>
      </c>
      <c r="N264">
        <f t="shared" si="53"/>
        <v>0</v>
      </c>
      <c r="O264">
        <f t="shared" si="54"/>
        <v>0</v>
      </c>
      <c r="P264" t="e">
        <f t="shared" si="55"/>
        <v>#NUM!</v>
      </c>
    </row>
    <row r="265" spans="3:16">
      <c r="C265">
        <f t="shared" si="46"/>
        <v>0</v>
      </c>
      <c r="D265">
        <v>1.4500000000000001E-2</v>
      </c>
      <c r="E265">
        <v>1.089E-2</v>
      </c>
      <c r="F265">
        <f t="shared" si="47"/>
        <v>0</v>
      </c>
      <c r="G265">
        <f t="shared" si="48"/>
        <v>0</v>
      </c>
      <c r="H265">
        <f t="shared" si="49"/>
        <v>0</v>
      </c>
      <c r="I265">
        <v>1</v>
      </c>
      <c r="J265" t="e">
        <f t="shared" si="50"/>
        <v>#NUM!</v>
      </c>
      <c r="K265">
        <f t="shared" si="51"/>
        <v>-1.2217251517752175</v>
      </c>
      <c r="L265">
        <v>1</v>
      </c>
      <c r="M265" t="e">
        <f t="shared" si="52"/>
        <v>#NUM!</v>
      </c>
      <c r="N265">
        <f t="shared" si="53"/>
        <v>0</v>
      </c>
      <c r="O265">
        <f t="shared" si="54"/>
        <v>0</v>
      </c>
      <c r="P265" t="e">
        <f t="shared" si="55"/>
        <v>#NUM!</v>
      </c>
    </row>
    <row r="266" spans="3:16">
      <c r="C266">
        <f t="shared" si="46"/>
        <v>0</v>
      </c>
      <c r="D266">
        <v>1.4500000000000001E-2</v>
      </c>
      <c r="E266">
        <v>1.089E-2</v>
      </c>
      <c r="F266">
        <f t="shared" si="47"/>
        <v>0</v>
      </c>
      <c r="G266">
        <f t="shared" si="48"/>
        <v>0</v>
      </c>
      <c r="H266">
        <f t="shared" si="49"/>
        <v>0</v>
      </c>
      <c r="I266">
        <v>1</v>
      </c>
      <c r="J266" t="e">
        <f t="shared" si="50"/>
        <v>#NUM!</v>
      </c>
      <c r="K266">
        <f t="shared" si="51"/>
        <v>-1.2217251517752175</v>
      </c>
      <c r="L266">
        <v>1</v>
      </c>
      <c r="M266" t="e">
        <f t="shared" si="52"/>
        <v>#NUM!</v>
      </c>
      <c r="N266">
        <f t="shared" si="53"/>
        <v>0</v>
      </c>
      <c r="O266">
        <f t="shared" si="54"/>
        <v>0</v>
      </c>
      <c r="P266" t="e">
        <f t="shared" si="55"/>
        <v>#NUM!</v>
      </c>
    </row>
    <row r="267" spans="3:16">
      <c r="C267">
        <f t="shared" si="46"/>
        <v>0</v>
      </c>
      <c r="D267">
        <v>1.4500000000000001E-2</v>
      </c>
      <c r="E267">
        <v>1.089E-2</v>
      </c>
      <c r="F267">
        <f t="shared" si="47"/>
        <v>0</v>
      </c>
      <c r="G267">
        <f t="shared" si="48"/>
        <v>0</v>
      </c>
      <c r="H267">
        <f t="shared" si="49"/>
        <v>0</v>
      </c>
      <c r="I267">
        <v>1</v>
      </c>
      <c r="J267" t="e">
        <f t="shared" si="50"/>
        <v>#NUM!</v>
      </c>
      <c r="K267">
        <f t="shared" si="51"/>
        <v>-1.2217251517752175</v>
      </c>
      <c r="L267">
        <v>1</v>
      </c>
      <c r="M267" t="e">
        <f t="shared" si="52"/>
        <v>#NUM!</v>
      </c>
      <c r="N267">
        <f t="shared" si="53"/>
        <v>0</v>
      </c>
      <c r="O267">
        <f t="shared" si="54"/>
        <v>0</v>
      </c>
      <c r="P267" t="e">
        <f t="shared" si="55"/>
        <v>#NUM!</v>
      </c>
    </row>
    <row r="268" spans="3:16">
      <c r="C268">
        <f t="shared" si="46"/>
        <v>0</v>
      </c>
      <c r="D268">
        <v>1.4500000000000001E-2</v>
      </c>
      <c r="E268">
        <v>1.089E-2</v>
      </c>
      <c r="F268">
        <f t="shared" si="47"/>
        <v>0</v>
      </c>
      <c r="G268">
        <f t="shared" si="48"/>
        <v>0</v>
      </c>
      <c r="H268">
        <f t="shared" si="49"/>
        <v>0</v>
      </c>
      <c r="I268">
        <v>1</v>
      </c>
      <c r="J268" t="e">
        <f t="shared" si="50"/>
        <v>#NUM!</v>
      </c>
      <c r="K268">
        <f t="shared" si="51"/>
        <v>-1.2217251517752175</v>
      </c>
      <c r="L268">
        <v>1</v>
      </c>
      <c r="M268" t="e">
        <f t="shared" si="52"/>
        <v>#NUM!</v>
      </c>
      <c r="N268">
        <f t="shared" si="53"/>
        <v>0</v>
      </c>
      <c r="O268">
        <f t="shared" si="54"/>
        <v>0</v>
      </c>
      <c r="P268" t="e">
        <f t="shared" si="55"/>
        <v>#NUM!</v>
      </c>
    </row>
    <row r="269" spans="3:16">
      <c r="C269">
        <f t="shared" si="46"/>
        <v>0</v>
      </c>
      <c r="D269">
        <v>1.4500000000000001E-2</v>
      </c>
      <c r="E269">
        <v>1.089E-2</v>
      </c>
      <c r="F269">
        <f t="shared" si="47"/>
        <v>0</v>
      </c>
      <c r="G269">
        <f t="shared" si="48"/>
        <v>0</v>
      </c>
      <c r="H269">
        <f t="shared" si="49"/>
        <v>0</v>
      </c>
      <c r="I269">
        <v>1</v>
      </c>
      <c r="J269" t="e">
        <f t="shared" si="50"/>
        <v>#NUM!</v>
      </c>
      <c r="K269">
        <f t="shared" si="51"/>
        <v>-1.2217251517752175</v>
      </c>
      <c r="L269">
        <v>1</v>
      </c>
      <c r="M269" t="e">
        <f t="shared" si="52"/>
        <v>#NUM!</v>
      </c>
      <c r="N269">
        <f t="shared" si="53"/>
        <v>0</v>
      </c>
      <c r="O269">
        <f t="shared" si="54"/>
        <v>0</v>
      </c>
      <c r="P269" t="e">
        <f t="shared" si="55"/>
        <v>#NUM!</v>
      </c>
    </row>
    <row r="270" spans="3:16">
      <c r="C270">
        <f t="shared" si="46"/>
        <v>0</v>
      </c>
      <c r="D270">
        <v>1.4500000000000001E-2</v>
      </c>
      <c r="E270">
        <v>1.089E-2</v>
      </c>
      <c r="F270">
        <f t="shared" si="47"/>
        <v>0</v>
      </c>
      <c r="G270">
        <f t="shared" si="48"/>
        <v>0</v>
      </c>
      <c r="H270">
        <f t="shared" si="49"/>
        <v>0</v>
      </c>
      <c r="I270">
        <v>1</v>
      </c>
      <c r="J270" t="e">
        <f t="shared" si="50"/>
        <v>#NUM!</v>
      </c>
      <c r="K270">
        <f t="shared" si="51"/>
        <v>-1.2217251517752175</v>
      </c>
      <c r="L270">
        <v>1</v>
      </c>
      <c r="M270" t="e">
        <f t="shared" si="52"/>
        <v>#NUM!</v>
      </c>
      <c r="N270">
        <f t="shared" si="53"/>
        <v>0</v>
      </c>
      <c r="O270">
        <f t="shared" si="54"/>
        <v>0</v>
      </c>
      <c r="P270" t="e">
        <f t="shared" si="55"/>
        <v>#NUM!</v>
      </c>
    </row>
    <row r="271" spans="3:16">
      <c r="C271">
        <f t="shared" si="46"/>
        <v>0</v>
      </c>
      <c r="D271">
        <v>1.4500000000000001E-2</v>
      </c>
      <c r="E271">
        <v>1.089E-2</v>
      </c>
      <c r="F271">
        <f t="shared" si="47"/>
        <v>0</v>
      </c>
      <c r="G271">
        <f t="shared" si="48"/>
        <v>0</v>
      </c>
      <c r="H271">
        <f t="shared" si="49"/>
        <v>0</v>
      </c>
      <c r="I271">
        <v>1</v>
      </c>
      <c r="J271" t="e">
        <f t="shared" si="50"/>
        <v>#NUM!</v>
      </c>
      <c r="K271">
        <f t="shared" si="51"/>
        <v>-1.2217251517752175</v>
      </c>
      <c r="L271">
        <v>1</v>
      </c>
      <c r="M271" t="e">
        <f t="shared" si="52"/>
        <v>#NUM!</v>
      </c>
      <c r="N271">
        <f t="shared" si="53"/>
        <v>0</v>
      </c>
      <c r="O271">
        <f t="shared" si="54"/>
        <v>0</v>
      </c>
      <c r="P271" t="e">
        <f t="shared" si="55"/>
        <v>#NUM!</v>
      </c>
    </row>
    <row r="272" spans="3:16">
      <c r="C272">
        <f t="shared" si="46"/>
        <v>0</v>
      </c>
      <c r="D272">
        <v>1.4500000000000001E-2</v>
      </c>
      <c r="E272">
        <v>1.089E-2</v>
      </c>
      <c r="F272">
        <f t="shared" si="47"/>
        <v>0</v>
      </c>
      <c r="G272">
        <f t="shared" si="48"/>
        <v>0</v>
      </c>
      <c r="H272">
        <f t="shared" si="49"/>
        <v>0</v>
      </c>
      <c r="I272">
        <v>1</v>
      </c>
      <c r="J272" t="e">
        <f t="shared" si="50"/>
        <v>#NUM!</v>
      </c>
      <c r="K272">
        <f t="shared" si="51"/>
        <v>-1.2217251517752175</v>
      </c>
      <c r="L272">
        <v>1</v>
      </c>
      <c r="M272" t="e">
        <f t="shared" si="52"/>
        <v>#NUM!</v>
      </c>
      <c r="N272">
        <f t="shared" si="53"/>
        <v>0</v>
      </c>
      <c r="O272">
        <f t="shared" si="54"/>
        <v>0</v>
      </c>
      <c r="P272" t="e">
        <f t="shared" si="55"/>
        <v>#NUM!</v>
      </c>
    </row>
    <row r="273" spans="3:16">
      <c r="C273">
        <f t="shared" si="46"/>
        <v>0</v>
      </c>
      <c r="D273">
        <v>1.4500000000000001E-2</v>
      </c>
      <c r="E273">
        <v>1.089E-2</v>
      </c>
      <c r="F273">
        <f t="shared" si="47"/>
        <v>0</v>
      </c>
      <c r="G273">
        <f t="shared" si="48"/>
        <v>0</v>
      </c>
      <c r="H273">
        <f t="shared" si="49"/>
        <v>0</v>
      </c>
      <c r="I273">
        <v>1</v>
      </c>
      <c r="J273" t="e">
        <f t="shared" si="50"/>
        <v>#NUM!</v>
      </c>
      <c r="K273">
        <f t="shared" si="51"/>
        <v>-1.2217251517752175</v>
      </c>
      <c r="L273">
        <v>1</v>
      </c>
      <c r="M273" t="e">
        <f t="shared" si="52"/>
        <v>#NUM!</v>
      </c>
      <c r="N273">
        <f t="shared" si="53"/>
        <v>0</v>
      </c>
      <c r="O273">
        <f t="shared" si="54"/>
        <v>0</v>
      </c>
      <c r="P273" t="e">
        <f t="shared" si="55"/>
        <v>#NUM!</v>
      </c>
    </row>
    <row r="274" spans="3:16">
      <c r="C274">
        <f t="shared" si="46"/>
        <v>0</v>
      </c>
      <c r="D274">
        <v>1.4500000000000001E-2</v>
      </c>
      <c r="E274">
        <v>1.089E-2</v>
      </c>
      <c r="F274">
        <f t="shared" si="47"/>
        <v>0</v>
      </c>
      <c r="G274">
        <f t="shared" si="48"/>
        <v>0</v>
      </c>
      <c r="H274">
        <f t="shared" si="49"/>
        <v>0</v>
      </c>
      <c r="I274">
        <v>1</v>
      </c>
      <c r="J274" t="e">
        <f t="shared" si="50"/>
        <v>#NUM!</v>
      </c>
      <c r="K274">
        <f t="shared" si="51"/>
        <v>-1.2217251517752175</v>
      </c>
      <c r="L274">
        <v>1</v>
      </c>
      <c r="M274" t="e">
        <f t="shared" si="52"/>
        <v>#NUM!</v>
      </c>
      <c r="N274">
        <f t="shared" si="53"/>
        <v>0</v>
      </c>
      <c r="O274">
        <f t="shared" si="54"/>
        <v>0</v>
      </c>
      <c r="P274" t="e">
        <f t="shared" si="55"/>
        <v>#NUM!</v>
      </c>
    </row>
    <row r="275" spans="3:16">
      <c r="C275">
        <f t="shared" si="46"/>
        <v>0</v>
      </c>
      <c r="D275">
        <v>1.4500000000000001E-2</v>
      </c>
      <c r="E275">
        <v>1.089E-2</v>
      </c>
      <c r="F275">
        <f t="shared" si="47"/>
        <v>0</v>
      </c>
      <c r="G275">
        <f t="shared" si="48"/>
        <v>0</v>
      </c>
      <c r="H275">
        <f t="shared" si="49"/>
        <v>0</v>
      </c>
      <c r="I275">
        <v>1</v>
      </c>
      <c r="J275" t="e">
        <f t="shared" si="50"/>
        <v>#NUM!</v>
      </c>
      <c r="K275">
        <f t="shared" si="51"/>
        <v>-1.2217251517752175</v>
      </c>
      <c r="L275">
        <v>1</v>
      </c>
      <c r="M275" t="e">
        <f t="shared" si="52"/>
        <v>#NUM!</v>
      </c>
      <c r="N275">
        <f t="shared" si="53"/>
        <v>0</v>
      </c>
      <c r="O275">
        <f t="shared" si="54"/>
        <v>0</v>
      </c>
      <c r="P275" t="e">
        <f t="shared" si="55"/>
        <v>#NUM!</v>
      </c>
    </row>
    <row r="276" spans="3:16">
      <c r="C276">
        <f t="shared" si="46"/>
        <v>0</v>
      </c>
      <c r="D276">
        <v>1.4500000000000001E-2</v>
      </c>
      <c r="E276">
        <v>1.089E-2</v>
      </c>
      <c r="F276">
        <f t="shared" si="47"/>
        <v>0</v>
      </c>
      <c r="G276">
        <f t="shared" si="48"/>
        <v>0</v>
      </c>
      <c r="H276">
        <f t="shared" si="49"/>
        <v>0</v>
      </c>
      <c r="I276">
        <v>1</v>
      </c>
      <c r="J276" t="e">
        <f t="shared" si="50"/>
        <v>#NUM!</v>
      </c>
      <c r="K276">
        <f t="shared" si="51"/>
        <v>-1.2217251517752175</v>
      </c>
      <c r="L276">
        <v>1</v>
      </c>
      <c r="M276" t="e">
        <f t="shared" si="52"/>
        <v>#NUM!</v>
      </c>
      <c r="N276">
        <f t="shared" si="53"/>
        <v>0</v>
      </c>
      <c r="O276">
        <f t="shared" si="54"/>
        <v>0</v>
      </c>
      <c r="P276" t="e">
        <f t="shared" si="55"/>
        <v>#NUM!</v>
      </c>
    </row>
    <row r="277" spans="3:16">
      <c r="C277">
        <f t="shared" si="46"/>
        <v>0</v>
      </c>
      <c r="D277">
        <v>1.4500000000000001E-2</v>
      </c>
      <c r="E277">
        <v>1.089E-2</v>
      </c>
      <c r="F277">
        <f t="shared" si="47"/>
        <v>0</v>
      </c>
      <c r="G277">
        <f t="shared" si="48"/>
        <v>0</v>
      </c>
      <c r="H277">
        <f t="shared" si="49"/>
        <v>0</v>
      </c>
      <c r="I277">
        <v>1</v>
      </c>
      <c r="J277" t="e">
        <f t="shared" si="50"/>
        <v>#NUM!</v>
      </c>
      <c r="K277">
        <f t="shared" si="51"/>
        <v>-1.2217251517752175</v>
      </c>
      <c r="L277">
        <v>1</v>
      </c>
      <c r="M277" t="e">
        <f t="shared" si="52"/>
        <v>#NUM!</v>
      </c>
      <c r="N277">
        <f t="shared" si="53"/>
        <v>0</v>
      </c>
      <c r="O277">
        <f t="shared" si="54"/>
        <v>0</v>
      </c>
      <c r="P277" t="e">
        <f t="shared" si="55"/>
        <v>#NUM!</v>
      </c>
    </row>
    <row r="278" spans="3:16">
      <c r="C278">
        <f t="shared" si="46"/>
        <v>0</v>
      </c>
      <c r="D278">
        <v>1.4500000000000001E-2</v>
      </c>
      <c r="E278">
        <v>1.089E-2</v>
      </c>
      <c r="F278">
        <f t="shared" si="47"/>
        <v>0</v>
      </c>
      <c r="G278">
        <f t="shared" si="48"/>
        <v>0</v>
      </c>
      <c r="H278">
        <f t="shared" si="49"/>
        <v>0</v>
      </c>
      <c r="I278">
        <v>1</v>
      </c>
      <c r="J278" t="e">
        <f t="shared" si="50"/>
        <v>#NUM!</v>
      </c>
      <c r="K278">
        <f t="shared" si="51"/>
        <v>-1.2217251517752175</v>
      </c>
      <c r="L278">
        <v>1</v>
      </c>
      <c r="M278" t="e">
        <f t="shared" si="52"/>
        <v>#NUM!</v>
      </c>
      <c r="N278">
        <f t="shared" si="53"/>
        <v>0</v>
      </c>
      <c r="O278">
        <f t="shared" si="54"/>
        <v>0</v>
      </c>
      <c r="P278" t="e">
        <f t="shared" si="55"/>
        <v>#NUM!</v>
      </c>
    </row>
    <row r="279" spans="3:16">
      <c r="C279">
        <f t="shared" si="46"/>
        <v>0</v>
      </c>
      <c r="D279">
        <v>1.4500000000000001E-2</v>
      </c>
      <c r="E279">
        <v>1.089E-2</v>
      </c>
      <c r="F279">
        <f t="shared" si="47"/>
        <v>0</v>
      </c>
      <c r="G279">
        <f t="shared" si="48"/>
        <v>0</v>
      </c>
      <c r="H279">
        <f t="shared" si="49"/>
        <v>0</v>
      </c>
      <c r="I279">
        <v>1</v>
      </c>
      <c r="J279" t="e">
        <f t="shared" si="50"/>
        <v>#NUM!</v>
      </c>
      <c r="K279">
        <f t="shared" si="51"/>
        <v>-1.2217251517752175</v>
      </c>
      <c r="L279">
        <v>1</v>
      </c>
      <c r="M279" t="e">
        <f t="shared" si="52"/>
        <v>#NUM!</v>
      </c>
      <c r="N279">
        <f t="shared" si="53"/>
        <v>0</v>
      </c>
      <c r="O279">
        <f t="shared" si="54"/>
        <v>0</v>
      </c>
      <c r="P279" t="e">
        <f t="shared" si="55"/>
        <v>#NUM!</v>
      </c>
    </row>
    <row r="280" spans="3:16">
      <c r="C280">
        <f t="shared" si="46"/>
        <v>0</v>
      </c>
      <c r="D280">
        <v>1.4500000000000001E-2</v>
      </c>
      <c r="E280">
        <v>1.089E-2</v>
      </c>
      <c r="F280">
        <f t="shared" si="47"/>
        <v>0</v>
      </c>
      <c r="G280">
        <f t="shared" si="48"/>
        <v>0</v>
      </c>
      <c r="H280">
        <f t="shared" si="49"/>
        <v>0</v>
      </c>
      <c r="I280">
        <v>1</v>
      </c>
      <c r="J280" t="e">
        <f t="shared" si="50"/>
        <v>#NUM!</v>
      </c>
      <c r="K280">
        <f t="shared" si="51"/>
        <v>-1.2217251517752175</v>
      </c>
      <c r="L280">
        <v>1</v>
      </c>
      <c r="M280" t="e">
        <f t="shared" si="52"/>
        <v>#NUM!</v>
      </c>
      <c r="N280">
        <f t="shared" si="53"/>
        <v>0</v>
      </c>
      <c r="O280">
        <f t="shared" si="54"/>
        <v>0</v>
      </c>
      <c r="P280" t="e">
        <f t="shared" si="55"/>
        <v>#NUM!</v>
      </c>
    </row>
    <row r="281" spans="3:16">
      <c r="C281">
        <f t="shared" si="46"/>
        <v>0</v>
      </c>
      <c r="D281">
        <v>1.4500000000000001E-2</v>
      </c>
      <c r="E281">
        <v>1.089E-2</v>
      </c>
      <c r="F281">
        <f t="shared" si="47"/>
        <v>0</v>
      </c>
      <c r="G281">
        <f t="shared" si="48"/>
        <v>0</v>
      </c>
      <c r="H281">
        <f t="shared" si="49"/>
        <v>0</v>
      </c>
      <c r="I281">
        <v>1</v>
      </c>
      <c r="J281" t="e">
        <f t="shared" si="50"/>
        <v>#NUM!</v>
      </c>
      <c r="K281">
        <f t="shared" si="51"/>
        <v>-1.2217251517752175</v>
      </c>
      <c r="L281">
        <v>1</v>
      </c>
      <c r="M281" t="e">
        <f t="shared" si="52"/>
        <v>#NUM!</v>
      </c>
      <c r="N281">
        <f t="shared" si="53"/>
        <v>0</v>
      </c>
      <c r="O281">
        <f t="shared" si="54"/>
        <v>0</v>
      </c>
      <c r="P281" t="e">
        <f t="shared" si="55"/>
        <v>#NUM!</v>
      </c>
    </row>
    <row r="282" spans="3:16">
      <c r="C282">
        <f t="shared" si="46"/>
        <v>0</v>
      </c>
      <c r="D282">
        <v>1.4500000000000001E-2</v>
      </c>
      <c r="E282">
        <v>1.089E-2</v>
      </c>
      <c r="F282">
        <f t="shared" si="47"/>
        <v>0</v>
      </c>
      <c r="G282">
        <f t="shared" si="48"/>
        <v>0</v>
      </c>
      <c r="H282">
        <f t="shared" si="49"/>
        <v>0</v>
      </c>
      <c r="I282">
        <v>1</v>
      </c>
      <c r="J282" t="e">
        <f t="shared" si="50"/>
        <v>#NUM!</v>
      </c>
      <c r="K282">
        <f t="shared" si="51"/>
        <v>-1.2217251517752175</v>
      </c>
      <c r="L282">
        <v>1</v>
      </c>
      <c r="M282" t="e">
        <f t="shared" si="52"/>
        <v>#NUM!</v>
      </c>
      <c r="N282">
        <f t="shared" si="53"/>
        <v>0</v>
      </c>
      <c r="O282">
        <f t="shared" si="54"/>
        <v>0</v>
      </c>
      <c r="P282" t="e">
        <f t="shared" si="55"/>
        <v>#NUM!</v>
      </c>
    </row>
    <row r="283" spans="3:16">
      <c r="C283">
        <f t="shared" si="46"/>
        <v>0</v>
      </c>
      <c r="D283">
        <v>1.4500000000000001E-2</v>
      </c>
      <c r="E283">
        <v>1.089E-2</v>
      </c>
      <c r="F283">
        <f t="shared" si="47"/>
        <v>0</v>
      </c>
      <c r="G283">
        <f t="shared" si="48"/>
        <v>0</v>
      </c>
      <c r="H283">
        <f t="shared" si="49"/>
        <v>0</v>
      </c>
      <c r="I283">
        <v>1</v>
      </c>
      <c r="J283" t="e">
        <f t="shared" si="50"/>
        <v>#NUM!</v>
      </c>
      <c r="K283">
        <f t="shared" si="51"/>
        <v>-1.2217251517752175</v>
      </c>
      <c r="L283">
        <v>1</v>
      </c>
      <c r="M283" t="e">
        <f t="shared" si="52"/>
        <v>#NUM!</v>
      </c>
      <c r="N283">
        <f t="shared" si="53"/>
        <v>0</v>
      </c>
      <c r="O283">
        <f t="shared" si="54"/>
        <v>0</v>
      </c>
      <c r="P283" t="e">
        <f t="shared" si="55"/>
        <v>#NUM!</v>
      </c>
    </row>
    <row r="284" spans="3:16">
      <c r="C284">
        <f t="shared" si="46"/>
        <v>0</v>
      </c>
      <c r="D284">
        <v>1.4500000000000001E-2</v>
      </c>
      <c r="E284">
        <v>1.089E-2</v>
      </c>
      <c r="F284">
        <f t="shared" si="47"/>
        <v>0</v>
      </c>
      <c r="G284">
        <f t="shared" si="48"/>
        <v>0</v>
      </c>
      <c r="H284">
        <f t="shared" si="49"/>
        <v>0</v>
      </c>
      <c r="I284">
        <v>1</v>
      </c>
      <c r="J284" t="e">
        <f t="shared" si="50"/>
        <v>#NUM!</v>
      </c>
      <c r="K284">
        <f t="shared" si="51"/>
        <v>-1.2217251517752175</v>
      </c>
      <c r="L284">
        <v>1</v>
      </c>
      <c r="M284" t="e">
        <f t="shared" si="52"/>
        <v>#NUM!</v>
      </c>
      <c r="N284">
        <f t="shared" si="53"/>
        <v>0</v>
      </c>
      <c r="O284">
        <f t="shared" si="54"/>
        <v>0</v>
      </c>
      <c r="P284" t="e">
        <f t="shared" si="55"/>
        <v>#NUM!</v>
      </c>
    </row>
    <row r="285" spans="3:16">
      <c r="C285">
        <f t="shared" si="46"/>
        <v>0</v>
      </c>
      <c r="D285">
        <v>1.4500000000000001E-2</v>
      </c>
      <c r="E285">
        <v>1.089E-2</v>
      </c>
      <c r="F285">
        <f t="shared" si="47"/>
        <v>0</v>
      </c>
      <c r="G285">
        <f t="shared" si="48"/>
        <v>0</v>
      </c>
      <c r="H285">
        <f t="shared" si="49"/>
        <v>0</v>
      </c>
      <c r="I285">
        <v>1</v>
      </c>
      <c r="J285" t="e">
        <f t="shared" si="50"/>
        <v>#NUM!</v>
      </c>
      <c r="K285">
        <f t="shared" si="51"/>
        <v>-1.2217251517752175</v>
      </c>
      <c r="L285">
        <v>1</v>
      </c>
      <c r="M285" t="e">
        <f t="shared" si="52"/>
        <v>#NUM!</v>
      </c>
      <c r="N285">
        <f t="shared" si="53"/>
        <v>0</v>
      </c>
      <c r="O285">
        <f t="shared" si="54"/>
        <v>0</v>
      </c>
      <c r="P285" t="e">
        <f t="shared" si="55"/>
        <v>#NUM!</v>
      </c>
    </row>
    <row r="286" spans="3:16">
      <c r="C286">
        <f t="shared" si="46"/>
        <v>0</v>
      </c>
      <c r="D286">
        <v>1.4500000000000001E-2</v>
      </c>
      <c r="E286">
        <v>1.089E-2</v>
      </c>
      <c r="F286">
        <f t="shared" si="47"/>
        <v>0</v>
      </c>
      <c r="G286">
        <f t="shared" si="48"/>
        <v>0</v>
      </c>
      <c r="H286">
        <f t="shared" si="49"/>
        <v>0</v>
      </c>
      <c r="I286">
        <v>1</v>
      </c>
      <c r="J286" t="e">
        <f t="shared" si="50"/>
        <v>#NUM!</v>
      </c>
      <c r="K286">
        <f t="shared" si="51"/>
        <v>-1.2217251517752175</v>
      </c>
      <c r="L286">
        <v>1</v>
      </c>
      <c r="M286" t="e">
        <f t="shared" si="52"/>
        <v>#NUM!</v>
      </c>
      <c r="N286">
        <f t="shared" si="53"/>
        <v>0</v>
      </c>
      <c r="O286">
        <f t="shared" si="54"/>
        <v>0</v>
      </c>
      <c r="P286" t="e">
        <f t="shared" si="55"/>
        <v>#NUM!</v>
      </c>
    </row>
    <row r="287" spans="3:16">
      <c r="C287">
        <f t="shared" si="46"/>
        <v>0</v>
      </c>
      <c r="D287">
        <v>1.4500000000000001E-2</v>
      </c>
      <c r="E287">
        <v>1.089E-2</v>
      </c>
      <c r="F287">
        <f t="shared" si="47"/>
        <v>0</v>
      </c>
      <c r="G287">
        <f t="shared" si="48"/>
        <v>0</v>
      </c>
      <c r="H287">
        <f t="shared" si="49"/>
        <v>0</v>
      </c>
      <c r="I287">
        <v>1</v>
      </c>
      <c r="J287" t="e">
        <f t="shared" si="50"/>
        <v>#NUM!</v>
      </c>
      <c r="K287">
        <f t="shared" si="51"/>
        <v>-1.2217251517752175</v>
      </c>
      <c r="L287">
        <v>1</v>
      </c>
      <c r="M287" t="e">
        <f t="shared" si="52"/>
        <v>#NUM!</v>
      </c>
      <c r="N287">
        <f t="shared" si="53"/>
        <v>0</v>
      </c>
      <c r="O287">
        <f t="shared" si="54"/>
        <v>0</v>
      </c>
      <c r="P287" t="e">
        <f t="shared" si="55"/>
        <v>#NUM!</v>
      </c>
    </row>
    <row r="288" spans="3:16">
      <c r="C288">
        <f t="shared" si="46"/>
        <v>0</v>
      </c>
      <c r="D288">
        <v>1.4500000000000001E-2</v>
      </c>
      <c r="E288">
        <v>1.089E-2</v>
      </c>
      <c r="F288">
        <f t="shared" si="47"/>
        <v>0</v>
      </c>
      <c r="G288">
        <f t="shared" si="48"/>
        <v>0</v>
      </c>
      <c r="H288">
        <f t="shared" si="49"/>
        <v>0</v>
      </c>
      <c r="I288">
        <v>1</v>
      </c>
      <c r="J288" t="e">
        <f t="shared" si="50"/>
        <v>#NUM!</v>
      </c>
      <c r="K288">
        <f t="shared" si="51"/>
        <v>-1.2217251517752175</v>
      </c>
      <c r="L288">
        <v>1</v>
      </c>
      <c r="M288" t="e">
        <f t="shared" si="52"/>
        <v>#NUM!</v>
      </c>
      <c r="N288">
        <f t="shared" si="53"/>
        <v>0</v>
      </c>
      <c r="O288">
        <f t="shared" si="54"/>
        <v>0</v>
      </c>
      <c r="P288" t="e">
        <f t="shared" si="55"/>
        <v>#NUM!</v>
      </c>
    </row>
    <row r="289" spans="3:16">
      <c r="C289">
        <f t="shared" si="46"/>
        <v>0</v>
      </c>
      <c r="D289">
        <v>1.4500000000000001E-2</v>
      </c>
      <c r="E289">
        <v>1.089E-2</v>
      </c>
      <c r="F289">
        <f t="shared" si="47"/>
        <v>0</v>
      </c>
      <c r="G289">
        <f t="shared" si="48"/>
        <v>0</v>
      </c>
      <c r="H289">
        <f t="shared" si="49"/>
        <v>0</v>
      </c>
      <c r="I289">
        <v>1</v>
      </c>
      <c r="J289" t="e">
        <f t="shared" si="50"/>
        <v>#NUM!</v>
      </c>
      <c r="K289">
        <f t="shared" si="51"/>
        <v>-1.2217251517752175</v>
      </c>
      <c r="L289">
        <v>1</v>
      </c>
      <c r="M289" t="e">
        <f t="shared" si="52"/>
        <v>#NUM!</v>
      </c>
      <c r="N289">
        <f t="shared" si="53"/>
        <v>0</v>
      </c>
      <c r="O289">
        <f t="shared" si="54"/>
        <v>0</v>
      </c>
      <c r="P289" t="e">
        <f t="shared" si="55"/>
        <v>#NUM!</v>
      </c>
    </row>
    <row r="290" spans="3:16">
      <c r="C290">
        <f t="shared" si="46"/>
        <v>0</v>
      </c>
      <c r="D290">
        <v>1.4500000000000001E-2</v>
      </c>
      <c r="E290">
        <v>1.089E-2</v>
      </c>
      <c r="F290">
        <f t="shared" si="47"/>
        <v>0</v>
      </c>
      <c r="G290">
        <f t="shared" si="48"/>
        <v>0</v>
      </c>
      <c r="H290">
        <f t="shared" si="49"/>
        <v>0</v>
      </c>
      <c r="I290">
        <v>1</v>
      </c>
      <c r="J290" t="e">
        <f t="shared" si="50"/>
        <v>#NUM!</v>
      </c>
      <c r="K290">
        <f t="shared" si="51"/>
        <v>-1.2217251517752175</v>
      </c>
      <c r="L290">
        <v>1</v>
      </c>
      <c r="M290" t="e">
        <f t="shared" si="52"/>
        <v>#NUM!</v>
      </c>
      <c r="N290">
        <f t="shared" si="53"/>
        <v>0</v>
      </c>
      <c r="O290">
        <f t="shared" si="54"/>
        <v>0</v>
      </c>
      <c r="P290" t="e">
        <f t="shared" si="55"/>
        <v>#NUM!</v>
      </c>
    </row>
    <row r="291" spans="3:16">
      <c r="C291">
        <f t="shared" si="46"/>
        <v>0</v>
      </c>
      <c r="D291">
        <v>1.4500000000000001E-2</v>
      </c>
      <c r="E291">
        <v>1.089E-2</v>
      </c>
      <c r="F291">
        <f t="shared" si="47"/>
        <v>0</v>
      </c>
      <c r="G291">
        <f t="shared" si="48"/>
        <v>0</v>
      </c>
      <c r="H291">
        <f t="shared" si="49"/>
        <v>0</v>
      </c>
      <c r="I291">
        <v>1</v>
      </c>
      <c r="J291" t="e">
        <f t="shared" si="50"/>
        <v>#NUM!</v>
      </c>
      <c r="K291">
        <f t="shared" si="51"/>
        <v>-1.2217251517752175</v>
      </c>
      <c r="L291">
        <v>1</v>
      </c>
      <c r="M291" t="e">
        <f t="shared" si="52"/>
        <v>#NUM!</v>
      </c>
      <c r="N291">
        <f t="shared" si="53"/>
        <v>0</v>
      </c>
      <c r="O291">
        <f t="shared" si="54"/>
        <v>0</v>
      </c>
      <c r="P291" t="e">
        <f t="shared" si="55"/>
        <v>#NUM!</v>
      </c>
    </row>
    <row r="292" spans="3:16">
      <c r="C292">
        <f t="shared" si="46"/>
        <v>0</v>
      </c>
      <c r="D292">
        <v>1.4500000000000001E-2</v>
      </c>
      <c r="E292">
        <v>1.089E-2</v>
      </c>
      <c r="F292">
        <f t="shared" si="47"/>
        <v>0</v>
      </c>
      <c r="G292">
        <f t="shared" si="48"/>
        <v>0</v>
      </c>
      <c r="H292">
        <f t="shared" si="49"/>
        <v>0</v>
      </c>
      <c r="I292">
        <v>1</v>
      </c>
      <c r="J292" t="e">
        <f t="shared" si="50"/>
        <v>#NUM!</v>
      </c>
      <c r="K292">
        <f t="shared" si="51"/>
        <v>-1.2217251517752175</v>
      </c>
      <c r="L292">
        <v>1</v>
      </c>
      <c r="M292" t="e">
        <f t="shared" si="52"/>
        <v>#NUM!</v>
      </c>
      <c r="N292">
        <f t="shared" si="53"/>
        <v>0</v>
      </c>
      <c r="O292">
        <f t="shared" si="54"/>
        <v>0</v>
      </c>
      <c r="P292" t="e">
        <f t="shared" si="55"/>
        <v>#NUM!</v>
      </c>
    </row>
    <row r="293" spans="3:16">
      <c r="C293">
        <f t="shared" si="46"/>
        <v>0</v>
      </c>
      <c r="D293">
        <v>1.4500000000000001E-2</v>
      </c>
      <c r="E293">
        <v>1.089E-2</v>
      </c>
      <c r="F293">
        <f t="shared" si="47"/>
        <v>0</v>
      </c>
      <c r="G293">
        <f t="shared" si="48"/>
        <v>0</v>
      </c>
      <c r="H293">
        <f t="shared" si="49"/>
        <v>0</v>
      </c>
      <c r="I293">
        <v>1</v>
      </c>
      <c r="J293" t="e">
        <f t="shared" si="50"/>
        <v>#NUM!</v>
      </c>
      <c r="K293">
        <f t="shared" si="51"/>
        <v>-1.2217251517752175</v>
      </c>
      <c r="L293">
        <v>1</v>
      </c>
      <c r="M293" t="e">
        <f t="shared" si="52"/>
        <v>#NUM!</v>
      </c>
      <c r="N293">
        <f t="shared" si="53"/>
        <v>0</v>
      </c>
      <c r="O293">
        <f t="shared" si="54"/>
        <v>0</v>
      </c>
      <c r="P293" t="e">
        <f t="shared" si="55"/>
        <v>#NUM!</v>
      </c>
    </row>
    <row r="294" spans="3:16">
      <c r="C294">
        <f t="shared" si="46"/>
        <v>0</v>
      </c>
      <c r="D294">
        <v>1.4500000000000001E-2</v>
      </c>
      <c r="E294">
        <v>1.089E-2</v>
      </c>
      <c r="F294">
        <f t="shared" si="47"/>
        <v>0</v>
      </c>
      <c r="G294">
        <f t="shared" si="48"/>
        <v>0</v>
      </c>
      <c r="H294">
        <f t="shared" si="49"/>
        <v>0</v>
      </c>
      <c r="I294">
        <v>1</v>
      </c>
      <c r="J294" t="e">
        <f t="shared" si="50"/>
        <v>#NUM!</v>
      </c>
      <c r="K294">
        <f t="shared" si="51"/>
        <v>-1.2217251517752175</v>
      </c>
      <c r="L294">
        <v>1</v>
      </c>
      <c r="M294" t="e">
        <f t="shared" si="52"/>
        <v>#NUM!</v>
      </c>
      <c r="N294">
        <f t="shared" si="53"/>
        <v>0</v>
      </c>
      <c r="O294">
        <f t="shared" si="54"/>
        <v>0</v>
      </c>
      <c r="P294" t="e">
        <f t="shared" si="55"/>
        <v>#NUM!</v>
      </c>
    </row>
    <row r="295" spans="3:16">
      <c r="C295">
        <f t="shared" si="46"/>
        <v>0</v>
      </c>
      <c r="D295">
        <v>1.4500000000000001E-2</v>
      </c>
      <c r="E295">
        <v>1.089E-2</v>
      </c>
      <c r="F295">
        <f t="shared" si="47"/>
        <v>0</v>
      </c>
      <c r="G295">
        <f t="shared" si="48"/>
        <v>0</v>
      </c>
      <c r="H295">
        <f t="shared" si="49"/>
        <v>0</v>
      </c>
      <c r="I295">
        <v>1</v>
      </c>
      <c r="J295" t="e">
        <f t="shared" si="50"/>
        <v>#NUM!</v>
      </c>
      <c r="K295">
        <f t="shared" si="51"/>
        <v>-1.2217251517752175</v>
      </c>
      <c r="L295">
        <v>1</v>
      </c>
      <c r="M295" t="e">
        <f t="shared" si="52"/>
        <v>#NUM!</v>
      </c>
      <c r="N295">
        <f t="shared" si="53"/>
        <v>0</v>
      </c>
      <c r="O295">
        <f t="shared" si="54"/>
        <v>0</v>
      </c>
      <c r="P295" t="e">
        <f t="shared" si="55"/>
        <v>#NUM!</v>
      </c>
    </row>
    <row r="296" spans="3:16">
      <c r="C296">
        <f t="shared" si="46"/>
        <v>0</v>
      </c>
      <c r="D296">
        <v>1.4500000000000001E-2</v>
      </c>
      <c r="E296">
        <v>1.089E-2</v>
      </c>
      <c r="F296">
        <f t="shared" si="47"/>
        <v>0</v>
      </c>
      <c r="G296">
        <f t="shared" si="48"/>
        <v>0</v>
      </c>
      <c r="H296">
        <f t="shared" si="49"/>
        <v>0</v>
      </c>
      <c r="I296">
        <v>1</v>
      </c>
      <c r="J296" t="e">
        <f t="shared" si="50"/>
        <v>#NUM!</v>
      </c>
      <c r="K296">
        <f t="shared" si="51"/>
        <v>-1.2217251517752175</v>
      </c>
      <c r="L296">
        <v>1</v>
      </c>
      <c r="M296" t="e">
        <f t="shared" si="52"/>
        <v>#NUM!</v>
      </c>
      <c r="N296">
        <f t="shared" si="53"/>
        <v>0</v>
      </c>
      <c r="O296">
        <f t="shared" si="54"/>
        <v>0</v>
      </c>
      <c r="P296" t="e">
        <f t="shared" si="55"/>
        <v>#NUM!</v>
      </c>
    </row>
    <row r="297" spans="3:16">
      <c r="C297">
        <f t="shared" si="46"/>
        <v>0</v>
      </c>
      <c r="D297">
        <v>1.4500000000000001E-2</v>
      </c>
      <c r="E297">
        <v>1.089E-2</v>
      </c>
      <c r="F297">
        <f t="shared" si="47"/>
        <v>0</v>
      </c>
      <c r="G297">
        <f t="shared" si="48"/>
        <v>0</v>
      </c>
      <c r="H297">
        <f t="shared" si="49"/>
        <v>0</v>
      </c>
      <c r="I297">
        <v>1</v>
      </c>
      <c r="J297" t="e">
        <f t="shared" si="50"/>
        <v>#NUM!</v>
      </c>
      <c r="K297">
        <f t="shared" si="51"/>
        <v>-1.2217251517752175</v>
      </c>
      <c r="L297">
        <v>1</v>
      </c>
      <c r="M297" t="e">
        <f t="shared" si="52"/>
        <v>#NUM!</v>
      </c>
      <c r="N297">
        <f t="shared" si="53"/>
        <v>0</v>
      </c>
      <c r="O297">
        <f t="shared" si="54"/>
        <v>0</v>
      </c>
      <c r="P297" t="e">
        <f t="shared" si="55"/>
        <v>#NUM!</v>
      </c>
    </row>
    <row r="298" spans="3:16">
      <c r="C298">
        <f t="shared" si="46"/>
        <v>0</v>
      </c>
      <c r="D298">
        <v>1.4500000000000001E-2</v>
      </c>
      <c r="E298">
        <v>1.089E-2</v>
      </c>
      <c r="F298">
        <f t="shared" si="47"/>
        <v>0</v>
      </c>
      <c r="G298">
        <f t="shared" si="48"/>
        <v>0</v>
      </c>
      <c r="H298">
        <f t="shared" si="49"/>
        <v>0</v>
      </c>
      <c r="I298">
        <v>1</v>
      </c>
      <c r="J298" t="e">
        <f t="shared" si="50"/>
        <v>#NUM!</v>
      </c>
      <c r="K298">
        <f t="shared" si="51"/>
        <v>-1.2217251517752175</v>
      </c>
      <c r="L298">
        <v>1</v>
      </c>
      <c r="M298" t="e">
        <f t="shared" si="52"/>
        <v>#NUM!</v>
      </c>
      <c r="N298">
        <f t="shared" si="53"/>
        <v>0</v>
      </c>
      <c r="O298">
        <f t="shared" si="54"/>
        <v>0</v>
      </c>
      <c r="P298" t="e">
        <f t="shared" si="55"/>
        <v>#NUM!</v>
      </c>
    </row>
    <row r="299" spans="3:16">
      <c r="C299">
        <f t="shared" si="46"/>
        <v>0</v>
      </c>
      <c r="D299">
        <v>1.4500000000000001E-2</v>
      </c>
      <c r="E299">
        <v>1.089E-2</v>
      </c>
      <c r="F299">
        <f t="shared" si="47"/>
        <v>0</v>
      </c>
      <c r="G299">
        <f t="shared" si="48"/>
        <v>0</v>
      </c>
      <c r="H299">
        <f t="shared" si="49"/>
        <v>0</v>
      </c>
      <c r="I299">
        <v>1</v>
      </c>
      <c r="J299" t="e">
        <f t="shared" si="50"/>
        <v>#NUM!</v>
      </c>
      <c r="K299">
        <f t="shared" si="51"/>
        <v>-1.2217251517752175</v>
      </c>
      <c r="L299">
        <v>1</v>
      </c>
      <c r="M299" t="e">
        <f t="shared" si="52"/>
        <v>#NUM!</v>
      </c>
      <c r="N299">
        <f t="shared" si="53"/>
        <v>0</v>
      </c>
      <c r="O299">
        <f t="shared" si="54"/>
        <v>0</v>
      </c>
      <c r="P299" t="e">
        <f t="shared" si="55"/>
        <v>#NUM!</v>
      </c>
    </row>
    <row r="300" spans="3:16">
      <c r="C300">
        <f t="shared" si="46"/>
        <v>0</v>
      </c>
      <c r="D300">
        <v>1.4500000000000001E-2</v>
      </c>
      <c r="E300">
        <v>1.089E-2</v>
      </c>
      <c r="F300">
        <f t="shared" si="47"/>
        <v>0</v>
      </c>
      <c r="G300">
        <f t="shared" si="48"/>
        <v>0</v>
      </c>
      <c r="H300">
        <f t="shared" si="49"/>
        <v>0</v>
      </c>
      <c r="I300">
        <v>1</v>
      </c>
      <c r="J300" t="e">
        <f t="shared" si="50"/>
        <v>#NUM!</v>
      </c>
      <c r="K300">
        <f t="shared" si="51"/>
        <v>-1.2217251517752175</v>
      </c>
      <c r="L300">
        <v>1</v>
      </c>
      <c r="M300" t="e">
        <f t="shared" si="52"/>
        <v>#NUM!</v>
      </c>
      <c r="N300">
        <f t="shared" si="53"/>
        <v>0</v>
      </c>
      <c r="O300">
        <f t="shared" si="54"/>
        <v>0</v>
      </c>
      <c r="P300" t="e">
        <f t="shared" si="55"/>
        <v>#NUM!</v>
      </c>
    </row>
    <row r="301" spans="3:16">
      <c r="C301">
        <f t="shared" si="46"/>
        <v>0</v>
      </c>
      <c r="D301">
        <v>1.4500000000000001E-2</v>
      </c>
      <c r="E301">
        <v>1.089E-2</v>
      </c>
      <c r="F301">
        <f t="shared" si="47"/>
        <v>0</v>
      </c>
      <c r="G301">
        <f t="shared" si="48"/>
        <v>0</v>
      </c>
      <c r="H301">
        <f t="shared" si="49"/>
        <v>0</v>
      </c>
      <c r="I301">
        <v>1</v>
      </c>
      <c r="J301" t="e">
        <f t="shared" si="50"/>
        <v>#NUM!</v>
      </c>
      <c r="K301">
        <f t="shared" si="51"/>
        <v>-1.2217251517752175</v>
      </c>
      <c r="L301">
        <v>1</v>
      </c>
      <c r="M301" t="e">
        <f t="shared" si="52"/>
        <v>#NUM!</v>
      </c>
      <c r="N301">
        <f t="shared" si="53"/>
        <v>0</v>
      </c>
      <c r="O301">
        <f t="shared" si="54"/>
        <v>0</v>
      </c>
      <c r="P301" t="e">
        <f t="shared" si="55"/>
        <v>#NUM!</v>
      </c>
    </row>
    <row r="302" spans="3:16">
      <c r="C302">
        <f t="shared" si="46"/>
        <v>0</v>
      </c>
      <c r="D302">
        <v>1.4500000000000001E-2</v>
      </c>
      <c r="E302">
        <v>1.089E-2</v>
      </c>
      <c r="F302">
        <f t="shared" si="47"/>
        <v>0</v>
      </c>
      <c r="G302">
        <f t="shared" si="48"/>
        <v>0</v>
      </c>
      <c r="H302">
        <f t="shared" si="49"/>
        <v>0</v>
      </c>
      <c r="I302">
        <v>1</v>
      </c>
      <c r="J302" t="e">
        <f t="shared" si="50"/>
        <v>#NUM!</v>
      </c>
      <c r="K302">
        <f t="shared" si="51"/>
        <v>-1.2217251517752175</v>
      </c>
      <c r="L302">
        <v>1</v>
      </c>
      <c r="M302" t="e">
        <f t="shared" si="52"/>
        <v>#NUM!</v>
      </c>
      <c r="N302">
        <f t="shared" si="53"/>
        <v>0</v>
      </c>
      <c r="O302">
        <f t="shared" si="54"/>
        <v>0</v>
      </c>
      <c r="P302" t="e">
        <f t="shared" si="55"/>
        <v>#NUM!</v>
      </c>
    </row>
    <row r="303" spans="3:16">
      <c r="C303">
        <f t="shared" si="46"/>
        <v>0</v>
      </c>
      <c r="D303">
        <v>1.4500000000000001E-2</v>
      </c>
      <c r="E303">
        <v>1.089E-2</v>
      </c>
      <c r="F303">
        <f t="shared" si="47"/>
        <v>0</v>
      </c>
      <c r="G303">
        <f t="shared" si="48"/>
        <v>0</v>
      </c>
      <c r="H303">
        <f t="shared" si="49"/>
        <v>0</v>
      </c>
      <c r="I303">
        <v>1</v>
      </c>
      <c r="J303" t="e">
        <f t="shared" si="50"/>
        <v>#NUM!</v>
      </c>
      <c r="K303">
        <f t="shared" si="51"/>
        <v>-1.2217251517752175</v>
      </c>
      <c r="L303">
        <v>1</v>
      </c>
      <c r="M303" t="e">
        <f t="shared" si="52"/>
        <v>#NUM!</v>
      </c>
      <c r="N303">
        <f t="shared" si="53"/>
        <v>0</v>
      </c>
      <c r="O303">
        <f t="shared" si="54"/>
        <v>0</v>
      </c>
      <c r="P303" t="e">
        <f t="shared" si="55"/>
        <v>#NUM!</v>
      </c>
    </row>
  </sheetData>
  <phoneticPr fontId="2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56"/>
  <sheetViews>
    <sheetView topLeftCell="A120" workbookViewId="0">
      <selection activeCell="C2" sqref="C2:D156"/>
    </sheetView>
  </sheetViews>
  <sheetFormatPr defaultRowHeight="15"/>
  <sheetData>
    <row r="1" spans="1:4">
      <c r="A1" t="s">
        <v>32</v>
      </c>
      <c r="B1" t="s">
        <v>12</v>
      </c>
    </row>
    <row r="2" spans="1:4">
      <c r="A2">
        <v>1.119E-2</v>
      </c>
      <c r="B2">
        <v>0.85258999999999996</v>
      </c>
      <c r="C2">
        <f t="shared" ref="C2:C33" si="0">A2*5</f>
        <v>5.595E-2</v>
      </c>
      <c r="D2">
        <f t="shared" ref="D2:D33" si="1">B2</f>
        <v>0.85258999999999996</v>
      </c>
    </row>
    <row r="3" spans="1:4">
      <c r="A3">
        <v>2.198E-2</v>
      </c>
      <c r="B3">
        <v>0.84677000000000002</v>
      </c>
      <c r="C3">
        <f t="shared" si="0"/>
        <v>0.1099</v>
      </c>
      <c r="D3">
        <f t="shared" si="1"/>
        <v>0.84677000000000002</v>
      </c>
    </row>
    <row r="4" spans="1:4">
      <c r="A4">
        <v>3.2980000000000002E-2</v>
      </c>
      <c r="B4">
        <v>0.83760000000000001</v>
      </c>
      <c r="C4">
        <f t="shared" si="0"/>
        <v>0.16490000000000002</v>
      </c>
      <c r="D4">
        <f t="shared" si="1"/>
        <v>0.83760000000000001</v>
      </c>
    </row>
    <row r="5" spans="1:4">
      <c r="A5">
        <v>4.3569999999999998E-2</v>
      </c>
      <c r="B5">
        <v>0.83013999999999999</v>
      </c>
      <c r="C5">
        <f t="shared" si="0"/>
        <v>0.21784999999999999</v>
      </c>
      <c r="D5">
        <f t="shared" si="1"/>
        <v>0.83013999999999999</v>
      </c>
    </row>
    <row r="6" spans="1:4">
      <c r="A6">
        <v>5.3760000000000002E-2</v>
      </c>
      <c r="B6">
        <v>0.82340000000000002</v>
      </c>
      <c r="C6">
        <f t="shared" si="0"/>
        <v>0.26880000000000004</v>
      </c>
      <c r="D6">
        <f t="shared" si="1"/>
        <v>0.82340000000000002</v>
      </c>
    </row>
    <row r="7" spans="1:4">
      <c r="A7">
        <v>6.3839999999999994E-2</v>
      </c>
      <c r="B7">
        <v>0.81735999999999998</v>
      </c>
      <c r="C7">
        <f t="shared" si="0"/>
        <v>0.31919999999999998</v>
      </c>
      <c r="D7">
        <f t="shared" si="1"/>
        <v>0.81735999999999998</v>
      </c>
    </row>
    <row r="8" spans="1:4">
      <c r="A8">
        <v>7.4020000000000002E-2</v>
      </c>
      <c r="B8">
        <v>0.81252999999999997</v>
      </c>
      <c r="C8">
        <f t="shared" si="0"/>
        <v>0.37009999999999998</v>
      </c>
      <c r="D8">
        <f t="shared" si="1"/>
        <v>0.81252999999999997</v>
      </c>
    </row>
    <row r="9" spans="1:4">
      <c r="A9">
        <v>8.4099999999999994E-2</v>
      </c>
      <c r="B9">
        <v>0.80689999999999995</v>
      </c>
      <c r="C9">
        <f t="shared" si="0"/>
        <v>0.42049999999999998</v>
      </c>
      <c r="D9">
        <f t="shared" si="1"/>
        <v>0.80689999999999995</v>
      </c>
    </row>
    <row r="10" spans="1:4">
      <c r="A10">
        <v>9.4189999999999996E-2</v>
      </c>
      <c r="B10">
        <v>0.80222000000000004</v>
      </c>
      <c r="C10">
        <f t="shared" si="0"/>
        <v>0.47094999999999998</v>
      </c>
      <c r="D10">
        <f t="shared" si="1"/>
        <v>0.80222000000000004</v>
      </c>
    </row>
    <row r="11" spans="1:4">
      <c r="A11">
        <v>0.10457</v>
      </c>
      <c r="B11">
        <v>0.79720000000000002</v>
      </c>
      <c r="C11">
        <f t="shared" si="0"/>
        <v>0.52285000000000004</v>
      </c>
      <c r="D11">
        <f t="shared" si="1"/>
        <v>0.79720000000000002</v>
      </c>
    </row>
    <row r="12" spans="1:4">
      <c r="A12">
        <v>0.11486</v>
      </c>
      <c r="B12">
        <v>0.79266000000000003</v>
      </c>
      <c r="C12">
        <f t="shared" si="0"/>
        <v>0.57430000000000003</v>
      </c>
      <c r="D12">
        <f t="shared" si="1"/>
        <v>0.79266000000000003</v>
      </c>
    </row>
    <row r="13" spans="1:4">
      <c r="A13">
        <v>0.12515000000000001</v>
      </c>
      <c r="B13">
        <v>0.78815000000000002</v>
      </c>
      <c r="C13">
        <f t="shared" si="0"/>
        <v>0.62575000000000003</v>
      </c>
      <c r="D13">
        <f t="shared" si="1"/>
        <v>0.78815000000000002</v>
      </c>
    </row>
    <row r="14" spans="1:4">
      <c r="A14">
        <v>0.13533000000000001</v>
      </c>
      <c r="B14">
        <v>0.78425999999999996</v>
      </c>
      <c r="C14">
        <f t="shared" si="0"/>
        <v>0.67664999999999997</v>
      </c>
      <c r="D14">
        <f t="shared" si="1"/>
        <v>0.78425999999999996</v>
      </c>
    </row>
    <row r="15" spans="1:4">
      <c r="A15">
        <v>0.14571999999999999</v>
      </c>
      <c r="B15">
        <v>0.78020999999999996</v>
      </c>
      <c r="C15">
        <f t="shared" si="0"/>
        <v>0.72859999999999991</v>
      </c>
      <c r="D15">
        <f t="shared" si="1"/>
        <v>0.78020999999999996</v>
      </c>
    </row>
    <row r="16" spans="1:4">
      <c r="A16">
        <v>0.156</v>
      </c>
      <c r="B16">
        <v>0.77651999999999999</v>
      </c>
      <c r="C16">
        <f t="shared" si="0"/>
        <v>0.78</v>
      </c>
      <c r="D16">
        <f t="shared" si="1"/>
        <v>0.77651999999999999</v>
      </c>
    </row>
    <row r="17" spans="1:4">
      <c r="A17">
        <v>0.16619</v>
      </c>
      <c r="B17">
        <v>0.77217000000000002</v>
      </c>
      <c r="C17">
        <f t="shared" si="0"/>
        <v>0.83095000000000008</v>
      </c>
      <c r="D17">
        <f t="shared" si="1"/>
        <v>0.77217000000000002</v>
      </c>
    </row>
    <row r="18" spans="1:4">
      <c r="A18">
        <v>0.17646999999999999</v>
      </c>
      <c r="B18">
        <v>0.76870000000000005</v>
      </c>
      <c r="C18">
        <f t="shared" si="0"/>
        <v>0.88234999999999997</v>
      </c>
      <c r="D18">
        <f t="shared" si="1"/>
        <v>0.76870000000000005</v>
      </c>
    </row>
    <row r="19" spans="1:4">
      <c r="A19">
        <v>0.18706</v>
      </c>
      <c r="B19">
        <v>0.76512999999999998</v>
      </c>
      <c r="C19">
        <f t="shared" si="0"/>
        <v>0.93530000000000002</v>
      </c>
      <c r="D19">
        <f t="shared" si="1"/>
        <v>0.76512999999999998</v>
      </c>
    </row>
    <row r="20" spans="1:4">
      <c r="A20">
        <v>0.19755</v>
      </c>
      <c r="B20">
        <v>0.76144000000000001</v>
      </c>
      <c r="C20">
        <f t="shared" si="0"/>
        <v>0.98775000000000002</v>
      </c>
      <c r="D20">
        <f t="shared" si="1"/>
        <v>0.76144000000000001</v>
      </c>
    </row>
    <row r="21" spans="1:4">
      <c r="A21">
        <v>0.20784</v>
      </c>
      <c r="B21">
        <v>0.75766</v>
      </c>
      <c r="C21">
        <f t="shared" si="0"/>
        <v>1.0391999999999999</v>
      </c>
      <c r="D21">
        <f t="shared" si="1"/>
        <v>0.75766</v>
      </c>
    </row>
    <row r="22" spans="1:4">
      <c r="A22">
        <v>0.21873000000000001</v>
      </c>
      <c r="B22">
        <v>0.75427999999999995</v>
      </c>
      <c r="C22">
        <f t="shared" si="0"/>
        <v>1.09365</v>
      </c>
      <c r="D22">
        <f t="shared" si="1"/>
        <v>0.75427999999999995</v>
      </c>
    </row>
    <row r="23" spans="1:4">
      <c r="A23">
        <v>0.22902</v>
      </c>
      <c r="B23">
        <v>0.75083</v>
      </c>
      <c r="C23">
        <f t="shared" si="0"/>
        <v>1.1451</v>
      </c>
      <c r="D23">
        <f t="shared" si="1"/>
        <v>0.75083</v>
      </c>
    </row>
    <row r="24" spans="1:4">
      <c r="A24">
        <v>0.23930000000000001</v>
      </c>
      <c r="B24">
        <v>0.74734999999999996</v>
      </c>
      <c r="C24">
        <f t="shared" si="0"/>
        <v>1.1965000000000001</v>
      </c>
      <c r="D24">
        <f t="shared" si="1"/>
        <v>0.74734999999999996</v>
      </c>
    </row>
    <row r="25" spans="1:4">
      <c r="A25">
        <v>0.24948999999999999</v>
      </c>
      <c r="B25">
        <v>0.74417999999999995</v>
      </c>
      <c r="C25">
        <f t="shared" si="0"/>
        <v>1.2474499999999999</v>
      </c>
      <c r="D25">
        <f t="shared" si="1"/>
        <v>0.74417999999999995</v>
      </c>
    </row>
    <row r="26" spans="1:4">
      <c r="A26">
        <v>0.26068999999999998</v>
      </c>
      <c r="B26">
        <v>0.74097000000000002</v>
      </c>
      <c r="C26">
        <f t="shared" si="0"/>
        <v>1.3034499999999998</v>
      </c>
      <c r="D26">
        <f t="shared" si="1"/>
        <v>0.74097000000000002</v>
      </c>
    </row>
    <row r="27" spans="1:4">
      <c r="A27">
        <v>0.27087</v>
      </c>
      <c r="B27">
        <v>0.73768999999999996</v>
      </c>
      <c r="C27">
        <f t="shared" si="0"/>
        <v>1.3543499999999999</v>
      </c>
      <c r="D27">
        <f t="shared" si="1"/>
        <v>0.73768999999999996</v>
      </c>
    </row>
    <row r="28" spans="1:4">
      <c r="A28">
        <v>0.28116000000000002</v>
      </c>
      <c r="B28">
        <v>0.73406000000000005</v>
      </c>
      <c r="C28">
        <f t="shared" si="0"/>
        <v>1.4058000000000002</v>
      </c>
      <c r="D28">
        <f t="shared" si="1"/>
        <v>0.73406000000000005</v>
      </c>
    </row>
    <row r="29" spans="1:4">
      <c r="A29">
        <v>0.29124</v>
      </c>
      <c r="B29">
        <v>0.73097000000000001</v>
      </c>
      <c r="C29">
        <f t="shared" si="0"/>
        <v>1.4561999999999999</v>
      </c>
      <c r="D29">
        <f t="shared" si="1"/>
        <v>0.73097000000000001</v>
      </c>
    </row>
    <row r="30" spans="1:4">
      <c r="A30">
        <v>0.30142000000000002</v>
      </c>
      <c r="B30">
        <v>0.72765000000000002</v>
      </c>
      <c r="C30">
        <f t="shared" si="0"/>
        <v>1.5071000000000001</v>
      </c>
      <c r="D30">
        <f t="shared" si="1"/>
        <v>0.72765000000000002</v>
      </c>
    </row>
    <row r="31" spans="1:4">
      <c r="A31">
        <v>0.31151000000000001</v>
      </c>
      <c r="B31">
        <v>0.72484000000000004</v>
      </c>
      <c r="C31">
        <f t="shared" si="0"/>
        <v>1.55755</v>
      </c>
      <c r="D31">
        <f t="shared" si="1"/>
        <v>0.72484000000000004</v>
      </c>
    </row>
    <row r="32" spans="1:4">
      <c r="A32">
        <v>0.32189000000000001</v>
      </c>
      <c r="B32">
        <v>0.72162999999999999</v>
      </c>
      <c r="C32">
        <f t="shared" si="0"/>
        <v>1.60945</v>
      </c>
      <c r="D32">
        <f t="shared" si="1"/>
        <v>0.72162999999999999</v>
      </c>
    </row>
    <row r="33" spans="1:4">
      <c r="A33">
        <v>0.33198</v>
      </c>
      <c r="B33">
        <v>0.71880999999999995</v>
      </c>
      <c r="C33">
        <f t="shared" si="0"/>
        <v>1.6598999999999999</v>
      </c>
      <c r="D33">
        <f t="shared" si="1"/>
        <v>0.71880999999999995</v>
      </c>
    </row>
    <row r="34" spans="1:4">
      <c r="A34">
        <v>0.34256999999999999</v>
      </c>
      <c r="B34">
        <v>0.71552000000000004</v>
      </c>
      <c r="C34">
        <f t="shared" ref="C34:C65" si="2">A34*5</f>
        <v>1.71285</v>
      </c>
      <c r="D34">
        <f t="shared" ref="D34:D65" si="3">B34</f>
        <v>0.71552000000000004</v>
      </c>
    </row>
    <row r="35" spans="1:4">
      <c r="A35">
        <v>0.35275000000000001</v>
      </c>
      <c r="B35">
        <v>0.71274999999999999</v>
      </c>
      <c r="C35">
        <f t="shared" si="2"/>
        <v>1.7637499999999999</v>
      </c>
      <c r="D35">
        <f t="shared" si="3"/>
        <v>0.71274999999999999</v>
      </c>
    </row>
    <row r="36" spans="1:4">
      <c r="A36">
        <v>0.36395</v>
      </c>
      <c r="B36">
        <v>0.70952999999999999</v>
      </c>
      <c r="C36">
        <f t="shared" si="2"/>
        <v>1.81975</v>
      </c>
      <c r="D36">
        <f t="shared" si="3"/>
        <v>0.70952999999999999</v>
      </c>
    </row>
    <row r="37" spans="1:4">
      <c r="A37">
        <v>0.37444</v>
      </c>
      <c r="B37">
        <v>0.70650999999999997</v>
      </c>
      <c r="C37">
        <f t="shared" si="2"/>
        <v>1.8721999999999999</v>
      </c>
      <c r="D37">
        <f t="shared" si="3"/>
        <v>0.70650999999999997</v>
      </c>
    </row>
    <row r="38" spans="1:4">
      <c r="A38">
        <v>0.38451999999999997</v>
      </c>
      <c r="B38">
        <v>0.70355000000000001</v>
      </c>
      <c r="C38">
        <f t="shared" si="2"/>
        <v>1.9225999999999999</v>
      </c>
      <c r="D38">
        <f t="shared" si="3"/>
        <v>0.70355000000000001</v>
      </c>
    </row>
    <row r="39" spans="1:4">
      <c r="A39">
        <v>0.39460000000000001</v>
      </c>
      <c r="B39">
        <v>0.70072999999999996</v>
      </c>
      <c r="C39">
        <f t="shared" si="2"/>
        <v>1.9730000000000001</v>
      </c>
      <c r="D39">
        <f t="shared" si="3"/>
        <v>0.70072999999999996</v>
      </c>
    </row>
    <row r="40" spans="1:4">
      <c r="A40">
        <v>0.40499000000000002</v>
      </c>
      <c r="B40">
        <v>0.69798000000000004</v>
      </c>
      <c r="C40">
        <f t="shared" si="2"/>
        <v>2.02495</v>
      </c>
      <c r="D40">
        <f t="shared" si="3"/>
        <v>0.69798000000000004</v>
      </c>
    </row>
    <row r="41" spans="1:4">
      <c r="A41">
        <v>0.41538000000000003</v>
      </c>
      <c r="B41">
        <v>0.69467000000000001</v>
      </c>
      <c r="C41">
        <f t="shared" si="2"/>
        <v>2.0769000000000002</v>
      </c>
      <c r="D41">
        <f t="shared" si="3"/>
        <v>0.69467000000000001</v>
      </c>
    </row>
    <row r="42" spans="1:4">
      <c r="A42">
        <v>0.42546</v>
      </c>
      <c r="B42">
        <v>0.69201999999999997</v>
      </c>
      <c r="C42">
        <f t="shared" si="2"/>
        <v>2.1273</v>
      </c>
      <c r="D42">
        <f t="shared" si="3"/>
        <v>0.69201999999999997</v>
      </c>
    </row>
    <row r="43" spans="1:4">
      <c r="A43">
        <v>0.43636000000000003</v>
      </c>
      <c r="B43">
        <v>0.68901999999999997</v>
      </c>
      <c r="C43">
        <f t="shared" si="2"/>
        <v>2.1818</v>
      </c>
      <c r="D43">
        <f t="shared" si="3"/>
        <v>0.68901999999999997</v>
      </c>
    </row>
    <row r="44" spans="1:4">
      <c r="A44">
        <v>0.44653999999999999</v>
      </c>
      <c r="B44">
        <v>0.68600000000000005</v>
      </c>
      <c r="C44">
        <f t="shared" si="2"/>
        <v>2.2326999999999999</v>
      </c>
      <c r="D44">
        <f t="shared" si="3"/>
        <v>0.68600000000000005</v>
      </c>
    </row>
    <row r="45" spans="1:4">
      <c r="A45">
        <v>0.45734000000000002</v>
      </c>
      <c r="B45">
        <v>0.68320000000000003</v>
      </c>
      <c r="C45">
        <f t="shared" si="2"/>
        <v>2.2867000000000002</v>
      </c>
      <c r="D45">
        <f t="shared" si="3"/>
        <v>0.68320000000000003</v>
      </c>
    </row>
    <row r="46" spans="1:4">
      <c r="A46">
        <v>0.46761999999999998</v>
      </c>
      <c r="B46">
        <v>0.68022000000000005</v>
      </c>
      <c r="C46">
        <f t="shared" si="2"/>
        <v>2.3380999999999998</v>
      </c>
      <c r="D46">
        <f t="shared" si="3"/>
        <v>0.68022000000000005</v>
      </c>
    </row>
    <row r="47" spans="1:4">
      <c r="A47">
        <v>0.47770000000000001</v>
      </c>
      <c r="B47">
        <v>0.67759999999999998</v>
      </c>
      <c r="C47">
        <f t="shared" si="2"/>
        <v>2.3885000000000001</v>
      </c>
      <c r="D47">
        <f t="shared" si="3"/>
        <v>0.67759999999999998</v>
      </c>
    </row>
    <row r="48" spans="1:4">
      <c r="A48">
        <v>0.48798999999999998</v>
      </c>
      <c r="B48">
        <v>0.67478000000000005</v>
      </c>
      <c r="C48">
        <f t="shared" si="2"/>
        <v>2.4399500000000001</v>
      </c>
      <c r="D48">
        <f t="shared" si="3"/>
        <v>0.67478000000000005</v>
      </c>
    </row>
    <row r="49" spans="1:4">
      <c r="A49">
        <v>0.49807000000000001</v>
      </c>
      <c r="B49">
        <v>0.67218</v>
      </c>
      <c r="C49">
        <f t="shared" si="2"/>
        <v>2.4903500000000003</v>
      </c>
      <c r="D49">
        <f t="shared" si="3"/>
        <v>0.67218</v>
      </c>
    </row>
    <row r="50" spans="1:4">
      <c r="A50">
        <v>0.50824999999999998</v>
      </c>
      <c r="B50">
        <v>0.66930000000000001</v>
      </c>
      <c r="C50">
        <f t="shared" si="2"/>
        <v>2.5412499999999998</v>
      </c>
      <c r="D50">
        <f t="shared" si="3"/>
        <v>0.66930000000000001</v>
      </c>
    </row>
    <row r="51" spans="1:4">
      <c r="A51">
        <v>0.51854</v>
      </c>
      <c r="B51">
        <v>0.66642000000000001</v>
      </c>
      <c r="C51">
        <f t="shared" si="2"/>
        <v>2.5926999999999998</v>
      </c>
      <c r="D51">
        <f t="shared" si="3"/>
        <v>0.66642000000000001</v>
      </c>
    </row>
    <row r="52" spans="1:4">
      <c r="A52">
        <v>0.52861999999999998</v>
      </c>
      <c r="B52">
        <v>0.66379999999999995</v>
      </c>
      <c r="C52">
        <f t="shared" si="2"/>
        <v>2.6431</v>
      </c>
      <c r="D52">
        <f t="shared" si="3"/>
        <v>0.66379999999999995</v>
      </c>
    </row>
    <row r="53" spans="1:4">
      <c r="A53">
        <v>0.53881000000000001</v>
      </c>
      <c r="B53">
        <v>0.66108999999999996</v>
      </c>
      <c r="C53">
        <f t="shared" si="2"/>
        <v>2.6940499999999998</v>
      </c>
      <c r="D53">
        <f t="shared" si="3"/>
        <v>0.66108999999999996</v>
      </c>
    </row>
    <row r="54" spans="1:4">
      <c r="A54">
        <v>0.54888999999999999</v>
      </c>
      <c r="B54">
        <v>0.65852999999999995</v>
      </c>
      <c r="C54">
        <f t="shared" si="2"/>
        <v>2.7444500000000001</v>
      </c>
      <c r="D54">
        <f t="shared" si="3"/>
        <v>0.65852999999999995</v>
      </c>
    </row>
    <row r="55" spans="1:4">
      <c r="A55">
        <v>0.55916999999999994</v>
      </c>
      <c r="B55">
        <v>0.65576000000000001</v>
      </c>
      <c r="C55">
        <f t="shared" si="2"/>
        <v>2.7958499999999997</v>
      </c>
      <c r="D55">
        <f t="shared" si="3"/>
        <v>0.65576000000000001</v>
      </c>
    </row>
    <row r="56" spans="1:4">
      <c r="A56">
        <v>0.56976000000000004</v>
      </c>
      <c r="B56">
        <v>0.65278000000000003</v>
      </c>
      <c r="C56">
        <f t="shared" si="2"/>
        <v>2.8488000000000002</v>
      </c>
      <c r="D56">
        <f t="shared" si="3"/>
        <v>0.65278000000000003</v>
      </c>
    </row>
    <row r="57" spans="1:4">
      <c r="A57">
        <v>0.57984999999999998</v>
      </c>
      <c r="B57">
        <v>0.65020999999999995</v>
      </c>
      <c r="C57">
        <f t="shared" si="2"/>
        <v>2.8992499999999999</v>
      </c>
      <c r="D57">
        <f t="shared" si="3"/>
        <v>0.65020999999999995</v>
      </c>
    </row>
    <row r="58" spans="1:4">
      <c r="A58">
        <v>0.58992999999999995</v>
      </c>
      <c r="B58">
        <v>0.64753000000000005</v>
      </c>
      <c r="C58">
        <f t="shared" si="2"/>
        <v>2.9496499999999997</v>
      </c>
      <c r="D58">
        <f t="shared" si="3"/>
        <v>0.64753000000000005</v>
      </c>
    </row>
    <row r="59" spans="1:4">
      <c r="A59">
        <v>0.60031999999999996</v>
      </c>
      <c r="B59">
        <v>0.64459</v>
      </c>
      <c r="C59">
        <f t="shared" si="2"/>
        <v>3.0015999999999998</v>
      </c>
      <c r="D59">
        <f t="shared" si="3"/>
        <v>0.64459</v>
      </c>
    </row>
    <row r="60" spans="1:4">
      <c r="A60">
        <v>0.61080000000000001</v>
      </c>
      <c r="B60">
        <v>0.64190000000000003</v>
      </c>
      <c r="C60">
        <f t="shared" si="2"/>
        <v>3.0540000000000003</v>
      </c>
      <c r="D60">
        <f t="shared" si="3"/>
        <v>0.64190000000000003</v>
      </c>
    </row>
    <row r="61" spans="1:4">
      <c r="A61">
        <v>0.62129000000000001</v>
      </c>
      <c r="B61">
        <v>0.63907000000000003</v>
      </c>
      <c r="C61">
        <f t="shared" si="2"/>
        <v>3.1064500000000002</v>
      </c>
      <c r="D61">
        <f t="shared" si="3"/>
        <v>0.63907000000000003</v>
      </c>
    </row>
    <row r="62" spans="1:4">
      <c r="A62">
        <v>0.63188</v>
      </c>
      <c r="B62">
        <v>0.63617000000000001</v>
      </c>
      <c r="C62">
        <f t="shared" si="2"/>
        <v>3.1593999999999998</v>
      </c>
      <c r="D62">
        <f t="shared" si="3"/>
        <v>0.63617000000000001</v>
      </c>
    </row>
    <row r="63" spans="1:4">
      <c r="A63">
        <v>0.64248000000000005</v>
      </c>
      <c r="B63">
        <v>0.63336999999999999</v>
      </c>
      <c r="C63">
        <f t="shared" si="2"/>
        <v>3.2124000000000001</v>
      </c>
      <c r="D63">
        <f t="shared" si="3"/>
        <v>0.63336999999999999</v>
      </c>
    </row>
    <row r="64" spans="1:4">
      <c r="A64">
        <v>0.65307000000000004</v>
      </c>
      <c r="B64">
        <v>0.63063999999999998</v>
      </c>
      <c r="C64">
        <f t="shared" si="2"/>
        <v>3.2653500000000002</v>
      </c>
      <c r="D64">
        <f t="shared" si="3"/>
        <v>0.63063999999999998</v>
      </c>
    </row>
    <row r="65" spans="1:4">
      <c r="A65">
        <v>0.66325000000000001</v>
      </c>
      <c r="B65">
        <v>0.62787000000000004</v>
      </c>
      <c r="C65">
        <f t="shared" si="2"/>
        <v>3.3162500000000001</v>
      </c>
      <c r="D65">
        <f t="shared" si="3"/>
        <v>0.62787000000000004</v>
      </c>
    </row>
    <row r="66" spans="1:4">
      <c r="A66">
        <v>0.67403999999999997</v>
      </c>
      <c r="B66">
        <v>0.62521000000000004</v>
      </c>
      <c r="C66">
        <f t="shared" ref="C66:C97" si="4">A66*5</f>
        <v>3.3701999999999996</v>
      </c>
      <c r="D66">
        <f t="shared" ref="D66:D97" si="5">B66</f>
        <v>0.62521000000000004</v>
      </c>
    </row>
    <row r="67" spans="1:4">
      <c r="A67">
        <v>0.68413000000000002</v>
      </c>
      <c r="B67">
        <v>0.62205999999999995</v>
      </c>
      <c r="C67">
        <f t="shared" si="4"/>
        <v>3.4206500000000002</v>
      </c>
      <c r="D67">
        <f t="shared" si="5"/>
        <v>0.62205999999999995</v>
      </c>
    </row>
    <row r="68" spans="1:4">
      <c r="A68">
        <v>0.69420999999999999</v>
      </c>
      <c r="B68">
        <v>0.61953999999999998</v>
      </c>
      <c r="C68">
        <f t="shared" si="4"/>
        <v>3.47105</v>
      </c>
      <c r="D68">
        <f t="shared" si="5"/>
        <v>0.61953999999999998</v>
      </c>
    </row>
    <row r="69" spans="1:4">
      <c r="A69">
        <v>0.70469999999999999</v>
      </c>
      <c r="B69">
        <v>0.61697999999999997</v>
      </c>
      <c r="C69">
        <f t="shared" si="4"/>
        <v>3.5234999999999999</v>
      </c>
      <c r="D69">
        <f t="shared" si="5"/>
        <v>0.61697999999999997</v>
      </c>
    </row>
    <row r="70" spans="1:4">
      <c r="A70">
        <v>0.71487999999999996</v>
      </c>
      <c r="B70">
        <v>0.61414000000000002</v>
      </c>
      <c r="C70">
        <f t="shared" si="4"/>
        <v>3.5743999999999998</v>
      </c>
      <c r="D70">
        <f t="shared" si="5"/>
        <v>0.61414000000000002</v>
      </c>
    </row>
    <row r="71" spans="1:4">
      <c r="A71">
        <v>0.72516999999999998</v>
      </c>
      <c r="B71">
        <v>0.61153999999999997</v>
      </c>
      <c r="C71">
        <f t="shared" si="4"/>
        <v>3.6258499999999998</v>
      </c>
      <c r="D71">
        <f t="shared" si="5"/>
        <v>0.61153999999999997</v>
      </c>
    </row>
    <row r="72" spans="1:4">
      <c r="A72">
        <v>0.73646999999999996</v>
      </c>
      <c r="B72">
        <v>0.60858000000000001</v>
      </c>
      <c r="C72">
        <f t="shared" si="4"/>
        <v>3.6823499999999996</v>
      </c>
      <c r="D72">
        <f t="shared" si="5"/>
        <v>0.60858000000000001</v>
      </c>
    </row>
    <row r="73" spans="1:4">
      <c r="A73">
        <v>0.74665000000000004</v>
      </c>
      <c r="B73">
        <v>0.60565999999999998</v>
      </c>
      <c r="C73">
        <f t="shared" si="4"/>
        <v>3.73325</v>
      </c>
      <c r="D73">
        <f t="shared" si="5"/>
        <v>0.60565999999999998</v>
      </c>
    </row>
    <row r="74" spans="1:4">
      <c r="A74">
        <v>0.75734999999999997</v>
      </c>
      <c r="B74">
        <v>0.60285999999999995</v>
      </c>
      <c r="C74">
        <f t="shared" si="4"/>
        <v>3.7867499999999996</v>
      </c>
      <c r="D74">
        <f t="shared" si="5"/>
        <v>0.60285999999999995</v>
      </c>
    </row>
    <row r="75" spans="1:4">
      <c r="A75">
        <v>0.76753000000000005</v>
      </c>
      <c r="B75">
        <v>0.60001000000000004</v>
      </c>
      <c r="C75">
        <f t="shared" si="4"/>
        <v>3.83765</v>
      </c>
      <c r="D75">
        <f t="shared" si="5"/>
        <v>0.60001000000000004</v>
      </c>
    </row>
    <row r="76" spans="1:4">
      <c r="A76">
        <v>0.77812000000000003</v>
      </c>
      <c r="B76">
        <v>0.59736</v>
      </c>
      <c r="C76">
        <f t="shared" si="4"/>
        <v>3.8906000000000001</v>
      </c>
      <c r="D76">
        <f t="shared" si="5"/>
        <v>0.59736</v>
      </c>
    </row>
    <row r="77" spans="1:4">
      <c r="A77">
        <v>0.78830999999999996</v>
      </c>
      <c r="B77">
        <v>0.59455000000000002</v>
      </c>
      <c r="C77">
        <f t="shared" si="4"/>
        <v>3.9415499999999999</v>
      </c>
      <c r="D77">
        <f t="shared" si="5"/>
        <v>0.59455000000000002</v>
      </c>
    </row>
    <row r="78" spans="1:4">
      <c r="A78">
        <v>0.79839000000000004</v>
      </c>
      <c r="B78">
        <v>0.59179999999999999</v>
      </c>
      <c r="C78">
        <f t="shared" si="4"/>
        <v>3.9919500000000001</v>
      </c>
      <c r="D78">
        <f t="shared" si="5"/>
        <v>0.59179999999999999</v>
      </c>
    </row>
    <row r="79" spans="1:4">
      <c r="A79">
        <v>0.81010000000000004</v>
      </c>
      <c r="B79">
        <v>0.58869000000000005</v>
      </c>
      <c r="C79">
        <f t="shared" si="4"/>
        <v>4.0505000000000004</v>
      </c>
      <c r="D79">
        <f t="shared" si="5"/>
        <v>0.58869000000000005</v>
      </c>
    </row>
    <row r="80" spans="1:4">
      <c r="A80">
        <v>0.82059000000000004</v>
      </c>
      <c r="B80">
        <v>0.58581000000000005</v>
      </c>
      <c r="C80">
        <f t="shared" si="4"/>
        <v>4.1029499999999999</v>
      </c>
      <c r="D80">
        <f t="shared" si="5"/>
        <v>0.58581000000000005</v>
      </c>
    </row>
    <row r="81" spans="1:4">
      <c r="A81">
        <v>0.83087</v>
      </c>
      <c r="B81">
        <v>0.58274999999999999</v>
      </c>
      <c r="C81">
        <f t="shared" si="4"/>
        <v>4.15435</v>
      </c>
      <c r="D81">
        <f t="shared" si="5"/>
        <v>0.58274999999999999</v>
      </c>
    </row>
    <row r="82" spans="1:4">
      <c r="A82">
        <v>0.84106000000000003</v>
      </c>
      <c r="B82">
        <v>0.58055999999999996</v>
      </c>
      <c r="C82">
        <f t="shared" si="4"/>
        <v>4.2053000000000003</v>
      </c>
      <c r="D82">
        <f t="shared" si="5"/>
        <v>0.58055999999999996</v>
      </c>
    </row>
    <row r="83" spans="1:4">
      <c r="A83">
        <v>0.85155000000000003</v>
      </c>
      <c r="B83">
        <v>0.57735000000000003</v>
      </c>
      <c r="C83">
        <f t="shared" si="4"/>
        <v>4.2577499999999997</v>
      </c>
      <c r="D83">
        <f t="shared" si="5"/>
        <v>0.57735000000000003</v>
      </c>
    </row>
    <row r="84" spans="1:4">
      <c r="A84">
        <v>0.86204000000000003</v>
      </c>
      <c r="B84">
        <v>0.57435000000000003</v>
      </c>
      <c r="C84">
        <f t="shared" si="4"/>
        <v>4.3102</v>
      </c>
      <c r="D84">
        <f t="shared" si="5"/>
        <v>0.57435000000000003</v>
      </c>
    </row>
    <row r="85" spans="1:4">
      <c r="A85">
        <v>0.87212000000000001</v>
      </c>
      <c r="B85">
        <v>0.57169999999999999</v>
      </c>
      <c r="C85">
        <f t="shared" si="4"/>
        <v>4.3605999999999998</v>
      </c>
      <c r="D85">
        <f t="shared" si="5"/>
        <v>0.57169999999999999</v>
      </c>
    </row>
    <row r="86" spans="1:4">
      <c r="A86">
        <v>0.88261000000000001</v>
      </c>
      <c r="B86">
        <v>0.56855</v>
      </c>
      <c r="C86">
        <f t="shared" si="4"/>
        <v>4.4130500000000001</v>
      </c>
      <c r="D86">
        <f t="shared" si="5"/>
        <v>0.56855</v>
      </c>
    </row>
    <row r="87" spans="1:4">
      <c r="A87">
        <v>0.89298999999999995</v>
      </c>
      <c r="B87">
        <v>0.56566000000000005</v>
      </c>
      <c r="C87">
        <f t="shared" si="4"/>
        <v>4.46495</v>
      </c>
      <c r="D87">
        <f t="shared" si="5"/>
        <v>0.56566000000000005</v>
      </c>
    </row>
    <row r="88" spans="1:4">
      <c r="A88">
        <v>0.90388999999999997</v>
      </c>
      <c r="B88">
        <v>0.56296999999999997</v>
      </c>
      <c r="C88">
        <f t="shared" si="4"/>
        <v>4.51945</v>
      </c>
      <c r="D88">
        <f t="shared" si="5"/>
        <v>0.56296999999999997</v>
      </c>
    </row>
    <row r="89" spans="1:4">
      <c r="A89">
        <v>0.91437999999999997</v>
      </c>
      <c r="B89">
        <v>0.55974000000000002</v>
      </c>
      <c r="C89">
        <f t="shared" si="4"/>
        <v>4.5718999999999994</v>
      </c>
      <c r="D89">
        <f t="shared" si="5"/>
        <v>0.55974000000000002</v>
      </c>
    </row>
    <row r="90" spans="1:4">
      <c r="A90">
        <v>0.92456000000000005</v>
      </c>
      <c r="B90">
        <v>0.55679999999999996</v>
      </c>
      <c r="C90">
        <f t="shared" si="4"/>
        <v>4.6227999999999998</v>
      </c>
      <c r="D90">
        <f t="shared" si="5"/>
        <v>0.55679999999999996</v>
      </c>
    </row>
    <row r="91" spans="1:4">
      <c r="A91">
        <v>0.93494999999999995</v>
      </c>
      <c r="B91">
        <v>0.55369000000000002</v>
      </c>
      <c r="C91">
        <f t="shared" si="4"/>
        <v>4.6747499999999995</v>
      </c>
      <c r="D91">
        <f t="shared" si="5"/>
        <v>0.55369000000000002</v>
      </c>
    </row>
    <row r="92" spans="1:4">
      <c r="A92">
        <v>0.94543999999999995</v>
      </c>
      <c r="B92">
        <v>0.55091999999999997</v>
      </c>
      <c r="C92">
        <f t="shared" si="4"/>
        <v>4.7271999999999998</v>
      </c>
      <c r="D92">
        <f t="shared" si="5"/>
        <v>0.55091999999999997</v>
      </c>
    </row>
    <row r="93" spans="1:4">
      <c r="A93">
        <v>0.95694999999999997</v>
      </c>
      <c r="B93">
        <v>0.54773000000000005</v>
      </c>
      <c r="C93">
        <f t="shared" si="4"/>
        <v>4.7847499999999998</v>
      </c>
      <c r="D93">
        <f t="shared" si="5"/>
        <v>0.54773000000000005</v>
      </c>
    </row>
    <row r="94" spans="1:4">
      <c r="A94">
        <v>0.96774000000000004</v>
      </c>
      <c r="B94">
        <v>0.54434000000000005</v>
      </c>
      <c r="C94">
        <f t="shared" si="4"/>
        <v>4.8387000000000002</v>
      </c>
      <c r="D94">
        <f t="shared" si="5"/>
        <v>0.54434000000000005</v>
      </c>
    </row>
    <row r="95" spans="1:4">
      <c r="A95">
        <v>0.97782000000000002</v>
      </c>
      <c r="B95">
        <v>0.54113</v>
      </c>
      <c r="C95">
        <f t="shared" si="4"/>
        <v>4.8891</v>
      </c>
      <c r="D95">
        <f t="shared" si="5"/>
        <v>0.54113</v>
      </c>
    </row>
    <row r="96" spans="1:4">
      <c r="A96">
        <v>0.98872000000000004</v>
      </c>
      <c r="B96">
        <v>0.53825999999999996</v>
      </c>
      <c r="C96">
        <f t="shared" si="4"/>
        <v>4.9436</v>
      </c>
      <c r="D96">
        <f t="shared" si="5"/>
        <v>0.53825999999999996</v>
      </c>
    </row>
    <row r="97" spans="1:4">
      <c r="A97">
        <v>0.99921000000000004</v>
      </c>
      <c r="B97">
        <v>0.53488000000000002</v>
      </c>
      <c r="C97">
        <f t="shared" si="4"/>
        <v>4.9960500000000003</v>
      </c>
      <c r="D97">
        <f t="shared" si="5"/>
        <v>0.53488000000000002</v>
      </c>
    </row>
    <row r="98" spans="1:4">
      <c r="A98">
        <v>1.0098</v>
      </c>
      <c r="B98">
        <v>0.53169999999999995</v>
      </c>
      <c r="C98">
        <f t="shared" ref="C98:C129" si="6">A98*5</f>
        <v>5.0490000000000004</v>
      </c>
      <c r="D98">
        <f t="shared" ref="D98:D129" si="7">B98</f>
        <v>0.53169999999999995</v>
      </c>
    </row>
    <row r="99" spans="1:4">
      <c r="A99">
        <v>1.0201899999999999</v>
      </c>
      <c r="B99">
        <v>0.52824000000000004</v>
      </c>
      <c r="C99">
        <f t="shared" si="6"/>
        <v>5.1009499999999992</v>
      </c>
      <c r="D99">
        <f t="shared" si="7"/>
        <v>0.52824000000000004</v>
      </c>
    </row>
    <row r="100" spans="1:4">
      <c r="A100">
        <v>1.03088</v>
      </c>
      <c r="B100">
        <v>0.52519000000000005</v>
      </c>
      <c r="C100">
        <f t="shared" si="6"/>
        <v>5.1543999999999999</v>
      </c>
      <c r="D100">
        <f t="shared" si="7"/>
        <v>0.52519000000000005</v>
      </c>
    </row>
    <row r="101" spans="1:4">
      <c r="A101">
        <v>1.0414699999999999</v>
      </c>
      <c r="B101">
        <v>0.52173000000000003</v>
      </c>
      <c r="C101">
        <f t="shared" si="6"/>
        <v>5.2073499999999999</v>
      </c>
      <c r="D101">
        <f t="shared" si="7"/>
        <v>0.52173000000000003</v>
      </c>
    </row>
    <row r="102" spans="1:4">
      <c r="A102">
        <v>1.05166</v>
      </c>
      <c r="B102">
        <v>0.51866000000000001</v>
      </c>
      <c r="C102">
        <f t="shared" si="6"/>
        <v>5.2583000000000002</v>
      </c>
      <c r="D102">
        <f t="shared" si="7"/>
        <v>0.51866000000000001</v>
      </c>
    </row>
    <row r="103" spans="1:4">
      <c r="A103">
        <v>1.0618399999999999</v>
      </c>
      <c r="B103">
        <v>0.51514000000000004</v>
      </c>
      <c r="C103">
        <f t="shared" si="6"/>
        <v>5.3091999999999997</v>
      </c>
      <c r="D103">
        <f t="shared" si="7"/>
        <v>0.51514000000000004</v>
      </c>
    </row>
    <row r="104" spans="1:4">
      <c r="A104">
        <v>1.07284</v>
      </c>
      <c r="B104">
        <v>0.51158999999999999</v>
      </c>
      <c r="C104">
        <f t="shared" si="6"/>
        <v>5.3642000000000003</v>
      </c>
      <c r="D104">
        <f t="shared" si="7"/>
        <v>0.51158999999999999</v>
      </c>
    </row>
    <row r="105" spans="1:4">
      <c r="A105">
        <v>1.0830200000000001</v>
      </c>
      <c r="B105">
        <v>0.50824999999999998</v>
      </c>
      <c r="C105">
        <f t="shared" si="6"/>
        <v>5.4151000000000007</v>
      </c>
      <c r="D105">
        <f t="shared" si="7"/>
        <v>0.50824999999999998</v>
      </c>
    </row>
    <row r="106" spans="1:4">
      <c r="A106">
        <v>1.09382</v>
      </c>
      <c r="B106">
        <v>0.50478000000000001</v>
      </c>
      <c r="C106">
        <f t="shared" si="6"/>
        <v>5.4691000000000001</v>
      </c>
      <c r="D106">
        <f t="shared" si="7"/>
        <v>0.50478000000000001</v>
      </c>
    </row>
    <row r="107" spans="1:4">
      <c r="A107">
        <v>1.1048100000000001</v>
      </c>
      <c r="B107">
        <v>0.50114999999999998</v>
      </c>
      <c r="C107">
        <f t="shared" si="6"/>
        <v>5.5240500000000008</v>
      </c>
      <c r="D107">
        <f t="shared" si="7"/>
        <v>0.50114999999999998</v>
      </c>
    </row>
    <row r="108" spans="1:4">
      <c r="A108">
        <v>1.1152</v>
      </c>
      <c r="B108">
        <v>0.49725000000000003</v>
      </c>
      <c r="C108">
        <f t="shared" si="6"/>
        <v>5.5759999999999996</v>
      </c>
      <c r="D108">
        <f t="shared" si="7"/>
        <v>0.49725000000000003</v>
      </c>
    </row>
    <row r="109" spans="1:4">
      <c r="A109">
        <v>1.12538</v>
      </c>
      <c r="B109">
        <v>0.49357000000000001</v>
      </c>
      <c r="C109">
        <f t="shared" si="6"/>
        <v>5.6269</v>
      </c>
      <c r="D109">
        <f t="shared" si="7"/>
        <v>0.49357000000000001</v>
      </c>
    </row>
    <row r="110" spans="1:4">
      <c r="A110">
        <v>1.13557</v>
      </c>
      <c r="B110">
        <v>0.49025000000000002</v>
      </c>
      <c r="C110">
        <f t="shared" si="6"/>
        <v>5.6778499999999994</v>
      </c>
      <c r="D110">
        <f t="shared" si="7"/>
        <v>0.49025000000000002</v>
      </c>
    </row>
    <row r="111" spans="1:4">
      <c r="A111">
        <v>1.1456500000000001</v>
      </c>
      <c r="B111">
        <v>0.48642999999999997</v>
      </c>
      <c r="C111">
        <f t="shared" si="6"/>
        <v>5.7282500000000001</v>
      </c>
      <c r="D111">
        <f t="shared" si="7"/>
        <v>0.48642999999999997</v>
      </c>
    </row>
    <row r="112" spans="1:4">
      <c r="A112">
        <v>1.15594</v>
      </c>
      <c r="B112">
        <v>0.48277999999999999</v>
      </c>
      <c r="C112">
        <f t="shared" si="6"/>
        <v>5.7797000000000001</v>
      </c>
      <c r="D112">
        <f t="shared" si="7"/>
        <v>0.48277999999999999</v>
      </c>
    </row>
    <row r="113" spans="1:4">
      <c r="A113">
        <v>1.1670400000000001</v>
      </c>
      <c r="B113">
        <v>0.47892000000000001</v>
      </c>
      <c r="C113">
        <f t="shared" si="6"/>
        <v>5.8352000000000004</v>
      </c>
      <c r="D113">
        <f t="shared" si="7"/>
        <v>0.47892000000000001</v>
      </c>
    </row>
    <row r="114" spans="1:4">
      <c r="A114">
        <v>1.1774199999999999</v>
      </c>
      <c r="B114">
        <v>0.4748</v>
      </c>
      <c r="C114">
        <f t="shared" si="6"/>
        <v>5.8870999999999993</v>
      </c>
      <c r="D114">
        <f t="shared" si="7"/>
        <v>0.4748</v>
      </c>
    </row>
    <row r="115" spans="1:4">
      <c r="A115">
        <v>1.1876100000000001</v>
      </c>
      <c r="B115">
        <v>0.47110999999999997</v>
      </c>
      <c r="C115">
        <f t="shared" si="6"/>
        <v>5.9380500000000005</v>
      </c>
      <c r="D115">
        <f t="shared" si="7"/>
        <v>0.47110999999999997</v>
      </c>
    </row>
    <row r="116" spans="1:4">
      <c r="A116">
        <v>1.1978899999999999</v>
      </c>
      <c r="B116">
        <v>0.46716000000000002</v>
      </c>
      <c r="C116">
        <f t="shared" si="6"/>
        <v>5.9894499999999997</v>
      </c>
      <c r="D116">
        <f t="shared" si="7"/>
        <v>0.46716000000000002</v>
      </c>
    </row>
    <row r="117" spans="1:4">
      <c r="A117">
        <v>1.20869</v>
      </c>
      <c r="B117">
        <v>0.46327000000000002</v>
      </c>
      <c r="C117">
        <f t="shared" si="6"/>
        <v>6.04345</v>
      </c>
      <c r="D117">
        <f t="shared" si="7"/>
        <v>0.46327000000000002</v>
      </c>
    </row>
    <row r="118" spans="1:4">
      <c r="A118">
        <v>1.2187699999999999</v>
      </c>
      <c r="B118">
        <v>0.4587</v>
      </c>
      <c r="C118">
        <f t="shared" si="6"/>
        <v>6.0938499999999998</v>
      </c>
      <c r="D118">
        <f t="shared" si="7"/>
        <v>0.4587</v>
      </c>
    </row>
    <row r="119" spans="1:4">
      <c r="A119">
        <v>1.22946</v>
      </c>
      <c r="B119">
        <v>0.45443</v>
      </c>
      <c r="C119">
        <f t="shared" si="6"/>
        <v>6.1472999999999995</v>
      </c>
      <c r="D119">
        <f t="shared" si="7"/>
        <v>0.45443</v>
      </c>
    </row>
    <row r="120" spans="1:4">
      <c r="A120">
        <v>1.2398499999999999</v>
      </c>
      <c r="B120">
        <v>0.45004</v>
      </c>
      <c r="C120">
        <f t="shared" si="6"/>
        <v>6.1992499999999993</v>
      </c>
      <c r="D120">
        <f t="shared" si="7"/>
        <v>0.45004</v>
      </c>
    </row>
    <row r="121" spans="1:4">
      <c r="A121">
        <v>1.25064</v>
      </c>
      <c r="B121">
        <v>0.44592999999999999</v>
      </c>
      <c r="C121">
        <f t="shared" si="6"/>
        <v>6.2531999999999996</v>
      </c>
      <c r="D121">
        <f t="shared" si="7"/>
        <v>0.44592999999999999</v>
      </c>
    </row>
    <row r="122" spans="1:4">
      <c r="A122">
        <v>1.2607299999999999</v>
      </c>
      <c r="B122">
        <v>0.44109999999999999</v>
      </c>
      <c r="C122">
        <f t="shared" si="6"/>
        <v>6.3036499999999993</v>
      </c>
      <c r="D122">
        <f t="shared" si="7"/>
        <v>0.44109999999999999</v>
      </c>
    </row>
    <row r="123" spans="1:4">
      <c r="A123">
        <v>1.27091</v>
      </c>
      <c r="B123">
        <v>0.437</v>
      </c>
      <c r="C123">
        <f t="shared" si="6"/>
        <v>6.3545499999999997</v>
      </c>
      <c r="D123">
        <f t="shared" si="7"/>
        <v>0.437</v>
      </c>
    </row>
    <row r="124" spans="1:4">
      <c r="A124">
        <v>1.2809900000000001</v>
      </c>
      <c r="B124">
        <v>0.43214999999999998</v>
      </c>
      <c r="C124">
        <f t="shared" si="6"/>
        <v>6.4049500000000004</v>
      </c>
      <c r="D124">
        <f t="shared" si="7"/>
        <v>0.43214999999999998</v>
      </c>
    </row>
    <row r="125" spans="1:4">
      <c r="A125">
        <v>1.29138</v>
      </c>
      <c r="B125">
        <v>0.42764000000000002</v>
      </c>
      <c r="C125">
        <f t="shared" si="6"/>
        <v>6.4569000000000001</v>
      </c>
      <c r="D125">
        <f t="shared" si="7"/>
        <v>0.42764000000000002</v>
      </c>
    </row>
    <row r="126" spans="1:4">
      <c r="A126">
        <v>1.3015600000000001</v>
      </c>
      <c r="B126">
        <v>0.42312</v>
      </c>
      <c r="C126">
        <f t="shared" si="6"/>
        <v>6.5078000000000005</v>
      </c>
      <c r="D126">
        <f t="shared" si="7"/>
        <v>0.42312</v>
      </c>
    </row>
    <row r="127" spans="1:4">
      <c r="A127">
        <v>1.3125599999999999</v>
      </c>
      <c r="B127">
        <v>0.41853000000000001</v>
      </c>
      <c r="C127">
        <f t="shared" si="6"/>
        <v>6.5627999999999993</v>
      </c>
      <c r="D127">
        <f t="shared" si="7"/>
        <v>0.41853000000000001</v>
      </c>
    </row>
    <row r="128" spans="1:4">
      <c r="A128">
        <v>1.32264</v>
      </c>
      <c r="B128">
        <v>0.41315000000000002</v>
      </c>
      <c r="C128">
        <f t="shared" si="6"/>
        <v>6.6132</v>
      </c>
      <c r="D128">
        <f t="shared" si="7"/>
        <v>0.41315000000000002</v>
      </c>
    </row>
    <row r="129" spans="1:4">
      <c r="A129">
        <v>1.3330299999999999</v>
      </c>
      <c r="B129">
        <v>0.40841</v>
      </c>
      <c r="C129">
        <f t="shared" si="6"/>
        <v>6.6651499999999997</v>
      </c>
      <c r="D129">
        <f t="shared" si="7"/>
        <v>0.40841</v>
      </c>
    </row>
    <row r="130" spans="1:4">
      <c r="A130">
        <v>1.34311</v>
      </c>
      <c r="B130">
        <v>0.40339000000000003</v>
      </c>
      <c r="C130">
        <f t="shared" ref="C130:C156" si="8">A130*5</f>
        <v>6.7155500000000004</v>
      </c>
      <c r="D130">
        <f t="shared" ref="D130:D156" si="9">B130</f>
        <v>0.40339000000000003</v>
      </c>
    </row>
    <row r="131" spans="1:4">
      <c r="A131">
        <v>1.3532999999999999</v>
      </c>
      <c r="B131">
        <v>0.39857999999999999</v>
      </c>
      <c r="C131">
        <f t="shared" si="8"/>
        <v>6.7664999999999997</v>
      </c>
      <c r="D131">
        <f t="shared" si="9"/>
        <v>0.39857999999999999</v>
      </c>
    </row>
    <row r="132" spans="1:4">
      <c r="A132">
        <v>1.36378</v>
      </c>
      <c r="B132">
        <v>0.39371</v>
      </c>
      <c r="C132">
        <f t="shared" si="8"/>
        <v>6.8189000000000002</v>
      </c>
      <c r="D132">
        <f t="shared" si="9"/>
        <v>0.39371</v>
      </c>
    </row>
    <row r="133" spans="1:4">
      <c r="A133">
        <v>1.3738699999999999</v>
      </c>
      <c r="B133">
        <v>0.38812000000000002</v>
      </c>
      <c r="C133">
        <f t="shared" si="8"/>
        <v>6.8693499999999998</v>
      </c>
      <c r="D133">
        <f t="shared" si="9"/>
        <v>0.38812000000000002</v>
      </c>
    </row>
    <row r="134" spans="1:4">
      <c r="A134">
        <v>1.38446</v>
      </c>
      <c r="B134">
        <v>0.38347999999999999</v>
      </c>
      <c r="C134">
        <f t="shared" si="8"/>
        <v>6.9222999999999999</v>
      </c>
      <c r="D134">
        <f t="shared" si="9"/>
        <v>0.38347999999999999</v>
      </c>
    </row>
    <row r="135" spans="1:4">
      <c r="A135">
        <v>1.3948400000000001</v>
      </c>
      <c r="B135">
        <v>0.37739</v>
      </c>
      <c r="C135">
        <f t="shared" si="8"/>
        <v>6.9742000000000006</v>
      </c>
      <c r="D135">
        <f t="shared" si="9"/>
        <v>0.37739</v>
      </c>
    </row>
    <row r="136" spans="1:4">
      <c r="A136">
        <v>1.40523</v>
      </c>
      <c r="B136">
        <v>0.37195</v>
      </c>
      <c r="C136">
        <f t="shared" si="8"/>
        <v>7.0261499999999995</v>
      </c>
      <c r="D136">
        <f t="shared" si="9"/>
        <v>0.37195</v>
      </c>
    </row>
    <row r="137" spans="1:4">
      <c r="A137">
        <v>1.4155199999999999</v>
      </c>
      <c r="B137">
        <v>0.36651</v>
      </c>
      <c r="C137">
        <f t="shared" si="8"/>
        <v>7.0775999999999994</v>
      </c>
      <c r="D137">
        <f t="shared" si="9"/>
        <v>0.36651</v>
      </c>
    </row>
    <row r="138" spans="1:4">
      <c r="A138">
        <v>1.4256</v>
      </c>
      <c r="B138">
        <v>0.36120000000000002</v>
      </c>
      <c r="C138">
        <f t="shared" si="8"/>
        <v>7.1280000000000001</v>
      </c>
      <c r="D138">
        <f t="shared" si="9"/>
        <v>0.36120000000000002</v>
      </c>
    </row>
    <row r="139" spans="1:4">
      <c r="A139">
        <v>1.4356800000000001</v>
      </c>
      <c r="B139">
        <v>0.35550999999999999</v>
      </c>
      <c r="C139">
        <f t="shared" si="8"/>
        <v>7.1783999999999999</v>
      </c>
      <c r="D139">
        <f t="shared" si="9"/>
        <v>0.35550999999999999</v>
      </c>
    </row>
    <row r="140" spans="1:4">
      <c r="A140">
        <v>1.4457599999999999</v>
      </c>
      <c r="B140">
        <v>0.35009000000000001</v>
      </c>
      <c r="C140">
        <f t="shared" si="8"/>
        <v>7.2287999999999997</v>
      </c>
      <c r="D140">
        <f t="shared" si="9"/>
        <v>0.35009000000000001</v>
      </c>
    </row>
    <row r="141" spans="1:4">
      <c r="A141">
        <v>1.4564600000000001</v>
      </c>
      <c r="B141">
        <v>0.34439999999999998</v>
      </c>
      <c r="C141">
        <f t="shared" si="8"/>
        <v>7.2823000000000002</v>
      </c>
      <c r="D141">
        <f t="shared" si="9"/>
        <v>0.34439999999999998</v>
      </c>
    </row>
    <row r="142" spans="1:4">
      <c r="A142">
        <v>1.4667399999999999</v>
      </c>
      <c r="B142">
        <v>0.33807999999999999</v>
      </c>
      <c r="C142">
        <f t="shared" si="8"/>
        <v>7.3336999999999994</v>
      </c>
      <c r="D142">
        <f t="shared" si="9"/>
        <v>0.33807999999999999</v>
      </c>
    </row>
    <row r="143" spans="1:4">
      <c r="A143">
        <v>1.47723</v>
      </c>
      <c r="B143">
        <v>0.33271000000000001</v>
      </c>
      <c r="C143">
        <f t="shared" si="8"/>
        <v>7.3861500000000007</v>
      </c>
      <c r="D143">
        <f t="shared" si="9"/>
        <v>0.33271000000000001</v>
      </c>
    </row>
    <row r="144" spans="1:4">
      <c r="A144">
        <v>1.4874099999999999</v>
      </c>
      <c r="B144">
        <v>0.32601000000000002</v>
      </c>
      <c r="C144">
        <f t="shared" si="8"/>
        <v>7.4370499999999993</v>
      </c>
      <c r="D144">
        <f t="shared" si="9"/>
        <v>0.32601000000000002</v>
      </c>
    </row>
    <row r="145" spans="1:4">
      <c r="A145">
        <v>1.49821</v>
      </c>
      <c r="B145">
        <v>0.32029999999999997</v>
      </c>
      <c r="C145">
        <f t="shared" si="8"/>
        <v>7.4910500000000004</v>
      </c>
      <c r="D145">
        <f t="shared" si="9"/>
        <v>0.32029999999999997</v>
      </c>
    </row>
    <row r="146" spans="1:4">
      <c r="A146">
        <v>1.5086999999999999</v>
      </c>
      <c r="B146">
        <v>0.31429000000000001</v>
      </c>
      <c r="C146">
        <f t="shared" si="8"/>
        <v>7.5434999999999999</v>
      </c>
      <c r="D146">
        <f t="shared" si="9"/>
        <v>0.31429000000000001</v>
      </c>
    </row>
    <row r="147" spans="1:4">
      <c r="A147">
        <v>1.51929</v>
      </c>
      <c r="B147">
        <v>0.30778</v>
      </c>
      <c r="C147">
        <f t="shared" si="8"/>
        <v>7.5964499999999999</v>
      </c>
      <c r="D147">
        <f t="shared" si="9"/>
        <v>0.30778</v>
      </c>
    </row>
    <row r="148" spans="1:4">
      <c r="A148">
        <v>1.5295700000000001</v>
      </c>
      <c r="B148">
        <v>0.30130000000000001</v>
      </c>
      <c r="C148">
        <f t="shared" si="8"/>
        <v>7.64785</v>
      </c>
      <c r="D148">
        <f t="shared" si="9"/>
        <v>0.30130000000000001</v>
      </c>
    </row>
    <row r="149" spans="1:4">
      <c r="A149">
        <v>1.53976</v>
      </c>
      <c r="B149">
        <v>0.29509999999999997</v>
      </c>
      <c r="C149">
        <f t="shared" si="8"/>
        <v>7.6988000000000003</v>
      </c>
      <c r="D149">
        <f t="shared" si="9"/>
        <v>0.29509999999999997</v>
      </c>
    </row>
    <row r="150" spans="1:4">
      <c r="A150">
        <v>1.5498400000000001</v>
      </c>
      <c r="B150">
        <v>0.28874</v>
      </c>
      <c r="C150">
        <f t="shared" si="8"/>
        <v>7.7492000000000001</v>
      </c>
      <c r="D150">
        <f t="shared" si="9"/>
        <v>0.28874</v>
      </c>
    </row>
    <row r="151" spans="1:4">
      <c r="A151">
        <v>1.55992</v>
      </c>
      <c r="B151">
        <v>0.28244000000000002</v>
      </c>
      <c r="C151">
        <f t="shared" si="8"/>
        <v>7.7995999999999999</v>
      </c>
      <c r="D151">
        <f t="shared" si="9"/>
        <v>0.28244000000000002</v>
      </c>
    </row>
    <row r="152" spans="1:4">
      <c r="A152">
        <v>1.5701099999999999</v>
      </c>
      <c r="B152">
        <v>0.27668999999999999</v>
      </c>
      <c r="C152">
        <f t="shared" si="8"/>
        <v>7.8505499999999993</v>
      </c>
      <c r="D152">
        <f t="shared" si="9"/>
        <v>0.27668999999999999</v>
      </c>
    </row>
    <row r="153" spans="1:4">
      <c r="A153">
        <v>1.5805899999999999</v>
      </c>
      <c r="B153">
        <v>0.26878999999999997</v>
      </c>
      <c r="C153">
        <f t="shared" si="8"/>
        <v>7.9029499999999997</v>
      </c>
      <c r="D153">
        <f t="shared" si="9"/>
        <v>0.26878999999999997</v>
      </c>
    </row>
    <row r="154" spans="1:4">
      <c r="A154">
        <v>1.5911900000000001</v>
      </c>
      <c r="B154">
        <v>0.26304</v>
      </c>
      <c r="C154">
        <f t="shared" si="8"/>
        <v>7.9559500000000005</v>
      </c>
      <c r="D154">
        <f t="shared" si="9"/>
        <v>0.26304</v>
      </c>
    </row>
    <row r="155" spans="1:4">
      <c r="A155">
        <v>1.60127</v>
      </c>
      <c r="B155">
        <v>0.25674000000000002</v>
      </c>
      <c r="C155">
        <f t="shared" si="8"/>
        <v>8.0063499999999994</v>
      </c>
      <c r="D155">
        <f t="shared" si="9"/>
        <v>0.25674000000000002</v>
      </c>
    </row>
    <row r="156" spans="1:4">
      <c r="A156">
        <v>1.6088</v>
      </c>
      <c r="B156">
        <v>0.25151000000000001</v>
      </c>
      <c r="C156">
        <f t="shared" si="8"/>
        <v>8.0440000000000005</v>
      </c>
      <c r="D156">
        <f t="shared" si="9"/>
        <v>0.25151000000000001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DavidOHalla</cp:lastModifiedBy>
  <dcterms:created xsi:type="dcterms:W3CDTF">2025-09-17T02:43:03Z</dcterms:created>
  <dcterms:modified xsi:type="dcterms:W3CDTF">2026-06-15T10:22:12Z</dcterms:modified>
</cp:coreProperties>
</file>