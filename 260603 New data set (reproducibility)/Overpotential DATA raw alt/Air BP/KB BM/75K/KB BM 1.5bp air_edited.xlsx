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KAIST MASc 2021\Laboratory Work\Protocol\overpotential calculation\For paper SI\260603 New data set (reproducibility)\Overpotential DATA raw alt\Air BP\KB BM\75K\"/>
    </mc:Choice>
  </mc:AlternateContent>
  <xr:revisionPtr revIDLastSave="0" documentId="13_ncr:1_{B7CF18AE-A3B2-49BF-83BC-5CAD68190849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I221" i="2"/>
  <c r="K221" i="2" s="1"/>
  <c r="E221" i="2"/>
  <c r="B221" i="2"/>
  <c r="O220" i="2"/>
  <c r="K220" i="2"/>
  <c r="I220" i="2"/>
  <c r="E220" i="2"/>
  <c r="B220" i="2"/>
  <c r="O219" i="2"/>
  <c r="I219" i="2"/>
  <c r="K219" i="2" s="1"/>
  <c r="B219" i="2"/>
  <c r="E219" i="2" s="1"/>
  <c r="O218" i="2"/>
  <c r="I218" i="2"/>
  <c r="K218" i="2" s="1"/>
  <c r="E218" i="2"/>
  <c r="B218" i="2"/>
  <c r="O217" i="2"/>
  <c r="I217" i="2"/>
  <c r="K217" i="2" s="1"/>
  <c r="E217" i="2"/>
  <c r="B217" i="2"/>
  <c r="O216" i="2"/>
  <c r="I216" i="2"/>
  <c r="K216" i="2" s="1"/>
  <c r="B216" i="2"/>
  <c r="E216" i="2" s="1"/>
  <c r="O215" i="2"/>
  <c r="K215" i="2"/>
  <c r="I215" i="2"/>
  <c r="E215" i="2"/>
  <c r="B215" i="2"/>
  <c r="O214" i="2"/>
  <c r="I214" i="2"/>
  <c r="K214" i="2" s="1"/>
  <c r="B214" i="2"/>
  <c r="E214" i="2" s="1"/>
  <c r="O213" i="2"/>
  <c r="I213" i="2"/>
  <c r="K213" i="2" s="1"/>
  <c r="E213" i="2"/>
  <c r="B213" i="2"/>
  <c r="O212" i="2"/>
  <c r="I212" i="2"/>
  <c r="K212" i="2" s="1"/>
  <c r="E212" i="2"/>
  <c r="B212" i="2"/>
  <c r="O211" i="2"/>
  <c r="K211" i="2"/>
  <c r="I211" i="2"/>
  <c r="B211" i="2"/>
  <c r="E211" i="2" s="1"/>
  <c r="O210" i="2"/>
  <c r="K210" i="2"/>
  <c r="I210" i="2"/>
  <c r="B210" i="2"/>
  <c r="E210" i="2" s="1"/>
  <c r="O209" i="2"/>
  <c r="I209" i="2"/>
  <c r="K209" i="2" s="1"/>
  <c r="B209" i="2"/>
  <c r="E209" i="2" s="1"/>
  <c r="O208" i="2"/>
  <c r="K208" i="2"/>
  <c r="I208" i="2"/>
  <c r="E208" i="2"/>
  <c r="B208" i="2"/>
  <c r="O207" i="2"/>
  <c r="I207" i="2"/>
  <c r="K207" i="2" s="1"/>
  <c r="E207" i="2"/>
  <c r="B207" i="2"/>
  <c r="O206" i="2"/>
  <c r="K206" i="2"/>
  <c r="I206" i="2"/>
  <c r="B206" i="2"/>
  <c r="E206" i="2" s="1"/>
  <c r="O205" i="2"/>
  <c r="K205" i="2"/>
  <c r="I205" i="2"/>
  <c r="E205" i="2"/>
  <c r="B205" i="2"/>
  <c r="O204" i="2"/>
  <c r="I204" i="2"/>
  <c r="K204" i="2" s="1"/>
  <c r="B204" i="2"/>
  <c r="E204" i="2" s="1"/>
  <c r="O203" i="2"/>
  <c r="I203" i="2"/>
  <c r="K203" i="2" s="1"/>
  <c r="B203" i="2"/>
  <c r="E203" i="2" s="1"/>
  <c r="O202" i="2"/>
  <c r="K202" i="2"/>
  <c r="I202" i="2"/>
  <c r="E202" i="2"/>
  <c r="B202" i="2"/>
  <c r="O201" i="2"/>
  <c r="K201" i="2"/>
  <c r="I201" i="2"/>
  <c r="B201" i="2"/>
  <c r="E201" i="2" s="1"/>
  <c r="O200" i="2"/>
  <c r="K200" i="2"/>
  <c r="I200" i="2"/>
  <c r="B200" i="2"/>
  <c r="E200" i="2" s="1"/>
  <c r="O199" i="2"/>
  <c r="I199" i="2"/>
  <c r="K199" i="2" s="1"/>
  <c r="B199" i="2"/>
  <c r="E199" i="2" s="1"/>
  <c r="O198" i="2"/>
  <c r="K198" i="2"/>
  <c r="I198" i="2"/>
  <c r="E198" i="2"/>
  <c r="B198" i="2"/>
  <c r="O197" i="2"/>
  <c r="I197" i="2"/>
  <c r="K197" i="2" s="1"/>
  <c r="E197" i="2"/>
  <c r="B197" i="2"/>
  <c r="O196" i="2"/>
  <c r="I196" i="2"/>
  <c r="K196" i="2" s="1"/>
  <c r="E196" i="2"/>
  <c r="B196" i="2"/>
  <c r="O195" i="2"/>
  <c r="I195" i="2"/>
  <c r="F195" i="2"/>
  <c r="K195" i="2" s="1"/>
  <c r="B195" i="2"/>
  <c r="E195" i="2" s="1"/>
  <c r="O194" i="2"/>
  <c r="K194" i="2"/>
  <c r="I194" i="2"/>
  <c r="F194" i="2"/>
  <c r="E194" i="2"/>
  <c r="B194" i="2"/>
  <c r="O193" i="2"/>
  <c r="I193" i="2"/>
  <c r="K193" i="2" s="1"/>
  <c r="F193" i="2"/>
  <c r="B193" i="2"/>
  <c r="E193" i="2" s="1"/>
  <c r="O192" i="2"/>
  <c r="I192" i="2"/>
  <c r="K192" i="2" s="1"/>
  <c r="F192" i="2"/>
  <c r="E192" i="2"/>
  <c r="B192" i="2"/>
  <c r="O191" i="2"/>
  <c r="I191" i="2"/>
  <c r="K191" i="2" s="1"/>
  <c r="F191" i="2"/>
  <c r="B191" i="2"/>
  <c r="E191" i="2" s="1"/>
  <c r="O190" i="2"/>
  <c r="I190" i="2"/>
  <c r="F190" i="2"/>
  <c r="E190" i="2"/>
  <c r="B190" i="2"/>
  <c r="O189" i="2"/>
  <c r="I189" i="2"/>
  <c r="F189" i="2"/>
  <c r="K189" i="2" s="1"/>
  <c r="E189" i="2"/>
  <c r="B189" i="2"/>
  <c r="O188" i="2"/>
  <c r="K188" i="2"/>
  <c r="I188" i="2"/>
  <c r="F188" i="2"/>
  <c r="E188" i="2"/>
  <c r="B188" i="2"/>
  <c r="O187" i="2"/>
  <c r="I187" i="2"/>
  <c r="K187" i="2" s="1"/>
  <c r="F187" i="2"/>
  <c r="E187" i="2"/>
  <c r="B187" i="2"/>
  <c r="O186" i="2"/>
  <c r="I186" i="2"/>
  <c r="K186" i="2" s="1"/>
  <c r="F186" i="2"/>
  <c r="B186" i="2"/>
  <c r="E186" i="2" s="1"/>
  <c r="O185" i="2"/>
  <c r="I185" i="2"/>
  <c r="K185" i="2" s="1"/>
  <c r="F185" i="2"/>
  <c r="B185" i="2"/>
  <c r="E185" i="2" s="1"/>
  <c r="O184" i="2"/>
  <c r="I184" i="2"/>
  <c r="K184" i="2" s="1"/>
  <c r="F184" i="2"/>
  <c r="E184" i="2"/>
  <c r="B184" i="2"/>
  <c r="O183" i="2"/>
  <c r="K183" i="2"/>
  <c r="I183" i="2"/>
  <c r="F183" i="2"/>
  <c r="E183" i="2"/>
  <c r="B183" i="2"/>
  <c r="O182" i="2"/>
  <c r="I182" i="2"/>
  <c r="K182" i="2" s="1"/>
  <c r="F182" i="2"/>
  <c r="B182" i="2"/>
  <c r="E182" i="2" s="1"/>
  <c r="O181" i="2"/>
  <c r="I181" i="2"/>
  <c r="K181" i="2" s="1"/>
  <c r="F181" i="2"/>
  <c r="B181" i="2"/>
  <c r="E181" i="2" s="1"/>
  <c r="O180" i="2"/>
  <c r="I180" i="2"/>
  <c r="F180" i="2"/>
  <c r="K180" i="2" s="1"/>
  <c r="B180" i="2"/>
  <c r="E180" i="2" s="1"/>
  <c r="O179" i="2"/>
  <c r="I179" i="2"/>
  <c r="K179" i="2" s="1"/>
  <c r="F179" i="2"/>
  <c r="B179" i="2"/>
  <c r="E179" i="2" s="1"/>
  <c r="O178" i="2"/>
  <c r="I178" i="2"/>
  <c r="K178" i="2" s="1"/>
  <c r="F178" i="2"/>
  <c r="E178" i="2"/>
  <c r="B178" i="2"/>
  <c r="O177" i="2"/>
  <c r="I177" i="2"/>
  <c r="K177" i="2" s="1"/>
  <c r="F177" i="2"/>
  <c r="B177" i="2"/>
  <c r="E177" i="2" s="1"/>
  <c r="O176" i="2"/>
  <c r="I176" i="2"/>
  <c r="F176" i="2"/>
  <c r="E176" i="2"/>
  <c r="B176" i="2"/>
  <c r="O175" i="2"/>
  <c r="K175" i="2"/>
  <c r="I175" i="2"/>
  <c r="F175" i="2"/>
  <c r="B175" i="2"/>
  <c r="E175" i="2" s="1"/>
  <c r="O174" i="2"/>
  <c r="I174" i="2"/>
  <c r="F174" i="2"/>
  <c r="K174" i="2" s="1"/>
  <c r="E174" i="2"/>
  <c r="B174" i="2"/>
  <c r="O173" i="2"/>
  <c r="I173" i="2"/>
  <c r="K173" i="2" s="1"/>
  <c r="F173" i="2"/>
  <c r="B173" i="2"/>
  <c r="E173" i="2" s="1"/>
  <c r="O172" i="2"/>
  <c r="I172" i="2"/>
  <c r="K172" i="2" s="1"/>
  <c r="F172" i="2"/>
  <c r="E172" i="2"/>
  <c r="B172" i="2"/>
  <c r="O171" i="2"/>
  <c r="I171" i="2"/>
  <c r="F171" i="2"/>
  <c r="B171" i="2"/>
  <c r="E171" i="2" s="1"/>
  <c r="O170" i="2"/>
  <c r="K170" i="2"/>
  <c r="I170" i="2"/>
  <c r="F170" i="2"/>
  <c r="B170" i="2"/>
  <c r="E170" i="2" s="1"/>
  <c r="O169" i="2"/>
  <c r="K169" i="2"/>
  <c r="I169" i="2"/>
  <c r="F169" i="2"/>
  <c r="E169" i="2"/>
  <c r="B169" i="2"/>
  <c r="O168" i="2"/>
  <c r="I168" i="2"/>
  <c r="K168" i="2" s="1"/>
  <c r="F168" i="2"/>
  <c r="B168" i="2"/>
  <c r="E168" i="2" s="1"/>
  <c r="O167" i="2"/>
  <c r="I167" i="2"/>
  <c r="K167" i="2" s="1"/>
  <c r="F167" i="2"/>
  <c r="B167" i="2"/>
  <c r="E167" i="2" s="1"/>
  <c r="O166" i="2"/>
  <c r="I166" i="2"/>
  <c r="K166" i="2" s="1"/>
  <c r="F166" i="2"/>
  <c r="B166" i="2"/>
  <c r="E166" i="2" s="1"/>
  <c r="O165" i="2"/>
  <c r="K165" i="2"/>
  <c r="I165" i="2"/>
  <c r="F165" i="2"/>
  <c r="B165" i="2"/>
  <c r="E165" i="2" s="1"/>
  <c r="O164" i="2"/>
  <c r="I164" i="2"/>
  <c r="F164" i="2"/>
  <c r="E164" i="2"/>
  <c r="B164" i="2"/>
  <c r="O163" i="2"/>
  <c r="K163" i="2"/>
  <c r="I163" i="2"/>
  <c r="F163" i="2"/>
  <c r="E163" i="2"/>
  <c r="B163" i="2"/>
  <c r="O162" i="2"/>
  <c r="K162" i="2"/>
  <c r="I162" i="2"/>
  <c r="F162" i="2"/>
  <c r="B162" i="2"/>
  <c r="E162" i="2" s="1"/>
  <c r="O161" i="2"/>
  <c r="I161" i="2"/>
  <c r="K161" i="2" s="1"/>
  <c r="F161" i="2"/>
  <c r="B161" i="2"/>
  <c r="E161" i="2" s="1"/>
  <c r="O160" i="2"/>
  <c r="I160" i="2"/>
  <c r="F160" i="2"/>
  <c r="K160" i="2" s="1"/>
  <c r="B160" i="2"/>
  <c r="E160" i="2" s="1"/>
  <c r="O159" i="2"/>
  <c r="K159" i="2"/>
  <c r="I159" i="2"/>
  <c r="F159" i="2"/>
  <c r="B159" i="2"/>
  <c r="E159" i="2" s="1"/>
  <c r="O158" i="2"/>
  <c r="I158" i="2"/>
  <c r="K158" i="2" s="1"/>
  <c r="F158" i="2"/>
  <c r="E158" i="2"/>
  <c r="B158" i="2"/>
  <c r="O157" i="2"/>
  <c r="I157" i="2"/>
  <c r="K157" i="2" s="1"/>
  <c r="F157" i="2"/>
  <c r="E157" i="2"/>
  <c r="B157" i="2"/>
  <c r="O156" i="2"/>
  <c r="I156" i="2"/>
  <c r="K156" i="2" s="1"/>
  <c r="F156" i="2"/>
  <c r="E156" i="2"/>
  <c r="B156" i="2"/>
  <c r="O155" i="2"/>
  <c r="I155" i="2"/>
  <c r="F155" i="2"/>
  <c r="K155" i="2" s="1"/>
  <c r="B155" i="2"/>
  <c r="E155" i="2" s="1"/>
  <c r="O154" i="2"/>
  <c r="I154" i="2"/>
  <c r="F154" i="2"/>
  <c r="K154" i="2" s="1"/>
  <c r="E154" i="2"/>
  <c r="B154" i="2"/>
  <c r="O153" i="2"/>
  <c r="K153" i="2"/>
  <c r="I153" i="2"/>
  <c r="F153" i="2"/>
  <c r="B153" i="2"/>
  <c r="E153" i="2" s="1"/>
  <c r="O152" i="2"/>
  <c r="I152" i="2"/>
  <c r="K152" i="2" s="1"/>
  <c r="F152" i="2"/>
  <c r="E152" i="2"/>
  <c r="B152" i="2"/>
  <c r="O151" i="2"/>
  <c r="I151" i="2"/>
  <c r="F151" i="2"/>
  <c r="E151" i="2"/>
  <c r="B151" i="2"/>
  <c r="O150" i="2"/>
  <c r="I150" i="2"/>
  <c r="K150" i="2" s="1"/>
  <c r="F150" i="2"/>
  <c r="E150" i="2"/>
  <c r="B150" i="2"/>
  <c r="O149" i="2"/>
  <c r="I149" i="2"/>
  <c r="F149" i="2"/>
  <c r="K149" i="2" s="1"/>
  <c r="E149" i="2"/>
  <c r="B149" i="2"/>
  <c r="O148" i="2"/>
  <c r="K148" i="2"/>
  <c r="I148" i="2"/>
  <c r="F148" i="2"/>
  <c r="B148" i="2"/>
  <c r="E148" i="2" s="1"/>
  <c r="O147" i="2"/>
  <c r="I147" i="2"/>
  <c r="K147" i="2" s="1"/>
  <c r="F147" i="2"/>
  <c r="B147" i="2"/>
  <c r="E147" i="2" s="1"/>
  <c r="O146" i="2"/>
  <c r="I146" i="2"/>
  <c r="K146" i="2" s="1"/>
  <c r="F146" i="2"/>
  <c r="B146" i="2"/>
  <c r="E146" i="2" s="1"/>
  <c r="O145" i="2"/>
  <c r="I145" i="2"/>
  <c r="K145" i="2" s="1"/>
  <c r="F145" i="2"/>
  <c r="E145" i="2"/>
  <c r="B145" i="2"/>
  <c r="O144" i="2"/>
  <c r="I144" i="2"/>
  <c r="K144" i="2" s="1"/>
  <c r="F144" i="2"/>
  <c r="E144" i="2"/>
  <c r="B144" i="2"/>
  <c r="O143" i="2"/>
  <c r="K143" i="2"/>
  <c r="I143" i="2"/>
  <c r="F143" i="2"/>
  <c r="E143" i="2"/>
  <c r="B143" i="2"/>
  <c r="O142" i="2"/>
  <c r="I142" i="2"/>
  <c r="K142" i="2" s="1"/>
  <c r="F142" i="2"/>
  <c r="E142" i="2"/>
  <c r="B142" i="2"/>
  <c r="O141" i="2"/>
  <c r="I141" i="2"/>
  <c r="K141" i="2" s="1"/>
  <c r="F141" i="2"/>
  <c r="B141" i="2"/>
  <c r="E141" i="2" s="1"/>
  <c r="O140" i="2"/>
  <c r="I140" i="2"/>
  <c r="F140" i="2"/>
  <c r="K140" i="2" s="1"/>
  <c r="B140" i="2"/>
  <c r="E140" i="2" s="1"/>
  <c r="O139" i="2"/>
  <c r="I139" i="2"/>
  <c r="F139" i="2"/>
  <c r="B139" i="2"/>
  <c r="E139" i="2" s="1"/>
  <c r="T138" i="2"/>
  <c r="S138" i="2"/>
  <c r="O138" i="2"/>
  <c r="I138" i="2"/>
  <c r="K138" i="2" s="1"/>
  <c r="F138" i="2"/>
  <c r="E138" i="2"/>
  <c r="B138" i="2"/>
  <c r="T137" i="2"/>
  <c r="S137" i="2"/>
  <c r="O137" i="2"/>
  <c r="I137" i="2"/>
  <c r="K137" i="2" s="1"/>
  <c r="F137" i="2"/>
  <c r="B137" i="2"/>
  <c r="E137" i="2" s="1"/>
  <c r="T136" i="2"/>
  <c r="S136" i="2"/>
  <c r="O136" i="2"/>
  <c r="I136" i="2"/>
  <c r="K136" i="2" s="1"/>
  <c r="F136" i="2"/>
  <c r="E136" i="2"/>
  <c r="B136" i="2"/>
  <c r="T135" i="2"/>
  <c r="S135" i="2"/>
  <c r="O135" i="2"/>
  <c r="I135" i="2"/>
  <c r="F135" i="2"/>
  <c r="B135" i="2"/>
  <c r="E135" i="2" s="1"/>
  <c r="T134" i="2"/>
  <c r="S134" i="2"/>
  <c r="O134" i="2"/>
  <c r="I134" i="2"/>
  <c r="F134" i="2"/>
  <c r="K134" i="2" s="1"/>
  <c r="E134" i="2"/>
  <c r="B134" i="2"/>
  <c r="T133" i="2"/>
  <c r="S133" i="2"/>
  <c r="O133" i="2"/>
  <c r="I133" i="2"/>
  <c r="K133" i="2" s="1"/>
  <c r="F133" i="2"/>
  <c r="B133" i="2"/>
  <c r="E133" i="2" s="1"/>
  <c r="T132" i="2"/>
  <c r="S132" i="2"/>
  <c r="O132" i="2"/>
  <c r="I132" i="2"/>
  <c r="F132" i="2"/>
  <c r="B132" i="2"/>
  <c r="E132" i="2" s="1"/>
  <c r="T131" i="2"/>
  <c r="S131" i="2"/>
  <c r="O131" i="2"/>
  <c r="K131" i="2"/>
  <c r="I131" i="2"/>
  <c r="F131" i="2"/>
  <c r="E131" i="2"/>
  <c r="B131" i="2"/>
  <c r="T130" i="2"/>
  <c r="S130" i="2"/>
  <c r="O130" i="2"/>
  <c r="I130" i="2"/>
  <c r="K130" i="2" s="1"/>
  <c r="F130" i="2"/>
  <c r="B130" i="2"/>
  <c r="E130" i="2" s="1"/>
  <c r="T129" i="2"/>
  <c r="S129" i="2"/>
  <c r="O129" i="2"/>
  <c r="I129" i="2"/>
  <c r="F129" i="2"/>
  <c r="K129" i="2" s="1"/>
  <c r="E129" i="2"/>
  <c r="B129" i="2"/>
  <c r="T128" i="2"/>
  <c r="S128" i="2"/>
  <c r="O128" i="2"/>
  <c r="I128" i="2"/>
  <c r="K128" i="2" s="1"/>
  <c r="F128" i="2"/>
  <c r="B128" i="2"/>
  <c r="E128" i="2" s="1"/>
  <c r="T127" i="2"/>
  <c r="S127" i="2"/>
  <c r="O127" i="2"/>
  <c r="I127" i="2"/>
  <c r="F127" i="2"/>
  <c r="K127" i="2" s="1"/>
  <c r="B127" i="2"/>
  <c r="E127" i="2" s="1"/>
  <c r="T126" i="2"/>
  <c r="S126" i="2"/>
  <c r="O126" i="2"/>
  <c r="I126" i="2"/>
  <c r="F126" i="2"/>
  <c r="K126" i="2" s="1"/>
  <c r="E126" i="2"/>
  <c r="B126" i="2"/>
  <c r="T125" i="2"/>
  <c r="S125" i="2"/>
  <c r="O125" i="2"/>
  <c r="I125" i="2"/>
  <c r="K125" i="2" s="1"/>
  <c r="F125" i="2"/>
  <c r="B125" i="2"/>
  <c r="E125" i="2" s="1"/>
  <c r="T124" i="2"/>
  <c r="S124" i="2"/>
  <c r="O124" i="2"/>
  <c r="I124" i="2"/>
  <c r="F124" i="2"/>
  <c r="K124" i="2" s="1"/>
  <c r="E124" i="2"/>
  <c r="B124" i="2"/>
  <c r="T123" i="2"/>
  <c r="S123" i="2"/>
  <c r="O123" i="2"/>
  <c r="K123" i="2"/>
  <c r="I123" i="2"/>
  <c r="F123" i="2"/>
  <c r="E123" i="2"/>
  <c r="B123" i="2"/>
  <c r="T122" i="2"/>
  <c r="S122" i="2"/>
  <c r="O122" i="2"/>
  <c r="I122" i="2"/>
  <c r="F122" i="2"/>
  <c r="K122" i="2" s="1"/>
  <c r="B122" i="2"/>
  <c r="E122" i="2" s="1"/>
  <c r="T121" i="2"/>
  <c r="S121" i="2"/>
  <c r="O121" i="2"/>
  <c r="I121" i="2"/>
  <c r="F121" i="2"/>
  <c r="B121" i="2"/>
  <c r="E121" i="2" s="1"/>
  <c r="T120" i="2"/>
  <c r="S120" i="2"/>
  <c r="O120" i="2"/>
  <c r="I120" i="2"/>
  <c r="K120" i="2" s="1"/>
  <c r="F120" i="2"/>
  <c r="B120" i="2"/>
  <c r="E120" i="2" s="1"/>
  <c r="T119" i="2"/>
  <c r="S119" i="2"/>
  <c r="O119" i="2"/>
  <c r="K119" i="2"/>
  <c r="I119" i="2"/>
  <c r="F119" i="2"/>
  <c r="B119" i="2"/>
  <c r="E119" i="2" s="1"/>
  <c r="T118" i="2"/>
  <c r="S118" i="2"/>
  <c r="O118" i="2"/>
  <c r="I118" i="2"/>
  <c r="K118" i="2" s="1"/>
  <c r="F118" i="2"/>
  <c r="E118" i="2"/>
  <c r="B118" i="2"/>
  <c r="T117" i="2"/>
  <c r="S117" i="2"/>
  <c r="O117" i="2"/>
  <c r="I117" i="2"/>
  <c r="K117" i="2" s="1"/>
  <c r="F117" i="2"/>
  <c r="B117" i="2"/>
  <c r="E117" i="2" s="1"/>
  <c r="T116" i="2"/>
  <c r="S116" i="2"/>
  <c r="O116" i="2"/>
  <c r="K116" i="2"/>
  <c r="I116" i="2"/>
  <c r="F116" i="2"/>
  <c r="E116" i="2"/>
  <c r="B116" i="2"/>
  <c r="T115" i="2"/>
  <c r="S115" i="2"/>
  <c r="O115" i="2"/>
  <c r="I115" i="2"/>
  <c r="K115" i="2" s="1"/>
  <c r="F115" i="2"/>
  <c r="B115" i="2"/>
  <c r="E115" i="2" s="1"/>
  <c r="T114" i="2"/>
  <c r="S114" i="2"/>
  <c r="O114" i="2"/>
  <c r="I114" i="2"/>
  <c r="K114" i="2" s="1"/>
  <c r="F114" i="2"/>
  <c r="E114" i="2"/>
  <c r="B114" i="2"/>
  <c r="T113" i="2"/>
  <c r="S113" i="2"/>
  <c r="O113" i="2"/>
  <c r="I113" i="2"/>
  <c r="F113" i="2"/>
  <c r="B113" i="2"/>
  <c r="E113" i="2" s="1"/>
  <c r="T112" i="2"/>
  <c r="S112" i="2"/>
  <c r="O112" i="2"/>
  <c r="I112" i="2"/>
  <c r="K112" i="2" s="1"/>
  <c r="F112" i="2"/>
  <c r="E112" i="2"/>
  <c r="B112" i="2"/>
  <c r="T111" i="2"/>
  <c r="S111" i="2"/>
  <c r="O111" i="2"/>
  <c r="K111" i="2"/>
  <c r="I111" i="2"/>
  <c r="F111" i="2"/>
  <c r="E111" i="2"/>
  <c r="B111" i="2"/>
  <c r="T110" i="2"/>
  <c r="S110" i="2"/>
  <c r="O110" i="2"/>
  <c r="I110" i="2"/>
  <c r="F110" i="2"/>
  <c r="B110" i="2"/>
  <c r="E110" i="2" s="1"/>
  <c r="T109" i="2"/>
  <c r="S109" i="2"/>
  <c r="O109" i="2"/>
  <c r="K109" i="2"/>
  <c r="I109" i="2"/>
  <c r="F109" i="2"/>
  <c r="E109" i="2"/>
  <c r="B109" i="2"/>
  <c r="T108" i="2"/>
  <c r="S108" i="2"/>
  <c r="O108" i="2"/>
  <c r="I108" i="2"/>
  <c r="K108" i="2" s="1"/>
  <c r="F108" i="2"/>
  <c r="B108" i="2"/>
  <c r="E108" i="2" s="1"/>
  <c r="T107" i="2"/>
  <c r="S107" i="2"/>
  <c r="O107" i="2"/>
  <c r="K107" i="2"/>
  <c r="I107" i="2"/>
  <c r="F107" i="2"/>
  <c r="B107" i="2"/>
  <c r="E107" i="2" s="1"/>
  <c r="T106" i="2"/>
  <c r="S106" i="2"/>
  <c r="O106" i="2"/>
  <c r="K106" i="2"/>
  <c r="I106" i="2"/>
  <c r="F106" i="2"/>
  <c r="B106" i="2"/>
  <c r="E106" i="2" s="1"/>
  <c r="T105" i="2"/>
  <c r="S105" i="2"/>
  <c r="O105" i="2"/>
  <c r="K105" i="2"/>
  <c r="I105" i="2"/>
  <c r="F105" i="2"/>
  <c r="B105" i="2"/>
  <c r="E105" i="2" s="1"/>
  <c r="T104" i="2"/>
  <c r="S104" i="2"/>
  <c r="O104" i="2"/>
  <c r="I104" i="2"/>
  <c r="K104" i="2" s="1"/>
  <c r="F104" i="2"/>
  <c r="B104" i="2"/>
  <c r="E104" i="2" s="1"/>
  <c r="T103" i="2"/>
  <c r="S103" i="2"/>
  <c r="O103" i="2"/>
  <c r="I103" i="2"/>
  <c r="K103" i="2" s="1"/>
  <c r="F103" i="2"/>
  <c r="E103" i="2"/>
  <c r="B103" i="2"/>
  <c r="T102" i="2"/>
  <c r="S102" i="2"/>
  <c r="O102" i="2"/>
  <c r="I102" i="2"/>
  <c r="F102" i="2"/>
  <c r="K102" i="2" s="1"/>
  <c r="B102" i="2"/>
  <c r="E102" i="2" s="1"/>
  <c r="T101" i="2"/>
  <c r="S101" i="2"/>
  <c r="O101" i="2"/>
  <c r="I101" i="2"/>
  <c r="F101" i="2"/>
  <c r="B101" i="2"/>
  <c r="E101" i="2" s="1"/>
  <c r="T100" i="2"/>
  <c r="S100" i="2"/>
  <c r="O100" i="2"/>
  <c r="I100" i="2"/>
  <c r="K100" i="2" s="1"/>
  <c r="F100" i="2"/>
  <c r="B100" i="2"/>
  <c r="E100" i="2" s="1"/>
  <c r="T99" i="2"/>
  <c r="S99" i="2"/>
  <c r="O99" i="2"/>
  <c r="I99" i="2"/>
  <c r="F99" i="2"/>
  <c r="K99" i="2" s="1"/>
  <c r="B99" i="2"/>
  <c r="E99" i="2" s="1"/>
  <c r="T98" i="2"/>
  <c r="S98" i="2"/>
  <c r="O98" i="2"/>
  <c r="I98" i="2"/>
  <c r="K98" i="2" s="1"/>
  <c r="F98" i="2"/>
  <c r="E98" i="2"/>
  <c r="B98" i="2"/>
  <c r="T97" i="2"/>
  <c r="S97" i="2"/>
  <c r="O97" i="2"/>
  <c r="K97" i="2"/>
  <c r="I97" i="2"/>
  <c r="F97" i="2"/>
  <c r="E97" i="2"/>
  <c r="B97" i="2"/>
  <c r="T96" i="2"/>
  <c r="S96" i="2"/>
  <c r="O96" i="2"/>
  <c r="I96" i="2"/>
  <c r="K96" i="2" s="1"/>
  <c r="F96" i="2"/>
  <c r="E96" i="2"/>
  <c r="B96" i="2"/>
  <c r="T95" i="2"/>
  <c r="S95" i="2"/>
  <c r="O95" i="2"/>
  <c r="K95" i="2"/>
  <c r="I95" i="2"/>
  <c r="F95" i="2"/>
  <c r="B95" i="2"/>
  <c r="E95" i="2" s="1"/>
  <c r="T94" i="2"/>
  <c r="S94" i="2"/>
  <c r="O94" i="2"/>
  <c r="I94" i="2"/>
  <c r="F94" i="2"/>
  <c r="E94" i="2"/>
  <c r="B94" i="2"/>
  <c r="T93" i="2"/>
  <c r="S93" i="2"/>
  <c r="O93" i="2"/>
  <c r="I93" i="2"/>
  <c r="F93" i="2"/>
  <c r="B93" i="2"/>
  <c r="E93" i="2" s="1"/>
  <c r="T92" i="2"/>
  <c r="S92" i="2"/>
  <c r="O92" i="2"/>
  <c r="I92" i="2"/>
  <c r="K92" i="2" s="1"/>
  <c r="F92" i="2"/>
  <c r="B92" i="2"/>
  <c r="E92" i="2" s="1"/>
  <c r="T91" i="2"/>
  <c r="S91" i="2"/>
  <c r="O91" i="2"/>
  <c r="K91" i="2"/>
  <c r="I91" i="2"/>
  <c r="F91" i="2"/>
  <c r="E91" i="2"/>
  <c r="B91" i="2"/>
  <c r="T90" i="2"/>
  <c r="S90" i="2"/>
  <c r="O90" i="2"/>
  <c r="K90" i="2"/>
  <c r="I90" i="2"/>
  <c r="F90" i="2"/>
  <c r="B90" i="2"/>
  <c r="E90" i="2" s="1"/>
  <c r="T89" i="2"/>
  <c r="S89" i="2"/>
  <c r="O89" i="2"/>
  <c r="I89" i="2"/>
  <c r="F89" i="2"/>
  <c r="K89" i="2" s="1"/>
  <c r="B89" i="2"/>
  <c r="E89" i="2" s="1"/>
  <c r="T88" i="2"/>
  <c r="S88" i="2"/>
  <c r="O88" i="2"/>
  <c r="I88" i="2"/>
  <c r="K88" i="2" s="1"/>
  <c r="F88" i="2"/>
  <c r="B88" i="2"/>
  <c r="E88" i="2" s="1"/>
  <c r="T87" i="2"/>
  <c r="S87" i="2"/>
  <c r="O87" i="2"/>
  <c r="K87" i="2"/>
  <c r="I87" i="2"/>
  <c r="F87" i="2"/>
  <c r="B87" i="2"/>
  <c r="E87" i="2" s="1"/>
  <c r="T86" i="2"/>
  <c r="S86" i="2"/>
  <c r="O86" i="2"/>
  <c r="I86" i="2"/>
  <c r="K86" i="2" s="1"/>
  <c r="F86" i="2"/>
  <c r="E86" i="2"/>
  <c r="B86" i="2"/>
  <c r="T85" i="2"/>
  <c r="S85" i="2"/>
  <c r="O85" i="2"/>
  <c r="I85" i="2"/>
  <c r="K85" i="2" s="1"/>
  <c r="F85" i="2"/>
  <c r="B85" i="2"/>
  <c r="E85" i="2" s="1"/>
  <c r="T84" i="2"/>
  <c r="S84" i="2"/>
  <c r="O84" i="2"/>
  <c r="I84" i="2"/>
  <c r="F84" i="2"/>
  <c r="K84" i="2" s="1"/>
  <c r="B84" i="2"/>
  <c r="E84" i="2" s="1"/>
  <c r="T83" i="2"/>
  <c r="S83" i="2"/>
  <c r="O83" i="2"/>
  <c r="I83" i="2"/>
  <c r="K83" i="2" s="1"/>
  <c r="F83" i="2"/>
  <c r="E83" i="2"/>
  <c r="B83" i="2"/>
  <c r="T82" i="2"/>
  <c r="S82" i="2"/>
  <c r="O82" i="2"/>
  <c r="I82" i="2"/>
  <c r="F82" i="2"/>
  <c r="B82" i="2"/>
  <c r="E82" i="2" s="1"/>
  <c r="T81" i="2"/>
  <c r="S81" i="2"/>
  <c r="O81" i="2"/>
  <c r="K81" i="2"/>
  <c r="I81" i="2"/>
  <c r="F81" i="2"/>
  <c r="B81" i="2"/>
  <c r="E81" i="2" s="1"/>
  <c r="T80" i="2"/>
  <c r="S80" i="2"/>
  <c r="O80" i="2"/>
  <c r="I80" i="2"/>
  <c r="K80" i="2" s="1"/>
  <c r="F80" i="2"/>
  <c r="B80" i="2"/>
  <c r="E80" i="2" s="1"/>
  <c r="T79" i="2"/>
  <c r="S79" i="2"/>
  <c r="O79" i="2"/>
  <c r="I79" i="2"/>
  <c r="F79" i="2"/>
  <c r="K79" i="2" s="1"/>
  <c r="B79" i="2"/>
  <c r="E79" i="2" s="1"/>
  <c r="T78" i="2"/>
  <c r="S78" i="2"/>
  <c r="O78" i="2"/>
  <c r="I78" i="2"/>
  <c r="K78" i="2" s="1"/>
  <c r="F78" i="2"/>
  <c r="E78" i="2"/>
  <c r="B78" i="2"/>
  <c r="T77" i="2"/>
  <c r="S77" i="2"/>
  <c r="O77" i="2"/>
  <c r="I77" i="2"/>
  <c r="F77" i="2"/>
  <c r="B77" i="2"/>
  <c r="E77" i="2" s="1"/>
  <c r="T76" i="2"/>
  <c r="S76" i="2"/>
  <c r="O76" i="2"/>
  <c r="I76" i="2"/>
  <c r="K76" i="2" s="1"/>
  <c r="F76" i="2"/>
  <c r="E76" i="2"/>
  <c r="B76" i="2"/>
  <c r="T75" i="2"/>
  <c r="S75" i="2"/>
  <c r="O75" i="2"/>
  <c r="I75" i="2"/>
  <c r="K75" i="2" s="1"/>
  <c r="F75" i="2"/>
  <c r="B75" i="2"/>
  <c r="E75" i="2" s="1"/>
  <c r="T74" i="2"/>
  <c r="S74" i="2"/>
  <c r="O74" i="2"/>
  <c r="I74" i="2"/>
  <c r="F74" i="2"/>
  <c r="K74" i="2" s="1"/>
  <c r="E74" i="2"/>
  <c r="B74" i="2"/>
  <c r="T73" i="2"/>
  <c r="S73" i="2"/>
  <c r="O73" i="2"/>
  <c r="I73" i="2"/>
  <c r="K73" i="2" s="1"/>
  <c r="F73" i="2"/>
  <c r="E73" i="2"/>
  <c r="B73" i="2"/>
  <c r="T72" i="2"/>
  <c r="S72" i="2"/>
  <c r="O72" i="2"/>
  <c r="I72" i="2"/>
  <c r="K72" i="2" s="1"/>
  <c r="F72" i="2"/>
  <c r="E72" i="2"/>
  <c r="B72" i="2"/>
  <c r="T71" i="2"/>
  <c r="S71" i="2"/>
  <c r="O71" i="2"/>
  <c r="K71" i="2"/>
  <c r="I71" i="2"/>
  <c r="F71" i="2"/>
  <c r="B71" i="2"/>
  <c r="E71" i="2" s="1"/>
  <c r="T70" i="2"/>
  <c r="S70" i="2"/>
  <c r="O70" i="2"/>
  <c r="I70" i="2"/>
  <c r="K70" i="2" s="1"/>
  <c r="F70" i="2"/>
  <c r="B70" i="2"/>
  <c r="E70" i="2" s="1"/>
  <c r="T69" i="2"/>
  <c r="S69" i="2"/>
  <c r="O69" i="2"/>
  <c r="I69" i="2"/>
  <c r="F69" i="2"/>
  <c r="K69" i="2" s="1"/>
  <c r="E69" i="2"/>
  <c r="B69" i="2"/>
  <c r="T68" i="2"/>
  <c r="S68" i="2"/>
  <c r="O68" i="2"/>
  <c r="K68" i="2"/>
  <c r="I68" i="2"/>
  <c r="F68" i="2"/>
  <c r="B68" i="2"/>
  <c r="E68" i="2" s="1"/>
  <c r="T67" i="2"/>
  <c r="S67" i="2"/>
  <c r="O67" i="2"/>
  <c r="I67" i="2"/>
  <c r="F67" i="2"/>
  <c r="K67" i="2" s="1"/>
  <c r="B67" i="2"/>
  <c r="E67" i="2" s="1"/>
  <c r="T66" i="2"/>
  <c r="S66" i="2"/>
  <c r="O66" i="2"/>
  <c r="I66" i="2"/>
  <c r="K66" i="2" s="1"/>
  <c r="F66" i="2"/>
  <c r="E66" i="2"/>
  <c r="B66" i="2"/>
  <c r="T65" i="2"/>
  <c r="S65" i="2"/>
  <c r="O65" i="2"/>
  <c r="I65" i="2"/>
  <c r="K65" i="2" s="1"/>
  <c r="F65" i="2"/>
  <c r="B65" i="2"/>
  <c r="E65" i="2" s="1"/>
  <c r="T64" i="2"/>
  <c r="S64" i="2"/>
  <c r="O64" i="2"/>
  <c r="I64" i="2"/>
  <c r="K64" i="2" s="1"/>
  <c r="F64" i="2"/>
  <c r="E64" i="2"/>
  <c r="B64" i="2"/>
  <c r="T63" i="2"/>
  <c r="S63" i="2"/>
  <c r="O63" i="2"/>
  <c r="I63" i="2"/>
  <c r="K63" i="2" s="1"/>
  <c r="F63" i="2"/>
  <c r="B63" i="2"/>
  <c r="E63" i="2" s="1"/>
  <c r="T62" i="2"/>
  <c r="S62" i="2"/>
  <c r="O62" i="2"/>
  <c r="I62" i="2"/>
  <c r="K62" i="2" s="1"/>
  <c r="F62" i="2"/>
  <c r="B62" i="2"/>
  <c r="E62" i="2" s="1"/>
  <c r="T61" i="2"/>
  <c r="S61" i="2"/>
  <c r="O61" i="2"/>
  <c r="I61" i="2"/>
  <c r="K61" i="2" s="1"/>
  <c r="F61" i="2"/>
  <c r="B61" i="2"/>
  <c r="E61" i="2" s="1"/>
  <c r="T60" i="2"/>
  <c r="S60" i="2"/>
  <c r="O60" i="2"/>
  <c r="I60" i="2"/>
  <c r="K60" i="2" s="1"/>
  <c r="F60" i="2"/>
  <c r="B60" i="2"/>
  <c r="E60" i="2" s="1"/>
  <c r="T59" i="2"/>
  <c r="S59" i="2"/>
  <c r="O59" i="2"/>
  <c r="K59" i="2"/>
  <c r="I59" i="2"/>
  <c r="F59" i="2"/>
  <c r="E59" i="2"/>
  <c r="B59" i="2"/>
  <c r="T58" i="2"/>
  <c r="S58" i="2"/>
  <c r="O58" i="2"/>
  <c r="I58" i="2"/>
  <c r="K58" i="2" s="1"/>
  <c r="F58" i="2"/>
  <c r="E58" i="2"/>
  <c r="B58" i="2"/>
  <c r="T57" i="2"/>
  <c r="S57" i="2"/>
  <c r="O57" i="2"/>
  <c r="I57" i="2"/>
  <c r="K57" i="2" s="1"/>
  <c r="F57" i="2"/>
  <c r="E57" i="2"/>
  <c r="B57" i="2"/>
  <c r="T56" i="2"/>
  <c r="S56" i="2"/>
  <c r="O56" i="2"/>
  <c r="I56" i="2"/>
  <c r="K56" i="2" s="1"/>
  <c r="F56" i="2"/>
  <c r="E56" i="2"/>
  <c r="B56" i="2"/>
  <c r="T55" i="2"/>
  <c r="S55" i="2"/>
  <c r="O55" i="2"/>
  <c r="K55" i="2"/>
  <c r="I55" i="2"/>
  <c r="F55" i="2"/>
  <c r="E55" i="2"/>
  <c r="B55" i="2"/>
  <c r="T54" i="2"/>
  <c r="S54" i="2"/>
  <c r="O54" i="2"/>
  <c r="I54" i="2"/>
  <c r="K54" i="2" s="1"/>
  <c r="F54" i="2"/>
  <c r="E54" i="2"/>
  <c r="B54" i="2"/>
  <c r="T53" i="2"/>
  <c r="S53" i="2"/>
  <c r="O53" i="2"/>
  <c r="I53" i="2"/>
  <c r="K53" i="2" s="1"/>
  <c r="F53" i="2"/>
  <c r="E53" i="2"/>
  <c r="B53" i="2"/>
  <c r="T52" i="2"/>
  <c r="S52" i="2"/>
  <c r="O52" i="2"/>
  <c r="K52" i="2"/>
  <c r="I52" i="2"/>
  <c r="F52" i="2"/>
  <c r="E52" i="2"/>
  <c r="B52" i="2"/>
  <c r="T51" i="2"/>
  <c r="S51" i="2"/>
  <c r="O51" i="2"/>
  <c r="K51" i="2"/>
  <c r="I51" i="2"/>
  <c r="F51" i="2"/>
  <c r="B51" i="2"/>
  <c r="E51" i="2" s="1"/>
  <c r="T50" i="2"/>
  <c r="S50" i="2"/>
  <c r="O50" i="2"/>
  <c r="K50" i="2"/>
  <c r="I50" i="2"/>
  <c r="F50" i="2"/>
  <c r="E50" i="2"/>
  <c r="B50" i="2"/>
  <c r="T49" i="2"/>
  <c r="S49" i="2"/>
  <c r="O49" i="2"/>
  <c r="K49" i="2"/>
  <c r="I49" i="2"/>
  <c r="F49" i="2"/>
  <c r="E49" i="2"/>
  <c r="B49" i="2"/>
  <c r="T48" i="2"/>
  <c r="S48" i="2"/>
  <c r="O48" i="2"/>
  <c r="I48" i="2"/>
  <c r="F48" i="2"/>
  <c r="K48" i="2" s="1"/>
  <c r="B48" i="2"/>
  <c r="E48" i="2" s="1"/>
  <c r="T47" i="2"/>
  <c r="S47" i="2"/>
  <c r="O47" i="2"/>
  <c r="K47" i="2"/>
  <c r="I47" i="2"/>
  <c r="F47" i="2"/>
  <c r="B47" i="2"/>
  <c r="E47" i="2" s="1"/>
  <c r="T46" i="2"/>
  <c r="S46" i="2"/>
  <c r="O46" i="2"/>
  <c r="I46" i="2"/>
  <c r="F46" i="2"/>
  <c r="B46" i="2"/>
  <c r="E46" i="2" s="1"/>
  <c r="T45" i="2"/>
  <c r="S45" i="2"/>
  <c r="O45" i="2"/>
  <c r="K45" i="2"/>
  <c r="I45" i="2"/>
  <c r="F45" i="2"/>
  <c r="B45" i="2"/>
  <c r="E45" i="2" s="1"/>
  <c r="T44" i="2"/>
  <c r="S44" i="2"/>
  <c r="O44" i="2"/>
  <c r="I44" i="2"/>
  <c r="F44" i="2"/>
  <c r="B44" i="2"/>
  <c r="E44" i="2" s="1"/>
  <c r="T43" i="2"/>
  <c r="S43" i="2"/>
  <c r="O43" i="2"/>
  <c r="K43" i="2"/>
  <c r="I43" i="2"/>
  <c r="F43" i="2"/>
  <c r="B43" i="2"/>
  <c r="E43" i="2" s="1"/>
  <c r="T42" i="2"/>
  <c r="S42" i="2"/>
  <c r="O42" i="2"/>
  <c r="K42" i="2"/>
  <c r="I42" i="2"/>
  <c r="F42" i="2"/>
  <c r="B42" i="2"/>
  <c r="E42" i="2" s="1"/>
  <c r="T41" i="2"/>
  <c r="S41" i="2"/>
  <c r="O41" i="2"/>
  <c r="I41" i="2"/>
  <c r="F41" i="2"/>
  <c r="B41" i="2"/>
  <c r="E41" i="2" s="1"/>
  <c r="T40" i="2"/>
  <c r="S40" i="2"/>
  <c r="O40" i="2"/>
  <c r="I40" i="2"/>
  <c r="K40" i="2" s="1"/>
  <c r="F40" i="2"/>
  <c r="B40" i="2"/>
  <c r="E40" i="2" s="1"/>
  <c r="T39" i="2"/>
  <c r="S39" i="2"/>
  <c r="O39" i="2"/>
  <c r="I39" i="2"/>
  <c r="K39" i="2" s="1"/>
  <c r="F39" i="2"/>
  <c r="B39" i="2"/>
  <c r="E39" i="2" s="1"/>
  <c r="T38" i="2"/>
  <c r="S38" i="2"/>
  <c r="O38" i="2"/>
  <c r="I38" i="2"/>
  <c r="K38" i="2" s="1"/>
  <c r="F38" i="2"/>
  <c r="E38" i="2"/>
  <c r="B38" i="2"/>
  <c r="T37" i="2"/>
  <c r="S37" i="2"/>
  <c r="O37" i="2"/>
  <c r="I37" i="2"/>
  <c r="K37" i="2" s="1"/>
  <c r="F37" i="2"/>
  <c r="B37" i="2"/>
  <c r="E37" i="2" s="1"/>
  <c r="T36" i="2"/>
  <c r="S36" i="2"/>
  <c r="O36" i="2"/>
  <c r="K36" i="2"/>
  <c r="I36" i="2"/>
  <c r="F36" i="2"/>
  <c r="E36" i="2"/>
  <c r="B36" i="2"/>
  <c r="T35" i="2"/>
  <c r="S35" i="2"/>
  <c r="O35" i="2"/>
  <c r="K35" i="2"/>
  <c r="I35" i="2"/>
  <c r="F35" i="2"/>
  <c r="B35" i="2"/>
  <c r="E35" i="2" s="1"/>
  <c r="T34" i="2"/>
  <c r="S34" i="2"/>
  <c r="O34" i="2"/>
  <c r="I34" i="2"/>
  <c r="K34" i="2" s="1"/>
  <c r="F34" i="2"/>
  <c r="E34" i="2"/>
  <c r="B34" i="2"/>
  <c r="T33" i="2"/>
  <c r="S33" i="2"/>
  <c r="O33" i="2"/>
  <c r="I33" i="2"/>
  <c r="K33" i="2" s="1"/>
  <c r="F33" i="2"/>
  <c r="E33" i="2"/>
  <c r="B33" i="2"/>
  <c r="T32" i="2"/>
  <c r="S32" i="2"/>
  <c r="O32" i="2"/>
  <c r="I32" i="2"/>
  <c r="K32" i="2" s="1"/>
  <c r="F32" i="2"/>
  <c r="E32" i="2"/>
  <c r="B32" i="2"/>
  <c r="T31" i="2"/>
  <c r="S31" i="2"/>
  <c r="O31" i="2"/>
  <c r="K31" i="2"/>
  <c r="I31" i="2"/>
  <c r="F31" i="2"/>
  <c r="B31" i="2"/>
  <c r="E31" i="2" s="1"/>
  <c r="T30" i="2"/>
  <c r="S30" i="2"/>
  <c r="O30" i="2"/>
  <c r="I30" i="2"/>
  <c r="K30" i="2" s="1"/>
  <c r="F30" i="2"/>
  <c r="B30" i="2"/>
  <c r="E30" i="2" s="1"/>
  <c r="T29" i="2"/>
  <c r="S29" i="2"/>
  <c r="O29" i="2"/>
  <c r="K29" i="2"/>
  <c r="I29" i="2"/>
  <c r="F29" i="2"/>
  <c r="E29" i="2"/>
  <c r="B29" i="2"/>
  <c r="T28" i="2"/>
  <c r="S28" i="2"/>
  <c r="O28" i="2"/>
  <c r="K28" i="2"/>
  <c r="I28" i="2"/>
  <c r="F28" i="2"/>
  <c r="B28" i="2"/>
  <c r="E28" i="2" s="1"/>
  <c r="T27" i="2"/>
  <c r="S27" i="2"/>
  <c r="O27" i="2"/>
  <c r="I27" i="2"/>
  <c r="F27" i="2"/>
  <c r="K27" i="2" s="1"/>
  <c r="B27" i="2"/>
  <c r="E27" i="2" s="1"/>
  <c r="T26" i="2"/>
  <c r="S26" i="2"/>
  <c r="O26" i="2"/>
  <c r="I26" i="2"/>
  <c r="K26" i="2" s="1"/>
  <c r="F26" i="2"/>
  <c r="E26" i="2"/>
  <c r="B26" i="2"/>
  <c r="T25" i="2"/>
  <c r="S25" i="2"/>
  <c r="O25" i="2"/>
  <c r="I25" i="2"/>
  <c r="F25" i="2"/>
  <c r="B25" i="2"/>
  <c r="E25" i="2" s="1"/>
  <c r="T24" i="2"/>
  <c r="S24" i="2"/>
  <c r="O24" i="2"/>
  <c r="I24" i="2"/>
  <c r="K24" i="2" s="1"/>
  <c r="F24" i="2"/>
  <c r="E24" i="2"/>
  <c r="B24" i="2"/>
  <c r="T23" i="2"/>
  <c r="S23" i="2"/>
  <c r="O23" i="2"/>
  <c r="I23" i="2"/>
  <c r="F23" i="2"/>
  <c r="E23" i="2"/>
  <c r="B23" i="2"/>
  <c r="T22" i="2"/>
  <c r="S22" i="2"/>
  <c r="O22" i="2"/>
  <c r="K22" i="2"/>
  <c r="I22" i="2"/>
  <c r="F22" i="2"/>
  <c r="B22" i="2"/>
  <c r="E22" i="2" s="1"/>
  <c r="T21" i="2"/>
  <c r="S21" i="2"/>
  <c r="O21" i="2"/>
  <c r="K21" i="2"/>
  <c r="I21" i="2"/>
  <c r="F21" i="2"/>
  <c r="B21" i="2"/>
  <c r="E21" i="2" s="1"/>
  <c r="T20" i="2"/>
  <c r="S20" i="2"/>
  <c r="O20" i="2"/>
  <c r="I20" i="2"/>
  <c r="K20" i="2" s="1"/>
  <c r="F20" i="2"/>
  <c r="B20" i="2"/>
  <c r="E20" i="2" s="1"/>
  <c r="T19" i="2"/>
  <c r="S19" i="2"/>
  <c r="O19" i="2"/>
  <c r="K19" i="2"/>
  <c r="I19" i="2"/>
  <c r="F19" i="2"/>
  <c r="B19" i="2"/>
  <c r="E19" i="2" s="1"/>
  <c r="T18" i="2"/>
  <c r="S18" i="2"/>
  <c r="O18" i="2"/>
  <c r="I18" i="2"/>
  <c r="K18" i="2" s="1"/>
  <c r="F18" i="2"/>
  <c r="B18" i="2"/>
  <c r="E18" i="2" s="1"/>
  <c r="T17" i="2"/>
  <c r="S17" i="2"/>
  <c r="O17" i="2"/>
  <c r="I17" i="2"/>
  <c r="F17" i="2"/>
  <c r="E17" i="2"/>
  <c r="B17" i="2"/>
  <c r="T16" i="2"/>
  <c r="S16" i="2"/>
  <c r="O16" i="2"/>
  <c r="I16" i="2"/>
  <c r="K16" i="2" s="1"/>
  <c r="F16" i="2"/>
  <c r="E16" i="2"/>
  <c r="B16" i="2"/>
  <c r="T15" i="2"/>
  <c r="S15" i="2"/>
  <c r="O15" i="2"/>
  <c r="I15" i="2"/>
  <c r="K15" i="2" s="1"/>
  <c r="F15" i="2"/>
  <c r="E15" i="2"/>
  <c r="B15" i="2"/>
  <c r="T14" i="2"/>
  <c r="S14" i="2"/>
  <c r="O14" i="2"/>
  <c r="K14" i="2"/>
  <c r="I14" i="2"/>
  <c r="F14" i="2"/>
  <c r="E14" i="2"/>
  <c r="B14" i="2"/>
  <c r="T13" i="2"/>
  <c r="S13" i="2"/>
  <c r="O13" i="2"/>
  <c r="I13" i="2"/>
  <c r="F13" i="2"/>
  <c r="E13" i="2"/>
  <c r="B13" i="2"/>
  <c r="T12" i="2"/>
  <c r="S12" i="2"/>
  <c r="O12" i="2"/>
  <c r="I12" i="2"/>
  <c r="K12" i="2" s="1"/>
  <c r="F12" i="2"/>
  <c r="E12" i="2"/>
  <c r="B12" i="2"/>
  <c r="T11" i="2"/>
  <c r="S11" i="2"/>
  <c r="O11" i="2"/>
  <c r="I11" i="2"/>
  <c r="K11" i="2" s="1"/>
  <c r="F11" i="2"/>
  <c r="B11" i="2"/>
  <c r="E11" i="2" s="1"/>
  <c r="T10" i="2"/>
  <c r="S10" i="2"/>
  <c r="O10" i="2"/>
  <c r="I10" i="2"/>
  <c r="F10" i="2"/>
  <c r="K10" i="2" s="1"/>
  <c r="B10" i="2"/>
  <c r="E10" i="2" s="1"/>
  <c r="T9" i="2"/>
  <c r="S9" i="2"/>
  <c r="O9" i="2"/>
  <c r="I9" i="2"/>
  <c r="F9" i="2"/>
  <c r="K9" i="2" s="1"/>
  <c r="E9" i="2"/>
  <c r="B9" i="2"/>
  <c r="T8" i="2"/>
  <c r="S8" i="2"/>
  <c r="O8" i="2"/>
  <c r="I8" i="2"/>
  <c r="F8" i="2"/>
  <c r="K8" i="2" s="1"/>
  <c r="E8" i="2"/>
  <c r="B8" i="2"/>
  <c r="T7" i="2"/>
  <c r="S7" i="2"/>
  <c r="O7" i="2"/>
  <c r="K7" i="2"/>
  <c r="I7" i="2"/>
  <c r="F7" i="2"/>
  <c r="B7" i="2"/>
  <c r="E7" i="2" s="1"/>
  <c r="T6" i="2"/>
  <c r="S6" i="2"/>
  <c r="O6" i="2"/>
  <c r="I6" i="2"/>
  <c r="K6" i="2" s="1"/>
  <c r="F6" i="2"/>
  <c r="B6" i="2"/>
  <c r="E6" i="2" s="1"/>
  <c r="T5" i="2"/>
  <c r="S5" i="2"/>
  <c r="O5" i="2"/>
  <c r="I5" i="2"/>
  <c r="K5" i="2" s="1"/>
  <c r="F5" i="2"/>
  <c r="B5" i="2"/>
  <c r="E5" i="2" s="1"/>
  <c r="T4" i="2"/>
  <c r="S4" i="2"/>
  <c r="O4" i="2"/>
  <c r="I4" i="2"/>
  <c r="K4" i="2" s="1"/>
  <c r="F4" i="2"/>
  <c r="E4" i="2"/>
  <c r="B4" i="2"/>
  <c r="T3" i="2"/>
  <c r="S3" i="2"/>
  <c r="O3" i="2"/>
  <c r="I3" i="2"/>
  <c r="F3" i="2"/>
  <c r="K3" i="2" s="1"/>
  <c r="E3" i="2"/>
  <c r="B3" i="2"/>
  <c r="T2" i="2"/>
  <c r="S2" i="2"/>
  <c r="O2" i="2"/>
  <c r="I2" i="2"/>
  <c r="F2" i="2"/>
  <c r="K2" i="2" s="1"/>
  <c r="E2" i="2"/>
  <c r="B2" i="2"/>
  <c r="O303" i="1"/>
  <c r="N303" i="1"/>
  <c r="H303" i="1"/>
  <c r="G303" i="1"/>
  <c r="F303" i="1"/>
  <c r="J303" i="1" s="1"/>
  <c r="M303" i="1" s="1"/>
  <c r="C303" i="1"/>
  <c r="O302" i="1"/>
  <c r="N302" i="1"/>
  <c r="G302" i="1"/>
  <c r="K302" i="1" s="1"/>
  <c r="P302" i="1" s="1"/>
  <c r="F302" i="1"/>
  <c r="J302" i="1" s="1"/>
  <c r="M302" i="1" s="1"/>
  <c r="C302" i="1"/>
  <c r="H302" i="1" s="1"/>
  <c r="O301" i="1"/>
  <c r="N301" i="1"/>
  <c r="K301" i="1"/>
  <c r="J301" i="1"/>
  <c r="M301" i="1" s="1"/>
  <c r="H301" i="1"/>
  <c r="G301" i="1"/>
  <c r="F301" i="1"/>
  <c r="C301" i="1"/>
  <c r="O300" i="1"/>
  <c r="N300" i="1"/>
  <c r="M300" i="1"/>
  <c r="H300" i="1"/>
  <c r="G300" i="1"/>
  <c r="F300" i="1"/>
  <c r="J300" i="1" s="1"/>
  <c r="C300" i="1"/>
  <c r="O299" i="1"/>
  <c r="N299" i="1"/>
  <c r="H299" i="1"/>
  <c r="G299" i="1"/>
  <c r="K299" i="1" s="1"/>
  <c r="F299" i="1"/>
  <c r="J299" i="1" s="1"/>
  <c r="M299" i="1" s="1"/>
  <c r="C299" i="1"/>
  <c r="O298" i="1"/>
  <c r="N298" i="1"/>
  <c r="M298" i="1"/>
  <c r="H298" i="1"/>
  <c r="G298" i="1"/>
  <c r="F298" i="1"/>
  <c r="J298" i="1" s="1"/>
  <c r="C298" i="1"/>
  <c r="O297" i="1"/>
  <c r="N297" i="1"/>
  <c r="H297" i="1"/>
  <c r="G297" i="1"/>
  <c r="F297" i="1"/>
  <c r="J297" i="1" s="1"/>
  <c r="M297" i="1" s="1"/>
  <c r="C297" i="1"/>
  <c r="O296" i="1"/>
  <c r="N296" i="1"/>
  <c r="M296" i="1"/>
  <c r="K296" i="1"/>
  <c r="P296" i="1" s="1"/>
  <c r="H296" i="1"/>
  <c r="G296" i="1"/>
  <c r="F296" i="1"/>
  <c r="J296" i="1" s="1"/>
  <c r="C296" i="1"/>
  <c r="O295" i="1"/>
  <c r="N295" i="1"/>
  <c r="J295" i="1"/>
  <c r="M295" i="1" s="1"/>
  <c r="H295" i="1"/>
  <c r="G295" i="1"/>
  <c r="F295" i="1"/>
  <c r="C295" i="1"/>
  <c r="O294" i="1"/>
  <c r="N294" i="1"/>
  <c r="H294" i="1"/>
  <c r="G294" i="1"/>
  <c r="K294" i="1" s="1"/>
  <c r="F294" i="1"/>
  <c r="J294" i="1" s="1"/>
  <c r="M294" i="1" s="1"/>
  <c r="C294" i="1"/>
  <c r="O293" i="1"/>
  <c r="N293" i="1"/>
  <c r="G293" i="1"/>
  <c r="F293" i="1"/>
  <c r="J293" i="1" s="1"/>
  <c r="M293" i="1" s="1"/>
  <c r="C293" i="1"/>
  <c r="H293" i="1" s="1"/>
  <c r="O292" i="1"/>
  <c r="N292" i="1"/>
  <c r="G292" i="1"/>
  <c r="F292" i="1"/>
  <c r="J292" i="1" s="1"/>
  <c r="M292" i="1" s="1"/>
  <c r="C292" i="1"/>
  <c r="H292" i="1" s="1"/>
  <c r="O291" i="1"/>
  <c r="N291" i="1"/>
  <c r="G291" i="1"/>
  <c r="F291" i="1"/>
  <c r="J291" i="1" s="1"/>
  <c r="M291" i="1" s="1"/>
  <c r="C291" i="1"/>
  <c r="H291" i="1" s="1"/>
  <c r="O290" i="1"/>
  <c r="N290" i="1"/>
  <c r="G290" i="1"/>
  <c r="F290" i="1"/>
  <c r="J290" i="1" s="1"/>
  <c r="M290" i="1" s="1"/>
  <c r="C290" i="1"/>
  <c r="H290" i="1" s="1"/>
  <c r="O289" i="1"/>
  <c r="N289" i="1"/>
  <c r="H289" i="1"/>
  <c r="G289" i="1"/>
  <c r="F289" i="1"/>
  <c r="J289" i="1" s="1"/>
  <c r="M289" i="1" s="1"/>
  <c r="C289" i="1"/>
  <c r="O288" i="1"/>
  <c r="N288" i="1"/>
  <c r="M288" i="1"/>
  <c r="G288" i="1"/>
  <c r="F288" i="1"/>
  <c r="J288" i="1" s="1"/>
  <c r="C288" i="1"/>
  <c r="H288" i="1" s="1"/>
  <c r="O287" i="1"/>
  <c r="N287" i="1"/>
  <c r="M287" i="1"/>
  <c r="H287" i="1"/>
  <c r="G287" i="1"/>
  <c r="F287" i="1"/>
  <c r="J287" i="1" s="1"/>
  <c r="C287" i="1"/>
  <c r="O286" i="1"/>
  <c r="N286" i="1"/>
  <c r="M286" i="1"/>
  <c r="H286" i="1"/>
  <c r="G286" i="1"/>
  <c r="F286" i="1"/>
  <c r="J286" i="1" s="1"/>
  <c r="C286" i="1"/>
  <c r="O285" i="1"/>
  <c r="N285" i="1"/>
  <c r="J285" i="1"/>
  <c r="M285" i="1" s="1"/>
  <c r="H285" i="1"/>
  <c r="G285" i="1"/>
  <c r="F285" i="1"/>
  <c r="C285" i="1"/>
  <c r="O284" i="1"/>
  <c r="N284" i="1"/>
  <c r="H284" i="1"/>
  <c r="G284" i="1"/>
  <c r="F284" i="1"/>
  <c r="J284" i="1" s="1"/>
  <c r="M284" i="1" s="1"/>
  <c r="C284" i="1"/>
  <c r="O283" i="1"/>
  <c r="N283" i="1"/>
  <c r="H283" i="1"/>
  <c r="G283" i="1"/>
  <c r="F283" i="1"/>
  <c r="J283" i="1" s="1"/>
  <c r="M283" i="1" s="1"/>
  <c r="C283" i="1"/>
  <c r="O282" i="1"/>
  <c r="N282" i="1"/>
  <c r="G282" i="1"/>
  <c r="F282" i="1"/>
  <c r="J282" i="1" s="1"/>
  <c r="M282" i="1" s="1"/>
  <c r="C282" i="1"/>
  <c r="H282" i="1" s="1"/>
  <c r="O281" i="1"/>
  <c r="N281" i="1"/>
  <c r="M281" i="1"/>
  <c r="K281" i="1"/>
  <c r="P281" i="1" s="1"/>
  <c r="J281" i="1"/>
  <c r="H281" i="1"/>
  <c r="G281" i="1"/>
  <c r="F281" i="1"/>
  <c r="C281" i="1"/>
  <c r="O280" i="1"/>
  <c r="N280" i="1"/>
  <c r="M280" i="1"/>
  <c r="H280" i="1"/>
  <c r="G280" i="1"/>
  <c r="F280" i="1"/>
  <c r="J280" i="1" s="1"/>
  <c r="C280" i="1"/>
  <c r="O279" i="1"/>
  <c r="N279" i="1"/>
  <c r="M279" i="1"/>
  <c r="J279" i="1"/>
  <c r="H279" i="1"/>
  <c r="G279" i="1"/>
  <c r="K279" i="1" s="1"/>
  <c r="P279" i="1" s="1"/>
  <c r="F279" i="1"/>
  <c r="C279" i="1"/>
  <c r="O278" i="1"/>
  <c r="N278" i="1"/>
  <c r="M278" i="1"/>
  <c r="H278" i="1"/>
  <c r="G278" i="1"/>
  <c r="F278" i="1"/>
  <c r="J278" i="1" s="1"/>
  <c r="C278" i="1"/>
  <c r="O277" i="1"/>
  <c r="N277" i="1"/>
  <c r="G277" i="1"/>
  <c r="K277" i="1" s="1"/>
  <c r="P277" i="1" s="1"/>
  <c r="F277" i="1"/>
  <c r="J277" i="1" s="1"/>
  <c r="M277" i="1" s="1"/>
  <c r="C277" i="1"/>
  <c r="H277" i="1" s="1"/>
  <c r="O276" i="1"/>
  <c r="N276" i="1"/>
  <c r="M276" i="1"/>
  <c r="K276" i="1"/>
  <c r="P276" i="1" s="1"/>
  <c r="H276" i="1"/>
  <c r="G276" i="1"/>
  <c r="F276" i="1"/>
  <c r="J276" i="1" s="1"/>
  <c r="C276" i="1"/>
  <c r="O275" i="1"/>
  <c r="N275" i="1"/>
  <c r="J275" i="1"/>
  <c r="M275" i="1" s="1"/>
  <c r="G275" i="1"/>
  <c r="F275" i="1"/>
  <c r="C275" i="1"/>
  <c r="H275" i="1" s="1"/>
  <c r="O274" i="1"/>
  <c r="N274" i="1"/>
  <c r="M274" i="1"/>
  <c r="H274" i="1"/>
  <c r="G274" i="1"/>
  <c r="K274" i="1" s="1"/>
  <c r="P274" i="1" s="1"/>
  <c r="F274" i="1"/>
  <c r="J274" i="1" s="1"/>
  <c r="C274" i="1"/>
  <c r="O273" i="1"/>
  <c r="N273" i="1"/>
  <c r="G273" i="1"/>
  <c r="F273" i="1"/>
  <c r="J273" i="1" s="1"/>
  <c r="M273" i="1" s="1"/>
  <c r="C273" i="1"/>
  <c r="H273" i="1" s="1"/>
  <c r="O272" i="1"/>
  <c r="N272" i="1"/>
  <c r="G272" i="1"/>
  <c r="F272" i="1"/>
  <c r="J272" i="1" s="1"/>
  <c r="M272" i="1" s="1"/>
  <c r="C272" i="1"/>
  <c r="H272" i="1" s="1"/>
  <c r="O271" i="1"/>
  <c r="N271" i="1"/>
  <c r="G271" i="1"/>
  <c r="F271" i="1"/>
  <c r="J271" i="1" s="1"/>
  <c r="M271" i="1" s="1"/>
  <c r="C271" i="1"/>
  <c r="H271" i="1" s="1"/>
  <c r="O270" i="1"/>
  <c r="N270" i="1"/>
  <c r="M270" i="1"/>
  <c r="G270" i="1"/>
  <c r="F270" i="1"/>
  <c r="J270" i="1" s="1"/>
  <c r="C270" i="1"/>
  <c r="H270" i="1" s="1"/>
  <c r="O269" i="1"/>
  <c r="N269" i="1"/>
  <c r="H269" i="1"/>
  <c r="G269" i="1"/>
  <c r="F269" i="1"/>
  <c r="J269" i="1" s="1"/>
  <c r="M269" i="1" s="1"/>
  <c r="C269" i="1"/>
  <c r="O268" i="1"/>
  <c r="N268" i="1"/>
  <c r="G268" i="1"/>
  <c r="F268" i="1"/>
  <c r="J268" i="1" s="1"/>
  <c r="M268" i="1" s="1"/>
  <c r="C268" i="1"/>
  <c r="H268" i="1" s="1"/>
  <c r="O267" i="1"/>
  <c r="N267" i="1"/>
  <c r="H267" i="1"/>
  <c r="G267" i="1"/>
  <c r="F267" i="1"/>
  <c r="J267" i="1" s="1"/>
  <c r="M267" i="1" s="1"/>
  <c r="C267" i="1"/>
  <c r="O266" i="1"/>
  <c r="N266" i="1"/>
  <c r="M266" i="1"/>
  <c r="H266" i="1"/>
  <c r="G266" i="1"/>
  <c r="F266" i="1"/>
  <c r="J266" i="1" s="1"/>
  <c r="C266" i="1"/>
  <c r="O265" i="1"/>
  <c r="N265" i="1"/>
  <c r="H265" i="1"/>
  <c r="G265" i="1"/>
  <c r="F265" i="1"/>
  <c r="J265" i="1" s="1"/>
  <c r="M265" i="1" s="1"/>
  <c r="C265" i="1"/>
  <c r="O264" i="1"/>
  <c r="N264" i="1"/>
  <c r="G264" i="1"/>
  <c r="F264" i="1"/>
  <c r="J264" i="1" s="1"/>
  <c r="M264" i="1" s="1"/>
  <c r="C264" i="1"/>
  <c r="H264" i="1" s="1"/>
  <c r="O263" i="1"/>
  <c r="N263" i="1"/>
  <c r="H263" i="1"/>
  <c r="G263" i="1"/>
  <c r="K263" i="1" s="1"/>
  <c r="F263" i="1"/>
  <c r="J263" i="1" s="1"/>
  <c r="M263" i="1" s="1"/>
  <c r="C263" i="1"/>
  <c r="O262" i="1"/>
  <c r="N262" i="1"/>
  <c r="M262" i="1"/>
  <c r="G262" i="1"/>
  <c r="F262" i="1"/>
  <c r="J262" i="1" s="1"/>
  <c r="C262" i="1"/>
  <c r="H262" i="1" s="1"/>
  <c r="O261" i="1"/>
  <c r="N261" i="1"/>
  <c r="G261" i="1"/>
  <c r="F261" i="1"/>
  <c r="J261" i="1" s="1"/>
  <c r="M261" i="1" s="1"/>
  <c r="C261" i="1"/>
  <c r="H261" i="1" s="1"/>
  <c r="O260" i="1"/>
  <c r="N260" i="1"/>
  <c r="M260" i="1"/>
  <c r="H260" i="1"/>
  <c r="G260" i="1"/>
  <c r="F260" i="1"/>
  <c r="J260" i="1" s="1"/>
  <c r="C260" i="1"/>
  <c r="O259" i="1"/>
  <c r="N259" i="1"/>
  <c r="M259" i="1"/>
  <c r="K259" i="1"/>
  <c r="P259" i="1" s="1"/>
  <c r="J259" i="1"/>
  <c r="H259" i="1"/>
  <c r="G259" i="1"/>
  <c r="F259" i="1"/>
  <c r="C259" i="1"/>
  <c r="O258" i="1"/>
  <c r="N258" i="1"/>
  <c r="H258" i="1"/>
  <c r="G258" i="1"/>
  <c r="F258" i="1"/>
  <c r="J258" i="1" s="1"/>
  <c r="M258" i="1" s="1"/>
  <c r="C258" i="1"/>
  <c r="O257" i="1"/>
  <c r="N257" i="1"/>
  <c r="G257" i="1"/>
  <c r="K257" i="1" s="1"/>
  <c r="F257" i="1"/>
  <c r="J257" i="1" s="1"/>
  <c r="M257" i="1" s="1"/>
  <c r="C257" i="1"/>
  <c r="H257" i="1" s="1"/>
  <c r="O256" i="1"/>
  <c r="N256" i="1"/>
  <c r="H256" i="1"/>
  <c r="G256" i="1"/>
  <c r="F256" i="1"/>
  <c r="J256" i="1" s="1"/>
  <c r="M256" i="1" s="1"/>
  <c r="C256" i="1"/>
  <c r="O255" i="1"/>
  <c r="N255" i="1"/>
  <c r="G255" i="1"/>
  <c r="F255" i="1"/>
  <c r="J255" i="1" s="1"/>
  <c r="M255" i="1" s="1"/>
  <c r="C255" i="1"/>
  <c r="H255" i="1" s="1"/>
  <c r="O254" i="1"/>
  <c r="N254" i="1"/>
  <c r="M254" i="1"/>
  <c r="K254" i="1"/>
  <c r="P254" i="1" s="1"/>
  <c r="H254" i="1"/>
  <c r="G254" i="1"/>
  <c r="F254" i="1"/>
  <c r="J254" i="1" s="1"/>
  <c r="C254" i="1"/>
  <c r="O253" i="1"/>
  <c r="N253" i="1"/>
  <c r="G253" i="1"/>
  <c r="F253" i="1"/>
  <c r="J253" i="1" s="1"/>
  <c r="M253" i="1" s="1"/>
  <c r="C253" i="1"/>
  <c r="H253" i="1" s="1"/>
  <c r="O252" i="1"/>
  <c r="N252" i="1"/>
  <c r="G252" i="1"/>
  <c r="K252" i="1" s="1"/>
  <c r="F252" i="1"/>
  <c r="J252" i="1" s="1"/>
  <c r="M252" i="1" s="1"/>
  <c r="C252" i="1"/>
  <c r="H252" i="1" s="1"/>
  <c r="O251" i="1"/>
  <c r="N251" i="1"/>
  <c r="G251" i="1"/>
  <c r="F251" i="1"/>
  <c r="J251" i="1" s="1"/>
  <c r="M251" i="1" s="1"/>
  <c r="C251" i="1"/>
  <c r="H251" i="1" s="1"/>
  <c r="O250" i="1"/>
  <c r="N250" i="1"/>
  <c r="H250" i="1"/>
  <c r="G250" i="1"/>
  <c r="F250" i="1"/>
  <c r="J250" i="1" s="1"/>
  <c r="M250" i="1" s="1"/>
  <c r="C250" i="1"/>
  <c r="O249" i="1"/>
  <c r="N249" i="1"/>
  <c r="K249" i="1"/>
  <c r="P249" i="1" s="1"/>
  <c r="H249" i="1"/>
  <c r="G249" i="1"/>
  <c r="F249" i="1"/>
  <c r="J249" i="1" s="1"/>
  <c r="M249" i="1" s="1"/>
  <c r="C249" i="1"/>
  <c r="O248" i="1"/>
  <c r="N248" i="1"/>
  <c r="G248" i="1"/>
  <c r="K248" i="1" s="1"/>
  <c r="P248" i="1" s="1"/>
  <c r="F248" i="1"/>
  <c r="J248" i="1" s="1"/>
  <c r="M248" i="1" s="1"/>
  <c r="C248" i="1"/>
  <c r="H248" i="1" s="1"/>
  <c r="O247" i="1"/>
  <c r="N247" i="1"/>
  <c r="H247" i="1"/>
  <c r="G247" i="1"/>
  <c r="F247" i="1"/>
  <c r="J247" i="1" s="1"/>
  <c r="M247" i="1" s="1"/>
  <c r="C247" i="1"/>
  <c r="O246" i="1"/>
  <c r="N246" i="1"/>
  <c r="G246" i="1"/>
  <c r="F246" i="1"/>
  <c r="J246" i="1" s="1"/>
  <c r="M246" i="1" s="1"/>
  <c r="C246" i="1"/>
  <c r="H246" i="1" s="1"/>
  <c r="O245" i="1"/>
  <c r="N245" i="1"/>
  <c r="H245" i="1"/>
  <c r="G245" i="1"/>
  <c r="F245" i="1"/>
  <c r="J245" i="1" s="1"/>
  <c r="M245" i="1" s="1"/>
  <c r="C245" i="1"/>
  <c r="O244" i="1"/>
  <c r="N244" i="1"/>
  <c r="H244" i="1"/>
  <c r="G244" i="1"/>
  <c r="F244" i="1"/>
  <c r="J244" i="1" s="1"/>
  <c r="M244" i="1" s="1"/>
  <c r="C244" i="1"/>
  <c r="O243" i="1"/>
  <c r="N243" i="1"/>
  <c r="J243" i="1"/>
  <c r="M243" i="1" s="1"/>
  <c r="H243" i="1"/>
  <c r="G243" i="1"/>
  <c r="K243" i="1" s="1"/>
  <c r="P243" i="1" s="1"/>
  <c r="F243" i="1"/>
  <c r="C243" i="1"/>
  <c r="O242" i="1"/>
  <c r="N242" i="1"/>
  <c r="G242" i="1"/>
  <c r="F242" i="1"/>
  <c r="J242" i="1" s="1"/>
  <c r="M242" i="1" s="1"/>
  <c r="C242" i="1"/>
  <c r="H242" i="1" s="1"/>
  <c r="O241" i="1"/>
  <c r="N241" i="1"/>
  <c r="G241" i="1"/>
  <c r="F241" i="1"/>
  <c r="J241" i="1" s="1"/>
  <c r="M241" i="1" s="1"/>
  <c r="C241" i="1"/>
  <c r="H241" i="1" s="1"/>
  <c r="O240" i="1"/>
  <c r="N240" i="1"/>
  <c r="M240" i="1"/>
  <c r="H240" i="1"/>
  <c r="G240" i="1"/>
  <c r="F240" i="1"/>
  <c r="J240" i="1" s="1"/>
  <c r="C240" i="1"/>
  <c r="O239" i="1"/>
  <c r="N239" i="1"/>
  <c r="G239" i="1"/>
  <c r="F239" i="1"/>
  <c r="J239" i="1" s="1"/>
  <c r="M239" i="1" s="1"/>
  <c r="C239" i="1"/>
  <c r="H239" i="1" s="1"/>
  <c r="O238" i="1"/>
  <c r="N238" i="1"/>
  <c r="M238" i="1"/>
  <c r="H238" i="1"/>
  <c r="G238" i="1"/>
  <c r="F238" i="1"/>
  <c r="J238" i="1" s="1"/>
  <c r="C238" i="1"/>
  <c r="O237" i="1"/>
  <c r="N237" i="1"/>
  <c r="J237" i="1"/>
  <c r="M237" i="1" s="1"/>
  <c r="H237" i="1"/>
  <c r="G237" i="1"/>
  <c r="K237" i="1" s="1"/>
  <c r="P237" i="1" s="1"/>
  <c r="F237" i="1"/>
  <c r="C237" i="1"/>
  <c r="O236" i="1"/>
  <c r="N236" i="1"/>
  <c r="H236" i="1"/>
  <c r="G236" i="1"/>
  <c r="F236" i="1"/>
  <c r="J236" i="1" s="1"/>
  <c r="M236" i="1" s="1"/>
  <c r="C236" i="1"/>
  <c r="O235" i="1"/>
  <c r="N235" i="1"/>
  <c r="K235" i="1"/>
  <c r="J235" i="1"/>
  <c r="M235" i="1" s="1"/>
  <c r="H235" i="1"/>
  <c r="G235" i="1"/>
  <c r="F235" i="1"/>
  <c r="C235" i="1"/>
  <c r="O234" i="1"/>
  <c r="N234" i="1"/>
  <c r="H234" i="1"/>
  <c r="G234" i="1"/>
  <c r="F234" i="1"/>
  <c r="J234" i="1" s="1"/>
  <c r="M234" i="1" s="1"/>
  <c r="C234" i="1"/>
  <c r="O233" i="1"/>
  <c r="N233" i="1"/>
  <c r="G233" i="1"/>
  <c r="F233" i="1"/>
  <c r="J233" i="1" s="1"/>
  <c r="M233" i="1" s="1"/>
  <c r="C233" i="1"/>
  <c r="H233" i="1" s="1"/>
  <c r="O232" i="1"/>
  <c r="N232" i="1"/>
  <c r="M232" i="1"/>
  <c r="H232" i="1"/>
  <c r="G232" i="1"/>
  <c r="K232" i="1" s="1"/>
  <c r="P232" i="1" s="1"/>
  <c r="F232" i="1"/>
  <c r="J232" i="1" s="1"/>
  <c r="C232" i="1"/>
  <c r="O231" i="1"/>
  <c r="N231" i="1"/>
  <c r="G231" i="1"/>
  <c r="F231" i="1"/>
  <c r="J231" i="1" s="1"/>
  <c r="M231" i="1" s="1"/>
  <c r="C231" i="1"/>
  <c r="H231" i="1" s="1"/>
  <c r="O230" i="1"/>
  <c r="N230" i="1"/>
  <c r="G230" i="1"/>
  <c r="F230" i="1"/>
  <c r="J230" i="1" s="1"/>
  <c r="M230" i="1" s="1"/>
  <c r="C230" i="1"/>
  <c r="H230" i="1" s="1"/>
  <c r="O229" i="1"/>
  <c r="N229" i="1"/>
  <c r="K229" i="1"/>
  <c r="P229" i="1" s="1"/>
  <c r="H229" i="1"/>
  <c r="G229" i="1"/>
  <c r="F229" i="1"/>
  <c r="J229" i="1" s="1"/>
  <c r="M229" i="1" s="1"/>
  <c r="C229" i="1"/>
  <c r="O228" i="1"/>
  <c r="N228" i="1"/>
  <c r="M228" i="1"/>
  <c r="G228" i="1"/>
  <c r="F228" i="1"/>
  <c r="J228" i="1" s="1"/>
  <c r="C228" i="1"/>
  <c r="H228" i="1" s="1"/>
  <c r="O227" i="1"/>
  <c r="N227" i="1"/>
  <c r="H227" i="1"/>
  <c r="G227" i="1"/>
  <c r="F227" i="1"/>
  <c r="J227" i="1" s="1"/>
  <c r="M227" i="1" s="1"/>
  <c r="C227" i="1"/>
  <c r="O226" i="1"/>
  <c r="N226" i="1"/>
  <c r="G226" i="1"/>
  <c r="K226" i="1" s="1"/>
  <c r="F226" i="1"/>
  <c r="J226" i="1" s="1"/>
  <c r="M226" i="1" s="1"/>
  <c r="C226" i="1"/>
  <c r="H226" i="1" s="1"/>
  <c r="R225" i="1"/>
  <c r="O225" i="1"/>
  <c r="N225" i="1"/>
  <c r="J225" i="1"/>
  <c r="M225" i="1" s="1"/>
  <c r="H225" i="1"/>
  <c r="G225" i="1"/>
  <c r="F225" i="1"/>
  <c r="C225" i="1"/>
  <c r="O224" i="1"/>
  <c r="N224" i="1"/>
  <c r="G224" i="1"/>
  <c r="F224" i="1"/>
  <c r="J224" i="1" s="1"/>
  <c r="M224" i="1" s="1"/>
  <c r="C224" i="1"/>
  <c r="H224" i="1" s="1"/>
  <c r="O223" i="1"/>
  <c r="N223" i="1"/>
  <c r="K223" i="1"/>
  <c r="J223" i="1"/>
  <c r="M223" i="1" s="1"/>
  <c r="H223" i="1"/>
  <c r="G223" i="1"/>
  <c r="F223" i="1"/>
  <c r="C223" i="1"/>
  <c r="O222" i="1"/>
  <c r="N222" i="1"/>
  <c r="G222" i="1"/>
  <c r="F222" i="1"/>
  <c r="J222" i="1" s="1"/>
  <c r="M222" i="1" s="1"/>
  <c r="C222" i="1"/>
  <c r="H222" i="1" s="1"/>
  <c r="O221" i="1"/>
  <c r="N221" i="1"/>
  <c r="J221" i="1"/>
  <c r="M221" i="1" s="1"/>
  <c r="H221" i="1"/>
  <c r="G221" i="1"/>
  <c r="F221" i="1"/>
  <c r="C221" i="1"/>
  <c r="O220" i="1"/>
  <c r="N220" i="1"/>
  <c r="G220" i="1"/>
  <c r="F220" i="1"/>
  <c r="J220" i="1" s="1"/>
  <c r="M220" i="1" s="1"/>
  <c r="C220" i="1"/>
  <c r="H220" i="1" s="1"/>
  <c r="O219" i="1"/>
  <c r="N219" i="1"/>
  <c r="H219" i="1"/>
  <c r="G219" i="1"/>
  <c r="F219" i="1"/>
  <c r="J219" i="1" s="1"/>
  <c r="M219" i="1" s="1"/>
  <c r="C219" i="1"/>
  <c r="O218" i="1"/>
  <c r="N218" i="1"/>
  <c r="G218" i="1"/>
  <c r="F218" i="1"/>
  <c r="J218" i="1" s="1"/>
  <c r="M218" i="1" s="1"/>
  <c r="C218" i="1"/>
  <c r="H218" i="1" s="1"/>
  <c r="O217" i="1"/>
  <c r="N217" i="1"/>
  <c r="H217" i="1"/>
  <c r="G217" i="1"/>
  <c r="F217" i="1"/>
  <c r="J217" i="1" s="1"/>
  <c r="M217" i="1" s="1"/>
  <c r="C217" i="1"/>
  <c r="O216" i="1"/>
  <c r="N216" i="1"/>
  <c r="J216" i="1"/>
  <c r="M216" i="1" s="1"/>
  <c r="G216" i="1"/>
  <c r="F216" i="1"/>
  <c r="C216" i="1"/>
  <c r="H216" i="1" s="1"/>
  <c r="O215" i="1"/>
  <c r="N215" i="1"/>
  <c r="J215" i="1"/>
  <c r="M215" i="1" s="1"/>
  <c r="H215" i="1"/>
  <c r="G215" i="1"/>
  <c r="F215" i="1"/>
  <c r="C215" i="1"/>
  <c r="O214" i="1"/>
  <c r="N214" i="1"/>
  <c r="J214" i="1"/>
  <c r="M214" i="1" s="1"/>
  <c r="H214" i="1"/>
  <c r="G214" i="1"/>
  <c r="F214" i="1"/>
  <c r="C214" i="1"/>
  <c r="O213" i="1"/>
  <c r="N213" i="1"/>
  <c r="H213" i="1"/>
  <c r="G213" i="1"/>
  <c r="F213" i="1"/>
  <c r="J213" i="1" s="1"/>
  <c r="M213" i="1" s="1"/>
  <c r="C213" i="1"/>
  <c r="O212" i="1"/>
  <c r="N212" i="1"/>
  <c r="J212" i="1"/>
  <c r="M212" i="1" s="1"/>
  <c r="H212" i="1"/>
  <c r="G212" i="1"/>
  <c r="K212" i="1" s="1"/>
  <c r="P212" i="1" s="1"/>
  <c r="F212" i="1"/>
  <c r="C212" i="1"/>
  <c r="O211" i="1"/>
  <c r="N211" i="1"/>
  <c r="K211" i="1"/>
  <c r="J211" i="1"/>
  <c r="M211" i="1" s="1"/>
  <c r="H211" i="1"/>
  <c r="G211" i="1"/>
  <c r="F211" i="1"/>
  <c r="C211" i="1"/>
  <c r="O210" i="1"/>
  <c r="N210" i="1"/>
  <c r="H210" i="1"/>
  <c r="G210" i="1"/>
  <c r="F210" i="1"/>
  <c r="J210" i="1" s="1"/>
  <c r="M210" i="1" s="1"/>
  <c r="C210" i="1"/>
  <c r="O209" i="1"/>
  <c r="N209" i="1"/>
  <c r="H209" i="1"/>
  <c r="G209" i="1"/>
  <c r="F209" i="1"/>
  <c r="J209" i="1" s="1"/>
  <c r="M209" i="1" s="1"/>
  <c r="C209" i="1"/>
  <c r="O208" i="1"/>
  <c r="N208" i="1"/>
  <c r="J208" i="1"/>
  <c r="M208" i="1" s="1"/>
  <c r="H208" i="1"/>
  <c r="G208" i="1"/>
  <c r="K208" i="1" s="1"/>
  <c r="P208" i="1" s="1"/>
  <c r="F208" i="1"/>
  <c r="C208" i="1"/>
  <c r="O207" i="1"/>
  <c r="N207" i="1"/>
  <c r="H207" i="1"/>
  <c r="G207" i="1"/>
  <c r="F207" i="1"/>
  <c r="J207" i="1" s="1"/>
  <c r="M207" i="1" s="1"/>
  <c r="C207" i="1"/>
  <c r="O206" i="1"/>
  <c r="N206" i="1"/>
  <c r="G206" i="1"/>
  <c r="K206" i="1" s="1"/>
  <c r="F206" i="1"/>
  <c r="J206" i="1" s="1"/>
  <c r="M206" i="1" s="1"/>
  <c r="C206" i="1"/>
  <c r="H206" i="1" s="1"/>
  <c r="O205" i="1"/>
  <c r="N205" i="1"/>
  <c r="H205" i="1"/>
  <c r="G205" i="1"/>
  <c r="F205" i="1"/>
  <c r="J205" i="1" s="1"/>
  <c r="M205" i="1" s="1"/>
  <c r="C205" i="1"/>
  <c r="O204" i="1"/>
  <c r="N204" i="1"/>
  <c r="G204" i="1"/>
  <c r="K204" i="1" s="1"/>
  <c r="F204" i="1"/>
  <c r="J204" i="1" s="1"/>
  <c r="M204" i="1" s="1"/>
  <c r="C204" i="1"/>
  <c r="H204" i="1" s="1"/>
  <c r="O203" i="1"/>
  <c r="N203" i="1"/>
  <c r="H203" i="1"/>
  <c r="G203" i="1"/>
  <c r="F203" i="1"/>
  <c r="J203" i="1" s="1"/>
  <c r="M203" i="1" s="1"/>
  <c r="C203" i="1"/>
  <c r="O202" i="1"/>
  <c r="N202" i="1"/>
  <c r="G202" i="1"/>
  <c r="F202" i="1"/>
  <c r="J202" i="1" s="1"/>
  <c r="M202" i="1" s="1"/>
  <c r="C202" i="1"/>
  <c r="H202" i="1" s="1"/>
  <c r="O201" i="1"/>
  <c r="N201" i="1"/>
  <c r="J201" i="1"/>
  <c r="M201" i="1" s="1"/>
  <c r="H201" i="1"/>
  <c r="G201" i="1"/>
  <c r="F201" i="1"/>
  <c r="C201" i="1"/>
  <c r="O200" i="1"/>
  <c r="N200" i="1"/>
  <c r="J200" i="1"/>
  <c r="M200" i="1" s="1"/>
  <c r="H200" i="1"/>
  <c r="G200" i="1"/>
  <c r="F200" i="1"/>
  <c r="C200" i="1"/>
  <c r="O199" i="1"/>
  <c r="N199" i="1"/>
  <c r="H199" i="1"/>
  <c r="G199" i="1"/>
  <c r="F199" i="1"/>
  <c r="J199" i="1" s="1"/>
  <c r="M199" i="1" s="1"/>
  <c r="C199" i="1"/>
  <c r="O198" i="1"/>
  <c r="N198" i="1"/>
  <c r="G198" i="1"/>
  <c r="K198" i="1" s="1"/>
  <c r="P198" i="1" s="1"/>
  <c r="F198" i="1"/>
  <c r="J198" i="1" s="1"/>
  <c r="M198" i="1" s="1"/>
  <c r="C198" i="1"/>
  <c r="H198" i="1" s="1"/>
  <c r="O197" i="1"/>
  <c r="N197" i="1"/>
  <c r="H197" i="1"/>
  <c r="G197" i="1"/>
  <c r="F197" i="1"/>
  <c r="J197" i="1" s="1"/>
  <c r="M197" i="1" s="1"/>
  <c r="C197" i="1"/>
  <c r="O196" i="1"/>
  <c r="N196" i="1"/>
  <c r="G196" i="1"/>
  <c r="F196" i="1"/>
  <c r="J196" i="1" s="1"/>
  <c r="M196" i="1" s="1"/>
  <c r="C196" i="1"/>
  <c r="H196" i="1" s="1"/>
  <c r="O195" i="1"/>
  <c r="N195" i="1"/>
  <c r="K195" i="1"/>
  <c r="J195" i="1"/>
  <c r="M195" i="1" s="1"/>
  <c r="H195" i="1"/>
  <c r="G195" i="1"/>
  <c r="F195" i="1"/>
  <c r="C195" i="1"/>
  <c r="O194" i="1"/>
  <c r="N194" i="1"/>
  <c r="G194" i="1"/>
  <c r="F194" i="1"/>
  <c r="J194" i="1" s="1"/>
  <c r="M194" i="1" s="1"/>
  <c r="C194" i="1"/>
  <c r="H194" i="1" s="1"/>
  <c r="O193" i="1"/>
  <c r="N193" i="1"/>
  <c r="M193" i="1"/>
  <c r="J193" i="1"/>
  <c r="H193" i="1"/>
  <c r="G193" i="1"/>
  <c r="F193" i="1"/>
  <c r="C193" i="1"/>
  <c r="O192" i="1"/>
  <c r="N192" i="1"/>
  <c r="J192" i="1"/>
  <c r="M192" i="1" s="1"/>
  <c r="G192" i="1"/>
  <c r="K192" i="1" s="1"/>
  <c r="P192" i="1" s="1"/>
  <c r="F192" i="1"/>
  <c r="C192" i="1"/>
  <c r="H192" i="1" s="1"/>
  <c r="O191" i="1"/>
  <c r="N191" i="1"/>
  <c r="J191" i="1"/>
  <c r="M191" i="1" s="1"/>
  <c r="H191" i="1"/>
  <c r="G191" i="1"/>
  <c r="F191" i="1"/>
  <c r="C191" i="1"/>
  <c r="O190" i="1"/>
  <c r="N190" i="1"/>
  <c r="H190" i="1"/>
  <c r="G190" i="1"/>
  <c r="F190" i="1"/>
  <c r="J190" i="1" s="1"/>
  <c r="M190" i="1" s="1"/>
  <c r="C190" i="1"/>
  <c r="O189" i="1"/>
  <c r="N189" i="1"/>
  <c r="J189" i="1"/>
  <c r="M189" i="1" s="1"/>
  <c r="H189" i="1"/>
  <c r="G189" i="1"/>
  <c r="F189" i="1"/>
  <c r="C189" i="1"/>
  <c r="O188" i="1"/>
  <c r="N188" i="1"/>
  <c r="H188" i="1"/>
  <c r="G188" i="1"/>
  <c r="F188" i="1"/>
  <c r="J188" i="1" s="1"/>
  <c r="M188" i="1" s="1"/>
  <c r="C188" i="1"/>
  <c r="O187" i="1"/>
  <c r="N187" i="1"/>
  <c r="J187" i="1"/>
  <c r="M187" i="1" s="1"/>
  <c r="H187" i="1"/>
  <c r="G187" i="1"/>
  <c r="F187" i="1"/>
  <c r="C187" i="1"/>
  <c r="O186" i="1"/>
  <c r="N186" i="1"/>
  <c r="G186" i="1"/>
  <c r="K186" i="1" s="1"/>
  <c r="F186" i="1"/>
  <c r="J186" i="1" s="1"/>
  <c r="M186" i="1" s="1"/>
  <c r="C186" i="1"/>
  <c r="H186" i="1" s="1"/>
  <c r="O185" i="1"/>
  <c r="N185" i="1"/>
  <c r="H185" i="1"/>
  <c r="G185" i="1"/>
  <c r="F185" i="1"/>
  <c r="J185" i="1" s="1"/>
  <c r="M185" i="1" s="1"/>
  <c r="C185" i="1"/>
  <c r="O184" i="1"/>
  <c r="N184" i="1"/>
  <c r="G184" i="1"/>
  <c r="F184" i="1"/>
  <c r="J184" i="1" s="1"/>
  <c r="M184" i="1" s="1"/>
  <c r="C184" i="1"/>
  <c r="H184" i="1" s="1"/>
  <c r="O183" i="1"/>
  <c r="N183" i="1"/>
  <c r="K183" i="1"/>
  <c r="J183" i="1"/>
  <c r="M183" i="1" s="1"/>
  <c r="H183" i="1"/>
  <c r="G183" i="1"/>
  <c r="F183" i="1"/>
  <c r="C183" i="1"/>
  <c r="O182" i="1"/>
  <c r="N182" i="1"/>
  <c r="J182" i="1"/>
  <c r="M182" i="1" s="1"/>
  <c r="G182" i="1"/>
  <c r="F182" i="1"/>
  <c r="C182" i="1"/>
  <c r="H182" i="1" s="1"/>
  <c r="O181" i="1"/>
  <c r="N181" i="1"/>
  <c r="K181" i="1"/>
  <c r="H181" i="1"/>
  <c r="G181" i="1"/>
  <c r="F181" i="1"/>
  <c r="J181" i="1" s="1"/>
  <c r="M181" i="1" s="1"/>
  <c r="C181" i="1"/>
  <c r="O180" i="1"/>
  <c r="N180" i="1"/>
  <c r="H180" i="1"/>
  <c r="G180" i="1"/>
  <c r="F180" i="1"/>
  <c r="J180" i="1" s="1"/>
  <c r="M180" i="1" s="1"/>
  <c r="C180" i="1"/>
  <c r="O179" i="1"/>
  <c r="N179" i="1"/>
  <c r="J179" i="1"/>
  <c r="M179" i="1" s="1"/>
  <c r="H179" i="1"/>
  <c r="G179" i="1"/>
  <c r="F179" i="1"/>
  <c r="C179" i="1"/>
  <c r="O178" i="1"/>
  <c r="N178" i="1"/>
  <c r="K178" i="1"/>
  <c r="P178" i="1" s="1"/>
  <c r="G178" i="1"/>
  <c r="F178" i="1"/>
  <c r="J178" i="1" s="1"/>
  <c r="M178" i="1" s="1"/>
  <c r="C178" i="1"/>
  <c r="H178" i="1" s="1"/>
  <c r="O177" i="1"/>
  <c r="N177" i="1"/>
  <c r="H177" i="1"/>
  <c r="G177" i="1"/>
  <c r="F177" i="1"/>
  <c r="J177" i="1" s="1"/>
  <c r="M177" i="1" s="1"/>
  <c r="C177" i="1"/>
  <c r="O176" i="1"/>
  <c r="N176" i="1"/>
  <c r="J176" i="1"/>
  <c r="M176" i="1" s="1"/>
  <c r="G176" i="1"/>
  <c r="F176" i="1"/>
  <c r="C176" i="1"/>
  <c r="H176" i="1" s="1"/>
  <c r="O175" i="1"/>
  <c r="N175" i="1"/>
  <c r="J175" i="1"/>
  <c r="M175" i="1" s="1"/>
  <c r="H175" i="1"/>
  <c r="G175" i="1"/>
  <c r="F175" i="1"/>
  <c r="C175" i="1"/>
  <c r="O174" i="1"/>
  <c r="N174" i="1"/>
  <c r="J174" i="1"/>
  <c r="M174" i="1" s="1"/>
  <c r="H174" i="1"/>
  <c r="G174" i="1"/>
  <c r="F174" i="1"/>
  <c r="C174" i="1"/>
  <c r="O173" i="1"/>
  <c r="N173" i="1"/>
  <c r="H173" i="1"/>
  <c r="G173" i="1"/>
  <c r="F173" i="1"/>
  <c r="J173" i="1" s="1"/>
  <c r="M173" i="1" s="1"/>
  <c r="C173" i="1"/>
  <c r="O172" i="1"/>
  <c r="N172" i="1"/>
  <c r="J172" i="1"/>
  <c r="M172" i="1" s="1"/>
  <c r="H172" i="1"/>
  <c r="G172" i="1"/>
  <c r="K172" i="1" s="1"/>
  <c r="P172" i="1" s="1"/>
  <c r="F172" i="1"/>
  <c r="C172" i="1"/>
  <c r="O171" i="1"/>
  <c r="N171" i="1"/>
  <c r="J171" i="1"/>
  <c r="M171" i="1" s="1"/>
  <c r="H171" i="1"/>
  <c r="G171" i="1"/>
  <c r="F171" i="1"/>
  <c r="C171" i="1"/>
  <c r="O170" i="1"/>
  <c r="N170" i="1"/>
  <c r="K170" i="1"/>
  <c r="P170" i="1" s="1"/>
  <c r="H170" i="1"/>
  <c r="G170" i="1"/>
  <c r="F170" i="1"/>
  <c r="J170" i="1" s="1"/>
  <c r="M170" i="1" s="1"/>
  <c r="C170" i="1"/>
  <c r="O169" i="1"/>
  <c r="N169" i="1"/>
  <c r="H169" i="1"/>
  <c r="G169" i="1"/>
  <c r="F169" i="1"/>
  <c r="J169" i="1" s="1"/>
  <c r="M169" i="1" s="1"/>
  <c r="C169" i="1"/>
  <c r="O168" i="1"/>
  <c r="N168" i="1"/>
  <c r="H168" i="1"/>
  <c r="G168" i="1"/>
  <c r="K168" i="1" s="1"/>
  <c r="F168" i="1"/>
  <c r="J168" i="1" s="1"/>
  <c r="M168" i="1" s="1"/>
  <c r="C168" i="1"/>
  <c r="O167" i="1"/>
  <c r="N167" i="1"/>
  <c r="H167" i="1"/>
  <c r="G167" i="1"/>
  <c r="F167" i="1"/>
  <c r="J167" i="1" s="1"/>
  <c r="M167" i="1" s="1"/>
  <c r="C167" i="1"/>
  <c r="O166" i="1"/>
  <c r="N166" i="1"/>
  <c r="J166" i="1"/>
  <c r="M166" i="1" s="1"/>
  <c r="G166" i="1"/>
  <c r="F166" i="1"/>
  <c r="C166" i="1"/>
  <c r="H166" i="1" s="1"/>
  <c r="O165" i="1"/>
  <c r="N165" i="1"/>
  <c r="H165" i="1"/>
  <c r="G165" i="1"/>
  <c r="F165" i="1"/>
  <c r="J165" i="1" s="1"/>
  <c r="M165" i="1" s="1"/>
  <c r="C165" i="1"/>
  <c r="O164" i="1"/>
  <c r="N164" i="1"/>
  <c r="G164" i="1"/>
  <c r="F164" i="1"/>
  <c r="J164" i="1" s="1"/>
  <c r="M164" i="1" s="1"/>
  <c r="C164" i="1"/>
  <c r="H164" i="1" s="1"/>
  <c r="O163" i="1"/>
  <c r="N163" i="1"/>
  <c r="H163" i="1"/>
  <c r="G163" i="1"/>
  <c r="F163" i="1"/>
  <c r="J163" i="1" s="1"/>
  <c r="M163" i="1" s="1"/>
  <c r="C163" i="1"/>
  <c r="O162" i="1"/>
  <c r="N162" i="1"/>
  <c r="G162" i="1"/>
  <c r="F162" i="1"/>
  <c r="J162" i="1" s="1"/>
  <c r="M162" i="1" s="1"/>
  <c r="C162" i="1"/>
  <c r="H162" i="1" s="1"/>
  <c r="O161" i="1"/>
  <c r="N161" i="1"/>
  <c r="J161" i="1"/>
  <c r="M161" i="1" s="1"/>
  <c r="H161" i="1"/>
  <c r="G161" i="1"/>
  <c r="F161" i="1"/>
  <c r="C161" i="1"/>
  <c r="O160" i="1"/>
  <c r="N160" i="1"/>
  <c r="J160" i="1"/>
  <c r="M160" i="1" s="1"/>
  <c r="H160" i="1"/>
  <c r="G160" i="1"/>
  <c r="F160" i="1"/>
  <c r="C160" i="1"/>
  <c r="O159" i="1"/>
  <c r="N159" i="1"/>
  <c r="M159" i="1"/>
  <c r="H159" i="1"/>
  <c r="G159" i="1"/>
  <c r="F159" i="1"/>
  <c r="J159" i="1" s="1"/>
  <c r="C159" i="1"/>
  <c r="O158" i="1"/>
  <c r="N158" i="1"/>
  <c r="H158" i="1"/>
  <c r="G158" i="1"/>
  <c r="K158" i="1" s="1"/>
  <c r="P158" i="1" s="1"/>
  <c r="F158" i="1"/>
  <c r="J158" i="1" s="1"/>
  <c r="M158" i="1" s="1"/>
  <c r="C158" i="1"/>
  <c r="O157" i="1"/>
  <c r="N157" i="1"/>
  <c r="H157" i="1"/>
  <c r="G157" i="1"/>
  <c r="F157" i="1"/>
  <c r="J157" i="1" s="1"/>
  <c r="M157" i="1" s="1"/>
  <c r="C157" i="1"/>
  <c r="O156" i="1"/>
  <c r="N156" i="1"/>
  <c r="G156" i="1"/>
  <c r="K156" i="1" s="1"/>
  <c r="F156" i="1"/>
  <c r="J156" i="1" s="1"/>
  <c r="M156" i="1" s="1"/>
  <c r="C156" i="1"/>
  <c r="H156" i="1" s="1"/>
  <c r="O155" i="1"/>
  <c r="N155" i="1"/>
  <c r="K155" i="1"/>
  <c r="J155" i="1"/>
  <c r="M155" i="1" s="1"/>
  <c r="H155" i="1"/>
  <c r="G155" i="1"/>
  <c r="F155" i="1"/>
  <c r="C155" i="1"/>
  <c r="O154" i="1"/>
  <c r="N154" i="1"/>
  <c r="H154" i="1"/>
  <c r="G154" i="1"/>
  <c r="F154" i="1"/>
  <c r="J154" i="1" s="1"/>
  <c r="M154" i="1" s="1"/>
  <c r="C154" i="1"/>
  <c r="O153" i="1"/>
  <c r="N153" i="1"/>
  <c r="K153" i="1"/>
  <c r="J153" i="1"/>
  <c r="M153" i="1" s="1"/>
  <c r="H153" i="1"/>
  <c r="G153" i="1"/>
  <c r="F153" i="1"/>
  <c r="C153" i="1"/>
  <c r="O152" i="1"/>
  <c r="N152" i="1"/>
  <c r="J152" i="1"/>
  <c r="M152" i="1" s="1"/>
  <c r="G152" i="1"/>
  <c r="F152" i="1"/>
  <c r="C152" i="1"/>
  <c r="H152" i="1" s="1"/>
  <c r="O151" i="1"/>
  <c r="N151" i="1"/>
  <c r="J151" i="1"/>
  <c r="M151" i="1" s="1"/>
  <c r="H151" i="1"/>
  <c r="G151" i="1"/>
  <c r="F151" i="1"/>
  <c r="C151" i="1"/>
  <c r="O150" i="1"/>
  <c r="N150" i="1"/>
  <c r="G150" i="1"/>
  <c r="F150" i="1"/>
  <c r="J150" i="1" s="1"/>
  <c r="M150" i="1" s="1"/>
  <c r="C150" i="1"/>
  <c r="H150" i="1" s="1"/>
  <c r="O149" i="1"/>
  <c r="N149" i="1"/>
  <c r="J149" i="1"/>
  <c r="M149" i="1" s="1"/>
  <c r="H149" i="1"/>
  <c r="G149" i="1"/>
  <c r="F149" i="1"/>
  <c r="C149" i="1"/>
  <c r="O148" i="1"/>
  <c r="N148" i="1"/>
  <c r="H148" i="1"/>
  <c r="G148" i="1"/>
  <c r="K148" i="1" s="1"/>
  <c r="P148" i="1" s="1"/>
  <c r="F148" i="1"/>
  <c r="J148" i="1" s="1"/>
  <c r="M148" i="1" s="1"/>
  <c r="C148" i="1"/>
  <c r="O147" i="1"/>
  <c r="N147" i="1"/>
  <c r="H147" i="1"/>
  <c r="G147" i="1"/>
  <c r="F147" i="1"/>
  <c r="J147" i="1" s="1"/>
  <c r="M147" i="1" s="1"/>
  <c r="C147" i="1"/>
  <c r="O146" i="1"/>
  <c r="N146" i="1"/>
  <c r="G146" i="1"/>
  <c r="F146" i="1"/>
  <c r="J146" i="1" s="1"/>
  <c r="M146" i="1" s="1"/>
  <c r="C146" i="1"/>
  <c r="H146" i="1" s="1"/>
  <c r="O145" i="1"/>
  <c r="N145" i="1"/>
  <c r="H145" i="1"/>
  <c r="G145" i="1"/>
  <c r="F145" i="1"/>
  <c r="J145" i="1" s="1"/>
  <c r="M145" i="1" s="1"/>
  <c r="C145" i="1"/>
  <c r="O144" i="1"/>
  <c r="N144" i="1"/>
  <c r="J144" i="1"/>
  <c r="M144" i="1" s="1"/>
  <c r="H144" i="1"/>
  <c r="G144" i="1"/>
  <c r="F144" i="1"/>
  <c r="C144" i="1"/>
  <c r="O143" i="1"/>
  <c r="N143" i="1"/>
  <c r="H143" i="1"/>
  <c r="G143" i="1"/>
  <c r="F143" i="1"/>
  <c r="J143" i="1" s="1"/>
  <c r="M143" i="1" s="1"/>
  <c r="C143" i="1"/>
  <c r="O142" i="1"/>
  <c r="N142" i="1"/>
  <c r="J142" i="1"/>
  <c r="M142" i="1" s="1"/>
  <c r="G142" i="1"/>
  <c r="K142" i="1" s="1"/>
  <c r="P142" i="1" s="1"/>
  <c r="F142" i="1"/>
  <c r="C142" i="1"/>
  <c r="H142" i="1" s="1"/>
  <c r="O141" i="1"/>
  <c r="N141" i="1"/>
  <c r="H141" i="1"/>
  <c r="G141" i="1"/>
  <c r="F141" i="1"/>
  <c r="J141" i="1" s="1"/>
  <c r="M141" i="1" s="1"/>
  <c r="C141" i="1"/>
  <c r="O140" i="1"/>
  <c r="N140" i="1"/>
  <c r="H140" i="1"/>
  <c r="G140" i="1"/>
  <c r="F140" i="1"/>
  <c r="J140" i="1" s="1"/>
  <c r="M140" i="1" s="1"/>
  <c r="C140" i="1"/>
  <c r="W139" i="1"/>
  <c r="O139" i="1"/>
  <c r="N139" i="1"/>
  <c r="J139" i="1"/>
  <c r="M139" i="1" s="1"/>
  <c r="G139" i="1"/>
  <c r="K139" i="1" s="1"/>
  <c r="P139" i="1" s="1"/>
  <c r="F139" i="1"/>
  <c r="C139" i="1"/>
  <c r="H139" i="1" s="1"/>
  <c r="W138" i="1"/>
  <c r="O138" i="1"/>
  <c r="N138" i="1"/>
  <c r="J138" i="1"/>
  <c r="M138" i="1" s="1"/>
  <c r="H138" i="1"/>
  <c r="G138" i="1"/>
  <c r="F138" i="1"/>
  <c r="C138" i="1"/>
  <c r="W137" i="1"/>
  <c r="O137" i="1"/>
  <c r="N137" i="1"/>
  <c r="G137" i="1"/>
  <c r="F137" i="1"/>
  <c r="J137" i="1" s="1"/>
  <c r="M137" i="1" s="1"/>
  <c r="C137" i="1"/>
  <c r="H137" i="1" s="1"/>
  <c r="W136" i="1"/>
  <c r="O136" i="1"/>
  <c r="N136" i="1"/>
  <c r="M136" i="1"/>
  <c r="H136" i="1"/>
  <c r="G136" i="1"/>
  <c r="F136" i="1"/>
  <c r="J136" i="1" s="1"/>
  <c r="C136" i="1"/>
  <c r="W135" i="1"/>
  <c r="O135" i="1"/>
  <c r="N135" i="1"/>
  <c r="J135" i="1"/>
  <c r="M135" i="1" s="1"/>
  <c r="G135" i="1"/>
  <c r="K135" i="1" s="1"/>
  <c r="P135" i="1" s="1"/>
  <c r="F135" i="1"/>
  <c r="C135" i="1"/>
  <c r="H135" i="1" s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J133" i="1"/>
  <c r="M133" i="1" s="1"/>
  <c r="G133" i="1"/>
  <c r="F133" i="1"/>
  <c r="C133" i="1"/>
  <c r="H133" i="1" s="1"/>
  <c r="W132" i="1"/>
  <c r="O132" i="1"/>
  <c r="N132" i="1"/>
  <c r="M132" i="1"/>
  <c r="K132" i="1"/>
  <c r="P132" i="1" s="1"/>
  <c r="G132" i="1"/>
  <c r="F132" i="1"/>
  <c r="J132" i="1" s="1"/>
  <c r="C132" i="1"/>
  <c r="H132" i="1" s="1"/>
  <c r="W131" i="1"/>
  <c r="O131" i="1"/>
  <c r="N131" i="1"/>
  <c r="G131" i="1"/>
  <c r="F131" i="1"/>
  <c r="J131" i="1" s="1"/>
  <c r="M131" i="1" s="1"/>
  <c r="C131" i="1"/>
  <c r="H131" i="1" s="1"/>
  <c r="W130" i="1"/>
  <c r="O130" i="1"/>
  <c r="N130" i="1"/>
  <c r="J130" i="1"/>
  <c r="M130" i="1" s="1"/>
  <c r="H130" i="1"/>
  <c r="G130" i="1"/>
  <c r="F130" i="1"/>
  <c r="C130" i="1"/>
  <c r="W129" i="1"/>
  <c r="O129" i="1"/>
  <c r="N129" i="1"/>
  <c r="G129" i="1"/>
  <c r="K129" i="1" s="1"/>
  <c r="P129" i="1" s="1"/>
  <c r="F129" i="1"/>
  <c r="J129" i="1" s="1"/>
  <c r="M129" i="1" s="1"/>
  <c r="C129" i="1"/>
  <c r="H129" i="1" s="1"/>
  <c r="W128" i="1"/>
  <c r="O128" i="1"/>
  <c r="N128" i="1"/>
  <c r="J128" i="1"/>
  <c r="M128" i="1" s="1"/>
  <c r="G128" i="1"/>
  <c r="F128" i="1"/>
  <c r="C128" i="1"/>
  <c r="H128" i="1" s="1"/>
  <c r="W127" i="1"/>
  <c r="O127" i="1"/>
  <c r="N127" i="1"/>
  <c r="H127" i="1"/>
  <c r="G127" i="1"/>
  <c r="F127" i="1"/>
  <c r="J127" i="1" s="1"/>
  <c r="M127" i="1" s="1"/>
  <c r="C127" i="1"/>
  <c r="W126" i="1"/>
  <c r="O126" i="1"/>
  <c r="N126" i="1"/>
  <c r="M126" i="1"/>
  <c r="H126" i="1"/>
  <c r="G126" i="1"/>
  <c r="F126" i="1"/>
  <c r="J126" i="1" s="1"/>
  <c r="C126" i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K124" i="1"/>
  <c r="P124" i="1" s="1"/>
  <c r="J124" i="1"/>
  <c r="M124" i="1" s="1"/>
  <c r="G124" i="1"/>
  <c r="F124" i="1"/>
  <c r="C124" i="1"/>
  <c r="H124" i="1" s="1"/>
  <c r="W123" i="1"/>
  <c r="O123" i="1"/>
  <c r="N123" i="1"/>
  <c r="J123" i="1"/>
  <c r="M123" i="1" s="1"/>
  <c r="G123" i="1"/>
  <c r="F123" i="1"/>
  <c r="C123" i="1"/>
  <c r="H123" i="1" s="1"/>
  <c r="W122" i="1"/>
  <c r="O122" i="1"/>
  <c r="N122" i="1"/>
  <c r="M122" i="1"/>
  <c r="J122" i="1"/>
  <c r="G122" i="1"/>
  <c r="K122" i="1" s="1"/>
  <c r="F122" i="1"/>
  <c r="C122" i="1"/>
  <c r="H122" i="1" s="1"/>
  <c r="W121" i="1"/>
  <c r="O121" i="1"/>
  <c r="N121" i="1"/>
  <c r="J121" i="1"/>
  <c r="M121" i="1" s="1"/>
  <c r="G121" i="1"/>
  <c r="F121" i="1"/>
  <c r="C121" i="1"/>
  <c r="H121" i="1" s="1"/>
  <c r="W120" i="1"/>
  <c r="O120" i="1"/>
  <c r="N120" i="1"/>
  <c r="J120" i="1"/>
  <c r="M120" i="1" s="1"/>
  <c r="G120" i="1"/>
  <c r="F120" i="1"/>
  <c r="C120" i="1"/>
  <c r="H120" i="1" s="1"/>
  <c r="W119" i="1"/>
  <c r="O119" i="1"/>
  <c r="N119" i="1"/>
  <c r="J119" i="1"/>
  <c r="M119" i="1" s="1"/>
  <c r="H119" i="1"/>
  <c r="G119" i="1"/>
  <c r="F119" i="1"/>
  <c r="C119" i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K117" i="1"/>
  <c r="G117" i="1"/>
  <c r="F117" i="1"/>
  <c r="J117" i="1" s="1"/>
  <c r="M117" i="1" s="1"/>
  <c r="C117" i="1"/>
  <c r="H117" i="1" s="1"/>
  <c r="W116" i="1"/>
  <c r="O116" i="1"/>
  <c r="N116" i="1"/>
  <c r="G116" i="1"/>
  <c r="F116" i="1"/>
  <c r="J116" i="1" s="1"/>
  <c r="M116" i="1" s="1"/>
  <c r="C116" i="1"/>
  <c r="H116" i="1" s="1"/>
  <c r="W115" i="1"/>
  <c r="O115" i="1"/>
  <c r="N115" i="1"/>
  <c r="H115" i="1"/>
  <c r="G115" i="1"/>
  <c r="K115" i="1" s="1"/>
  <c r="F115" i="1"/>
  <c r="J115" i="1" s="1"/>
  <c r="M115" i="1" s="1"/>
  <c r="C115" i="1"/>
  <c r="W114" i="1"/>
  <c r="O114" i="1"/>
  <c r="N114" i="1"/>
  <c r="M114" i="1"/>
  <c r="J114" i="1"/>
  <c r="H114" i="1"/>
  <c r="G114" i="1"/>
  <c r="F114" i="1"/>
  <c r="C114" i="1"/>
  <c r="W113" i="1"/>
  <c r="O113" i="1"/>
  <c r="N113" i="1"/>
  <c r="K113" i="1"/>
  <c r="P113" i="1" s="1"/>
  <c r="H113" i="1"/>
  <c r="G113" i="1"/>
  <c r="F113" i="1"/>
  <c r="J113" i="1" s="1"/>
  <c r="M113" i="1" s="1"/>
  <c r="C113" i="1"/>
  <c r="W112" i="1"/>
  <c r="O112" i="1"/>
  <c r="N112" i="1"/>
  <c r="M112" i="1"/>
  <c r="J112" i="1"/>
  <c r="G112" i="1"/>
  <c r="F112" i="1"/>
  <c r="C112" i="1"/>
  <c r="H112" i="1" s="1"/>
  <c r="W111" i="1"/>
  <c r="O111" i="1"/>
  <c r="N111" i="1"/>
  <c r="J111" i="1"/>
  <c r="M111" i="1" s="1"/>
  <c r="H111" i="1"/>
  <c r="G111" i="1"/>
  <c r="F111" i="1"/>
  <c r="C111" i="1"/>
  <c r="W110" i="1"/>
  <c r="O110" i="1"/>
  <c r="N110" i="1"/>
  <c r="M110" i="1"/>
  <c r="H110" i="1"/>
  <c r="G110" i="1"/>
  <c r="F110" i="1"/>
  <c r="J110" i="1" s="1"/>
  <c r="C110" i="1"/>
  <c r="W109" i="1"/>
  <c r="O109" i="1"/>
  <c r="N109" i="1"/>
  <c r="M109" i="1"/>
  <c r="J109" i="1"/>
  <c r="G109" i="1"/>
  <c r="K109" i="1" s="1"/>
  <c r="P109" i="1" s="1"/>
  <c r="F109" i="1"/>
  <c r="C109" i="1"/>
  <c r="H109" i="1" s="1"/>
  <c r="W108" i="1"/>
  <c r="O108" i="1"/>
  <c r="N108" i="1"/>
  <c r="H108" i="1"/>
  <c r="G108" i="1"/>
  <c r="F108" i="1"/>
  <c r="J108" i="1" s="1"/>
  <c r="M108" i="1" s="1"/>
  <c r="C108" i="1"/>
  <c r="W107" i="1"/>
  <c r="O107" i="1"/>
  <c r="N107" i="1"/>
  <c r="J107" i="1"/>
  <c r="M107" i="1" s="1"/>
  <c r="G107" i="1"/>
  <c r="F107" i="1"/>
  <c r="C107" i="1"/>
  <c r="H107" i="1" s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K105" i="1"/>
  <c r="P105" i="1" s="1"/>
  <c r="H105" i="1"/>
  <c r="G105" i="1"/>
  <c r="F105" i="1"/>
  <c r="J105" i="1" s="1"/>
  <c r="M105" i="1" s="1"/>
  <c r="C105" i="1"/>
  <c r="W104" i="1"/>
  <c r="O104" i="1"/>
  <c r="N104" i="1"/>
  <c r="J104" i="1"/>
  <c r="M104" i="1" s="1"/>
  <c r="G104" i="1"/>
  <c r="F104" i="1"/>
  <c r="C104" i="1"/>
  <c r="H104" i="1" s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J102" i="1"/>
  <c r="M102" i="1" s="1"/>
  <c r="G102" i="1"/>
  <c r="F102" i="1"/>
  <c r="C102" i="1"/>
  <c r="H102" i="1" s="1"/>
  <c r="W101" i="1"/>
  <c r="O101" i="1"/>
  <c r="N101" i="1"/>
  <c r="G101" i="1"/>
  <c r="F101" i="1"/>
  <c r="J101" i="1" s="1"/>
  <c r="M101" i="1" s="1"/>
  <c r="C101" i="1"/>
  <c r="H101" i="1" s="1"/>
  <c r="W100" i="1"/>
  <c r="O100" i="1"/>
  <c r="N100" i="1"/>
  <c r="M100" i="1"/>
  <c r="K100" i="1"/>
  <c r="P100" i="1" s="1"/>
  <c r="J100" i="1"/>
  <c r="H100" i="1"/>
  <c r="G100" i="1"/>
  <c r="F100" i="1"/>
  <c r="C100" i="1"/>
  <c r="W99" i="1"/>
  <c r="O99" i="1"/>
  <c r="N99" i="1"/>
  <c r="J99" i="1"/>
  <c r="M99" i="1" s="1"/>
  <c r="G99" i="1"/>
  <c r="F99" i="1"/>
  <c r="C99" i="1"/>
  <c r="H99" i="1" s="1"/>
  <c r="W98" i="1"/>
  <c r="O98" i="1"/>
  <c r="N98" i="1"/>
  <c r="M98" i="1"/>
  <c r="K98" i="1"/>
  <c r="P98" i="1" s="1"/>
  <c r="H98" i="1"/>
  <c r="G98" i="1"/>
  <c r="F98" i="1"/>
  <c r="J98" i="1" s="1"/>
  <c r="C98" i="1"/>
  <c r="W97" i="1"/>
  <c r="O97" i="1"/>
  <c r="N97" i="1"/>
  <c r="G97" i="1"/>
  <c r="F97" i="1"/>
  <c r="J97" i="1" s="1"/>
  <c r="M97" i="1" s="1"/>
  <c r="C97" i="1"/>
  <c r="H97" i="1" s="1"/>
  <c r="W96" i="1"/>
  <c r="O96" i="1"/>
  <c r="N96" i="1"/>
  <c r="M96" i="1"/>
  <c r="J96" i="1"/>
  <c r="G96" i="1"/>
  <c r="K96" i="1" s="1"/>
  <c r="P96" i="1" s="1"/>
  <c r="F96" i="1"/>
  <c r="C96" i="1"/>
  <c r="H96" i="1" s="1"/>
  <c r="W95" i="1"/>
  <c r="O95" i="1"/>
  <c r="N95" i="1"/>
  <c r="G95" i="1"/>
  <c r="F95" i="1"/>
  <c r="J95" i="1" s="1"/>
  <c r="M95" i="1" s="1"/>
  <c r="C95" i="1"/>
  <c r="H95" i="1" s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J93" i="1"/>
  <c r="M93" i="1" s="1"/>
  <c r="G93" i="1"/>
  <c r="K93" i="1" s="1"/>
  <c r="P93" i="1" s="1"/>
  <c r="F93" i="1"/>
  <c r="C93" i="1"/>
  <c r="H93" i="1" s="1"/>
  <c r="W92" i="1"/>
  <c r="O92" i="1"/>
  <c r="N92" i="1"/>
  <c r="G92" i="1"/>
  <c r="F92" i="1"/>
  <c r="J92" i="1" s="1"/>
  <c r="M92" i="1" s="1"/>
  <c r="C92" i="1"/>
  <c r="H92" i="1" s="1"/>
  <c r="W91" i="1"/>
  <c r="O91" i="1"/>
  <c r="N91" i="1"/>
  <c r="H91" i="1"/>
  <c r="G91" i="1"/>
  <c r="K91" i="1" s="1"/>
  <c r="F91" i="1"/>
  <c r="J91" i="1" s="1"/>
  <c r="M91" i="1" s="1"/>
  <c r="C91" i="1"/>
  <c r="W90" i="1"/>
  <c r="O90" i="1"/>
  <c r="N90" i="1"/>
  <c r="G90" i="1"/>
  <c r="F90" i="1"/>
  <c r="J90" i="1" s="1"/>
  <c r="M90" i="1" s="1"/>
  <c r="C90" i="1"/>
  <c r="H90" i="1" s="1"/>
  <c r="W89" i="1"/>
  <c r="O89" i="1"/>
  <c r="N89" i="1"/>
  <c r="G89" i="1"/>
  <c r="F89" i="1"/>
  <c r="J89" i="1" s="1"/>
  <c r="M89" i="1" s="1"/>
  <c r="C89" i="1"/>
  <c r="H89" i="1" s="1"/>
  <c r="W88" i="1"/>
  <c r="O88" i="1"/>
  <c r="N88" i="1"/>
  <c r="H88" i="1"/>
  <c r="G88" i="1"/>
  <c r="K88" i="1" s="1"/>
  <c r="F88" i="1"/>
  <c r="J88" i="1" s="1"/>
  <c r="M88" i="1" s="1"/>
  <c r="C88" i="1"/>
  <c r="W87" i="1"/>
  <c r="O87" i="1"/>
  <c r="N87" i="1"/>
  <c r="H87" i="1"/>
  <c r="G87" i="1"/>
  <c r="F87" i="1"/>
  <c r="J87" i="1" s="1"/>
  <c r="M87" i="1" s="1"/>
  <c r="C87" i="1"/>
  <c r="W86" i="1"/>
  <c r="O86" i="1"/>
  <c r="N86" i="1"/>
  <c r="J86" i="1"/>
  <c r="M86" i="1" s="1"/>
  <c r="G86" i="1"/>
  <c r="K86" i="1" s="1"/>
  <c r="P86" i="1" s="1"/>
  <c r="F86" i="1"/>
  <c r="C86" i="1"/>
  <c r="H86" i="1" s="1"/>
  <c r="W85" i="1"/>
  <c r="O85" i="1"/>
  <c r="N85" i="1"/>
  <c r="K85" i="1"/>
  <c r="J85" i="1"/>
  <c r="M85" i="1" s="1"/>
  <c r="H85" i="1"/>
  <c r="G85" i="1"/>
  <c r="F85" i="1"/>
  <c r="C85" i="1"/>
  <c r="W84" i="1"/>
  <c r="O84" i="1"/>
  <c r="N84" i="1"/>
  <c r="G84" i="1"/>
  <c r="K84" i="1" s="1"/>
  <c r="P84" i="1" s="1"/>
  <c r="F84" i="1"/>
  <c r="J84" i="1" s="1"/>
  <c r="M84" i="1" s="1"/>
  <c r="C84" i="1"/>
  <c r="H84" i="1" s="1"/>
  <c r="W83" i="1"/>
  <c r="O83" i="1"/>
  <c r="N83" i="1"/>
  <c r="M83" i="1"/>
  <c r="K83" i="1"/>
  <c r="P83" i="1" s="1"/>
  <c r="H83" i="1"/>
  <c r="G83" i="1"/>
  <c r="F83" i="1"/>
  <c r="J83" i="1" s="1"/>
  <c r="C83" i="1"/>
  <c r="W82" i="1"/>
  <c r="O82" i="1"/>
  <c r="N82" i="1"/>
  <c r="G82" i="1"/>
  <c r="F82" i="1"/>
  <c r="J82" i="1" s="1"/>
  <c r="M82" i="1" s="1"/>
  <c r="C82" i="1"/>
  <c r="H82" i="1" s="1"/>
  <c r="W81" i="1"/>
  <c r="O81" i="1"/>
  <c r="N81" i="1"/>
  <c r="H81" i="1"/>
  <c r="G81" i="1"/>
  <c r="K81" i="1" s="1"/>
  <c r="P81" i="1" s="1"/>
  <c r="F81" i="1"/>
  <c r="J81" i="1" s="1"/>
  <c r="M81" i="1" s="1"/>
  <c r="C81" i="1"/>
  <c r="W80" i="1"/>
  <c r="O80" i="1"/>
  <c r="N80" i="1"/>
  <c r="M80" i="1"/>
  <c r="G80" i="1"/>
  <c r="F80" i="1"/>
  <c r="J80" i="1" s="1"/>
  <c r="C80" i="1"/>
  <c r="H80" i="1" s="1"/>
  <c r="W79" i="1"/>
  <c r="O79" i="1"/>
  <c r="N79" i="1"/>
  <c r="K79" i="1"/>
  <c r="G79" i="1"/>
  <c r="F79" i="1"/>
  <c r="J79" i="1" s="1"/>
  <c r="M79" i="1" s="1"/>
  <c r="C79" i="1"/>
  <c r="H79" i="1" s="1"/>
  <c r="W78" i="1"/>
  <c r="O78" i="1"/>
  <c r="N78" i="1"/>
  <c r="H78" i="1"/>
  <c r="G78" i="1"/>
  <c r="F78" i="1"/>
  <c r="J78" i="1" s="1"/>
  <c r="M78" i="1" s="1"/>
  <c r="C78" i="1"/>
  <c r="W77" i="1"/>
  <c r="O77" i="1"/>
  <c r="N77" i="1"/>
  <c r="J77" i="1"/>
  <c r="M77" i="1" s="1"/>
  <c r="H77" i="1"/>
  <c r="G77" i="1"/>
  <c r="F77" i="1"/>
  <c r="C77" i="1"/>
  <c r="W76" i="1"/>
  <c r="O76" i="1"/>
  <c r="N76" i="1"/>
  <c r="M76" i="1"/>
  <c r="J76" i="1"/>
  <c r="G76" i="1"/>
  <c r="F76" i="1"/>
  <c r="C76" i="1"/>
  <c r="H76" i="1" s="1"/>
  <c r="W75" i="1"/>
  <c r="O75" i="1"/>
  <c r="N75" i="1"/>
  <c r="J75" i="1"/>
  <c r="M75" i="1" s="1"/>
  <c r="G75" i="1"/>
  <c r="F75" i="1"/>
  <c r="C75" i="1"/>
  <c r="H75" i="1" s="1"/>
  <c r="W74" i="1"/>
  <c r="O74" i="1"/>
  <c r="N74" i="1"/>
  <c r="M74" i="1"/>
  <c r="J74" i="1"/>
  <c r="G74" i="1"/>
  <c r="K74" i="1" s="1"/>
  <c r="P74" i="1" s="1"/>
  <c r="F74" i="1"/>
  <c r="C74" i="1"/>
  <c r="H74" i="1" s="1"/>
  <c r="W73" i="1"/>
  <c r="O73" i="1"/>
  <c r="N73" i="1"/>
  <c r="G73" i="1"/>
  <c r="F73" i="1"/>
  <c r="J73" i="1" s="1"/>
  <c r="M73" i="1" s="1"/>
  <c r="C73" i="1"/>
  <c r="H73" i="1" s="1"/>
  <c r="W72" i="1"/>
  <c r="O72" i="1"/>
  <c r="N72" i="1"/>
  <c r="J72" i="1"/>
  <c r="M72" i="1" s="1"/>
  <c r="G72" i="1"/>
  <c r="F72" i="1"/>
  <c r="C72" i="1"/>
  <c r="H72" i="1" s="1"/>
  <c r="W71" i="1"/>
  <c r="O71" i="1"/>
  <c r="N71" i="1"/>
  <c r="M71" i="1"/>
  <c r="K71" i="1"/>
  <c r="P71" i="1" s="1"/>
  <c r="G71" i="1"/>
  <c r="F71" i="1"/>
  <c r="J71" i="1" s="1"/>
  <c r="C71" i="1"/>
  <c r="H71" i="1" s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H69" i="1"/>
  <c r="G69" i="1"/>
  <c r="K69" i="1" s="1"/>
  <c r="F69" i="1"/>
  <c r="J69" i="1" s="1"/>
  <c r="M69" i="1" s="1"/>
  <c r="C69" i="1"/>
  <c r="W68" i="1"/>
  <c r="O68" i="1"/>
  <c r="N68" i="1"/>
  <c r="G68" i="1"/>
  <c r="F68" i="1"/>
  <c r="J68" i="1" s="1"/>
  <c r="M68" i="1" s="1"/>
  <c r="C68" i="1"/>
  <c r="H68" i="1" s="1"/>
  <c r="W67" i="1"/>
  <c r="O67" i="1"/>
  <c r="N67" i="1"/>
  <c r="J67" i="1"/>
  <c r="M67" i="1" s="1"/>
  <c r="H67" i="1"/>
  <c r="G67" i="1"/>
  <c r="K67" i="1" s="1"/>
  <c r="P67" i="1" s="1"/>
  <c r="F67" i="1"/>
  <c r="C67" i="1"/>
  <c r="W66" i="1"/>
  <c r="O66" i="1"/>
  <c r="N66" i="1"/>
  <c r="K66" i="1"/>
  <c r="G66" i="1"/>
  <c r="F66" i="1"/>
  <c r="J66" i="1" s="1"/>
  <c r="M66" i="1" s="1"/>
  <c r="C66" i="1"/>
  <c r="H66" i="1" s="1"/>
  <c r="W65" i="1"/>
  <c r="O65" i="1"/>
  <c r="N65" i="1"/>
  <c r="H65" i="1"/>
  <c r="G65" i="1"/>
  <c r="F65" i="1"/>
  <c r="J65" i="1" s="1"/>
  <c r="M65" i="1" s="1"/>
  <c r="C65" i="1"/>
  <c r="W64" i="1"/>
  <c r="O64" i="1"/>
  <c r="N64" i="1"/>
  <c r="K64" i="1"/>
  <c r="G64" i="1"/>
  <c r="F64" i="1"/>
  <c r="J64" i="1" s="1"/>
  <c r="M64" i="1" s="1"/>
  <c r="C64" i="1"/>
  <c r="H64" i="1" s="1"/>
  <c r="W63" i="1"/>
  <c r="O63" i="1"/>
  <c r="N63" i="1"/>
  <c r="G63" i="1"/>
  <c r="F63" i="1"/>
  <c r="J63" i="1" s="1"/>
  <c r="M63" i="1" s="1"/>
  <c r="C63" i="1"/>
  <c r="H63" i="1" s="1"/>
  <c r="W62" i="1"/>
  <c r="O62" i="1"/>
  <c r="N62" i="1"/>
  <c r="K62" i="1"/>
  <c r="J62" i="1"/>
  <c r="M62" i="1" s="1"/>
  <c r="G62" i="1"/>
  <c r="F62" i="1"/>
  <c r="C62" i="1"/>
  <c r="H62" i="1" s="1"/>
  <c r="W61" i="1"/>
  <c r="O61" i="1"/>
  <c r="N61" i="1"/>
  <c r="K61" i="1"/>
  <c r="P61" i="1" s="1"/>
  <c r="G61" i="1"/>
  <c r="F61" i="1"/>
  <c r="J61" i="1" s="1"/>
  <c r="M61" i="1" s="1"/>
  <c r="C61" i="1"/>
  <c r="H61" i="1" s="1"/>
  <c r="W60" i="1"/>
  <c r="O60" i="1"/>
  <c r="N60" i="1"/>
  <c r="M60" i="1"/>
  <c r="K60" i="1"/>
  <c r="P60" i="1" s="1"/>
  <c r="J60" i="1"/>
  <c r="H60" i="1"/>
  <c r="G60" i="1"/>
  <c r="F60" i="1"/>
  <c r="C60" i="1"/>
  <c r="W59" i="1"/>
  <c r="O59" i="1"/>
  <c r="N59" i="1"/>
  <c r="G59" i="1"/>
  <c r="F59" i="1"/>
  <c r="J59" i="1" s="1"/>
  <c r="M59" i="1" s="1"/>
  <c r="C59" i="1"/>
  <c r="H59" i="1" s="1"/>
  <c r="W58" i="1"/>
  <c r="O58" i="1"/>
  <c r="N58" i="1"/>
  <c r="J58" i="1"/>
  <c r="M58" i="1" s="1"/>
  <c r="H58" i="1"/>
  <c r="G58" i="1"/>
  <c r="F58" i="1"/>
  <c r="C58" i="1"/>
  <c r="W57" i="1"/>
  <c r="O57" i="1"/>
  <c r="N57" i="1"/>
  <c r="G57" i="1"/>
  <c r="K57" i="1" s="1"/>
  <c r="P57" i="1" s="1"/>
  <c r="F57" i="1"/>
  <c r="J57" i="1" s="1"/>
  <c r="M57" i="1" s="1"/>
  <c r="C57" i="1"/>
  <c r="H57" i="1" s="1"/>
  <c r="W56" i="1"/>
  <c r="O56" i="1"/>
  <c r="N56" i="1"/>
  <c r="M56" i="1"/>
  <c r="J56" i="1"/>
  <c r="G56" i="1"/>
  <c r="F56" i="1"/>
  <c r="C56" i="1"/>
  <c r="H56" i="1" s="1"/>
  <c r="W55" i="1"/>
  <c r="O55" i="1"/>
  <c r="N55" i="1"/>
  <c r="G55" i="1"/>
  <c r="K55" i="1" s="1"/>
  <c r="P55" i="1" s="1"/>
  <c r="F55" i="1"/>
  <c r="J55" i="1" s="1"/>
  <c r="M55" i="1" s="1"/>
  <c r="C55" i="1"/>
  <c r="H55" i="1" s="1"/>
  <c r="W54" i="1"/>
  <c r="O54" i="1"/>
  <c r="N54" i="1"/>
  <c r="G54" i="1"/>
  <c r="F54" i="1"/>
  <c r="J54" i="1" s="1"/>
  <c r="M54" i="1" s="1"/>
  <c r="C54" i="1"/>
  <c r="H54" i="1" s="1"/>
  <c r="W53" i="1"/>
  <c r="O53" i="1"/>
  <c r="N53" i="1"/>
  <c r="G53" i="1"/>
  <c r="K53" i="1" s="1"/>
  <c r="P53" i="1" s="1"/>
  <c r="F53" i="1"/>
  <c r="J53" i="1" s="1"/>
  <c r="M53" i="1" s="1"/>
  <c r="C53" i="1"/>
  <c r="H53" i="1" s="1"/>
  <c r="W52" i="1"/>
  <c r="O52" i="1"/>
  <c r="N52" i="1"/>
  <c r="J52" i="1"/>
  <c r="M52" i="1" s="1"/>
  <c r="H52" i="1"/>
  <c r="G52" i="1"/>
  <c r="K52" i="1" s="1"/>
  <c r="P52" i="1" s="1"/>
  <c r="F52" i="1"/>
  <c r="C52" i="1"/>
  <c r="W51" i="1"/>
  <c r="O51" i="1"/>
  <c r="N51" i="1"/>
  <c r="H51" i="1"/>
  <c r="G51" i="1"/>
  <c r="K51" i="1" s="1"/>
  <c r="P51" i="1" s="1"/>
  <c r="F51" i="1"/>
  <c r="J51" i="1" s="1"/>
  <c r="M51" i="1" s="1"/>
  <c r="C51" i="1"/>
  <c r="W50" i="1"/>
  <c r="O50" i="1"/>
  <c r="N50" i="1"/>
  <c r="J50" i="1"/>
  <c r="M50" i="1" s="1"/>
  <c r="G50" i="1"/>
  <c r="K50" i="1" s="1"/>
  <c r="P50" i="1" s="1"/>
  <c r="F50" i="1"/>
  <c r="C50" i="1"/>
  <c r="H50" i="1" s="1"/>
  <c r="W49" i="1"/>
  <c r="O49" i="1"/>
  <c r="N49" i="1"/>
  <c r="G49" i="1"/>
  <c r="K49" i="1" s="1"/>
  <c r="P49" i="1" s="1"/>
  <c r="F49" i="1"/>
  <c r="J49" i="1" s="1"/>
  <c r="M49" i="1" s="1"/>
  <c r="C49" i="1"/>
  <c r="H49" i="1" s="1"/>
  <c r="W48" i="1"/>
  <c r="O48" i="1"/>
  <c r="N48" i="1"/>
  <c r="J48" i="1"/>
  <c r="M48" i="1" s="1"/>
  <c r="H48" i="1"/>
  <c r="G48" i="1"/>
  <c r="K48" i="1" s="1"/>
  <c r="F48" i="1"/>
  <c r="C48" i="1"/>
  <c r="W47" i="1"/>
  <c r="O47" i="1"/>
  <c r="N47" i="1"/>
  <c r="M47" i="1"/>
  <c r="J47" i="1"/>
  <c r="H47" i="1"/>
  <c r="G47" i="1"/>
  <c r="K47" i="1" s="1"/>
  <c r="P47" i="1" s="1"/>
  <c r="F47" i="1"/>
  <c r="C47" i="1"/>
  <c r="W46" i="1"/>
  <c r="O46" i="1"/>
  <c r="N46" i="1"/>
  <c r="K46" i="1"/>
  <c r="J46" i="1"/>
  <c r="M46" i="1" s="1"/>
  <c r="G46" i="1"/>
  <c r="F46" i="1"/>
  <c r="C46" i="1"/>
  <c r="H46" i="1" s="1"/>
  <c r="W45" i="1"/>
  <c r="O45" i="1"/>
  <c r="N45" i="1"/>
  <c r="K45" i="1"/>
  <c r="P45" i="1" s="1"/>
  <c r="J45" i="1"/>
  <c r="M45" i="1" s="1"/>
  <c r="G45" i="1"/>
  <c r="F45" i="1"/>
  <c r="C45" i="1"/>
  <c r="H45" i="1" s="1"/>
  <c r="W44" i="1"/>
  <c r="O44" i="1"/>
  <c r="N44" i="1"/>
  <c r="G44" i="1"/>
  <c r="F44" i="1"/>
  <c r="J44" i="1" s="1"/>
  <c r="M44" i="1" s="1"/>
  <c r="C44" i="1"/>
  <c r="H44" i="1" s="1"/>
  <c r="W43" i="1"/>
  <c r="O43" i="1"/>
  <c r="N43" i="1"/>
  <c r="J43" i="1"/>
  <c r="M43" i="1" s="1"/>
  <c r="G43" i="1"/>
  <c r="F43" i="1"/>
  <c r="C43" i="1"/>
  <c r="H43" i="1" s="1"/>
  <c r="W42" i="1"/>
  <c r="O42" i="1"/>
  <c r="N42" i="1"/>
  <c r="J42" i="1"/>
  <c r="M42" i="1" s="1"/>
  <c r="G42" i="1"/>
  <c r="F42" i="1"/>
  <c r="C42" i="1"/>
  <c r="H42" i="1" s="1"/>
  <c r="W41" i="1"/>
  <c r="O41" i="1"/>
  <c r="N41" i="1"/>
  <c r="H41" i="1"/>
  <c r="G41" i="1"/>
  <c r="K41" i="1" s="1"/>
  <c r="F41" i="1"/>
  <c r="J41" i="1" s="1"/>
  <c r="M41" i="1" s="1"/>
  <c r="C41" i="1"/>
  <c r="W40" i="1"/>
  <c r="O40" i="1"/>
  <c r="N40" i="1"/>
  <c r="J40" i="1"/>
  <c r="M40" i="1" s="1"/>
  <c r="G40" i="1"/>
  <c r="F40" i="1"/>
  <c r="C40" i="1"/>
  <c r="H40" i="1" s="1"/>
  <c r="W39" i="1"/>
  <c r="O39" i="1"/>
  <c r="N39" i="1"/>
  <c r="J39" i="1"/>
  <c r="M39" i="1" s="1"/>
  <c r="G39" i="1"/>
  <c r="K39" i="1" s="1"/>
  <c r="P39" i="1" s="1"/>
  <c r="F39" i="1"/>
  <c r="C39" i="1"/>
  <c r="H39" i="1" s="1"/>
  <c r="W38" i="1"/>
  <c r="O38" i="1"/>
  <c r="N38" i="1"/>
  <c r="K38" i="1"/>
  <c r="H38" i="1"/>
  <c r="G38" i="1"/>
  <c r="F38" i="1"/>
  <c r="J38" i="1" s="1"/>
  <c r="M38" i="1" s="1"/>
  <c r="C38" i="1"/>
  <c r="W37" i="1"/>
  <c r="O37" i="1"/>
  <c r="N37" i="1"/>
  <c r="G37" i="1"/>
  <c r="K37" i="1" s="1"/>
  <c r="P37" i="1" s="1"/>
  <c r="F37" i="1"/>
  <c r="J37" i="1" s="1"/>
  <c r="M37" i="1" s="1"/>
  <c r="C37" i="1"/>
  <c r="H37" i="1" s="1"/>
  <c r="W36" i="1"/>
  <c r="O36" i="1"/>
  <c r="N36" i="1"/>
  <c r="K36" i="1"/>
  <c r="P36" i="1" s="1"/>
  <c r="J36" i="1"/>
  <c r="M36" i="1" s="1"/>
  <c r="H36" i="1"/>
  <c r="G36" i="1"/>
  <c r="F36" i="1"/>
  <c r="C36" i="1"/>
  <c r="W35" i="1"/>
  <c r="O35" i="1"/>
  <c r="N35" i="1"/>
  <c r="J35" i="1"/>
  <c r="M35" i="1" s="1"/>
  <c r="G35" i="1"/>
  <c r="K35" i="1" s="1"/>
  <c r="P35" i="1" s="1"/>
  <c r="F35" i="1"/>
  <c r="C35" i="1"/>
  <c r="H35" i="1" s="1"/>
  <c r="W34" i="1"/>
  <c r="O34" i="1"/>
  <c r="N34" i="1"/>
  <c r="M34" i="1"/>
  <c r="H34" i="1"/>
  <c r="G34" i="1"/>
  <c r="K34" i="1" s="1"/>
  <c r="P34" i="1" s="1"/>
  <c r="F34" i="1"/>
  <c r="J34" i="1" s="1"/>
  <c r="C34" i="1"/>
  <c r="W33" i="1"/>
  <c r="O33" i="1"/>
  <c r="N33" i="1"/>
  <c r="G33" i="1"/>
  <c r="F33" i="1"/>
  <c r="J33" i="1" s="1"/>
  <c r="M33" i="1" s="1"/>
  <c r="C33" i="1"/>
  <c r="H33" i="1" s="1"/>
  <c r="W32" i="1"/>
  <c r="O32" i="1"/>
  <c r="N32" i="1"/>
  <c r="J32" i="1"/>
  <c r="M32" i="1" s="1"/>
  <c r="H32" i="1"/>
  <c r="G32" i="1"/>
  <c r="K32" i="1" s="1"/>
  <c r="P32" i="1" s="1"/>
  <c r="F32" i="1"/>
  <c r="C32" i="1"/>
  <c r="Z31" i="1"/>
  <c r="W31" i="1"/>
  <c r="O31" i="1"/>
  <c r="N31" i="1"/>
  <c r="G31" i="1"/>
  <c r="K31" i="1" s="1"/>
  <c r="P31" i="1" s="1"/>
  <c r="F31" i="1"/>
  <c r="J31" i="1" s="1"/>
  <c r="M31" i="1" s="1"/>
  <c r="C31" i="1"/>
  <c r="H31" i="1" s="1"/>
  <c r="Z30" i="1"/>
  <c r="W30" i="1"/>
  <c r="O30" i="1"/>
  <c r="N30" i="1"/>
  <c r="M30" i="1"/>
  <c r="H30" i="1"/>
  <c r="G30" i="1"/>
  <c r="F30" i="1"/>
  <c r="J30" i="1" s="1"/>
  <c r="C30" i="1"/>
  <c r="Z29" i="1"/>
  <c r="W29" i="1"/>
  <c r="O29" i="1"/>
  <c r="N29" i="1"/>
  <c r="G29" i="1"/>
  <c r="F29" i="1"/>
  <c r="J29" i="1" s="1"/>
  <c r="M29" i="1" s="1"/>
  <c r="C29" i="1"/>
  <c r="H29" i="1" s="1"/>
  <c r="Z28" i="1"/>
  <c r="W28" i="1"/>
  <c r="O28" i="1"/>
  <c r="N28" i="1"/>
  <c r="M28" i="1"/>
  <c r="G28" i="1"/>
  <c r="K28" i="1" s="1"/>
  <c r="P28" i="1" s="1"/>
  <c r="F28" i="1"/>
  <c r="J28" i="1" s="1"/>
  <c r="C28" i="1"/>
  <c r="H28" i="1" s="1"/>
  <c r="Z27" i="1"/>
  <c r="W27" i="1"/>
  <c r="O27" i="1"/>
  <c r="N27" i="1"/>
  <c r="K27" i="1"/>
  <c r="P27" i="1" s="1"/>
  <c r="H27" i="1"/>
  <c r="G27" i="1"/>
  <c r="F27" i="1"/>
  <c r="J27" i="1" s="1"/>
  <c r="M27" i="1" s="1"/>
  <c r="C27" i="1"/>
  <c r="Z26" i="1"/>
  <c r="W26" i="1"/>
  <c r="O26" i="1"/>
  <c r="N26" i="1"/>
  <c r="G26" i="1"/>
  <c r="K26" i="1" s="1"/>
  <c r="F26" i="1"/>
  <c r="J26" i="1" s="1"/>
  <c r="M26" i="1" s="1"/>
  <c r="P26" i="1" s="1"/>
  <c r="C26" i="1"/>
  <c r="H26" i="1" s="1"/>
  <c r="Z25" i="1"/>
  <c r="W25" i="1"/>
  <c r="O25" i="1"/>
  <c r="N25" i="1"/>
  <c r="M25" i="1"/>
  <c r="K25" i="1"/>
  <c r="P25" i="1" s="1"/>
  <c r="G25" i="1"/>
  <c r="F25" i="1"/>
  <c r="J25" i="1" s="1"/>
  <c r="C25" i="1"/>
  <c r="H25" i="1" s="1"/>
  <c r="Z24" i="1"/>
  <c r="W24" i="1"/>
  <c r="O24" i="1"/>
  <c r="N24" i="1"/>
  <c r="J24" i="1"/>
  <c r="M24" i="1" s="1"/>
  <c r="G24" i="1"/>
  <c r="F24" i="1"/>
  <c r="C24" i="1"/>
  <c r="H24" i="1" s="1"/>
  <c r="Z23" i="1"/>
  <c r="W23" i="1"/>
  <c r="O23" i="1"/>
  <c r="N23" i="1"/>
  <c r="J23" i="1"/>
  <c r="M23" i="1" s="1"/>
  <c r="G23" i="1"/>
  <c r="K23" i="1" s="1"/>
  <c r="P23" i="1" s="1"/>
  <c r="F23" i="1"/>
  <c r="C23" i="1"/>
  <c r="H23" i="1" s="1"/>
  <c r="Z22" i="1"/>
  <c r="W22" i="1"/>
  <c r="O22" i="1"/>
  <c r="N22" i="1"/>
  <c r="J22" i="1"/>
  <c r="M22" i="1" s="1"/>
  <c r="G22" i="1"/>
  <c r="K22" i="1" s="1"/>
  <c r="P22" i="1" s="1"/>
  <c r="F22" i="1"/>
  <c r="C22" i="1"/>
  <c r="H22" i="1" s="1"/>
  <c r="Z21" i="1"/>
  <c r="W21" i="1"/>
  <c r="O21" i="1"/>
  <c r="N21" i="1"/>
  <c r="K21" i="1"/>
  <c r="P21" i="1" s="1"/>
  <c r="J21" i="1"/>
  <c r="M21" i="1" s="1"/>
  <c r="H21" i="1"/>
  <c r="G21" i="1"/>
  <c r="F21" i="1"/>
  <c r="C21" i="1"/>
  <c r="Z20" i="1"/>
  <c r="W20" i="1"/>
  <c r="O20" i="1"/>
  <c r="N20" i="1"/>
  <c r="J20" i="1"/>
  <c r="M20" i="1" s="1"/>
  <c r="G20" i="1"/>
  <c r="F20" i="1"/>
  <c r="C20" i="1"/>
  <c r="H20" i="1" s="1"/>
  <c r="Z19" i="1"/>
  <c r="W19" i="1"/>
  <c r="O19" i="1"/>
  <c r="N19" i="1"/>
  <c r="G19" i="1"/>
  <c r="F19" i="1"/>
  <c r="J19" i="1" s="1"/>
  <c r="M19" i="1" s="1"/>
  <c r="C19" i="1"/>
  <c r="H19" i="1" s="1"/>
  <c r="Z18" i="1"/>
  <c r="W18" i="1"/>
  <c r="O18" i="1"/>
  <c r="N18" i="1"/>
  <c r="H18" i="1"/>
  <c r="G18" i="1"/>
  <c r="F18" i="1"/>
  <c r="J18" i="1" s="1"/>
  <c r="M18" i="1" s="1"/>
  <c r="C18" i="1"/>
  <c r="Z17" i="1"/>
  <c r="W17" i="1"/>
  <c r="O17" i="1"/>
  <c r="N17" i="1"/>
  <c r="G17" i="1"/>
  <c r="K17" i="1" s="1"/>
  <c r="P17" i="1" s="1"/>
  <c r="F17" i="1"/>
  <c r="J17" i="1" s="1"/>
  <c r="M17" i="1" s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J15" i="1"/>
  <c r="M15" i="1" s="1"/>
  <c r="G15" i="1"/>
  <c r="F15" i="1"/>
  <c r="C15" i="1"/>
  <c r="H15" i="1" s="1"/>
  <c r="Z14" i="1"/>
  <c r="W14" i="1"/>
  <c r="O14" i="1"/>
  <c r="N14" i="1"/>
  <c r="H14" i="1"/>
  <c r="G14" i="1"/>
  <c r="F14" i="1"/>
  <c r="J14" i="1" s="1"/>
  <c r="M14" i="1" s="1"/>
  <c r="C14" i="1"/>
  <c r="Z13" i="1"/>
  <c r="W13" i="1"/>
  <c r="O13" i="1"/>
  <c r="N13" i="1"/>
  <c r="J13" i="1"/>
  <c r="M13" i="1" s="1"/>
  <c r="G13" i="1"/>
  <c r="F13" i="1"/>
  <c r="C13" i="1"/>
  <c r="H13" i="1" s="1"/>
  <c r="AC12" i="1"/>
  <c r="Z12" i="1"/>
  <c r="W12" i="1"/>
  <c r="O12" i="1"/>
  <c r="N12" i="1"/>
  <c r="J12" i="1"/>
  <c r="M12" i="1" s="1"/>
  <c r="G12" i="1"/>
  <c r="F12" i="1"/>
  <c r="C12" i="1"/>
  <c r="H12" i="1" s="1"/>
  <c r="Z11" i="1"/>
  <c r="W11" i="1"/>
  <c r="O11" i="1"/>
  <c r="N11" i="1"/>
  <c r="H11" i="1"/>
  <c r="G11" i="1"/>
  <c r="K11" i="1" s="1"/>
  <c r="P11" i="1" s="1"/>
  <c r="F11" i="1"/>
  <c r="J11" i="1" s="1"/>
  <c r="M11" i="1" s="1"/>
  <c r="C11" i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O9" i="1"/>
  <c r="N9" i="1"/>
  <c r="G9" i="1"/>
  <c r="K9" i="1" s="1"/>
  <c r="F9" i="1"/>
  <c r="J9" i="1" s="1"/>
  <c r="M9" i="1" s="1"/>
  <c r="C9" i="1"/>
  <c r="H9" i="1" s="1"/>
  <c r="Z8" i="1"/>
  <c r="W8" i="1"/>
  <c r="O8" i="1"/>
  <c r="N8" i="1"/>
  <c r="G8" i="1"/>
  <c r="F8" i="1"/>
  <c r="J8" i="1" s="1"/>
  <c r="M8" i="1" s="1"/>
  <c r="C8" i="1"/>
  <c r="H8" i="1" s="1"/>
  <c r="AC7" i="1"/>
  <c r="AC11" i="1" s="1"/>
  <c r="Z7" i="1"/>
  <c r="W7" i="1"/>
  <c r="O7" i="1"/>
  <c r="N7" i="1"/>
  <c r="G7" i="1"/>
  <c r="K7" i="1" s="1"/>
  <c r="F7" i="1"/>
  <c r="J7" i="1" s="1"/>
  <c r="M7" i="1" s="1"/>
  <c r="C7" i="1"/>
  <c r="H7" i="1" s="1"/>
  <c r="Z6" i="1"/>
  <c r="W6" i="1"/>
  <c r="O6" i="1"/>
  <c r="N6" i="1"/>
  <c r="J6" i="1"/>
  <c r="M6" i="1" s="1"/>
  <c r="G6" i="1"/>
  <c r="F6" i="1"/>
  <c r="C6" i="1"/>
  <c r="H6" i="1" s="1"/>
  <c r="Z5" i="1"/>
  <c r="W5" i="1"/>
  <c r="O5" i="1"/>
  <c r="N5" i="1"/>
  <c r="K5" i="1"/>
  <c r="J5" i="1"/>
  <c r="M5" i="1" s="1"/>
  <c r="G5" i="1"/>
  <c r="F5" i="1"/>
  <c r="C5" i="1"/>
  <c r="H5" i="1" s="1"/>
  <c r="Z4" i="1"/>
  <c r="W4" i="1"/>
  <c r="O4" i="1"/>
  <c r="N4" i="1"/>
  <c r="G4" i="1"/>
  <c r="F4" i="1"/>
  <c r="J4" i="1" s="1"/>
  <c r="M4" i="1" s="1"/>
  <c r="C4" i="1"/>
  <c r="H4" i="1" s="1"/>
  <c r="S2" i="1"/>
  <c r="N2" i="1"/>
  <c r="K271" i="1" s="1"/>
  <c r="P271" i="1" s="1"/>
  <c r="P62" i="1" l="1"/>
  <c r="P79" i="1"/>
  <c r="P9" i="1"/>
  <c r="P7" i="1"/>
  <c r="L22" i="2"/>
  <c r="L147" i="2"/>
  <c r="L57" i="2"/>
  <c r="P155" i="1"/>
  <c r="P117" i="1"/>
  <c r="P85" i="1"/>
  <c r="P195" i="1"/>
  <c r="P252" i="1"/>
  <c r="P64" i="1"/>
  <c r="P153" i="1"/>
  <c r="P257" i="1"/>
  <c r="P299" i="1"/>
  <c r="L84" i="2"/>
  <c r="P46" i="1"/>
  <c r="P294" i="1"/>
  <c r="P38" i="1"/>
  <c r="P206" i="1"/>
  <c r="P168" i="1"/>
  <c r="P5" i="1"/>
  <c r="P181" i="1"/>
  <c r="P301" i="1"/>
  <c r="P66" i="1"/>
  <c r="P186" i="1"/>
  <c r="P122" i="1"/>
  <c r="K25" i="2"/>
  <c r="L39" i="2"/>
  <c r="P41" i="1"/>
  <c r="P69" i="1"/>
  <c r="P211" i="1"/>
  <c r="P183" i="1"/>
  <c r="P223" i="1"/>
  <c r="P156" i="1"/>
  <c r="P115" i="1"/>
  <c r="P204" i="1"/>
  <c r="K46" i="2"/>
  <c r="K44" i="1"/>
  <c r="P44" i="1" s="1"/>
  <c r="K99" i="1"/>
  <c r="P99" i="1" s="1"/>
  <c r="K130" i="1"/>
  <c r="P130" i="1" s="1"/>
  <c r="K151" i="1"/>
  <c r="P151" i="1" s="1"/>
  <c r="K162" i="1"/>
  <c r="P162" i="1" s="1"/>
  <c r="K173" i="1"/>
  <c r="P173" i="1" s="1"/>
  <c r="K230" i="1"/>
  <c r="P230" i="1" s="1"/>
  <c r="K255" i="1"/>
  <c r="P255" i="1" s="1"/>
  <c r="K123" i="1"/>
  <c r="P123" i="1" s="1"/>
  <c r="K193" i="1"/>
  <c r="P193" i="1" s="1"/>
  <c r="K210" i="1"/>
  <c r="P210" i="1" s="1"/>
  <c r="K218" i="1"/>
  <c r="P218" i="1" s="1"/>
  <c r="L37" i="2"/>
  <c r="L123" i="2"/>
  <c r="P226" i="1"/>
  <c r="P263" i="1"/>
  <c r="K89" i="1"/>
  <c r="P89" i="1" s="1"/>
  <c r="K128" i="1"/>
  <c r="P128" i="1" s="1"/>
  <c r="K221" i="1"/>
  <c r="P221" i="1" s="1"/>
  <c r="K297" i="1"/>
  <c r="P297" i="1" s="1"/>
  <c r="K20" i="1"/>
  <c r="P20" i="1" s="1"/>
  <c r="K42" i="1"/>
  <c r="P42" i="1" s="1"/>
  <c r="K58" i="1"/>
  <c r="P58" i="1" s="1"/>
  <c r="K75" i="1"/>
  <c r="P75" i="1" s="1"/>
  <c r="K77" i="1"/>
  <c r="P77" i="1" s="1"/>
  <c r="K97" i="1"/>
  <c r="P97" i="1" s="1"/>
  <c r="K104" i="1"/>
  <c r="P104" i="1" s="1"/>
  <c r="K111" i="1"/>
  <c r="P111" i="1" s="1"/>
  <c r="K133" i="1"/>
  <c r="P133" i="1" s="1"/>
  <c r="K188" i="1"/>
  <c r="P188" i="1" s="1"/>
  <c r="K196" i="1"/>
  <c r="P196" i="1" s="1"/>
  <c r="K246" i="1"/>
  <c r="P246" i="1" s="1"/>
  <c r="K288" i="1"/>
  <c r="P288" i="1" s="1"/>
  <c r="L213" i="2"/>
  <c r="P48" i="1"/>
  <c r="P88" i="1"/>
  <c r="K92" i="1"/>
  <c r="P92" i="1" s="1"/>
  <c r="K121" i="1"/>
  <c r="P121" i="1" s="1"/>
  <c r="K160" i="1"/>
  <c r="P160" i="1" s="1"/>
  <c r="K166" i="1"/>
  <c r="P166" i="1" s="1"/>
  <c r="K171" i="1"/>
  <c r="P171" i="1" s="1"/>
  <c r="K185" i="1"/>
  <c r="P185" i="1" s="1"/>
  <c r="K213" i="1"/>
  <c r="P213" i="1" s="1"/>
  <c r="K282" i="1"/>
  <c r="P282" i="1" s="1"/>
  <c r="K110" i="2"/>
  <c r="K56" i="1"/>
  <c r="P56" i="1" s="1"/>
  <c r="K126" i="1"/>
  <c r="P126" i="1" s="1"/>
  <c r="K146" i="1"/>
  <c r="P146" i="1" s="1"/>
  <c r="K152" i="1"/>
  <c r="P152" i="1" s="1"/>
  <c r="K191" i="1"/>
  <c r="P191" i="1" s="1"/>
  <c r="K228" i="1"/>
  <c r="P228" i="1" s="1"/>
  <c r="L10" i="2"/>
  <c r="K41" i="2"/>
  <c r="L41" i="2" s="1"/>
  <c r="L47" i="2"/>
  <c r="K202" i="1"/>
  <c r="P202" i="1" s="1"/>
  <c r="K225" i="1"/>
  <c r="P225" i="1" s="1"/>
  <c r="K292" i="1"/>
  <c r="P292" i="1" s="1"/>
  <c r="P91" i="1"/>
  <c r="K298" i="1"/>
  <c r="P298" i="1" s="1"/>
  <c r="K278" i="1"/>
  <c r="P278" i="1" s="1"/>
  <c r="K258" i="1"/>
  <c r="P258" i="1" s="1"/>
  <c r="K238" i="1"/>
  <c r="P238" i="1" s="1"/>
  <c r="K137" i="1"/>
  <c r="P137" i="1" s="1"/>
  <c r="K300" i="1"/>
  <c r="P300" i="1" s="1"/>
  <c r="K280" i="1"/>
  <c r="P280" i="1" s="1"/>
  <c r="K260" i="1"/>
  <c r="P260" i="1" s="1"/>
  <c r="K240" i="1"/>
  <c r="P240" i="1" s="1"/>
  <c r="K291" i="1"/>
  <c r="P291" i="1" s="1"/>
  <c r="K199" i="1"/>
  <c r="P199" i="1" s="1"/>
  <c r="K159" i="1"/>
  <c r="P159" i="1" s="1"/>
  <c r="K108" i="1"/>
  <c r="P108" i="1" s="1"/>
  <c r="K94" i="1"/>
  <c r="P94" i="1" s="1"/>
  <c r="K144" i="1"/>
  <c r="P144" i="1" s="1"/>
  <c r="K65" i="1"/>
  <c r="P65" i="1" s="1"/>
  <c r="K256" i="1"/>
  <c r="P256" i="1" s="1"/>
  <c r="K251" i="1"/>
  <c r="P251" i="1" s="1"/>
  <c r="K201" i="1"/>
  <c r="P201" i="1" s="1"/>
  <c r="K161" i="1"/>
  <c r="P161" i="1" s="1"/>
  <c r="K203" i="1"/>
  <c r="P203" i="1" s="1"/>
  <c r="K184" i="1"/>
  <c r="P184" i="1" s="1"/>
  <c r="K163" i="1"/>
  <c r="P163" i="1" s="1"/>
  <c r="K290" i="1"/>
  <c r="P290" i="1" s="1"/>
  <c r="K205" i="1"/>
  <c r="P205" i="1" s="1"/>
  <c r="K165" i="1"/>
  <c r="P165" i="1" s="1"/>
  <c r="K236" i="1"/>
  <c r="P236" i="1" s="1"/>
  <c r="K231" i="1"/>
  <c r="P231" i="1" s="1"/>
  <c r="K207" i="1"/>
  <c r="P207" i="1" s="1"/>
  <c r="K167" i="1"/>
  <c r="P167" i="1" s="1"/>
  <c r="K285" i="1"/>
  <c r="P285" i="1" s="1"/>
  <c r="K209" i="1"/>
  <c r="P209" i="1" s="1"/>
  <c r="K169" i="1"/>
  <c r="P169" i="1" s="1"/>
  <c r="K287" i="1"/>
  <c r="P287" i="1" s="1"/>
  <c r="K215" i="1"/>
  <c r="P215" i="1" s="1"/>
  <c r="K175" i="1"/>
  <c r="P175" i="1" s="1"/>
  <c r="K267" i="1"/>
  <c r="P267" i="1" s="1"/>
  <c r="K245" i="1"/>
  <c r="P245" i="1" s="1"/>
  <c r="K219" i="1"/>
  <c r="P219" i="1" s="1"/>
  <c r="K179" i="1"/>
  <c r="P179" i="1" s="1"/>
  <c r="K19" i="1"/>
  <c r="P19" i="1" s="1"/>
  <c r="I1" i="2"/>
  <c r="L119" i="2" s="1"/>
  <c r="K177" i="1"/>
  <c r="P177" i="1" s="1"/>
  <c r="K143" i="1"/>
  <c r="P143" i="1" s="1"/>
  <c r="K134" i="1"/>
  <c r="P134" i="1" s="1"/>
  <c r="K24" i="1"/>
  <c r="P24" i="1" s="1"/>
  <c r="K239" i="1"/>
  <c r="P239" i="1" s="1"/>
  <c r="K217" i="1"/>
  <c r="P217" i="1" s="1"/>
  <c r="K157" i="1"/>
  <c r="P157" i="1" s="1"/>
  <c r="R53" i="1"/>
  <c r="K8" i="1"/>
  <c r="P8" i="1" s="1"/>
  <c r="K127" i="1"/>
  <c r="P127" i="1" s="1"/>
  <c r="K125" i="1"/>
  <c r="P125" i="1" s="1"/>
  <c r="K33" i="1"/>
  <c r="P33" i="1" s="1"/>
  <c r="K6" i="1"/>
  <c r="P6" i="1" s="1"/>
  <c r="K289" i="1"/>
  <c r="P289" i="1" s="1"/>
  <c r="K197" i="1"/>
  <c r="P197" i="1" s="1"/>
  <c r="K145" i="1"/>
  <c r="P145" i="1" s="1"/>
  <c r="K15" i="1"/>
  <c r="P15" i="1" s="1"/>
  <c r="K261" i="1"/>
  <c r="P261" i="1" s="1"/>
  <c r="K187" i="1"/>
  <c r="P187" i="1" s="1"/>
  <c r="K174" i="1"/>
  <c r="P174" i="1" s="1"/>
  <c r="K164" i="1"/>
  <c r="P164" i="1" s="1"/>
  <c r="K112" i="1"/>
  <c r="P112" i="1" s="1"/>
  <c r="K110" i="1"/>
  <c r="P110" i="1" s="1"/>
  <c r="K76" i="1"/>
  <c r="P76" i="1" s="1"/>
  <c r="K275" i="1"/>
  <c r="P275" i="1" s="1"/>
  <c r="K247" i="1"/>
  <c r="P247" i="1" s="1"/>
  <c r="K214" i="1"/>
  <c r="P214" i="1" s="1"/>
  <c r="K194" i="1"/>
  <c r="P194" i="1" s="1"/>
  <c r="K154" i="1"/>
  <c r="P154" i="1" s="1"/>
  <c r="K147" i="1"/>
  <c r="P147" i="1" s="1"/>
  <c r="K131" i="1"/>
  <c r="P131" i="1" s="1"/>
  <c r="K269" i="1"/>
  <c r="P269" i="1" s="1"/>
  <c r="K266" i="1"/>
  <c r="P266" i="1" s="1"/>
  <c r="K116" i="1"/>
  <c r="P116" i="1" s="1"/>
  <c r="K227" i="1"/>
  <c r="P227" i="1" s="1"/>
  <c r="K189" i="1"/>
  <c r="P189" i="1" s="1"/>
  <c r="K176" i="1"/>
  <c r="P176" i="1" s="1"/>
  <c r="K149" i="1"/>
  <c r="P149" i="1" s="1"/>
  <c r="K16" i="1"/>
  <c r="P16" i="1" s="1"/>
  <c r="K18" i="1"/>
  <c r="P18" i="1" s="1"/>
  <c r="K73" i="1"/>
  <c r="P73" i="1" s="1"/>
  <c r="K4" i="1"/>
  <c r="P4" i="1" s="1"/>
  <c r="K12" i="1"/>
  <c r="P12" i="1" s="1"/>
  <c r="K54" i="1"/>
  <c r="P54" i="1" s="1"/>
  <c r="K107" i="1"/>
  <c r="P107" i="1" s="1"/>
  <c r="K63" i="1"/>
  <c r="P63" i="1" s="1"/>
  <c r="K68" i="1"/>
  <c r="P68" i="1" s="1"/>
  <c r="K87" i="1"/>
  <c r="P87" i="1" s="1"/>
  <c r="K141" i="1"/>
  <c r="P141" i="1" s="1"/>
  <c r="K216" i="1"/>
  <c r="P216" i="1" s="1"/>
  <c r="K265" i="1"/>
  <c r="P265" i="1" s="1"/>
  <c r="K268" i="1"/>
  <c r="P268" i="1" s="1"/>
  <c r="K139" i="2"/>
  <c r="K164" i="2"/>
  <c r="P235" i="1"/>
  <c r="L189" i="2"/>
  <c r="L218" i="2"/>
  <c r="K17" i="2"/>
  <c r="L17" i="2" s="1"/>
  <c r="K10" i="1"/>
  <c r="P10" i="1" s="1"/>
  <c r="K82" i="1"/>
  <c r="P82" i="1" s="1"/>
  <c r="K40" i="1"/>
  <c r="P40" i="1" s="1"/>
  <c r="K102" i="1"/>
  <c r="P102" i="1" s="1"/>
  <c r="K14" i="1"/>
  <c r="P14" i="1" s="1"/>
  <c r="K29" i="1"/>
  <c r="P29" i="1" s="1"/>
  <c r="K80" i="1"/>
  <c r="P80" i="1" s="1"/>
  <c r="K119" i="1"/>
  <c r="P119" i="1" s="1"/>
  <c r="K262" i="1"/>
  <c r="P262" i="1" s="1"/>
  <c r="K286" i="1"/>
  <c r="P286" i="1" s="1"/>
  <c r="K103" i="1"/>
  <c r="P103" i="1" s="1"/>
  <c r="K140" i="1"/>
  <c r="P140" i="1" s="1"/>
  <c r="L9" i="2"/>
  <c r="L129" i="2"/>
  <c r="L200" i="2"/>
  <c r="K13" i="1"/>
  <c r="P13" i="1" s="1"/>
  <c r="K59" i="1"/>
  <c r="P59" i="1" s="1"/>
  <c r="K95" i="1"/>
  <c r="P95" i="1" s="1"/>
  <c r="K101" i="1"/>
  <c r="P101" i="1" s="1"/>
  <c r="K138" i="1"/>
  <c r="P138" i="1" s="1"/>
  <c r="K241" i="1"/>
  <c r="P241" i="1" s="1"/>
  <c r="K244" i="1"/>
  <c r="P244" i="1" s="1"/>
  <c r="K272" i="1"/>
  <c r="P272" i="1" s="1"/>
  <c r="K176" i="2"/>
  <c r="K283" i="1"/>
  <c r="P283" i="1" s="1"/>
  <c r="K295" i="1"/>
  <c r="P295" i="1" s="1"/>
  <c r="L188" i="2"/>
  <c r="K78" i="1"/>
  <c r="P78" i="1" s="1"/>
  <c r="K222" i="1"/>
  <c r="P222" i="1" s="1"/>
  <c r="K250" i="1"/>
  <c r="P250" i="1" s="1"/>
  <c r="K303" i="1"/>
  <c r="P303" i="1" s="1"/>
  <c r="K72" i="1"/>
  <c r="P72" i="1" s="1"/>
  <c r="K136" i="1"/>
  <c r="P136" i="1" s="1"/>
  <c r="K253" i="1"/>
  <c r="P253" i="1" s="1"/>
  <c r="K94" i="2"/>
  <c r="K121" i="2"/>
  <c r="K182" i="1"/>
  <c r="P182" i="1" s="1"/>
  <c r="K264" i="1"/>
  <c r="P264" i="1" s="1"/>
  <c r="L91" i="2"/>
  <c r="L108" i="2"/>
  <c r="K70" i="1"/>
  <c r="P70" i="1" s="1"/>
  <c r="K106" i="1"/>
  <c r="P106" i="1" s="1"/>
  <c r="K150" i="1"/>
  <c r="P150" i="1" s="1"/>
  <c r="K190" i="1"/>
  <c r="P190" i="1" s="1"/>
  <c r="K242" i="1"/>
  <c r="P242" i="1" s="1"/>
  <c r="K270" i="1"/>
  <c r="P270" i="1" s="1"/>
  <c r="L133" i="2"/>
  <c r="K220" i="1"/>
  <c r="P220" i="1" s="1"/>
  <c r="L18" i="2"/>
  <c r="L61" i="2"/>
  <c r="K30" i="1"/>
  <c r="P30" i="1" s="1"/>
  <c r="K180" i="1"/>
  <c r="P180" i="1" s="1"/>
  <c r="K200" i="1"/>
  <c r="P200" i="1" s="1"/>
  <c r="K234" i="1"/>
  <c r="P234" i="1" s="1"/>
  <c r="K284" i="1"/>
  <c r="P284" i="1" s="1"/>
  <c r="K233" i="1"/>
  <c r="P233" i="1" s="1"/>
  <c r="L131" i="2"/>
  <c r="L175" i="2"/>
  <c r="L33" i="2"/>
  <c r="L58" i="2"/>
  <c r="K190" i="2"/>
  <c r="K224" i="1"/>
  <c r="P224" i="1" s="1"/>
  <c r="K13" i="2"/>
  <c r="K23" i="2"/>
  <c r="K273" i="1"/>
  <c r="P273" i="1" s="1"/>
  <c r="L216" i="2"/>
  <c r="K293" i="1"/>
  <c r="P293" i="1" s="1"/>
  <c r="K77" i="2"/>
  <c r="L77" i="2" s="1"/>
  <c r="K132" i="2"/>
  <c r="L132" i="2" s="1"/>
  <c r="K90" i="1"/>
  <c r="P90" i="1" s="1"/>
  <c r="K151" i="2"/>
  <c r="K44" i="2"/>
  <c r="K93" i="2"/>
  <c r="K101" i="2"/>
  <c r="K118" i="1"/>
  <c r="P118" i="1" s="1"/>
  <c r="K120" i="1"/>
  <c r="P120" i="1" s="1"/>
  <c r="K43" i="1"/>
  <c r="P43" i="1" s="1"/>
  <c r="K114" i="1"/>
  <c r="P114" i="1" s="1"/>
  <c r="L16" i="2"/>
  <c r="L54" i="2"/>
  <c r="L183" i="2"/>
  <c r="L223" i="2"/>
  <c r="K82" i="2"/>
  <c r="K171" i="2"/>
  <c r="K113" i="2"/>
  <c r="K135" i="2"/>
  <c r="L25" i="2" l="1"/>
  <c r="L164" i="2"/>
  <c r="L207" i="2"/>
  <c r="L192" i="2"/>
  <c r="L166" i="2"/>
  <c r="L153" i="2"/>
  <c r="L20" i="2"/>
  <c r="L105" i="2"/>
  <c r="L139" i="2"/>
  <c r="L214" i="2"/>
  <c r="L198" i="2"/>
  <c r="L178" i="2"/>
  <c r="L217" i="2"/>
  <c r="L31" i="2"/>
  <c r="L158" i="2"/>
  <c r="L7" i="2"/>
  <c r="L121" i="2"/>
  <c r="L102" i="2"/>
  <c r="L137" i="2"/>
  <c r="L174" i="2"/>
  <c r="L204" i="2"/>
  <c r="L193" i="2"/>
  <c r="L76" i="2"/>
  <c r="L95" i="2"/>
  <c r="L194" i="2"/>
  <c r="L212" i="2"/>
  <c r="L89" i="2"/>
  <c r="L94" i="2"/>
  <c r="L90" i="2"/>
  <c r="L145" i="2"/>
  <c r="L114" i="2"/>
  <c r="L126" i="2"/>
  <c r="L199" i="2"/>
  <c r="L79" i="2"/>
  <c r="L2" i="2"/>
  <c r="L68" i="2"/>
  <c r="L155" i="2"/>
  <c r="L14" i="2"/>
  <c r="L135" i="2"/>
  <c r="L11" i="2"/>
  <c r="L6" i="2"/>
  <c r="L185" i="2"/>
  <c r="L179" i="2"/>
  <c r="L222" i="2"/>
  <c r="L106" i="2"/>
  <c r="L203" i="2"/>
  <c r="L88" i="2"/>
  <c r="L64" i="2"/>
  <c r="L167" i="2"/>
  <c r="L201" i="2"/>
  <c r="L161" i="2"/>
  <c r="L144" i="2"/>
  <c r="L3" i="2"/>
  <c r="L125" i="2"/>
  <c r="L27" i="2"/>
  <c r="L62" i="2"/>
  <c r="L157" i="2"/>
  <c r="L74" i="2"/>
  <c r="L67" i="2"/>
  <c r="L50" i="2"/>
  <c r="L120" i="2"/>
  <c r="L4" i="2"/>
  <c r="L40" i="2"/>
  <c r="L169" i="2"/>
  <c r="L93" i="2"/>
  <c r="L196" i="2"/>
  <c r="L148" i="2"/>
  <c r="L5" i="2"/>
  <c r="L107" i="2"/>
  <c r="L24" i="2"/>
  <c r="L115" i="2"/>
  <c r="L130" i="2"/>
  <c r="L28" i="2"/>
  <c r="L48" i="2"/>
  <c r="L99" i="2"/>
  <c r="L87" i="2"/>
  <c r="L70" i="2"/>
  <c r="L134" i="2"/>
  <c r="L30" i="2"/>
  <c r="L117" i="2"/>
  <c r="L191" i="2"/>
  <c r="L181" i="2"/>
  <c r="L128" i="2"/>
  <c r="L180" i="2"/>
  <c r="L8" i="2"/>
  <c r="L221" i="2"/>
  <c r="L184" i="2"/>
  <c r="L186" i="2"/>
  <c r="L98" i="2"/>
  <c r="L156" i="2"/>
  <c r="L187" i="2"/>
  <c r="L136" i="2"/>
  <c r="L34" i="2"/>
  <c r="L49" i="2"/>
  <c r="L23" i="2"/>
  <c r="L75" i="2"/>
  <c r="L44" i="2"/>
  <c r="L69" i="2"/>
  <c r="L21" i="2"/>
  <c r="L197" i="2"/>
  <c r="L104" i="2"/>
  <c r="L159" i="2"/>
  <c r="L52" i="2"/>
  <c r="L195" i="2"/>
  <c r="L152" i="2"/>
  <c r="L219" i="2"/>
  <c r="L112" i="2"/>
  <c r="L149" i="2"/>
  <c r="L209" i="2"/>
  <c r="L63" i="2"/>
  <c r="L86" i="2"/>
  <c r="L56" i="2"/>
  <c r="L26" i="2"/>
  <c r="L111" i="2"/>
  <c r="L220" i="2"/>
  <c r="L205" i="2"/>
  <c r="L110" i="2"/>
  <c r="L182" i="2"/>
  <c r="L143" i="2"/>
  <c r="L211" i="2"/>
  <c r="L176" i="2"/>
  <c r="L38" i="2"/>
  <c r="L103" i="2"/>
  <c r="L81" i="2"/>
  <c r="L109" i="2"/>
  <c r="L96" i="2"/>
  <c r="L73" i="2"/>
  <c r="L32" i="2"/>
  <c r="L85" i="2"/>
  <c r="L206" i="2"/>
  <c r="L42" i="2"/>
  <c r="L163" i="2"/>
  <c r="L82" i="2"/>
  <c r="L151" i="2"/>
  <c r="L190" i="2"/>
  <c r="L154" i="2"/>
  <c r="L177" i="2"/>
  <c r="L36" i="2"/>
  <c r="L208" i="2"/>
  <c r="L92" i="2"/>
  <c r="L165" i="2"/>
  <c r="L83" i="2"/>
  <c r="L127" i="2"/>
  <c r="L29" i="2"/>
  <c r="L150" i="2"/>
  <c r="L140" i="2"/>
  <c r="L118" i="2"/>
  <c r="L80" i="2"/>
  <c r="L146" i="2"/>
  <c r="L97" i="2"/>
  <c r="L45" i="2"/>
  <c r="L15" i="2"/>
  <c r="L138" i="2"/>
  <c r="L210" i="2"/>
  <c r="L172" i="2"/>
  <c r="L60" i="2"/>
  <c r="L12" i="2"/>
  <c r="L170" i="2"/>
  <c r="L59" i="2"/>
  <c r="L202" i="2"/>
  <c r="L19" i="2"/>
  <c r="L122" i="2"/>
  <c r="L160" i="2"/>
  <c r="L46" i="2"/>
  <c r="L53" i="2"/>
  <c r="L72" i="2"/>
  <c r="L43" i="2"/>
  <c r="L35" i="2"/>
  <c r="L55" i="2"/>
  <c r="L71" i="2"/>
  <c r="L101" i="2"/>
  <c r="L173" i="2"/>
  <c r="L215" i="2"/>
  <c r="L113" i="2"/>
  <c r="L13" i="2"/>
  <c r="L171" i="2"/>
  <c r="L116" i="2"/>
  <c r="L51" i="2"/>
  <c r="L162" i="2"/>
  <c r="L66" i="2"/>
  <c r="L100" i="2"/>
  <c r="L124" i="2"/>
  <c r="L141" i="2"/>
  <c r="L78" i="2"/>
  <c r="L142" i="2"/>
  <c r="L168" i="2"/>
  <c r="L65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<sst xmlns="http://schemas.openxmlformats.org/spreadsheetml/2006/main" count="40" uniqueCount="33">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</sst>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A97" zoomScale="85" zoomScaleNormal="85" workbookViewId="0">
      <selection activeCell="A4" sqref="A4:B140"/>
    </sheetView>
  </sheetViews>
  <sheetFormatPr defaultRowHeight="15"/>
  <cols>
    <col min="10" max="10" width="12.28515625" style="1" customWidth="1"/>
    <col min="11" max="11" width="13.5703125" style="1" bestFit="1" customWidth="1"/>
    <col min="28" max="28" width="14" style="1" bestFit="1" customWidth="1"/>
  </cols>
  <sheetData>
    <row r="1" spans="1:29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-0.38053999999999999</v>
      </c>
      <c r="AC3" t="s">
        <v>24</v>
      </c>
    </row>
    <row r="4" spans="1:29">
      <c r="A4">
        <v>4.2700000000000002E-2</v>
      </c>
      <c r="B4">
        <v>0.84692999999999996</v>
      </c>
      <c r="C4">
        <f t="shared" ref="C4:C67" si="0">A4*B4</f>
        <v>3.6163911E-2</v>
      </c>
      <c r="D4">
        <v>1.52E-2</v>
      </c>
      <c r="E4">
        <v>1.167E-2</v>
      </c>
      <c r="F4">
        <f t="shared" ref="F4:F67" si="1">A4*200</f>
        <v>8.5400000000000009</v>
      </c>
      <c r="G4">
        <f t="shared" ref="G4:G67" si="2">-B4</f>
        <v>-0.84692999999999996</v>
      </c>
      <c r="H4">
        <f t="shared" ref="H4:H67" si="3">-C4*200</f>
        <v>-7.2327821999999999</v>
      </c>
      <c r="I4">
        <v>1</v>
      </c>
      <c r="J4">
        <f t="shared" ref="J4:J67" si="4">LN(F4/1000)</f>
        <v>-4.7629942711816584</v>
      </c>
      <c r="K4">
        <f t="shared" ref="K4:K67" si="5">((-G4)-$N$2)</f>
        <v>-0.37479515177521749</v>
      </c>
      <c r="L4">
        <v>1</v>
      </c>
      <c r="M4">
        <f t="shared" ref="M4:M67" si="6">-1*($S$4+($S$5*J4))</f>
        <v>0.25533273858601202</v>
      </c>
      <c r="N4">
        <f t="shared" ref="N4:N67" si="7">D4*A4</f>
        <v>6.4904000000000003E-4</v>
      </c>
      <c r="O4">
        <f t="shared" ref="O4:O67" si="8">E4*A4</f>
        <v>4.9830900000000006E-4</v>
      </c>
      <c r="P4">
        <f t="shared" ref="P4:P67" si="9">-K4-M4-N4-O4</f>
        <v>0.11831506418920547</v>
      </c>
      <c r="R4" s="2" t="s">
        <v>25</v>
      </c>
      <c r="S4">
        <v>-0.50358000000000003</v>
      </c>
      <c r="V4">
        <v>-6</v>
      </c>
      <c r="W4">
        <f t="shared" ref="W4:W35" si="10">V4*$S$5+$S$4</f>
        <v>-0.19086000000000003</v>
      </c>
      <c r="Y4">
        <v>0</v>
      </c>
      <c r="Z4">
        <f t="shared" ref="Z4:Z31" si="11">$AB$4*Y4+$AB$3</f>
        <v>-0.38053999999999999</v>
      </c>
      <c r="AB4">
        <v>11.144740000000001</v>
      </c>
      <c r="AC4" t="s">
        <v>26</v>
      </c>
    </row>
    <row r="5" spans="1:29">
      <c r="A5">
        <v>9.3100000000000002E-2</v>
      </c>
      <c r="B5">
        <v>0.84145000000000003</v>
      </c>
      <c r="C5">
        <f t="shared" si="0"/>
        <v>7.8338995000000008E-2</v>
      </c>
      <c r="D5">
        <v>1.52E-2</v>
      </c>
      <c r="E5">
        <v>1.167E-2</v>
      </c>
      <c r="F5">
        <f t="shared" si="1"/>
        <v>18.62</v>
      </c>
      <c r="G5">
        <f t="shared" si="2"/>
        <v>-0.84145000000000003</v>
      </c>
      <c r="H5">
        <f t="shared" si="3"/>
        <v>-15.667799000000002</v>
      </c>
      <c r="I5">
        <v>1</v>
      </c>
      <c r="J5">
        <f t="shared" si="4"/>
        <v>-3.983519007133216</v>
      </c>
      <c r="K5">
        <f t="shared" si="5"/>
        <v>-0.38027515177521742</v>
      </c>
      <c r="L5">
        <v>1</v>
      </c>
      <c r="M5">
        <f t="shared" si="6"/>
        <v>0.29595898934821685</v>
      </c>
      <c r="N5">
        <f t="shared" si="7"/>
        <v>1.41512E-3</v>
      </c>
      <c r="O5">
        <f t="shared" si="8"/>
        <v>1.086477E-3</v>
      </c>
      <c r="P5">
        <f t="shared" si="9"/>
        <v>8.1814565427000566E-2</v>
      </c>
      <c r="R5" s="2" t="s">
        <v>27</v>
      </c>
      <c r="S5">
        <v>-5.212E-2</v>
      </c>
      <c r="V5">
        <v>-5.9</v>
      </c>
      <c r="W5">
        <f t="shared" si="10"/>
        <v>-0.19607200000000002</v>
      </c>
      <c r="Y5">
        <v>0.01</v>
      </c>
      <c r="Z5">
        <f t="shared" si="11"/>
        <v>-0.26909260000000002</v>
      </c>
    </row>
    <row r="6" spans="1:29">
      <c r="A6">
        <v>0.14505000000000001</v>
      </c>
      <c r="B6">
        <v>0.83189999999999997</v>
      </c>
      <c r="C6">
        <f t="shared" si="0"/>
        <v>0.120667095</v>
      </c>
      <c r="D6">
        <v>1.52E-2</v>
      </c>
      <c r="E6">
        <v>1.167E-2</v>
      </c>
      <c r="F6">
        <f t="shared" si="1"/>
        <v>29.01</v>
      </c>
      <c r="G6">
        <f t="shared" si="2"/>
        <v>-0.83189999999999997</v>
      </c>
      <c r="H6">
        <f t="shared" si="3"/>
        <v>-24.133419</v>
      </c>
      <c r="I6">
        <v>1</v>
      </c>
      <c r="J6">
        <f t="shared" si="4"/>
        <v>-3.5401146808488244</v>
      </c>
      <c r="K6">
        <f t="shared" si="5"/>
        <v>-0.38982515177521748</v>
      </c>
      <c r="L6">
        <v>1</v>
      </c>
      <c r="M6">
        <f t="shared" si="6"/>
        <v>0.31906922283415928</v>
      </c>
      <c r="N6">
        <f t="shared" si="7"/>
        <v>2.2047600000000001E-3</v>
      </c>
      <c r="O6">
        <f t="shared" si="8"/>
        <v>1.6927335E-3</v>
      </c>
      <c r="P6">
        <f t="shared" si="9"/>
        <v>6.6858435441058198E-2</v>
      </c>
      <c r="V6">
        <v>-5.8</v>
      </c>
      <c r="W6">
        <f t="shared" si="10"/>
        <v>-0.20128400000000002</v>
      </c>
      <c r="Y6">
        <v>0.02</v>
      </c>
      <c r="Z6">
        <f t="shared" si="11"/>
        <v>-0.15764519999999999</v>
      </c>
      <c r="AB6" t="s">
        <v>28</v>
      </c>
    </row>
    <row r="7" spans="1:29">
      <c r="A7">
        <v>0.19600000000000001</v>
      </c>
      <c r="B7">
        <v>0.82384000000000002</v>
      </c>
      <c r="C7">
        <f t="shared" si="0"/>
        <v>0.16147264</v>
      </c>
      <c r="D7">
        <v>1.52E-2</v>
      </c>
      <c r="E7">
        <v>1.167E-2</v>
      </c>
      <c r="F7">
        <f t="shared" si="1"/>
        <v>39.200000000000003</v>
      </c>
      <c r="G7">
        <f t="shared" si="2"/>
        <v>-0.82384000000000002</v>
      </c>
      <c r="H7">
        <f t="shared" si="3"/>
        <v>-32.294528</v>
      </c>
      <c r="I7">
        <v>1</v>
      </c>
      <c r="J7">
        <f t="shared" si="4"/>
        <v>-3.2390785321857201</v>
      </c>
      <c r="K7">
        <f t="shared" si="5"/>
        <v>-0.39788515177521744</v>
      </c>
      <c r="L7">
        <v>1</v>
      </c>
      <c r="M7">
        <f t="shared" si="6"/>
        <v>0.33475922690248028</v>
      </c>
      <c r="N7">
        <f t="shared" si="7"/>
        <v>2.9792E-3</v>
      </c>
      <c r="O7">
        <f t="shared" si="8"/>
        <v>2.2873200000000002E-3</v>
      </c>
      <c r="P7">
        <f t="shared" si="9"/>
        <v>5.7859404872737157E-2</v>
      </c>
      <c r="V7">
        <v>-5.7</v>
      </c>
      <c r="W7">
        <f t="shared" si="10"/>
        <v>-0.20649600000000001</v>
      </c>
      <c r="Y7">
        <v>0.03</v>
      </c>
      <c r="Z7">
        <f t="shared" si="11"/>
        <v>-4.6197800000000011E-2</v>
      </c>
      <c r="AB7" t="s">
        <v>29</v>
      </c>
      <c r="AC7">
        <f>-AB3/AB4</f>
        <v>3.4145255968286381E-2</v>
      </c>
    </row>
    <row r="8" spans="1:29">
      <c r="A8">
        <v>0.24790000000000001</v>
      </c>
      <c r="B8">
        <v>0.81681999999999999</v>
      </c>
      <c r="C8">
        <f t="shared" si="0"/>
        <v>0.20248967800000001</v>
      </c>
      <c r="D8">
        <v>1.52E-2</v>
      </c>
      <c r="E8">
        <v>1.167E-2</v>
      </c>
      <c r="F8">
        <f t="shared" si="1"/>
        <v>49.58</v>
      </c>
      <c r="G8">
        <f t="shared" si="2"/>
        <v>-0.81681999999999999</v>
      </c>
      <c r="H8">
        <f t="shared" si="3"/>
        <v>-40.497935599999998</v>
      </c>
      <c r="I8">
        <v>1</v>
      </c>
      <c r="J8">
        <f t="shared" si="4"/>
        <v>-3.0041677523750927</v>
      </c>
      <c r="K8">
        <f t="shared" si="5"/>
        <v>-0.40490515177521746</v>
      </c>
      <c r="L8">
        <v>1</v>
      </c>
      <c r="M8">
        <f t="shared" si="6"/>
        <v>0.34700277674621016</v>
      </c>
      <c r="N8">
        <f t="shared" si="7"/>
        <v>3.76808E-3</v>
      </c>
      <c r="O8">
        <f t="shared" si="8"/>
        <v>2.892993E-3</v>
      </c>
      <c r="P8">
        <f t="shared" si="9"/>
        <v>5.1241302029007299E-2</v>
      </c>
      <c r="V8">
        <v>-5.6</v>
      </c>
      <c r="W8">
        <f t="shared" si="10"/>
        <v>-0.21170800000000006</v>
      </c>
      <c r="Y8">
        <v>0.04</v>
      </c>
      <c r="Z8">
        <f t="shared" si="11"/>
        <v>6.5249600000000019E-2</v>
      </c>
    </row>
    <row r="9" spans="1:29">
      <c r="A9">
        <v>0.29935</v>
      </c>
      <c r="B9">
        <v>0.81037999999999999</v>
      </c>
      <c r="C9">
        <f t="shared" si="0"/>
        <v>0.242587253</v>
      </c>
      <c r="D9">
        <v>1.52E-2</v>
      </c>
      <c r="E9">
        <v>1.167E-2</v>
      </c>
      <c r="F9">
        <f t="shared" si="1"/>
        <v>59.870000000000005</v>
      </c>
      <c r="G9">
        <f t="shared" si="2"/>
        <v>-0.81037999999999999</v>
      </c>
      <c r="H9">
        <f t="shared" si="3"/>
        <v>-48.517450600000004</v>
      </c>
      <c r="I9">
        <v>1</v>
      </c>
      <c r="J9">
        <f t="shared" si="4"/>
        <v>-2.815579734044876</v>
      </c>
      <c r="K9">
        <f t="shared" si="5"/>
        <v>-0.41134515177521747</v>
      </c>
      <c r="L9">
        <v>1</v>
      </c>
      <c r="M9">
        <f t="shared" si="6"/>
        <v>0.35683198426158108</v>
      </c>
      <c r="N9">
        <f t="shared" si="7"/>
        <v>4.5501200000000004E-3</v>
      </c>
      <c r="O9">
        <f t="shared" si="8"/>
        <v>3.4934145E-3</v>
      </c>
      <c r="P9">
        <f t="shared" si="9"/>
        <v>4.6469633013636387E-2</v>
      </c>
      <c r="V9">
        <v>-5.5</v>
      </c>
      <c r="W9">
        <f t="shared" si="10"/>
        <v>-0.21692</v>
      </c>
      <c r="Y9">
        <v>0.05</v>
      </c>
      <c r="Z9">
        <f t="shared" si="11"/>
        <v>0.1766970000000001</v>
      </c>
      <c r="AB9" t="s">
        <v>30</v>
      </c>
      <c r="AC9">
        <v>3.083E-2</v>
      </c>
    </row>
    <row r="10" spans="1:29">
      <c r="A10">
        <v>0.34975000000000001</v>
      </c>
      <c r="B10">
        <v>0.80444000000000004</v>
      </c>
      <c r="C10">
        <f t="shared" si="0"/>
        <v>0.28135289000000002</v>
      </c>
      <c r="D10">
        <v>1.52E-2</v>
      </c>
      <c r="E10">
        <v>1.167E-2</v>
      </c>
      <c r="F10">
        <f t="shared" si="1"/>
        <v>69.95</v>
      </c>
      <c r="G10">
        <f t="shared" si="2"/>
        <v>-0.80444000000000004</v>
      </c>
      <c r="H10">
        <f t="shared" si="3"/>
        <v>-56.270578000000008</v>
      </c>
      <c r="I10">
        <v>1</v>
      </c>
      <c r="J10">
        <f t="shared" si="4"/>
        <v>-2.659974577870647</v>
      </c>
      <c r="K10">
        <f t="shared" si="5"/>
        <v>-0.41728515177521741</v>
      </c>
      <c r="L10">
        <v>1</v>
      </c>
      <c r="M10">
        <f t="shared" si="6"/>
        <v>0.3649421250013819</v>
      </c>
      <c r="N10">
        <f t="shared" si="7"/>
        <v>5.3162000000000001E-3</v>
      </c>
      <c r="O10">
        <f t="shared" si="8"/>
        <v>4.0815825E-3</v>
      </c>
      <c r="P10">
        <f t="shared" si="9"/>
        <v>4.294524427383551E-2</v>
      </c>
      <c r="V10">
        <v>-5.4</v>
      </c>
      <c r="W10">
        <f t="shared" si="10"/>
        <v>-0.222132</v>
      </c>
      <c r="Y10">
        <v>0.06</v>
      </c>
      <c r="Z10">
        <f t="shared" si="11"/>
        <v>0.28814439999999997</v>
      </c>
    </row>
    <row r="11" spans="1:29">
      <c r="A11">
        <v>0.4012</v>
      </c>
      <c r="B11">
        <v>0.79927000000000004</v>
      </c>
      <c r="C11">
        <f t="shared" si="0"/>
        <v>0.32066712400000003</v>
      </c>
      <c r="D11">
        <v>1.52E-2</v>
      </c>
      <c r="E11">
        <v>1.167E-2</v>
      </c>
      <c r="F11">
        <f t="shared" si="1"/>
        <v>80.239999999999995</v>
      </c>
      <c r="G11">
        <f t="shared" si="2"/>
        <v>-0.79927000000000004</v>
      </c>
      <c r="H11">
        <f t="shared" si="3"/>
        <v>-64.1334248</v>
      </c>
      <c r="I11">
        <v>1</v>
      </c>
      <c r="J11">
        <f t="shared" si="4"/>
        <v>-2.522733135328457</v>
      </c>
      <c r="K11">
        <f t="shared" si="5"/>
        <v>-0.42245515177521742</v>
      </c>
      <c r="L11">
        <v>1</v>
      </c>
      <c r="M11">
        <f t="shared" si="6"/>
        <v>0.37209514898668083</v>
      </c>
      <c r="N11">
        <f t="shared" si="7"/>
        <v>6.0982400000000004E-3</v>
      </c>
      <c r="O11">
        <f t="shared" si="8"/>
        <v>4.682004E-3</v>
      </c>
      <c r="P11">
        <f t="shared" si="9"/>
        <v>3.957975878853659E-2</v>
      </c>
      <c r="V11">
        <v>-5.3</v>
      </c>
      <c r="W11">
        <f t="shared" si="10"/>
        <v>-0.22734400000000005</v>
      </c>
      <c r="Y11">
        <v>7.0000000000000007E-2</v>
      </c>
      <c r="Z11">
        <f t="shared" si="11"/>
        <v>0.39959180000000016</v>
      </c>
      <c r="AB11" t="s">
        <v>31</v>
      </c>
      <c r="AC11">
        <f>AC7-AC9</f>
        <v>3.3152559682863812E-3</v>
      </c>
    </row>
    <row r="12" spans="1:29">
      <c r="A12">
        <v>0.45669999999999999</v>
      </c>
      <c r="B12">
        <v>0.79340999999999995</v>
      </c>
      <c r="C12">
        <f t="shared" si="0"/>
        <v>0.36235034699999996</v>
      </c>
      <c r="D12">
        <v>1.52E-2</v>
      </c>
      <c r="E12">
        <v>1.167E-2</v>
      </c>
      <c r="F12">
        <f t="shared" si="1"/>
        <v>91.34</v>
      </c>
      <c r="G12">
        <f t="shared" si="2"/>
        <v>-0.79340999999999995</v>
      </c>
      <c r="H12">
        <f t="shared" si="3"/>
        <v>-72.470069399999986</v>
      </c>
      <c r="I12">
        <v>1</v>
      </c>
      <c r="J12">
        <f t="shared" si="4"/>
        <v>-2.393166471225284</v>
      </c>
      <c r="K12">
        <f t="shared" si="5"/>
        <v>-0.42831515177521751</v>
      </c>
      <c r="L12">
        <v>1</v>
      </c>
      <c r="M12">
        <f t="shared" si="6"/>
        <v>0.37884816351973821</v>
      </c>
      <c r="N12">
        <f t="shared" si="7"/>
        <v>6.9418400000000003E-3</v>
      </c>
      <c r="O12">
        <f t="shared" si="8"/>
        <v>5.3296889999999994E-3</v>
      </c>
      <c r="P12">
        <f t="shared" si="9"/>
        <v>3.7195459255479298E-2</v>
      </c>
      <c r="V12">
        <v>-5.2</v>
      </c>
      <c r="W12">
        <f t="shared" si="10"/>
        <v>-0.23255600000000004</v>
      </c>
      <c r="Y12">
        <v>0.08</v>
      </c>
      <c r="Z12">
        <f t="shared" si="11"/>
        <v>0.51103920000000003</v>
      </c>
      <c r="AC12">
        <f>AC11*3</f>
        <v>9.9457679048591437E-3</v>
      </c>
    </row>
    <row r="13" spans="1:29">
      <c r="A13">
        <v>0.5071</v>
      </c>
      <c r="B13">
        <v>0.78820999999999997</v>
      </c>
      <c r="C13">
        <f t="shared" si="0"/>
        <v>0.39970129099999996</v>
      </c>
      <c r="D13">
        <v>1.52E-2</v>
      </c>
      <c r="E13">
        <v>1.167E-2</v>
      </c>
      <c r="F13">
        <f t="shared" si="1"/>
        <v>101.42</v>
      </c>
      <c r="G13">
        <f t="shared" si="2"/>
        <v>-0.78820999999999997</v>
      </c>
      <c r="H13">
        <f t="shared" si="3"/>
        <v>-79.940258199999988</v>
      </c>
      <c r="I13">
        <v>1</v>
      </c>
      <c r="J13">
        <f t="shared" si="4"/>
        <v>-2.288484968615264</v>
      </c>
      <c r="K13">
        <f t="shared" si="5"/>
        <v>-0.43351515177521749</v>
      </c>
      <c r="L13">
        <v>1</v>
      </c>
      <c r="M13">
        <f t="shared" si="6"/>
        <v>0.38430416343577245</v>
      </c>
      <c r="N13">
        <f t="shared" si="7"/>
        <v>7.70792E-3</v>
      </c>
      <c r="O13">
        <f t="shared" si="8"/>
        <v>5.9178569999999995E-3</v>
      </c>
      <c r="P13">
        <f t="shared" si="9"/>
        <v>3.558521133944504E-2</v>
      </c>
      <c r="V13">
        <v>-5.0999999999999996</v>
      </c>
      <c r="W13">
        <f t="shared" si="10"/>
        <v>-0.23776800000000003</v>
      </c>
      <c r="Y13">
        <v>0.09</v>
      </c>
      <c r="Z13">
        <f t="shared" si="11"/>
        <v>0.62248660000000011</v>
      </c>
    </row>
    <row r="14" spans="1:29">
      <c r="A14">
        <v>0.55954999999999999</v>
      </c>
      <c r="B14">
        <v>0.78380000000000005</v>
      </c>
      <c r="C14">
        <f t="shared" si="0"/>
        <v>0.43857529000000001</v>
      </c>
      <c r="D14">
        <v>1.52E-2</v>
      </c>
      <c r="E14">
        <v>1.167E-2</v>
      </c>
      <c r="F14">
        <f t="shared" si="1"/>
        <v>111.91</v>
      </c>
      <c r="G14">
        <f t="shared" si="2"/>
        <v>-0.78380000000000005</v>
      </c>
      <c r="H14">
        <f t="shared" si="3"/>
        <v>-87.715057999999999</v>
      </c>
      <c r="I14">
        <v>1</v>
      </c>
      <c r="J14">
        <f t="shared" si="4"/>
        <v>-2.1900603021522014</v>
      </c>
      <c r="K14">
        <f t="shared" si="5"/>
        <v>-0.4379251517752174</v>
      </c>
      <c r="L14">
        <v>1</v>
      </c>
      <c r="M14">
        <f t="shared" si="6"/>
        <v>0.38943405705182732</v>
      </c>
      <c r="N14">
        <f t="shared" si="7"/>
        <v>8.5051599999999995E-3</v>
      </c>
      <c r="O14">
        <f t="shared" si="8"/>
        <v>6.5299484999999996E-3</v>
      </c>
      <c r="P14">
        <f t="shared" si="9"/>
        <v>3.3455986223390084E-2</v>
      </c>
      <c r="V14">
        <v>-5</v>
      </c>
      <c r="W14">
        <f t="shared" si="10"/>
        <v>-0.24298000000000003</v>
      </c>
      <c r="Y14">
        <v>0.1</v>
      </c>
      <c r="Z14">
        <f t="shared" si="11"/>
        <v>0.7339340000000002</v>
      </c>
    </row>
    <row r="15" spans="1:29">
      <c r="A15">
        <v>0.60994999999999999</v>
      </c>
      <c r="B15">
        <v>0.77937000000000001</v>
      </c>
      <c r="C15">
        <f t="shared" si="0"/>
        <v>0.47537673149999998</v>
      </c>
      <c r="D15">
        <v>1.52E-2</v>
      </c>
      <c r="E15">
        <v>1.167E-2</v>
      </c>
      <c r="F15">
        <f t="shared" si="1"/>
        <v>121.99</v>
      </c>
      <c r="G15">
        <f t="shared" si="2"/>
        <v>-0.77937000000000001</v>
      </c>
      <c r="H15">
        <f t="shared" si="3"/>
        <v>-95.075346299999993</v>
      </c>
      <c r="I15">
        <v>1</v>
      </c>
      <c r="J15">
        <f t="shared" si="4"/>
        <v>-2.103816204821491</v>
      </c>
      <c r="K15">
        <f t="shared" si="5"/>
        <v>-0.44235515177521745</v>
      </c>
      <c r="L15">
        <v>1</v>
      </c>
      <c r="M15">
        <f t="shared" si="6"/>
        <v>0.39392909940470389</v>
      </c>
      <c r="N15">
        <f t="shared" si="7"/>
        <v>9.27124E-3</v>
      </c>
      <c r="O15">
        <f t="shared" si="8"/>
        <v>7.1181164999999996E-3</v>
      </c>
      <c r="P15">
        <f t="shared" si="9"/>
        <v>3.2036695870513561E-2</v>
      </c>
      <c r="V15">
        <v>-4.9000000000000004</v>
      </c>
      <c r="W15">
        <f t="shared" si="10"/>
        <v>-0.24819200000000002</v>
      </c>
      <c r="Y15">
        <v>0.11</v>
      </c>
      <c r="Z15">
        <f t="shared" si="11"/>
        <v>0.84538140000000006</v>
      </c>
    </row>
    <row r="16" spans="1:29">
      <c r="A16">
        <v>0.66134999999999999</v>
      </c>
      <c r="B16">
        <v>0.77488999999999997</v>
      </c>
      <c r="C16">
        <f t="shared" si="0"/>
        <v>0.51247350149999993</v>
      </c>
      <c r="D16">
        <v>1.52E-2</v>
      </c>
      <c r="E16">
        <v>1.167E-2</v>
      </c>
      <c r="F16">
        <f t="shared" si="1"/>
        <v>132.27000000000001</v>
      </c>
      <c r="G16">
        <f t="shared" si="2"/>
        <v>-0.77488999999999997</v>
      </c>
      <c r="H16">
        <f t="shared" si="3"/>
        <v>-102.49470029999999</v>
      </c>
      <c r="I16">
        <v>1</v>
      </c>
      <c r="J16">
        <f t="shared" si="4"/>
        <v>-2.0229099909441812</v>
      </c>
      <c r="K16">
        <f t="shared" si="5"/>
        <v>-0.44683515177521749</v>
      </c>
      <c r="L16">
        <v>1</v>
      </c>
      <c r="M16">
        <f t="shared" si="6"/>
        <v>0.39814593127198927</v>
      </c>
      <c r="N16">
        <f t="shared" si="7"/>
        <v>1.0052520000000001E-2</v>
      </c>
      <c r="O16">
        <f t="shared" si="8"/>
        <v>7.7179544999999997E-3</v>
      </c>
      <c r="P16">
        <f t="shared" si="9"/>
        <v>3.0918746003228213E-2</v>
      </c>
      <c r="V16">
        <v>-4.8</v>
      </c>
      <c r="W16">
        <f t="shared" si="10"/>
        <v>-0.25340400000000002</v>
      </c>
      <c r="Y16">
        <v>0.12</v>
      </c>
      <c r="Z16">
        <f t="shared" si="11"/>
        <v>0.95682879999999992</v>
      </c>
    </row>
    <row r="17" spans="1:26">
      <c r="A17">
        <v>0.71179999999999999</v>
      </c>
      <c r="B17">
        <v>0.77085999999999999</v>
      </c>
      <c r="C17">
        <f t="shared" si="0"/>
        <v>0.54869814799999994</v>
      </c>
      <c r="D17">
        <v>1.52E-2</v>
      </c>
      <c r="E17">
        <v>1.167E-2</v>
      </c>
      <c r="F17">
        <f t="shared" si="1"/>
        <v>142.35999999999999</v>
      </c>
      <c r="G17">
        <f t="shared" si="2"/>
        <v>-0.77085999999999999</v>
      </c>
      <c r="H17">
        <f t="shared" si="3"/>
        <v>-109.73962959999999</v>
      </c>
      <c r="I17">
        <v>1</v>
      </c>
      <c r="J17">
        <f t="shared" si="4"/>
        <v>-1.9493962183401452</v>
      </c>
      <c r="K17">
        <f t="shared" si="5"/>
        <v>-0.45086515177521747</v>
      </c>
      <c r="L17">
        <v>1</v>
      </c>
      <c r="M17">
        <f t="shared" si="6"/>
        <v>0.40197746910011167</v>
      </c>
      <c r="N17">
        <f t="shared" si="7"/>
        <v>1.081936E-2</v>
      </c>
      <c r="O17">
        <f t="shared" si="8"/>
        <v>8.3067060000000005E-3</v>
      </c>
      <c r="P17">
        <f t="shared" si="9"/>
        <v>2.9761616675105792E-2</v>
      </c>
      <c r="V17">
        <v>-4.7</v>
      </c>
      <c r="W17">
        <f t="shared" si="10"/>
        <v>-0.25861600000000001</v>
      </c>
      <c r="Y17">
        <v>0.13</v>
      </c>
      <c r="Z17">
        <f t="shared" si="11"/>
        <v>1.0682762000000001</v>
      </c>
    </row>
    <row r="18" spans="1:26">
      <c r="A18">
        <v>0.76319999999999999</v>
      </c>
      <c r="B18">
        <v>0.76683000000000001</v>
      </c>
      <c r="C18">
        <f t="shared" si="0"/>
        <v>0.58524465599999997</v>
      </c>
      <c r="D18">
        <v>1.52E-2</v>
      </c>
      <c r="E18">
        <v>1.167E-2</v>
      </c>
      <c r="F18">
        <f t="shared" si="1"/>
        <v>152.63999999999999</v>
      </c>
      <c r="G18">
        <f t="shared" si="2"/>
        <v>-0.76683000000000001</v>
      </c>
      <c r="H18">
        <f t="shared" si="3"/>
        <v>-117.0489312</v>
      </c>
      <c r="I18">
        <v>1</v>
      </c>
      <c r="J18">
        <f t="shared" si="4"/>
        <v>-1.8796730712821608</v>
      </c>
      <c r="K18">
        <f t="shared" si="5"/>
        <v>-0.45489515177521744</v>
      </c>
      <c r="L18">
        <v>1</v>
      </c>
      <c r="M18">
        <f t="shared" si="6"/>
        <v>0.4056114395247738</v>
      </c>
      <c r="N18">
        <f t="shared" si="7"/>
        <v>1.1600640000000001E-2</v>
      </c>
      <c r="O18">
        <f t="shared" si="8"/>
        <v>8.9065439999999989E-3</v>
      </c>
      <c r="P18">
        <f t="shared" si="9"/>
        <v>2.8776528250443644E-2</v>
      </c>
      <c r="V18">
        <v>-4.5999999999999996</v>
      </c>
      <c r="W18">
        <f t="shared" si="10"/>
        <v>-0.26382800000000006</v>
      </c>
      <c r="Y18">
        <v>0.14000000000000001</v>
      </c>
      <c r="Z18">
        <f t="shared" si="11"/>
        <v>1.1797236000000004</v>
      </c>
    </row>
    <row r="19" spans="1:26">
      <c r="A19">
        <v>0.81614999999999993</v>
      </c>
      <c r="B19">
        <v>0.76263000000000003</v>
      </c>
      <c r="C19">
        <f t="shared" si="0"/>
        <v>0.62242047449999993</v>
      </c>
      <c r="D19">
        <v>1.52E-2</v>
      </c>
      <c r="E19">
        <v>1.167E-2</v>
      </c>
      <c r="F19">
        <f t="shared" si="1"/>
        <v>163.22999999999999</v>
      </c>
      <c r="G19">
        <f t="shared" si="2"/>
        <v>-0.76263000000000003</v>
      </c>
      <c r="H19">
        <f t="shared" si="3"/>
        <v>-124.48409489999999</v>
      </c>
      <c r="I19">
        <v>1</v>
      </c>
      <c r="J19">
        <f t="shared" si="4"/>
        <v>-1.8125950298161935</v>
      </c>
      <c r="K19">
        <f t="shared" si="5"/>
        <v>-0.45909515177521742</v>
      </c>
      <c r="L19">
        <v>1</v>
      </c>
      <c r="M19">
        <f t="shared" si="6"/>
        <v>0.40910754704598001</v>
      </c>
      <c r="N19">
        <f t="shared" si="7"/>
        <v>1.2405479999999998E-2</v>
      </c>
      <c r="O19">
        <f t="shared" si="8"/>
        <v>9.5244704999999999E-3</v>
      </c>
      <c r="P19">
        <f t="shared" si="9"/>
        <v>2.8057654229237415E-2</v>
      </c>
      <c r="V19">
        <v>-4.5000000000000098</v>
      </c>
      <c r="W19">
        <f t="shared" si="10"/>
        <v>-0.2690399999999995</v>
      </c>
      <c r="Y19">
        <v>0.15</v>
      </c>
      <c r="Z19">
        <f t="shared" si="11"/>
        <v>1.2911709999999998</v>
      </c>
    </row>
    <row r="20" spans="1:26">
      <c r="A20">
        <v>0.86760000000000004</v>
      </c>
      <c r="B20">
        <v>0.75871999999999995</v>
      </c>
      <c r="C20">
        <f t="shared" si="0"/>
        <v>0.65826547199999996</v>
      </c>
      <c r="D20">
        <v>1.52E-2</v>
      </c>
      <c r="E20">
        <v>1.167E-2</v>
      </c>
      <c r="F20">
        <f t="shared" si="1"/>
        <v>173.52</v>
      </c>
      <c r="G20">
        <f t="shared" si="2"/>
        <v>-0.75871999999999995</v>
      </c>
      <c r="H20">
        <f t="shared" si="3"/>
        <v>-131.65309439999999</v>
      </c>
      <c r="I20">
        <v>1</v>
      </c>
      <c r="J20">
        <f t="shared" si="4"/>
        <v>-1.7514624124635181</v>
      </c>
      <c r="K20">
        <f t="shared" si="5"/>
        <v>-0.4630051517752175</v>
      </c>
      <c r="L20">
        <v>1</v>
      </c>
      <c r="M20">
        <f t="shared" si="6"/>
        <v>0.4122937790624015</v>
      </c>
      <c r="N20">
        <f t="shared" si="7"/>
        <v>1.3187520000000001E-2</v>
      </c>
      <c r="O20">
        <f t="shared" si="8"/>
        <v>1.0124892E-2</v>
      </c>
      <c r="P20">
        <f t="shared" si="9"/>
        <v>2.7398960712816004E-2</v>
      </c>
      <c r="V20">
        <v>-4.4000000000000101</v>
      </c>
      <c r="W20">
        <f t="shared" si="10"/>
        <v>-0.2742519999999995</v>
      </c>
      <c r="Y20">
        <v>0.16</v>
      </c>
      <c r="Z20">
        <f t="shared" si="11"/>
        <v>1.4026184000000002</v>
      </c>
    </row>
    <row r="21" spans="1:26">
      <c r="A21">
        <v>0.91800000000000004</v>
      </c>
      <c r="B21">
        <v>0.75516000000000005</v>
      </c>
      <c r="C21">
        <f t="shared" si="0"/>
        <v>0.69323688000000006</v>
      </c>
      <c r="D21">
        <v>1.52E-2</v>
      </c>
      <c r="E21">
        <v>1.167E-2</v>
      </c>
      <c r="F21">
        <f t="shared" si="1"/>
        <v>183.6</v>
      </c>
      <c r="G21">
        <f t="shared" si="2"/>
        <v>-0.75516000000000005</v>
      </c>
      <c r="H21">
        <f t="shared" si="3"/>
        <v>-138.64737600000001</v>
      </c>
      <c r="I21">
        <v>1</v>
      </c>
      <c r="J21">
        <f t="shared" si="4"/>
        <v>-1.6949958007957471</v>
      </c>
      <c r="K21">
        <f t="shared" si="5"/>
        <v>-0.4665651517752174</v>
      </c>
      <c r="L21">
        <v>1</v>
      </c>
      <c r="M21">
        <f t="shared" si="6"/>
        <v>0.41523681886252573</v>
      </c>
      <c r="N21">
        <f t="shared" si="7"/>
        <v>1.39536E-2</v>
      </c>
      <c r="O21">
        <f t="shared" si="8"/>
        <v>1.071306E-2</v>
      </c>
      <c r="P21">
        <f t="shared" si="9"/>
        <v>2.666167291269168E-2</v>
      </c>
      <c r="V21">
        <v>-4.3000000000000096</v>
      </c>
      <c r="W21">
        <f t="shared" si="10"/>
        <v>-0.27946399999999949</v>
      </c>
      <c r="Y21">
        <v>0.17</v>
      </c>
      <c r="Z21">
        <f t="shared" si="11"/>
        <v>1.5140658</v>
      </c>
    </row>
    <row r="22" spans="1:26">
      <c r="A22">
        <v>0.96839999999999993</v>
      </c>
      <c r="B22">
        <v>0.75126999999999999</v>
      </c>
      <c r="C22">
        <f t="shared" si="0"/>
        <v>0.72752986799999997</v>
      </c>
      <c r="D22">
        <v>1.52E-2</v>
      </c>
      <c r="E22">
        <v>1.167E-2</v>
      </c>
      <c r="F22">
        <f t="shared" si="1"/>
        <v>193.67999999999998</v>
      </c>
      <c r="G22">
        <f t="shared" si="2"/>
        <v>-0.75126999999999999</v>
      </c>
      <c r="H22">
        <f t="shared" si="3"/>
        <v>-145.5059736</v>
      </c>
      <c r="I22">
        <v>1</v>
      </c>
      <c r="J22">
        <f t="shared" si="4"/>
        <v>-1.641547966352334</v>
      </c>
      <c r="K22">
        <f t="shared" si="5"/>
        <v>-0.47045515177521746</v>
      </c>
      <c r="L22">
        <v>1</v>
      </c>
      <c r="M22">
        <f t="shared" si="6"/>
        <v>0.41802251999371637</v>
      </c>
      <c r="N22">
        <f t="shared" si="7"/>
        <v>1.4719679999999999E-2</v>
      </c>
      <c r="O22">
        <f t="shared" si="8"/>
        <v>1.1301227999999998E-2</v>
      </c>
      <c r="P22">
        <f t="shared" si="9"/>
        <v>2.6411723781501098E-2</v>
      </c>
      <c r="V22">
        <v>-4.2000000000000099</v>
      </c>
      <c r="W22">
        <f t="shared" si="10"/>
        <v>-0.28467599999999949</v>
      </c>
      <c r="Y22">
        <v>0.18</v>
      </c>
      <c r="Z22">
        <f t="shared" si="11"/>
        <v>1.6255132000000003</v>
      </c>
    </row>
    <row r="23" spans="1:26">
      <c r="A23">
        <v>1.0203500000000001</v>
      </c>
      <c r="B23">
        <v>0.74778</v>
      </c>
      <c r="C23">
        <f t="shared" si="0"/>
        <v>0.76299732300000012</v>
      </c>
      <c r="D23">
        <v>1.52E-2</v>
      </c>
      <c r="E23">
        <v>1.167E-2</v>
      </c>
      <c r="F23">
        <f t="shared" si="1"/>
        <v>204.07000000000002</v>
      </c>
      <c r="G23">
        <f t="shared" si="2"/>
        <v>-0.74778</v>
      </c>
      <c r="H23">
        <f t="shared" si="3"/>
        <v>-152.59946460000003</v>
      </c>
      <c r="I23">
        <v>1</v>
      </c>
      <c r="J23">
        <f t="shared" si="4"/>
        <v>-1.5892922067411426</v>
      </c>
      <c r="K23">
        <f t="shared" si="5"/>
        <v>-0.47394515177521745</v>
      </c>
      <c r="L23">
        <v>1</v>
      </c>
      <c r="M23">
        <f t="shared" si="6"/>
        <v>0.4207460901846517</v>
      </c>
      <c r="N23">
        <f t="shared" si="7"/>
        <v>1.5509320000000002E-2</v>
      </c>
      <c r="O23">
        <f t="shared" si="8"/>
        <v>1.1907484500000001E-2</v>
      </c>
      <c r="P23">
        <f t="shared" si="9"/>
        <v>2.5782257090565752E-2</v>
      </c>
      <c r="V23">
        <v>-4.1000000000000103</v>
      </c>
      <c r="W23">
        <f t="shared" si="10"/>
        <v>-0.28988799999999948</v>
      </c>
      <c r="Y23">
        <v>0.19</v>
      </c>
      <c r="Z23">
        <f t="shared" si="11"/>
        <v>1.7369606000000002</v>
      </c>
    </row>
    <row r="24" spans="1:26">
      <c r="A24">
        <v>1.0723</v>
      </c>
      <c r="B24">
        <v>0.74417</v>
      </c>
      <c r="C24">
        <f t="shared" si="0"/>
        <v>0.79797349100000003</v>
      </c>
      <c r="D24">
        <v>1.52E-2</v>
      </c>
      <c r="E24">
        <v>1.167E-2</v>
      </c>
      <c r="F24">
        <f t="shared" si="1"/>
        <v>214.46</v>
      </c>
      <c r="G24">
        <f t="shared" si="2"/>
        <v>-0.74417</v>
      </c>
      <c r="H24">
        <f t="shared" si="3"/>
        <v>-159.59469820000001</v>
      </c>
      <c r="I24">
        <v>1</v>
      </c>
      <c r="J24">
        <f t="shared" si="4"/>
        <v>-1.5396320381901374</v>
      </c>
      <c r="K24">
        <f t="shared" si="5"/>
        <v>-0.47755515177521746</v>
      </c>
      <c r="L24">
        <v>1</v>
      </c>
      <c r="M24">
        <f t="shared" si="6"/>
        <v>0.42333437816953007</v>
      </c>
      <c r="N24">
        <f t="shared" si="7"/>
        <v>1.6298960000000001E-2</v>
      </c>
      <c r="O24">
        <f t="shared" si="8"/>
        <v>1.2513741E-2</v>
      </c>
      <c r="P24">
        <f t="shared" si="9"/>
        <v>2.5408072605687386E-2</v>
      </c>
      <c r="V24">
        <v>-4.0000000000000098</v>
      </c>
      <c r="W24">
        <f t="shared" si="10"/>
        <v>-0.29509999999999953</v>
      </c>
      <c r="Y24">
        <v>0.2</v>
      </c>
      <c r="Z24">
        <f t="shared" si="11"/>
        <v>1.8484080000000005</v>
      </c>
    </row>
    <row r="25" spans="1:26">
      <c r="A25">
        <v>1.12575</v>
      </c>
      <c r="B25">
        <v>0.74038999999999999</v>
      </c>
      <c r="C25">
        <f t="shared" si="0"/>
        <v>0.83349404250000003</v>
      </c>
      <c r="D25">
        <v>1.52E-2</v>
      </c>
      <c r="E25">
        <v>1.167E-2</v>
      </c>
      <c r="F25">
        <f t="shared" si="1"/>
        <v>225.15</v>
      </c>
      <c r="G25">
        <f t="shared" si="2"/>
        <v>-0.74038999999999999</v>
      </c>
      <c r="H25">
        <f t="shared" si="3"/>
        <v>-166.69880850000001</v>
      </c>
      <c r="I25">
        <v>1</v>
      </c>
      <c r="J25">
        <f t="shared" si="4"/>
        <v>-1.4909884322345563</v>
      </c>
      <c r="K25">
        <f t="shared" si="5"/>
        <v>-0.48133515177521746</v>
      </c>
      <c r="L25">
        <v>1</v>
      </c>
      <c r="M25">
        <f t="shared" si="6"/>
        <v>0.42586968291193494</v>
      </c>
      <c r="N25">
        <f t="shared" si="7"/>
        <v>1.7111399999999999E-2</v>
      </c>
      <c r="O25">
        <f t="shared" si="8"/>
        <v>1.31375025E-2</v>
      </c>
      <c r="P25">
        <f t="shared" si="9"/>
        <v>2.5216566363282518E-2</v>
      </c>
      <c r="V25">
        <v>-3.9000000000000101</v>
      </c>
      <c r="W25">
        <f t="shared" si="10"/>
        <v>-0.30031199999999947</v>
      </c>
      <c r="Y25">
        <v>0.21</v>
      </c>
      <c r="Z25">
        <f t="shared" si="11"/>
        <v>1.9598554000000004</v>
      </c>
    </row>
    <row r="26" spans="1:26">
      <c r="A26">
        <v>1.17615</v>
      </c>
      <c r="B26">
        <v>0.73682000000000003</v>
      </c>
      <c r="C26">
        <f t="shared" si="0"/>
        <v>0.86661084300000002</v>
      </c>
      <c r="D26">
        <v>1.52E-2</v>
      </c>
      <c r="E26">
        <v>1.167E-2</v>
      </c>
      <c r="F26">
        <f t="shared" si="1"/>
        <v>235.23000000000002</v>
      </c>
      <c r="G26">
        <f t="shared" si="2"/>
        <v>-0.73682000000000003</v>
      </c>
      <c r="H26">
        <f t="shared" si="3"/>
        <v>-173.3221686</v>
      </c>
      <c r="I26">
        <v>1</v>
      </c>
      <c r="J26">
        <f t="shared" si="4"/>
        <v>-1.4471915200711967</v>
      </c>
      <c r="K26">
        <f t="shared" si="5"/>
        <v>-0.48490515177521742</v>
      </c>
      <c r="L26">
        <v>1</v>
      </c>
      <c r="M26">
        <f t="shared" si="6"/>
        <v>0.42815237797388928</v>
      </c>
      <c r="N26">
        <f t="shared" si="7"/>
        <v>1.7877480000000001E-2</v>
      </c>
      <c r="O26">
        <f t="shared" si="8"/>
        <v>1.37256705E-2</v>
      </c>
      <c r="P26">
        <f t="shared" si="9"/>
        <v>2.5149623301328146E-2</v>
      </c>
      <c r="V26">
        <v>-3.80000000000001</v>
      </c>
      <c r="W26">
        <f t="shared" si="10"/>
        <v>-0.30552399999999952</v>
      </c>
      <c r="Y26">
        <v>0.22</v>
      </c>
      <c r="Z26">
        <f t="shared" si="11"/>
        <v>2.0713028000000002</v>
      </c>
    </row>
    <row r="27" spans="1:26">
      <c r="A27">
        <v>1.2276</v>
      </c>
      <c r="B27">
        <v>0.73336000000000001</v>
      </c>
      <c r="C27">
        <f t="shared" si="0"/>
        <v>0.90027273600000002</v>
      </c>
      <c r="D27">
        <v>1.52E-2</v>
      </c>
      <c r="E27">
        <v>1.167E-2</v>
      </c>
      <c r="F27">
        <f t="shared" si="1"/>
        <v>245.52</v>
      </c>
      <c r="G27">
        <f t="shared" si="2"/>
        <v>-0.73336000000000001</v>
      </c>
      <c r="H27">
        <f t="shared" si="3"/>
        <v>-180.0545472</v>
      </c>
      <c r="I27">
        <v>1</v>
      </c>
      <c r="J27">
        <f t="shared" si="4"/>
        <v>-1.4043768686706564</v>
      </c>
      <c r="K27">
        <f t="shared" si="5"/>
        <v>-0.48836515177521744</v>
      </c>
      <c r="L27">
        <v>1</v>
      </c>
      <c r="M27">
        <f t="shared" si="6"/>
        <v>0.43038387760488539</v>
      </c>
      <c r="N27">
        <f t="shared" si="7"/>
        <v>1.8659519999999999E-2</v>
      </c>
      <c r="O27">
        <f t="shared" si="8"/>
        <v>1.4326092E-2</v>
      </c>
      <c r="P27">
        <f t="shared" si="9"/>
        <v>2.4995662170332056E-2</v>
      </c>
      <c r="V27">
        <v>-3.7000000000000099</v>
      </c>
      <c r="W27">
        <f t="shared" si="10"/>
        <v>-0.31073599999999951</v>
      </c>
      <c r="Y27">
        <v>0.23</v>
      </c>
      <c r="Z27">
        <f t="shared" si="11"/>
        <v>2.1827502000000005</v>
      </c>
    </row>
    <row r="28" spans="1:26">
      <c r="A28">
        <v>1.2805500000000001</v>
      </c>
      <c r="B28">
        <v>0.72989999999999999</v>
      </c>
      <c r="C28">
        <f t="shared" si="0"/>
        <v>0.93467344500000005</v>
      </c>
      <c r="D28">
        <v>1.52E-2</v>
      </c>
      <c r="E28">
        <v>1.167E-2</v>
      </c>
      <c r="F28">
        <f t="shared" si="1"/>
        <v>256.11</v>
      </c>
      <c r="G28">
        <f t="shared" si="2"/>
        <v>-0.72989999999999999</v>
      </c>
      <c r="H28">
        <f t="shared" si="3"/>
        <v>-186.93468900000002</v>
      </c>
      <c r="I28">
        <v>1</v>
      </c>
      <c r="J28">
        <f t="shared" si="4"/>
        <v>-1.3621482392918123</v>
      </c>
      <c r="K28">
        <f t="shared" si="5"/>
        <v>-0.49182515177521746</v>
      </c>
      <c r="L28">
        <v>1</v>
      </c>
      <c r="M28">
        <f t="shared" si="6"/>
        <v>0.43258483376811074</v>
      </c>
      <c r="N28">
        <f t="shared" si="7"/>
        <v>1.946436E-2</v>
      </c>
      <c r="O28">
        <f t="shared" si="8"/>
        <v>1.4944018500000001E-2</v>
      </c>
      <c r="P28">
        <f t="shared" si="9"/>
        <v>2.4831939507106715E-2</v>
      </c>
      <c r="V28">
        <v>-3.6000000000000099</v>
      </c>
      <c r="W28">
        <f t="shared" si="10"/>
        <v>-0.31594799999999951</v>
      </c>
      <c r="Y28">
        <v>0.24</v>
      </c>
      <c r="Z28">
        <f t="shared" si="11"/>
        <v>2.2941975999999999</v>
      </c>
    </row>
    <row r="29" spans="1:26">
      <c r="A29">
        <v>1.33145</v>
      </c>
      <c r="B29">
        <v>0.72670000000000001</v>
      </c>
      <c r="C29">
        <f t="shared" si="0"/>
        <v>0.96756471500000008</v>
      </c>
      <c r="D29">
        <v>1.52E-2</v>
      </c>
      <c r="E29">
        <v>1.167E-2</v>
      </c>
      <c r="F29">
        <f t="shared" si="1"/>
        <v>266.29000000000002</v>
      </c>
      <c r="G29">
        <f t="shared" si="2"/>
        <v>-0.72670000000000001</v>
      </c>
      <c r="H29">
        <f t="shared" si="3"/>
        <v>-193.51294300000001</v>
      </c>
      <c r="I29">
        <v>1</v>
      </c>
      <c r="J29">
        <f t="shared" si="4"/>
        <v>-1.3231693385008267</v>
      </c>
      <c r="K29">
        <f t="shared" si="5"/>
        <v>-0.49502515177521744</v>
      </c>
      <c r="L29">
        <v>1</v>
      </c>
      <c r="M29">
        <f t="shared" si="6"/>
        <v>0.43461641407733692</v>
      </c>
      <c r="N29">
        <f t="shared" si="7"/>
        <v>2.0238039999999999E-2</v>
      </c>
      <c r="O29">
        <f t="shared" si="8"/>
        <v>1.5538021500000001E-2</v>
      </c>
      <c r="P29">
        <f t="shared" si="9"/>
        <v>2.4632676197880524E-2</v>
      </c>
      <c r="V29">
        <v>-3.5000000000000102</v>
      </c>
      <c r="W29">
        <f t="shared" si="10"/>
        <v>-0.3211599999999995</v>
      </c>
      <c r="Y29">
        <v>0.25</v>
      </c>
      <c r="Z29">
        <f t="shared" si="11"/>
        <v>2.4056450000000003</v>
      </c>
    </row>
    <row r="30" spans="1:26">
      <c r="A30">
        <v>1.3829</v>
      </c>
      <c r="B30">
        <v>0.72306999999999999</v>
      </c>
      <c r="C30">
        <f t="shared" si="0"/>
        <v>0.99993350299999995</v>
      </c>
      <c r="D30">
        <v>1.52E-2</v>
      </c>
      <c r="E30">
        <v>1.167E-2</v>
      </c>
      <c r="F30">
        <f t="shared" si="1"/>
        <v>276.58</v>
      </c>
      <c r="G30">
        <f t="shared" si="2"/>
        <v>-0.72306999999999999</v>
      </c>
      <c r="H30">
        <f t="shared" si="3"/>
        <v>-199.98670059999998</v>
      </c>
      <c r="I30">
        <v>1</v>
      </c>
      <c r="J30">
        <f t="shared" si="4"/>
        <v>-1.2852551689456249</v>
      </c>
      <c r="K30">
        <f t="shared" si="5"/>
        <v>-0.49865515177521746</v>
      </c>
      <c r="L30">
        <v>1</v>
      </c>
      <c r="M30">
        <f t="shared" si="6"/>
        <v>0.43659250059455407</v>
      </c>
      <c r="N30">
        <f t="shared" si="7"/>
        <v>2.102008E-2</v>
      </c>
      <c r="O30">
        <f t="shared" si="8"/>
        <v>1.6138442999999999E-2</v>
      </c>
      <c r="P30">
        <f t="shared" si="9"/>
        <v>2.4904128180663402E-2</v>
      </c>
      <c r="V30">
        <v>-3.4000000000000101</v>
      </c>
      <c r="W30">
        <f t="shared" si="10"/>
        <v>-0.3263719999999995</v>
      </c>
      <c r="Y30">
        <v>0.26</v>
      </c>
      <c r="Z30">
        <f t="shared" si="11"/>
        <v>2.5170924000000006</v>
      </c>
    </row>
    <row r="31" spans="1:26">
      <c r="A31">
        <v>1.4394</v>
      </c>
      <c r="B31">
        <v>0.71989999999999998</v>
      </c>
      <c r="C31">
        <f t="shared" si="0"/>
        <v>1.0362240599999999</v>
      </c>
      <c r="D31">
        <v>1.52E-2</v>
      </c>
      <c r="E31">
        <v>1.167E-2</v>
      </c>
      <c r="F31">
        <f t="shared" si="1"/>
        <v>287.88</v>
      </c>
      <c r="G31">
        <f t="shared" si="2"/>
        <v>-0.71989999999999998</v>
      </c>
      <c r="H31">
        <f t="shared" si="3"/>
        <v>-207.24481199999997</v>
      </c>
      <c r="I31">
        <v>1</v>
      </c>
      <c r="J31">
        <f t="shared" si="4"/>
        <v>-1.2452115523425336</v>
      </c>
      <c r="K31">
        <f t="shared" si="5"/>
        <v>-0.50182515177521747</v>
      </c>
      <c r="L31">
        <v>1</v>
      </c>
      <c r="M31">
        <f t="shared" si="6"/>
        <v>0.43867957389190715</v>
      </c>
      <c r="N31">
        <f t="shared" si="7"/>
        <v>2.187888E-2</v>
      </c>
      <c r="O31">
        <f t="shared" si="8"/>
        <v>1.6797797999999999E-2</v>
      </c>
      <c r="P31">
        <f t="shared" si="9"/>
        <v>2.446889988331032E-2</v>
      </c>
      <c r="V31">
        <v>-3.30000000000001</v>
      </c>
      <c r="W31">
        <f t="shared" si="10"/>
        <v>-0.33158399999999955</v>
      </c>
      <c r="Y31">
        <v>0.27</v>
      </c>
      <c r="Z31">
        <f t="shared" si="11"/>
        <v>2.6285398000000004</v>
      </c>
    </row>
    <row r="32" spans="1:26">
      <c r="A32">
        <v>1.49085</v>
      </c>
      <c r="B32">
        <v>0.71638999999999997</v>
      </c>
      <c r="C32">
        <f t="shared" si="0"/>
        <v>1.0680300315</v>
      </c>
      <c r="D32">
        <v>1.52E-2</v>
      </c>
      <c r="E32">
        <v>1.167E-2</v>
      </c>
      <c r="F32">
        <f t="shared" si="1"/>
        <v>298.17</v>
      </c>
      <c r="G32">
        <f t="shared" si="2"/>
        <v>-0.71638999999999997</v>
      </c>
      <c r="H32">
        <f t="shared" si="3"/>
        <v>-213.60600629999999</v>
      </c>
      <c r="I32">
        <v>1</v>
      </c>
      <c r="J32">
        <f t="shared" si="4"/>
        <v>-1.2100914853341131</v>
      </c>
      <c r="K32">
        <f t="shared" si="5"/>
        <v>-0.50533515177521748</v>
      </c>
      <c r="L32">
        <v>1</v>
      </c>
      <c r="M32">
        <f t="shared" si="6"/>
        <v>0.44051003178438608</v>
      </c>
      <c r="N32">
        <f t="shared" si="7"/>
        <v>2.2660920000000001E-2</v>
      </c>
      <c r="O32">
        <f t="shared" si="8"/>
        <v>1.7398219499999999E-2</v>
      </c>
      <c r="P32">
        <f t="shared" si="9"/>
        <v>2.4765980490831403E-2</v>
      </c>
      <c r="V32">
        <v>-3.2000000000000099</v>
      </c>
      <c r="W32">
        <f t="shared" si="10"/>
        <v>-0.33679599999999954</v>
      </c>
    </row>
    <row r="33" spans="1:23">
      <c r="A33">
        <v>1.5422499999999999</v>
      </c>
      <c r="B33">
        <v>0.71318000000000004</v>
      </c>
      <c r="C33">
        <f t="shared" si="0"/>
        <v>1.0999018549999999</v>
      </c>
      <c r="D33">
        <v>1.52E-2</v>
      </c>
      <c r="E33">
        <v>1.167E-2</v>
      </c>
      <c r="F33">
        <f t="shared" si="1"/>
        <v>308.45</v>
      </c>
      <c r="G33">
        <f t="shared" si="2"/>
        <v>-0.71318000000000004</v>
      </c>
      <c r="H33">
        <f t="shared" si="3"/>
        <v>-219.98037099999999</v>
      </c>
      <c r="I33">
        <v>1</v>
      </c>
      <c r="J33">
        <f t="shared" si="4"/>
        <v>-1.1761955233264894</v>
      </c>
      <c r="K33">
        <f t="shared" si="5"/>
        <v>-0.50854515177521742</v>
      </c>
      <c r="L33">
        <v>1</v>
      </c>
      <c r="M33">
        <f t="shared" si="6"/>
        <v>0.44227668932422343</v>
      </c>
      <c r="N33">
        <f t="shared" si="7"/>
        <v>2.34422E-2</v>
      </c>
      <c r="O33">
        <f t="shared" si="8"/>
        <v>1.7998057499999998E-2</v>
      </c>
      <c r="P33">
        <f t="shared" si="9"/>
        <v>2.4828204950993998E-2</v>
      </c>
      <c r="V33">
        <v>-3.1000000000000099</v>
      </c>
      <c r="W33">
        <f t="shared" si="10"/>
        <v>-0.34200799999999953</v>
      </c>
    </row>
    <row r="34" spans="1:23">
      <c r="A34">
        <v>1.5936999999999999</v>
      </c>
      <c r="B34">
        <v>0.70991000000000004</v>
      </c>
      <c r="C34">
        <f t="shared" si="0"/>
        <v>1.1313835670000001</v>
      </c>
      <c r="D34">
        <v>1.52E-2</v>
      </c>
      <c r="E34">
        <v>1.167E-2</v>
      </c>
      <c r="F34">
        <f t="shared" si="1"/>
        <v>318.73999999999995</v>
      </c>
      <c r="G34">
        <f t="shared" si="2"/>
        <v>-0.70991000000000004</v>
      </c>
      <c r="H34">
        <f t="shared" si="3"/>
        <v>-226.27671340000001</v>
      </c>
      <c r="I34">
        <v>1</v>
      </c>
      <c r="J34">
        <f t="shared" si="4"/>
        <v>-1.1433795555506496</v>
      </c>
      <c r="K34">
        <f t="shared" si="5"/>
        <v>-0.51181515177521741</v>
      </c>
      <c r="L34">
        <v>1</v>
      </c>
      <c r="M34">
        <f t="shared" si="6"/>
        <v>0.44398705756470014</v>
      </c>
      <c r="N34">
        <f t="shared" si="7"/>
        <v>2.4224239999999998E-2</v>
      </c>
      <c r="O34">
        <f t="shared" si="8"/>
        <v>1.8598478999999998E-2</v>
      </c>
      <c r="P34">
        <f t="shared" si="9"/>
        <v>2.5005375210517284E-2</v>
      </c>
      <c r="V34">
        <v>-3.0000000000000102</v>
      </c>
      <c r="W34">
        <f t="shared" si="10"/>
        <v>-0.34721999999999953</v>
      </c>
    </row>
    <row r="35" spans="1:23">
      <c r="A35">
        <v>1.6440999999999999</v>
      </c>
      <c r="B35">
        <v>0.70687999999999995</v>
      </c>
      <c r="C35">
        <f t="shared" si="0"/>
        <v>1.1621814079999999</v>
      </c>
      <c r="D35">
        <v>1.52E-2</v>
      </c>
      <c r="E35">
        <v>1.167E-2</v>
      </c>
      <c r="F35">
        <f t="shared" si="1"/>
        <v>328.82</v>
      </c>
      <c r="G35">
        <f t="shared" si="2"/>
        <v>-0.70687999999999995</v>
      </c>
      <c r="H35">
        <f t="shared" si="3"/>
        <v>-232.43628159999997</v>
      </c>
      <c r="I35">
        <v>1</v>
      </c>
      <c r="J35">
        <f t="shared" si="4"/>
        <v>-1.1122447903994062</v>
      </c>
      <c r="K35">
        <f t="shared" si="5"/>
        <v>-0.5148451517752175</v>
      </c>
      <c r="L35">
        <v>1</v>
      </c>
      <c r="M35">
        <f t="shared" si="6"/>
        <v>0.44560980152438301</v>
      </c>
      <c r="N35">
        <f t="shared" si="7"/>
        <v>2.499032E-2</v>
      </c>
      <c r="O35">
        <f t="shared" si="8"/>
        <v>1.9186646999999998E-2</v>
      </c>
      <c r="P35">
        <f t="shared" si="9"/>
        <v>2.5058383250834499E-2</v>
      </c>
      <c r="V35">
        <v>-2.9000000000000101</v>
      </c>
      <c r="W35">
        <f t="shared" si="10"/>
        <v>-0.35243199999999952</v>
      </c>
    </row>
    <row r="36" spans="1:23">
      <c r="A36">
        <v>1.6944999999999999</v>
      </c>
      <c r="B36">
        <v>0.70367000000000002</v>
      </c>
      <c r="C36">
        <f t="shared" si="0"/>
        <v>1.192368815</v>
      </c>
      <c r="D36">
        <v>1.52E-2</v>
      </c>
      <c r="E36">
        <v>1.167E-2</v>
      </c>
      <c r="F36">
        <f t="shared" si="1"/>
        <v>338.9</v>
      </c>
      <c r="G36">
        <f t="shared" si="2"/>
        <v>-0.70367000000000002</v>
      </c>
      <c r="H36">
        <f t="shared" si="3"/>
        <v>-238.47376300000002</v>
      </c>
      <c r="I36">
        <v>1</v>
      </c>
      <c r="J36">
        <f t="shared" si="4"/>
        <v>-1.0820502003691315</v>
      </c>
      <c r="K36">
        <f t="shared" si="5"/>
        <v>-0.51805515177521744</v>
      </c>
      <c r="L36">
        <v>1</v>
      </c>
      <c r="M36">
        <f t="shared" si="6"/>
        <v>0.44718354355676088</v>
      </c>
      <c r="N36">
        <f t="shared" si="7"/>
        <v>2.5756399999999999E-2</v>
      </c>
      <c r="O36">
        <f t="shared" si="8"/>
        <v>1.9774814999999998E-2</v>
      </c>
      <c r="P36">
        <f t="shared" si="9"/>
        <v>2.5340393218456565E-2</v>
      </c>
      <c r="V36">
        <v>-2.80000000000001</v>
      </c>
      <c r="W36">
        <f t="shared" ref="W36:W67" si="12">V36*$S$5+$S$4</f>
        <v>-0.35764399999999952</v>
      </c>
    </row>
    <row r="37" spans="1:23">
      <c r="A37">
        <v>1.7448999999999999</v>
      </c>
      <c r="B37">
        <v>0.70065</v>
      </c>
      <c r="C37">
        <f t="shared" si="0"/>
        <v>1.222564185</v>
      </c>
      <c r="D37">
        <v>1.52E-2</v>
      </c>
      <c r="E37">
        <v>1.167E-2</v>
      </c>
      <c r="F37">
        <f t="shared" si="1"/>
        <v>348.97999999999996</v>
      </c>
      <c r="G37">
        <f t="shared" si="2"/>
        <v>-0.70065</v>
      </c>
      <c r="H37">
        <f t="shared" si="3"/>
        <v>-244.51283699999999</v>
      </c>
      <c r="I37">
        <v>1</v>
      </c>
      <c r="J37">
        <f t="shared" si="4"/>
        <v>-1.0527406650120532</v>
      </c>
      <c r="K37">
        <f t="shared" si="5"/>
        <v>-0.52107515177521746</v>
      </c>
      <c r="L37">
        <v>1</v>
      </c>
      <c r="M37">
        <f t="shared" si="6"/>
        <v>0.44871115653957183</v>
      </c>
      <c r="N37">
        <f t="shared" si="7"/>
        <v>2.6522479999999998E-2</v>
      </c>
      <c r="O37">
        <f t="shared" si="8"/>
        <v>2.0362982999999998E-2</v>
      </c>
      <c r="P37">
        <f t="shared" si="9"/>
        <v>2.547853223564563E-2</v>
      </c>
      <c r="V37">
        <v>-2.7000000000000099</v>
      </c>
      <c r="W37">
        <f t="shared" si="12"/>
        <v>-0.36285599999999951</v>
      </c>
    </row>
    <row r="38" spans="1:23">
      <c r="A38">
        <v>1.8004</v>
      </c>
      <c r="B38">
        <v>0.69747000000000003</v>
      </c>
      <c r="C38">
        <f t="shared" si="0"/>
        <v>1.2557249880000001</v>
      </c>
      <c r="D38">
        <v>1.52E-2</v>
      </c>
      <c r="E38">
        <v>1.167E-2</v>
      </c>
      <c r="F38">
        <f t="shared" si="1"/>
        <v>360.08</v>
      </c>
      <c r="G38">
        <f t="shared" si="2"/>
        <v>-0.69747000000000003</v>
      </c>
      <c r="H38">
        <f t="shared" si="3"/>
        <v>-251.14499760000001</v>
      </c>
      <c r="I38">
        <v>1</v>
      </c>
      <c r="J38">
        <f t="shared" si="4"/>
        <v>-1.0214290499974599</v>
      </c>
      <c r="K38">
        <f t="shared" si="5"/>
        <v>-0.52425515177521742</v>
      </c>
      <c r="L38">
        <v>1</v>
      </c>
      <c r="M38">
        <f t="shared" si="6"/>
        <v>0.4503431179141324</v>
      </c>
      <c r="N38">
        <f t="shared" si="7"/>
        <v>2.7366080000000001E-2</v>
      </c>
      <c r="O38">
        <f t="shared" si="8"/>
        <v>2.1010668E-2</v>
      </c>
      <c r="P38">
        <f t="shared" si="9"/>
        <v>2.5535285861085024E-2</v>
      </c>
      <c r="V38">
        <v>-2.6000000000000099</v>
      </c>
      <c r="W38">
        <f t="shared" si="12"/>
        <v>-0.36806799999999951</v>
      </c>
    </row>
    <row r="39" spans="1:23">
      <c r="A39">
        <v>1.8508</v>
      </c>
      <c r="B39">
        <v>0.69445000000000001</v>
      </c>
      <c r="C39">
        <f t="shared" si="0"/>
        <v>1.2852880600000001</v>
      </c>
      <c r="D39">
        <v>1.52E-2</v>
      </c>
      <c r="E39">
        <v>1.167E-2</v>
      </c>
      <c r="F39">
        <f t="shared" si="1"/>
        <v>370.16</v>
      </c>
      <c r="G39">
        <f t="shared" si="2"/>
        <v>-0.69445000000000001</v>
      </c>
      <c r="H39">
        <f t="shared" si="3"/>
        <v>-257.05761200000001</v>
      </c>
      <c r="I39">
        <v>1</v>
      </c>
      <c r="J39">
        <f t="shared" si="4"/>
        <v>-0.99381993438339278</v>
      </c>
      <c r="K39">
        <f t="shared" si="5"/>
        <v>-0.52727515177521744</v>
      </c>
      <c r="L39">
        <v>1</v>
      </c>
      <c r="M39">
        <f t="shared" si="6"/>
        <v>0.4517821050199376</v>
      </c>
      <c r="N39">
        <f t="shared" si="7"/>
        <v>2.813216E-2</v>
      </c>
      <c r="O39">
        <f t="shared" si="8"/>
        <v>2.1598836E-2</v>
      </c>
      <c r="P39">
        <f t="shared" si="9"/>
        <v>2.5762050755279844E-2</v>
      </c>
      <c r="V39">
        <v>-2.5000000000000102</v>
      </c>
      <c r="W39">
        <f t="shared" si="12"/>
        <v>-0.3732799999999995</v>
      </c>
    </row>
    <row r="40" spans="1:23">
      <c r="A40">
        <v>1.9012500000000001</v>
      </c>
      <c r="B40">
        <v>0.69140999999999997</v>
      </c>
      <c r="C40">
        <f t="shared" si="0"/>
        <v>1.3145432625</v>
      </c>
      <c r="D40">
        <v>1.52E-2</v>
      </c>
      <c r="E40">
        <v>1.167E-2</v>
      </c>
      <c r="F40">
        <f t="shared" si="1"/>
        <v>380.25</v>
      </c>
      <c r="G40">
        <f t="shared" si="2"/>
        <v>-0.69140999999999997</v>
      </c>
      <c r="H40">
        <f t="shared" si="3"/>
        <v>-262.90865250000002</v>
      </c>
      <c r="I40">
        <v>1</v>
      </c>
      <c r="J40">
        <f t="shared" si="4"/>
        <v>-0.9669263478427349</v>
      </c>
      <c r="K40">
        <f t="shared" si="5"/>
        <v>-0.53031515177521749</v>
      </c>
      <c r="L40">
        <v>1</v>
      </c>
      <c r="M40">
        <f t="shared" si="6"/>
        <v>0.45318379875043668</v>
      </c>
      <c r="N40">
        <f t="shared" si="7"/>
        <v>2.8899000000000001E-2</v>
      </c>
      <c r="O40">
        <f t="shared" si="8"/>
        <v>2.2187587500000001E-2</v>
      </c>
      <c r="P40">
        <f t="shared" si="9"/>
        <v>2.60447655247808E-2</v>
      </c>
      <c r="V40">
        <v>-2.4000000000000101</v>
      </c>
      <c r="W40">
        <f t="shared" si="12"/>
        <v>-0.3784919999999995</v>
      </c>
    </row>
    <row r="41" spans="1:23">
      <c r="A41">
        <v>1.9521500000000001</v>
      </c>
      <c r="B41">
        <v>0.68837999999999999</v>
      </c>
      <c r="C41">
        <f t="shared" si="0"/>
        <v>1.343821017</v>
      </c>
      <c r="D41">
        <v>1.52E-2</v>
      </c>
      <c r="E41">
        <v>1.167E-2</v>
      </c>
      <c r="F41">
        <f t="shared" si="1"/>
        <v>390.43</v>
      </c>
      <c r="G41">
        <f t="shared" si="2"/>
        <v>-0.68837999999999999</v>
      </c>
      <c r="H41">
        <f t="shared" si="3"/>
        <v>-268.76420339999999</v>
      </c>
      <c r="I41">
        <v>1</v>
      </c>
      <c r="J41">
        <f t="shared" si="4"/>
        <v>-0.94050658313327362</v>
      </c>
      <c r="K41">
        <f t="shared" si="5"/>
        <v>-0.53334515177521746</v>
      </c>
      <c r="L41">
        <v>1</v>
      </c>
      <c r="M41">
        <f t="shared" si="6"/>
        <v>0.45456079688709383</v>
      </c>
      <c r="N41">
        <f t="shared" si="7"/>
        <v>2.967268E-2</v>
      </c>
      <c r="O41">
        <f t="shared" si="8"/>
        <v>2.2781590500000001E-2</v>
      </c>
      <c r="P41">
        <f t="shared" si="9"/>
        <v>2.6330084388123631E-2</v>
      </c>
      <c r="V41">
        <v>-2.30000000000001</v>
      </c>
      <c r="W41">
        <f t="shared" si="12"/>
        <v>-0.38370399999999949</v>
      </c>
    </row>
    <row r="42" spans="1:23">
      <c r="A42">
        <v>2.0025499999999998</v>
      </c>
      <c r="B42">
        <v>0.68515000000000004</v>
      </c>
      <c r="C42">
        <f t="shared" si="0"/>
        <v>1.3720471324999999</v>
      </c>
      <c r="D42">
        <v>1.52E-2</v>
      </c>
      <c r="E42">
        <v>1.167E-2</v>
      </c>
      <c r="F42">
        <f t="shared" si="1"/>
        <v>400.51</v>
      </c>
      <c r="G42">
        <f t="shared" si="2"/>
        <v>-0.68515000000000004</v>
      </c>
      <c r="H42">
        <f t="shared" si="3"/>
        <v>-274.4094265</v>
      </c>
      <c r="I42">
        <v>1</v>
      </c>
      <c r="J42">
        <f t="shared" si="4"/>
        <v>-0.91501654399642451</v>
      </c>
      <c r="K42">
        <f t="shared" si="5"/>
        <v>-0.53657515177521742</v>
      </c>
      <c r="L42">
        <v>1</v>
      </c>
      <c r="M42">
        <f t="shared" si="6"/>
        <v>0.45588933772690637</v>
      </c>
      <c r="N42">
        <f t="shared" si="7"/>
        <v>3.0438759999999999E-2</v>
      </c>
      <c r="O42">
        <f t="shared" si="8"/>
        <v>2.3369758499999997E-2</v>
      </c>
      <c r="P42">
        <f t="shared" si="9"/>
        <v>2.6877295548311052E-2</v>
      </c>
      <c r="V42">
        <v>-2.2000000000000099</v>
      </c>
      <c r="W42">
        <f t="shared" si="12"/>
        <v>-0.38891599999999948</v>
      </c>
    </row>
    <row r="43" spans="1:23">
      <c r="A43">
        <v>2.0550000000000002</v>
      </c>
      <c r="B43">
        <v>0.68225000000000002</v>
      </c>
      <c r="C43">
        <f t="shared" si="0"/>
        <v>1.4020237500000001</v>
      </c>
      <c r="D43">
        <v>1.52E-2</v>
      </c>
      <c r="E43">
        <v>1.167E-2</v>
      </c>
      <c r="F43">
        <f t="shared" si="1"/>
        <v>411.00000000000006</v>
      </c>
      <c r="G43">
        <f t="shared" si="2"/>
        <v>-0.68225000000000002</v>
      </c>
      <c r="H43">
        <f t="shared" si="3"/>
        <v>-280.40475000000004</v>
      </c>
      <c r="I43">
        <v>1</v>
      </c>
      <c r="J43">
        <f t="shared" si="4"/>
        <v>-0.8891620644859024</v>
      </c>
      <c r="K43">
        <f t="shared" si="5"/>
        <v>-0.53947515177521743</v>
      </c>
      <c r="L43">
        <v>1</v>
      </c>
      <c r="M43">
        <f t="shared" si="6"/>
        <v>0.45723687319899481</v>
      </c>
      <c r="N43">
        <f t="shared" si="7"/>
        <v>3.1236000000000003E-2</v>
      </c>
      <c r="O43">
        <f t="shared" si="8"/>
        <v>2.3981850000000002E-2</v>
      </c>
      <c r="P43">
        <f t="shared" si="9"/>
        <v>2.7020428576222621E-2</v>
      </c>
      <c r="V43">
        <v>-2.1000000000000099</v>
      </c>
      <c r="W43">
        <f t="shared" si="12"/>
        <v>-0.39412799999999953</v>
      </c>
    </row>
    <row r="44" spans="1:23">
      <c r="A44">
        <v>2.1053999999999999</v>
      </c>
      <c r="B44">
        <v>0.67927000000000004</v>
      </c>
      <c r="C44">
        <f t="shared" si="0"/>
        <v>1.4301350580000001</v>
      </c>
      <c r="D44">
        <v>1.52E-2</v>
      </c>
      <c r="E44">
        <v>1.167E-2</v>
      </c>
      <c r="F44">
        <f t="shared" si="1"/>
        <v>421.08</v>
      </c>
      <c r="G44">
        <f t="shared" si="2"/>
        <v>-0.67927000000000004</v>
      </c>
      <c r="H44">
        <f t="shared" si="3"/>
        <v>-286.02701160000004</v>
      </c>
      <c r="I44">
        <v>1</v>
      </c>
      <c r="J44">
        <f t="shared" si="4"/>
        <v>-0.864932439599013</v>
      </c>
      <c r="K44">
        <f t="shared" si="5"/>
        <v>-0.54245515177521741</v>
      </c>
      <c r="L44">
        <v>1</v>
      </c>
      <c r="M44">
        <f t="shared" si="6"/>
        <v>0.45849972124809946</v>
      </c>
      <c r="N44">
        <f t="shared" si="7"/>
        <v>3.2002080000000002E-2</v>
      </c>
      <c r="O44">
        <f t="shared" si="8"/>
        <v>2.4570017999999999E-2</v>
      </c>
      <c r="P44">
        <f t="shared" si="9"/>
        <v>2.7383332527117957E-2</v>
      </c>
      <c r="V44">
        <v>-2.0000000000000102</v>
      </c>
      <c r="W44">
        <f t="shared" si="12"/>
        <v>-0.39933999999999947</v>
      </c>
    </row>
    <row r="45" spans="1:23">
      <c r="A45">
        <v>2.15835</v>
      </c>
      <c r="B45">
        <v>0.67612000000000005</v>
      </c>
      <c r="C45">
        <f t="shared" si="0"/>
        <v>1.4593036020000001</v>
      </c>
      <c r="D45">
        <v>1.52E-2</v>
      </c>
      <c r="E45">
        <v>1.167E-2</v>
      </c>
      <c r="F45">
        <f t="shared" si="1"/>
        <v>431.67</v>
      </c>
      <c r="G45">
        <f t="shared" si="2"/>
        <v>-0.67612000000000005</v>
      </c>
      <c r="H45">
        <f t="shared" si="3"/>
        <v>-291.86072039999999</v>
      </c>
      <c r="I45">
        <v>1</v>
      </c>
      <c r="J45">
        <f t="shared" si="4"/>
        <v>-0.84009387153870119</v>
      </c>
      <c r="K45">
        <f t="shared" si="5"/>
        <v>-0.5456051517752174</v>
      </c>
      <c r="L45">
        <v>1</v>
      </c>
      <c r="M45">
        <f t="shared" si="6"/>
        <v>0.45979430741540295</v>
      </c>
      <c r="N45">
        <f t="shared" si="7"/>
        <v>3.2806919999999996E-2</v>
      </c>
      <c r="O45">
        <f t="shared" si="8"/>
        <v>2.51879445E-2</v>
      </c>
      <c r="P45">
        <f t="shared" si="9"/>
        <v>2.7815979859814457E-2</v>
      </c>
      <c r="V45">
        <v>-1.9000000000000099</v>
      </c>
      <c r="W45">
        <f t="shared" si="12"/>
        <v>-0.40455199999999952</v>
      </c>
    </row>
    <row r="46" spans="1:23">
      <c r="A46">
        <v>2.2168999999999999</v>
      </c>
      <c r="B46">
        <v>0.67305000000000004</v>
      </c>
      <c r="C46">
        <f t="shared" si="0"/>
        <v>1.492084545</v>
      </c>
      <c r="D46">
        <v>1.52E-2</v>
      </c>
      <c r="E46">
        <v>1.167E-2</v>
      </c>
      <c r="F46">
        <f t="shared" si="1"/>
        <v>443.38</v>
      </c>
      <c r="G46">
        <f t="shared" si="2"/>
        <v>-0.67305000000000004</v>
      </c>
      <c r="H46">
        <f t="shared" si="3"/>
        <v>-298.41690899999998</v>
      </c>
      <c r="I46">
        <v>1</v>
      </c>
      <c r="J46">
        <f t="shared" si="4"/>
        <v>-0.81332808881633001</v>
      </c>
      <c r="K46">
        <f t="shared" si="5"/>
        <v>-0.54867515177521742</v>
      </c>
      <c r="L46">
        <v>1</v>
      </c>
      <c r="M46">
        <f t="shared" si="6"/>
        <v>0.4611893400108929</v>
      </c>
      <c r="N46">
        <f t="shared" si="7"/>
        <v>3.3696879999999999E-2</v>
      </c>
      <c r="O46">
        <f t="shared" si="8"/>
        <v>2.5871222999999999E-2</v>
      </c>
      <c r="P46">
        <f t="shared" si="9"/>
        <v>2.791770876432452E-2</v>
      </c>
      <c r="V46">
        <v>-1.80000000000001</v>
      </c>
      <c r="W46">
        <f t="shared" si="12"/>
        <v>-0.40976399999999952</v>
      </c>
    </row>
    <row r="47" spans="1:23">
      <c r="A47">
        <v>2.2713999999999999</v>
      </c>
      <c r="B47">
        <v>0.66966999999999999</v>
      </c>
      <c r="C47">
        <f t="shared" si="0"/>
        <v>1.5210884379999998</v>
      </c>
      <c r="D47">
        <v>1.52E-2</v>
      </c>
      <c r="E47">
        <v>1.167E-2</v>
      </c>
      <c r="F47">
        <f t="shared" si="1"/>
        <v>454.28</v>
      </c>
      <c r="G47">
        <f t="shared" si="2"/>
        <v>-0.66966999999999999</v>
      </c>
      <c r="H47">
        <f t="shared" si="3"/>
        <v>-304.21768759999998</v>
      </c>
      <c r="I47">
        <v>1</v>
      </c>
      <c r="J47">
        <f t="shared" si="4"/>
        <v>-0.78904153095869156</v>
      </c>
      <c r="K47">
        <f t="shared" si="5"/>
        <v>-0.55205515177521747</v>
      </c>
      <c r="L47">
        <v>1</v>
      </c>
      <c r="M47">
        <f t="shared" si="6"/>
        <v>0.46245515540643301</v>
      </c>
      <c r="N47">
        <f t="shared" si="7"/>
        <v>3.4525279999999998E-2</v>
      </c>
      <c r="O47">
        <f t="shared" si="8"/>
        <v>2.6507237999999999E-2</v>
      </c>
      <c r="P47">
        <f t="shared" si="9"/>
        <v>2.8567478368784465E-2</v>
      </c>
      <c r="V47">
        <v>-1.7000000000000199</v>
      </c>
      <c r="W47">
        <f t="shared" si="12"/>
        <v>-0.41497599999999901</v>
      </c>
    </row>
    <row r="48" spans="1:23">
      <c r="A48">
        <v>2.3218000000000001</v>
      </c>
      <c r="B48">
        <v>0.66652</v>
      </c>
      <c r="C48">
        <f t="shared" si="0"/>
        <v>1.5475261360000001</v>
      </c>
      <c r="D48">
        <v>1.52E-2</v>
      </c>
      <c r="E48">
        <v>1.167E-2</v>
      </c>
      <c r="F48">
        <f t="shared" si="1"/>
        <v>464.36</v>
      </c>
      <c r="G48">
        <f t="shared" si="2"/>
        <v>-0.66652</v>
      </c>
      <c r="H48">
        <f t="shared" si="3"/>
        <v>-309.50522720000004</v>
      </c>
      <c r="I48">
        <v>1</v>
      </c>
      <c r="J48">
        <f t="shared" si="4"/>
        <v>-0.76709516551230206</v>
      </c>
      <c r="K48">
        <f t="shared" si="5"/>
        <v>-0.55520515177521745</v>
      </c>
      <c r="L48">
        <v>1</v>
      </c>
      <c r="M48">
        <f t="shared" si="6"/>
        <v>0.46359899997349885</v>
      </c>
      <c r="N48">
        <f t="shared" si="7"/>
        <v>3.5291360000000001E-2</v>
      </c>
      <c r="O48">
        <f t="shared" si="8"/>
        <v>2.7095405999999999E-2</v>
      </c>
      <c r="P48">
        <f t="shared" si="9"/>
        <v>2.9219385801718605E-2</v>
      </c>
      <c r="V48">
        <v>-1.6000000000000201</v>
      </c>
      <c r="W48">
        <f t="shared" si="12"/>
        <v>-0.42018799999999901</v>
      </c>
    </row>
    <row r="49" spans="1:23">
      <c r="A49">
        <v>2.3721999999999999</v>
      </c>
      <c r="B49">
        <v>0.66361000000000003</v>
      </c>
      <c r="C49">
        <f t="shared" si="0"/>
        <v>1.574215642</v>
      </c>
      <c r="D49">
        <v>1.52E-2</v>
      </c>
      <c r="E49">
        <v>1.167E-2</v>
      </c>
      <c r="F49">
        <f t="shared" si="1"/>
        <v>474.44</v>
      </c>
      <c r="G49">
        <f t="shared" si="2"/>
        <v>-0.66361000000000003</v>
      </c>
      <c r="H49">
        <f t="shared" si="3"/>
        <v>-314.84312840000001</v>
      </c>
      <c r="I49">
        <v>1</v>
      </c>
      <c r="J49">
        <f t="shared" si="4"/>
        <v>-0.74562011782106208</v>
      </c>
      <c r="K49">
        <f t="shared" si="5"/>
        <v>-0.55811515177521742</v>
      </c>
      <c r="L49">
        <v>1</v>
      </c>
      <c r="M49">
        <f t="shared" si="6"/>
        <v>0.46471827945916627</v>
      </c>
      <c r="N49">
        <f t="shared" si="7"/>
        <v>3.6057439999999996E-2</v>
      </c>
      <c r="O49">
        <f t="shared" si="8"/>
        <v>2.7683573999999999E-2</v>
      </c>
      <c r="P49">
        <f t="shared" si="9"/>
        <v>2.9655858316051154E-2</v>
      </c>
      <c r="V49">
        <v>-1.50000000000002</v>
      </c>
      <c r="W49">
        <f t="shared" si="12"/>
        <v>-0.425399999999999</v>
      </c>
    </row>
    <row r="50" spans="1:23">
      <c r="A50">
        <v>2.4292500000000001</v>
      </c>
      <c r="B50">
        <v>0.66074999999999995</v>
      </c>
      <c r="C50">
        <f t="shared" si="0"/>
        <v>1.6051269374999999</v>
      </c>
      <c r="D50">
        <v>1.52E-2</v>
      </c>
      <c r="E50">
        <v>1.167E-2</v>
      </c>
      <c r="F50">
        <f t="shared" si="1"/>
        <v>485.85</v>
      </c>
      <c r="G50">
        <f t="shared" si="2"/>
        <v>-0.66074999999999995</v>
      </c>
      <c r="H50">
        <f t="shared" si="3"/>
        <v>-321.02538749999997</v>
      </c>
      <c r="I50">
        <v>1</v>
      </c>
      <c r="J50">
        <f t="shared" si="4"/>
        <v>-0.72185534469668899</v>
      </c>
      <c r="K50">
        <f t="shared" si="5"/>
        <v>-0.56097515177521751</v>
      </c>
      <c r="L50">
        <v>1</v>
      </c>
      <c r="M50">
        <f t="shared" si="6"/>
        <v>0.4659568994344086</v>
      </c>
      <c r="N50">
        <f t="shared" si="7"/>
        <v>3.6924600000000002E-2</v>
      </c>
      <c r="O50">
        <f t="shared" si="8"/>
        <v>2.83493475E-2</v>
      </c>
      <c r="P50">
        <f t="shared" si="9"/>
        <v>2.9744304840808904E-2</v>
      </c>
      <c r="V50">
        <v>-1.4000000000000199</v>
      </c>
      <c r="W50">
        <f t="shared" si="12"/>
        <v>-0.430611999999999</v>
      </c>
    </row>
    <row r="51" spans="1:23">
      <c r="A51">
        <v>2.4796499999999999</v>
      </c>
      <c r="B51">
        <v>0.65747</v>
      </c>
      <c r="C51">
        <f t="shared" si="0"/>
        <v>1.6302954855</v>
      </c>
      <c r="D51">
        <v>1.52E-2</v>
      </c>
      <c r="E51">
        <v>1.167E-2</v>
      </c>
      <c r="F51">
        <f t="shared" si="1"/>
        <v>495.93</v>
      </c>
      <c r="G51">
        <f t="shared" si="2"/>
        <v>-0.65747</v>
      </c>
      <c r="H51">
        <f t="shared" si="3"/>
        <v>-326.05909710000003</v>
      </c>
      <c r="I51">
        <v>1</v>
      </c>
      <c r="J51">
        <f t="shared" si="4"/>
        <v>-0.70132049124910667</v>
      </c>
      <c r="K51">
        <f t="shared" si="5"/>
        <v>-0.56425515177521746</v>
      </c>
      <c r="L51">
        <v>1</v>
      </c>
      <c r="M51">
        <f t="shared" si="6"/>
        <v>0.46702717599609661</v>
      </c>
      <c r="N51">
        <f t="shared" si="7"/>
        <v>3.7690679999999997E-2</v>
      </c>
      <c r="O51">
        <f t="shared" si="8"/>
        <v>2.89375155E-2</v>
      </c>
      <c r="P51">
        <f t="shared" si="9"/>
        <v>3.0599780279120848E-2</v>
      </c>
      <c r="V51">
        <v>-1.30000000000002</v>
      </c>
      <c r="W51">
        <f t="shared" si="12"/>
        <v>-0.43582399999999899</v>
      </c>
    </row>
    <row r="52" spans="1:23">
      <c r="A52">
        <v>2.5336500000000002</v>
      </c>
      <c r="B52">
        <v>0.65444999999999998</v>
      </c>
      <c r="C52">
        <f t="shared" si="0"/>
        <v>1.6581472425000001</v>
      </c>
      <c r="D52">
        <v>1.52E-2</v>
      </c>
      <c r="E52">
        <v>1.167E-2</v>
      </c>
      <c r="F52">
        <f t="shared" si="1"/>
        <v>506.73</v>
      </c>
      <c r="G52">
        <f t="shared" si="2"/>
        <v>-0.65444999999999998</v>
      </c>
      <c r="H52">
        <f t="shared" si="3"/>
        <v>-331.62944850000002</v>
      </c>
      <c r="I52">
        <v>1</v>
      </c>
      <c r="J52">
        <f t="shared" si="4"/>
        <v>-0.6797769616217737</v>
      </c>
      <c r="K52">
        <f t="shared" si="5"/>
        <v>-0.56727515177521748</v>
      </c>
      <c r="L52">
        <v>1</v>
      </c>
      <c r="M52">
        <f t="shared" si="6"/>
        <v>0.46815002476027318</v>
      </c>
      <c r="N52">
        <f t="shared" si="7"/>
        <v>3.8511480000000001E-2</v>
      </c>
      <c r="O52">
        <f t="shared" si="8"/>
        <v>2.9567695500000001E-2</v>
      </c>
      <c r="P52">
        <f t="shared" si="9"/>
        <v>3.1045951514944301E-2</v>
      </c>
      <c r="V52">
        <v>-1.2000000000000199</v>
      </c>
      <c r="W52">
        <f t="shared" si="12"/>
        <v>-0.44103599999999898</v>
      </c>
    </row>
    <row r="53" spans="1:23">
      <c r="A53">
        <v>2.5845500000000001</v>
      </c>
      <c r="B53">
        <v>0.65159</v>
      </c>
      <c r="C53">
        <f t="shared" si="0"/>
        <v>1.6840669345000001</v>
      </c>
      <c r="D53">
        <v>1.52E-2</v>
      </c>
      <c r="E53">
        <v>1.167E-2</v>
      </c>
      <c r="F53">
        <f t="shared" si="1"/>
        <v>516.91000000000008</v>
      </c>
      <c r="G53">
        <f t="shared" si="2"/>
        <v>-0.65159</v>
      </c>
      <c r="H53">
        <f t="shared" si="3"/>
        <v>-336.81338690000001</v>
      </c>
      <c r="I53">
        <v>1</v>
      </c>
      <c r="J53">
        <f t="shared" si="4"/>
        <v>-0.65988650086551615</v>
      </c>
      <c r="K53">
        <f t="shared" si="5"/>
        <v>-0.57013515177521745</v>
      </c>
      <c r="L53">
        <v>1</v>
      </c>
      <c r="M53" s="5">
        <f t="shared" si="6"/>
        <v>0.46918671557488933</v>
      </c>
      <c r="N53">
        <f t="shared" si="7"/>
        <v>3.928516E-2</v>
      </c>
      <c r="O53">
        <f t="shared" si="8"/>
        <v>3.01616985E-2</v>
      </c>
      <c r="P53">
        <f t="shared" si="9"/>
        <v>3.1501577700328118E-2</v>
      </c>
      <c r="R53">
        <f>N2-M53</f>
        <v>0.75253843620032812</v>
      </c>
      <c r="V53">
        <v>-1.1000000000000201</v>
      </c>
      <c r="W53">
        <f t="shared" si="12"/>
        <v>-0.44624799999999898</v>
      </c>
    </row>
    <row r="54" spans="1:23">
      <c r="A54">
        <v>2.6354500000000001</v>
      </c>
      <c r="B54">
        <v>0.64854999999999996</v>
      </c>
      <c r="C54">
        <f t="shared" si="0"/>
        <v>1.7092210975</v>
      </c>
      <c r="D54">
        <v>1.52E-2</v>
      </c>
      <c r="E54">
        <v>1.167E-2</v>
      </c>
      <c r="F54">
        <f t="shared" si="1"/>
        <v>527.09</v>
      </c>
      <c r="G54">
        <f t="shared" si="2"/>
        <v>-0.64854999999999996</v>
      </c>
      <c r="H54">
        <f t="shared" si="3"/>
        <v>-341.84421950000001</v>
      </c>
      <c r="I54">
        <v>1</v>
      </c>
      <c r="J54">
        <f t="shared" si="4"/>
        <v>-0.64038396703306044</v>
      </c>
      <c r="K54">
        <f t="shared" si="5"/>
        <v>-0.5731751517752175</v>
      </c>
      <c r="L54">
        <v>1</v>
      </c>
      <c r="M54">
        <f t="shared" si="6"/>
        <v>0.47020318763823693</v>
      </c>
      <c r="N54">
        <f t="shared" si="7"/>
        <v>4.0058839999999998E-2</v>
      </c>
      <c r="O54">
        <f t="shared" si="8"/>
        <v>3.07557015E-2</v>
      </c>
      <c r="P54">
        <f t="shared" si="9"/>
        <v>3.215742263698057E-2</v>
      </c>
      <c r="V54">
        <v>-1.00000000000002</v>
      </c>
      <c r="W54">
        <f t="shared" si="12"/>
        <v>-0.45145999999999897</v>
      </c>
    </row>
    <row r="55" spans="1:23">
      <c r="A55">
        <v>2.6859000000000002</v>
      </c>
      <c r="B55">
        <v>0.64573999999999998</v>
      </c>
      <c r="C55">
        <f t="shared" si="0"/>
        <v>1.734393066</v>
      </c>
      <c r="D55">
        <v>1.52E-2</v>
      </c>
      <c r="E55">
        <v>1.167E-2</v>
      </c>
      <c r="F55">
        <f t="shared" si="1"/>
        <v>537.18000000000006</v>
      </c>
      <c r="G55">
        <f t="shared" si="2"/>
        <v>-0.64573999999999998</v>
      </c>
      <c r="H55">
        <f t="shared" si="3"/>
        <v>-346.87861320000002</v>
      </c>
      <c r="I55">
        <v>1</v>
      </c>
      <c r="J55">
        <f t="shared" si="4"/>
        <v>-0.62142204510801724</v>
      </c>
      <c r="K55">
        <f t="shared" si="5"/>
        <v>-0.57598515177521747</v>
      </c>
      <c r="L55">
        <v>1</v>
      </c>
      <c r="M55">
        <f t="shared" si="6"/>
        <v>0.47119148300897018</v>
      </c>
      <c r="N55">
        <f t="shared" si="7"/>
        <v>4.0825680000000003E-2</v>
      </c>
      <c r="O55">
        <f t="shared" si="8"/>
        <v>3.1344453000000001E-2</v>
      </c>
      <c r="P55">
        <f t="shared" si="9"/>
        <v>3.262353576624729E-2</v>
      </c>
      <c r="V55">
        <v>-0.90000000000002001</v>
      </c>
      <c r="W55">
        <f t="shared" si="12"/>
        <v>-0.45667199999999897</v>
      </c>
    </row>
    <row r="56" spans="1:23">
      <c r="A56">
        <v>2.73935</v>
      </c>
      <c r="B56">
        <v>0.64298999999999995</v>
      </c>
      <c r="C56">
        <f t="shared" si="0"/>
        <v>1.7613746564999999</v>
      </c>
      <c r="D56">
        <v>1.52E-2</v>
      </c>
      <c r="E56">
        <v>1.167E-2</v>
      </c>
      <c r="F56">
        <f t="shared" si="1"/>
        <v>547.87</v>
      </c>
      <c r="G56">
        <f t="shared" si="2"/>
        <v>-0.64298999999999995</v>
      </c>
      <c r="H56">
        <f t="shared" si="3"/>
        <v>-352.27493129999999</v>
      </c>
      <c r="I56">
        <v>1</v>
      </c>
      <c r="J56">
        <f t="shared" si="4"/>
        <v>-0.60171724645409808</v>
      </c>
      <c r="K56">
        <f t="shared" si="5"/>
        <v>-0.5787351517752175</v>
      </c>
      <c r="L56">
        <v>1</v>
      </c>
      <c r="M56">
        <f t="shared" si="6"/>
        <v>0.47221849711481245</v>
      </c>
      <c r="N56">
        <f t="shared" si="7"/>
        <v>4.1638120000000001E-2</v>
      </c>
      <c r="O56">
        <f t="shared" si="8"/>
        <v>3.1968214500000001E-2</v>
      </c>
      <c r="P56">
        <f t="shared" si="9"/>
        <v>3.291032016040505E-2</v>
      </c>
      <c r="V56">
        <v>-0.80000000000002003</v>
      </c>
      <c r="W56">
        <f t="shared" si="12"/>
        <v>-0.46188399999999896</v>
      </c>
    </row>
    <row r="57" spans="1:23">
      <c r="A57">
        <v>2.7917999999999998</v>
      </c>
      <c r="B57">
        <v>0.63965000000000005</v>
      </c>
      <c r="C57">
        <f t="shared" si="0"/>
        <v>1.78577487</v>
      </c>
      <c r="D57">
        <v>1.52E-2</v>
      </c>
      <c r="E57">
        <v>1.167E-2</v>
      </c>
      <c r="F57">
        <f t="shared" si="1"/>
        <v>558.36</v>
      </c>
      <c r="G57">
        <f t="shared" si="2"/>
        <v>-0.63965000000000005</v>
      </c>
      <c r="H57">
        <f t="shared" si="3"/>
        <v>-357.15497399999998</v>
      </c>
      <c r="I57">
        <v>1</v>
      </c>
      <c r="J57">
        <f t="shared" si="4"/>
        <v>-0.58275136333757971</v>
      </c>
      <c r="K57">
        <f t="shared" si="5"/>
        <v>-0.5820751517752174</v>
      </c>
      <c r="L57">
        <v>1</v>
      </c>
      <c r="M57">
        <f t="shared" si="6"/>
        <v>0.47320699894284535</v>
      </c>
      <c r="N57">
        <f t="shared" si="7"/>
        <v>4.2435359999999998E-2</v>
      </c>
      <c r="O57">
        <f t="shared" si="8"/>
        <v>3.2580305999999996E-2</v>
      </c>
      <c r="P57">
        <f t="shared" si="9"/>
        <v>3.3852486832372054E-2</v>
      </c>
      <c r="V57">
        <v>-0.70000000000002005</v>
      </c>
      <c r="W57">
        <f t="shared" si="12"/>
        <v>-0.46709599999999896</v>
      </c>
    </row>
    <row r="58" spans="1:23">
      <c r="A58">
        <v>2.8422000000000001</v>
      </c>
      <c r="B58">
        <v>0.63678999999999997</v>
      </c>
      <c r="C58">
        <f t="shared" si="0"/>
        <v>1.8098845379999999</v>
      </c>
      <c r="D58">
        <v>1.52E-2</v>
      </c>
      <c r="E58">
        <v>1.167E-2</v>
      </c>
      <c r="F58">
        <f t="shared" si="1"/>
        <v>568.44000000000005</v>
      </c>
      <c r="G58">
        <f t="shared" si="2"/>
        <v>-0.63678999999999997</v>
      </c>
      <c r="H58">
        <f t="shared" si="3"/>
        <v>-361.9769076</v>
      </c>
      <c r="I58">
        <v>1</v>
      </c>
      <c r="J58">
        <f t="shared" si="4"/>
        <v>-0.56485951225847619</v>
      </c>
      <c r="K58">
        <f t="shared" si="5"/>
        <v>-0.58493515177521749</v>
      </c>
      <c r="L58">
        <v>1</v>
      </c>
      <c r="M58">
        <f t="shared" si="6"/>
        <v>0.47413952222108824</v>
      </c>
      <c r="N58">
        <f t="shared" si="7"/>
        <v>4.3201440000000001E-2</v>
      </c>
      <c r="O58">
        <f t="shared" si="8"/>
        <v>3.3168474000000003E-2</v>
      </c>
      <c r="P58">
        <f t="shared" si="9"/>
        <v>3.4425715554129238E-2</v>
      </c>
      <c r="V58">
        <v>-0.60000000000001996</v>
      </c>
      <c r="W58">
        <f t="shared" si="12"/>
        <v>-0.47230799999999901</v>
      </c>
    </row>
    <row r="59" spans="1:23">
      <c r="A59">
        <v>2.8936500000000001</v>
      </c>
      <c r="B59">
        <v>0.63387000000000004</v>
      </c>
      <c r="C59">
        <f t="shared" si="0"/>
        <v>1.8341979255000003</v>
      </c>
      <c r="D59">
        <v>1.52E-2</v>
      </c>
      <c r="E59">
        <v>1.167E-2</v>
      </c>
      <c r="F59">
        <f t="shared" si="1"/>
        <v>578.73</v>
      </c>
      <c r="G59">
        <f t="shared" si="2"/>
        <v>-0.63387000000000004</v>
      </c>
      <c r="H59">
        <f t="shared" si="3"/>
        <v>-366.83958510000008</v>
      </c>
      <c r="I59">
        <v>1</v>
      </c>
      <c r="J59">
        <f t="shared" si="4"/>
        <v>-0.54691923141422949</v>
      </c>
      <c r="K59">
        <f t="shared" si="5"/>
        <v>-0.58785515177521741</v>
      </c>
      <c r="L59">
        <v>1</v>
      </c>
      <c r="M59">
        <f t="shared" si="6"/>
        <v>0.47507456965869038</v>
      </c>
      <c r="N59">
        <f t="shared" si="7"/>
        <v>4.3983479999999998E-2</v>
      </c>
      <c r="O59">
        <f t="shared" si="8"/>
        <v>3.37688955E-2</v>
      </c>
      <c r="P59">
        <f t="shared" si="9"/>
        <v>3.5028206616527037E-2</v>
      </c>
      <c r="V59">
        <v>-0.50000000000001998</v>
      </c>
      <c r="W59">
        <f t="shared" si="12"/>
        <v>-0.477519999999999</v>
      </c>
    </row>
    <row r="60" spans="1:23">
      <c r="A60">
        <v>2.9450500000000002</v>
      </c>
      <c r="B60">
        <v>0.63090999999999997</v>
      </c>
      <c r="C60">
        <f t="shared" si="0"/>
        <v>1.8580614955000001</v>
      </c>
      <c r="D60">
        <v>1.52E-2</v>
      </c>
      <c r="E60">
        <v>1.167E-2</v>
      </c>
      <c r="F60">
        <f t="shared" si="1"/>
        <v>589.01</v>
      </c>
      <c r="G60">
        <f t="shared" si="2"/>
        <v>-0.63090999999999997</v>
      </c>
      <c r="H60">
        <f t="shared" si="3"/>
        <v>-371.61229910000003</v>
      </c>
      <c r="I60">
        <v>1</v>
      </c>
      <c r="J60">
        <f t="shared" si="4"/>
        <v>-0.52931211754598095</v>
      </c>
      <c r="K60">
        <f t="shared" si="5"/>
        <v>-0.59081515177521748</v>
      </c>
      <c r="L60">
        <v>1</v>
      </c>
      <c r="M60">
        <f t="shared" si="6"/>
        <v>0.47599225243350352</v>
      </c>
      <c r="N60">
        <f t="shared" si="7"/>
        <v>4.4764760000000001E-2</v>
      </c>
      <c r="O60">
        <f t="shared" si="8"/>
        <v>3.4368733499999998E-2</v>
      </c>
      <c r="P60">
        <f t="shared" si="9"/>
        <v>3.568940584171397E-2</v>
      </c>
      <c r="V60">
        <v>-0.40000000000002001</v>
      </c>
      <c r="W60">
        <f t="shared" si="12"/>
        <v>-0.482731999999999</v>
      </c>
    </row>
    <row r="61" spans="1:23">
      <c r="A61">
        <v>2.9954499999999999</v>
      </c>
      <c r="B61">
        <v>0.62800999999999996</v>
      </c>
      <c r="C61">
        <f t="shared" si="0"/>
        <v>1.8811725544999998</v>
      </c>
      <c r="D61">
        <v>1.52E-2</v>
      </c>
      <c r="E61">
        <v>1.167E-2</v>
      </c>
      <c r="F61">
        <f t="shared" si="1"/>
        <v>599.09</v>
      </c>
      <c r="G61">
        <f t="shared" si="2"/>
        <v>-0.62800999999999996</v>
      </c>
      <c r="H61">
        <f t="shared" si="3"/>
        <v>-376.23451089999998</v>
      </c>
      <c r="I61">
        <v>1</v>
      </c>
      <c r="J61">
        <f t="shared" si="4"/>
        <v>-0.51234344173578883</v>
      </c>
      <c r="K61">
        <f t="shared" si="5"/>
        <v>-0.5937151517752175</v>
      </c>
      <c r="L61">
        <v>1</v>
      </c>
      <c r="M61">
        <f t="shared" si="6"/>
        <v>0.47687665981673072</v>
      </c>
      <c r="N61">
        <f t="shared" si="7"/>
        <v>4.5530839999999996E-2</v>
      </c>
      <c r="O61">
        <f t="shared" si="8"/>
        <v>3.4956901499999998E-2</v>
      </c>
      <c r="P61">
        <f t="shared" si="9"/>
        <v>3.6350750458486791E-2</v>
      </c>
      <c r="V61">
        <v>-0.30000000000001997</v>
      </c>
      <c r="W61">
        <f t="shared" si="12"/>
        <v>-0.48794399999999899</v>
      </c>
    </row>
    <row r="62" spans="1:23">
      <c r="A62">
        <v>3.0458500000000002</v>
      </c>
      <c r="B62">
        <v>0.62522</v>
      </c>
      <c r="C62">
        <f t="shared" si="0"/>
        <v>1.9043263370000001</v>
      </c>
      <c r="D62">
        <v>1.52E-2</v>
      </c>
      <c r="E62">
        <v>1.167E-2</v>
      </c>
      <c r="F62">
        <f t="shared" si="1"/>
        <v>609.17000000000007</v>
      </c>
      <c r="G62">
        <f t="shared" si="2"/>
        <v>-0.62522</v>
      </c>
      <c r="H62">
        <f t="shared" si="3"/>
        <v>-380.86526739999999</v>
      </c>
      <c r="I62">
        <v>1</v>
      </c>
      <c r="J62">
        <f t="shared" si="4"/>
        <v>-0.49565790408505978</v>
      </c>
      <c r="K62">
        <f t="shared" si="5"/>
        <v>-0.59650515177521746</v>
      </c>
      <c r="L62">
        <v>1</v>
      </c>
      <c r="M62">
        <f t="shared" si="6"/>
        <v>0.47774631003908674</v>
      </c>
      <c r="N62">
        <f t="shared" si="7"/>
        <v>4.6296920000000005E-2</v>
      </c>
      <c r="O62">
        <f t="shared" si="8"/>
        <v>3.5545069499999998E-2</v>
      </c>
      <c r="P62">
        <f t="shared" si="9"/>
        <v>3.6916852236130712E-2</v>
      </c>
      <c r="V62">
        <v>-0.20000000000002</v>
      </c>
      <c r="W62">
        <f t="shared" si="12"/>
        <v>-0.49315599999999898</v>
      </c>
    </row>
    <row r="63" spans="1:23">
      <c r="A63">
        <v>3.0983000000000001</v>
      </c>
      <c r="B63">
        <v>0.62229999999999996</v>
      </c>
      <c r="C63">
        <f t="shared" si="0"/>
        <v>1.9280720899999999</v>
      </c>
      <c r="D63">
        <v>1.52E-2</v>
      </c>
      <c r="E63">
        <v>1.167E-2</v>
      </c>
      <c r="F63">
        <f t="shared" si="1"/>
        <v>619.66</v>
      </c>
      <c r="G63">
        <f t="shared" si="2"/>
        <v>-0.62229999999999996</v>
      </c>
      <c r="H63">
        <f t="shared" si="3"/>
        <v>-385.614418</v>
      </c>
      <c r="I63">
        <v>1</v>
      </c>
      <c r="J63">
        <f t="shared" si="4"/>
        <v>-0.47858433845897247</v>
      </c>
      <c r="K63">
        <f t="shared" si="5"/>
        <v>-0.59942515177521749</v>
      </c>
      <c r="L63">
        <v>1</v>
      </c>
      <c r="M63">
        <f t="shared" si="6"/>
        <v>0.47863618427951837</v>
      </c>
      <c r="N63">
        <f t="shared" si="7"/>
        <v>4.7094160000000003E-2</v>
      </c>
      <c r="O63">
        <f t="shared" si="8"/>
        <v>3.6157161E-2</v>
      </c>
      <c r="P63">
        <f t="shared" si="9"/>
        <v>3.7537646495699122E-2</v>
      </c>
      <c r="V63">
        <v>-0.10000000000002</v>
      </c>
      <c r="W63">
        <f t="shared" si="12"/>
        <v>-0.49836799999999898</v>
      </c>
    </row>
    <row r="64" spans="1:23">
      <c r="A64">
        <v>3.1487500000000002</v>
      </c>
      <c r="B64">
        <v>0.61909000000000003</v>
      </c>
      <c r="C64">
        <f t="shared" si="0"/>
        <v>1.9493596375000002</v>
      </c>
      <c r="D64">
        <v>1.52E-2</v>
      </c>
      <c r="E64">
        <v>1.167E-2</v>
      </c>
      <c r="F64">
        <f t="shared" si="1"/>
        <v>629.75</v>
      </c>
      <c r="G64">
        <f t="shared" si="2"/>
        <v>-0.61909000000000003</v>
      </c>
      <c r="H64">
        <f t="shared" si="3"/>
        <v>-389.87192750000003</v>
      </c>
      <c r="I64">
        <v>1</v>
      </c>
      <c r="J64">
        <f t="shared" si="4"/>
        <v>-0.46243236374941743</v>
      </c>
      <c r="K64">
        <f t="shared" si="5"/>
        <v>-0.60263515177521743</v>
      </c>
      <c r="L64">
        <v>1</v>
      </c>
      <c r="M64">
        <f t="shared" si="6"/>
        <v>0.47947802520138039</v>
      </c>
      <c r="N64">
        <f t="shared" si="7"/>
        <v>4.7861000000000001E-2</v>
      </c>
      <c r="O64">
        <f t="shared" si="8"/>
        <v>3.6745912499999998E-2</v>
      </c>
      <c r="P64">
        <f t="shared" si="9"/>
        <v>3.855021407383704E-2</v>
      </c>
      <c r="V64">
        <v>-2.0428103653102899E-14</v>
      </c>
      <c r="W64">
        <f t="shared" si="12"/>
        <v>-0.50357999999999892</v>
      </c>
    </row>
    <row r="65" spans="1:23">
      <c r="A65">
        <v>3.2011500000000002</v>
      </c>
      <c r="B65">
        <v>0.61623000000000006</v>
      </c>
      <c r="C65">
        <f t="shared" si="0"/>
        <v>1.9726446645000002</v>
      </c>
      <c r="D65">
        <v>1.52E-2</v>
      </c>
      <c r="E65">
        <v>1.167E-2</v>
      </c>
      <c r="F65">
        <f t="shared" si="1"/>
        <v>640.23</v>
      </c>
      <c r="G65">
        <f t="shared" si="2"/>
        <v>-0.61623000000000006</v>
      </c>
      <c r="H65">
        <f t="shared" si="3"/>
        <v>-394.52893290000003</v>
      </c>
      <c r="I65">
        <v>1</v>
      </c>
      <c r="J65">
        <f t="shared" si="4"/>
        <v>-0.44592779218814793</v>
      </c>
      <c r="K65">
        <f t="shared" si="5"/>
        <v>-0.6054951517752174</v>
      </c>
      <c r="L65">
        <v>1</v>
      </c>
      <c r="M65">
        <f t="shared" si="6"/>
        <v>0.48033824347115378</v>
      </c>
      <c r="N65">
        <f t="shared" si="7"/>
        <v>4.8657480000000003E-2</v>
      </c>
      <c r="O65">
        <f t="shared" si="8"/>
        <v>3.7357420500000002E-2</v>
      </c>
      <c r="P65">
        <f t="shared" si="9"/>
        <v>3.9142007804063614E-2</v>
      </c>
      <c r="V65">
        <v>9.9999999999980105E-2</v>
      </c>
      <c r="W65">
        <f t="shared" si="12"/>
        <v>-0.50879199999999902</v>
      </c>
    </row>
    <row r="66" spans="1:23">
      <c r="A66">
        <v>3.2561499999999999</v>
      </c>
      <c r="B66">
        <v>0.61302000000000001</v>
      </c>
      <c r="C66">
        <f t="shared" si="0"/>
        <v>1.9960850729999999</v>
      </c>
      <c r="D66">
        <v>1.52E-2</v>
      </c>
      <c r="E66">
        <v>1.167E-2</v>
      </c>
      <c r="F66">
        <f t="shared" si="1"/>
        <v>651.23</v>
      </c>
      <c r="G66">
        <f t="shared" si="2"/>
        <v>-0.61302000000000001</v>
      </c>
      <c r="H66">
        <f t="shared" si="3"/>
        <v>-399.21701459999997</v>
      </c>
      <c r="I66">
        <v>1</v>
      </c>
      <c r="J66">
        <f t="shared" si="4"/>
        <v>-0.42889239655887212</v>
      </c>
      <c r="K66">
        <f t="shared" si="5"/>
        <v>-0.60870515177521745</v>
      </c>
      <c r="L66">
        <v>1</v>
      </c>
      <c r="M66">
        <f t="shared" si="6"/>
        <v>0.48122612829135158</v>
      </c>
      <c r="N66">
        <f t="shared" si="7"/>
        <v>4.9493479999999999E-2</v>
      </c>
      <c r="O66">
        <f t="shared" si="8"/>
        <v>3.7999270500000001E-2</v>
      </c>
      <c r="P66">
        <f t="shared" si="9"/>
        <v>3.9986272983865853E-2</v>
      </c>
      <c r="V66">
        <v>0.19999999999998</v>
      </c>
      <c r="W66">
        <f t="shared" si="12"/>
        <v>-0.51400399999999902</v>
      </c>
    </row>
    <row r="67" spans="1:23">
      <c r="A67">
        <v>3.3075999999999999</v>
      </c>
      <c r="B67">
        <v>0.61019000000000001</v>
      </c>
      <c r="C67">
        <f t="shared" si="0"/>
        <v>2.0182644440000002</v>
      </c>
      <c r="D67">
        <v>1.52E-2</v>
      </c>
      <c r="E67">
        <v>1.167E-2</v>
      </c>
      <c r="F67">
        <f t="shared" si="1"/>
        <v>661.52</v>
      </c>
      <c r="G67">
        <f t="shared" si="2"/>
        <v>-0.61019000000000001</v>
      </c>
      <c r="H67">
        <f t="shared" si="3"/>
        <v>-403.65288880000003</v>
      </c>
      <c r="I67">
        <v>1</v>
      </c>
      <c r="J67">
        <f t="shared" si="4"/>
        <v>-0.41321506156822579</v>
      </c>
      <c r="K67">
        <f t="shared" si="5"/>
        <v>-0.61153515177521744</v>
      </c>
      <c r="L67">
        <v>1</v>
      </c>
      <c r="M67">
        <f t="shared" si="6"/>
        <v>0.48204323099106411</v>
      </c>
      <c r="N67">
        <f t="shared" si="7"/>
        <v>5.0275519999999997E-2</v>
      </c>
      <c r="O67">
        <f t="shared" si="8"/>
        <v>3.8599691999999998E-2</v>
      </c>
      <c r="P67">
        <f t="shared" si="9"/>
        <v>4.0616708784153348E-2</v>
      </c>
      <c r="V67">
        <v>0.29999999999998</v>
      </c>
      <c r="W67">
        <f t="shared" si="12"/>
        <v>-0.51921599999999901</v>
      </c>
    </row>
    <row r="68" spans="1:23">
      <c r="A68">
        <v>3.359</v>
      </c>
      <c r="B68">
        <v>0.60682999999999998</v>
      </c>
      <c r="C68">
        <f t="shared" ref="C68:C131" si="13">A68*B68</f>
        <v>2.0383419699999998</v>
      </c>
      <c r="D68">
        <v>1.52E-2</v>
      </c>
      <c r="E68">
        <v>1.167E-2</v>
      </c>
      <c r="F68">
        <f t="shared" ref="F68:F131" si="14">A68*200</f>
        <v>671.8</v>
      </c>
      <c r="G68">
        <f t="shared" ref="G68:G131" si="15">-B68</f>
        <v>-0.60682999999999998</v>
      </c>
      <c r="H68">
        <f t="shared" ref="H68:H131" si="16">-C68*200</f>
        <v>-407.66839399999998</v>
      </c>
      <c r="I68">
        <v>1</v>
      </c>
      <c r="J68">
        <f t="shared" ref="J68:J131" si="17">LN(F68/1000)</f>
        <v>-0.39779460180394477</v>
      </c>
      <c r="K68">
        <f t="shared" ref="K68:K131" si="18">((-G68)-$N$2)</f>
        <v>-0.61489515177521747</v>
      </c>
      <c r="L68">
        <v>1</v>
      </c>
      <c r="M68">
        <f t="shared" ref="M68:M131" si="19">-1*($S$4+($S$5*J68))</f>
        <v>0.48284694535397843</v>
      </c>
      <c r="N68">
        <f t="shared" ref="N68:N131" si="20">D68*A68</f>
        <v>5.1056799999999999E-2</v>
      </c>
      <c r="O68">
        <f t="shared" ref="O68:O131" si="21">E68*A68</f>
        <v>3.9199529999999996E-2</v>
      </c>
      <c r="P68">
        <f t="shared" ref="P68:P131" si="22">-K68-M68-N68-O68</f>
        <v>4.1791876421239049E-2</v>
      </c>
      <c r="V68">
        <v>0.39999999999997998</v>
      </c>
      <c r="W68">
        <f t="shared" ref="W68:W99" si="23">V68*$S$5+$S$4</f>
        <v>-0.52442799999999901</v>
      </c>
    </row>
    <row r="69" spans="1:23">
      <c r="A69">
        <v>3.4114499999999999</v>
      </c>
      <c r="B69">
        <v>0.60402999999999996</v>
      </c>
      <c r="C69">
        <f t="shared" si="13"/>
        <v>2.0606181434999997</v>
      </c>
      <c r="D69">
        <v>1.52E-2</v>
      </c>
      <c r="E69">
        <v>1.167E-2</v>
      </c>
      <c r="F69">
        <f t="shared" si="14"/>
        <v>682.29</v>
      </c>
      <c r="G69">
        <f t="shared" si="15"/>
        <v>-0.60402999999999996</v>
      </c>
      <c r="H69">
        <f t="shared" si="16"/>
        <v>-412.12362869999993</v>
      </c>
      <c r="I69">
        <v>1</v>
      </c>
      <c r="J69">
        <f t="shared" si="17"/>
        <v>-0.38230049157770518</v>
      </c>
      <c r="K69">
        <f t="shared" si="18"/>
        <v>-0.6176951517752175</v>
      </c>
      <c r="L69">
        <v>1</v>
      </c>
      <c r="M69">
        <f t="shared" si="19"/>
        <v>0.48365449837897001</v>
      </c>
      <c r="N69">
        <f t="shared" si="20"/>
        <v>5.1854039999999997E-2</v>
      </c>
      <c r="O69">
        <f t="shared" si="21"/>
        <v>3.9811621499999998E-2</v>
      </c>
      <c r="P69">
        <f t="shared" si="22"/>
        <v>4.2374991896247501E-2</v>
      </c>
      <c r="V69">
        <v>0.49999999999998002</v>
      </c>
      <c r="W69">
        <f t="shared" si="23"/>
        <v>-0.529639999999999</v>
      </c>
    </row>
    <row r="70" spans="1:23">
      <c r="A70">
        <v>3.4619</v>
      </c>
      <c r="B70">
        <v>0.6008</v>
      </c>
      <c r="C70">
        <f t="shared" si="13"/>
        <v>2.0799095200000002</v>
      </c>
      <c r="D70">
        <v>1.52E-2</v>
      </c>
      <c r="E70">
        <v>1.167E-2</v>
      </c>
      <c r="F70">
        <f t="shared" si="14"/>
        <v>692.38</v>
      </c>
      <c r="G70">
        <f t="shared" si="15"/>
        <v>-0.6008</v>
      </c>
      <c r="H70">
        <f t="shared" si="16"/>
        <v>-415.98190400000004</v>
      </c>
      <c r="I70">
        <v>1</v>
      </c>
      <c r="J70">
        <f t="shared" si="17"/>
        <v>-0.36762034113481418</v>
      </c>
      <c r="K70">
        <f t="shared" si="18"/>
        <v>-0.62092515177521745</v>
      </c>
      <c r="L70">
        <v>1</v>
      </c>
      <c r="M70">
        <f t="shared" si="19"/>
        <v>0.48441962782005349</v>
      </c>
      <c r="N70">
        <f t="shared" si="20"/>
        <v>5.2620880000000002E-2</v>
      </c>
      <c r="O70">
        <f t="shared" si="21"/>
        <v>4.0400372999999996E-2</v>
      </c>
      <c r="P70">
        <f t="shared" si="22"/>
        <v>4.348427095516396E-2</v>
      </c>
      <c r="V70">
        <v>0.59999999999997999</v>
      </c>
      <c r="W70">
        <f t="shared" si="23"/>
        <v>-0.53485199999999899</v>
      </c>
    </row>
    <row r="71" spans="1:23">
      <c r="A71">
        <v>3.5123000000000002</v>
      </c>
      <c r="B71">
        <v>0.59809000000000001</v>
      </c>
      <c r="C71">
        <f t="shared" si="13"/>
        <v>2.1006715069999999</v>
      </c>
      <c r="D71">
        <v>1.52E-2</v>
      </c>
      <c r="E71">
        <v>1.167E-2</v>
      </c>
      <c r="F71">
        <f t="shared" si="14"/>
        <v>702.46</v>
      </c>
      <c r="G71">
        <f t="shared" si="15"/>
        <v>-0.59809000000000001</v>
      </c>
      <c r="H71">
        <f t="shared" si="16"/>
        <v>-420.13430139999997</v>
      </c>
      <c r="I71">
        <v>1</v>
      </c>
      <c r="J71">
        <f t="shared" si="17"/>
        <v>-0.35316681889713042</v>
      </c>
      <c r="K71">
        <f t="shared" si="18"/>
        <v>-0.62363515177521744</v>
      </c>
      <c r="L71">
        <v>1</v>
      </c>
      <c r="M71">
        <f t="shared" si="19"/>
        <v>0.48517294539908157</v>
      </c>
      <c r="N71">
        <f t="shared" si="20"/>
        <v>5.3386960000000004E-2</v>
      </c>
      <c r="O71">
        <f t="shared" si="21"/>
        <v>4.0988541000000003E-2</v>
      </c>
      <c r="P71">
        <f t="shared" si="22"/>
        <v>4.4086705376135862E-2</v>
      </c>
      <c r="V71">
        <v>0.69999999999997997</v>
      </c>
      <c r="W71">
        <f t="shared" si="23"/>
        <v>-0.54006399999999899</v>
      </c>
    </row>
    <row r="72" spans="1:23">
      <c r="A72">
        <v>3.5642</v>
      </c>
      <c r="B72">
        <v>0.59533999999999998</v>
      </c>
      <c r="C72">
        <f t="shared" si="13"/>
        <v>2.1219108279999999</v>
      </c>
      <c r="D72">
        <v>1.52E-2</v>
      </c>
      <c r="E72">
        <v>1.167E-2</v>
      </c>
      <c r="F72">
        <f t="shared" si="14"/>
        <v>712.84</v>
      </c>
      <c r="G72">
        <f t="shared" si="15"/>
        <v>-0.59533999999999998</v>
      </c>
      <c r="H72">
        <f t="shared" si="16"/>
        <v>-424.38216559999995</v>
      </c>
      <c r="I72">
        <v>1</v>
      </c>
      <c r="J72">
        <f t="shared" si="17"/>
        <v>-0.33849828767723844</v>
      </c>
      <c r="K72">
        <f t="shared" si="18"/>
        <v>-0.62638515177521747</v>
      </c>
      <c r="L72">
        <v>1</v>
      </c>
      <c r="M72">
        <f t="shared" si="19"/>
        <v>0.48593746924626235</v>
      </c>
      <c r="N72">
        <f t="shared" si="20"/>
        <v>5.4175840000000003E-2</v>
      </c>
      <c r="O72">
        <f t="shared" si="21"/>
        <v>4.1594213999999997E-2</v>
      </c>
      <c r="P72">
        <f t="shared" si="22"/>
        <v>4.467762852895512E-2</v>
      </c>
      <c r="V72">
        <v>0.79999999999997995</v>
      </c>
      <c r="W72">
        <f t="shared" si="23"/>
        <v>-0.54527599999999898</v>
      </c>
    </row>
    <row r="73" spans="1:23">
      <c r="A73">
        <v>3.61565</v>
      </c>
      <c r="B73">
        <v>0.59199999999999997</v>
      </c>
      <c r="C73">
        <f t="shared" si="13"/>
        <v>2.1404647999999997</v>
      </c>
      <c r="D73">
        <v>1.52E-2</v>
      </c>
      <c r="E73">
        <v>1.167E-2</v>
      </c>
      <c r="F73">
        <f t="shared" si="14"/>
        <v>723.13</v>
      </c>
      <c r="G73">
        <f t="shared" si="15"/>
        <v>-0.59199999999999997</v>
      </c>
      <c r="H73">
        <f t="shared" si="16"/>
        <v>-428.09295999999995</v>
      </c>
      <c r="I73">
        <v>1</v>
      </c>
      <c r="J73">
        <f t="shared" si="17"/>
        <v>-0.32416626662421982</v>
      </c>
      <c r="K73">
        <f t="shared" si="18"/>
        <v>-0.62972515177521748</v>
      </c>
      <c r="L73">
        <v>1</v>
      </c>
      <c r="M73">
        <f t="shared" si="19"/>
        <v>0.48668445418354567</v>
      </c>
      <c r="N73">
        <f t="shared" si="20"/>
        <v>5.4957880000000001E-2</v>
      </c>
      <c r="O73">
        <f t="shared" si="21"/>
        <v>4.2194635500000001E-2</v>
      </c>
      <c r="P73">
        <f t="shared" si="22"/>
        <v>4.5888182091671816E-2</v>
      </c>
      <c r="V73">
        <v>0.89999999999998004</v>
      </c>
      <c r="W73">
        <f t="shared" si="23"/>
        <v>-0.55048799999999898</v>
      </c>
    </row>
    <row r="74" spans="1:23">
      <c r="A74">
        <v>3.6676000000000002</v>
      </c>
      <c r="B74">
        <v>0.58904000000000001</v>
      </c>
      <c r="C74">
        <f t="shared" si="13"/>
        <v>2.160363104</v>
      </c>
      <c r="D74">
        <v>1.52E-2</v>
      </c>
      <c r="E74">
        <v>1.167E-2</v>
      </c>
      <c r="F74">
        <f t="shared" si="14"/>
        <v>733.52</v>
      </c>
      <c r="G74">
        <f t="shared" si="15"/>
        <v>-0.58904000000000001</v>
      </c>
      <c r="H74">
        <f t="shared" si="16"/>
        <v>-432.07262079999998</v>
      </c>
      <c r="I74">
        <v>1</v>
      </c>
      <c r="J74">
        <f t="shared" si="17"/>
        <v>-0.30990041524049178</v>
      </c>
      <c r="K74">
        <f t="shared" si="18"/>
        <v>-0.63268515177521745</v>
      </c>
      <c r="L74">
        <v>1</v>
      </c>
      <c r="M74">
        <f t="shared" si="19"/>
        <v>0.4874279903576656</v>
      </c>
      <c r="N74">
        <f t="shared" si="20"/>
        <v>5.5747520000000002E-2</v>
      </c>
      <c r="O74">
        <f t="shared" si="21"/>
        <v>4.2800892E-2</v>
      </c>
      <c r="P74">
        <f t="shared" si="22"/>
        <v>4.6708749417551855E-2</v>
      </c>
      <c r="V74">
        <v>0.99999999999998002</v>
      </c>
      <c r="W74">
        <f t="shared" si="23"/>
        <v>-0.55569999999999897</v>
      </c>
    </row>
    <row r="75" spans="1:23">
      <c r="A75">
        <v>3.7185000000000001</v>
      </c>
      <c r="B75">
        <v>0.58614999999999995</v>
      </c>
      <c r="C75">
        <f t="shared" si="13"/>
        <v>2.1795987750000001</v>
      </c>
      <c r="D75">
        <v>1.52E-2</v>
      </c>
      <c r="E75">
        <v>1.167E-2</v>
      </c>
      <c r="F75">
        <f t="shared" si="14"/>
        <v>743.7</v>
      </c>
      <c r="G75">
        <f t="shared" si="15"/>
        <v>-0.58614999999999995</v>
      </c>
      <c r="H75">
        <f t="shared" si="16"/>
        <v>-435.91975500000001</v>
      </c>
      <c r="I75">
        <v>1</v>
      </c>
      <c r="J75">
        <f t="shared" si="17"/>
        <v>-0.29611755127288253</v>
      </c>
      <c r="K75">
        <f t="shared" si="18"/>
        <v>-0.63557515177521751</v>
      </c>
      <c r="L75">
        <v>1</v>
      </c>
      <c r="M75">
        <f t="shared" si="19"/>
        <v>0.48814635322765737</v>
      </c>
      <c r="N75">
        <f t="shared" si="20"/>
        <v>5.6521200000000001E-2</v>
      </c>
      <c r="O75">
        <f t="shared" si="21"/>
        <v>4.3394895000000003E-2</v>
      </c>
      <c r="P75">
        <f t="shared" si="22"/>
        <v>4.7512703547560139E-2</v>
      </c>
      <c r="V75">
        <v>1.0999999999999699</v>
      </c>
      <c r="W75">
        <f t="shared" si="23"/>
        <v>-0.56091199999999841</v>
      </c>
    </row>
    <row r="76" spans="1:23">
      <c r="A76">
        <v>3.7688999999999999</v>
      </c>
      <c r="B76">
        <v>0.58308000000000004</v>
      </c>
      <c r="C76">
        <f t="shared" si="13"/>
        <v>2.197570212</v>
      </c>
      <c r="D76">
        <v>1.52E-2</v>
      </c>
      <c r="E76">
        <v>1.167E-2</v>
      </c>
      <c r="F76">
        <f t="shared" si="14"/>
        <v>753.78</v>
      </c>
      <c r="G76">
        <f t="shared" si="15"/>
        <v>-0.58308000000000004</v>
      </c>
      <c r="H76">
        <f t="shared" si="16"/>
        <v>-439.51404239999999</v>
      </c>
      <c r="I76">
        <v>1</v>
      </c>
      <c r="J76">
        <f t="shared" si="17"/>
        <v>-0.28265473073775554</v>
      </c>
      <c r="K76">
        <f t="shared" si="18"/>
        <v>-0.63864515177521741</v>
      </c>
      <c r="L76">
        <v>1</v>
      </c>
      <c r="M76">
        <f t="shared" si="19"/>
        <v>0.48884803543394822</v>
      </c>
      <c r="N76">
        <f t="shared" si="20"/>
        <v>5.7287279999999996E-2</v>
      </c>
      <c r="O76">
        <f t="shared" si="21"/>
        <v>4.3983062999999996E-2</v>
      </c>
      <c r="P76">
        <f t="shared" si="22"/>
        <v>4.8526773341269196E-2</v>
      </c>
      <c r="V76">
        <v>1.19999999999997</v>
      </c>
      <c r="W76">
        <f t="shared" si="23"/>
        <v>-0.56612399999999852</v>
      </c>
    </row>
    <row r="77" spans="1:23">
      <c r="A77">
        <v>3.8213499999999998</v>
      </c>
      <c r="B77">
        <v>0.57999000000000001</v>
      </c>
      <c r="C77">
        <f t="shared" si="13"/>
        <v>2.2163447865000001</v>
      </c>
      <c r="D77">
        <v>1.52E-2</v>
      </c>
      <c r="E77">
        <v>1.167E-2</v>
      </c>
      <c r="F77">
        <f t="shared" si="14"/>
        <v>764.27</v>
      </c>
      <c r="G77">
        <f t="shared" si="15"/>
        <v>-0.57999000000000001</v>
      </c>
      <c r="H77">
        <f t="shared" si="16"/>
        <v>-443.26895730000001</v>
      </c>
      <c r="I77">
        <v>1</v>
      </c>
      <c r="J77">
        <f t="shared" si="17"/>
        <v>-0.26883414910643672</v>
      </c>
      <c r="K77">
        <f t="shared" si="18"/>
        <v>-0.64173515177521745</v>
      </c>
      <c r="L77">
        <v>1</v>
      </c>
      <c r="M77">
        <f t="shared" si="19"/>
        <v>0.48956836414857252</v>
      </c>
      <c r="N77">
        <f t="shared" si="20"/>
        <v>5.8084519999999994E-2</v>
      </c>
      <c r="O77">
        <f t="shared" si="21"/>
        <v>4.4595154499999998E-2</v>
      </c>
      <c r="P77">
        <f t="shared" si="22"/>
        <v>4.948711312664493E-2</v>
      </c>
      <c r="V77">
        <v>1.2999999999999701</v>
      </c>
      <c r="W77">
        <f t="shared" si="23"/>
        <v>-0.57133599999999851</v>
      </c>
    </row>
    <row r="78" spans="1:23">
      <c r="A78">
        <v>3.87175</v>
      </c>
      <c r="B78">
        <v>0.57676000000000005</v>
      </c>
      <c r="C78">
        <f t="shared" si="13"/>
        <v>2.23307053</v>
      </c>
      <c r="D78">
        <v>1.52E-2</v>
      </c>
      <c r="E78">
        <v>1.167E-2</v>
      </c>
      <c r="F78">
        <f t="shared" si="14"/>
        <v>774.35</v>
      </c>
      <c r="G78">
        <f t="shared" si="15"/>
        <v>-0.57676000000000005</v>
      </c>
      <c r="H78">
        <f t="shared" si="16"/>
        <v>-446.61410599999999</v>
      </c>
      <c r="I78">
        <v>1</v>
      </c>
      <c r="J78">
        <f t="shared" si="17"/>
        <v>-0.25573131121995368</v>
      </c>
      <c r="K78">
        <f t="shared" si="18"/>
        <v>-0.6449651517752174</v>
      </c>
      <c r="L78">
        <v>1</v>
      </c>
      <c r="M78">
        <f t="shared" si="19"/>
        <v>0.49025128405921603</v>
      </c>
      <c r="N78">
        <f t="shared" si="20"/>
        <v>5.8850600000000003E-2</v>
      </c>
      <c r="O78">
        <f t="shared" si="21"/>
        <v>4.5183322499999998E-2</v>
      </c>
      <c r="P78">
        <f t="shared" si="22"/>
        <v>5.0679945216001374E-2</v>
      </c>
      <c r="V78">
        <v>1.3999999999999699</v>
      </c>
      <c r="W78">
        <f t="shared" si="23"/>
        <v>-0.57654799999999851</v>
      </c>
    </row>
    <row r="79" spans="1:23">
      <c r="A79">
        <v>3.9232</v>
      </c>
      <c r="B79">
        <v>0.57389999999999997</v>
      </c>
      <c r="C79">
        <f t="shared" si="13"/>
        <v>2.2515244800000001</v>
      </c>
      <c r="D79">
        <v>1.52E-2</v>
      </c>
      <c r="E79">
        <v>1.167E-2</v>
      </c>
      <c r="F79">
        <f t="shared" si="14"/>
        <v>784.64</v>
      </c>
      <c r="G79">
        <f t="shared" si="15"/>
        <v>-0.57389999999999997</v>
      </c>
      <c r="H79">
        <f t="shared" si="16"/>
        <v>-450.30489599999999</v>
      </c>
      <c r="I79">
        <v>1</v>
      </c>
      <c r="J79">
        <f t="shared" si="17"/>
        <v>-0.24253026511439985</v>
      </c>
      <c r="K79">
        <f t="shared" si="18"/>
        <v>-0.64782515177521749</v>
      </c>
      <c r="L79">
        <v>1</v>
      </c>
      <c r="M79">
        <f t="shared" si="19"/>
        <v>0.49093932258223749</v>
      </c>
      <c r="N79">
        <f t="shared" si="20"/>
        <v>5.9632640000000001E-2</v>
      </c>
      <c r="O79">
        <f t="shared" si="21"/>
        <v>4.5783744000000001E-2</v>
      </c>
      <c r="P79">
        <f t="shared" si="22"/>
        <v>5.1469445192979996E-2</v>
      </c>
      <c r="V79">
        <v>1.49999999999997</v>
      </c>
      <c r="W79">
        <f t="shared" si="23"/>
        <v>-0.5817599999999985</v>
      </c>
    </row>
    <row r="80" spans="1:23">
      <c r="A80">
        <v>3.9766499999999998</v>
      </c>
      <c r="B80">
        <v>0.57069000000000003</v>
      </c>
      <c r="C80">
        <f t="shared" si="13"/>
        <v>2.2694343885000001</v>
      </c>
      <c r="D80">
        <v>1.52E-2</v>
      </c>
      <c r="E80">
        <v>1.167E-2</v>
      </c>
      <c r="F80">
        <f t="shared" si="14"/>
        <v>795.32999999999993</v>
      </c>
      <c r="G80">
        <f t="shared" si="15"/>
        <v>-0.57069000000000003</v>
      </c>
      <c r="H80">
        <f t="shared" si="16"/>
        <v>-453.88687770000001</v>
      </c>
      <c r="I80">
        <v>1</v>
      </c>
      <c r="J80">
        <f t="shared" si="17"/>
        <v>-0.22899815611600463</v>
      </c>
      <c r="K80">
        <f t="shared" si="18"/>
        <v>-0.65103515177521742</v>
      </c>
      <c r="L80">
        <v>1</v>
      </c>
      <c r="M80">
        <f t="shared" si="19"/>
        <v>0.49164461610323384</v>
      </c>
      <c r="N80">
        <f t="shared" si="20"/>
        <v>6.0445079999999998E-2</v>
      </c>
      <c r="O80">
        <f t="shared" si="21"/>
        <v>4.6407505499999994E-2</v>
      </c>
      <c r="P80">
        <f t="shared" si="22"/>
        <v>5.2537950171983587E-2</v>
      </c>
      <c r="V80">
        <v>1.5999999999999699</v>
      </c>
      <c r="W80">
        <f t="shared" si="23"/>
        <v>-0.58697199999999849</v>
      </c>
    </row>
    <row r="81" spans="1:23">
      <c r="A81">
        <v>4.0275999999999996</v>
      </c>
      <c r="B81">
        <v>0.56755999999999995</v>
      </c>
      <c r="C81">
        <f t="shared" si="13"/>
        <v>2.2859046559999996</v>
      </c>
      <c r="D81">
        <v>1.52E-2</v>
      </c>
      <c r="E81">
        <v>1.167E-2</v>
      </c>
      <c r="F81">
        <f t="shared" si="14"/>
        <v>805.52</v>
      </c>
      <c r="G81">
        <f t="shared" si="15"/>
        <v>-0.56755999999999995</v>
      </c>
      <c r="H81">
        <f t="shared" si="16"/>
        <v>-457.18093119999992</v>
      </c>
      <c r="I81">
        <v>1</v>
      </c>
      <c r="J81">
        <f t="shared" si="17"/>
        <v>-0.21626724737477759</v>
      </c>
      <c r="K81">
        <f t="shared" si="18"/>
        <v>-0.6541651517752175</v>
      </c>
      <c r="L81">
        <v>1</v>
      </c>
      <c r="M81">
        <f t="shared" si="19"/>
        <v>0.49230815106682663</v>
      </c>
      <c r="N81">
        <f t="shared" si="20"/>
        <v>6.1219519999999993E-2</v>
      </c>
      <c r="O81">
        <f t="shared" si="21"/>
        <v>4.7002091999999995E-2</v>
      </c>
      <c r="P81">
        <f t="shared" si="22"/>
        <v>5.363538870839088E-2</v>
      </c>
      <c r="V81">
        <v>1.69999999999997</v>
      </c>
      <c r="W81">
        <f t="shared" si="23"/>
        <v>-0.59218399999999849</v>
      </c>
    </row>
    <row r="82" spans="1:23">
      <c r="A82">
        <v>4.0780000000000003</v>
      </c>
      <c r="B82">
        <v>0.56422000000000005</v>
      </c>
      <c r="C82">
        <f t="shared" si="13"/>
        <v>2.3008891600000005</v>
      </c>
      <c r="D82">
        <v>1.52E-2</v>
      </c>
      <c r="E82">
        <v>1.167E-2</v>
      </c>
      <c r="F82">
        <f t="shared" si="14"/>
        <v>815.6</v>
      </c>
      <c r="G82">
        <f t="shared" si="15"/>
        <v>-0.56422000000000005</v>
      </c>
      <c r="H82">
        <f t="shared" si="16"/>
        <v>-460.17783200000008</v>
      </c>
      <c r="I82">
        <v>1</v>
      </c>
      <c r="J82">
        <f t="shared" si="17"/>
        <v>-0.20383124028183694</v>
      </c>
      <c r="K82">
        <f t="shared" si="18"/>
        <v>-0.6575051517752174</v>
      </c>
      <c r="L82">
        <v>1</v>
      </c>
      <c r="M82">
        <f t="shared" si="19"/>
        <v>0.49295631575651067</v>
      </c>
      <c r="N82">
        <f t="shared" si="20"/>
        <v>6.1985600000000002E-2</v>
      </c>
      <c r="O82">
        <f t="shared" si="21"/>
        <v>4.7590260000000002E-2</v>
      </c>
      <c r="P82">
        <f t="shared" si="22"/>
        <v>5.497297601870673E-2</v>
      </c>
      <c r="V82">
        <v>1.7999999999999701</v>
      </c>
      <c r="W82">
        <f t="shared" si="23"/>
        <v>-0.59739599999999848</v>
      </c>
    </row>
    <row r="83" spans="1:23">
      <c r="A83">
        <v>4.1288999999999998</v>
      </c>
      <c r="B83">
        <v>0.56122000000000005</v>
      </c>
      <c r="C83">
        <f t="shared" si="13"/>
        <v>2.317221258</v>
      </c>
      <c r="D83">
        <v>1.52E-2</v>
      </c>
      <c r="E83">
        <v>1.167E-2</v>
      </c>
      <c r="F83">
        <f t="shared" si="14"/>
        <v>825.78</v>
      </c>
      <c r="G83">
        <f t="shared" si="15"/>
        <v>-0.56122000000000005</v>
      </c>
      <c r="H83">
        <f t="shared" si="16"/>
        <v>-463.44425160000003</v>
      </c>
      <c r="I83">
        <v>1</v>
      </c>
      <c r="J83">
        <f t="shared" si="17"/>
        <v>-0.19142688476264094</v>
      </c>
      <c r="K83">
        <f t="shared" si="18"/>
        <v>-0.6605051517752174</v>
      </c>
      <c r="L83">
        <v>1</v>
      </c>
      <c r="M83">
        <f t="shared" si="19"/>
        <v>0.49360283076617117</v>
      </c>
      <c r="N83">
        <f t="shared" si="20"/>
        <v>6.2759280000000001E-2</v>
      </c>
      <c r="O83">
        <f t="shared" si="21"/>
        <v>4.8184262999999998E-2</v>
      </c>
      <c r="P83">
        <f t="shared" si="22"/>
        <v>5.595877800904623E-2</v>
      </c>
      <c r="V83">
        <v>1.8999999999999699</v>
      </c>
      <c r="W83">
        <f t="shared" si="23"/>
        <v>-0.60260799999999848</v>
      </c>
    </row>
    <row r="84" spans="1:23">
      <c r="A84">
        <v>4.1792999999999996</v>
      </c>
      <c r="B84">
        <v>0.55805000000000005</v>
      </c>
      <c r="C84">
        <f t="shared" si="13"/>
        <v>2.3322583649999999</v>
      </c>
      <c r="D84">
        <v>1.52E-2</v>
      </c>
      <c r="E84">
        <v>1.167E-2</v>
      </c>
      <c r="F84">
        <f t="shared" si="14"/>
        <v>835.8599999999999</v>
      </c>
      <c r="G84">
        <f t="shared" si="15"/>
        <v>-0.55805000000000005</v>
      </c>
      <c r="H84">
        <f t="shared" si="16"/>
        <v>-466.45167299999997</v>
      </c>
      <c r="I84">
        <v>1</v>
      </c>
      <c r="J84">
        <f t="shared" si="17"/>
        <v>-0.17929414403594859</v>
      </c>
      <c r="K84">
        <f t="shared" si="18"/>
        <v>-0.66367515177521741</v>
      </c>
      <c r="L84">
        <v>1</v>
      </c>
      <c r="M84">
        <f t="shared" si="19"/>
        <v>0.49423518921284637</v>
      </c>
      <c r="N84">
        <f t="shared" si="20"/>
        <v>6.3525359999999989E-2</v>
      </c>
      <c r="O84">
        <f t="shared" si="21"/>
        <v>4.8772430999999991E-2</v>
      </c>
      <c r="P84">
        <f t="shared" si="22"/>
        <v>5.7142171562371058E-2</v>
      </c>
      <c r="V84">
        <v>1.99999999999997</v>
      </c>
      <c r="W84">
        <f t="shared" si="23"/>
        <v>-0.60781999999999847</v>
      </c>
    </row>
    <row r="85" spans="1:23">
      <c r="A85">
        <v>4.2312499999999993</v>
      </c>
      <c r="B85">
        <v>0.55481999999999998</v>
      </c>
      <c r="C85">
        <f t="shared" si="13"/>
        <v>2.3475821249999997</v>
      </c>
      <c r="D85">
        <v>1.52E-2</v>
      </c>
      <c r="E85">
        <v>1.167E-2</v>
      </c>
      <c r="F85">
        <f t="shared" si="14"/>
        <v>846.24999999999989</v>
      </c>
      <c r="G85">
        <f t="shared" si="15"/>
        <v>-0.55481999999999998</v>
      </c>
      <c r="H85">
        <f t="shared" si="16"/>
        <v>-469.51642499999997</v>
      </c>
      <c r="I85">
        <v>1</v>
      </c>
      <c r="J85">
        <f t="shared" si="17"/>
        <v>-0.1669404547556525</v>
      </c>
      <c r="K85">
        <f t="shared" si="18"/>
        <v>-0.66690515177521748</v>
      </c>
      <c r="L85">
        <v>1</v>
      </c>
      <c r="M85">
        <f t="shared" si="19"/>
        <v>0.49487906349813543</v>
      </c>
      <c r="N85">
        <f t="shared" si="20"/>
        <v>6.4314999999999983E-2</v>
      </c>
      <c r="O85">
        <f t="shared" si="21"/>
        <v>4.937868749999999E-2</v>
      </c>
      <c r="P85">
        <f t="shared" si="22"/>
        <v>5.8332400777082072E-2</v>
      </c>
      <c r="V85">
        <v>2.0999999999999699</v>
      </c>
      <c r="W85">
        <f t="shared" si="23"/>
        <v>-0.61303199999999847</v>
      </c>
    </row>
    <row r="86" spans="1:23">
      <c r="A86">
        <v>4.2827000000000002</v>
      </c>
      <c r="B86">
        <v>0.55149999999999999</v>
      </c>
      <c r="C86">
        <f t="shared" si="13"/>
        <v>2.36190905</v>
      </c>
      <c r="D86">
        <v>1.52E-2</v>
      </c>
      <c r="E86">
        <v>1.167E-2</v>
      </c>
      <c r="F86">
        <f t="shared" si="14"/>
        <v>856.54000000000008</v>
      </c>
      <c r="G86">
        <f t="shared" si="15"/>
        <v>-0.55149999999999999</v>
      </c>
      <c r="H86">
        <f t="shared" si="16"/>
        <v>-472.38180999999997</v>
      </c>
      <c r="I86">
        <v>1</v>
      </c>
      <c r="J86">
        <f t="shared" si="17"/>
        <v>-0.1548542606155161</v>
      </c>
      <c r="K86">
        <f t="shared" si="18"/>
        <v>-0.67022515177521746</v>
      </c>
      <c r="L86">
        <v>1</v>
      </c>
      <c r="M86">
        <f t="shared" si="19"/>
        <v>0.49550899593671932</v>
      </c>
      <c r="N86">
        <f t="shared" si="20"/>
        <v>6.5097040000000009E-2</v>
      </c>
      <c r="O86">
        <f t="shared" si="21"/>
        <v>4.9979109000000001E-2</v>
      </c>
      <c r="P86">
        <f t="shared" si="22"/>
        <v>5.9640006838498134E-2</v>
      </c>
      <c r="V86">
        <v>2.19999999999997</v>
      </c>
      <c r="W86">
        <f t="shared" si="23"/>
        <v>-0.61824399999999846</v>
      </c>
    </row>
    <row r="87" spans="1:23">
      <c r="A87">
        <v>4.3331</v>
      </c>
      <c r="B87">
        <v>0.54812000000000005</v>
      </c>
      <c r="C87">
        <f t="shared" si="13"/>
        <v>2.375058772</v>
      </c>
      <c r="D87">
        <v>1.52E-2</v>
      </c>
      <c r="E87">
        <v>1.167E-2</v>
      </c>
      <c r="F87">
        <f t="shared" si="14"/>
        <v>866.62</v>
      </c>
      <c r="G87">
        <f t="shared" si="15"/>
        <v>-0.54812000000000005</v>
      </c>
      <c r="H87">
        <f t="shared" si="16"/>
        <v>-475.01175440000003</v>
      </c>
      <c r="I87">
        <v>1</v>
      </c>
      <c r="J87">
        <f t="shared" si="17"/>
        <v>-0.1431546912442756</v>
      </c>
      <c r="K87">
        <f t="shared" si="18"/>
        <v>-0.6736051517752174</v>
      </c>
      <c r="L87">
        <v>1</v>
      </c>
      <c r="M87">
        <f t="shared" si="19"/>
        <v>0.4961187774923484</v>
      </c>
      <c r="N87">
        <f t="shared" si="20"/>
        <v>6.5863119999999997E-2</v>
      </c>
      <c r="O87">
        <f t="shared" si="21"/>
        <v>5.0567277000000001E-2</v>
      </c>
      <c r="P87">
        <f t="shared" si="22"/>
        <v>6.105597728286901E-2</v>
      </c>
      <c r="V87">
        <v>2.2999999999999701</v>
      </c>
      <c r="W87">
        <f t="shared" si="23"/>
        <v>-0.62345599999999846</v>
      </c>
    </row>
    <row r="88" spans="1:23">
      <c r="A88">
        <v>4.3840000000000003</v>
      </c>
      <c r="B88">
        <v>0.54522000000000004</v>
      </c>
      <c r="C88">
        <f t="shared" si="13"/>
        <v>2.3902444800000002</v>
      </c>
      <c r="D88">
        <v>1.52E-2</v>
      </c>
      <c r="E88">
        <v>1.167E-2</v>
      </c>
      <c r="F88">
        <f t="shared" si="14"/>
        <v>876.80000000000007</v>
      </c>
      <c r="G88">
        <f t="shared" si="15"/>
        <v>-0.54522000000000004</v>
      </c>
      <c r="H88">
        <f t="shared" si="16"/>
        <v>-478.04889600000007</v>
      </c>
      <c r="I88">
        <v>1</v>
      </c>
      <c r="J88">
        <f t="shared" si="17"/>
        <v>-0.13147636278838593</v>
      </c>
      <c r="K88">
        <f t="shared" si="18"/>
        <v>-0.67650515177521742</v>
      </c>
      <c r="L88">
        <v>1</v>
      </c>
      <c r="M88">
        <f t="shared" si="19"/>
        <v>0.49672745197146934</v>
      </c>
      <c r="N88">
        <f t="shared" si="20"/>
        <v>6.663680000000001E-2</v>
      </c>
      <c r="O88">
        <f t="shared" si="21"/>
        <v>5.1161280000000003E-2</v>
      </c>
      <c r="P88">
        <f t="shared" si="22"/>
        <v>6.1979619803748068E-2</v>
      </c>
      <c r="V88">
        <v>2.3999999999999702</v>
      </c>
      <c r="W88">
        <f t="shared" si="23"/>
        <v>-0.62866799999999845</v>
      </c>
    </row>
    <row r="89" spans="1:23">
      <c r="A89">
        <v>4.4359500000000001</v>
      </c>
      <c r="B89">
        <v>0.54195000000000004</v>
      </c>
      <c r="C89">
        <f t="shared" si="13"/>
        <v>2.4040631025000003</v>
      </c>
      <c r="D89">
        <v>1.52E-2</v>
      </c>
      <c r="E89">
        <v>1.167E-2</v>
      </c>
      <c r="F89">
        <f t="shared" si="14"/>
        <v>887.19</v>
      </c>
      <c r="G89">
        <f t="shared" si="15"/>
        <v>-0.54195000000000004</v>
      </c>
      <c r="H89">
        <f t="shared" si="16"/>
        <v>-480.81262050000009</v>
      </c>
      <c r="I89">
        <v>1</v>
      </c>
      <c r="J89">
        <f t="shared" si="17"/>
        <v>-0.11969611442519243</v>
      </c>
      <c r="K89">
        <f t="shared" si="18"/>
        <v>-0.67977515177521741</v>
      </c>
      <c r="L89">
        <v>1</v>
      </c>
      <c r="M89">
        <f t="shared" si="19"/>
        <v>0.49734143851615897</v>
      </c>
      <c r="N89">
        <f t="shared" si="20"/>
        <v>6.7426440000000004E-2</v>
      </c>
      <c r="O89">
        <f t="shared" si="21"/>
        <v>5.1767536500000003E-2</v>
      </c>
      <c r="P89">
        <f t="shared" si="22"/>
        <v>6.3239736759058432E-2</v>
      </c>
      <c r="V89">
        <v>2.4999999999999698</v>
      </c>
      <c r="W89">
        <f t="shared" si="23"/>
        <v>-0.63387999999999844</v>
      </c>
    </row>
    <row r="90" spans="1:23">
      <c r="A90">
        <v>4.4868499999999996</v>
      </c>
      <c r="B90">
        <v>0.53900000000000003</v>
      </c>
      <c r="C90">
        <f t="shared" si="13"/>
        <v>2.41841215</v>
      </c>
      <c r="D90">
        <v>1.52E-2</v>
      </c>
      <c r="E90">
        <v>1.167E-2</v>
      </c>
      <c r="F90">
        <f t="shared" si="14"/>
        <v>897.36999999999989</v>
      </c>
      <c r="G90">
        <f t="shared" si="15"/>
        <v>-0.53900000000000003</v>
      </c>
      <c r="H90">
        <f t="shared" si="16"/>
        <v>-483.68243000000001</v>
      </c>
      <c r="I90">
        <v>1</v>
      </c>
      <c r="J90">
        <f t="shared" si="17"/>
        <v>-0.10828701590767097</v>
      </c>
      <c r="K90">
        <f t="shared" si="18"/>
        <v>-0.68272515177521742</v>
      </c>
      <c r="L90">
        <v>1</v>
      </c>
      <c r="M90">
        <f t="shared" si="19"/>
        <v>0.49793608073089224</v>
      </c>
      <c r="N90">
        <f t="shared" si="20"/>
        <v>6.8200119999999989E-2</v>
      </c>
      <c r="O90">
        <f t="shared" si="21"/>
        <v>5.2361539499999991E-2</v>
      </c>
      <c r="P90">
        <f t="shared" si="22"/>
        <v>6.4227411544325208E-2</v>
      </c>
      <c r="V90">
        <v>2.5999999999999699</v>
      </c>
      <c r="W90">
        <f t="shared" si="23"/>
        <v>-0.63909199999999844</v>
      </c>
    </row>
    <row r="91" spans="1:23">
      <c r="A91">
        <v>4.5388000000000002</v>
      </c>
      <c r="B91">
        <v>0.53495000000000004</v>
      </c>
      <c r="C91">
        <f t="shared" si="13"/>
        <v>2.4280310600000004</v>
      </c>
      <c r="D91">
        <v>1.52E-2</v>
      </c>
      <c r="E91">
        <v>1.167E-2</v>
      </c>
      <c r="F91">
        <f t="shared" si="14"/>
        <v>907.76</v>
      </c>
      <c r="G91">
        <f t="shared" si="15"/>
        <v>-0.53495000000000004</v>
      </c>
      <c r="H91">
        <f t="shared" si="16"/>
        <v>-485.60621200000008</v>
      </c>
      <c r="I91">
        <v>1</v>
      </c>
      <c r="J91">
        <f t="shared" si="17"/>
        <v>-9.6775252499403067E-2</v>
      </c>
      <c r="K91">
        <f t="shared" si="18"/>
        <v>-0.68677515177521742</v>
      </c>
      <c r="L91">
        <v>1</v>
      </c>
      <c r="M91">
        <f t="shared" si="19"/>
        <v>0.49853607383973114</v>
      </c>
      <c r="N91">
        <f t="shared" si="20"/>
        <v>6.8989759999999997E-2</v>
      </c>
      <c r="O91">
        <f t="shared" si="21"/>
        <v>5.2967796000000004E-2</v>
      </c>
      <c r="P91">
        <f t="shared" si="22"/>
        <v>6.6281521935486282E-2</v>
      </c>
      <c r="V91">
        <v>2.69999999999997</v>
      </c>
      <c r="W91">
        <f t="shared" si="23"/>
        <v>-0.64430399999999843</v>
      </c>
    </row>
    <row r="92" spans="1:23">
      <c r="A92">
        <v>4.5891999999999999</v>
      </c>
      <c r="B92">
        <v>0.53166000000000002</v>
      </c>
      <c r="C92">
        <f t="shared" si="13"/>
        <v>2.439894072</v>
      </c>
      <c r="D92">
        <v>1.52E-2</v>
      </c>
      <c r="E92">
        <v>1.167E-2</v>
      </c>
      <c r="F92">
        <f t="shared" si="14"/>
        <v>917.84</v>
      </c>
      <c r="G92">
        <f t="shared" si="15"/>
        <v>-0.53166000000000002</v>
      </c>
      <c r="H92">
        <f t="shared" si="16"/>
        <v>-487.97881439999998</v>
      </c>
      <c r="I92">
        <v>1</v>
      </c>
      <c r="J92">
        <f t="shared" si="17"/>
        <v>-8.573219549124951E-2</v>
      </c>
      <c r="K92">
        <f t="shared" si="18"/>
        <v>-0.69006515177521743</v>
      </c>
      <c r="L92">
        <v>1</v>
      </c>
      <c r="M92">
        <f t="shared" si="19"/>
        <v>0.49911163797099611</v>
      </c>
      <c r="N92">
        <f t="shared" si="20"/>
        <v>6.975584E-2</v>
      </c>
      <c r="O92">
        <f t="shared" si="21"/>
        <v>5.3555963999999998E-2</v>
      </c>
      <c r="P92">
        <f t="shared" si="22"/>
        <v>6.7641709804221323E-2</v>
      </c>
      <c r="V92">
        <v>2.7999999999999701</v>
      </c>
      <c r="W92">
        <f t="shared" si="23"/>
        <v>-0.64951599999999843</v>
      </c>
    </row>
    <row r="93" spans="1:23">
      <c r="A93">
        <v>4.6467499999999999</v>
      </c>
      <c r="B93">
        <v>0.52795999999999998</v>
      </c>
      <c r="C93">
        <f t="shared" si="13"/>
        <v>2.4532981299999999</v>
      </c>
      <c r="D93">
        <v>1.52E-2</v>
      </c>
      <c r="E93">
        <v>1.167E-2</v>
      </c>
      <c r="F93">
        <f t="shared" si="14"/>
        <v>929.35</v>
      </c>
      <c r="G93">
        <f t="shared" si="15"/>
        <v>-0.52795999999999998</v>
      </c>
      <c r="H93">
        <f t="shared" si="16"/>
        <v>-490.65962599999995</v>
      </c>
      <c r="I93">
        <v>1</v>
      </c>
      <c r="J93">
        <f t="shared" si="17"/>
        <v>-7.3269861927775098E-2</v>
      </c>
      <c r="K93">
        <f t="shared" si="18"/>
        <v>-0.69376515177521747</v>
      </c>
      <c r="L93">
        <v>1</v>
      </c>
      <c r="M93">
        <f t="shared" si="19"/>
        <v>0.49976117479632437</v>
      </c>
      <c r="N93">
        <f t="shared" si="20"/>
        <v>7.0630600000000002E-2</v>
      </c>
      <c r="O93">
        <f t="shared" si="21"/>
        <v>5.4227572500000001E-2</v>
      </c>
      <c r="P93">
        <f t="shared" si="22"/>
        <v>6.9145804478893097E-2</v>
      </c>
      <c r="V93">
        <v>2.8999999999999702</v>
      </c>
      <c r="W93">
        <f t="shared" si="23"/>
        <v>-0.65472799999999842</v>
      </c>
    </row>
    <row r="94" spans="1:23">
      <c r="A94">
        <v>4.6987000000000014</v>
      </c>
      <c r="B94">
        <v>0.52398999999999996</v>
      </c>
      <c r="C94">
        <f t="shared" si="13"/>
        <v>2.4620718130000006</v>
      </c>
      <c r="D94">
        <v>1.52E-2</v>
      </c>
      <c r="E94">
        <v>1.167E-2</v>
      </c>
      <c r="F94">
        <f t="shared" si="14"/>
        <v>939.74000000000024</v>
      </c>
      <c r="G94">
        <f t="shared" si="15"/>
        <v>-0.52398999999999996</v>
      </c>
      <c r="H94">
        <f t="shared" si="16"/>
        <v>-492.41436260000012</v>
      </c>
      <c r="I94">
        <v>1</v>
      </c>
      <c r="J94">
        <f t="shared" si="17"/>
        <v>-6.2152037722426189E-2</v>
      </c>
      <c r="K94">
        <f t="shared" si="18"/>
        <v>-0.6977351517752175</v>
      </c>
      <c r="L94">
        <v>1</v>
      </c>
      <c r="M94">
        <f t="shared" si="19"/>
        <v>0.5003406357939072</v>
      </c>
      <c r="N94">
        <f t="shared" si="20"/>
        <v>7.1420240000000024E-2</v>
      </c>
      <c r="O94">
        <f t="shared" si="21"/>
        <v>5.4833829000000014E-2</v>
      </c>
      <c r="P94">
        <f t="shared" si="22"/>
        <v>7.1140446981310265E-2</v>
      </c>
      <c r="V94">
        <v>2.9999999999999698</v>
      </c>
      <c r="W94">
        <f t="shared" si="23"/>
        <v>-0.65993999999999842</v>
      </c>
    </row>
    <row r="95" spans="1:23">
      <c r="A95">
        <v>4.7500999999999998</v>
      </c>
      <c r="B95">
        <v>0.52061000000000002</v>
      </c>
      <c r="C95">
        <f t="shared" si="13"/>
        <v>2.4729495610000001</v>
      </c>
      <c r="D95">
        <v>1.52E-2</v>
      </c>
      <c r="E95">
        <v>1.167E-2</v>
      </c>
      <c r="F95">
        <f t="shared" si="14"/>
        <v>950.02</v>
      </c>
      <c r="G95">
        <f t="shared" si="15"/>
        <v>-0.52061000000000002</v>
      </c>
      <c r="H95">
        <f t="shared" si="16"/>
        <v>-494.58991220000001</v>
      </c>
      <c r="I95">
        <v>1</v>
      </c>
      <c r="J95">
        <f t="shared" si="17"/>
        <v>-5.1272241977575149E-2</v>
      </c>
      <c r="K95">
        <f t="shared" si="18"/>
        <v>-0.70111515177521744</v>
      </c>
      <c r="L95">
        <v>1</v>
      </c>
      <c r="M95">
        <f t="shared" si="19"/>
        <v>0.5009076907481288</v>
      </c>
      <c r="N95">
        <f t="shared" si="20"/>
        <v>7.2201519999999991E-2</v>
      </c>
      <c r="O95">
        <f t="shared" si="21"/>
        <v>5.5433666999999999E-2</v>
      </c>
      <c r="P95">
        <f t="shared" si="22"/>
        <v>7.2572274027088657E-2</v>
      </c>
      <c r="V95">
        <v>3.0999999999999699</v>
      </c>
      <c r="W95">
        <f t="shared" si="23"/>
        <v>-0.66515199999999841</v>
      </c>
    </row>
    <row r="96" spans="1:23">
      <c r="A96">
        <v>4.8060999999999998</v>
      </c>
      <c r="B96">
        <v>0.51622000000000001</v>
      </c>
      <c r="C96">
        <f t="shared" si="13"/>
        <v>2.4810049419999998</v>
      </c>
      <c r="D96">
        <v>1.52E-2</v>
      </c>
      <c r="E96">
        <v>1.167E-2</v>
      </c>
      <c r="F96">
        <f t="shared" si="14"/>
        <v>961.21999999999991</v>
      </c>
      <c r="G96">
        <f t="shared" si="15"/>
        <v>-0.51622000000000001</v>
      </c>
      <c r="H96">
        <f t="shared" si="16"/>
        <v>-496.20098839999997</v>
      </c>
      <c r="I96">
        <v>1</v>
      </c>
      <c r="J96">
        <f t="shared" si="17"/>
        <v>-3.9551968012114497E-2</v>
      </c>
      <c r="K96">
        <f t="shared" si="18"/>
        <v>-0.70550515177521744</v>
      </c>
      <c r="L96">
        <v>1</v>
      </c>
      <c r="M96">
        <f t="shared" si="19"/>
        <v>0.50151855142720858</v>
      </c>
      <c r="N96">
        <f t="shared" si="20"/>
        <v>7.3052720000000002E-2</v>
      </c>
      <c r="O96">
        <f t="shared" si="21"/>
        <v>5.6087186999999997E-2</v>
      </c>
      <c r="P96">
        <f t="shared" si="22"/>
        <v>7.484669334800885E-2</v>
      </c>
      <c r="V96">
        <v>3.19999999999997</v>
      </c>
      <c r="W96">
        <f t="shared" si="23"/>
        <v>-0.67036399999999841</v>
      </c>
    </row>
    <row r="97" spans="1:23">
      <c r="A97">
        <v>4.8585500000000001</v>
      </c>
      <c r="B97">
        <v>0.51271999999999995</v>
      </c>
      <c r="C97">
        <f t="shared" si="13"/>
        <v>2.4910757559999999</v>
      </c>
      <c r="D97">
        <v>1.52E-2</v>
      </c>
      <c r="E97">
        <v>1.167E-2</v>
      </c>
      <c r="F97">
        <f t="shared" si="14"/>
        <v>971.71</v>
      </c>
      <c r="G97">
        <f t="shared" si="15"/>
        <v>-0.51271999999999995</v>
      </c>
      <c r="H97">
        <f t="shared" si="16"/>
        <v>-498.21515119999998</v>
      </c>
      <c r="I97">
        <v>1</v>
      </c>
      <c r="J97">
        <f t="shared" si="17"/>
        <v>-2.8697872947545212E-2</v>
      </c>
      <c r="K97">
        <f t="shared" si="18"/>
        <v>-0.7090051517752175</v>
      </c>
      <c r="L97">
        <v>1</v>
      </c>
      <c r="M97">
        <f t="shared" si="19"/>
        <v>0.50208426686197394</v>
      </c>
      <c r="N97">
        <f t="shared" si="20"/>
        <v>7.3849960000000006E-2</v>
      </c>
      <c r="O97">
        <f t="shared" si="21"/>
        <v>5.6699278499999999E-2</v>
      </c>
      <c r="P97">
        <f t="shared" si="22"/>
        <v>7.6371646413243566E-2</v>
      </c>
      <c r="V97">
        <v>3.2999999999999701</v>
      </c>
      <c r="W97">
        <f t="shared" si="23"/>
        <v>-0.6755759999999984</v>
      </c>
    </row>
    <row r="98" spans="1:23">
      <c r="A98">
        <v>4.9120499999999998</v>
      </c>
      <c r="B98">
        <v>0.50890999999999997</v>
      </c>
      <c r="C98">
        <f t="shared" si="13"/>
        <v>2.4997913654999997</v>
      </c>
      <c r="D98">
        <v>1.52E-2</v>
      </c>
      <c r="E98">
        <v>1.167E-2</v>
      </c>
      <c r="F98">
        <f t="shared" si="14"/>
        <v>982.41</v>
      </c>
      <c r="G98">
        <f t="shared" si="15"/>
        <v>-0.50890999999999997</v>
      </c>
      <c r="H98">
        <f t="shared" si="16"/>
        <v>-499.95827309999993</v>
      </c>
      <c r="I98">
        <v>1</v>
      </c>
      <c r="J98">
        <f t="shared" si="17"/>
        <v>-1.7746542487971795E-2</v>
      </c>
      <c r="K98">
        <f t="shared" si="18"/>
        <v>-0.71281515177521748</v>
      </c>
      <c r="L98">
        <v>1</v>
      </c>
      <c r="M98">
        <f t="shared" si="19"/>
        <v>0.50265505020552692</v>
      </c>
      <c r="N98">
        <f t="shared" si="20"/>
        <v>7.4663159999999992E-2</v>
      </c>
      <c r="O98">
        <f t="shared" si="21"/>
        <v>5.7323623499999997E-2</v>
      </c>
      <c r="P98">
        <f t="shared" si="22"/>
        <v>7.8173318069690551E-2</v>
      </c>
      <c r="V98">
        <v>3.3999999999999702</v>
      </c>
      <c r="W98">
        <f t="shared" si="23"/>
        <v>-0.68078799999999851</v>
      </c>
    </row>
    <row r="99" spans="1:23">
      <c r="A99">
        <v>4.9675500000000001</v>
      </c>
      <c r="B99">
        <v>0.50458999999999998</v>
      </c>
      <c r="C99">
        <f t="shared" si="13"/>
        <v>2.5065760545</v>
      </c>
      <c r="D99">
        <v>1.52E-2</v>
      </c>
      <c r="E99">
        <v>1.167E-2</v>
      </c>
      <c r="F99">
        <f t="shared" si="14"/>
        <v>993.51</v>
      </c>
      <c r="G99">
        <f t="shared" si="15"/>
        <v>-0.50458999999999998</v>
      </c>
      <c r="H99">
        <f t="shared" si="16"/>
        <v>-501.31521090000001</v>
      </c>
      <c r="I99">
        <v>1</v>
      </c>
      <c r="J99">
        <f t="shared" si="17"/>
        <v>-6.5111516156573443E-3</v>
      </c>
      <c r="K99">
        <f t="shared" si="18"/>
        <v>-0.71713515177521747</v>
      </c>
      <c r="L99">
        <v>1</v>
      </c>
      <c r="M99">
        <f t="shared" si="19"/>
        <v>0.50324063877779202</v>
      </c>
      <c r="N99">
        <f t="shared" si="20"/>
        <v>7.5506760000000006E-2</v>
      </c>
      <c r="O99">
        <f t="shared" si="21"/>
        <v>5.7971308499999999E-2</v>
      </c>
      <c r="P99">
        <f t="shared" si="22"/>
        <v>8.0416444497425452E-2</v>
      </c>
      <c r="V99">
        <v>3.4999999999999698</v>
      </c>
      <c r="W99">
        <f t="shared" si="23"/>
        <v>-0.68599999999999839</v>
      </c>
    </row>
    <row r="100" spans="1:23">
      <c r="A100">
        <v>5.0179499999999999</v>
      </c>
      <c r="B100">
        <v>0.50056</v>
      </c>
      <c r="C100">
        <f t="shared" si="13"/>
        <v>2.511785052</v>
      </c>
      <c r="D100">
        <v>1.52E-2</v>
      </c>
      <c r="E100">
        <v>1.167E-2</v>
      </c>
      <c r="F100">
        <f t="shared" si="14"/>
        <v>1003.59</v>
      </c>
      <c r="G100">
        <f t="shared" si="15"/>
        <v>-0.50056</v>
      </c>
      <c r="H100">
        <f t="shared" si="16"/>
        <v>-502.35701039999998</v>
      </c>
      <c r="I100">
        <v>1</v>
      </c>
      <c r="J100">
        <f t="shared" si="17"/>
        <v>3.5835713313527749E-3</v>
      </c>
      <c r="K100">
        <f t="shared" si="18"/>
        <v>-0.72116515177521745</v>
      </c>
      <c r="L100">
        <v>1</v>
      </c>
      <c r="M100">
        <f t="shared" si="19"/>
        <v>0.50376677573779016</v>
      </c>
      <c r="N100">
        <f t="shared" si="20"/>
        <v>7.6272839999999995E-2</v>
      </c>
      <c r="O100">
        <f t="shared" si="21"/>
        <v>5.8559476499999999E-2</v>
      </c>
      <c r="P100">
        <f t="shared" si="22"/>
        <v>8.256605953742728E-2</v>
      </c>
      <c r="V100">
        <v>3.5999999999999699</v>
      </c>
      <c r="W100">
        <f t="shared" ref="W100:W131" si="24">V100*$S$5+$S$4</f>
        <v>-0.69121199999999849</v>
      </c>
    </row>
    <row r="101" spans="1:23">
      <c r="A101">
        <v>5.0683500000000006</v>
      </c>
      <c r="B101">
        <v>0.49630000000000002</v>
      </c>
      <c r="C101">
        <f t="shared" si="13"/>
        <v>2.5154221050000003</v>
      </c>
      <c r="D101">
        <v>1.52E-2</v>
      </c>
      <c r="E101">
        <v>1.167E-2</v>
      </c>
      <c r="F101">
        <f t="shared" si="14"/>
        <v>1013.6700000000001</v>
      </c>
      <c r="G101">
        <f t="shared" si="15"/>
        <v>-0.49630000000000002</v>
      </c>
      <c r="H101">
        <f t="shared" si="16"/>
        <v>-503.08442100000008</v>
      </c>
      <c r="I101">
        <v>1</v>
      </c>
      <c r="J101">
        <f t="shared" si="17"/>
        <v>1.3577408413687547E-2</v>
      </c>
      <c r="K101">
        <f t="shared" si="18"/>
        <v>-0.72542515177521749</v>
      </c>
      <c r="L101">
        <v>1</v>
      </c>
      <c r="M101">
        <f t="shared" si="19"/>
        <v>0.50428765452652147</v>
      </c>
      <c r="N101">
        <f t="shared" si="20"/>
        <v>7.7038920000000011E-2</v>
      </c>
      <c r="O101">
        <f t="shared" si="21"/>
        <v>5.9147644500000006E-2</v>
      </c>
      <c r="P101">
        <f t="shared" si="22"/>
        <v>8.4950932748696001E-2</v>
      </c>
      <c r="V101">
        <v>3.69999999999997</v>
      </c>
      <c r="W101">
        <f t="shared" si="24"/>
        <v>-0.69642399999999849</v>
      </c>
    </row>
    <row r="102" spans="1:23">
      <c r="A102">
        <v>5.1228499999999997</v>
      </c>
      <c r="B102">
        <v>0.49220000000000003</v>
      </c>
      <c r="C102">
        <f t="shared" si="13"/>
        <v>2.52146677</v>
      </c>
      <c r="D102">
        <v>1.52E-2</v>
      </c>
      <c r="E102">
        <v>1.167E-2</v>
      </c>
      <c r="F102">
        <f t="shared" si="14"/>
        <v>1024.57</v>
      </c>
      <c r="G102">
        <f t="shared" si="15"/>
        <v>-0.49220000000000003</v>
      </c>
      <c r="H102">
        <f t="shared" si="16"/>
        <v>-504.29335400000002</v>
      </c>
      <c r="I102">
        <v>1</v>
      </c>
      <c r="J102">
        <f t="shared" si="17"/>
        <v>2.4273012375390805E-2</v>
      </c>
      <c r="K102">
        <f t="shared" si="18"/>
        <v>-0.72952515177521748</v>
      </c>
      <c r="L102">
        <v>1</v>
      </c>
      <c r="M102">
        <f t="shared" si="19"/>
        <v>0.50484510940500538</v>
      </c>
      <c r="N102">
        <f t="shared" si="20"/>
        <v>7.786731999999999E-2</v>
      </c>
      <c r="O102">
        <f t="shared" si="21"/>
        <v>5.9783659499999996E-2</v>
      </c>
      <c r="P102">
        <f t="shared" si="22"/>
        <v>8.7029062870212115E-2</v>
      </c>
      <c r="V102">
        <v>3.7999999999999701</v>
      </c>
      <c r="W102">
        <f t="shared" si="24"/>
        <v>-0.70163599999999848</v>
      </c>
    </row>
    <row r="103" spans="1:23">
      <c r="A103">
        <v>5.1747500000000004</v>
      </c>
      <c r="B103">
        <v>0.48775000000000002</v>
      </c>
      <c r="C103">
        <f t="shared" si="13"/>
        <v>2.5239843125000001</v>
      </c>
      <c r="D103">
        <v>1.52E-2</v>
      </c>
      <c r="E103">
        <v>1.167E-2</v>
      </c>
      <c r="F103">
        <f t="shared" si="14"/>
        <v>1034.95</v>
      </c>
      <c r="G103">
        <f t="shared" si="15"/>
        <v>-0.48775000000000002</v>
      </c>
      <c r="H103">
        <f t="shared" si="16"/>
        <v>-504.79686250000003</v>
      </c>
      <c r="I103">
        <v>1</v>
      </c>
      <c r="J103">
        <f t="shared" si="17"/>
        <v>3.4353116371662509E-2</v>
      </c>
      <c r="K103">
        <f t="shared" si="18"/>
        <v>-0.73397515177521744</v>
      </c>
      <c r="L103">
        <v>1</v>
      </c>
      <c r="M103">
        <f t="shared" si="19"/>
        <v>0.50537048442529109</v>
      </c>
      <c r="N103">
        <f t="shared" si="20"/>
        <v>7.8656200000000009E-2</v>
      </c>
      <c r="O103">
        <f t="shared" si="21"/>
        <v>6.0389332500000004E-2</v>
      </c>
      <c r="P103">
        <f t="shared" si="22"/>
        <v>8.9559134849926336E-2</v>
      </c>
      <c r="V103">
        <v>3.8999999999999599</v>
      </c>
      <c r="W103">
        <f t="shared" si="24"/>
        <v>-0.70684799999999792</v>
      </c>
    </row>
    <row r="104" spans="1:23">
      <c r="A104">
        <v>5.2252000000000001</v>
      </c>
      <c r="B104">
        <v>0.4834</v>
      </c>
      <c r="C104">
        <f t="shared" si="13"/>
        <v>2.5258616800000002</v>
      </c>
      <c r="D104">
        <v>1.52E-2</v>
      </c>
      <c r="E104">
        <v>1.167E-2</v>
      </c>
      <c r="F104">
        <f t="shared" si="14"/>
        <v>1045.04</v>
      </c>
      <c r="G104">
        <f t="shared" si="15"/>
        <v>-0.4834</v>
      </c>
      <c r="H104">
        <f t="shared" si="16"/>
        <v>-505.17233600000003</v>
      </c>
      <c r="I104">
        <v>1</v>
      </c>
      <c r="J104">
        <f t="shared" si="17"/>
        <v>4.4055162196170755E-2</v>
      </c>
      <c r="K104">
        <f t="shared" si="18"/>
        <v>-0.7383251517752174</v>
      </c>
      <c r="L104">
        <v>1</v>
      </c>
      <c r="M104">
        <f t="shared" si="19"/>
        <v>0.50587615505366446</v>
      </c>
      <c r="N104">
        <f t="shared" si="20"/>
        <v>7.942304E-2</v>
      </c>
      <c r="O104">
        <f t="shared" si="21"/>
        <v>6.0978084000000002E-2</v>
      </c>
      <c r="P104">
        <f t="shared" si="22"/>
        <v>9.2047872721552945E-2</v>
      </c>
      <c r="V104">
        <v>3.99999999999996</v>
      </c>
      <c r="W104">
        <f t="shared" si="24"/>
        <v>-0.71205999999999792</v>
      </c>
    </row>
    <row r="105" spans="1:23">
      <c r="A105">
        <v>5.2775999999999996</v>
      </c>
      <c r="B105">
        <v>0.4788</v>
      </c>
      <c r="C105">
        <f t="shared" si="13"/>
        <v>2.5269148799999996</v>
      </c>
      <c r="D105">
        <v>1.52E-2</v>
      </c>
      <c r="E105">
        <v>1.167E-2</v>
      </c>
      <c r="F105">
        <f t="shared" si="14"/>
        <v>1055.52</v>
      </c>
      <c r="G105">
        <f t="shared" si="15"/>
        <v>-0.4788</v>
      </c>
      <c r="H105">
        <f t="shared" si="16"/>
        <v>-505.38297599999993</v>
      </c>
      <c r="I105">
        <v>1</v>
      </c>
      <c r="J105">
        <f t="shared" si="17"/>
        <v>5.4033536492423706E-2</v>
      </c>
      <c r="K105">
        <f t="shared" si="18"/>
        <v>-0.74292515177521745</v>
      </c>
      <c r="L105">
        <v>1</v>
      </c>
      <c r="M105">
        <f t="shared" si="19"/>
        <v>0.50639622792198513</v>
      </c>
      <c r="N105">
        <f t="shared" si="20"/>
        <v>8.0219519999999989E-2</v>
      </c>
      <c r="O105">
        <f t="shared" si="21"/>
        <v>6.1589591999999992E-2</v>
      </c>
      <c r="P105">
        <f t="shared" si="22"/>
        <v>9.4719811853232333E-2</v>
      </c>
      <c r="V105">
        <v>4.0999999999999996</v>
      </c>
      <c r="W105">
        <f t="shared" si="24"/>
        <v>-0.71727200000000002</v>
      </c>
    </row>
    <row r="106" spans="1:23">
      <c r="A106">
        <v>5.3290499999999996</v>
      </c>
      <c r="B106">
        <v>0.47458</v>
      </c>
      <c r="C106">
        <f t="shared" si="13"/>
        <v>2.529060549</v>
      </c>
      <c r="D106">
        <v>1.52E-2</v>
      </c>
      <c r="E106">
        <v>1.167E-2</v>
      </c>
      <c r="F106">
        <f t="shared" si="14"/>
        <v>1065.81</v>
      </c>
      <c r="G106">
        <f t="shared" si="15"/>
        <v>-0.47458</v>
      </c>
      <c r="H106">
        <f t="shared" si="16"/>
        <v>-505.81210979999997</v>
      </c>
      <c r="I106">
        <v>1</v>
      </c>
      <c r="J106">
        <f t="shared" si="17"/>
        <v>6.3735073459909725E-2</v>
      </c>
      <c r="K106">
        <f t="shared" si="18"/>
        <v>-0.74714515177521745</v>
      </c>
      <c r="L106">
        <v>1</v>
      </c>
      <c r="M106">
        <f t="shared" si="19"/>
        <v>0.50690187202873049</v>
      </c>
      <c r="N106">
        <f t="shared" si="20"/>
        <v>8.100156E-2</v>
      </c>
      <c r="O106">
        <f t="shared" si="21"/>
        <v>6.2190013499999995E-2</v>
      </c>
      <c r="P106">
        <f t="shared" si="22"/>
        <v>9.7051706246486957E-2</v>
      </c>
      <c r="V106">
        <v>4.2</v>
      </c>
      <c r="W106">
        <f t="shared" si="24"/>
        <v>-0.72248400000000002</v>
      </c>
    </row>
    <row r="107" spans="1:23">
      <c r="A107">
        <v>5.3805000000000014</v>
      </c>
      <c r="B107">
        <v>0.46971000000000002</v>
      </c>
      <c r="C107">
        <f t="shared" si="13"/>
        <v>2.5272746550000007</v>
      </c>
      <c r="D107">
        <v>1.52E-2</v>
      </c>
      <c r="E107">
        <v>1.167E-2</v>
      </c>
      <c r="F107">
        <f t="shared" si="14"/>
        <v>1076.1000000000004</v>
      </c>
      <c r="G107">
        <f t="shared" si="15"/>
        <v>-0.46971000000000002</v>
      </c>
      <c r="H107">
        <f t="shared" si="16"/>
        <v>-505.45493100000016</v>
      </c>
      <c r="I107">
        <v>1</v>
      </c>
      <c r="J107">
        <f t="shared" si="17"/>
        <v>7.3343394224209796E-2</v>
      </c>
      <c r="K107">
        <f t="shared" si="18"/>
        <v>-0.75201515177521738</v>
      </c>
      <c r="L107">
        <v>1</v>
      </c>
      <c r="M107">
        <f t="shared" si="19"/>
        <v>0.5074026577069658</v>
      </c>
      <c r="N107">
        <f t="shared" si="20"/>
        <v>8.1783600000000026E-2</v>
      </c>
      <c r="O107">
        <f t="shared" si="21"/>
        <v>6.2790435000000019E-2</v>
      </c>
      <c r="P107">
        <f t="shared" si="22"/>
        <v>0.10003845906825155</v>
      </c>
      <c r="V107">
        <v>4.3</v>
      </c>
      <c r="W107">
        <f t="shared" si="24"/>
        <v>-0.72769600000000001</v>
      </c>
    </row>
    <row r="108" spans="1:23">
      <c r="A108">
        <v>5.4359999999999999</v>
      </c>
      <c r="B108">
        <v>0.46471000000000001</v>
      </c>
      <c r="C108">
        <f t="shared" si="13"/>
        <v>2.5261635600000001</v>
      </c>
      <c r="D108">
        <v>1.52E-2</v>
      </c>
      <c r="E108">
        <v>1.167E-2</v>
      </c>
      <c r="F108">
        <f t="shared" si="14"/>
        <v>1087.2</v>
      </c>
      <c r="G108">
        <f t="shared" si="15"/>
        <v>-0.46471000000000001</v>
      </c>
      <c r="H108">
        <f t="shared" si="16"/>
        <v>-505.23271199999999</v>
      </c>
      <c r="I108">
        <v>1</v>
      </c>
      <c r="J108">
        <f t="shared" si="17"/>
        <v>8.3605583854796856E-2</v>
      </c>
      <c r="K108">
        <f t="shared" si="18"/>
        <v>-0.7570151517752175</v>
      </c>
      <c r="L108">
        <v>1</v>
      </c>
      <c r="M108">
        <f t="shared" si="19"/>
        <v>0.50793752303051209</v>
      </c>
      <c r="N108">
        <f t="shared" si="20"/>
        <v>8.2627199999999998E-2</v>
      </c>
      <c r="O108">
        <f t="shared" si="21"/>
        <v>6.3438120000000001E-2</v>
      </c>
      <c r="P108">
        <f t="shared" si="22"/>
        <v>0.10301230874470539</v>
      </c>
      <c r="V108">
        <v>4.4000000000000004</v>
      </c>
      <c r="W108">
        <f t="shared" si="24"/>
        <v>-0.732908</v>
      </c>
    </row>
    <row r="109" spans="1:23">
      <c r="A109">
        <v>5.48895</v>
      </c>
      <c r="B109">
        <v>0.45915</v>
      </c>
      <c r="C109">
        <f t="shared" si="13"/>
        <v>2.5202513925000001</v>
      </c>
      <c r="D109">
        <v>1.52E-2</v>
      </c>
      <c r="E109">
        <v>1.167E-2</v>
      </c>
      <c r="F109">
        <f t="shared" si="14"/>
        <v>1097.79</v>
      </c>
      <c r="G109">
        <f t="shared" si="15"/>
        <v>-0.45915</v>
      </c>
      <c r="H109">
        <f t="shared" si="16"/>
        <v>-504.05027849999999</v>
      </c>
      <c r="I109">
        <v>1</v>
      </c>
      <c r="J109">
        <f t="shared" si="17"/>
        <v>9.3299067964817864E-2</v>
      </c>
      <c r="K109">
        <f t="shared" si="18"/>
        <v>-0.76257515177521751</v>
      </c>
      <c r="L109">
        <v>1</v>
      </c>
      <c r="M109">
        <f t="shared" si="19"/>
        <v>0.50844274742232631</v>
      </c>
      <c r="N109">
        <f t="shared" si="20"/>
        <v>8.3432039999999999E-2</v>
      </c>
      <c r="O109">
        <f t="shared" si="21"/>
        <v>6.4056046500000005E-2</v>
      </c>
      <c r="P109">
        <f t="shared" si="22"/>
        <v>0.1066443178528912</v>
      </c>
      <c r="V109">
        <v>4.5</v>
      </c>
      <c r="W109">
        <f t="shared" si="24"/>
        <v>-0.73812</v>
      </c>
    </row>
    <row r="110" spans="1:23">
      <c r="A110">
        <v>5.5403500000000001</v>
      </c>
      <c r="B110">
        <v>0.45422000000000001</v>
      </c>
      <c r="C110">
        <f t="shared" si="13"/>
        <v>2.5165377769999999</v>
      </c>
      <c r="D110">
        <v>1.52E-2</v>
      </c>
      <c r="E110">
        <v>1.167E-2</v>
      </c>
      <c r="F110">
        <f t="shared" si="14"/>
        <v>1108.07</v>
      </c>
      <c r="G110">
        <f t="shared" si="15"/>
        <v>-0.45422000000000001</v>
      </c>
      <c r="H110">
        <f t="shared" si="16"/>
        <v>-503.30755539999996</v>
      </c>
      <c r="I110">
        <v>1</v>
      </c>
      <c r="J110">
        <f t="shared" si="17"/>
        <v>0.10261976322482283</v>
      </c>
      <c r="K110">
        <f t="shared" si="18"/>
        <v>-0.76750515177521739</v>
      </c>
      <c r="L110">
        <v>1</v>
      </c>
      <c r="M110">
        <f t="shared" si="19"/>
        <v>0.50892854205927784</v>
      </c>
      <c r="N110">
        <f t="shared" si="20"/>
        <v>8.4213320000000008E-2</v>
      </c>
      <c r="O110">
        <f t="shared" si="21"/>
        <v>6.4655884499999997E-2</v>
      </c>
      <c r="P110">
        <f t="shared" si="22"/>
        <v>0.10970740521593954</v>
      </c>
      <c r="V110">
        <v>4.5999999999999996</v>
      </c>
      <c r="W110">
        <f t="shared" si="24"/>
        <v>-0.74333199999999999</v>
      </c>
    </row>
    <row r="111" spans="1:23">
      <c r="A111">
        <v>5.5922999999999998</v>
      </c>
      <c r="B111">
        <v>0.44884000000000002</v>
      </c>
      <c r="C111">
        <f t="shared" si="13"/>
        <v>2.510047932</v>
      </c>
      <c r="D111">
        <v>1.52E-2</v>
      </c>
      <c r="E111">
        <v>1.167E-2</v>
      </c>
      <c r="F111">
        <f t="shared" si="14"/>
        <v>1118.46</v>
      </c>
      <c r="G111">
        <f t="shared" si="15"/>
        <v>-0.44884000000000002</v>
      </c>
      <c r="H111">
        <f t="shared" si="16"/>
        <v>-502.00958639999999</v>
      </c>
      <c r="I111">
        <v>1</v>
      </c>
      <c r="J111">
        <f t="shared" si="17"/>
        <v>0.11195273912707213</v>
      </c>
      <c r="K111">
        <f t="shared" si="18"/>
        <v>-0.77288515177521744</v>
      </c>
      <c r="L111">
        <v>1</v>
      </c>
      <c r="M111">
        <f t="shared" si="19"/>
        <v>0.50941497676330305</v>
      </c>
      <c r="N111">
        <f t="shared" si="20"/>
        <v>8.5002960000000002E-2</v>
      </c>
      <c r="O111">
        <f t="shared" si="21"/>
        <v>6.5262140999999996E-2</v>
      </c>
      <c r="P111">
        <f t="shared" si="22"/>
        <v>0.11320507401191438</v>
      </c>
      <c r="V111">
        <v>4.7</v>
      </c>
      <c r="W111">
        <f t="shared" si="24"/>
        <v>-0.7485440000000001</v>
      </c>
    </row>
    <row r="112" spans="1:23">
      <c r="A112">
        <v>5.6447499999999993</v>
      </c>
      <c r="B112">
        <v>0.44330000000000003</v>
      </c>
      <c r="C112">
        <f t="shared" si="13"/>
        <v>2.502317675</v>
      </c>
      <c r="D112">
        <v>1.52E-2</v>
      </c>
      <c r="E112">
        <v>1.167E-2</v>
      </c>
      <c r="F112">
        <f t="shared" si="14"/>
        <v>1128.9499999999998</v>
      </c>
      <c r="G112">
        <f t="shared" si="15"/>
        <v>-0.44330000000000003</v>
      </c>
      <c r="H112">
        <f t="shared" si="16"/>
        <v>-500.46353499999998</v>
      </c>
      <c r="I112">
        <v>1</v>
      </c>
      <c r="J112">
        <f t="shared" si="17"/>
        <v>0.12128799720719965</v>
      </c>
      <c r="K112">
        <f t="shared" si="18"/>
        <v>-0.77842515177521743</v>
      </c>
      <c r="L112">
        <v>1</v>
      </c>
      <c r="M112">
        <f t="shared" si="19"/>
        <v>0.50990153041443931</v>
      </c>
      <c r="N112">
        <f t="shared" si="20"/>
        <v>8.5800199999999993E-2</v>
      </c>
      <c r="O112">
        <f t="shared" si="21"/>
        <v>6.5874232499999991E-2</v>
      </c>
      <c r="P112">
        <f t="shared" si="22"/>
        <v>0.11684918886077814</v>
      </c>
      <c r="V112">
        <v>4.8</v>
      </c>
      <c r="W112">
        <f t="shared" si="24"/>
        <v>-0.75375600000000009</v>
      </c>
    </row>
    <row r="113" spans="1:23">
      <c r="A113">
        <v>5.6956499999999997</v>
      </c>
      <c r="B113">
        <v>0.43781999999999999</v>
      </c>
      <c r="C113">
        <f t="shared" si="13"/>
        <v>2.4936694829999997</v>
      </c>
      <c r="D113">
        <v>1.52E-2</v>
      </c>
      <c r="E113">
        <v>1.167E-2</v>
      </c>
      <c r="F113">
        <f t="shared" si="14"/>
        <v>1139.1299999999999</v>
      </c>
      <c r="G113">
        <f t="shared" si="15"/>
        <v>-0.43781999999999999</v>
      </c>
      <c r="H113">
        <f t="shared" si="16"/>
        <v>-498.73389659999992</v>
      </c>
      <c r="I113">
        <v>1</v>
      </c>
      <c r="J113">
        <f t="shared" si="17"/>
        <v>0.1302648131584393</v>
      </c>
      <c r="K113">
        <f t="shared" si="18"/>
        <v>-0.78390515177521747</v>
      </c>
      <c r="L113">
        <v>1</v>
      </c>
      <c r="M113">
        <f t="shared" si="19"/>
        <v>0.51036940206181791</v>
      </c>
      <c r="N113">
        <f t="shared" si="20"/>
        <v>8.6573879999999992E-2</v>
      </c>
      <c r="O113">
        <f t="shared" si="21"/>
        <v>6.64682355E-2</v>
      </c>
      <c r="P113">
        <f t="shared" si="22"/>
        <v>0.12049363421339956</v>
      </c>
      <c r="V113">
        <v>4.9000000000000004</v>
      </c>
      <c r="W113">
        <f t="shared" si="24"/>
        <v>-0.75896800000000009</v>
      </c>
    </row>
    <row r="114" spans="1:23">
      <c r="A114">
        <v>5.7476000000000003</v>
      </c>
      <c r="B114">
        <v>0.43247999999999998</v>
      </c>
      <c r="C114">
        <f t="shared" si="13"/>
        <v>2.485722048</v>
      </c>
      <c r="D114">
        <v>1.52E-2</v>
      </c>
      <c r="E114">
        <v>1.167E-2</v>
      </c>
      <c r="F114">
        <f t="shared" si="14"/>
        <v>1149.52</v>
      </c>
      <c r="G114">
        <f t="shared" si="15"/>
        <v>-0.43247999999999998</v>
      </c>
      <c r="H114">
        <f t="shared" si="16"/>
        <v>-497.14440960000002</v>
      </c>
      <c r="I114">
        <v>1</v>
      </c>
      <c r="J114">
        <f t="shared" si="17"/>
        <v>0.13934446393881403</v>
      </c>
      <c r="K114">
        <f t="shared" si="18"/>
        <v>-0.78924515177521748</v>
      </c>
      <c r="L114">
        <v>1</v>
      </c>
      <c r="M114">
        <f t="shared" si="19"/>
        <v>0.51084263346049097</v>
      </c>
      <c r="N114">
        <f t="shared" si="20"/>
        <v>8.736352E-2</v>
      </c>
      <c r="O114">
        <f t="shared" si="21"/>
        <v>6.7074491999999999E-2</v>
      </c>
      <c r="P114">
        <f t="shared" si="22"/>
        <v>0.12396450631472651</v>
      </c>
      <c r="V114">
        <v>5</v>
      </c>
      <c r="W114">
        <f t="shared" si="24"/>
        <v>-0.76418000000000008</v>
      </c>
    </row>
    <row r="115" spans="1:23">
      <c r="A115">
        <v>5.7984999999999998</v>
      </c>
      <c r="B115">
        <v>0.42696000000000001</v>
      </c>
      <c r="C115">
        <f t="shared" si="13"/>
        <v>2.4757275599999997</v>
      </c>
      <c r="D115">
        <v>1.52E-2</v>
      </c>
      <c r="E115">
        <v>1.167E-2</v>
      </c>
      <c r="F115">
        <f t="shared" si="14"/>
        <v>1159.7</v>
      </c>
      <c r="G115">
        <f t="shared" si="15"/>
        <v>-0.42696000000000001</v>
      </c>
      <c r="H115">
        <f t="shared" si="16"/>
        <v>-495.14551199999994</v>
      </c>
      <c r="I115">
        <v>1</v>
      </c>
      <c r="J115">
        <f t="shared" si="17"/>
        <v>0.14816135098052047</v>
      </c>
      <c r="K115">
        <f t="shared" si="18"/>
        <v>-0.79476515177521745</v>
      </c>
      <c r="L115">
        <v>1</v>
      </c>
      <c r="M115">
        <f t="shared" si="19"/>
        <v>0.51130216961310471</v>
      </c>
      <c r="N115">
        <f t="shared" si="20"/>
        <v>8.8137199999999999E-2</v>
      </c>
      <c r="O115">
        <f t="shared" si="21"/>
        <v>6.7668494999999995E-2</v>
      </c>
      <c r="P115">
        <f t="shared" si="22"/>
        <v>0.12765728716211275</v>
      </c>
      <c r="V115">
        <v>5.0999999999999996</v>
      </c>
      <c r="W115">
        <f t="shared" si="24"/>
        <v>-0.76939200000000008</v>
      </c>
    </row>
    <row r="116" spans="1:23">
      <c r="A116">
        <v>5.8504500000000004</v>
      </c>
      <c r="B116">
        <v>0.42085</v>
      </c>
      <c r="C116">
        <f t="shared" si="13"/>
        <v>2.4621618825000002</v>
      </c>
      <c r="D116">
        <v>1.52E-2</v>
      </c>
      <c r="E116">
        <v>1.167E-2</v>
      </c>
      <c r="F116">
        <f t="shared" si="14"/>
        <v>1170.0900000000001</v>
      </c>
      <c r="G116">
        <f t="shared" si="15"/>
        <v>-0.42085</v>
      </c>
      <c r="H116">
        <f t="shared" si="16"/>
        <v>-492.43237650000003</v>
      </c>
      <c r="I116">
        <v>1</v>
      </c>
      <c r="J116">
        <f t="shared" si="17"/>
        <v>0.15708066892815972</v>
      </c>
      <c r="K116">
        <f t="shared" si="18"/>
        <v>-0.80087515177521751</v>
      </c>
      <c r="L116">
        <v>1</v>
      </c>
      <c r="M116">
        <f t="shared" si="19"/>
        <v>0.51176704446453569</v>
      </c>
      <c r="N116">
        <f t="shared" si="20"/>
        <v>8.8926840000000007E-2</v>
      </c>
      <c r="O116">
        <f t="shared" si="21"/>
        <v>6.8274751500000008E-2</v>
      </c>
      <c r="P116">
        <f t="shared" si="22"/>
        <v>0.1319065158106818</v>
      </c>
      <c r="V116">
        <v>5.2</v>
      </c>
      <c r="W116">
        <f t="shared" si="24"/>
        <v>-0.77460400000000007</v>
      </c>
    </row>
    <row r="117" spans="1:23">
      <c r="A117">
        <v>5.9008500000000002</v>
      </c>
      <c r="B117">
        <v>0.41443000000000002</v>
      </c>
      <c r="C117">
        <f t="shared" si="13"/>
        <v>2.4454892655</v>
      </c>
      <c r="D117">
        <v>1.52E-2</v>
      </c>
      <c r="E117">
        <v>1.167E-2</v>
      </c>
      <c r="F117">
        <f t="shared" si="14"/>
        <v>1180.17</v>
      </c>
      <c r="G117">
        <f t="shared" si="15"/>
        <v>-0.41443000000000002</v>
      </c>
      <c r="H117">
        <f t="shared" si="16"/>
        <v>-489.09785310000001</v>
      </c>
      <c r="I117">
        <v>1</v>
      </c>
      <c r="J117">
        <f t="shared" si="17"/>
        <v>0.16565849589741533</v>
      </c>
      <c r="K117">
        <f t="shared" si="18"/>
        <v>-0.80729515177521738</v>
      </c>
      <c r="L117">
        <v>1</v>
      </c>
      <c r="M117">
        <f t="shared" si="19"/>
        <v>0.51221412080617335</v>
      </c>
      <c r="N117">
        <f t="shared" si="20"/>
        <v>8.9692919999999995E-2</v>
      </c>
      <c r="O117">
        <f t="shared" si="21"/>
        <v>6.8862919499999994E-2</v>
      </c>
      <c r="P117">
        <f t="shared" si="22"/>
        <v>0.13652519146904402</v>
      </c>
      <c r="V117">
        <v>5.3</v>
      </c>
      <c r="W117">
        <f t="shared" si="24"/>
        <v>-0.77981600000000006</v>
      </c>
    </row>
    <row r="118" spans="1:23">
      <c r="A118">
        <v>5.9543500000000007</v>
      </c>
      <c r="B118">
        <v>0.40888000000000002</v>
      </c>
      <c r="C118">
        <f t="shared" si="13"/>
        <v>2.4346146280000003</v>
      </c>
      <c r="D118">
        <v>1.52E-2</v>
      </c>
      <c r="E118">
        <v>1.167E-2</v>
      </c>
      <c r="F118">
        <f t="shared" si="14"/>
        <v>1190.8700000000001</v>
      </c>
      <c r="G118">
        <f t="shared" si="15"/>
        <v>-0.40888000000000002</v>
      </c>
      <c r="H118">
        <f t="shared" si="16"/>
        <v>-486.92292560000004</v>
      </c>
      <c r="I118">
        <v>1</v>
      </c>
      <c r="J118">
        <f t="shared" si="17"/>
        <v>0.17468413244252118</v>
      </c>
      <c r="K118">
        <f t="shared" si="18"/>
        <v>-0.81284515177521743</v>
      </c>
      <c r="L118">
        <v>1</v>
      </c>
      <c r="M118">
        <f t="shared" si="19"/>
        <v>0.51268453698290428</v>
      </c>
      <c r="N118">
        <f t="shared" si="20"/>
        <v>9.0506120000000009E-2</v>
      </c>
      <c r="O118">
        <f t="shared" si="21"/>
        <v>6.9487264500000007E-2</v>
      </c>
      <c r="P118">
        <f t="shared" si="22"/>
        <v>0.14016723029231312</v>
      </c>
      <c r="V118">
        <v>5.4</v>
      </c>
      <c r="W118">
        <f t="shared" si="24"/>
        <v>-0.78502800000000006</v>
      </c>
    </row>
    <row r="119" spans="1:23">
      <c r="A119">
        <v>6.0062499999999996</v>
      </c>
      <c r="B119">
        <v>0.40176000000000001</v>
      </c>
      <c r="C119">
        <f t="shared" si="13"/>
        <v>2.413071</v>
      </c>
      <c r="D119">
        <v>1.52E-2</v>
      </c>
      <c r="E119">
        <v>1.167E-2</v>
      </c>
      <c r="F119">
        <f t="shared" si="14"/>
        <v>1201.25</v>
      </c>
      <c r="G119">
        <f t="shared" si="15"/>
        <v>-0.40176000000000001</v>
      </c>
      <c r="H119">
        <f t="shared" si="16"/>
        <v>-482.61419999999998</v>
      </c>
      <c r="I119">
        <v>1</v>
      </c>
      <c r="J119">
        <f t="shared" si="17"/>
        <v>0.18336268130236513</v>
      </c>
      <c r="K119">
        <f t="shared" si="18"/>
        <v>-0.81996515177521745</v>
      </c>
      <c r="L119">
        <v>1</v>
      </c>
      <c r="M119">
        <f t="shared" si="19"/>
        <v>0.51313686294947924</v>
      </c>
      <c r="N119">
        <f t="shared" si="20"/>
        <v>9.1295000000000001E-2</v>
      </c>
      <c r="O119">
        <f t="shared" si="21"/>
        <v>7.0092937499999994E-2</v>
      </c>
      <c r="P119">
        <f t="shared" si="22"/>
        <v>0.14544035132573818</v>
      </c>
      <c r="V119">
        <v>5.5</v>
      </c>
      <c r="W119">
        <f t="shared" si="24"/>
        <v>-0.79024000000000005</v>
      </c>
    </row>
    <row r="120" spans="1:23">
      <c r="A120">
        <v>6.0582000000000003</v>
      </c>
      <c r="B120">
        <v>0.39602999999999999</v>
      </c>
      <c r="C120">
        <f t="shared" si="13"/>
        <v>2.399228946</v>
      </c>
      <c r="D120">
        <v>1.52E-2</v>
      </c>
      <c r="E120">
        <v>1.167E-2</v>
      </c>
      <c r="F120">
        <f t="shared" si="14"/>
        <v>1211.6400000000001</v>
      </c>
      <c r="G120">
        <f t="shared" si="15"/>
        <v>-0.39602999999999999</v>
      </c>
      <c r="H120">
        <f t="shared" si="16"/>
        <v>-479.84578920000001</v>
      </c>
      <c r="I120">
        <v>1</v>
      </c>
      <c r="J120">
        <f t="shared" si="17"/>
        <v>0.19197481382209297</v>
      </c>
      <c r="K120">
        <f t="shared" si="18"/>
        <v>-0.82569515177521746</v>
      </c>
      <c r="L120">
        <v>1</v>
      </c>
      <c r="M120">
        <f t="shared" si="19"/>
        <v>0.5135857272964075</v>
      </c>
      <c r="N120">
        <f t="shared" si="20"/>
        <v>9.2084640000000009E-2</v>
      </c>
      <c r="O120">
        <f t="shared" si="21"/>
        <v>7.0699194000000007E-2</v>
      </c>
      <c r="P120">
        <f t="shared" si="22"/>
        <v>0.14932559047880994</v>
      </c>
      <c r="V120">
        <v>5.6</v>
      </c>
      <c r="W120">
        <f t="shared" si="24"/>
        <v>-0.79545200000000005</v>
      </c>
    </row>
    <row r="121" spans="1:23">
      <c r="A121">
        <v>6.1106499999999997</v>
      </c>
      <c r="B121">
        <v>0.38883000000000001</v>
      </c>
      <c r="C121">
        <f t="shared" si="13"/>
        <v>2.3760040394999997</v>
      </c>
      <c r="D121">
        <v>1.52E-2</v>
      </c>
      <c r="E121">
        <v>1.167E-2</v>
      </c>
      <c r="F121">
        <f t="shared" si="14"/>
        <v>1222.1299999999999</v>
      </c>
      <c r="G121">
        <f t="shared" si="15"/>
        <v>-0.38883000000000001</v>
      </c>
      <c r="H121">
        <f t="shared" si="16"/>
        <v>-475.20080789999997</v>
      </c>
      <c r="I121">
        <v>1</v>
      </c>
      <c r="J121">
        <f t="shared" si="17"/>
        <v>0.20059523806985916</v>
      </c>
      <c r="K121">
        <f t="shared" si="18"/>
        <v>-0.83289515177521745</v>
      </c>
      <c r="L121">
        <v>1</v>
      </c>
      <c r="M121">
        <f t="shared" si="19"/>
        <v>0.5140350238082011</v>
      </c>
      <c r="N121">
        <f t="shared" si="20"/>
        <v>9.288188E-2</v>
      </c>
      <c r="O121">
        <f t="shared" si="21"/>
        <v>7.1311285500000002E-2</v>
      </c>
      <c r="P121">
        <f t="shared" si="22"/>
        <v>0.15466696246701633</v>
      </c>
      <c r="V121">
        <v>5.7</v>
      </c>
      <c r="W121">
        <f t="shared" si="24"/>
        <v>-0.80066400000000004</v>
      </c>
    </row>
    <row r="122" spans="1:23">
      <c r="A122">
        <v>6.1610500000000004</v>
      </c>
      <c r="B122">
        <v>0.38238</v>
      </c>
      <c r="C122">
        <f t="shared" si="13"/>
        <v>2.355862299</v>
      </c>
      <c r="D122">
        <v>1.52E-2</v>
      </c>
      <c r="E122">
        <v>1.167E-2</v>
      </c>
      <c r="F122">
        <f t="shared" si="14"/>
        <v>1232.21</v>
      </c>
      <c r="G122">
        <f t="shared" si="15"/>
        <v>-0.38238</v>
      </c>
      <c r="H122">
        <f t="shared" si="16"/>
        <v>-471.17245980000001</v>
      </c>
      <c r="I122">
        <v>1</v>
      </c>
      <c r="J122">
        <f t="shared" si="17"/>
        <v>0.20880930513105719</v>
      </c>
      <c r="K122">
        <f t="shared" si="18"/>
        <v>-0.83934515177521751</v>
      </c>
      <c r="L122">
        <v>1</v>
      </c>
      <c r="M122">
        <f t="shared" si="19"/>
        <v>0.51446314098343071</v>
      </c>
      <c r="N122">
        <f t="shared" si="20"/>
        <v>9.3647960000000002E-2</v>
      </c>
      <c r="O122">
        <f t="shared" si="21"/>
        <v>7.1899453500000002E-2</v>
      </c>
      <c r="P122">
        <f t="shared" si="22"/>
        <v>0.15933459729178678</v>
      </c>
      <c r="V122">
        <v>5.8</v>
      </c>
      <c r="W122">
        <f t="shared" si="24"/>
        <v>-0.80587600000000004</v>
      </c>
    </row>
    <row r="123" spans="1:23">
      <c r="A123">
        <v>6.2119999999999997</v>
      </c>
      <c r="B123">
        <v>0.37594</v>
      </c>
      <c r="C123">
        <f t="shared" si="13"/>
        <v>2.3353392799999999</v>
      </c>
      <c r="D123">
        <v>1.52E-2</v>
      </c>
      <c r="E123">
        <v>1.167E-2</v>
      </c>
      <c r="F123">
        <f t="shared" si="14"/>
        <v>1242.3999999999999</v>
      </c>
      <c r="G123">
        <f t="shared" si="15"/>
        <v>-0.37594</v>
      </c>
      <c r="H123">
        <f t="shared" si="16"/>
        <v>-467.06785600000001</v>
      </c>
      <c r="I123">
        <v>1</v>
      </c>
      <c r="J123">
        <f t="shared" si="17"/>
        <v>0.21704499285234022</v>
      </c>
      <c r="K123">
        <f t="shared" si="18"/>
        <v>-0.84578515177521751</v>
      </c>
      <c r="L123">
        <v>1</v>
      </c>
      <c r="M123">
        <f t="shared" si="19"/>
        <v>0.51489238502746404</v>
      </c>
      <c r="N123">
        <f t="shared" si="20"/>
        <v>9.442239999999999E-2</v>
      </c>
      <c r="O123">
        <f t="shared" si="21"/>
        <v>7.2494039999999996E-2</v>
      </c>
      <c r="P123">
        <f t="shared" si="22"/>
        <v>0.16397632674775348</v>
      </c>
      <c r="V123">
        <v>5.9</v>
      </c>
      <c r="W123">
        <f t="shared" si="24"/>
        <v>-0.81108800000000003</v>
      </c>
    </row>
    <row r="124" spans="1:23">
      <c r="A124">
        <v>6.2624000000000004</v>
      </c>
      <c r="B124">
        <v>0.36928</v>
      </c>
      <c r="C124">
        <f t="shared" si="13"/>
        <v>2.3125790720000001</v>
      </c>
      <c r="D124">
        <v>1.52E-2</v>
      </c>
      <c r="E124">
        <v>1.167E-2</v>
      </c>
      <c r="F124">
        <f t="shared" si="14"/>
        <v>1252.48</v>
      </c>
      <c r="G124">
        <f t="shared" si="15"/>
        <v>-0.36928</v>
      </c>
      <c r="H124">
        <f t="shared" si="16"/>
        <v>-462.51581440000001</v>
      </c>
      <c r="I124">
        <v>1</v>
      </c>
      <c r="J124">
        <f t="shared" si="17"/>
        <v>0.22512558578551969</v>
      </c>
      <c r="K124">
        <f t="shared" si="18"/>
        <v>-0.8524451517752174</v>
      </c>
      <c r="L124">
        <v>1</v>
      </c>
      <c r="M124">
        <f t="shared" si="19"/>
        <v>0.51531354553114128</v>
      </c>
      <c r="N124">
        <f t="shared" si="20"/>
        <v>9.5188480000000006E-2</v>
      </c>
      <c r="O124">
        <f t="shared" si="21"/>
        <v>7.308220800000001E-2</v>
      </c>
      <c r="P124">
        <f t="shared" si="22"/>
        <v>0.16886091824407609</v>
      </c>
      <c r="V124">
        <v>6</v>
      </c>
      <c r="W124">
        <f t="shared" si="24"/>
        <v>-0.81630000000000003</v>
      </c>
    </row>
    <row r="125" spans="1:23">
      <c r="A125">
        <v>6.3127999999999993</v>
      </c>
      <c r="B125">
        <v>0.36220999999999998</v>
      </c>
      <c r="C125">
        <f t="shared" si="13"/>
        <v>2.2865592879999994</v>
      </c>
      <c r="D125">
        <v>1.52E-2</v>
      </c>
      <c r="E125">
        <v>1.167E-2</v>
      </c>
      <c r="F125">
        <f t="shared" si="14"/>
        <v>1262.56</v>
      </c>
      <c r="G125">
        <f t="shared" si="15"/>
        <v>-0.36220999999999998</v>
      </c>
      <c r="H125">
        <f t="shared" si="16"/>
        <v>-457.31185759999988</v>
      </c>
      <c r="I125">
        <v>1</v>
      </c>
      <c r="J125">
        <f t="shared" si="17"/>
        <v>0.23314140579058773</v>
      </c>
      <c r="K125">
        <f t="shared" si="18"/>
        <v>-0.85951515177521753</v>
      </c>
      <c r="L125">
        <v>1</v>
      </c>
      <c r="M125">
        <f t="shared" si="19"/>
        <v>0.51573133006980543</v>
      </c>
      <c r="N125">
        <f t="shared" si="20"/>
        <v>9.5954559999999994E-2</v>
      </c>
      <c r="O125">
        <f t="shared" si="21"/>
        <v>7.3670375999999996E-2</v>
      </c>
      <c r="P125">
        <f t="shared" si="22"/>
        <v>0.1741588857054121</v>
      </c>
      <c r="V125">
        <v>6.1</v>
      </c>
      <c r="W125">
        <f t="shared" si="24"/>
        <v>-0.82151200000000002</v>
      </c>
    </row>
    <row r="126" spans="1:23">
      <c r="A126">
        <v>6.3647499999999999</v>
      </c>
      <c r="B126">
        <v>0.35615999999999998</v>
      </c>
      <c r="C126">
        <f t="shared" si="13"/>
        <v>2.2668693599999998</v>
      </c>
      <c r="D126">
        <v>1.52E-2</v>
      </c>
      <c r="E126">
        <v>1.167E-2</v>
      </c>
      <c r="F126">
        <f t="shared" si="14"/>
        <v>1272.95</v>
      </c>
      <c r="G126">
        <f t="shared" si="15"/>
        <v>-0.35615999999999998</v>
      </c>
      <c r="H126">
        <f t="shared" si="16"/>
        <v>-453.37387199999995</v>
      </c>
      <c r="I126">
        <v>1</v>
      </c>
      <c r="J126">
        <f t="shared" si="17"/>
        <v>0.24133704150617433</v>
      </c>
      <c r="K126">
        <f t="shared" si="18"/>
        <v>-0.86556515177521742</v>
      </c>
      <c r="L126">
        <v>1</v>
      </c>
      <c r="M126">
        <f t="shared" si="19"/>
        <v>0.51615848660330188</v>
      </c>
      <c r="N126">
        <f t="shared" si="20"/>
        <v>9.6744200000000002E-2</v>
      </c>
      <c r="O126">
        <f t="shared" si="21"/>
        <v>7.4276632499999995E-2</v>
      </c>
      <c r="P126">
        <f t="shared" si="22"/>
        <v>0.17838583267191555</v>
      </c>
      <c r="V126">
        <v>6.2</v>
      </c>
      <c r="W126">
        <f t="shared" si="24"/>
        <v>-0.82672400000000001</v>
      </c>
    </row>
    <row r="127" spans="1:23">
      <c r="A127">
        <v>6.4202499999999993</v>
      </c>
      <c r="B127">
        <v>0.34855999999999998</v>
      </c>
      <c r="C127">
        <f t="shared" si="13"/>
        <v>2.2378423399999998</v>
      </c>
      <c r="D127">
        <v>1.52E-2</v>
      </c>
      <c r="E127">
        <v>1.167E-2</v>
      </c>
      <c r="F127">
        <f t="shared" si="14"/>
        <v>1284.05</v>
      </c>
      <c r="G127">
        <f t="shared" si="15"/>
        <v>-0.34855999999999998</v>
      </c>
      <c r="H127">
        <f t="shared" si="16"/>
        <v>-447.56846799999994</v>
      </c>
      <c r="I127">
        <v>1</v>
      </c>
      <c r="J127">
        <f t="shared" si="17"/>
        <v>0.25001914531956454</v>
      </c>
      <c r="K127">
        <f t="shared" si="18"/>
        <v>-0.87316515177521747</v>
      </c>
      <c r="L127">
        <v>1</v>
      </c>
      <c r="M127">
        <f t="shared" si="19"/>
        <v>0.51661099785405573</v>
      </c>
      <c r="N127">
        <f t="shared" si="20"/>
        <v>9.7587799999999988E-2</v>
      </c>
      <c r="O127">
        <f t="shared" si="21"/>
        <v>7.492431749999999E-2</v>
      </c>
      <c r="P127">
        <f t="shared" si="22"/>
        <v>0.18404203642116174</v>
      </c>
      <c r="V127">
        <v>6.3</v>
      </c>
      <c r="W127">
        <f t="shared" si="24"/>
        <v>-0.83193600000000001</v>
      </c>
    </row>
    <row r="128" spans="1:23">
      <c r="A128">
        <v>6.47065</v>
      </c>
      <c r="B128">
        <v>0.34084999999999999</v>
      </c>
      <c r="C128">
        <f t="shared" si="13"/>
        <v>2.2055210525</v>
      </c>
      <c r="D128">
        <v>1.52E-2</v>
      </c>
      <c r="E128">
        <v>1.167E-2</v>
      </c>
      <c r="F128">
        <f t="shared" si="14"/>
        <v>1294.1300000000001</v>
      </c>
      <c r="G128">
        <f t="shared" si="15"/>
        <v>-0.34084999999999999</v>
      </c>
      <c r="H128">
        <f t="shared" si="16"/>
        <v>-441.10421050000002</v>
      </c>
      <c r="I128">
        <v>1</v>
      </c>
      <c r="J128">
        <f t="shared" si="17"/>
        <v>0.25783865471108769</v>
      </c>
      <c r="K128">
        <f t="shared" si="18"/>
        <v>-0.88087515177521747</v>
      </c>
      <c r="L128">
        <v>1</v>
      </c>
      <c r="M128">
        <f t="shared" si="19"/>
        <v>0.51701855068354197</v>
      </c>
      <c r="N128">
        <f t="shared" si="20"/>
        <v>9.8353880000000005E-2</v>
      </c>
      <c r="O128">
        <f t="shared" si="21"/>
        <v>7.5512485500000004E-2</v>
      </c>
      <c r="P128">
        <f t="shared" si="22"/>
        <v>0.18999023559167549</v>
      </c>
      <c r="V128">
        <v>6.4</v>
      </c>
      <c r="W128">
        <f t="shared" si="24"/>
        <v>-0.837148</v>
      </c>
    </row>
    <row r="129" spans="1:23">
      <c r="A129">
        <v>6.5225999999999997</v>
      </c>
      <c r="B129">
        <v>0.33400999999999997</v>
      </c>
      <c r="C129">
        <f t="shared" si="13"/>
        <v>2.1786136259999997</v>
      </c>
      <c r="D129">
        <v>1.52E-2</v>
      </c>
      <c r="E129">
        <v>1.167E-2</v>
      </c>
      <c r="F129">
        <f t="shared" si="14"/>
        <v>1304.52</v>
      </c>
      <c r="G129">
        <f t="shared" si="15"/>
        <v>-0.33400999999999997</v>
      </c>
      <c r="H129">
        <f t="shared" si="16"/>
        <v>-435.72272519999996</v>
      </c>
      <c r="I129">
        <v>1</v>
      </c>
      <c r="J129">
        <f t="shared" si="17"/>
        <v>0.26583515702177218</v>
      </c>
      <c r="K129">
        <f t="shared" si="18"/>
        <v>-0.88771515177521754</v>
      </c>
      <c r="L129">
        <v>1</v>
      </c>
      <c r="M129">
        <f t="shared" si="19"/>
        <v>0.51743532838397477</v>
      </c>
      <c r="N129">
        <f t="shared" si="20"/>
        <v>9.9143519999999999E-2</v>
      </c>
      <c r="O129">
        <f t="shared" si="21"/>
        <v>7.6118741999999989E-2</v>
      </c>
      <c r="P129">
        <f t="shared" si="22"/>
        <v>0.19501756139124279</v>
      </c>
      <c r="V129">
        <v>6.5</v>
      </c>
      <c r="W129">
        <f t="shared" si="24"/>
        <v>-0.84236</v>
      </c>
    </row>
    <row r="130" spans="1:23">
      <c r="A130">
        <v>6.5739999999999998</v>
      </c>
      <c r="B130">
        <v>0.32652999999999999</v>
      </c>
      <c r="C130">
        <f t="shared" si="13"/>
        <v>2.1466082200000001</v>
      </c>
      <c r="D130">
        <v>1.52E-2</v>
      </c>
      <c r="E130">
        <v>1.167E-2</v>
      </c>
      <c r="F130">
        <f t="shared" si="14"/>
        <v>1314.8</v>
      </c>
      <c r="G130">
        <f t="shared" si="15"/>
        <v>-0.32652999999999999</v>
      </c>
      <c r="H130">
        <f t="shared" si="16"/>
        <v>-429.32164399999999</v>
      </c>
      <c r="I130">
        <v>1</v>
      </c>
      <c r="J130">
        <f t="shared" si="17"/>
        <v>0.27368456280792725</v>
      </c>
      <c r="K130">
        <f t="shared" si="18"/>
        <v>-0.89519515177521747</v>
      </c>
      <c r="L130">
        <v>1</v>
      </c>
      <c r="M130">
        <f t="shared" si="19"/>
        <v>0.51784443941354918</v>
      </c>
      <c r="N130">
        <f t="shared" si="20"/>
        <v>9.9924799999999994E-2</v>
      </c>
      <c r="O130">
        <f t="shared" si="21"/>
        <v>7.6718579999999995E-2</v>
      </c>
      <c r="P130">
        <f t="shared" si="22"/>
        <v>0.20070733236166832</v>
      </c>
      <c r="V130">
        <v>6.6</v>
      </c>
      <c r="W130">
        <f t="shared" si="24"/>
        <v>-0.84757199999999999</v>
      </c>
    </row>
    <row r="131" spans="1:23">
      <c r="A131">
        <v>6.6279999999999992</v>
      </c>
      <c r="B131">
        <v>0.31957999999999998</v>
      </c>
      <c r="C131">
        <f t="shared" si="13"/>
        <v>2.1181762399999995</v>
      </c>
      <c r="D131">
        <v>1.52E-2</v>
      </c>
      <c r="E131">
        <v>1.167E-2</v>
      </c>
      <c r="F131">
        <f t="shared" si="14"/>
        <v>1325.6</v>
      </c>
      <c r="G131">
        <f t="shared" si="15"/>
        <v>-0.31957999999999998</v>
      </c>
      <c r="H131">
        <f t="shared" si="16"/>
        <v>-423.63524799999988</v>
      </c>
      <c r="I131">
        <v>1</v>
      </c>
      <c r="J131">
        <f t="shared" si="17"/>
        <v>0.28186518713021602</v>
      </c>
      <c r="K131">
        <f t="shared" si="18"/>
        <v>-0.90214515177521748</v>
      </c>
      <c r="L131">
        <v>1</v>
      </c>
      <c r="M131">
        <f t="shared" si="19"/>
        <v>0.51827081355322691</v>
      </c>
      <c r="N131">
        <f t="shared" si="20"/>
        <v>0.10074559999999999</v>
      </c>
      <c r="O131">
        <f t="shared" si="21"/>
        <v>7.7348759999999989E-2</v>
      </c>
      <c r="P131">
        <f t="shared" si="22"/>
        <v>0.20577997822199059</v>
      </c>
      <c r="V131">
        <v>6.7</v>
      </c>
      <c r="W131">
        <f t="shared" si="24"/>
        <v>-0.85278399999999999</v>
      </c>
    </row>
    <row r="132" spans="1:23">
      <c r="A132">
        <v>6.6835000000000004</v>
      </c>
      <c r="B132">
        <v>0.31141000000000002</v>
      </c>
      <c r="C132">
        <f t="shared" ref="C132:C195" si="25">A132*B132</f>
        <v>2.0813087350000004</v>
      </c>
      <c r="D132">
        <v>1.52E-2</v>
      </c>
      <c r="E132">
        <v>1.167E-2</v>
      </c>
      <c r="F132">
        <f t="shared" ref="F132:F195" si="26">A132*200</f>
        <v>1336.7</v>
      </c>
      <c r="G132">
        <f t="shared" ref="G132:G195" si="27">-B132</f>
        <v>-0.31141000000000002</v>
      </c>
      <c r="H132">
        <f t="shared" ref="H132:H195" si="28">-C132*200</f>
        <v>-416.26174700000007</v>
      </c>
      <c r="I132">
        <v>1</v>
      </c>
      <c r="J132">
        <f t="shared" ref="J132:J195" si="29">LN(F132/1000)</f>
        <v>0.29020388999529029</v>
      </c>
      <c r="K132">
        <f t="shared" ref="K132:K195" si="30">((-G132)-$N$2)</f>
        <v>-0.91031515177521749</v>
      </c>
      <c r="L132">
        <v>1</v>
      </c>
      <c r="M132">
        <f t="shared" ref="M132:M195" si="31">-1*($S$4+($S$5*J132))</f>
        <v>0.51870542674655451</v>
      </c>
      <c r="N132">
        <f t="shared" ref="N132:N195" si="32">D132*A132</f>
        <v>0.1015892</v>
      </c>
      <c r="O132">
        <f t="shared" ref="O132:O195" si="33">E132*A132</f>
        <v>7.7996444999999998E-2</v>
      </c>
      <c r="P132">
        <f t="shared" ref="P132:P195" si="34">-K132-M132-N132-O132</f>
        <v>0.21202408002866299</v>
      </c>
      <c r="V132">
        <v>6.8</v>
      </c>
      <c r="W132">
        <f t="shared" ref="W132:W163" si="35">V132*$S$5+$S$4</f>
        <v>-0.85799599999999998</v>
      </c>
    </row>
    <row r="133" spans="1:23">
      <c r="A133">
        <v>6.7344000000000008</v>
      </c>
      <c r="B133">
        <v>0.30376999999999998</v>
      </c>
      <c r="C133">
        <f t="shared" si="25"/>
        <v>2.0457086879999999</v>
      </c>
      <c r="D133">
        <v>1.52E-2</v>
      </c>
      <c r="E133">
        <v>1.167E-2</v>
      </c>
      <c r="F133">
        <f t="shared" si="26"/>
        <v>1346.88</v>
      </c>
      <c r="G133">
        <f t="shared" si="27"/>
        <v>-0.30376999999999998</v>
      </c>
      <c r="H133">
        <f t="shared" si="28"/>
        <v>-409.1417376</v>
      </c>
      <c r="I133">
        <v>1</v>
      </c>
      <c r="J133">
        <f t="shared" si="29"/>
        <v>0.29779080660006879</v>
      </c>
      <c r="K133">
        <f t="shared" si="30"/>
        <v>-0.91795515177521747</v>
      </c>
      <c r="L133">
        <v>1</v>
      </c>
      <c r="M133">
        <f t="shared" si="31"/>
        <v>0.51910085683999563</v>
      </c>
      <c r="N133">
        <f t="shared" si="32"/>
        <v>0.10236288000000002</v>
      </c>
      <c r="O133">
        <f t="shared" si="33"/>
        <v>7.8590448000000007E-2</v>
      </c>
      <c r="P133">
        <f t="shared" si="34"/>
        <v>0.21790096693522179</v>
      </c>
      <c r="V133">
        <v>6.9</v>
      </c>
      <c r="W133">
        <f t="shared" si="35"/>
        <v>-0.86320799999999998</v>
      </c>
    </row>
    <row r="134" spans="1:23">
      <c r="A134">
        <v>6.7863499999999997</v>
      </c>
      <c r="B134">
        <v>0.29629</v>
      </c>
      <c r="C134">
        <f t="shared" si="25"/>
        <v>2.0107276414999999</v>
      </c>
      <c r="D134">
        <v>1.52E-2</v>
      </c>
      <c r="E134">
        <v>1.167E-2</v>
      </c>
      <c r="F134">
        <f t="shared" si="26"/>
        <v>1357.27</v>
      </c>
      <c r="G134">
        <f t="shared" si="27"/>
        <v>-0.29629</v>
      </c>
      <c r="H134">
        <f t="shared" si="28"/>
        <v>-402.14552829999997</v>
      </c>
      <c r="I134">
        <v>1</v>
      </c>
      <c r="J134">
        <f t="shared" si="29"/>
        <v>0.30547532937361654</v>
      </c>
      <c r="K134">
        <f t="shared" si="30"/>
        <v>-0.92543515177521751</v>
      </c>
      <c r="L134">
        <v>1</v>
      </c>
      <c r="M134">
        <f t="shared" si="31"/>
        <v>0.51950137416695297</v>
      </c>
      <c r="N134">
        <f t="shared" si="32"/>
        <v>0.10315252</v>
      </c>
      <c r="O134">
        <f t="shared" si="33"/>
        <v>7.9196704499999993E-2</v>
      </c>
      <c r="P134">
        <f t="shared" si="34"/>
        <v>0.22358455310826458</v>
      </c>
      <c r="V134">
        <v>7</v>
      </c>
      <c r="W134">
        <f t="shared" si="35"/>
        <v>-0.86841999999999997</v>
      </c>
    </row>
    <row r="135" spans="1:23">
      <c r="A135">
        <v>6.8367500000000003</v>
      </c>
      <c r="B135">
        <v>0.28899000000000002</v>
      </c>
      <c r="C135">
        <f t="shared" si="25"/>
        <v>1.9757523825000003</v>
      </c>
      <c r="D135">
        <v>1.52E-2</v>
      </c>
      <c r="E135">
        <v>1.167E-2</v>
      </c>
      <c r="F135">
        <f t="shared" si="26"/>
        <v>1367.3500000000001</v>
      </c>
      <c r="G135">
        <f t="shared" si="27"/>
        <v>-0.28899000000000002</v>
      </c>
      <c r="H135">
        <f t="shared" si="28"/>
        <v>-395.15047650000008</v>
      </c>
      <c r="I135">
        <v>1</v>
      </c>
      <c r="J135">
        <f t="shared" si="29"/>
        <v>0.31287456008380354</v>
      </c>
      <c r="K135">
        <f t="shared" si="30"/>
        <v>-0.93273515177521737</v>
      </c>
      <c r="L135">
        <v>1</v>
      </c>
      <c r="M135">
        <f t="shared" si="31"/>
        <v>0.51988702207156789</v>
      </c>
      <c r="N135">
        <f t="shared" si="32"/>
        <v>0.1039186</v>
      </c>
      <c r="O135">
        <f t="shared" si="33"/>
        <v>7.9784872500000006E-2</v>
      </c>
      <c r="P135">
        <f t="shared" si="34"/>
        <v>0.22914465720364952</v>
      </c>
      <c r="V135">
        <v>7.1</v>
      </c>
      <c r="W135">
        <f t="shared" si="35"/>
        <v>-0.87363199999999996</v>
      </c>
    </row>
    <row r="136" spans="1:23">
      <c r="A136">
        <v>6.8891999999999998</v>
      </c>
      <c r="B136">
        <v>0.28105000000000002</v>
      </c>
      <c r="C136">
        <f t="shared" si="25"/>
        <v>1.9362096600000001</v>
      </c>
      <c r="D136">
        <v>1.52E-2</v>
      </c>
      <c r="E136">
        <v>1.167E-2</v>
      </c>
      <c r="F136">
        <f t="shared" si="26"/>
        <v>1377.84</v>
      </c>
      <c r="G136">
        <f t="shared" si="27"/>
        <v>-0.28105000000000002</v>
      </c>
      <c r="H136">
        <f t="shared" si="28"/>
        <v>-387.24193200000002</v>
      </c>
      <c r="I136">
        <v>1</v>
      </c>
      <c r="J136">
        <f t="shared" si="29"/>
        <v>0.32051705554535398</v>
      </c>
      <c r="K136">
        <f t="shared" si="30"/>
        <v>-0.94067515177521743</v>
      </c>
      <c r="L136">
        <v>1</v>
      </c>
      <c r="M136">
        <f t="shared" si="31"/>
        <v>0.52028534893502387</v>
      </c>
      <c r="N136">
        <f t="shared" si="32"/>
        <v>0.10471583999999999</v>
      </c>
      <c r="O136">
        <f t="shared" si="33"/>
        <v>8.0396964000000001E-2</v>
      </c>
      <c r="P136">
        <f t="shared" si="34"/>
        <v>0.23527699884019354</v>
      </c>
      <c r="V136">
        <v>7.2</v>
      </c>
      <c r="W136">
        <f t="shared" si="35"/>
        <v>-0.87884399999999996</v>
      </c>
    </row>
    <row r="137" spans="1:23">
      <c r="A137">
        <v>6.9431500000000002</v>
      </c>
      <c r="B137">
        <v>0.27350999999999998</v>
      </c>
      <c r="C137">
        <f t="shared" si="25"/>
        <v>1.8990209564999998</v>
      </c>
      <c r="D137">
        <v>1.52E-2</v>
      </c>
      <c r="E137">
        <v>1.167E-2</v>
      </c>
      <c r="F137">
        <f t="shared" si="26"/>
        <v>1388.63</v>
      </c>
      <c r="G137">
        <f t="shared" si="27"/>
        <v>-0.27350999999999998</v>
      </c>
      <c r="H137">
        <f t="shared" si="28"/>
        <v>-379.80419129999996</v>
      </c>
      <c r="I137">
        <v>1</v>
      </c>
      <c r="J137">
        <f t="shared" si="29"/>
        <v>0.32831764959739695</v>
      </c>
      <c r="K137">
        <f t="shared" si="30"/>
        <v>-0.94821515177521754</v>
      </c>
      <c r="L137">
        <v>1</v>
      </c>
      <c r="M137">
        <f t="shared" si="31"/>
        <v>0.52069191589701636</v>
      </c>
      <c r="N137">
        <f t="shared" si="32"/>
        <v>0.10553588</v>
      </c>
      <c r="O137">
        <f t="shared" si="33"/>
        <v>8.1026560499999997E-2</v>
      </c>
      <c r="P137">
        <f t="shared" si="34"/>
        <v>0.24096079537820114</v>
      </c>
      <c r="V137">
        <v>7.3</v>
      </c>
      <c r="W137">
        <f t="shared" si="35"/>
        <v>-0.88405599999999995</v>
      </c>
    </row>
    <row r="138" spans="1:23">
      <c r="A138">
        <v>6.9941000000000004</v>
      </c>
      <c r="B138">
        <v>0.26555000000000001</v>
      </c>
      <c r="C138">
        <f t="shared" si="25"/>
        <v>1.8572832550000002</v>
      </c>
      <c r="D138">
        <v>1.52E-2</v>
      </c>
      <c r="E138">
        <v>1.167E-2</v>
      </c>
      <c r="F138">
        <f t="shared" si="26"/>
        <v>1398.8200000000002</v>
      </c>
      <c r="G138">
        <f t="shared" si="27"/>
        <v>-0.26555000000000001</v>
      </c>
      <c r="H138">
        <f t="shared" si="28"/>
        <v>-371.45665100000002</v>
      </c>
      <c r="I138">
        <v>1</v>
      </c>
      <c r="J138">
        <f t="shared" si="29"/>
        <v>0.33562902407455714</v>
      </c>
      <c r="K138">
        <f t="shared" si="30"/>
        <v>-0.9561751517752175</v>
      </c>
      <c r="L138">
        <v>1</v>
      </c>
      <c r="M138">
        <f t="shared" si="31"/>
        <v>0.52107298473476593</v>
      </c>
      <c r="N138">
        <f t="shared" si="32"/>
        <v>0.10631032</v>
      </c>
      <c r="O138">
        <f t="shared" si="33"/>
        <v>8.1621147000000005E-2</v>
      </c>
      <c r="P138">
        <f t="shared" si="34"/>
        <v>0.24717070004045155</v>
      </c>
      <c r="V138">
        <v>7.4</v>
      </c>
      <c r="W138">
        <f t="shared" si="35"/>
        <v>-0.88926800000000006</v>
      </c>
    </row>
    <row r="139" spans="1:23">
      <c r="A139">
        <v>7.0445000000000002</v>
      </c>
      <c r="B139">
        <v>0.25830999999999998</v>
      </c>
      <c r="C139">
        <f t="shared" si="25"/>
        <v>1.819664795</v>
      </c>
      <c r="D139">
        <v>1.52E-2</v>
      </c>
      <c r="E139">
        <v>1.167E-2</v>
      </c>
      <c r="F139">
        <f t="shared" si="26"/>
        <v>1408.9</v>
      </c>
      <c r="G139">
        <f t="shared" si="27"/>
        <v>-0.25830999999999998</v>
      </c>
      <c r="H139">
        <f t="shared" si="28"/>
        <v>-363.93295899999998</v>
      </c>
      <c r="I139">
        <v>1</v>
      </c>
      <c r="J139">
        <f t="shared" si="29"/>
        <v>0.34280925807709395</v>
      </c>
      <c r="K139">
        <f t="shared" si="30"/>
        <v>-0.96341515177521742</v>
      </c>
      <c r="L139">
        <v>1</v>
      </c>
      <c r="M139">
        <f t="shared" si="31"/>
        <v>0.5214472185309782</v>
      </c>
      <c r="N139">
        <f t="shared" si="32"/>
        <v>0.1070764</v>
      </c>
      <c r="O139">
        <f t="shared" si="33"/>
        <v>8.2209315000000005E-2</v>
      </c>
      <c r="P139">
        <f t="shared" si="34"/>
        <v>0.2526822182442392</v>
      </c>
      <c r="V139">
        <v>7.5</v>
      </c>
      <c r="W139">
        <f t="shared" si="35"/>
        <v>-0.89448000000000005</v>
      </c>
    </row>
    <row r="140" spans="1:23">
      <c r="A140">
        <v>7.0801499999999997</v>
      </c>
      <c r="B140">
        <v>0.25158999999999998</v>
      </c>
      <c r="C140">
        <f t="shared" si="25"/>
        <v>1.7812949384999999</v>
      </c>
      <c r="D140">
        <v>1.52E-2</v>
      </c>
      <c r="E140">
        <v>1.167E-2</v>
      </c>
      <c r="F140">
        <f t="shared" si="26"/>
        <v>1416.03</v>
      </c>
      <c r="G140">
        <f t="shared" si="27"/>
        <v>-0.25158999999999998</v>
      </c>
      <c r="H140">
        <f t="shared" si="28"/>
        <v>-356.25898769999998</v>
      </c>
      <c r="I140">
        <v>1</v>
      </c>
      <c r="J140">
        <f t="shared" si="29"/>
        <v>0.34785718148777645</v>
      </c>
      <c r="K140">
        <f t="shared" si="30"/>
        <v>-0.97013515177521747</v>
      </c>
      <c r="L140">
        <v>1</v>
      </c>
      <c r="M140">
        <f t="shared" si="31"/>
        <v>0.52171031629914288</v>
      </c>
      <c r="N140">
        <f t="shared" si="32"/>
        <v>0.10761828</v>
      </c>
      <c r="O140">
        <f t="shared" si="33"/>
        <v>8.26253505E-2</v>
      </c>
      <c r="P140">
        <f t="shared" si="34"/>
        <v>0.25818120497607455</v>
      </c>
    </row>
    <row r="141" spans="1:23">
      <c r="C141">
        <f t="shared" si="25"/>
        <v>0</v>
      </c>
      <c r="D141">
        <v>1.52E-2</v>
      </c>
      <c r="E141">
        <v>1.167E-2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2"/>
        <v>0</v>
      </c>
      <c r="O141">
        <f t="shared" si="33"/>
        <v>0</v>
      </c>
      <c r="P141" t="e">
        <f t="shared" si="34"/>
        <v>#NUM!</v>
      </c>
    </row>
    <row r="142" spans="1:23">
      <c r="C142">
        <f t="shared" si="25"/>
        <v>0</v>
      </c>
      <c r="D142">
        <v>1.52E-2</v>
      </c>
      <c r="E142">
        <v>1.167E-2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2"/>
        <v>0</v>
      </c>
      <c r="O142">
        <f t="shared" si="33"/>
        <v>0</v>
      </c>
      <c r="P142" t="e">
        <f t="shared" si="34"/>
        <v>#NUM!</v>
      </c>
    </row>
    <row r="143" spans="1:23">
      <c r="C143">
        <f t="shared" si="25"/>
        <v>0</v>
      </c>
      <c r="D143">
        <v>1.52E-2</v>
      </c>
      <c r="E143">
        <v>1.167E-2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1:23">
      <c r="C144">
        <f t="shared" si="25"/>
        <v>0</v>
      </c>
      <c r="D144">
        <v>1.52E-2</v>
      </c>
      <c r="E144">
        <v>1.167E-2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>
      <c r="C145">
        <f t="shared" si="25"/>
        <v>0</v>
      </c>
      <c r="D145">
        <v>1.52E-2</v>
      </c>
      <c r="E145">
        <v>1.167E-2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>
      <c r="C146">
        <f t="shared" si="25"/>
        <v>0</v>
      </c>
      <c r="D146">
        <v>1.52E-2</v>
      </c>
      <c r="E146">
        <v>1.167E-2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>
      <c r="C147">
        <f t="shared" si="25"/>
        <v>0</v>
      </c>
      <c r="D147">
        <v>1.52E-2</v>
      </c>
      <c r="E147">
        <v>1.167E-2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>
      <c r="C148">
        <f t="shared" si="25"/>
        <v>0</v>
      </c>
      <c r="D148">
        <v>1.52E-2</v>
      </c>
      <c r="E148">
        <v>1.167E-2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>
      <c r="C149">
        <f t="shared" si="25"/>
        <v>0</v>
      </c>
      <c r="D149">
        <v>1.52E-2</v>
      </c>
      <c r="E149">
        <v>1.167E-2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>
      <c r="C150">
        <f t="shared" si="25"/>
        <v>0</v>
      </c>
      <c r="D150">
        <v>1.52E-2</v>
      </c>
      <c r="E150">
        <v>1.167E-2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>
      <c r="C151">
        <f t="shared" si="25"/>
        <v>0</v>
      </c>
      <c r="D151">
        <v>1.52E-2</v>
      </c>
      <c r="E151">
        <v>1.167E-2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>
      <c r="C152">
        <f t="shared" si="25"/>
        <v>0</v>
      </c>
      <c r="D152">
        <v>1.52E-2</v>
      </c>
      <c r="E152">
        <v>1.167E-2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>
      <c r="C153">
        <f t="shared" si="25"/>
        <v>0</v>
      </c>
      <c r="D153">
        <v>1.52E-2</v>
      </c>
      <c r="E153">
        <v>1.167E-2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>
      <c r="C154">
        <f t="shared" si="25"/>
        <v>0</v>
      </c>
      <c r="D154">
        <v>1.52E-2</v>
      </c>
      <c r="E154">
        <v>1.167E-2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>
      <c r="C155">
        <f t="shared" si="25"/>
        <v>0</v>
      </c>
      <c r="D155">
        <v>1.52E-2</v>
      </c>
      <c r="E155">
        <v>1.167E-2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>
      <c r="C156">
        <f t="shared" si="25"/>
        <v>0</v>
      </c>
      <c r="D156">
        <v>1.52E-2</v>
      </c>
      <c r="E156">
        <v>1.167E-2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>
      <c r="C157">
        <f t="shared" si="25"/>
        <v>0</v>
      </c>
      <c r="D157">
        <v>1.52E-2</v>
      </c>
      <c r="E157">
        <v>1.167E-2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>
      <c r="C158">
        <f t="shared" si="25"/>
        <v>0</v>
      </c>
      <c r="D158">
        <v>1.52E-2</v>
      </c>
      <c r="E158">
        <v>1.167E-2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>
      <c r="C159">
        <f t="shared" si="25"/>
        <v>0</v>
      </c>
      <c r="D159">
        <v>1.52E-2</v>
      </c>
      <c r="E159">
        <v>1.167E-2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>
      <c r="C160">
        <f t="shared" si="25"/>
        <v>0</v>
      </c>
      <c r="D160">
        <v>1.52E-2</v>
      </c>
      <c r="E160">
        <v>1.167E-2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>
      <c r="C161">
        <f t="shared" si="25"/>
        <v>0</v>
      </c>
      <c r="D161">
        <v>1.52E-2</v>
      </c>
      <c r="E161">
        <v>1.167E-2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>
      <c r="C162">
        <f t="shared" si="25"/>
        <v>0</v>
      </c>
      <c r="D162">
        <v>1.52E-2</v>
      </c>
      <c r="E162">
        <v>1.167E-2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>
      <c r="C163">
        <f t="shared" si="25"/>
        <v>0</v>
      </c>
      <c r="D163">
        <v>1.52E-2</v>
      </c>
      <c r="E163">
        <v>1.167E-2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>
      <c r="C164">
        <f t="shared" si="25"/>
        <v>0</v>
      </c>
      <c r="D164">
        <v>1.52E-2</v>
      </c>
      <c r="E164">
        <v>1.167E-2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>
      <c r="C165">
        <f t="shared" si="25"/>
        <v>0</v>
      </c>
      <c r="D165">
        <v>1.52E-2</v>
      </c>
      <c r="E165">
        <v>1.167E-2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>
      <c r="C166">
        <f t="shared" si="25"/>
        <v>0</v>
      </c>
      <c r="D166">
        <v>1.52E-2</v>
      </c>
      <c r="E166">
        <v>1.167E-2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>
      <c r="C167">
        <f t="shared" si="25"/>
        <v>0</v>
      </c>
      <c r="D167">
        <v>1.52E-2</v>
      </c>
      <c r="E167">
        <v>1.167E-2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>
      <c r="C168">
        <f t="shared" si="25"/>
        <v>0</v>
      </c>
      <c r="D168">
        <v>1.52E-2</v>
      </c>
      <c r="E168">
        <v>1.167E-2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>
      <c r="C169">
        <f t="shared" si="25"/>
        <v>0</v>
      </c>
      <c r="D169">
        <v>1.52E-2</v>
      </c>
      <c r="E169">
        <v>1.167E-2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>
      <c r="C170">
        <f t="shared" si="25"/>
        <v>0</v>
      </c>
      <c r="D170">
        <v>1.52E-2</v>
      </c>
      <c r="E170">
        <v>1.167E-2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>
      <c r="C171">
        <f t="shared" si="25"/>
        <v>0</v>
      </c>
      <c r="D171">
        <v>1.52E-2</v>
      </c>
      <c r="E171">
        <v>1.167E-2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>
      <c r="C172">
        <f t="shared" si="25"/>
        <v>0</v>
      </c>
      <c r="D172">
        <v>1.52E-2</v>
      </c>
      <c r="E172">
        <v>1.167E-2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>
      <c r="C173">
        <f t="shared" si="25"/>
        <v>0</v>
      </c>
      <c r="D173">
        <v>1.52E-2</v>
      </c>
      <c r="E173">
        <v>1.167E-2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>
      <c r="C174">
        <f t="shared" si="25"/>
        <v>0</v>
      </c>
      <c r="D174">
        <v>1.52E-2</v>
      </c>
      <c r="E174">
        <v>1.167E-2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>
      <c r="C175">
        <f t="shared" si="25"/>
        <v>0</v>
      </c>
      <c r="D175">
        <v>1.52E-2</v>
      </c>
      <c r="E175">
        <v>1.167E-2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>
      <c r="C176">
        <f t="shared" si="25"/>
        <v>0</v>
      </c>
      <c r="D176">
        <v>1.52E-2</v>
      </c>
      <c r="E176">
        <v>1.167E-2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>
      <c r="C177">
        <f t="shared" si="25"/>
        <v>0</v>
      </c>
      <c r="D177">
        <v>1.52E-2</v>
      </c>
      <c r="E177">
        <v>1.167E-2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>
      <c r="C178">
        <f t="shared" si="25"/>
        <v>0</v>
      </c>
      <c r="D178">
        <v>1.52E-2</v>
      </c>
      <c r="E178">
        <v>1.167E-2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>
      <c r="C179">
        <f t="shared" si="25"/>
        <v>0</v>
      </c>
      <c r="D179">
        <v>1.52E-2</v>
      </c>
      <c r="E179">
        <v>1.167E-2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>
      <c r="C180">
        <f t="shared" si="25"/>
        <v>0</v>
      </c>
      <c r="D180">
        <v>1.52E-2</v>
      </c>
      <c r="E180">
        <v>1.167E-2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>
      <c r="C181">
        <f t="shared" si="25"/>
        <v>0</v>
      </c>
      <c r="D181">
        <v>1.52E-2</v>
      </c>
      <c r="E181">
        <v>1.167E-2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>
      <c r="C182">
        <f t="shared" si="25"/>
        <v>0</v>
      </c>
      <c r="D182">
        <v>1.52E-2</v>
      </c>
      <c r="E182">
        <v>1.167E-2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>
      <c r="C183">
        <f t="shared" si="25"/>
        <v>0</v>
      </c>
      <c r="D183">
        <v>1.52E-2</v>
      </c>
      <c r="E183">
        <v>1.167E-2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>
      <c r="C184">
        <f t="shared" si="25"/>
        <v>0</v>
      </c>
      <c r="D184">
        <v>1.52E-2</v>
      </c>
      <c r="E184">
        <v>1.167E-2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>
      <c r="C185">
        <f t="shared" si="25"/>
        <v>0</v>
      </c>
      <c r="D185">
        <v>1.52E-2</v>
      </c>
      <c r="E185">
        <v>1.167E-2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>
      <c r="C186">
        <f t="shared" si="25"/>
        <v>0</v>
      </c>
      <c r="D186">
        <v>1.52E-2</v>
      </c>
      <c r="E186">
        <v>1.167E-2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>
      <c r="C187">
        <f t="shared" si="25"/>
        <v>0</v>
      </c>
      <c r="D187">
        <v>1.52E-2</v>
      </c>
      <c r="E187">
        <v>1.167E-2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>
      <c r="C188">
        <f t="shared" si="25"/>
        <v>0</v>
      </c>
      <c r="D188">
        <v>1.52E-2</v>
      </c>
      <c r="E188">
        <v>1.167E-2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>
      <c r="C189">
        <f t="shared" si="25"/>
        <v>0</v>
      </c>
      <c r="D189">
        <v>1.52E-2</v>
      </c>
      <c r="E189">
        <v>1.167E-2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>
      <c r="C190">
        <f t="shared" si="25"/>
        <v>0</v>
      </c>
      <c r="D190">
        <v>1.52E-2</v>
      </c>
      <c r="E190">
        <v>1.167E-2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>
      <c r="C191">
        <f t="shared" si="25"/>
        <v>0</v>
      </c>
      <c r="D191">
        <v>1.52E-2</v>
      </c>
      <c r="E191">
        <v>1.167E-2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>
      <c r="C192">
        <f t="shared" si="25"/>
        <v>0</v>
      </c>
      <c r="D192">
        <v>1.52E-2</v>
      </c>
      <c r="E192">
        <v>1.167E-2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>
      <c r="C193">
        <f t="shared" si="25"/>
        <v>0</v>
      </c>
      <c r="D193">
        <v>1.52E-2</v>
      </c>
      <c r="E193">
        <v>1.167E-2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>
      <c r="C194">
        <f t="shared" si="25"/>
        <v>0</v>
      </c>
      <c r="D194">
        <v>1.52E-2</v>
      </c>
      <c r="E194">
        <v>1.167E-2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>
      <c r="C195">
        <f t="shared" si="25"/>
        <v>0</v>
      </c>
      <c r="D195">
        <v>1.52E-2</v>
      </c>
      <c r="E195">
        <v>1.167E-2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>
      <c r="C196">
        <f t="shared" ref="C196:C259" si="36">A196*B196</f>
        <v>0</v>
      </c>
      <c r="D196">
        <v>1.52E-2</v>
      </c>
      <c r="E196">
        <v>1.167E-2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>
      <c r="C197">
        <f t="shared" si="36"/>
        <v>0</v>
      </c>
      <c r="D197">
        <v>1.52E-2</v>
      </c>
      <c r="E197">
        <v>1.167E-2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>
      <c r="C198">
        <f t="shared" si="36"/>
        <v>0</v>
      </c>
      <c r="D198">
        <v>1.52E-2</v>
      </c>
      <c r="E198">
        <v>1.167E-2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>
      <c r="C199">
        <f t="shared" si="36"/>
        <v>0</v>
      </c>
      <c r="D199">
        <v>1.52E-2</v>
      </c>
      <c r="E199">
        <v>1.167E-2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>
      <c r="C200">
        <f t="shared" si="36"/>
        <v>0</v>
      </c>
      <c r="D200">
        <v>1.52E-2</v>
      </c>
      <c r="E200">
        <v>1.167E-2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>
      <c r="C201">
        <f t="shared" si="36"/>
        <v>0</v>
      </c>
      <c r="D201">
        <v>1.52E-2</v>
      </c>
      <c r="E201">
        <v>1.167E-2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>
      <c r="C202">
        <f t="shared" si="36"/>
        <v>0</v>
      </c>
      <c r="D202">
        <v>1.52E-2</v>
      </c>
      <c r="E202">
        <v>1.167E-2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>
      <c r="C203">
        <f t="shared" si="36"/>
        <v>0</v>
      </c>
      <c r="D203">
        <v>1.52E-2</v>
      </c>
      <c r="E203">
        <v>1.167E-2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>
      <c r="C204">
        <f t="shared" si="36"/>
        <v>0</v>
      </c>
      <c r="D204">
        <v>1.52E-2</v>
      </c>
      <c r="E204">
        <v>1.167E-2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>
      <c r="C205">
        <f t="shared" si="36"/>
        <v>0</v>
      </c>
      <c r="D205">
        <v>1.52E-2</v>
      </c>
      <c r="E205">
        <v>1.167E-2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>
      <c r="C206">
        <f t="shared" si="36"/>
        <v>0</v>
      </c>
      <c r="D206">
        <v>1.52E-2</v>
      </c>
      <c r="E206">
        <v>1.167E-2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>
      <c r="C207">
        <f t="shared" si="36"/>
        <v>0</v>
      </c>
      <c r="D207">
        <v>1.52E-2</v>
      </c>
      <c r="E207">
        <v>1.167E-2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>
      <c r="C208">
        <f t="shared" si="36"/>
        <v>0</v>
      </c>
      <c r="D208">
        <v>1.52E-2</v>
      </c>
      <c r="E208">
        <v>1.167E-2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>
      <c r="C209">
        <f t="shared" si="36"/>
        <v>0</v>
      </c>
      <c r="D209">
        <v>1.52E-2</v>
      </c>
      <c r="E209">
        <v>1.167E-2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>
      <c r="C210">
        <f t="shared" si="36"/>
        <v>0</v>
      </c>
      <c r="D210">
        <v>1.52E-2</v>
      </c>
      <c r="E210">
        <v>1.167E-2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>
      <c r="C211">
        <f t="shared" si="36"/>
        <v>0</v>
      </c>
      <c r="D211">
        <v>1.52E-2</v>
      </c>
      <c r="E211">
        <v>1.167E-2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>
      <c r="C212">
        <f t="shared" si="36"/>
        <v>0</v>
      </c>
      <c r="D212">
        <v>1.52E-2</v>
      </c>
      <c r="E212">
        <v>1.167E-2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>
      <c r="C213">
        <f t="shared" si="36"/>
        <v>0</v>
      </c>
      <c r="D213">
        <v>1.52E-2</v>
      </c>
      <c r="E213">
        <v>1.167E-2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>
      <c r="C214">
        <f t="shared" si="36"/>
        <v>0</v>
      </c>
      <c r="D214">
        <v>1.52E-2</v>
      </c>
      <c r="E214">
        <v>1.167E-2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>
      <c r="C215">
        <f t="shared" si="36"/>
        <v>0</v>
      </c>
      <c r="D215">
        <v>1.52E-2</v>
      </c>
      <c r="E215">
        <v>1.167E-2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>
      <c r="C216">
        <f t="shared" si="36"/>
        <v>0</v>
      </c>
      <c r="D216">
        <v>1.52E-2</v>
      </c>
      <c r="E216">
        <v>1.167E-2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>
      <c r="C217">
        <f t="shared" si="36"/>
        <v>0</v>
      </c>
      <c r="D217">
        <v>1.52E-2</v>
      </c>
      <c r="E217">
        <v>1.167E-2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>
      <c r="C218">
        <f t="shared" si="36"/>
        <v>0</v>
      </c>
      <c r="D218">
        <v>1.52E-2</v>
      </c>
      <c r="E218">
        <v>1.167E-2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>
      <c r="C219">
        <f t="shared" si="36"/>
        <v>0</v>
      </c>
      <c r="D219">
        <v>1.52E-2</v>
      </c>
      <c r="E219">
        <v>1.167E-2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>
      <c r="C220">
        <f t="shared" si="36"/>
        <v>0</v>
      </c>
      <c r="D220">
        <v>1.52E-2</v>
      </c>
      <c r="E220">
        <v>1.167E-2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>
      <c r="C221">
        <f t="shared" si="36"/>
        <v>0</v>
      </c>
      <c r="D221">
        <v>1.52E-2</v>
      </c>
      <c r="E221">
        <v>1.167E-2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>
      <c r="C222">
        <f t="shared" si="36"/>
        <v>0</v>
      </c>
      <c r="D222">
        <v>1.52E-2</v>
      </c>
      <c r="E222">
        <v>1.167E-2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>
      <c r="C223">
        <f t="shared" si="36"/>
        <v>0</v>
      </c>
      <c r="D223">
        <v>1.52E-2</v>
      </c>
      <c r="E223">
        <v>1.167E-2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>
      <c r="C224">
        <f t="shared" si="36"/>
        <v>0</v>
      </c>
      <c r="D224">
        <v>1.52E-2</v>
      </c>
      <c r="E224">
        <v>1.167E-2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>
      <c r="C225">
        <f t="shared" si="36"/>
        <v>0</v>
      </c>
      <c r="D225">
        <v>1.52E-2</v>
      </c>
      <c r="E225">
        <v>1.167E-2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>
      <c r="C226">
        <f t="shared" si="36"/>
        <v>0</v>
      </c>
      <c r="D226">
        <v>1.52E-2</v>
      </c>
      <c r="E226">
        <v>1.167E-2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>
      <c r="C227">
        <f t="shared" si="36"/>
        <v>0</v>
      </c>
      <c r="D227">
        <v>1.52E-2</v>
      </c>
      <c r="E227">
        <v>1.167E-2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>
      <c r="C228">
        <f t="shared" si="36"/>
        <v>0</v>
      </c>
      <c r="D228">
        <v>1.52E-2</v>
      </c>
      <c r="E228">
        <v>1.167E-2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>
      <c r="C229">
        <f t="shared" si="36"/>
        <v>0</v>
      </c>
      <c r="D229">
        <v>1.52E-2</v>
      </c>
      <c r="E229">
        <v>1.167E-2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>
      <c r="C230">
        <f t="shared" si="36"/>
        <v>0</v>
      </c>
      <c r="D230">
        <v>1.52E-2</v>
      </c>
      <c r="E230">
        <v>1.167E-2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>
      <c r="C231">
        <f t="shared" si="36"/>
        <v>0</v>
      </c>
      <c r="D231">
        <v>1.52E-2</v>
      </c>
      <c r="E231">
        <v>1.167E-2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>
      <c r="C232">
        <f t="shared" si="36"/>
        <v>0</v>
      </c>
      <c r="D232">
        <v>1.52E-2</v>
      </c>
      <c r="E232">
        <v>1.167E-2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>
      <c r="C233">
        <f t="shared" si="36"/>
        <v>0</v>
      </c>
      <c r="D233">
        <v>1.52E-2</v>
      </c>
      <c r="E233">
        <v>1.167E-2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>
      <c r="C234">
        <f t="shared" si="36"/>
        <v>0</v>
      </c>
      <c r="D234">
        <v>1.52E-2</v>
      </c>
      <c r="E234">
        <v>1.167E-2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>
      <c r="C235">
        <f t="shared" si="36"/>
        <v>0</v>
      </c>
      <c r="D235">
        <v>1.52E-2</v>
      </c>
      <c r="E235">
        <v>1.167E-2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>
      <c r="C236">
        <f t="shared" si="36"/>
        <v>0</v>
      </c>
      <c r="D236">
        <v>1.52E-2</v>
      </c>
      <c r="E236">
        <v>1.167E-2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>
      <c r="C237">
        <f t="shared" si="36"/>
        <v>0</v>
      </c>
      <c r="D237">
        <v>1.52E-2</v>
      </c>
      <c r="E237">
        <v>1.167E-2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>
      <c r="C238">
        <f t="shared" si="36"/>
        <v>0</v>
      </c>
      <c r="D238">
        <v>1.52E-2</v>
      </c>
      <c r="E238">
        <v>1.167E-2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>
      <c r="C239">
        <f t="shared" si="36"/>
        <v>0</v>
      </c>
      <c r="D239">
        <v>1.52E-2</v>
      </c>
      <c r="E239">
        <v>1.167E-2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>
      <c r="C240">
        <f t="shared" si="36"/>
        <v>0</v>
      </c>
      <c r="D240">
        <v>1.52E-2</v>
      </c>
      <c r="E240">
        <v>1.167E-2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>
      <c r="C241">
        <f t="shared" si="36"/>
        <v>0</v>
      </c>
      <c r="D241">
        <v>1.52E-2</v>
      </c>
      <c r="E241">
        <v>1.167E-2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>
      <c r="C242">
        <f t="shared" si="36"/>
        <v>0</v>
      </c>
      <c r="D242">
        <v>1.52E-2</v>
      </c>
      <c r="E242">
        <v>1.167E-2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>
      <c r="C243">
        <f t="shared" si="36"/>
        <v>0</v>
      </c>
      <c r="D243">
        <v>1.52E-2</v>
      </c>
      <c r="E243">
        <v>1.167E-2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>
      <c r="C244">
        <f t="shared" si="36"/>
        <v>0</v>
      </c>
      <c r="D244">
        <v>1.52E-2</v>
      </c>
      <c r="E244">
        <v>1.167E-2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>
      <c r="C245">
        <f t="shared" si="36"/>
        <v>0</v>
      </c>
      <c r="D245">
        <v>1.52E-2</v>
      </c>
      <c r="E245">
        <v>1.167E-2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>
      <c r="C246">
        <f t="shared" si="36"/>
        <v>0</v>
      </c>
      <c r="D246">
        <v>1.52E-2</v>
      </c>
      <c r="E246">
        <v>1.167E-2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>
      <c r="C247">
        <f t="shared" si="36"/>
        <v>0</v>
      </c>
      <c r="D247">
        <v>1.52E-2</v>
      </c>
      <c r="E247">
        <v>1.167E-2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>
      <c r="C248">
        <f t="shared" si="36"/>
        <v>0</v>
      </c>
      <c r="D248">
        <v>1.52E-2</v>
      </c>
      <c r="E248">
        <v>1.167E-2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>
      <c r="C249">
        <f t="shared" si="36"/>
        <v>0</v>
      </c>
      <c r="D249">
        <v>1.52E-2</v>
      </c>
      <c r="E249">
        <v>1.167E-2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>
      <c r="C250">
        <f t="shared" si="36"/>
        <v>0</v>
      </c>
      <c r="D250">
        <v>1.52E-2</v>
      </c>
      <c r="E250">
        <v>1.167E-2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>
      <c r="C251">
        <f t="shared" si="36"/>
        <v>0</v>
      </c>
      <c r="D251">
        <v>1.52E-2</v>
      </c>
      <c r="E251">
        <v>1.167E-2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>
      <c r="C252">
        <f t="shared" si="36"/>
        <v>0</v>
      </c>
      <c r="D252">
        <v>1.52E-2</v>
      </c>
      <c r="E252">
        <v>1.167E-2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>
      <c r="C253">
        <f t="shared" si="36"/>
        <v>0</v>
      </c>
      <c r="D253">
        <v>1.52E-2</v>
      </c>
      <c r="E253">
        <v>1.167E-2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>
      <c r="C254">
        <f t="shared" si="36"/>
        <v>0</v>
      </c>
      <c r="D254">
        <v>1.52E-2</v>
      </c>
      <c r="E254">
        <v>1.167E-2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>
      <c r="C255">
        <f t="shared" si="36"/>
        <v>0</v>
      </c>
      <c r="D255">
        <v>1.52E-2</v>
      </c>
      <c r="E255">
        <v>1.167E-2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>
      <c r="C256">
        <f t="shared" si="36"/>
        <v>0</v>
      </c>
      <c r="D256">
        <v>1.52E-2</v>
      </c>
      <c r="E256">
        <v>1.167E-2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>
      <c r="C257">
        <f t="shared" si="36"/>
        <v>0</v>
      </c>
      <c r="D257">
        <v>1.52E-2</v>
      </c>
      <c r="E257">
        <v>1.167E-2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>
      <c r="C258">
        <f t="shared" si="36"/>
        <v>0</v>
      </c>
      <c r="D258">
        <v>1.52E-2</v>
      </c>
      <c r="E258">
        <v>1.167E-2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>
      <c r="C259">
        <f t="shared" si="36"/>
        <v>0</v>
      </c>
      <c r="D259">
        <v>1.52E-2</v>
      </c>
      <c r="E259">
        <v>1.167E-2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>
      <c r="C260">
        <f t="shared" ref="C260:C323" si="46">A260*B260</f>
        <v>0</v>
      </c>
      <c r="D260">
        <v>1.52E-2</v>
      </c>
      <c r="E260">
        <v>1.167E-2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>
      <c r="C261">
        <f t="shared" si="46"/>
        <v>0</v>
      </c>
      <c r="D261">
        <v>1.52E-2</v>
      </c>
      <c r="E261">
        <v>1.167E-2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>
      <c r="C262">
        <f t="shared" si="46"/>
        <v>0</v>
      </c>
      <c r="D262">
        <v>1.52E-2</v>
      </c>
      <c r="E262">
        <v>1.167E-2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>
      <c r="C263">
        <f t="shared" si="46"/>
        <v>0</v>
      </c>
      <c r="D263">
        <v>1.52E-2</v>
      </c>
      <c r="E263">
        <v>1.167E-2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>
      <c r="C264">
        <f t="shared" si="46"/>
        <v>0</v>
      </c>
      <c r="D264">
        <v>1.52E-2</v>
      </c>
      <c r="E264">
        <v>1.167E-2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>
      <c r="C265">
        <f t="shared" si="46"/>
        <v>0</v>
      </c>
      <c r="D265">
        <v>1.52E-2</v>
      </c>
      <c r="E265">
        <v>1.167E-2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>
      <c r="C266">
        <f t="shared" si="46"/>
        <v>0</v>
      </c>
      <c r="D266">
        <v>1.52E-2</v>
      </c>
      <c r="E266">
        <v>1.167E-2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>
      <c r="C267">
        <f t="shared" si="46"/>
        <v>0</v>
      </c>
      <c r="D267">
        <v>1.52E-2</v>
      </c>
      <c r="E267">
        <v>1.167E-2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>
      <c r="C268">
        <f t="shared" si="46"/>
        <v>0</v>
      </c>
      <c r="D268">
        <v>1.52E-2</v>
      </c>
      <c r="E268">
        <v>1.167E-2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>
      <c r="C269">
        <f t="shared" si="46"/>
        <v>0</v>
      </c>
      <c r="D269">
        <v>1.52E-2</v>
      </c>
      <c r="E269">
        <v>1.167E-2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>
      <c r="C270">
        <f t="shared" si="46"/>
        <v>0</v>
      </c>
      <c r="D270">
        <v>1.52E-2</v>
      </c>
      <c r="E270">
        <v>1.167E-2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>
      <c r="C271">
        <f t="shared" si="46"/>
        <v>0</v>
      </c>
      <c r="D271">
        <v>1.52E-2</v>
      </c>
      <c r="E271">
        <v>1.167E-2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>
      <c r="C272">
        <f t="shared" si="46"/>
        <v>0</v>
      </c>
      <c r="D272">
        <v>1.52E-2</v>
      </c>
      <c r="E272">
        <v>1.167E-2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>
      <c r="C273">
        <f t="shared" si="46"/>
        <v>0</v>
      </c>
      <c r="D273">
        <v>1.52E-2</v>
      </c>
      <c r="E273">
        <v>1.167E-2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>
      <c r="C274">
        <f t="shared" si="46"/>
        <v>0</v>
      </c>
      <c r="D274">
        <v>1.52E-2</v>
      </c>
      <c r="E274">
        <v>1.167E-2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>
      <c r="C275">
        <f t="shared" si="46"/>
        <v>0</v>
      </c>
      <c r="D275">
        <v>1.52E-2</v>
      </c>
      <c r="E275">
        <v>1.167E-2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>
      <c r="C276">
        <f t="shared" si="46"/>
        <v>0</v>
      </c>
      <c r="D276">
        <v>1.52E-2</v>
      </c>
      <c r="E276">
        <v>1.167E-2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>
      <c r="C277">
        <f t="shared" si="46"/>
        <v>0</v>
      </c>
      <c r="D277">
        <v>1.52E-2</v>
      </c>
      <c r="E277">
        <v>1.167E-2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>
      <c r="C278">
        <f t="shared" si="46"/>
        <v>0</v>
      </c>
      <c r="D278">
        <v>1.52E-2</v>
      </c>
      <c r="E278">
        <v>1.167E-2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>
      <c r="C279">
        <f t="shared" si="46"/>
        <v>0</v>
      </c>
      <c r="D279">
        <v>1.52E-2</v>
      </c>
      <c r="E279">
        <v>1.167E-2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>
      <c r="C280">
        <f t="shared" si="46"/>
        <v>0</v>
      </c>
      <c r="D280">
        <v>1.52E-2</v>
      </c>
      <c r="E280">
        <v>1.167E-2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>
      <c r="C281">
        <f t="shared" si="46"/>
        <v>0</v>
      </c>
      <c r="D281">
        <v>1.52E-2</v>
      </c>
      <c r="E281">
        <v>1.167E-2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>
      <c r="C282">
        <f t="shared" si="46"/>
        <v>0</v>
      </c>
      <c r="D282">
        <v>1.52E-2</v>
      </c>
      <c r="E282">
        <v>1.167E-2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>
      <c r="C283">
        <f t="shared" si="46"/>
        <v>0</v>
      </c>
      <c r="D283">
        <v>1.52E-2</v>
      </c>
      <c r="E283">
        <v>1.167E-2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>
      <c r="C284">
        <f t="shared" si="46"/>
        <v>0</v>
      </c>
      <c r="D284">
        <v>1.52E-2</v>
      </c>
      <c r="E284">
        <v>1.167E-2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>
      <c r="C285">
        <f t="shared" si="46"/>
        <v>0</v>
      </c>
      <c r="D285">
        <v>1.52E-2</v>
      </c>
      <c r="E285">
        <v>1.167E-2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>
      <c r="C286">
        <f t="shared" si="46"/>
        <v>0</v>
      </c>
      <c r="D286">
        <v>1.52E-2</v>
      </c>
      <c r="E286">
        <v>1.167E-2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>
      <c r="C287">
        <f t="shared" si="46"/>
        <v>0</v>
      </c>
      <c r="D287">
        <v>1.52E-2</v>
      </c>
      <c r="E287">
        <v>1.167E-2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>
      <c r="C288">
        <f t="shared" si="46"/>
        <v>0</v>
      </c>
      <c r="D288">
        <v>1.52E-2</v>
      </c>
      <c r="E288">
        <v>1.167E-2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>
      <c r="C289">
        <f t="shared" si="46"/>
        <v>0</v>
      </c>
      <c r="D289">
        <v>1.52E-2</v>
      </c>
      <c r="E289">
        <v>1.167E-2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>
      <c r="C290">
        <f t="shared" si="46"/>
        <v>0</v>
      </c>
      <c r="D290">
        <v>1.52E-2</v>
      </c>
      <c r="E290">
        <v>1.167E-2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>
      <c r="C291">
        <f t="shared" si="46"/>
        <v>0</v>
      </c>
      <c r="D291">
        <v>1.52E-2</v>
      </c>
      <c r="E291">
        <v>1.167E-2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>
      <c r="C292">
        <f t="shared" si="46"/>
        <v>0</v>
      </c>
      <c r="D292">
        <v>1.52E-2</v>
      </c>
      <c r="E292">
        <v>1.167E-2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>
      <c r="C293">
        <f t="shared" si="46"/>
        <v>0</v>
      </c>
      <c r="D293">
        <v>1.52E-2</v>
      </c>
      <c r="E293">
        <v>1.167E-2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>
      <c r="C294">
        <f t="shared" si="46"/>
        <v>0</v>
      </c>
      <c r="D294">
        <v>1.52E-2</v>
      </c>
      <c r="E294">
        <v>1.167E-2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>
      <c r="C295">
        <f t="shared" si="46"/>
        <v>0</v>
      </c>
      <c r="D295">
        <v>1.52E-2</v>
      </c>
      <c r="E295">
        <v>1.167E-2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>
      <c r="C296">
        <f t="shared" si="46"/>
        <v>0</v>
      </c>
      <c r="D296">
        <v>1.52E-2</v>
      </c>
      <c r="E296">
        <v>1.167E-2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>
      <c r="C297">
        <f t="shared" si="46"/>
        <v>0</v>
      </c>
      <c r="D297">
        <v>1.52E-2</v>
      </c>
      <c r="E297">
        <v>1.167E-2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>
      <c r="C298">
        <f t="shared" si="46"/>
        <v>0</v>
      </c>
      <c r="D298">
        <v>1.52E-2</v>
      </c>
      <c r="E298">
        <v>1.167E-2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>
      <c r="C299">
        <f t="shared" si="46"/>
        <v>0</v>
      </c>
      <c r="D299">
        <v>1.52E-2</v>
      </c>
      <c r="E299">
        <v>1.167E-2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>
      <c r="C300">
        <f t="shared" si="46"/>
        <v>0</v>
      </c>
      <c r="D300">
        <v>1.52E-2</v>
      </c>
      <c r="E300">
        <v>1.167E-2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>
      <c r="C301">
        <f t="shared" si="46"/>
        <v>0</v>
      </c>
      <c r="D301">
        <v>1.52E-2</v>
      </c>
      <c r="E301">
        <v>1.167E-2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>
      <c r="C302">
        <f t="shared" si="46"/>
        <v>0</v>
      </c>
      <c r="D302">
        <v>1.52E-2</v>
      </c>
      <c r="E302">
        <v>1.167E-2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>
      <c r="C303">
        <f t="shared" si="46"/>
        <v>0</v>
      </c>
      <c r="D303">
        <v>1.52E-2</v>
      </c>
      <c r="E303">
        <v>1.167E-2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2"/>
  <sheetViews>
    <sheetView topLeftCell="I1" workbookViewId="0">
      <selection activeCell="S2" sqref="S2:T138"/>
    </sheetView>
  </sheetViews>
  <sheetFormatPr defaultRowHeight="15"/>
  <sheetData>
    <row r="1" spans="1:20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20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  <c r="Q2">
        <v>8.5400000000000007E-3</v>
      </c>
      <c r="R2">
        <v>0.84692999999999996</v>
      </c>
      <c r="S2">
        <f t="shared" ref="S2:S33" si="7">Q2*5</f>
        <v>4.2700000000000002E-2</v>
      </c>
      <c r="T2">
        <f t="shared" ref="T2:T33" si="8">R2</f>
        <v>0.84692999999999996</v>
      </c>
    </row>
    <row r="3" spans="1:20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  <c r="Q3">
        <v>1.8620000000000001E-2</v>
      </c>
      <c r="R3">
        <v>0.84145000000000003</v>
      </c>
      <c r="S3">
        <f t="shared" si="7"/>
        <v>9.3100000000000002E-2</v>
      </c>
      <c r="T3">
        <f t="shared" si="8"/>
        <v>0.84145000000000003</v>
      </c>
    </row>
    <row r="4" spans="1:20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  <c r="Q4">
        <v>2.9010000000000001E-2</v>
      </c>
      <c r="R4">
        <v>0.83189999999999997</v>
      </c>
      <c r="S4">
        <f t="shared" si="7"/>
        <v>0.14505000000000001</v>
      </c>
      <c r="T4">
        <f t="shared" si="8"/>
        <v>0.83189999999999997</v>
      </c>
    </row>
    <row r="5" spans="1:20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  <c r="Q5">
        <v>3.9199999999999999E-2</v>
      </c>
      <c r="R5">
        <v>0.82384000000000002</v>
      </c>
      <c r="S5">
        <f t="shared" si="7"/>
        <v>0.19600000000000001</v>
      </c>
      <c r="T5">
        <f t="shared" si="8"/>
        <v>0.82384000000000002</v>
      </c>
    </row>
    <row r="6" spans="1:20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  <c r="Q6">
        <v>4.9579999999999999E-2</v>
      </c>
      <c r="R6">
        <v>0.81681999999999999</v>
      </c>
      <c r="S6">
        <f t="shared" si="7"/>
        <v>0.24790000000000001</v>
      </c>
      <c r="T6">
        <f t="shared" si="8"/>
        <v>0.81681999999999999</v>
      </c>
    </row>
    <row r="7" spans="1:20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  <c r="Q7">
        <v>5.987E-2</v>
      </c>
      <c r="R7">
        <v>0.81037999999999999</v>
      </c>
      <c r="S7">
        <f t="shared" si="7"/>
        <v>0.29935</v>
      </c>
      <c r="T7">
        <f t="shared" si="8"/>
        <v>0.81037999999999999</v>
      </c>
    </row>
    <row r="8" spans="1:20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  <c r="Q8">
        <v>6.9949999999999998E-2</v>
      </c>
      <c r="R8">
        <v>0.80444000000000004</v>
      </c>
      <c r="S8">
        <f t="shared" si="7"/>
        <v>0.34975000000000001</v>
      </c>
      <c r="T8">
        <f t="shared" si="8"/>
        <v>0.80444000000000004</v>
      </c>
    </row>
    <row r="9" spans="1:20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  <c r="Q9">
        <v>8.0240000000000006E-2</v>
      </c>
      <c r="R9">
        <v>0.79927000000000004</v>
      </c>
      <c r="S9">
        <f t="shared" si="7"/>
        <v>0.4012</v>
      </c>
      <c r="T9">
        <f t="shared" si="8"/>
        <v>0.79927000000000004</v>
      </c>
    </row>
    <row r="10" spans="1:20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  <c r="Q10">
        <v>9.1340000000000005E-2</v>
      </c>
      <c r="R10">
        <v>0.79340999999999995</v>
      </c>
      <c r="S10">
        <f t="shared" si="7"/>
        <v>0.45669999999999999</v>
      </c>
      <c r="T10">
        <f t="shared" si="8"/>
        <v>0.79340999999999995</v>
      </c>
    </row>
    <row r="11" spans="1:20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  <c r="Q11">
        <v>0.10142</v>
      </c>
      <c r="R11">
        <v>0.78820999999999997</v>
      </c>
      <c r="S11">
        <f t="shared" si="7"/>
        <v>0.5071</v>
      </c>
      <c r="T11">
        <f t="shared" si="8"/>
        <v>0.78820999999999997</v>
      </c>
    </row>
    <row r="12" spans="1:20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  <c r="Q12">
        <v>0.11191</v>
      </c>
      <c r="R12">
        <v>0.78380000000000005</v>
      </c>
      <c r="S12">
        <f t="shared" si="7"/>
        <v>0.55954999999999999</v>
      </c>
      <c r="T12">
        <f t="shared" si="8"/>
        <v>0.78380000000000005</v>
      </c>
    </row>
    <row r="13" spans="1:20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  <c r="Q13">
        <v>0.12199</v>
      </c>
      <c r="R13">
        <v>0.77937000000000001</v>
      </c>
      <c r="S13">
        <f t="shared" si="7"/>
        <v>0.60994999999999999</v>
      </c>
      <c r="T13">
        <f t="shared" si="8"/>
        <v>0.77937000000000001</v>
      </c>
    </row>
    <row r="14" spans="1:20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  <c r="Q14">
        <v>0.13227</v>
      </c>
      <c r="R14">
        <v>0.77488999999999997</v>
      </c>
      <c r="S14">
        <f t="shared" si="7"/>
        <v>0.66134999999999999</v>
      </c>
      <c r="T14">
        <f t="shared" si="8"/>
        <v>0.77488999999999997</v>
      </c>
    </row>
    <row r="15" spans="1:20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  <c r="Q15">
        <v>0.14235999999999999</v>
      </c>
      <c r="R15">
        <v>0.77085999999999999</v>
      </c>
      <c r="S15">
        <f t="shared" si="7"/>
        <v>0.71179999999999999</v>
      </c>
      <c r="T15">
        <f t="shared" si="8"/>
        <v>0.77085999999999999</v>
      </c>
    </row>
    <row r="16" spans="1:20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  <c r="Q16">
        <v>0.15264</v>
      </c>
      <c r="R16">
        <v>0.76683000000000001</v>
      </c>
      <c r="S16">
        <f t="shared" si="7"/>
        <v>0.76319999999999999</v>
      </c>
      <c r="T16">
        <f t="shared" si="8"/>
        <v>0.76683000000000001</v>
      </c>
    </row>
    <row r="17" spans="1:20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  <c r="Q17">
        <v>0.16322999999999999</v>
      </c>
      <c r="R17">
        <v>0.76263000000000003</v>
      </c>
      <c r="S17">
        <f t="shared" si="7"/>
        <v>0.81614999999999993</v>
      </c>
      <c r="T17">
        <f t="shared" si="8"/>
        <v>0.76263000000000003</v>
      </c>
    </row>
    <row r="18" spans="1:20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  <c r="Q18">
        <v>0.17352000000000001</v>
      </c>
      <c r="R18">
        <v>0.75871999999999995</v>
      </c>
      <c r="S18">
        <f t="shared" si="7"/>
        <v>0.86760000000000004</v>
      </c>
      <c r="T18">
        <f t="shared" si="8"/>
        <v>0.75871999999999995</v>
      </c>
    </row>
    <row r="19" spans="1:20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  <c r="Q19">
        <v>0.18360000000000001</v>
      </c>
      <c r="R19">
        <v>0.75516000000000005</v>
      </c>
      <c r="S19">
        <f t="shared" si="7"/>
        <v>0.91800000000000004</v>
      </c>
      <c r="T19">
        <f t="shared" si="8"/>
        <v>0.75516000000000005</v>
      </c>
    </row>
    <row r="20" spans="1:20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  <c r="Q20">
        <v>0.19367999999999999</v>
      </c>
      <c r="R20">
        <v>0.75126999999999999</v>
      </c>
      <c r="S20">
        <f t="shared" si="7"/>
        <v>0.96839999999999993</v>
      </c>
      <c r="T20">
        <f t="shared" si="8"/>
        <v>0.75126999999999999</v>
      </c>
    </row>
    <row r="21" spans="1:20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  <c r="Q21">
        <v>0.20407</v>
      </c>
      <c r="R21">
        <v>0.74778</v>
      </c>
      <c r="S21">
        <f t="shared" si="7"/>
        <v>1.0203500000000001</v>
      </c>
      <c r="T21">
        <f t="shared" si="8"/>
        <v>0.74778</v>
      </c>
    </row>
    <row r="22" spans="1:20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  <c r="Q22">
        <v>0.21446000000000001</v>
      </c>
      <c r="R22">
        <v>0.74417</v>
      </c>
      <c r="S22">
        <f t="shared" si="7"/>
        <v>1.0723</v>
      </c>
      <c r="T22">
        <f t="shared" si="8"/>
        <v>0.74417</v>
      </c>
    </row>
    <row r="23" spans="1:20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  <c r="Q23">
        <v>0.22514999999999999</v>
      </c>
      <c r="R23">
        <v>0.74038999999999999</v>
      </c>
      <c r="S23">
        <f t="shared" si="7"/>
        <v>1.12575</v>
      </c>
      <c r="T23">
        <f t="shared" si="8"/>
        <v>0.74038999999999999</v>
      </c>
    </row>
    <row r="24" spans="1:20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  <c r="Q24">
        <v>0.23522999999999999</v>
      </c>
      <c r="R24">
        <v>0.73682000000000003</v>
      </c>
      <c r="S24">
        <f t="shared" si="7"/>
        <v>1.17615</v>
      </c>
      <c r="T24">
        <f t="shared" si="8"/>
        <v>0.73682000000000003</v>
      </c>
    </row>
    <row r="25" spans="1:20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  <c r="Q25">
        <v>0.24551999999999999</v>
      </c>
      <c r="R25">
        <v>0.73336000000000001</v>
      </c>
      <c r="S25">
        <f t="shared" si="7"/>
        <v>1.2276</v>
      </c>
      <c r="T25">
        <f t="shared" si="8"/>
        <v>0.73336000000000001</v>
      </c>
    </row>
    <row r="26" spans="1:20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  <c r="Q26">
        <v>0.25611</v>
      </c>
      <c r="R26">
        <v>0.72989999999999999</v>
      </c>
      <c r="S26">
        <f t="shared" si="7"/>
        <v>1.2805500000000001</v>
      </c>
      <c r="T26">
        <f t="shared" si="8"/>
        <v>0.72989999999999999</v>
      </c>
    </row>
    <row r="27" spans="1:20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  <c r="Q27">
        <v>0.26629000000000003</v>
      </c>
      <c r="R27">
        <v>0.72670000000000001</v>
      </c>
      <c r="S27">
        <f t="shared" si="7"/>
        <v>1.3314500000000002</v>
      </c>
      <c r="T27">
        <f t="shared" si="8"/>
        <v>0.72670000000000001</v>
      </c>
    </row>
    <row r="28" spans="1:20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  <c r="Q28">
        <v>0.27657999999999999</v>
      </c>
      <c r="R28">
        <v>0.72306999999999999</v>
      </c>
      <c r="S28">
        <f t="shared" si="7"/>
        <v>1.3829</v>
      </c>
      <c r="T28">
        <f t="shared" si="8"/>
        <v>0.72306999999999999</v>
      </c>
    </row>
    <row r="29" spans="1:20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  <c r="Q29">
        <v>0.28788000000000002</v>
      </c>
      <c r="R29">
        <v>0.71989999999999998</v>
      </c>
      <c r="S29">
        <f t="shared" si="7"/>
        <v>1.4394</v>
      </c>
      <c r="T29">
        <f t="shared" si="8"/>
        <v>0.71989999999999998</v>
      </c>
    </row>
    <row r="30" spans="1:20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  <c r="Q30">
        <v>0.29816999999999999</v>
      </c>
      <c r="R30">
        <v>0.71638999999999997</v>
      </c>
      <c r="S30">
        <f t="shared" si="7"/>
        <v>1.49085</v>
      </c>
      <c r="T30">
        <f t="shared" si="8"/>
        <v>0.71638999999999997</v>
      </c>
    </row>
    <row r="31" spans="1:20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  <c r="Q31">
        <v>0.30845</v>
      </c>
      <c r="R31">
        <v>0.71318000000000004</v>
      </c>
      <c r="S31">
        <f t="shared" si="7"/>
        <v>1.5422500000000001</v>
      </c>
      <c r="T31">
        <f t="shared" si="8"/>
        <v>0.71318000000000004</v>
      </c>
    </row>
    <row r="32" spans="1:20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  <c r="Q32">
        <v>0.31874000000000002</v>
      </c>
      <c r="R32">
        <v>0.70991000000000004</v>
      </c>
      <c r="S32">
        <f t="shared" si="7"/>
        <v>1.5937000000000001</v>
      </c>
      <c r="T32">
        <f t="shared" si="8"/>
        <v>0.70991000000000004</v>
      </c>
    </row>
    <row r="33" spans="1:20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  <c r="Q33">
        <v>0.32882</v>
      </c>
      <c r="R33">
        <v>0.70687999999999995</v>
      </c>
      <c r="S33">
        <f t="shared" si="7"/>
        <v>1.6440999999999999</v>
      </c>
      <c r="T33">
        <f t="shared" si="8"/>
        <v>0.70687999999999995</v>
      </c>
    </row>
    <row r="34" spans="1:20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9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  <c r="Q34">
        <v>0.33889999999999998</v>
      </c>
      <c r="R34">
        <v>0.70367000000000002</v>
      </c>
      <c r="S34">
        <f t="shared" ref="S34:S65" si="10">Q34*5</f>
        <v>1.6944999999999999</v>
      </c>
      <c r="T34">
        <f t="shared" ref="T34:T65" si="11">R34</f>
        <v>0.70367000000000002</v>
      </c>
    </row>
    <row r="35" spans="1:20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9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  <c r="Q35">
        <v>0.34898000000000001</v>
      </c>
      <c r="R35">
        <v>0.70065</v>
      </c>
      <c r="S35">
        <f t="shared" si="10"/>
        <v>1.7449000000000001</v>
      </c>
      <c r="T35">
        <f t="shared" si="11"/>
        <v>0.70065</v>
      </c>
    </row>
    <row r="36" spans="1:20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9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  <c r="Q36">
        <v>0.36008000000000001</v>
      </c>
      <c r="R36">
        <v>0.69747000000000003</v>
      </c>
      <c r="S36">
        <f t="shared" si="10"/>
        <v>1.8004</v>
      </c>
      <c r="T36">
        <f t="shared" si="11"/>
        <v>0.69747000000000003</v>
      </c>
    </row>
    <row r="37" spans="1:20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9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  <c r="Q37">
        <v>0.37015999999999999</v>
      </c>
      <c r="R37">
        <v>0.69445000000000001</v>
      </c>
      <c r="S37">
        <f t="shared" si="10"/>
        <v>1.8508</v>
      </c>
      <c r="T37">
        <f t="shared" si="11"/>
        <v>0.69445000000000001</v>
      </c>
    </row>
    <row r="38" spans="1:20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9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  <c r="Q38">
        <v>0.38024999999999998</v>
      </c>
      <c r="R38">
        <v>0.69140999999999997</v>
      </c>
      <c r="S38">
        <f t="shared" si="10"/>
        <v>1.9012499999999999</v>
      </c>
      <c r="T38">
        <f t="shared" si="11"/>
        <v>0.69140999999999997</v>
      </c>
    </row>
    <row r="39" spans="1:20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9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  <c r="Q39">
        <v>0.39043</v>
      </c>
      <c r="R39">
        <v>0.68837999999999999</v>
      </c>
      <c r="S39">
        <f t="shared" si="10"/>
        <v>1.9521500000000001</v>
      </c>
      <c r="T39">
        <f t="shared" si="11"/>
        <v>0.68837999999999999</v>
      </c>
    </row>
    <row r="40" spans="1:20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9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  <c r="Q40">
        <v>0.40050999999999998</v>
      </c>
      <c r="R40">
        <v>0.68515000000000004</v>
      </c>
      <c r="S40">
        <f t="shared" si="10"/>
        <v>2.0025499999999998</v>
      </c>
      <c r="T40">
        <f t="shared" si="11"/>
        <v>0.68515000000000004</v>
      </c>
    </row>
    <row r="41" spans="1:20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9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  <c r="Q41">
        <v>0.41099999999999998</v>
      </c>
      <c r="R41">
        <v>0.68225000000000002</v>
      </c>
      <c r="S41">
        <f t="shared" si="10"/>
        <v>2.0549999999999997</v>
      </c>
      <c r="T41">
        <f t="shared" si="11"/>
        <v>0.68225000000000002</v>
      </c>
    </row>
    <row r="42" spans="1:20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9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  <c r="Q42">
        <v>0.42108000000000001</v>
      </c>
      <c r="R42">
        <v>0.67927000000000004</v>
      </c>
      <c r="S42">
        <f t="shared" si="10"/>
        <v>2.1053999999999999</v>
      </c>
      <c r="T42">
        <f t="shared" si="11"/>
        <v>0.67927000000000004</v>
      </c>
    </row>
    <row r="43" spans="1:20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9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  <c r="Q43">
        <v>0.43167</v>
      </c>
      <c r="R43">
        <v>0.67612000000000005</v>
      </c>
      <c r="S43">
        <f t="shared" si="10"/>
        <v>2.15835</v>
      </c>
      <c r="T43">
        <f t="shared" si="11"/>
        <v>0.67612000000000005</v>
      </c>
    </row>
    <row r="44" spans="1:20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9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  <c r="Q44">
        <v>0.44338</v>
      </c>
      <c r="R44">
        <v>0.67305000000000004</v>
      </c>
      <c r="S44">
        <f t="shared" si="10"/>
        <v>2.2168999999999999</v>
      </c>
      <c r="T44">
        <f t="shared" si="11"/>
        <v>0.67305000000000004</v>
      </c>
    </row>
    <row r="45" spans="1:20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9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  <c r="Q45">
        <v>0.45428000000000002</v>
      </c>
      <c r="R45">
        <v>0.66966999999999999</v>
      </c>
      <c r="S45">
        <f t="shared" si="10"/>
        <v>2.2713999999999999</v>
      </c>
      <c r="T45">
        <f t="shared" si="11"/>
        <v>0.66966999999999999</v>
      </c>
    </row>
    <row r="46" spans="1:20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9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  <c r="Q46">
        <v>0.46435999999999999</v>
      </c>
      <c r="R46">
        <v>0.66652</v>
      </c>
      <c r="S46">
        <f t="shared" si="10"/>
        <v>2.3218000000000001</v>
      </c>
      <c r="T46">
        <f t="shared" si="11"/>
        <v>0.66652</v>
      </c>
    </row>
    <row r="47" spans="1:20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9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  <c r="Q47">
        <v>0.47443999999999997</v>
      </c>
      <c r="R47">
        <v>0.66361000000000003</v>
      </c>
      <c r="S47">
        <f t="shared" si="10"/>
        <v>2.3721999999999999</v>
      </c>
      <c r="T47">
        <f t="shared" si="11"/>
        <v>0.66361000000000003</v>
      </c>
    </row>
    <row r="48" spans="1:20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9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  <c r="Q48">
        <v>0.48585</v>
      </c>
      <c r="R48">
        <v>0.66074999999999995</v>
      </c>
      <c r="S48">
        <f t="shared" si="10"/>
        <v>2.4292500000000001</v>
      </c>
      <c r="T48">
        <f t="shared" si="11"/>
        <v>0.66074999999999995</v>
      </c>
    </row>
    <row r="49" spans="1:20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9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  <c r="Q49">
        <v>0.49592999999999998</v>
      </c>
      <c r="R49">
        <v>0.65747</v>
      </c>
      <c r="S49">
        <f t="shared" si="10"/>
        <v>2.4796499999999999</v>
      </c>
      <c r="T49">
        <f t="shared" si="11"/>
        <v>0.65747</v>
      </c>
    </row>
    <row r="50" spans="1:20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9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  <c r="Q50">
        <v>0.50673000000000001</v>
      </c>
      <c r="R50">
        <v>0.65444999999999998</v>
      </c>
      <c r="S50">
        <f t="shared" si="10"/>
        <v>2.5336500000000002</v>
      </c>
      <c r="T50">
        <f t="shared" si="11"/>
        <v>0.65444999999999998</v>
      </c>
    </row>
    <row r="51" spans="1:20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9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  <c r="Q51">
        <v>0.51690999999999998</v>
      </c>
      <c r="R51">
        <v>0.65159</v>
      </c>
      <c r="S51">
        <f t="shared" si="10"/>
        <v>2.5845500000000001</v>
      </c>
      <c r="T51">
        <f t="shared" si="11"/>
        <v>0.65159</v>
      </c>
    </row>
    <row r="52" spans="1:20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9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  <c r="Q52">
        <v>0.52708999999999995</v>
      </c>
      <c r="R52">
        <v>0.64854999999999996</v>
      </c>
      <c r="S52">
        <f t="shared" si="10"/>
        <v>2.6354499999999996</v>
      </c>
      <c r="T52">
        <f t="shared" si="11"/>
        <v>0.64854999999999996</v>
      </c>
    </row>
    <row r="53" spans="1:20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9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  <c r="Q53">
        <v>0.53717999999999999</v>
      </c>
      <c r="R53">
        <v>0.64573999999999998</v>
      </c>
      <c r="S53">
        <f t="shared" si="10"/>
        <v>2.6859000000000002</v>
      </c>
      <c r="T53">
        <f t="shared" si="11"/>
        <v>0.64573999999999998</v>
      </c>
    </row>
    <row r="54" spans="1:20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9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  <c r="Q54">
        <v>0.54786999999999997</v>
      </c>
      <c r="R54">
        <v>0.64298999999999995</v>
      </c>
      <c r="S54">
        <f t="shared" si="10"/>
        <v>2.73935</v>
      </c>
      <c r="T54">
        <f t="shared" si="11"/>
        <v>0.64298999999999995</v>
      </c>
    </row>
    <row r="55" spans="1:20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9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  <c r="Q55">
        <v>0.55835999999999997</v>
      </c>
      <c r="R55">
        <v>0.63965000000000005</v>
      </c>
      <c r="S55">
        <f t="shared" si="10"/>
        <v>2.7917999999999998</v>
      </c>
      <c r="T55">
        <f t="shared" si="11"/>
        <v>0.63965000000000005</v>
      </c>
    </row>
    <row r="56" spans="1:20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9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  <c r="Q56">
        <v>0.56843999999999995</v>
      </c>
      <c r="R56">
        <v>0.63678999999999997</v>
      </c>
      <c r="S56">
        <f t="shared" si="10"/>
        <v>2.8421999999999996</v>
      </c>
      <c r="T56">
        <f t="shared" si="11"/>
        <v>0.63678999999999997</v>
      </c>
    </row>
    <row r="57" spans="1:20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9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  <c r="Q57">
        <v>0.57872999999999997</v>
      </c>
      <c r="R57">
        <v>0.63387000000000004</v>
      </c>
      <c r="S57">
        <f t="shared" si="10"/>
        <v>2.8936500000000001</v>
      </c>
      <c r="T57">
        <f t="shared" si="11"/>
        <v>0.63387000000000004</v>
      </c>
    </row>
    <row r="58" spans="1:20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9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  <c r="Q58">
        <v>0.58901000000000003</v>
      </c>
      <c r="R58">
        <v>0.63090999999999997</v>
      </c>
      <c r="S58">
        <f t="shared" si="10"/>
        <v>2.9450500000000002</v>
      </c>
      <c r="T58">
        <f t="shared" si="11"/>
        <v>0.63090999999999997</v>
      </c>
    </row>
    <row r="59" spans="1:20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9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  <c r="Q59">
        <v>0.59909000000000001</v>
      </c>
      <c r="R59">
        <v>0.62800999999999996</v>
      </c>
      <c r="S59">
        <f t="shared" si="10"/>
        <v>2.9954499999999999</v>
      </c>
      <c r="T59">
        <f t="shared" si="11"/>
        <v>0.62800999999999996</v>
      </c>
    </row>
    <row r="60" spans="1:20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9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  <c r="Q60">
        <v>0.60916999999999999</v>
      </c>
      <c r="R60">
        <v>0.62522</v>
      </c>
      <c r="S60">
        <f t="shared" si="10"/>
        <v>3.0458499999999997</v>
      </c>
      <c r="T60">
        <f t="shared" si="11"/>
        <v>0.62522</v>
      </c>
    </row>
    <row r="61" spans="1:20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9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  <c r="Q61">
        <v>0.61965999999999999</v>
      </c>
      <c r="R61">
        <v>0.62229999999999996</v>
      </c>
      <c r="S61">
        <f t="shared" si="10"/>
        <v>3.0983000000000001</v>
      </c>
      <c r="T61">
        <f t="shared" si="11"/>
        <v>0.62229999999999996</v>
      </c>
    </row>
    <row r="62" spans="1:20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9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  <c r="Q62">
        <v>0.62975000000000003</v>
      </c>
      <c r="R62">
        <v>0.61909000000000003</v>
      </c>
      <c r="S62">
        <f t="shared" si="10"/>
        <v>3.1487500000000002</v>
      </c>
      <c r="T62">
        <f t="shared" si="11"/>
        <v>0.61909000000000003</v>
      </c>
    </row>
    <row r="63" spans="1:20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9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  <c r="Q63">
        <v>0.64022999999999997</v>
      </c>
      <c r="R63">
        <v>0.61623000000000006</v>
      </c>
      <c r="S63">
        <f t="shared" si="10"/>
        <v>3.2011499999999997</v>
      </c>
      <c r="T63">
        <f t="shared" si="11"/>
        <v>0.61623000000000006</v>
      </c>
    </row>
    <row r="64" spans="1:20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9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  <c r="Q64">
        <v>0.65122999999999998</v>
      </c>
      <c r="R64">
        <v>0.61302000000000001</v>
      </c>
      <c r="S64">
        <f t="shared" si="10"/>
        <v>3.2561499999999999</v>
      </c>
      <c r="T64">
        <f t="shared" si="11"/>
        <v>0.61302000000000001</v>
      </c>
    </row>
    <row r="65" spans="1:20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9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  <c r="Q65">
        <v>0.66152</v>
      </c>
      <c r="R65">
        <v>0.61019000000000001</v>
      </c>
      <c r="S65">
        <f t="shared" si="10"/>
        <v>3.3075999999999999</v>
      </c>
      <c r="T65">
        <f t="shared" si="11"/>
        <v>0.61019000000000001</v>
      </c>
    </row>
    <row r="66" spans="1:20">
      <c r="A66">
        <v>3.38</v>
      </c>
      <c r="B66">
        <f t="shared" ref="B66:B129" si="12">A66*200</f>
        <v>676</v>
      </c>
      <c r="C66">
        <v>0.59699999999999998</v>
      </c>
      <c r="D66">
        <v>2.0899359136819839E-2</v>
      </c>
      <c r="E66">
        <f t="shared" ref="E66:E129" si="13">B66</f>
        <v>676</v>
      </c>
      <c r="F66">
        <f t="shared" ref="F66:F97" si="14">D66-0.0045</f>
        <v>1.6399359136819839E-2</v>
      </c>
      <c r="I66">
        <f t="shared" ref="I66:I129" si="15">C66+(D66*A66)</f>
        <v>0.66763983388245107</v>
      </c>
      <c r="K66">
        <f t="shared" ref="K66:K129" si="16">I66+(F66*C66)</f>
        <v>0.67743025128713252</v>
      </c>
      <c r="L66">
        <f t="shared" ref="L66:L129" si="17">K66-$I$1</f>
        <v>-0.54429490048808493</v>
      </c>
      <c r="N66">
        <v>672.72080000000005</v>
      </c>
      <c r="O66">
        <f t="shared" ref="O66:O129" si="18">N66/200</f>
        <v>3.3636040000000005</v>
      </c>
      <c r="Q66">
        <v>0.67179999999999995</v>
      </c>
      <c r="R66">
        <v>0.60682999999999998</v>
      </c>
      <c r="S66">
        <f t="shared" ref="S66:S97" si="19">Q66*5</f>
        <v>3.359</v>
      </c>
      <c r="T66">
        <f t="shared" ref="T66:T97" si="20">R66</f>
        <v>0.60682999999999998</v>
      </c>
    </row>
    <row r="67" spans="1:20">
      <c r="A67">
        <v>3.43</v>
      </c>
      <c r="B67">
        <f t="shared" si="12"/>
        <v>686</v>
      </c>
      <c r="C67">
        <v>0.59499999999999997</v>
      </c>
      <c r="D67">
        <v>2.1236933767795559E-2</v>
      </c>
      <c r="E67">
        <f t="shared" si="13"/>
        <v>686</v>
      </c>
      <c r="F67">
        <f t="shared" si="14"/>
        <v>1.6736933767795559E-2</v>
      </c>
      <c r="I67">
        <f t="shared" si="15"/>
        <v>0.66784268282353876</v>
      </c>
      <c r="K67">
        <f t="shared" si="16"/>
        <v>0.67780115841537714</v>
      </c>
      <c r="L67">
        <f t="shared" si="17"/>
        <v>-0.54392399335984032</v>
      </c>
      <c r="N67">
        <v>682.80264</v>
      </c>
      <c r="O67">
        <f t="shared" si="18"/>
        <v>3.4140131999999999</v>
      </c>
      <c r="Q67">
        <v>0.68228999999999995</v>
      </c>
      <c r="R67">
        <v>0.60402999999999996</v>
      </c>
      <c r="S67">
        <f t="shared" si="19"/>
        <v>3.4114499999999999</v>
      </c>
      <c r="T67">
        <f t="shared" si="20"/>
        <v>0.60402999999999996</v>
      </c>
    </row>
    <row r="68" spans="1:20">
      <c r="A68">
        <v>3.49</v>
      </c>
      <c r="B68">
        <f t="shared" si="12"/>
        <v>698</v>
      </c>
      <c r="C68">
        <v>0.59199999999999997</v>
      </c>
      <c r="D68">
        <v>2.121633850038052E-2</v>
      </c>
      <c r="E68">
        <f t="shared" si="13"/>
        <v>698</v>
      </c>
      <c r="F68">
        <f t="shared" si="14"/>
        <v>1.6716338500380519E-2</v>
      </c>
      <c r="I68">
        <f t="shared" si="15"/>
        <v>0.66604502136632804</v>
      </c>
      <c r="K68">
        <f t="shared" si="16"/>
        <v>0.67594109375855327</v>
      </c>
      <c r="L68">
        <f t="shared" si="17"/>
        <v>-0.54578405801666419</v>
      </c>
      <c r="N68">
        <v>692.98631999999998</v>
      </c>
      <c r="O68">
        <f t="shared" si="18"/>
        <v>3.4649315999999999</v>
      </c>
      <c r="Q68">
        <v>0.69238</v>
      </c>
      <c r="R68">
        <v>0.6008</v>
      </c>
      <c r="S68">
        <f t="shared" si="19"/>
        <v>3.4619</v>
      </c>
      <c r="T68">
        <f t="shared" si="20"/>
        <v>0.6008</v>
      </c>
    </row>
    <row r="69" spans="1:20">
      <c r="A69">
        <v>3.54</v>
      </c>
      <c r="B69">
        <f t="shared" si="12"/>
        <v>708</v>
      </c>
      <c r="C69">
        <v>0.59</v>
      </c>
      <c r="D69">
        <v>2.1920887753367421E-2</v>
      </c>
      <c r="E69">
        <f t="shared" si="13"/>
        <v>708</v>
      </c>
      <c r="F69">
        <f t="shared" si="14"/>
        <v>1.742088775336742E-2</v>
      </c>
      <c r="I69">
        <f t="shared" si="15"/>
        <v>0.66759994264692069</v>
      </c>
      <c r="K69">
        <f t="shared" si="16"/>
        <v>0.67787826642140747</v>
      </c>
      <c r="L69">
        <f t="shared" si="17"/>
        <v>-0.54384688535380998</v>
      </c>
      <c r="N69">
        <v>703.06822</v>
      </c>
      <c r="O69">
        <f t="shared" si="18"/>
        <v>3.5153411000000001</v>
      </c>
      <c r="Q69">
        <v>0.70245999999999997</v>
      </c>
      <c r="R69">
        <v>0.59809000000000001</v>
      </c>
      <c r="S69">
        <f t="shared" si="19"/>
        <v>3.5122999999999998</v>
      </c>
      <c r="T69">
        <f t="shared" si="20"/>
        <v>0.59809000000000001</v>
      </c>
    </row>
    <row r="70" spans="1:20">
      <c r="A70">
        <v>3.59</v>
      </c>
      <c r="B70">
        <f t="shared" si="12"/>
        <v>718</v>
      </c>
      <c r="C70">
        <v>0.58699999999999997</v>
      </c>
      <c r="D70">
        <v>2.134180627763271E-2</v>
      </c>
      <c r="E70">
        <f t="shared" si="13"/>
        <v>718</v>
      </c>
      <c r="F70">
        <f t="shared" si="14"/>
        <v>1.6841806277632709E-2</v>
      </c>
      <c r="I70">
        <f t="shared" si="15"/>
        <v>0.66361708453670143</v>
      </c>
      <c r="K70">
        <f t="shared" si="16"/>
        <v>0.6735032248216718</v>
      </c>
      <c r="L70">
        <f t="shared" si="17"/>
        <v>-0.54822192695354566</v>
      </c>
      <c r="N70">
        <v>713.45551999999998</v>
      </c>
      <c r="O70">
        <f t="shared" si="18"/>
        <v>3.5672775999999997</v>
      </c>
      <c r="Q70">
        <v>0.71284000000000003</v>
      </c>
      <c r="R70">
        <v>0.59533999999999998</v>
      </c>
      <c r="S70">
        <f t="shared" si="19"/>
        <v>3.5642</v>
      </c>
      <c r="T70">
        <f t="shared" si="20"/>
        <v>0.59533999999999998</v>
      </c>
    </row>
    <row r="71" spans="1:20">
      <c r="A71">
        <v>3.64</v>
      </c>
      <c r="B71">
        <f t="shared" si="12"/>
        <v>728</v>
      </c>
      <c r="C71">
        <v>0.58499999999999996</v>
      </c>
      <c r="D71">
        <v>2.1182570606470112E-2</v>
      </c>
      <c r="E71">
        <f t="shared" si="13"/>
        <v>728</v>
      </c>
      <c r="F71">
        <f t="shared" si="14"/>
        <v>1.6682570606470111E-2</v>
      </c>
      <c r="I71">
        <f t="shared" si="15"/>
        <v>0.66210455700755122</v>
      </c>
      <c r="K71">
        <f t="shared" si="16"/>
        <v>0.67186386081233629</v>
      </c>
      <c r="L71">
        <f t="shared" si="17"/>
        <v>-0.54986129096288117</v>
      </c>
      <c r="N71">
        <v>723.53736000000004</v>
      </c>
      <c r="O71">
        <f t="shared" si="18"/>
        <v>3.6176868</v>
      </c>
      <c r="Q71">
        <v>0.72313000000000005</v>
      </c>
      <c r="R71">
        <v>0.59199999999999997</v>
      </c>
      <c r="S71">
        <f t="shared" si="19"/>
        <v>3.6156500000000005</v>
      </c>
      <c r="T71">
        <f t="shared" si="20"/>
        <v>0.59199999999999997</v>
      </c>
    </row>
    <row r="72" spans="1:20">
      <c r="A72">
        <v>3.69</v>
      </c>
      <c r="B72">
        <f t="shared" si="12"/>
        <v>738</v>
      </c>
      <c r="C72">
        <v>0.58199999999999996</v>
      </c>
      <c r="D72">
        <v>2.0709231495857239E-2</v>
      </c>
      <c r="E72">
        <f t="shared" si="13"/>
        <v>738</v>
      </c>
      <c r="F72">
        <f t="shared" si="14"/>
        <v>1.6209231495857238E-2</v>
      </c>
      <c r="I72">
        <f t="shared" si="15"/>
        <v>0.65841706421971313</v>
      </c>
      <c r="K72">
        <f t="shared" si="16"/>
        <v>0.66785083695030201</v>
      </c>
      <c r="L72">
        <f t="shared" si="17"/>
        <v>-0.55387431482491545</v>
      </c>
      <c r="N72">
        <v>733.721</v>
      </c>
      <c r="O72">
        <f t="shared" si="18"/>
        <v>3.6686049999999999</v>
      </c>
      <c r="Q72">
        <v>0.73351999999999995</v>
      </c>
      <c r="R72">
        <v>0.58904000000000001</v>
      </c>
      <c r="S72">
        <f t="shared" si="19"/>
        <v>3.6675999999999997</v>
      </c>
      <c r="T72">
        <f t="shared" si="20"/>
        <v>0.58904000000000001</v>
      </c>
    </row>
    <row r="73" spans="1:20">
      <c r="A73">
        <v>3.74</v>
      </c>
      <c r="B73">
        <f t="shared" si="12"/>
        <v>748</v>
      </c>
      <c r="C73">
        <v>0.57999999999999996</v>
      </c>
      <c r="D73">
        <v>2.084982767701149E-2</v>
      </c>
      <c r="E73">
        <f t="shared" si="13"/>
        <v>748</v>
      </c>
      <c r="F73">
        <f t="shared" si="14"/>
        <v>1.6349827677011489E-2</v>
      </c>
      <c r="I73">
        <f t="shared" si="15"/>
        <v>0.65797835551202288</v>
      </c>
      <c r="K73">
        <f t="shared" si="16"/>
        <v>0.66746125556468949</v>
      </c>
      <c r="L73">
        <f t="shared" si="17"/>
        <v>-0.55426389621052796</v>
      </c>
      <c r="N73">
        <v>744.21015999999997</v>
      </c>
      <c r="O73">
        <f t="shared" si="18"/>
        <v>3.7210508</v>
      </c>
      <c r="Q73">
        <v>0.74370000000000003</v>
      </c>
      <c r="R73">
        <v>0.58614999999999995</v>
      </c>
      <c r="S73">
        <f t="shared" si="19"/>
        <v>3.7185000000000001</v>
      </c>
      <c r="T73">
        <f t="shared" si="20"/>
        <v>0.58614999999999995</v>
      </c>
    </row>
    <row r="74" spans="1:20">
      <c r="A74">
        <v>3.8</v>
      </c>
      <c r="B74">
        <f t="shared" si="12"/>
        <v>760</v>
      </c>
      <c r="C74">
        <v>0.57799999999999996</v>
      </c>
      <c r="D74">
        <v>2.1780027076601979E-2</v>
      </c>
      <c r="E74">
        <f t="shared" si="13"/>
        <v>760</v>
      </c>
      <c r="F74">
        <f t="shared" si="14"/>
        <v>1.7280027076601978E-2</v>
      </c>
      <c r="I74">
        <f t="shared" si="15"/>
        <v>0.66076410289108745</v>
      </c>
      <c r="K74">
        <f t="shared" si="16"/>
        <v>0.67075195854136338</v>
      </c>
      <c r="L74">
        <f t="shared" si="17"/>
        <v>-0.55097319323385407</v>
      </c>
      <c r="N74">
        <v>754.39383999999995</v>
      </c>
      <c r="O74">
        <f t="shared" si="18"/>
        <v>3.7719691999999996</v>
      </c>
      <c r="Q74">
        <v>0.75378000000000001</v>
      </c>
      <c r="R74">
        <v>0.58308000000000004</v>
      </c>
      <c r="S74">
        <f t="shared" si="19"/>
        <v>3.7688999999999999</v>
      </c>
      <c r="T74">
        <f t="shared" si="20"/>
        <v>0.58308000000000004</v>
      </c>
    </row>
    <row r="75" spans="1:20">
      <c r="A75">
        <v>3.85</v>
      </c>
      <c r="B75">
        <f t="shared" si="12"/>
        <v>770</v>
      </c>
      <c r="C75">
        <v>0.57499999999999996</v>
      </c>
      <c r="D75">
        <v>2.16306746006012E-2</v>
      </c>
      <c r="E75">
        <f t="shared" si="13"/>
        <v>770</v>
      </c>
      <c r="F75">
        <f t="shared" si="14"/>
        <v>1.7130674600601199E-2</v>
      </c>
      <c r="I75">
        <f t="shared" si="15"/>
        <v>0.65827809721231456</v>
      </c>
      <c r="K75">
        <f t="shared" si="16"/>
        <v>0.66812823510766028</v>
      </c>
      <c r="L75">
        <f t="shared" si="17"/>
        <v>-0.55359691666755717</v>
      </c>
      <c r="N75">
        <v>764.57754</v>
      </c>
      <c r="O75">
        <f t="shared" si="18"/>
        <v>3.8228876999999999</v>
      </c>
      <c r="Q75">
        <v>0.76427</v>
      </c>
      <c r="R75">
        <v>0.57999000000000001</v>
      </c>
      <c r="S75">
        <f t="shared" si="19"/>
        <v>3.8213499999999998</v>
      </c>
      <c r="T75">
        <f t="shared" si="20"/>
        <v>0.57999000000000001</v>
      </c>
    </row>
    <row r="76" spans="1:20">
      <c r="A76">
        <v>3.9</v>
      </c>
      <c r="B76">
        <f t="shared" si="12"/>
        <v>780</v>
      </c>
      <c r="C76">
        <v>0.57299999999999995</v>
      </c>
      <c r="D76">
        <v>2.1522887051105499E-2</v>
      </c>
      <c r="E76">
        <f t="shared" si="13"/>
        <v>780</v>
      </c>
      <c r="F76">
        <f t="shared" si="14"/>
        <v>1.7022887051105499E-2</v>
      </c>
      <c r="I76">
        <f t="shared" si="15"/>
        <v>0.65693925949931142</v>
      </c>
      <c r="K76">
        <f t="shared" si="16"/>
        <v>0.66669337377959492</v>
      </c>
      <c r="L76">
        <f t="shared" si="17"/>
        <v>-0.55503177799562253</v>
      </c>
      <c r="N76">
        <v>774.86303999999996</v>
      </c>
      <c r="O76">
        <f t="shared" si="18"/>
        <v>3.8743151999999998</v>
      </c>
      <c r="Q76">
        <v>0.77434999999999998</v>
      </c>
      <c r="R76">
        <v>0.57676000000000005</v>
      </c>
      <c r="S76">
        <f t="shared" si="19"/>
        <v>3.87175</v>
      </c>
      <c r="T76">
        <f t="shared" si="20"/>
        <v>0.57676000000000005</v>
      </c>
    </row>
    <row r="77" spans="1:20">
      <c r="A77">
        <v>3.95</v>
      </c>
      <c r="B77">
        <f t="shared" si="12"/>
        <v>790</v>
      </c>
      <c r="C77">
        <v>0.56999999999999995</v>
      </c>
      <c r="D77">
        <v>2.099636942148209E-2</v>
      </c>
      <c r="E77">
        <f t="shared" si="13"/>
        <v>790</v>
      </c>
      <c r="F77">
        <f t="shared" si="14"/>
        <v>1.6496369421482089E-2</v>
      </c>
      <c r="I77">
        <f t="shared" si="15"/>
        <v>0.65293565921485419</v>
      </c>
      <c r="K77">
        <f t="shared" si="16"/>
        <v>0.66233858978509896</v>
      </c>
      <c r="L77">
        <f t="shared" si="17"/>
        <v>-0.55938656199011849</v>
      </c>
      <c r="N77">
        <v>785.14847999999995</v>
      </c>
      <c r="O77">
        <f t="shared" si="18"/>
        <v>3.9257423999999999</v>
      </c>
      <c r="Q77">
        <v>0.78464</v>
      </c>
      <c r="R77">
        <v>0.57389999999999997</v>
      </c>
      <c r="S77">
        <f t="shared" si="19"/>
        <v>3.9232</v>
      </c>
      <c r="T77">
        <f t="shared" si="20"/>
        <v>0.57389999999999997</v>
      </c>
    </row>
    <row r="78" spans="1:20">
      <c r="A78">
        <v>4</v>
      </c>
      <c r="B78">
        <f t="shared" si="12"/>
        <v>800</v>
      </c>
      <c r="C78">
        <v>0.56799999999999995</v>
      </c>
      <c r="D78">
        <v>2.120652794837952E-2</v>
      </c>
      <c r="E78">
        <f t="shared" si="13"/>
        <v>800</v>
      </c>
      <c r="F78">
        <f t="shared" si="14"/>
        <v>1.670652794837952E-2</v>
      </c>
      <c r="I78">
        <f t="shared" si="15"/>
        <v>0.65282611179351802</v>
      </c>
      <c r="K78">
        <f t="shared" si="16"/>
        <v>0.66231541966819762</v>
      </c>
      <c r="L78">
        <f t="shared" si="17"/>
        <v>-0.55940973210701983</v>
      </c>
      <c r="N78">
        <v>795.6377</v>
      </c>
      <c r="O78">
        <f t="shared" si="18"/>
        <v>3.9781884999999999</v>
      </c>
      <c r="Q78">
        <v>0.79532999999999998</v>
      </c>
      <c r="R78">
        <v>0.57069000000000003</v>
      </c>
      <c r="S78">
        <f t="shared" si="19"/>
        <v>3.9766499999999998</v>
      </c>
      <c r="T78">
        <f t="shared" si="20"/>
        <v>0.57069000000000003</v>
      </c>
    </row>
    <row r="79" spans="1:20">
      <c r="A79">
        <v>4.05</v>
      </c>
      <c r="B79">
        <f t="shared" si="12"/>
        <v>810</v>
      </c>
      <c r="C79">
        <v>0.56499999999999995</v>
      </c>
      <c r="D79">
        <v>2.128704264760017E-2</v>
      </c>
      <c r="E79">
        <f t="shared" si="13"/>
        <v>810</v>
      </c>
      <c r="F79">
        <f t="shared" si="14"/>
        <v>1.678704264760017E-2</v>
      </c>
      <c r="I79">
        <f t="shared" si="15"/>
        <v>0.65121252272278063</v>
      </c>
      <c r="K79">
        <f t="shared" si="16"/>
        <v>0.66069720181867475</v>
      </c>
      <c r="L79">
        <f t="shared" si="17"/>
        <v>-0.5610279499565427</v>
      </c>
      <c r="N79">
        <v>806.12685999999997</v>
      </c>
      <c r="O79">
        <f t="shared" si="18"/>
        <v>4.0306343</v>
      </c>
      <c r="Q79">
        <v>0.80552000000000001</v>
      </c>
      <c r="R79">
        <v>0.56755999999999995</v>
      </c>
      <c r="S79">
        <f t="shared" si="19"/>
        <v>4.0275999999999996</v>
      </c>
      <c r="T79">
        <f t="shared" si="20"/>
        <v>0.56755999999999995</v>
      </c>
    </row>
    <row r="80" spans="1:20">
      <c r="A80">
        <v>4.0999999999999996</v>
      </c>
      <c r="B80">
        <f t="shared" si="12"/>
        <v>819.99999999999989</v>
      </c>
      <c r="C80">
        <v>0.56299999999999994</v>
      </c>
      <c r="D80">
        <v>2.1569870412349701E-2</v>
      </c>
      <c r="E80">
        <f t="shared" si="13"/>
        <v>819.99999999999989</v>
      </c>
      <c r="F80">
        <f t="shared" si="14"/>
        <v>1.70698704123497E-2</v>
      </c>
      <c r="I80">
        <f t="shared" si="15"/>
        <v>0.65143646869063376</v>
      </c>
      <c r="K80">
        <f t="shared" si="16"/>
        <v>0.66104680573278662</v>
      </c>
      <c r="L80">
        <f t="shared" si="17"/>
        <v>-0.56067834604243083</v>
      </c>
      <c r="N80">
        <v>816.20870000000002</v>
      </c>
      <c r="O80">
        <f t="shared" si="18"/>
        <v>4.0810434999999998</v>
      </c>
      <c r="Q80">
        <v>0.81559999999999999</v>
      </c>
      <c r="R80">
        <v>0.56422000000000005</v>
      </c>
      <c r="S80">
        <f t="shared" si="19"/>
        <v>4.0780000000000003</v>
      </c>
      <c r="T80">
        <f t="shared" si="20"/>
        <v>0.56422000000000005</v>
      </c>
    </row>
    <row r="81" spans="1:20">
      <c r="A81">
        <v>4.16</v>
      </c>
      <c r="B81">
        <f t="shared" si="12"/>
        <v>832</v>
      </c>
      <c r="C81">
        <v>0.56100000000000005</v>
      </c>
      <c r="D81">
        <v>2.1351464092731479E-2</v>
      </c>
      <c r="E81">
        <f t="shared" si="13"/>
        <v>832</v>
      </c>
      <c r="F81">
        <f t="shared" si="14"/>
        <v>1.6851464092731479E-2</v>
      </c>
      <c r="I81">
        <f t="shared" si="15"/>
        <v>0.64982209062576302</v>
      </c>
      <c r="K81">
        <f t="shared" si="16"/>
        <v>0.65927576198178539</v>
      </c>
      <c r="L81">
        <f t="shared" si="17"/>
        <v>-0.56244938979343206</v>
      </c>
      <c r="N81">
        <v>826.49423999999999</v>
      </c>
      <c r="O81">
        <f t="shared" si="18"/>
        <v>4.1324712000000003</v>
      </c>
      <c r="Q81">
        <v>0.82577999999999996</v>
      </c>
      <c r="R81">
        <v>0.56122000000000005</v>
      </c>
      <c r="S81">
        <f t="shared" si="19"/>
        <v>4.1288999999999998</v>
      </c>
      <c r="T81">
        <f t="shared" si="20"/>
        <v>0.56122000000000005</v>
      </c>
    </row>
    <row r="82" spans="1:20">
      <c r="A82">
        <v>4.21</v>
      </c>
      <c r="B82">
        <f t="shared" si="12"/>
        <v>842</v>
      </c>
      <c r="C82">
        <v>0.55800000000000005</v>
      </c>
      <c r="D82">
        <v>2.2199295461177829E-2</v>
      </c>
      <c r="E82">
        <f t="shared" si="13"/>
        <v>842</v>
      </c>
      <c r="F82">
        <f t="shared" si="14"/>
        <v>1.7699295461177829E-2</v>
      </c>
      <c r="I82">
        <f t="shared" si="15"/>
        <v>0.65145903389155868</v>
      </c>
      <c r="K82">
        <f t="shared" si="16"/>
        <v>0.66133524075889594</v>
      </c>
      <c r="L82">
        <f t="shared" si="17"/>
        <v>-0.56038991101632152</v>
      </c>
      <c r="N82">
        <v>836.57608000000005</v>
      </c>
      <c r="O82">
        <f t="shared" si="18"/>
        <v>4.1828804000000002</v>
      </c>
      <c r="Q82">
        <v>0.83586000000000005</v>
      </c>
      <c r="R82">
        <v>0.55805000000000005</v>
      </c>
      <c r="S82">
        <f t="shared" si="19"/>
        <v>4.1793000000000005</v>
      </c>
      <c r="T82">
        <f t="shared" si="20"/>
        <v>0.55805000000000005</v>
      </c>
    </row>
    <row r="83" spans="1:20">
      <c r="A83">
        <v>4.26</v>
      </c>
      <c r="B83">
        <f t="shared" si="12"/>
        <v>852</v>
      </c>
      <c r="C83">
        <v>0.55600000000000005</v>
      </c>
      <c r="D83">
        <v>2.134930714964867E-2</v>
      </c>
      <c r="E83">
        <f t="shared" si="13"/>
        <v>852</v>
      </c>
      <c r="F83">
        <f t="shared" si="14"/>
        <v>1.6849307149648669E-2</v>
      </c>
      <c r="I83">
        <f t="shared" si="15"/>
        <v>0.64694804845750342</v>
      </c>
      <c r="K83">
        <f t="shared" si="16"/>
        <v>0.65631626323270809</v>
      </c>
      <c r="L83">
        <f t="shared" si="17"/>
        <v>-0.56540888854250937</v>
      </c>
      <c r="N83">
        <v>846.65791999999999</v>
      </c>
      <c r="O83">
        <f t="shared" si="18"/>
        <v>4.2332896</v>
      </c>
      <c r="Q83">
        <v>0.84624999999999995</v>
      </c>
      <c r="R83">
        <v>0.55481999999999998</v>
      </c>
      <c r="S83">
        <f t="shared" si="19"/>
        <v>4.2312499999999993</v>
      </c>
      <c r="T83">
        <f t="shared" si="20"/>
        <v>0.55481999999999998</v>
      </c>
    </row>
    <row r="84" spans="1:20">
      <c r="A84">
        <v>4.3099999999999996</v>
      </c>
      <c r="B84">
        <f t="shared" si="12"/>
        <v>861.99999999999989</v>
      </c>
      <c r="C84">
        <v>0.55400000000000005</v>
      </c>
      <c r="D84">
        <v>2.12129782885313E-2</v>
      </c>
      <c r="E84">
        <f t="shared" si="13"/>
        <v>861.99999999999989</v>
      </c>
      <c r="F84">
        <f t="shared" si="14"/>
        <v>1.6712978288531299E-2</v>
      </c>
      <c r="I84">
        <f t="shared" si="15"/>
        <v>0.64542793642356999</v>
      </c>
      <c r="K84">
        <f t="shared" si="16"/>
        <v>0.65468692639541637</v>
      </c>
      <c r="L84">
        <f t="shared" si="17"/>
        <v>-0.56703822537980109</v>
      </c>
      <c r="N84">
        <v>857.04521999999997</v>
      </c>
      <c r="O84">
        <f t="shared" si="18"/>
        <v>4.2852261</v>
      </c>
      <c r="Q84">
        <v>0.85653999999999997</v>
      </c>
      <c r="R84">
        <v>0.55149999999999999</v>
      </c>
      <c r="S84">
        <f t="shared" si="19"/>
        <v>4.2827000000000002</v>
      </c>
      <c r="T84">
        <f t="shared" si="20"/>
        <v>0.55149999999999999</v>
      </c>
    </row>
    <row r="85" spans="1:20">
      <c r="A85">
        <v>4.37</v>
      </c>
      <c r="B85">
        <f t="shared" si="12"/>
        <v>874</v>
      </c>
      <c r="C85">
        <v>0.55100000000000005</v>
      </c>
      <c r="D85">
        <v>2.2336233407258991E-2</v>
      </c>
      <c r="E85">
        <f t="shared" si="13"/>
        <v>874</v>
      </c>
      <c r="F85">
        <f t="shared" si="14"/>
        <v>1.783623340725899E-2</v>
      </c>
      <c r="I85">
        <f t="shared" si="15"/>
        <v>0.64860933998972181</v>
      </c>
      <c r="K85">
        <f t="shared" si="16"/>
        <v>0.65843710459712157</v>
      </c>
      <c r="L85">
        <f t="shared" si="17"/>
        <v>-0.56328804717809589</v>
      </c>
      <c r="N85">
        <v>867.73807999999997</v>
      </c>
      <c r="O85">
        <f t="shared" si="18"/>
        <v>4.3386903999999999</v>
      </c>
      <c r="Q85">
        <v>0.86661999999999995</v>
      </c>
      <c r="R85">
        <v>0.54812000000000005</v>
      </c>
      <c r="S85">
        <f t="shared" si="19"/>
        <v>4.3331</v>
      </c>
      <c r="T85">
        <f t="shared" si="20"/>
        <v>0.54812000000000005</v>
      </c>
    </row>
    <row r="86" spans="1:20">
      <c r="A86">
        <v>4.42</v>
      </c>
      <c r="B86">
        <f t="shared" si="12"/>
        <v>884</v>
      </c>
      <c r="C86">
        <v>0.54900000000000004</v>
      </c>
      <c r="D86">
        <v>2.0953355357050899E-2</v>
      </c>
      <c r="E86">
        <f t="shared" si="13"/>
        <v>884</v>
      </c>
      <c r="F86">
        <f t="shared" si="14"/>
        <v>1.6453355357050899E-2</v>
      </c>
      <c r="I86">
        <f t="shared" si="15"/>
        <v>0.64161383067816502</v>
      </c>
      <c r="K86">
        <f t="shared" si="16"/>
        <v>0.650646722769186</v>
      </c>
      <c r="L86">
        <f t="shared" si="17"/>
        <v>-0.57107842900603145</v>
      </c>
      <c r="N86">
        <v>877.81992000000002</v>
      </c>
      <c r="O86">
        <f t="shared" si="18"/>
        <v>4.3890995999999998</v>
      </c>
      <c r="Q86">
        <v>0.87680000000000002</v>
      </c>
      <c r="R86">
        <v>0.54522000000000004</v>
      </c>
      <c r="S86">
        <f t="shared" si="19"/>
        <v>4.3840000000000003</v>
      </c>
      <c r="T86">
        <f t="shared" si="20"/>
        <v>0.54522000000000004</v>
      </c>
    </row>
    <row r="87" spans="1:20">
      <c r="A87">
        <v>4.47</v>
      </c>
      <c r="B87">
        <f t="shared" si="12"/>
        <v>894</v>
      </c>
      <c r="C87">
        <v>0.54600000000000004</v>
      </c>
      <c r="D87">
        <v>2.2049251943826679E-2</v>
      </c>
      <c r="E87">
        <f t="shared" si="13"/>
        <v>894</v>
      </c>
      <c r="F87">
        <f t="shared" si="14"/>
        <v>1.7549251943826678E-2</v>
      </c>
      <c r="I87">
        <f t="shared" si="15"/>
        <v>0.64456015618890528</v>
      </c>
      <c r="K87">
        <f t="shared" si="16"/>
        <v>0.65414204775023466</v>
      </c>
      <c r="L87">
        <f t="shared" si="17"/>
        <v>-0.5675831040249828</v>
      </c>
      <c r="N87">
        <v>887.90175999999997</v>
      </c>
      <c r="O87">
        <f t="shared" si="18"/>
        <v>4.4395087999999996</v>
      </c>
      <c r="Q87">
        <v>0.88719000000000003</v>
      </c>
      <c r="R87">
        <v>0.54195000000000004</v>
      </c>
      <c r="S87">
        <f t="shared" si="19"/>
        <v>4.4359500000000001</v>
      </c>
      <c r="T87">
        <f t="shared" si="20"/>
        <v>0.54195000000000004</v>
      </c>
    </row>
    <row r="88" spans="1:20">
      <c r="A88">
        <v>4.53</v>
      </c>
      <c r="B88">
        <f t="shared" si="12"/>
        <v>906</v>
      </c>
      <c r="C88">
        <v>0.54400000000000004</v>
      </c>
      <c r="D88">
        <v>2.1715734153985981E-2</v>
      </c>
      <c r="E88">
        <f t="shared" si="13"/>
        <v>906</v>
      </c>
      <c r="F88">
        <f t="shared" si="14"/>
        <v>1.721573415398598E-2</v>
      </c>
      <c r="I88">
        <f t="shared" si="15"/>
        <v>0.64237227571755651</v>
      </c>
      <c r="K88">
        <f t="shared" si="16"/>
        <v>0.65173763509732485</v>
      </c>
      <c r="L88">
        <f t="shared" si="17"/>
        <v>-0.5699875166778926</v>
      </c>
      <c r="N88">
        <v>898.18730000000005</v>
      </c>
      <c r="O88">
        <f t="shared" si="18"/>
        <v>4.4909365000000001</v>
      </c>
      <c r="Q88">
        <v>0.89737</v>
      </c>
      <c r="R88">
        <v>0.53900000000000003</v>
      </c>
      <c r="S88">
        <f t="shared" si="19"/>
        <v>4.4868500000000004</v>
      </c>
      <c r="T88">
        <f t="shared" si="20"/>
        <v>0.53900000000000003</v>
      </c>
    </row>
    <row r="89" spans="1:20">
      <c r="A89">
        <v>4.58</v>
      </c>
      <c r="B89">
        <f t="shared" si="12"/>
        <v>916</v>
      </c>
      <c r="C89">
        <v>0.54200000000000004</v>
      </c>
      <c r="D89">
        <v>2.1696174517273899E-2</v>
      </c>
      <c r="E89">
        <f t="shared" si="13"/>
        <v>916</v>
      </c>
      <c r="F89">
        <f t="shared" si="14"/>
        <v>1.7196174517273899E-2</v>
      </c>
      <c r="I89">
        <f t="shared" si="15"/>
        <v>0.64136847928911456</v>
      </c>
      <c r="K89">
        <f t="shared" si="16"/>
        <v>0.65068880587747702</v>
      </c>
      <c r="L89">
        <f t="shared" si="17"/>
        <v>-0.57103634589774044</v>
      </c>
      <c r="N89">
        <v>909.18564000000003</v>
      </c>
      <c r="O89">
        <f t="shared" si="18"/>
        <v>4.5459282000000005</v>
      </c>
      <c r="Q89">
        <v>0.90776000000000001</v>
      </c>
      <c r="R89">
        <v>0.53495000000000004</v>
      </c>
      <c r="S89">
        <f t="shared" si="19"/>
        <v>4.5388000000000002</v>
      </c>
      <c r="T89">
        <f t="shared" si="20"/>
        <v>0.53495000000000004</v>
      </c>
    </row>
    <row r="90" spans="1:20">
      <c r="A90">
        <v>4.63</v>
      </c>
      <c r="B90">
        <f t="shared" si="12"/>
        <v>926</v>
      </c>
      <c r="C90">
        <v>0.53900000000000003</v>
      </c>
      <c r="D90">
        <v>2.1906765177845951E-2</v>
      </c>
      <c r="E90">
        <f t="shared" si="13"/>
        <v>926</v>
      </c>
      <c r="F90">
        <f t="shared" si="14"/>
        <v>1.7406765177845951E-2</v>
      </c>
      <c r="I90">
        <f t="shared" si="15"/>
        <v>0.64042832277342676</v>
      </c>
      <c r="K90">
        <f t="shared" si="16"/>
        <v>0.6498105692042857</v>
      </c>
      <c r="L90">
        <f t="shared" si="17"/>
        <v>-0.57191458257093175</v>
      </c>
      <c r="N90">
        <v>919.87851999999998</v>
      </c>
      <c r="O90">
        <f t="shared" si="18"/>
        <v>4.5993925999999998</v>
      </c>
      <c r="Q90">
        <v>0.91783999999999999</v>
      </c>
      <c r="R90">
        <v>0.53166000000000002</v>
      </c>
      <c r="S90">
        <f t="shared" si="19"/>
        <v>4.5891999999999999</v>
      </c>
      <c r="T90">
        <f t="shared" si="20"/>
        <v>0.53166000000000002</v>
      </c>
    </row>
    <row r="91" spans="1:20">
      <c r="A91">
        <v>4.68</v>
      </c>
      <c r="B91">
        <f t="shared" si="12"/>
        <v>936</v>
      </c>
      <c r="C91">
        <v>0.53700000000000003</v>
      </c>
      <c r="D91">
        <v>2.1756090223789219E-2</v>
      </c>
      <c r="E91">
        <f t="shared" si="13"/>
        <v>936</v>
      </c>
      <c r="F91">
        <f t="shared" si="14"/>
        <v>1.7256090223789218E-2</v>
      </c>
      <c r="I91">
        <f t="shared" si="15"/>
        <v>0.63881850224733361</v>
      </c>
      <c r="K91">
        <f t="shared" si="16"/>
        <v>0.64808502269750845</v>
      </c>
      <c r="L91">
        <f t="shared" si="17"/>
        <v>-0.573640129077709</v>
      </c>
      <c r="N91">
        <v>930.06209999999999</v>
      </c>
      <c r="O91">
        <f t="shared" si="18"/>
        <v>4.6503104999999998</v>
      </c>
      <c r="Q91">
        <v>0.92935000000000001</v>
      </c>
      <c r="R91">
        <v>0.52795999999999998</v>
      </c>
      <c r="S91">
        <f t="shared" si="19"/>
        <v>4.6467499999999999</v>
      </c>
      <c r="T91">
        <f t="shared" si="20"/>
        <v>0.52795999999999998</v>
      </c>
    </row>
    <row r="92" spans="1:20">
      <c r="A92">
        <v>4.7300000000000004</v>
      </c>
      <c r="B92">
        <f t="shared" si="12"/>
        <v>946.00000000000011</v>
      </c>
      <c r="C92">
        <v>0.53400000000000003</v>
      </c>
      <c r="D92">
        <v>2.2429488599300381E-2</v>
      </c>
      <c r="E92">
        <f t="shared" si="13"/>
        <v>946.00000000000011</v>
      </c>
      <c r="F92">
        <f t="shared" si="14"/>
        <v>1.7929488599300381E-2</v>
      </c>
      <c r="I92">
        <f t="shared" si="15"/>
        <v>0.64009148107469083</v>
      </c>
      <c r="K92">
        <f t="shared" si="16"/>
        <v>0.64966582798671724</v>
      </c>
      <c r="L92">
        <f t="shared" si="17"/>
        <v>-0.57205932378850022</v>
      </c>
      <c r="N92">
        <v>940.55125999999996</v>
      </c>
      <c r="O92">
        <f t="shared" si="18"/>
        <v>4.7027562999999999</v>
      </c>
      <c r="Q92">
        <v>0.93974000000000002</v>
      </c>
      <c r="R92">
        <v>0.52398999999999996</v>
      </c>
      <c r="S92">
        <f t="shared" si="19"/>
        <v>4.6987000000000005</v>
      </c>
      <c r="T92">
        <f t="shared" si="20"/>
        <v>0.52398999999999996</v>
      </c>
    </row>
    <row r="93" spans="1:20">
      <c r="A93">
        <v>4.79</v>
      </c>
      <c r="B93">
        <f t="shared" si="12"/>
        <v>958</v>
      </c>
      <c r="C93">
        <v>0.53300000000000003</v>
      </c>
      <c r="D93">
        <v>2.15414147824049E-2</v>
      </c>
      <c r="E93">
        <f t="shared" si="13"/>
        <v>958</v>
      </c>
      <c r="F93">
        <f t="shared" si="14"/>
        <v>1.7041414782404899E-2</v>
      </c>
      <c r="I93">
        <f t="shared" si="15"/>
        <v>0.63618337680771953</v>
      </c>
      <c r="K93">
        <f t="shared" si="16"/>
        <v>0.64526645088674128</v>
      </c>
      <c r="L93">
        <f t="shared" si="17"/>
        <v>-0.57645870088847617</v>
      </c>
      <c r="N93">
        <v>952.16063999999994</v>
      </c>
      <c r="O93">
        <f t="shared" si="18"/>
        <v>4.7608031999999998</v>
      </c>
      <c r="Q93">
        <v>0.95001999999999998</v>
      </c>
      <c r="R93">
        <v>0.52061000000000002</v>
      </c>
      <c r="S93">
        <f t="shared" si="19"/>
        <v>4.7500999999999998</v>
      </c>
      <c r="T93">
        <f t="shared" si="20"/>
        <v>0.52061000000000002</v>
      </c>
    </row>
    <row r="94" spans="1:20">
      <c r="A94">
        <v>4.84</v>
      </c>
      <c r="B94">
        <f t="shared" si="12"/>
        <v>968</v>
      </c>
      <c r="C94">
        <v>0.53</v>
      </c>
      <c r="D94">
        <v>2.2523378953337669E-2</v>
      </c>
      <c r="E94">
        <f t="shared" si="13"/>
        <v>968</v>
      </c>
      <c r="F94">
        <f t="shared" si="14"/>
        <v>1.8023378953337669E-2</v>
      </c>
      <c r="I94">
        <f t="shared" si="15"/>
        <v>0.63901315413415438</v>
      </c>
      <c r="K94">
        <f t="shared" si="16"/>
        <v>0.64856554497942331</v>
      </c>
      <c r="L94">
        <f t="shared" si="17"/>
        <v>-0.57315960679579414</v>
      </c>
      <c r="N94">
        <v>962.75166000000002</v>
      </c>
      <c r="O94">
        <f t="shared" si="18"/>
        <v>4.8137582999999999</v>
      </c>
      <c r="Q94">
        <v>0.96121999999999996</v>
      </c>
      <c r="R94">
        <v>0.51622000000000001</v>
      </c>
      <c r="S94">
        <f t="shared" si="19"/>
        <v>4.8060999999999998</v>
      </c>
      <c r="T94">
        <f t="shared" si="20"/>
        <v>0.51622000000000001</v>
      </c>
    </row>
    <row r="95" spans="1:20">
      <c r="A95">
        <v>4.8899999999999997</v>
      </c>
      <c r="B95">
        <f t="shared" si="12"/>
        <v>977.99999999999989</v>
      </c>
      <c r="C95">
        <v>0.52800000000000002</v>
      </c>
      <c r="D95">
        <v>2.1605027839541439E-2</v>
      </c>
      <c r="E95">
        <f t="shared" si="13"/>
        <v>977.99999999999989</v>
      </c>
      <c r="F95">
        <f t="shared" si="14"/>
        <v>1.7105027839541438E-2</v>
      </c>
      <c r="I95">
        <f t="shared" si="15"/>
        <v>0.63364858613535768</v>
      </c>
      <c r="K95">
        <f t="shared" si="16"/>
        <v>0.64268004083463559</v>
      </c>
      <c r="L95">
        <f t="shared" si="17"/>
        <v>-0.57904511094058186</v>
      </c>
      <c r="N95">
        <v>973.54638</v>
      </c>
      <c r="O95">
        <f t="shared" si="18"/>
        <v>4.8677318999999999</v>
      </c>
      <c r="Q95">
        <v>0.97170999999999996</v>
      </c>
      <c r="R95">
        <v>0.51271999999999995</v>
      </c>
      <c r="S95">
        <f t="shared" si="19"/>
        <v>4.8585500000000001</v>
      </c>
      <c r="T95">
        <f t="shared" si="20"/>
        <v>0.51271999999999995</v>
      </c>
    </row>
    <row r="96" spans="1:20">
      <c r="A96">
        <v>4.9400000000000004</v>
      </c>
      <c r="B96">
        <f t="shared" si="12"/>
        <v>988.00000000000011</v>
      </c>
      <c r="C96">
        <v>0.52600000000000002</v>
      </c>
      <c r="D96">
        <v>2.2359063848853111E-2</v>
      </c>
      <c r="E96">
        <f t="shared" si="13"/>
        <v>988.00000000000011</v>
      </c>
      <c r="F96">
        <f t="shared" si="14"/>
        <v>1.7859063848853111E-2</v>
      </c>
      <c r="I96">
        <f t="shared" si="15"/>
        <v>0.63645377541333437</v>
      </c>
      <c r="K96">
        <f t="shared" si="16"/>
        <v>0.64584764299783115</v>
      </c>
      <c r="L96">
        <f t="shared" si="17"/>
        <v>-0.5758775087773863</v>
      </c>
      <c r="N96">
        <v>984.03563999999994</v>
      </c>
      <c r="O96">
        <f t="shared" si="18"/>
        <v>4.9201781999999996</v>
      </c>
      <c r="Q96">
        <v>0.98241000000000001</v>
      </c>
      <c r="R96">
        <v>0.50890999999999997</v>
      </c>
      <c r="S96">
        <f t="shared" si="19"/>
        <v>4.9120499999999998</v>
      </c>
      <c r="T96">
        <f t="shared" si="20"/>
        <v>0.50890999999999997</v>
      </c>
    </row>
    <row r="97" spans="1:20">
      <c r="A97">
        <v>4.99</v>
      </c>
      <c r="B97">
        <f t="shared" si="12"/>
        <v>998</v>
      </c>
      <c r="C97">
        <v>0.52400000000000002</v>
      </c>
      <c r="D97">
        <v>2.1708402782678601E-2</v>
      </c>
      <c r="E97">
        <f t="shared" si="13"/>
        <v>998</v>
      </c>
      <c r="F97">
        <f t="shared" si="14"/>
        <v>1.72084027826786E-2</v>
      </c>
      <c r="I97">
        <f t="shared" si="15"/>
        <v>0.63232492988556621</v>
      </c>
      <c r="K97">
        <f t="shared" si="16"/>
        <v>0.6413421329436898</v>
      </c>
      <c r="L97">
        <f t="shared" si="17"/>
        <v>-0.58038301883152765</v>
      </c>
      <c r="N97">
        <v>994.62656000000004</v>
      </c>
      <c r="O97">
        <f t="shared" si="18"/>
        <v>4.9731328000000001</v>
      </c>
      <c r="Q97">
        <v>0.99351</v>
      </c>
      <c r="R97">
        <v>0.50458999999999998</v>
      </c>
      <c r="S97">
        <f t="shared" si="19"/>
        <v>4.9675500000000001</v>
      </c>
      <c r="T97">
        <f t="shared" si="20"/>
        <v>0.50458999999999998</v>
      </c>
    </row>
    <row r="98" spans="1:20">
      <c r="A98">
        <v>5.05</v>
      </c>
      <c r="B98">
        <f t="shared" si="12"/>
        <v>1010</v>
      </c>
      <c r="C98">
        <v>0.52100000000000002</v>
      </c>
      <c r="D98">
        <v>2.2254021838307381E-2</v>
      </c>
      <c r="E98">
        <f t="shared" si="13"/>
        <v>1010</v>
      </c>
      <c r="F98">
        <f t="shared" ref="F98:F129" si="21">D98-0.0045</f>
        <v>1.775402183830738E-2</v>
      </c>
      <c r="I98">
        <f t="shared" si="15"/>
        <v>0.63338281028345234</v>
      </c>
      <c r="K98">
        <f t="shared" si="16"/>
        <v>0.64263265566121053</v>
      </c>
      <c r="L98">
        <f t="shared" si="17"/>
        <v>-0.57909249611400693</v>
      </c>
      <c r="N98">
        <v>1005.93038</v>
      </c>
      <c r="O98">
        <f t="shared" si="18"/>
        <v>5.0296519000000002</v>
      </c>
      <c r="Q98">
        <v>1.00359</v>
      </c>
      <c r="R98">
        <v>0.50056</v>
      </c>
      <c r="S98">
        <f t="shared" ref="S98:S129" si="22">Q98*5</f>
        <v>5.0179499999999999</v>
      </c>
      <c r="T98">
        <f t="shared" ref="T98:T129" si="23">R98</f>
        <v>0.50056</v>
      </c>
    </row>
    <row r="99" spans="1:20">
      <c r="A99">
        <v>5.0999999999999996</v>
      </c>
      <c r="B99">
        <f t="shared" si="12"/>
        <v>1019.9999999999999</v>
      </c>
      <c r="C99">
        <v>0.51900000000000002</v>
      </c>
      <c r="D99">
        <v>2.2036757320165631E-2</v>
      </c>
      <c r="E99">
        <f t="shared" si="13"/>
        <v>1019.9999999999999</v>
      </c>
      <c r="F99">
        <f t="shared" si="21"/>
        <v>1.753675732016563E-2</v>
      </c>
      <c r="I99">
        <f t="shared" si="15"/>
        <v>0.63138746233284471</v>
      </c>
      <c r="K99">
        <f t="shared" si="16"/>
        <v>0.64048903938201063</v>
      </c>
      <c r="L99">
        <f t="shared" si="17"/>
        <v>-0.58123611239320683</v>
      </c>
      <c r="N99">
        <v>1016.52138</v>
      </c>
      <c r="O99">
        <f t="shared" si="18"/>
        <v>5.0826069</v>
      </c>
      <c r="Q99">
        <v>1.0136700000000001</v>
      </c>
      <c r="R99">
        <v>0.49630000000000002</v>
      </c>
      <c r="S99">
        <f t="shared" si="22"/>
        <v>5.0683500000000006</v>
      </c>
      <c r="T99">
        <f t="shared" si="23"/>
        <v>0.49630000000000002</v>
      </c>
    </row>
    <row r="100" spans="1:20">
      <c r="A100">
        <v>5.15</v>
      </c>
      <c r="B100">
        <f t="shared" si="12"/>
        <v>1030</v>
      </c>
      <c r="C100">
        <v>0.51700000000000002</v>
      </c>
      <c r="D100">
        <v>2.2387169301509861E-2</v>
      </c>
      <c r="E100">
        <f t="shared" si="13"/>
        <v>1030</v>
      </c>
      <c r="F100">
        <f t="shared" si="21"/>
        <v>1.788716930150986E-2</v>
      </c>
      <c r="I100">
        <f t="shared" si="15"/>
        <v>0.63229392190277578</v>
      </c>
      <c r="K100">
        <f t="shared" si="16"/>
        <v>0.64154158843165643</v>
      </c>
      <c r="L100">
        <f t="shared" si="17"/>
        <v>-0.58018356334356103</v>
      </c>
      <c r="N100">
        <v>1027.31612</v>
      </c>
      <c r="O100">
        <f t="shared" si="18"/>
        <v>5.1365805999999994</v>
      </c>
      <c r="Q100">
        <v>1.02457</v>
      </c>
      <c r="R100">
        <v>0.49220000000000003</v>
      </c>
      <c r="S100">
        <f t="shared" si="22"/>
        <v>5.1228499999999997</v>
      </c>
      <c r="T100">
        <f t="shared" si="23"/>
        <v>0.49220000000000003</v>
      </c>
    </row>
    <row r="101" spans="1:20">
      <c r="A101">
        <v>5.21</v>
      </c>
      <c r="B101">
        <f t="shared" si="12"/>
        <v>1042</v>
      </c>
      <c r="C101">
        <v>0.51400000000000001</v>
      </c>
      <c r="D101">
        <v>2.200327999889851E-2</v>
      </c>
      <c r="E101">
        <f t="shared" si="13"/>
        <v>1042</v>
      </c>
      <c r="F101">
        <f t="shared" si="21"/>
        <v>1.7503279998898509E-2</v>
      </c>
      <c r="I101">
        <f t="shared" si="15"/>
        <v>0.62863708879426128</v>
      </c>
      <c r="K101">
        <f t="shared" si="16"/>
        <v>0.63763377471369509</v>
      </c>
      <c r="L101">
        <f t="shared" si="17"/>
        <v>-0.58409137706152237</v>
      </c>
      <c r="N101">
        <v>1037.4998000000001</v>
      </c>
      <c r="O101">
        <f t="shared" si="18"/>
        <v>5.1874989999999999</v>
      </c>
      <c r="Q101">
        <v>1.03495</v>
      </c>
      <c r="R101">
        <v>0.48775000000000002</v>
      </c>
      <c r="S101">
        <f t="shared" si="22"/>
        <v>5.1747500000000004</v>
      </c>
      <c r="T101">
        <f t="shared" si="23"/>
        <v>0.48775000000000002</v>
      </c>
    </row>
    <row r="102" spans="1:20">
      <c r="A102">
        <v>5.26</v>
      </c>
      <c r="B102">
        <f t="shared" si="12"/>
        <v>1052</v>
      </c>
      <c r="C102">
        <v>0.51200000000000001</v>
      </c>
      <c r="D102">
        <v>2.2290784865617749E-2</v>
      </c>
      <c r="E102">
        <f t="shared" si="13"/>
        <v>1052</v>
      </c>
      <c r="F102">
        <f t="shared" si="21"/>
        <v>1.7790784865617748E-2</v>
      </c>
      <c r="I102">
        <f t="shared" si="15"/>
        <v>0.6292495283931494</v>
      </c>
      <c r="K102">
        <f t="shared" si="16"/>
        <v>0.6383584102443457</v>
      </c>
      <c r="L102">
        <f t="shared" si="17"/>
        <v>-0.58336674153087176</v>
      </c>
      <c r="N102">
        <v>1047.6833999999999</v>
      </c>
      <c r="O102">
        <f t="shared" si="18"/>
        <v>5.2384169999999992</v>
      </c>
      <c r="Q102">
        <v>1.04504</v>
      </c>
      <c r="R102">
        <v>0.4834</v>
      </c>
      <c r="S102">
        <f t="shared" si="22"/>
        <v>5.2252000000000001</v>
      </c>
      <c r="T102">
        <f t="shared" si="23"/>
        <v>0.4834</v>
      </c>
    </row>
    <row r="103" spans="1:20">
      <c r="A103">
        <v>5.31</v>
      </c>
      <c r="B103">
        <f t="shared" si="12"/>
        <v>1062</v>
      </c>
      <c r="C103">
        <v>0.51</v>
      </c>
      <c r="D103">
        <v>2.204912714660168E-2</v>
      </c>
      <c r="E103">
        <f t="shared" si="13"/>
        <v>1062</v>
      </c>
      <c r="F103">
        <f t="shared" si="21"/>
        <v>1.754912714660168E-2</v>
      </c>
      <c r="I103">
        <f t="shared" si="15"/>
        <v>0.62708086514845496</v>
      </c>
      <c r="K103">
        <f t="shared" si="16"/>
        <v>0.63603091999322181</v>
      </c>
      <c r="L103">
        <f t="shared" si="17"/>
        <v>-0.58569423178199564</v>
      </c>
      <c r="N103">
        <v>1057.7653399999999</v>
      </c>
      <c r="O103">
        <f t="shared" si="18"/>
        <v>5.2888266999999995</v>
      </c>
      <c r="Q103">
        <v>1.05552</v>
      </c>
      <c r="R103">
        <v>0.4788</v>
      </c>
      <c r="S103">
        <f t="shared" si="22"/>
        <v>5.2775999999999996</v>
      </c>
      <c r="T103">
        <f t="shared" si="23"/>
        <v>0.4788</v>
      </c>
    </row>
    <row r="104" spans="1:20">
      <c r="A104">
        <v>5.36</v>
      </c>
      <c r="B104">
        <f t="shared" si="12"/>
        <v>1072</v>
      </c>
      <c r="C104">
        <v>0.50800000000000001</v>
      </c>
      <c r="D104">
        <v>2.2027615457773209E-2</v>
      </c>
      <c r="E104">
        <f t="shared" si="13"/>
        <v>1072</v>
      </c>
      <c r="F104">
        <f t="shared" si="21"/>
        <v>1.7527615457773208E-2</v>
      </c>
      <c r="I104">
        <f t="shared" si="15"/>
        <v>0.62606801885366437</v>
      </c>
      <c r="K104">
        <f t="shared" si="16"/>
        <v>0.63497204750621317</v>
      </c>
      <c r="L104">
        <f t="shared" si="17"/>
        <v>-0.58675310426900429</v>
      </c>
      <c r="N104">
        <v>1069.3746000000001</v>
      </c>
      <c r="O104">
        <f t="shared" si="18"/>
        <v>5.3468730000000004</v>
      </c>
      <c r="Q104">
        <v>1.0658099999999999</v>
      </c>
      <c r="R104">
        <v>0.47458</v>
      </c>
      <c r="S104">
        <f t="shared" si="22"/>
        <v>5.3290499999999996</v>
      </c>
      <c r="T104">
        <f t="shared" si="23"/>
        <v>0.47458</v>
      </c>
    </row>
    <row r="105" spans="1:20">
      <c r="A105">
        <v>5.41</v>
      </c>
      <c r="B105">
        <f t="shared" si="12"/>
        <v>1082</v>
      </c>
      <c r="C105">
        <v>0.50600000000000001</v>
      </c>
      <c r="D105">
        <v>2.1767960861325261E-2</v>
      </c>
      <c r="E105">
        <f t="shared" si="13"/>
        <v>1082</v>
      </c>
      <c r="F105">
        <f t="shared" si="21"/>
        <v>1.726796086132526E-2</v>
      </c>
      <c r="I105">
        <f t="shared" si="15"/>
        <v>0.62376466825976973</v>
      </c>
      <c r="K105">
        <f t="shared" si="16"/>
        <v>0.63250225645560032</v>
      </c>
      <c r="L105">
        <f t="shared" si="17"/>
        <v>-0.58922289531961713</v>
      </c>
      <c r="N105">
        <v>1079.7620199999999</v>
      </c>
      <c r="O105">
        <f t="shared" si="18"/>
        <v>5.3988100999999995</v>
      </c>
      <c r="Q105">
        <v>1.0761000000000001</v>
      </c>
      <c r="R105">
        <v>0.46971000000000002</v>
      </c>
      <c r="S105">
        <f t="shared" si="22"/>
        <v>5.3805000000000005</v>
      </c>
      <c r="T105">
        <f t="shared" si="23"/>
        <v>0.46971000000000002</v>
      </c>
    </row>
    <row r="106" spans="1:20">
      <c r="A106">
        <v>5.48</v>
      </c>
      <c r="B106">
        <f t="shared" si="12"/>
        <v>1096</v>
      </c>
      <c r="C106">
        <v>0.503</v>
      </c>
      <c r="D106">
        <v>2.218662574887276E-2</v>
      </c>
      <c r="E106">
        <f t="shared" si="13"/>
        <v>1096</v>
      </c>
      <c r="F106">
        <f t="shared" si="21"/>
        <v>1.768662574887276E-2</v>
      </c>
      <c r="I106">
        <f t="shared" si="15"/>
        <v>0.62458270910382274</v>
      </c>
      <c r="K106">
        <f t="shared" si="16"/>
        <v>0.63347908185550572</v>
      </c>
      <c r="L106">
        <f t="shared" si="17"/>
        <v>-0.58824606991971173</v>
      </c>
      <c r="N106">
        <v>1090.04756</v>
      </c>
      <c r="O106">
        <f t="shared" si="18"/>
        <v>5.4502378</v>
      </c>
      <c r="Q106">
        <v>1.0871999999999999</v>
      </c>
      <c r="R106">
        <v>0.46471000000000001</v>
      </c>
      <c r="S106">
        <f t="shared" si="22"/>
        <v>5.4359999999999999</v>
      </c>
      <c r="T106">
        <f t="shared" si="23"/>
        <v>0.46471000000000001</v>
      </c>
    </row>
    <row r="107" spans="1:20">
      <c r="A107">
        <v>5.53</v>
      </c>
      <c r="B107">
        <f t="shared" si="12"/>
        <v>1106</v>
      </c>
      <c r="C107">
        <v>0.501</v>
      </c>
      <c r="D107">
        <v>2.234361320734024E-2</v>
      </c>
      <c r="E107">
        <f t="shared" si="13"/>
        <v>1106</v>
      </c>
      <c r="F107">
        <f t="shared" si="21"/>
        <v>1.784361320734024E-2</v>
      </c>
      <c r="I107">
        <f t="shared" si="15"/>
        <v>0.6245601810365915</v>
      </c>
      <c r="K107">
        <f t="shared" si="16"/>
        <v>0.63349983125346898</v>
      </c>
      <c r="L107">
        <f t="shared" si="17"/>
        <v>-0.58822532052174847</v>
      </c>
      <c r="N107">
        <v>1100.3330000000001</v>
      </c>
      <c r="O107">
        <f t="shared" si="18"/>
        <v>5.501665</v>
      </c>
      <c r="Q107">
        <v>1.09779</v>
      </c>
      <c r="R107">
        <v>0.45915</v>
      </c>
      <c r="S107">
        <f t="shared" si="22"/>
        <v>5.48895</v>
      </c>
      <c r="T107">
        <f t="shared" si="23"/>
        <v>0.45915</v>
      </c>
    </row>
    <row r="108" spans="1:20">
      <c r="A108">
        <v>5.58</v>
      </c>
      <c r="B108">
        <f t="shared" si="12"/>
        <v>1116</v>
      </c>
      <c r="C108">
        <v>0.499</v>
      </c>
      <c r="D108">
        <v>2.194085530936718E-2</v>
      </c>
      <c r="E108">
        <f t="shared" si="13"/>
        <v>1116</v>
      </c>
      <c r="F108">
        <f t="shared" si="21"/>
        <v>1.7440855309367179E-2</v>
      </c>
      <c r="I108">
        <f t="shared" si="15"/>
        <v>0.62142997262626887</v>
      </c>
      <c r="K108">
        <f t="shared" si="16"/>
        <v>0.63013295942564307</v>
      </c>
      <c r="L108">
        <f t="shared" si="17"/>
        <v>-0.59159219234957439</v>
      </c>
      <c r="N108">
        <v>1111.53496</v>
      </c>
      <c r="O108">
        <f t="shared" si="18"/>
        <v>5.5576748</v>
      </c>
      <c r="Q108">
        <v>1.1080700000000001</v>
      </c>
      <c r="R108">
        <v>0.45422000000000001</v>
      </c>
      <c r="S108">
        <f t="shared" si="22"/>
        <v>5.5403500000000001</v>
      </c>
      <c r="T108">
        <f t="shared" si="23"/>
        <v>0.45422000000000001</v>
      </c>
    </row>
    <row r="109" spans="1:20">
      <c r="A109">
        <v>5.63</v>
      </c>
      <c r="B109">
        <f t="shared" si="12"/>
        <v>1126</v>
      </c>
      <c r="C109">
        <v>0.496</v>
      </c>
      <c r="D109">
        <v>2.266308106482029E-2</v>
      </c>
      <c r="E109">
        <f t="shared" si="13"/>
        <v>1126</v>
      </c>
      <c r="F109">
        <f t="shared" si="21"/>
        <v>1.8163081064820289E-2</v>
      </c>
      <c r="I109">
        <f t="shared" si="15"/>
        <v>0.62359314639493824</v>
      </c>
      <c r="K109">
        <f t="shared" si="16"/>
        <v>0.63260203460308906</v>
      </c>
      <c r="L109">
        <f t="shared" si="17"/>
        <v>-0.5891231171721284</v>
      </c>
      <c r="N109">
        <v>1122.12608</v>
      </c>
      <c r="O109">
        <f t="shared" si="18"/>
        <v>5.6106303999999998</v>
      </c>
      <c r="Q109">
        <v>1.11846</v>
      </c>
      <c r="R109">
        <v>0.44884000000000002</v>
      </c>
      <c r="S109">
        <f t="shared" si="22"/>
        <v>5.5922999999999998</v>
      </c>
      <c r="T109">
        <f t="shared" si="23"/>
        <v>0.44884000000000002</v>
      </c>
    </row>
    <row r="110" spans="1:20">
      <c r="A110">
        <v>5.69</v>
      </c>
      <c r="B110">
        <f t="shared" si="12"/>
        <v>1138</v>
      </c>
      <c r="C110">
        <v>0.49399999999999999</v>
      </c>
      <c r="D110">
        <v>2.2642260417342189E-2</v>
      </c>
      <c r="E110">
        <f t="shared" si="13"/>
        <v>1138</v>
      </c>
      <c r="F110">
        <f t="shared" si="21"/>
        <v>1.8142260417342189E-2</v>
      </c>
      <c r="I110">
        <f t="shared" si="15"/>
        <v>0.62283446177467705</v>
      </c>
      <c r="K110">
        <f t="shared" si="16"/>
        <v>0.63179673842084405</v>
      </c>
      <c r="L110">
        <f t="shared" si="17"/>
        <v>-0.5899284133543734</v>
      </c>
      <c r="N110">
        <v>1132.3097600000001</v>
      </c>
      <c r="O110">
        <f t="shared" si="18"/>
        <v>5.6615488000000003</v>
      </c>
      <c r="Q110">
        <v>1.1289499999999999</v>
      </c>
      <c r="R110">
        <v>0.44330000000000003</v>
      </c>
      <c r="S110">
        <f t="shared" si="22"/>
        <v>5.6447499999999993</v>
      </c>
      <c r="T110">
        <f t="shared" si="23"/>
        <v>0.44330000000000003</v>
      </c>
    </row>
    <row r="111" spans="1:20">
      <c r="A111">
        <v>5.74</v>
      </c>
      <c r="B111">
        <f t="shared" si="12"/>
        <v>1148</v>
      </c>
      <c r="C111">
        <v>0.49199999999999999</v>
      </c>
      <c r="D111">
        <v>2.145604602992535E-2</v>
      </c>
      <c r="E111">
        <f t="shared" si="13"/>
        <v>1148</v>
      </c>
      <c r="F111">
        <f t="shared" si="21"/>
        <v>1.6956046029925349E-2</v>
      </c>
      <c r="I111">
        <f t="shared" si="15"/>
        <v>0.61515770421177152</v>
      </c>
      <c r="K111">
        <f t="shared" si="16"/>
        <v>0.62350007885849479</v>
      </c>
      <c r="L111">
        <f t="shared" si="17"/>
        <v>-0.59822507291672267</v>
      </c>
      <c r="N111">
        <v>1143.00254</v>
      </c>
      <c r="O111">
        <f t="shared" si="18"/>
        <v>5.7150126999999999</v>
      </c>
      <c r="Q111">
        <v>1.13913</v>
      </c>
      <c r="R111">
        <v>0.43781999999999999</v>
      </c>
      <c r="S111">
        <f t="shared" si="22"/>
        <v>5.6956499999999997</v>
      </c>
      <c r="T111">
        <f t="shared" si="23"/>
        <v>0.43781999999999999</v>
      </c>
    </row>
    <row r="112" spans="1:20">
      <c r="A112">
        <v>5.79</v>
      </c>
      <c r="B112">
        <f t="shared" si="12"/>
        <v>1158</v>
      </c>
      <c r="C112">
        <v>0.49</v>
      </c>
      <c r="D112">
        <v>2.2721694782376289E-2</v>
      </c>
      <c r="E112">
        <f t="shared" si="13"/>
        <v>1158</v>
      </c>
      <c r="F112">
        <f t="shared" si="21"/>
        <v>1.8221694782376289E-2</v>
      </c>
      <c r="I112">
        <f t="shared" si="15"/>
        <v>0.62155861278995872</v>
      </c>
      <c r="K112">
        <f t="shared" si="16"/>
        <v>0.63048724323332306</v>
      </c>
      <c r="L112">
        <f t="shared" si="17"/>
        <v>-0.5912379085418944</v>
      </c>
      <c r="N112">
        <v>1153.08448</v>
      </c>
      <c r="O112">
        <f t="shared" si="18"/>
        <v>5.7654224000000003</v>
      </c>
      <c r="Q112">
        <v>1.1495200000000001</v>
      </c>
      <c r="R112">
        <v>0.43247999999999998</v>
      </c>
      <c r="S112">
        <f t="shared" si="22"/>
        <v>5.7476000000000003</v>
      </c>
      <c r="T112">
        <f t="shared" si="23"/>
        <v>0.43247999999999998</v>
      </c>
    </row>
    <row r="113" spans="1:20">
      <c r="A113">
        <v>5.84</v>
      </c>
      <c r="B113">
        <f t="shared" si="12"/>
        <v>1168</v>
      </c>
      <c r="C113">
        <v>0.48799999999999999</v>
      </c>
      <c r="D113">
        <v>2.283627167344093E-2</v>
      </c>
      <c r="E113">
        <f t="shared" si="13"/>
        <v>1168</v>
      </c>
      <c r="F113">
        <f t="shared" si="21"/>
        <v>1.8336271673440929E-2</v>
      </c>
      <c r="I113">
        <f t="shared" si="15"/>
        <v>0.62136382657289502</v>
      </c>
      <c r="K113">
        <f t="shared" si="16"/>
        <v>0.63031192714953421</v>
      </c>
      <c r="L113">
        <f t="shared" si="17"/>
        <v>-0.59141322462568324</v>
      </c>
      <c r="N113">
        <v>1164.2864199999999</v>
      </c>
      <c r="O113">
        <f t="shared" si="18"/>
        <v>5.8214320999999991</v>
      </c>
      <c r="Q113">
        <v>1.1597</v>
      </c>
      <c r="R113">
        <v>0.42696000000000001</v>
      </c>
      <c r="S113">
        <f t="shared" si="22"/>
        <v>5.7984999999999998</v>
      </c>
      <c r="T113">
        <f t="shared" si="23"/>
        <v>0.42696000000000001</v>
      </c>
    </row>
    <row r="114" spans="1:20">
      <c r="A114">
        <v>5.9</v>
      </c>
      <c r="B114">
        <f t="shared" si="12"/>
        <v>1180</v>
      </c>
      <c r="C114">
        <v>0.48499999999999999</v>
      </c>
      <c r="D114">
        <v>2.2560978308320049E-2</v>
      </c>
      <c r="E114">
        <f t="shared" si="13"/>
        <v>1180</v>
      </c>
      <c r="F114">
        <f t="shared" si="21"/>
        <v>1.8060978308320048E-2</v>
      </c>
      <c r="I114">
        <f t="shared" si="15"/>
        <v>0.61810977201908823</v>
      </c>
      <c r="K114">
        <f t="shared" si="16"/>
        <v>0.62686934649862347</v>
      </c>
      <c r="L114">
        <f t="shared" si="17"/>
        <v>-0.59485580527659399</v>
      </c>
      <c r="N114">
        <v>1174.77568</v>
      </c>
      <c r="O114">
        <f t="shared" si="18"/>
        <v>5.8738783999999997</v>
      </c>
      <c r="Q114">
        <v>1.1700900000000001</v>
      </c>
      <c r="R114">
        <v>0.42085</v>
      </c>
      <c r="S114">
        <f t="shared" si="22"/>
        <v>5.8504500000000004</v>
      </c>
      <c r="T114">
        <f t="shared" si="23"/>
        <v>0.42085</v>
      </c>
    </row>
    <row r="115" spans="1:20">
      <c r="A115">
        <v>5.95</v>
      </c>
      <c r="B115">
        <f t="shared" si="12"/>
        <v>1190</v>
      </c>
      <c r="C115">
        <v>0.48299999999999998</v>
      </c>
      <c r="D115">
        <v>2.2831900045275692E-2</v>
      </c>
      <c r="E115">
        <f t="shared" si="13"/>
        <v>1190</v>
      </c>
      <c r="F115">
        <f t="shared" si="21"/>
        <v>1.8331900045275691E-2</v>
      </c>
      <c r="I115">
        <f t="shared" si="15"/>
        <v>0.61884980526939037</v>
      </c>
      <c r="K115">
        <f t="shared" si="16"/>
        <v>0.6277041129912585</v>
      </c>
      <c r="L115">
        <f t="shared" si="17"/>
        <v>-0.59402103878395895</v>
      </c>
      <c r="N115">
        <v>1185.57032</v>
      </c>
      <c r="O115">
        <f t="shared" si="18"/>
        <v>5.9278516000000003</v>
      </c>
      <c r="Q115">
        <v>1.1801699999999999</v>
      </c>
      <c r="R115">
        <v>0.41443000000000002</v>
      </c>
      <c r="S115">
        <f t="shared" si="22"/>
        <v>5.9008500000000002</v>
      </c>
      <c r="T115">
        <f t="shared" si="23"/>
        <v>0.41443000000000002</v>
      </c>
    </row>
    <row r="116" spans="1:20">
      <c r="A116">
        <v>6</v>
      </c>
      <c r="B116">
        <f t="shared" si="12"/>
        <v>1200</v>
      </c>
      <c r="C116">
        <v>0.48099999999999998</v>
      </c>
      <c r="D116">
        <v>2.2245129570364949E-2</v>
      </c>
      <c r="E116">
        <f t="shared" si="13"/>
        <v>1200</v>
      </c>
      <c r="F116">
        <f t="shared" si="21"/>
        <v>1.7745129570364948E-2</v>
      </c>
      <c r="I116">
        <f t="shared" si="15"/>
        <v>0.6144707774221897</v>
      </c>
      <c r="K116">
        <f t="shared" si="16"/>
        <v>0.62300618474553526</v>
      </c>
      <c r="L116">
        <f t="shared" si="17"/>
        <v>-0.59871896702968219</v>
      </c>
      <c r="N116">
        <v>1195.6520599999999</v>
      </c>
      <c r="O116">
        <f t="shared" si="18"/>
        <v>5.9782602999999996</v>
      </c>
      <c r="Q116">
        <v>1.1908700000000001</v>
      </c>
      <c r="R116">
        <v>0.40888000000000002</v>
      </c>
      <c r="S116">
        <f t="shared" si="22"/>
        <v>5.9543500000000007</v>
      </c>
      <c r="T116">
        <f t="shared" si="23"/>
        <v>0.40888000000000002</v>
      </c>
    </row>
    <row r="117" spans="1:20">
      <c r="A117">
        <v>6.05</v>
      </c>
      <c r="B117">
        <f t="shared" si="12"/>
        <v>1210</v>
      </c>
      <c r="C117">
        <v>0.47899999999999998</v>
      </c>
      <c r="D117">
        <v>2.2771291434764859E-2</v>
      </c>
      <c r="E117">
        <f t="shared" si="13"/>
        <v>1210</v>
      </c>
      <c r="F117">
        <f t="shared" si="21"/>
        <v>1.8271291434764858E-2</v>
      </c>
      <c r="I117">
        <f t="shared" si="15"/>
        <v>0.61676631318032737</v>
      </c>
      <c r="K117">
        <f t="shared" si="16"/>
        <v>0.62551826177757974</v>
      </c>
      <c r="L117">
        <f t="shared" si="17"/>
        <v>-0.59620688999763771</v>
      </c>
      <c r="N117">
        <v>1206.03946</v>
      </c>
      <c r="O117">
        <f t="shared" si="18"/>
        <v>6.0301973000000002</v>
      </c>
      <c r="Q117">
        <v>1.2012499999999999</v>
      </c>
      <c r="R117">
        <v>0.40176000000000001</v>
      </c>
      <c r="S117">
        <f t="shared" si="22"/>
        <v>6.0062499999999996</v>
      </c>
      <c r="T117">
        <f t="shared" si="23"/>
        <v>0.40176000000000001</v>
      </c>
    </row>
    <row r="118" spans="1:20">
      <c r="A118">
        <v>6.11</v>
      </c>
      <c r="B118">
        <f t="shared" si="12"/>
        <v>1222</v>
      </c>
      <c r="C118">
        <v>0.47699999999999998</v>
      </c>
      <c r="D118">
        <v>2.282169088721275E-2</v>
      </c>
      <c r="E118">
        <f t="shared" si="13"/>
        <v>1222</v>
      </c>
      <c r="F118">
        <f t="shared" si="21"/>
        <v>1.8321690887212749E-2</v>
      </c>
      <c r="I118">
        <f t="shared" si="15"/>
        <v>0.61644053132086984</v>
      </c>
      <c r="K118">
        <f t="shared" si="16"/>
        <v>0.62517997787407031</v>
      </c>
      <c r="L118">
        <f t="shared" si="17"/>
        <v>-0.59654517390114714</v>
      </c>
      <c r="N118">
        <v>1216.2231400000001</v>
      </c>
      <c r="O118">
        <f t="shared" si="18"/>
        <v>6.0811157000000007</v>
      </c>
      <c r="Q118">
        <v>1.2116400000000001</v>
      </c>
      <c r="R118">
        <v>0.39602999999999999</v>
      </c>
      <c r="S118">
        <f t="shared" si="22"/>
        <v>6.0582000000000003</v>
      </c>
      <c r="T118">
        <f t="shared" si="23"/>
        <v>0.39602999999999999</v>
      </c>
    </row>
    <row r="119" spans="1:20">
      <c r="A119">
        <v>6.16</v>
      </c>
      <c r="B119">
        <f t="shared" si="12"/>
        <v>1232</v>
      </c>
      <c r="C119">
        <v>0.47399999999999998</v>
      </c>
      <c r="D119">
        <v>2.2332519292831421E-2</v>
      </c>
      <c r="E119">
        <f t="shared" si="13"/>
        <v>1232</v>
      </c>
      <c r="F119">
        <f t="shared" si="21"/>
        <v>1.783251929283142E-2</v>
      </c>
      <c r="I119">
        <f t="shared" si="15"/>
        <v>0.61156831884384155</v>
      </c>
      <c r="K119">
        <f t="shared" si="16"/>
        <v>0.62002093298864369</v>
      </c>
      <c r="L119">
        <f t="shared" si="17"/>
        <v>-0.60170421878657376</v>
      </c>
      <c r="N119">
        <v>1226.4067399999999</v>
      </c>
      <c r="O119">
        <f t="shared" si="18"/>
        <v>6.1320336999999991</v>
      </c>
      <c r="Q119">
        <v>1.2221299999999999</v>
      </c>
      <c r="R119">
        <v>0.38883000000000001</v>
      </c>
      <c r="S119">
        <f t="shared" si="22"/>
        <v>6.1106499999999997</v>
      </c>
      <c r="T119">
        <f t="shared" si="23"/>
        <v>0.38883000000000001</v>
      </c>
    </row>
    <row r="120" spans="1:20">
      <c r="A120">
        <v>6.21</v>
      </c>
      <c r="B120">
        <f t="shared" si="12"/>
        <v>1242</v>
      </c>
      <c r="C120">
        <v>0.47299999999999998</v>
      </c>
      <c r="D120">
        <v>2.3083848878741261E-2</v>
      </c>
      <c r="E120">
        <f t="shared" si="13"/>
        <v>1242</v>
      </c>
      <c r="F120">
        <f t="shared" si="21"/>
        <v>1.858384887874126E-2</v>
      </c>
      <c r="I120">
        <f t="shared" si="15"/>
        <v>0.61635070153698324</v>
      </c>
      <c r="K120">
        <f t="shared" si="16"/>
        <v>0.62514086205662789</v>
      </c>
      <c r="L120">
        <f t="shared" si="17"/>
        <v>-0.59658428971858957</v>
      </c>
      <c r="N120">
        <v>1236.4886799999999</v>
      </c>
      <c r="O120">
        <f t="shared" si="18"/>
        <v>6.1824433999999995</v>
      </c>
      <c r="Q120">
        <v>1.23221</v>
      </c>
      <c r="R120">
        <v>0.38238</v>
      </c>
      <c r="S120">
        <f t="shared" si="22"/>
        <v>6.1610500000000004</v>
      </c>
      <c r="T120">
        <f t="shared" si="23"/>
        <v>0.38238</v>
      </c>
    </row>
    <row r="121" spans="1:20">
      <c r="A121">
        <v>6.27</v>
      </c>
      <c r="B121">
        <f t="shared" si="12"/>
        <v>1254</v>
      </c>
      <c r="C121">
        <v>0.47</v>
      </c>
      <c r="D121">
        <v>2.2485846653580669E-2</v>
      </c>
      <c r="E121">
        <f t="shared" si="13"/>
        <v>1254</v>
      </c>
      <c r="F121">
        <f t="shared" si="21"/>
        <v>1.7985846653580669E-2</v>
      </c>
      <c r="I121">
        <f t="shared" si="15"/>
        <v>0.61098625851795074</v>
      </c>
      <c r="K121">
        <f t="shared" si="16"/>
        <v>0.61943960644513363</v>
      </c>
      <c r="L121">
        <f t="shared" si="17"/>
        <v>-0.60228554533008383</v>
      </c>
      <c r="N121">
        <v>1247.0796800000001</v>
      </c>
      <c r="O121">
        <f t="shared" si="18"/>
        <v>6.2353984000000002</v>
      </c>
      <c r="Q121">
        <v>1.2423999999999999</v>
      </c>
      <c r="R121">
        <v>0.37594</v>
      </c>
      <c r="S121">
        <f t="shared" si="22"/>
        <v>6.2119999999999997</v>
      </c>
      <c r="T121">
        <f t="shared" si="23"/>
        <v>0.37594</v>
      </c>
    </row>
    <row r="122" spans="1:20">
      <c r="A122">
        <v>6.32</v>
      </c>
      <c r="B122">
        <f t="shared" si="12"/>
        <v>1264</v>
      </c>
      <c r="C122">
        <v>0.46800000000000003</v>
      </c>
      <c r="D122">
        <v>2.3159187287092209E-2</v>
      </c>
      <c r="E122">
        <f t="shared" si="13"/>
        <v>1264</v>
      </c>
      <c r="F122">
        <f t="shared" si="21"/>
        <v>1.8659187287092208E-2</v>
      </c>
      <c r="I122">
        <f t="shared" si="15"/>
        <v>0.61436606365442281</v>
      </c>
      <c r="K122">
        <f t="shared" si="16"/>
        <v>0.62309856330478197</v>
      </c>
      <c r="L122">
        <f t="shared" si="17"/>
        <v>-0.59862658847043548</v>
      </c>
      <c r="N122">
        <v>1257.3650399999999</v>
      </c>
      <c r="O122">
        <f t="shared" si="18"/>
        <v>6.2868251999999991</v>
      </c>
      <c r="Q122">
        <v>1.25248</v>
      </c>
      <c r="R122">
        <v>0.36928</v>
      </c>
      <c r="S122">
        <f t="shared" si="22"/>
        <v>6.2624000000000004</v>
      </c>
      <c r="T122">
        <f t="shared" si="23"/>
        <v>0.36928</v>
      </c>
    </row>
    <row r="123" spans="1:20">
      <c r="A123">
        <v>6.37</v>
      </c>
      <c r="B123">
        <f t="shared" si="12"/>
        <v>1274</v>
      </c>
      <c r="C123">
        <v>0.46600000000000003</v>
      </c>
      <c r="D123">
        <v>2.308138087391853E-2</v>
      </c>
      <c r="E123">
        <f t="shared" si="13"/>
        <v>1274</v>
      </c>
      <c r="F123">
        <f t="shared" si="21"/>
        <v>1.8581380873918529E-2</v>
      </c>
      <c r="I123">
        <f t="shared" si="15"/>
        <v>0.613028396166861</v>
      </c>
      <c r="K123">
        <f t="shared" si="16"/>
        <v>0.62168731965410706</v>
      </c>
      <c r="L123">
        <f t="shared" si="17"/>
        <v>-0.60003783212111039</v>
      </c>
      <c r="N123">
        <v>1267.54874</v>
      </c>
      <c r="O123">
        <f t="shared" si="18"/>
        <v>6.3377436999999999</v>
      </c>
      <c r="Q123">
        <v>1.2625599999999999</v>
      </c>
      <c r="R123">
        <v>0.36220999999999998</v>
      </c>
      <c r="S123">
        <f t="shared" si="22"/>
        <v>6.3127999999999993</v>
      </c>
      <c r="T123">
        <f t="shared" si="23"/>
        <v>0.36220999999999998</v>
      </c>
    </row>
    <row r="124" spans="1:20">
      <c r="A124">
        <v>6.42</v>
      </c>
      <c r="B124">
        <f t="shared" si="12"/>
        <v>1284</v>
      </c>
      <c r="C124">
        <v>0.46400000000000002</v>
      </c>
      <c r="D124">
        <v>2.2287413477897641E-2</v>
      </c>
      <c r="E124">
        <f t="shared" si="13"/>
        <v>1284</v>
      </c>
      <c r="F124">
        <f t="shared" si="21"/>
        <v>1.778741347789764E-2</v>
      </c>
      <c r="I124">
        <f t="shared" si="15"/>
        <v>0.60708519452810283</v>
      </c>
      <c r="K124">
        <f t="shared" si="16"/>
        <v>0.61533855438184737</v>
      </c>
      <c r="L124">
        <f t="shared" si="17"/>
        <v>-0.60638659739337009</v>
      </c>
      <c r="N124">
        <v>1277.93604</v>
      </c>
      <c r="O124">
        <f t="shared" si="18"/>
        <v>6.3896801999999999</v>
      </c>
      <c r="Q124">
        <v>1.27295</v>
      </c>
      <c r="R124">
        <v>0.35615999999999998</v>
      </c>
      <c r="S124">
        <f t="shared" si="22"/>
        <v>6.3647499999999999</v>
      </c>
      <c r="T124">
        <f t="shared" si="23"/>
        <v>0.35615999999999998</v>
      </c>
    </row>
    <row r="125" spans="1:20">
      <c r="A125">
        <v>6.47</v>
      </c>
      <c r="B125">
        <f t="shared" si="12"/>
        <v>1294</v>
      </c>
      <c r="C125">
        <v>0.46200000000000002</v>
      </c>
      <c r="D125">
        <v>2.303110808134079E-2</v>
      </c>
      <c r="E125">
        <f t="shared" si="13"/>
        <v>1294</v>
      </c>
      <c r="F125">
        <f t="shared" si="21"/>
        <v>1.8531108081340789E-2</v>
      </c>
      <c r="I125">
        <f t="shared" si="15"/>
        <v>0.61101126928627492</v>
      </c>
      <c r="K125">
        <f t="shared" si="16"/>
        <v>0.61957264121985434</v>
      </c>
      <c r="L125">
        <f t="shared" si="17"/>
        <v>-0.60215251055536312</v>
      </c>
      <c r="N125">
        <v>1288.6289999999999</v>
      </c>
      <c r="O125">
        <f t="shared" si="18"/>
        <v>6.4431449999999995</v>
      </c>
      <c r="Q125">
        <v>1.2840499999999999</v>
      </c>
      <c r="R125">
        <v>0.34855999999999998</v>
      </c>
      <c r="S125">
        <f t="shared" si="22"/>
        <v>6.4202499999999993</v>
      </c>
      <c r="T125">
        <f t="shared" si="23"/>
        <v>0.34855999999999998</v>
      </c>
    </row>
    <row r="126" spans="1:20">
      <c r="A126">
        <v>6.53</v>
      </c>
      <c r="B126">
        <f t="shared" si="12"/>
        <v>1306</v>
      </c>
      <c r="C126">
        <v>0.46</v>
      </c>
      <c r="D126">
        <v>2.348831482231617E-2</v>
      </c>
      <c r="E126">
        <f t="shared" si="13"/>
        <v>1306</v>
      </c>
      <c r="F126">
        <f t="shared" si="21"/>
        <v>1.8988314822316169E-2</v>
      </c>
      <c r="I126">
        <f t="shared" si="15"/>
        <v>0.61337869578972459</v>
      </c>
      <c r="K126">
        <f t="shared" si="16"/>
        <v>0.62211332060799007</v>
      </c>
      <c r="L126">
        <f t="shared" si="17"/>
        <v>-0.59961183116722738</v>
      </c>
      <c r="N126">
        <v>1299.11816</v>
      </c>
      <c r="O126">
        <f t="shared" si="18"/>
        <v>6.4955907999999996</v>
      </c>
      <c r="Q126">
        <v>1.29413</v>
      </c>
      <c r="R126">
        <v>0.34084999999999999</v>
      </c>
      <c r="S126">
        <f t="shared" si="22"/>
        <v>6.47065</v>
      </c>
      <c r="T126">
        <f t="shared" si="23"/>
        <v>0.34084999999999999</v>
      </c>
    </row>
    <row r="127" spans="1:20">
      <c r="A127">
        <v>6.58</v>
      </c>
      <c r="B127">
        <f t="shared" si="12"/>
        <v>1316</v>
      </c>
      <c r="C127">
        <v>0.45800000000000002</v>
      </c>
      <c r="D127">
        <v>2.2629233077168461E-2</v>
      </c>
      <c r="E127">
        <f t="shared" si="13"/>
        <v>1316</v>
      </c>
      <c r="F127">
        <f t="shared" si="21"/>
        <v>1.8129233077168461E-2</v>
      </c>
      <c r="I127">
        <f t="shared" si="15"/>
        <v>0.60690035364776851</v>
      </c>
      <c r="K127">
        <f t="shared" si="16"/>
        <v>0.61520354239711161</v>
      </c>
      <c r="L127">
        <f t="shared" si="17"/>
        <v>-0.60652160937810584</v>
      </c>
      <c r="N127">
        <v>1309.40362</v>
      </c>
      <c r="O127">
        <f t="shared" si="18"/>
        <v>6.5470180999999998</v>
      </c>
      <c r="Q127">
        <v>1.3045199999999999</v>
      </c>
      <c r="R127">
        <v>0.33400999999999997</v>
      </c>
      <c r="S127">
        <f t="shared" si="22"/>
        <v>6.5225999999999997</v>
      </c>
      <c r="T127">
        <f t="shared" si="23"/>
        <v>0.33400999999999997</v>
      </c>
    </row>
    <row r="128" spans="1:20">
      <c r="A128">
        <v>6.63</v>
      </c>
      <c r="B128">
        <f t="shared" si="12"/>
        <v>1326</v>
      </c>
      <c r="C128">
        <v>0.45500000000000002</v>
      </c>
      <c r="D128">
        <v>2.3756466805934909E-2</v>
      </c>
      <c r="E128">
        <f t="shared" si="13"/>
        <v>1326</v>
      </c>
      <c r="F128">
        <f t="shared" si="21"/>
        <v>1.9256466805934909E-2</v>
      </c>
      <c r="I128">
        <f t="shared" si="15"/>
        <v>0.61250537492334844</v>
      </c>
      <c r="K128">
        <f t="shared" si="16"/>
        <v>0.62126706732004888</v>
      </c>
      <c r="L128">
        <f t="shared" si="17"/>
        <v>-0.60045808445516857</v>
      </c>
      <c r="N128">
        <v>1320.1983399999999</v>
      </c>
      <c r="O128">
        <f t="shared" si="18"/>
        <v>6.6009916999999998</v>
      </c>
      <c r="Q128">
        <v>1.3148</v>
      </c>
      <c r="R128">
        <v>0.32652999999999999</v>
      </c>
      <c r="S128">
        <f t="shared" si="22"/>
        <v>6.5739999999999998</v>
      </c>
      <c r="T128">
        <f t="shared" si="23"/>
        <v>0.32652999999999999</v>
      </c>
    </row>
    <row r="129" spans="1:20">
      <c r="A129">
        <v>6.68</v>
      </c>
      <c r="B129">
        <f t="shared" si="12"/>
        <v>1336</v>
      </c>
      <c r="C129">
        <v>0.45300000000000001</v>
      </c>
      <c r="D129">
        <v>2.2980403155088421E-2</v>
      </c>
      <c r="E129">
        <f t="shared" si="13"/>
        <v>1336</v>
      </c>
      <c r="F129">
        <f t="shared" si="21"/>
        <v>1.8480403155088421E-2</v>
      </c>
      <c r="I129">
        <f t="shared" si="15"/>
        <v>0.60650909307599066</v>
      </c>
      <c r="K129">
        <f t="shared" si="16"/>
        <v>0.61488071570524572</v>
      </c>
      <c r="L129">
        <f t="shared" si="17"/>
        <v>-0.60684443606997174</v>
      </c>
      <c r="N129">
        <v>1330.6875</v>
      </c>
      <c r="O129">
        <f t="shared" si="18"/>
        <v>6.6534374999999999</v>
      </c>
      <c r="Q129">
        <v>1.3255999999999999</v>
      </c>
      <c r="R129">
        <v>0.31957999999999998</v>
      </c>
      <c r="S129">
        <f t="shared" si="22"/>
        <v>6.6279999999999992</v>
      </c>
      <c r="T129">
        <f t="shared" si="23"/>
        <v>0.31957999999999998</v>
      </c>
    </row>
    <row r="130" spans="1:20">
      <c r="A130">
        <v>6.73</v>
      </c>
      <c r="B130">
        <f t="shared" ref="B130:B193" si="24">A130*200</f>
        <v>1346</v>
      </c>
      <c r="C130">
        <v>0.45100000000000001</v>
      </c>
      <c r="D130">
        <v>2.28426568210125E-2</v>
      </c>
      <c r="E130">
        <f t="shared" ref="E130:E193" si="25">B130</f>
        <v>1346</v>
      </c>
      <c r="F130">
        <f t="shared" ref="F130:F161" si="26">D130-0.0045</f>
        <v>1.83426568210125E-2</v>
      </c>
      <c r="I130">
        <f t="shared" ref="I130:I193" si="27">C130+(D130*A130)</f>
        <v>0.60473108040541412</v>
      </c>
      <c r="K130">
        <f t="shared" ref="K130:K193" si="28">I130+(F130*C130)</f>
        <v>0.61300361863169073</v>
      </c>
      <c r="L130">
        <f t="shared" ref="L130:L193" si="29">K130-$I$1</f>
        <v>-0.60872153314352673</v>
      </c>
      <c r="N130">
        <v>1341.1766600000001</v>
      </c>
      <c r="O130">
        <f t="shared" ref="O130:O193" si="30">N130/200</f>
        <v>6.7058833</v>
      </c>
      <c r="Q130">
        <v>1.3367</v>
      </c>
      <c r="R130">
        <v>0.31141000000000002</v>
      </c>
      <c r="S130">
        <f t="shared" ref="S130:S138" si="31">Q130*5</f>
        <v>6.6835000000000004</v>
      </c>
      <c r="T130">
        <f t="shared" ref="T130:T138" si="32">R130</f>
        <v>0.31141000000000002</v>
      </c>
    </row>
    <row r="131" spans="1:20">
      <c r="A131">
        <v>6.78</v>
      </c>
      <c r="B131">
        <f t="shared" si="24"/>
        <v>1356</v>
      </c>
      <c r="C131">
        <v>0.44900000000000001</v>
      </c>
      <c r="D131">
        <v>2.3348214104771611E-2</v>
      </c>
      <c r="E131">
        <f t="shared" si="25"/>
        <v>1356</v>
      </c>
      <c r="F131">
        <f t="shared" si="26"/>
        <v>1.884821410477161E-2</v>
      </c>
      <c r="I131">
        <f t="shared" si="27"/>
        <v>0.6073008916303515</v>
      </c>
      <c r="K131">
        <f t="shared" si="28"/>
        <v>0.61576373976339394</v>
      </c>
      <c r="L131">
        <f t="shared" si="29"/>
        <v>-0.60596141201182352</v>
      </c>
      <c r="N131">
        <v>1352.48046</v>
      </c>
      <c r="O131">
        <f t="shared" si="30"/>
        <v>6.7624022999999998</v>
      </c>
      <c r="Q131">
        <v>1.3468800000000001</v>
      </c>
      <c r="R131">
        <v>0.30376999999999998</v>
      </c>
      <c r="S131">
        <f t="shared" si="31"/>
        <v>6.7344000000000008</v>
      </c>
      <c r="T131">
        <f t="shared" si="32"/>
        <v>0.30376999999999998</v>
      </c>
    </row>
    <row r="132" spans="1:20">
      <c r="A132">
        <v>6.83</v>
      </c>
      <c r="B132">
        <f t="shared" si="24"/>
        <v>1366</v>
      </c>
      <c r="C132">
        <v>0.44700000000000001</v>
      </c>
      <c r="D132">
        <v>2.255835197865963E-2</v>
      </c>
      <c r="E132">
        <f t="shared" si="25"/>
        <v>1366</v>
      </c>
      <c r="F132">
        <f t="shared" si="26"/>
        <v>1.8058351978659629E-2</v>
      </c>
      <c r="I132">
        <f t="shared" si="27"/>
        <v>0.60107354401424529</v>
      </c>
      <c r="K132">
        <f t="shared" si="28"/>
        <v>0.60914562734870614</v>
      </c>
      <c r="L132">
        <f t="shared" si="29"/>
        <v>-0.61257952442651131</v>
      </c>
      <c r="N132">
        <v>1362.5623000000001</v>
      </c>
      <c r="O132">
        <f t="shared" si="30"/>
        <v>6.8128115000000005</v>
      </c>
      <c r="Q132">
        <v>1.35727</v>
      </c>
      <c r="R132">
        <v>0.29629</v>
      </c>
      <c r="S132">
        <f t="shared" si="31"/>
        <v>6.7863499999999997</v>
      </c>
      <c r="T132">
        <f t="shared" si="32"/>
        <v>0.29629</v>
      </c>
    </row>
    <row r="133" spans="1:20">
      <c r="A133">
        <v>6.88</v>
      </c>
      <c r="B133">
        <f t="shared" si="24"/>
        <v>1376</v>
      </c>
      <c r="C133">
        <v>0.44500000000000001</v>
      </c>
      <c r="D133">
        <v>2.312240190804005E-2</v>
      </c>
      <c r="E133">
        <f t="shared" si="25"/>
        <v>1376</v>
      </c>
      <c r="F133">
        <f t="shared" si="26"/>
        <v>1.862240190804005E-2</v>
      </c>
      <c r="I133">
        <f t="shared" si="27"/>
        <v>0.60408212512731552</v>
      </c>
      <c r="K133">
        <f t="shared" si="28"/>
        <v>0.61236909397639339</v>
      </c>
      <c r="L133">
        <f t="shared" si="29"/>
        <v>-0.60935605779882407</v>
      </c>
      <c r="N133">
        <v>1372.7460000000001</v>
      </c>
      <c r="O133">
        <f t="shared" si="30"/>
        <v>6.8637300000000003</v>
      </c>
      <c r="Q133">
        <v>1.3673500000000001</v>
      </c>
      <c r="R133">
        <v>0.28899000000000002</v>
      </c>
      <c r="S133">
        <f t="shared" si="31"/>
        <v>6.8367500000000003</v>
      </c>
      <c r="T133">
        <f t="shared" si="32"/>
        <v>0.28899000000000002</v>
      </c>
    </row>
    <row r="134" spans="1:20">
      <c r="A134">
        <v>6.94</v>
      </c>
      <c r="B134">
        <f t="shared" si="24"/>
        <v>1388</v>
      </c>
      <c r="C134">
        <v>0.443</v>
      </c>
      <c r="D134">
        <v>2.2912666201591492E-2</v>
      </c>
      <c r="E134">
        <f t="shared" si="25"/>
        <v>1388</v>
      </c>
      <c r="F134">
        <f t="shared" si="26"/>
        <v>1.8412666201591491E-2</v>
      </c>
      <c r="I134">
        <f t="shared" si="27"/>
        <v>0.60201390343904493</v>
      </c>
      <c r="K134">
        <f t="shared" si="28"/>
        <v>0.61017071456634997</v>
      </c>
      <c r="L134">
        <f t="shared" si="29"/>
        <v>-0.61155443720886749</v>
      </c>
      <c r="N134">
        <v>1382.92958</v>
      </c>
      <c r="O134">
        <f t="shared" si="30"/>
        <v>6.9146479000000003</v>
      </c>
      <c r="Q134">
        <v>1.37784</v>
      </c>
      <c r="R134">
        <v>0.28105000000000002</v>
      </c>
      <c r="S134">
        <f t="shared" si="31"/>
        <v>6.8891999999999998</v>
      </c>
      <c r="T134">
        <f t="shared" si="32"/>
        <v>0.28105000000000002</v>
      </c>
    </row>
    <row r="135" spans="1:20">
      <c r="A135">
        <v>6.99</v>
      </c>
      <c r="B135">
        <f t="shared" si="24"/>
        <v>1398</v>
      </c>
      <c r="C135">
        <v>0.441</v>
      </c>
      <c r="D135">
        <v>2.3176034912466999E-2</v>
      </c>
      <c r="E135">
        <f t="shared" si="25"/>
        <v>1398</v>
      </c>
      <c r="F135">
        <f t="shared" si="26"/>
        <v>1.8676034912466999E-2</v>
      </c>
      <c r="I135">
        <f t="shared" si="27"/>
        <v>0.60300048403814432</v>
      </c>
      <c r="K135">
        <f t="shared" si="28"/>
        <v>0.61123661543454222</v>
      </c>
      <c r="L135">
        <f t="shared" si="29"/>
        <v>-0.61048853634067524</v>
      </c>
      <c r="N135">
        <v>1393.3169</v>
      </c>
      <c r="O135">
        <f t="shared" si="30"/>
        <v>6.9665844999999997</v>
      </c>
      <c r="Q135">
        <v>1.38863</v>
      </c>
      <c r="R135">
        <v>0.27350999999999998</v>
      </c>
      <c r="S135">
        <f t="shared" si="31"/>
        <v>6.9431500000000002</v>
      </c>
      <c r="T135">
        <f t="shared" si="32"/>
        <v>0.27350999999999998</v>
      </c>
    </row>
    <row r="136" spans="1:20">
      <c r="A136">
        <v>7.04</v>
      </c>
      <c r="B136">
        <f t="shared" si="24"/>
        <v>1408</v>
      </c>
      <c r="C136">
        <v>0.439</v>
      </c>
      <c r="D136">
        <v>2.292532101273537E-2</v>
      </c>
      <c r="E136">
        <f t="shared" si="25"/>
        <v>1408</v>
      </c>
      <c r="F136">
        <f t="shared" si="26"/>
        <v>1.842532101273537E-2</v>
      </c>
      <c r="I136">
        <f t="shared" si="27"/>
        <v>0.600394259929657</v>
      </c>
      <c r="K136">
        <f t="shared" si="28"/>
        <v>0.60848297585424782</v>
      </c>
      <c r="L136">
        <f t="shared" si="29"/>
        <v>-0.61324217592096963</v>
      </c>
      <c r="N136">
        <v>1403.6025400000001</v>
      </c>
      <c r="O136">
        <f t="shared" si="30"/>
        <v>7.0180127000000008</v>
      </c>
      <c r="Q136">
        <v>1.39882</v>
      </c>
      <c r="R136">
        <v>0.26555000000000001</v>
      </c>
      <c r="S136">
        <f t="shared" si="31"/>
        <v>6.9940999999999995</v>
      </c>
      <c r="T136">
        <f t="shared" si="32"/>
        <v>0.26555000000000001</v>
      </c>
    </row>
    <row r="137" spans="1:20">
      <c r="A137">
        <v>7.09</v>
      </c>
      <c r="B137">
        <f t="shared" si="24"/>
        <v>1418</v>
      </c>
      <c r="C137">
        <v>0.437</v>
      </c>
      <c r="D137">
        <v>2.3279450833797451E-2</v>
      </c>
      <c r="E137">
        <f t="shared" si="25"/>
        <v>1418</v>
      </c>
      <c r="F137">
        <f t="shared" si="26"/>
        <v>1.8779450833797451E-2</v>
      </c>
      <c r="I137">
        <f t="shared" si="27"/>
        <v>0.60205130641162397</v>
      </c>
      <c r="K137">
        <f t="shared" si="28"/>
        <v>0.61025792642599341</v>
      </c>
      <c r="L137">
        <f t="shared" si="29"/>
        <v>-0.61146722534922404</v>
      </c>
      <c r="N137">
        <v>1413.88798</v>
      </c>
      <c r="O137">
        <f t="shared" si="30"/>
        <v>7.0694398999999999</v>
      </c>
      <c r="Q137">
        <v>1.4089</v>
      </c>
      <c r="R137">
        <v>0.25830999999999998</v>
      </c>
      <c r="S137">
        <f t="shared" si="31"/>
        <v>7.0445000000000002</v>
      </c>
      <c r="T137">
        <f t="shared" si="32"/>
        <v>0.25830999999999998</v>
      </c>
    </row>
    <row r="138" spans="1:20">
      <c r="A138">
        <v>7.15</v>
      </c>
      <c r="B138">
        <f t="shared" si="24"/>
        <v>1430</v>
      </c>
      <c r="C138">
        <v>0.434</v>
      </c>
      <c r="D138">
        <v>2.3136518895626072E-2</v>
      </c>
      <c r="E138">
        <f t="shared" si="25"/>
        <v>1430</v>
      </c>
      <c r="F138">
        <f t="shared" si="26"/>
        <v>1.8636518895626071E-2</v>
      </c>
      <c r="I138">
        <f t="shared" si="27"/>
        <v>0.59942611010372637</v>
      </c>
      <c r="K138">
        <f t="shared" si="28"/>
        <v>0.6075143593044281</v>
      </c>
      <c r="L138">
        <f t="shared" si="29"/>
        <v>-0.61421079247078936</v>
      </c>
      <c r="N138">
        <v>1424.17354</v>
      </c>
      <c r="O138">
        <f t="shared" si="30"/>
        <v>7.1208676999999998</v>
      </c>
      <c r="Q138">
        <v>1.4160299999999999</v>
      </c>
      <c r="R138">
        <v>0.25158999999999998</v>
      </c>
      <c r="S138">
        <f t="shared" si="31"/>
        <v>7.0801499999999997</v>
      </c>
      <c r="T138">
        <f t="shared" si="32"/>
        <v>0.25158999999999998</v>
      </c>
    </row>
    <row r="139" spans="1:20">
      <c r="A139">
        <v>7.2</v>
      </c>
      <c r="B139">
        <f t="shared" si="24"/>
        <v>1440</v>
      </c>
      <c r="C139">
        <v>0.432</v>
      </c>
      <c r="D139">
        <v>2.3596091195940971E-2</v>
      </c>
      <c r="E139">
        <f t="shared" si="25"/>
        <v>1440</v>
      </c>
      <c r="F139">
        <f t="shared" si="26"/>
        <v>1.9096091195940971E-2</v>
      </c>
      <c r="I139">
        <f t="shared" si="27"/>
        <v>0.60189185661077493</v>
      </c>
      <c r="K139">
        <f t="shared" si="28"/>
        <v>0.61014136800742147</v>
      </c>
      <c r="L139">
        <f t="shared" si="29"/>
        <v>-0.61158378376779599</v>
      </c>
      <c r="N139">
        <v>1434.4589800000001</v>
      </c>
      <c r="O139">
        <f t="shared" si="30"/>
        <v>7.1722949000000007</v>
      </c>
    </row>
    <row r="140" spans="1:20">
      <c r="A140">
        <v>7.25</v>
      </c>
      <c r="B140">
        <f t="shared" si="24"/>
        <v>1450</v>
      </c>
      <c r="C140">
        <v>0.43</v>
      </c>
      <c r="D140">
        <v>2.316553890705109E-2</v>
      </c>
      <c r="E140">
        <f t="shared" si="25"/>
        <v>1450</v>
      </c>
      <c r="F140">
        <f t="shared" si="26"/>
        <v>1.8665538907051089E-2</v>
      </c>
      <c r="I140">
        <f t="shared" si="27"/>
        <v>0.59795015707612043</v>
      </c>
      <c r="K140">
        <f t="shared" si="28"/>
        <v>0.60597633880615243</v>
      </c>
      <c r="L140">
        <f t="shared" si="29"/>
        <v>-0.61574881296906503</v>
      </c>
      <c r="N140">
        <v>1444.8464799999999</v>
      </c>
      <c r="O140">
        <f t="shared" si="30"/>
        <v>7.2242324</v>
      </c>
    </row>
    <row r="141" spans="1:20">
      <c r="A141">
        <v>7.31</v>
      </c>
      <c r="B141">
        <f t="shared" si="24"/>
        <v>1462</v>
      </c>
      <c r="C141">
        <v>0.42799999999999999</v>
      </c>
      <c r="D141">
        <v>2.4038000032305721E-2</v>
      </c>
      <c r="E141">
        <f t="shared" si="25"/>
        <v>1462</v>
      </c>
      <c r="F141">
        <f t="shared" si="26"/>
        <v>1.953800003230572E-2</v>
      </c>
      <c r="I141">
        <f t="shared" si="27"/>
        <v>0.60371778023615486</v>
      </c>
      <c r="K141">
        <f t="shared" si="28"/>
        <v>0.61208004424998175</v>
      </c>
      <c r="L141">
        <f t="shared" si="29"/>
        <v>-0.60964510752523571</v>
      </c>
      <c r="N141">
        <v>1455.53926</v>
      </c>
      <c r="O141">
        <f t="shared" si="30"/>
        <v>7.2776962999999997</v>
      </c>
    </row>
    <row r="142" spans="1:20">
      <c r="A142">
        <v>7.36</v>
      </c>
      <c r="B142">
        <f t="shared" si="24"/>
        <v>1472</v>
      </c>
      <c r="C142">
        <v>0.42599999999999999</v>
      </c>
      <c r="D142">
        <v>2.2874869406223301E-2</v>
      </c>
      <c r="E142">
        <f t="shared" si="25"/>
        <v>1472</v>
      </c>
      <c r="F142">
        <f t="shared" si="26"/>
        <v>1.83748694062233E-2</v>
      </c>
      <c r="I142">
        <f t="shared" si="27"/>
        <v>0.59435903882980345</v>
      </c>
      <c r="K142">
        <f t="shared" si="28"/>
        <v>0.60218673319685456</v>
      </c>
      <c r="L142">
        <f t="shared" si="29"/>
        <v>-0.61953841857836289</v>
      </c>
      <c r="N142">
        <v>1465.6210000000001</v>
      </c>
      <c r="O142">
        <f t="shared" si="30"/>
        <v>7.3281050000000008</v>
      </c>
    </row>
    <row r="143" spans="1:20">
      <c r="A143">
        <v>7.41</v>
      </c>
      <c r="B143">
        <f t="shared" si="24"/>
        <v>1482</v>
      </c>
      <c r="C143">
        <v>0.42399999999999999</v>
      </c>
      <c r="D143">
        <v>2.321753092110157E-2</v>
      </c>
      <c r="E143">
        <f t="shared" si="25"/>
        <v>1482</v>
      </c>
      <c r="F143">
        <f t="shared" si="26"/>
        <v>1.871753092110157E-2</v>
      </c>
      <c r="I143">
        <f t="shared" si="27"/>
        <v>0.59604190412536262</v>
      </c>
      <c r="K143">
        <f t="shared" si="28"/>
        <v>0.60397813723590965</v>
      </c>
      <c r="L143">
        <f t="shared" si="29"/>
        <v>-0.6177470145393078</v>
      </c>
      <c r="N143">
        <v>1475.80458</v>
      </c>
      <c r="O143">
        <f t="shared" si="30"/>
        <v>7.3790228999999998</v>
      </c>
    </row>
    <row r="144" spans="1:20">
      <c r="A144">
        <v>7.46</v>
      </c>
      <c r="B144">
        <f t="shared" si="24"/>
        <v>1492</v>
      </c>
      <c r="C144">
        <v>0.42199999999999999</v>
      </c>
      <c r="D144">
        <v>2.334983088076115E-2</v>
      </c>
      <c r="E144">
        <f t="shared" si="25"/>
        <v>1492</v>
      </c>
      <c r="F144">
        <f t="shared" si="26"/>
        <v>1.8849830880761149E-2</v>
      </c>
      <c r="I144">
        <f t="shared" si="27"/>
        <v>0.59618973837047817</v>
      </c>
      <c r="K144">
        <f t="shared" si="28"/>
        <v>0.60414436700215934</v>
      </c>
      <c r="L144">
        <f t="shared" si="29"/>
        <v>-0.61758078477305811</v>
      </c>
      <c r="N144">
        <v>1486.29384</v>
      </c>
      <c r="O144">
        <f t="shared" si="30"/>
        <v>7.4314692000000004</v>
      </c>
    </row>
    <row r="145" spans="1:15">
      <c r="A145">
        <v>7.52</v>
      </c>
      <c r="B145">
        <f t="shared" si="24"/>
        <v>1504</v>
      </c>
      <c r="C145">
        <v>0.42</v>
      </c>
      <c r="D145">
        <v>2.3089613765478131E-2</v>
      </c>
      <c r="E145">
        <f t="shared" si="25"/>
        <v>1504</v>
      </c>
      <c r="F145">
        <f t="shared" si="26"/>
        <v>1.858961376547813E-2</v>
      </c>
      <c r="I145">
        <f t="shared" si="27"/>
        <v>0.59363389551639556</v>
      </c>
      <c r="K145">
        <f t="shared" si="28"/>
        <v>0.6014415332978964</v>
      </c>
      <c r="L145">
        <f t="shared" si="29"/>
        <v>-0.62028361847732105</v>
      </c>
      <c r="N145">
        <v>1496.8848599999999</v>
      </c>
      <c r="O145">
        <f t="shared" si="30"/>
        <v>7.4844242999999997</v>
      </c>
    </row>
    <row r="146" spans="1:15">
      <c r="A146">
        <v>7.57</v>
      </c>
      <c r="B146">
        <f t="shared" si="24"/>
        <v>1514</v>
      </c>
      <c r="C146">
        <v>0.41799999999999998</v>
      </c>
      <c r="D146">
        <v>2.4445373564958569E-2</v>
      </c>
      <c r="E146">
        <f t="shared" si="25"/>
        <v>1514</v>
      </c>
      <c r="F146">
        <f t="shared" si="26"/>
        <v>1.9945373564958568E-2</v>
      </c>
      <c r="I146">
        <f t="shared" si="27"/>
        <v>0.60305147788673641</v>
      </c>
      <c r="K146">
        <f t="shared" si="28"/>
        <v>0.61138864403688908</v>
      </c>
      <c r="L146">
        <f t="shared" si="29"/>
        <v>-0.61033650773832837</v>
      </c>
      <c r="N146">
        <v>1506.9666</v>
      </c>
      <c r="O146">
        <f t="shared" si="30"/>
        <v>7.5348329999999999</v>
      </c>
    </row>
    <row r="147" spans="1:15">
      <c r="A147">
        <v>7.62</v>
      </c>
      <c r="B147">
        <f t="shared" si="24"/>
        <v>1524</v>
      </c>
      <c r="C147">
        <v>0.41599999999999998</v>
      </c>
      <c r="D147">
        <v>2.307135425508022E-2</v>
      </c>
      <c r="E147">
        <f t="shared" si="25"/>
        <v>1524</v>
      </c>
      <c r="F147">
        <f t="shared" si="26"/>
        <v>1.8571354255080219E-2</v>
      </c>
      <c r="I147">
        <f t="shared" si="27"/>
        <v>0.59180371942371124</v>
      </c>
      <c r="K147">
        <f t="shared" si="28"/>
        <v>0.59952940279382461</v>
      </c>
      <c r="L147">
        <f t="shared" si="29"/>
        <v>-0.62219574898139285</v>
      </c>
      <c r="N147">
        <v>1517.76142</v>
      </c>
      <c r="O147">
        <f t="shared" si="30"/>
        <v>7.5888071000000004</v>
      </c>
    </row>
    <row r="148" spans="1:15">
      <c r="A148">
        <v>7.67</v>
      </c>
      <c r="B148">
        <f t="shared" si="24"/>
        <v>1534</v>
      </c>
      <c r="C148">
        <v>0.41299999999999998</v>
      </c>
      <c r="D148">
        <v>2.379290014505386E-2</v>
      </c>
      <c r="E148">
        <f t="shared" si="25"/>
        <v>1534</v>
      </c>
      <c r="F148">
        <f t="shared" si="26"/>
        <v>1.929290014505386E-2</v>
      </c>
      <c r="I148">
        <f t="shared" si="27"/>
        <v>0.59549154411256311</v>
      </c>
      <c r="K148">
        <f t="shared" si="28"/>
        <v>0.60345951187247038</v>
      </c>
      <c r="L148">
        <f t="shared" si="29"/>
        <v>-0.61826563990274708</v>
      </c>
      <c r="N148">
        <v>1528.5561600000001</v>
      </c>
      <c r="O148">
        <f t="shared" si="30"/>
        <v>7.6427808000000006</v>
      </c>
    </row>
    <row r="149" spans="1:15">
      <c r="A149">
        <v>7.72</v>
      </c>
      <c r="B149">
        <f t="shared" si="24"/>
        <v>1544</v>
      </c>
      <c r="C149">
        <v>0.41099999999999998</v>
      </c>
      <c r="D149">
        <v>2.3416850715875629E-2</v>
      </c>
      <c r="E149">
        <f t="shared" si="25"/>
        <v>1544</v>
      </c>
      <c r="F149">
        <f t="shared" si="26"/>
        <v>1.8916850715875629E-2</v>
      </c>
      <c r="I149">
        <f t="shared" si="27"/>
        <v>0.5917780875265598</v>
      </c>
      <c r="K149">
        <f t="shared" si="28"/>
        <v>0.59955291317078474</v>
      </c>
      <c r="L149">
        <f t="shared" si="29"/>
        <v>-0.62217223860443271</v>
      </c>
      <c r="N149">
        <v>1538.8416999999999</v>
      </c>
      <c r="O149">
        <f t="shared" si="30"/>
        <v>7.6942084999999993</v>
      </c>
    </row>
    <row r="150" spans="1:15">
      <c r="A150">
        <v>7.77</v>
      </c>
      <c r="B150">
        <f t="shared" si="24"/>
        <v>1554</v>
      </c>
      <c r="C150">
        <v>0.40899999999999997</v>
      </c>
      <c r="D150">
        <v>2.3439330980181691E-2</v>
      </c>
      <c r="E150">
        <f t="shared" si="25"/>
        <v>1554</v>
      </c>
      <c r="F150">
        <f t="shared" si="26"/>
        <v>1.893933098018169E-2</v>
      </c>
      <c r="I150">
        <f t="shared" si="27"/>
        <v>0.59112360171601175</v>
      </c>
      <c r="K150">
        <f t="shared" si="28"/>
        <v>0.59886978808690605</v>
      </c>
      <c r="L150">
        <f t="shared" si="29"/>
        <v>-0.6228553636883114</v>
      </c>
      <c r="N150">
        <v>1548.92344</v>
      </c>
      <c r="O150">
        <f t="shared" si="30"/>
        <v>7.7446172000000004</v>
      </c>
    </row>
    <row r="151" spans="1:15">
      <c r="A151">
        <v>7.82</v>
      </c>
      <c r="B151">
        <f t="shared" si="24"/>
        <v>1564</v>
      </c>
      <c r="C151">
        <v>0.40699999999999997</v>
      </c>
      <c r="D151">
        <v>2.3617656901478771E-2</v>
      </c>
      <c r="E151">
        <f t="shared" si="25"/>
        <v>1564</v>
      </c>
      <c r="F151">
        <f t="shared" si="26"/>
        <v>1.911765690147877E-2</v>
      </c>
      <c r="I151">
        <f t="shared" si="27"/>
        <v>0.59169007696956399</v>
      </c>
      <c r="K151">
        <f t="shared" si="28"/>
        <v>0.59947096332846583</v>
      </c>
      <c r="L151">
        <f t="shared" si="29"/>
        <v>-0.62225418844675162</v>
      </c>
      <c r="N151">
        <v>1559.7181599999999</v>
      </c>
      <c r="O151">
        <f t="shared" si="30"/>
        <v>7.7985907999999995</v>
      </c>
    </row>
    <row r="152" spans="1:15">
      <c r="A152">
        <v>7.87</v>
      </c>
      <c r="B152">
        <f t="shared" si="24"/>
        <v>1574</v>
      </c>
      <c r="C152">
        <v>0.40500000000000003</v>
      </c>
      <c r="D152">
        <v>2.4122841656208038E-2</v>
      </c>
      <c r="E152">
        <f t="shared" si="25"/>
        <v>1574</v>
      </c>
      <c r="F152">
        <f t="shared" si="26"/>
        <v>1.9622841656208038E-2</v>
      </c>
      <c r="I152">
        <f t="shared" si="27"/>
        <v>0.59484676383435731</v>
      </c>
      <c r="K152">
        <f t="shared" si="28"/>
        <v>0.60279401470512162</v>
      </c>
      <c r="L152">
        <f t="shared" si="29"/>
        <v>-0.61893113707009584</v>
      </c>
      <c r="N152">
        <v>1569.7999</v>
      </c>
      <c r="O152">
        <f t="shared" si="30"/>
        <v>7.8489994999999997</v>
      </c>
    </row>
    <row r="153" spans="1:15">
      <c r="A153">
        <v>7.92</v>
      </c>
      <c r="B153">
        <f t="shared" si="24"/>
        <v>1584</v>
      </c>
      <c r="C153">
        <v>0.40300000000000002</v>
      </c>
      <c r="D153">
        <v>2.3679986596107479E-2</v>
      </c>
      <c r="E153">
        <f t="shared" si="25"/>
        <v>1584</v>
      </c>
      <c r="F153">
        <f t="shared" si="26"/>
        <v>1.9179986596107479E-2</v>
      </c>
      <c r="I153">
        <f t="shared" si="27"/>
        <v>0.59054549384117128</v>
      </c>
      <c r="K153">
        <f t="shared" si="28"/>
        <v>0.59827502843940261</v>
      </c>
      <c r="L153">
        <f t="shared" si="29"/>
        <v>-0.62345012333581484</v>
      </c>
      <c r="N153">
        <v>1580.9001000000001</v>
      </c>
      <c r="O153">
        <f t="shared" si="30"/>
        <v>7.9045005000000002</v>
      </c>
    </row>
    <row r="154" spans="1:15">
      <c r="A154">
        <v>7.98</v>
      </c>
      <c r="B154">
        <f t="shared" si="24"/>
        <v>1596</v>
      </c>
      <c r="C154">
        <v>0.40100000000000002</v>
      </c>
      <c r="D154">
        <v>2.3782368749380112E-2</v>
      </c>
      <c r="E154">
        <f t="shared" si="25"/>
        <v>1596</v>
      </c>
      <c r="F154">
        <f t="shared" si="26"/>
        <v>1.9282368749380111E-2</v>
      </c>
      <c r="I154">
        <f t="shared" si="27"/>
        <v>0.5907833026200533</v>
      </c>
      <c r="K154">
        <f t="shared" si="28"/>
        <v>0.59851553248855471</v>
      </c>
      <c r="L154">
        <f t="shared" si="29"/>
        <v>-0.62320961928666274</v>
      </c>
      <c r="N154">
        <v>1590.9819399999999</v>
      </c>
      <c r="O154">
        <f t="shared" si="30"/>
        <v>7.9549096999999991</v>
      </c>
    </row>
    <row r="155" spans="1:15">
      <c r="A155">
        <v>8.0299999999999994</v>
      </c>
      <c r="B155">
        <f t="shared" si="24"/>
        <v>1605.9999999999998</v>
      </c>
      <c r="C155">
        <v>0.39900000000000002</v>
      </c>
      <c r="D155">
        <v>2.3811902850866321E-2</v>
      </c>
      <c r="E155">
        <f t="shared" si="25"/>
        <v>1605.9999999999998</v>
      </c>
      <c r="F155">
        <f t="shared" si="26"/>
        <v>1.9311902850866321E-2</v>
      </c>
      <c r="I155">
        <f t="shared" si="27"/>
        <v>0.59020957989245659</v>
      </c>
      <c r="K155">
        <f t="shared" si="28"/>
        <v>0.5979150291299522</v>
      </c>
      <c r="L155">
        <f t="shared" si="29"/>
        <v>-0.62381012264526525</v>
      </c>
      <c r="N155">
        <v>1601.26748</v>
      </c>
      <c r="O155">
        <f t="shared" si="30"/>
        <v>8.0063373999999996</v>
      </c>
    </row>
    <row r="156" spans="1:15">
      <c r="A156">
        <v>8.08</v>
      </c>
      <c r="B156">
        <f t="shared" si="24"/>
        <v>1616</v>
      </c>
      <c r="C156">
        <v>0.39700000000000002</v>
      </c>
      <c r="D156">
        <v>2.3356638848781589E-2</v>
      </c>
      <c r="E156">
        <f t="shared" si="25"/>
        <v>1616</v>
      </c>
      <c r="F156">
        <f t="shared" si="26"/>
        <v>1.8856638848781589E-2</v>
      </c>
      <c r="I156">
        <f t="shared" si="27"/>
        <v>0.58572164189815523</v>
      </c>
      <c r="K156">
        <f t="shared" si="28"/>
        <v>0.5932077275211215</v>
      </c>
      <c r="L156">
        <f t="shared" si="29"/>
        <v>-0.62851742425409596</v>
      </c>
      <c r="N156">
        <v>1612.2659200000001</v>
      </c>
      <c r="O156">
        <f t="shared" si="30"/>
        <v>8.0613296000000005</v>
      </c>
    </row>
    <row r="157" spans="1:15">
      <c r="A157">
        <v>8.1300000000000008</v>
      </c>
      <c r="B157">
        <f t="shared" si="24"/>
        <v>1626.0000000000002</v>
      </c>
      <c r="C157">
        <v>0.39500000000000002</v>
      </c>
      <c r="D157">
        <v>2.376625686883926E-2</v>
      </c>
      <c r="E157">
        <f t="shared" si="25"/>
        <v>1626.0000000000002</v>
      </c>
      <c r="F157">
        <f t="shared" si="26"/>
        <v>1.926625686883926E-2</v>
      </c>
      <c r="I157">
        <f t="shared" si="27"/>
        <v>0.58821966834366324</v>
      </c>
      <c r="K157">
        <f t="shared" si="28"/>
        <v>0.59582983980685478</v>
      </c>
      <c r="L157">
        <f t="shared" si="29"/>
        <v>-0.62589531196836268</v>
      </c>
      <c r="N157">
        <v>1622.5513599999999</v>
      </c>
      <c r="O157">
        <f t="shared" si="30"/>
        <v>8.1127567999999997</v>
      </c>
    </row>
    <row r="158" spans="1:15">
      <c r="A158">
        <v>8.18</v>
      </c>
      <c r="B158">
        <f t="shared" si="24"/>
        <v>1636</v>
      </c>
      <c r="C158">
        <v>0.39300000000000002</v>
      </c>
      <c r="D158">
        <v>2.3481503129005429E-2</v>
      </c>
      <c r="E158">
        <f t="shared" si="25"/>
        <v>1636</v>
      </c>
      <c r="F158">
        <f t="shared" si="26"/>
        <v>1.8981503129005428E-2</v>
      </c>
      <c r="I158">
        <f t="shared" si="27"/>
        <v>0.58507869559526438</v>
      </c>
      <c r="K158">
        <f t="shared" si="28"/>
        <v>0.59253842632496356</v>
      </c>
      <c r="L158">
        <f t="shared" si="29"/>
        <v>-0.62918672545025389</v>
      </c>
      <c r="N158">
        <v>1632.73506</v>
      </c>
      <c r="O158">
        <f t="shared" si="30"/>
        <v>8.1636752999999995</v>
      </c>
    </row>
    <row r="159" spans="1:15">
      <c r="A159">
        <v>8.23</v>
      </c>
      <c r="B159">
        <f t="shared" si="24"/>
        <v>1646</v>
      </c>
      <c r="C159">
        <v>0.39</v>
      </c>
      <c r="D159">
        <v>2.421257458627224E-2</v>
      </c>
      <c r="E159">
        <f t="shared" si="25"/>
        <v>1646</v>
      </c>
      <c r="F159">
        <f t="shared" si="26"/>
        <v>1.9712574586272239E-2</v>
      </c>
      <c r="I159">
        <f t="shared" si="27"/>
        <v>0.58926948884502051</v>
      </c>
      <c r="K159">
        <f t="shared" si="28"/>
        <v>0.59695739293366668</v>
      </c>
      <c r="L159">
        <f t="shared" si="29"/>
        <v>-0.62476775884155078</v>
      </c>
      <c r="N159">
        <v>1643.4279200000001</v>
      </c>
      <c r="O159">
        <f t="shared" si="30"/>
        <v>8.2171396000000012</v>
      </c>
    </row>
    <row r="160" spans="1:15">
      <c r="A160">
        <v>8.2799999999999994</v>
      </c>
      <c r="B160">
        <f t="shared" si="24"/>
        <v>1655.9999999999998</v>
      </c>
      <c r="C160">
        <v>0.38800000000000001</v>
      </c>
      <c r="D160">
        <v>2.3381641134619709E-2</v>
      </c>
      <c r="E160">
        <f t="shared" si="25"/>
        <v>1655.9999999999998</v>
      </c>
      <c r="F160">
        <f t="shared" si="26"/>
        <v>1.8881641134619709E-2</v>
      </c>
      <c r="I160">
        <f t="shared" si="27"/>
        <v>0.58159998859465123</v>
      </c>
      <c r="K160">
        <f t="shared" si="28"/>
        <v>0.58892606535488368</v>
      </c>
      <c r="L160">
        <f t="shared" si="29"/>
        <v>-0.63279908642033378</v>
      </c>
      <c r="N160">
        <v>1653.5097599999999</v>
      </c>
      <c r="O160">
        <f t="shared" si="30"/>
        <v>8.2675488000000001</v>
      </c>
    </row>
    <row r="161" spans="1:15">
      <c r="A161">
        <v>8.34</v>
      </c>
      <c r="B161">
        <f t="shared" si="24"/>
        <v>1668</v>
      </c>
      <c r="C161">
        <v>0.38600000000000001</v>
      </c>
      <c r="D161">
        <v>2.4179680272936821E-2</v>
      </c>
      <c r="E161">
        <f t="shared" si="25"/>
        <v>1668</v>
      </c>
      <c r="F161">
        <f t="shared" si="26"/>
        <v>1.967968027293682E-2</v>
      </c>
      <c r="I161">
        <f t="shared" si="27"/>
        <v>0.58765853347629315</v>
      </c>
      <c r="K161">
        <f t="shared" si="28"/>
        <v>0.59525489006164678</v>
      </c>
      <c r="L161">
        <f t="shared" si="29"/>
        <v>-0.62647026171357068</v>
      </c>
      <c r="N161">
        <v>1663.5916</v>
      </c>
      <c r="O161">
        <f t="shared" si="30"/>
        <v>8.3179579999999991</v>
      </c>
    </row>
    <row r="162" spans="1:15">
      <c r="A162">
        <v>8.39</v>
      </c>
      <c r="B162">
        <f t="shared" si="24"/>
        <v>1678</v>
      </c>
      <c r="C162">
        <v>0.38400000000000001</v>
      </c>
      <c r="D162">
        <v>2.3598005995154381E-2</v>
      </c>
      <c r="E162">
        <f t="shared" si="25"/>
        <v>1678</v>
      </c>
      <c r="F162">
        <f t="shared" ref="F162:F195" si="33">D162-0.0045</f>
        <v>1.909800599515438E-2</v>
      </c>
      <c r="I162">
        <f t="shared" si="27"/>
        <v>0.58198727029934527</v>
      </c>
      <c r="K162">
        <f t="shared" si="28"/>
        <v>0.58932090460148456</v>
      </c>
      <c r="L162">
        <f t="shared" si="29"/>
        <v>-0.63240424717373289</v>
      </c>
      <c r="N162">
        <v>1674.08086</v>
      </c>
      <c r="O162">
        <f t="shared" si="30"/>
        <v>8.3704043000000006</v>
      </c>
    </row>
    <row r="163" spans="1:15">
      <c r="A163">
        <v>8.44</v>
      </c>
      <c r="B163">
        <f t="shared" si="24"/>
        <v>1688</v>
      </c>
      <c r="C163">
        <v>0.38200000000000001</v>
      </c>
      <c r="D163">
        <v>2.405710332095623E-2</v>
      </c>
      <c r="E163">
        <f t="shared" si="25"/>
        <v>1688</v>
      </c>
      <c r="F163">
        <f t="shared" si="33"/>
        <v>1.955710332095623E-2</v>
      </c>
      <c r="I163">
        <f t="shared" si="27"/>
        <v>0.58504195202887055</v>
      </c>
      <c r="K163">
        <f t="shared" si="28"/>
        <v>0.59251276549747578</v>
      </c>
      <c r="L163">
        <f t="shared" si="29"/>
        <v>-0.62921238627774168</v>
      </c>
      <c r="N163">
        <v>1684.2644600000001</v>
      </c>
      <c r="O163">
        <f t="shared" si="30"/>
        <v>8.4213222999999999</v>
      </c>
    </row>
    <row r="164" spans="1:15">
      <c r="A164">
        <v>8.49</v>
      </c>
      <c r="B164">
        <f t="shared" si="24"/>
        <v>1698</v>
      </c>
      <c r="C164">
        <v>0.38</v>
      </c>
      <c r="D164">
        <v>2.362007275223732E-2</v>
      </c>
      <c r="E164">
        <f t="shared" si="25"/>
        <v>1698</v>
      </c>
      <c r="F164">
        <f t="shared" si="33"/>
        <v>1.9120072752237319E-2</v>
      </c>
      <c r="I164">
        <f t="shared" si="27"/>
        <v>0.58053441766649483</v>
      </c>
      <c r="K164">
        <f t="shared" si="28"/>
        <v>0.58780004531234498</v>
      </c>
      <c r="L164">
        <f t="shared" si="29"/>
        <v>-0.63392510646287248</v>
      </c>
      <c r="N164">
        <v>1694.55</v>
      </c>
      <c r="O164">
        <f t="shared" si="30"/>
        <v>8.4727499999999996</v>
      </c>
    </row>
    <row r="165" spans="1:15">
      <c r="A165">
        <v>8.5500000000000007</v>
      </c>
      <c r="B165">
        <f t="shared" si="24"/>
        <v>1710.0000000000002</v>
      </c>
      <c r="C165">
        <v>0.378</v>
      </c>
      <c r="D165">
        <v>2.441132627427578E-2</v>
      </c>
      <c r="E165">
        <f t="shared" si="25"/>
        <v>1710.0000000000002</v>
      </c>
      <c r="F165">
        <f t="shared" si="33"/>
        <v>1.9911326274275779E-2</v>
      </c>
      <c r="I165">
        <f t="shared" si="27"/>
        <v>0.58671683964505794</v>
      </c>
      <c r="K165">
        <f t="shared" si="28"/>
        <v>0.59424332097673416</v>
      </c>
      <c r="L165">
        <f t="shared" si="29"/>
        <v>-0.6274818307984833</v>
      </c>
      <c r="N165">
        <v>1704.83554</v>
      </c>
      <c r="O165">
        <f t="shared" si="30"/>
        <v>8.524177700000001</v>
      </c>
    </row>
    <row r="166" spans="1:15">
      <c r="A166">
        <v>8.6</v>
      </c>
      <c r="B166">
        <f t="shared" si="24"/>
        <v>1720</v>
      </c>
      <c r="C166">
        <v>0.375</v>
      </c>
      <c r="D166">
        <v>2.3775476962327961E-2</v>
      </c>
      <c r="E166">
        <f t="shared" si="25"/>
        <v>1720</v>
      </c>
      <c r="F166">
        <f t="shared" si="33"/>
        <v>1.927547696232796E-2</v>
      </c>
      <c r="I166">
        <f t="shared" si="27"/>
        <v>0.57946910187602052</v>
      </c>
      <c r="K166">
        <f t="shared" si="28"/>
        <v>0.58669740573689355</v>
      </c>
      <c r="L166">
        <f t="shared" si="29"/>
        <v>-0.6350277460383239</v>
      </c>
      <c r="N166">
        <v>1715.3248000000001</v>
      </c>
      <c r="O166">
        <f t="shared" si="30"/>
        <v>8.5766240000000007</v>
      </c>
    </row>
    <row r="167" spans="1:15">
      <c r="A167">
        <v>8.65</v>
      </c>
      <c r="B167">
        <f t="shared" si="24"/>
        <v>1730</v>
      </c>
      <c r="C167">
        <v>0.373</v>
      </c>
      <c r="D167">
        <v>2.4246145039796829E-2</v>
      </c>
      <c r="E167">
        <f t="shared" si="25"/>
        <v>1730</v>
      </c>
      <c r="F167">
        <f t="shared" si="33"/>
        <v>1.9746145039796829E-2</v>
      </c>
      <c r="I167">
        <f t="shared" si="27"/>
        <v>0.58272915459424257</v>
      </c>
      <c r="K167">
        <f t="shared" si="28"/>
        <v>0.59009446669408683</v>
      </c>
      <c r="L167">
        <f t="shared" si="29"/>
        <v>-0.63163068508113063</v>
      </c>
      <c r="N167">
        <v>1725.61016</v>
      </c>
      <c r="O167">
        <f t="shared" si="30"/>
        <v>8.6280508000000005</v>
      </c>
    </row>
    <row r="168" spans="1:15">
      <c r="A168">
        <v>8.7100000000000009</v>
      </c>
      <c r="B168">
        <f t="shared" si="24"/>
        <v>1742.0000000000002</v>
      </c>
      <c r="C168">
        <v>0.371</v>
      </c>
      <c r="D168">
        <v>2.3945005610585209E-2</v>
      </c>
      <c r="E168">
        <f t="shared" si="25"/>
        <v>1742.0000000000002</v>
      </c>
      <c r="F168">
        <f t="shared" si="33"/>
        <v>1.9445005610585209E-2</v>
      </c>
      <c r="I168">
        <f t="shared" si="27"/>
        <v>0.57956099886819723</v>
      </c>
      <c r="K168">
        <f t="shared" si="28"/>
        <v>0.58677509594972432</v>
      </c>
      <c r="L168">
        <f t="shared" si="29"/>
        <v>-0.63495005582549313</v>
      </c>
      <c r="N168">
        <v>1735.79376</v>
      </c>
      <c r="O168">
        <f t="shared" si="30"/>
        <v>8.6789687999999998</v>
      </c>
    </row>
    <row r="169" spans="1:15">
      <c r="A169">
        <v>8.76</v>
      </c>
      <c r="B169">
        <f t="shared" si="24"/>
        <v>1752</v>
      </c>
      <c r="C169">
        <v>0.36899999999999999</v>
      </c>
      <c r="D169">
        <v>2.4068757891654972E-2</v>
      </c>
      <c r="E169">
        <f t="shared" si="25"/>
        <v>1752</v>
      </c>
      <c r="F169">
        <f t="shared" si="33"/>
        <v>1.9568757891654971E-2</v>
      </c>
      <c r="I169">
        <f t="shared" si="27"/>
        <v>0.57984231913089757</v>
      </c>
      <c r="K169">
        <f t="shared" si="28"/>
        <v>0.58706319079291824</v>
      </c>
      <c r="L169">
        <f t="shared" si="29"/>
        <v>-0.63466196098229921</v>
      </c>
      <c r="N169">
        <v>1746.2829999999999</v>
      </c>
      <c r="O169">
        <f t="shared" si="30"/>
        <v>8.7314150000000001</v>
      </c>
    </row>
    <row r="170" spans="1:15">
      <c r="A170">
        <v>8.81</v>
      </c>
      <c r="B170">
        <f t="shared" si="24"/>
        <v>1762</v>
      </c>
      <c r="C170">
        <v>0.36699999999999999</v>
      </c>
      <c r="D170">
        <v>2.440095134079456E-2</v>
      </c>
      <c r="E170">
        <f t="shared" si="25"/>
        <v>1762</v>
      </c>
      <c r="F170">
        <f t="shared" si="33"/>
        <v>1.9900951340794559E-2</v>
      </c>
      <c r="I170">
        <f t="shared" si="27"/>
        <v>0.58197238131240003</v>
      </c>
      <c r="K170">
        <f t="shared" si="28"/>
        <v>0.58927603045447163</v>
      </c>
      <c r="L170">
        <f t="shared" si="29"/>
        <v>-0.63244912132074582</v>
      </c>
      <c r="N170">
        <v>1756.4666</v>
      </c>
      <c r="O170">
        <f t="shared" si="30"/>
        <v>8.7823329999999995</v>
      </c>
    </row>
    <row r="171" spans="1:15">
      <c r="A171">
        <v>8.8699999999999992</v>
      </c>
      <c r="B171">
        <f t="shared" si="24"/>
        <v>1773.9999999999998</v>
      </c>
      <c r="C171">
        <v>0.36499999999999999</v>
      </c>
      <c r="D171">
        <v>2.4340275675058361E-2</v>
      </c>
      <c r="E171">
        <f t="shared" si="25"/>
        <v>1773.9999999999998</v>
      </c>
      <c r="F171">
        <f t="shared" si="33"/>
        <v>1.9840275675058361E-2</v>
      </c>
      <c r="I171">
        <f t="shared" si="27"/>
        <v>0.58089824523776767</v>
      </c>
      <c r="K171">
        <f t="shared" si="28"/>
        <v>0.58813994585916396</v>
      </c>
      <c r="L171">
        <f t="shared" si="29"/>
        <v>-0.6335852059160535</v>
      </c>
      <c r="N171">
        <v>1766.54844</v>
      </c>
      <c r="O171">
        <f t="shared" si="30"/>
        <v>8.8327422000000002</v>
      </c>
    </row>
    <row r="172" spans="1:15">
      <c r="A172">
        <v>8.92</v>
      </c>
      <c r="B172">
        <f t="shared" si="24"/>
        <v>1784</v>
      </c>
      <c r="C172">
        <v>0.36199999999999999</v>
      </c>
      <c r="D172">
        <v>2.376594208180904E-2</v>
      </c>
      <c r="E172">
        <f t="shared" si="25"/>
        <v>1784</v>
      </c>
      <c r="F172">
        <f t="shared" si="33"/>
        <v>1.926594208180904E-2</v>
      </c>
      <c r="I172">
        <f t="shared" si="27"/>
        <v>0.57399220336973666</v>
      </c>
      <c r="K172">
        <f t="shared" si="28"/>
        <v>0.58096647440335158</v>
      </c>
      <c r="L172">
        <f t="shared" si="29"/>
        <v>-0.64075867737186587</v>
      </c>
      <c r="N172">
        <v>1776.6302800000001</v>
      </c>
      <c r="O172">
        <f t="shared" si="30"/>
        <v>8.8831514000000009</v>
      </c>
    </row>
    <row r="173" spans="1:15">
      <c r="A173">
        <v>8.9700000000000006</v>
      </c>
      <c r="B173">
        <f t="shared" si="24"/>
        <v>1794.0000000000002</v>
      </c>
      <c r="C173">
        <v>0.36099999999999999</v>
      </c>
      <c r="D173">
        <v>2.4312430992722511E-2</v>
      </c>
      <c r="E173">
        <f t="shared" si="25"/>
        <v>1794.0000000000002</v>
      </c>
      <c r="F173">
        <f t="shared" si="33"/>
        <v>1.9812430992722511E-2</v>
      </c>
      <c r="I173">
        <f t="shared" si="27"/>
        <v>0.57908250600472089</v>
      </c>
      <c r="K173">
        <f t="shared" si="28"/>
        <v>0.58623479359309372</v>
      </c>
      <c r="L173">
        <f t="shared" si="29"/>
        <v>-0.63549035818212374</v>
      </c>
      <c r="N173">
        <v>1786.7121</v>
      </c>
      <c r="O173">
        <f t="shared" si="30"/>
        <v>8.9335605000000005</v>
      </c>
    </row>
    <row r="174" spans="1:15">
      <c r="A174">
        <v>9.02</v>
      </c>
      <c r="B174">
        <f t="shared" si="24"/>
        <v>1804</v>
      </c>
      <c r="C174">
        <v>0.35799999999999998</v>
      </c>
      <c r="D174">
        <v>2.424491569399834E-2</v>
      </c>
      <c r="E174">
        <f t="shared" si="25"/>
        <v>1804</v>
      </c>
      <c r="F174">
        <f t="shared" si="33"/>
        <v>1.974491569399834E-2</v>
      </c>
      <c r="I174">
        <f t="shared" si="27"/>
        <v>0.576689139559865</v>
      </c>
      <c r="K174">
        <f t="shared" si="28"/>
        <v>0.58375781937831639</v>
      </c>
      <c r="L174">
        <f t="shared" si="29"/>
        <v>-0.63796733239690107</v>
      </c>
      <c r="N174">
        <v>1796.79394</v>
      </c>
      <c r="O174">
        <f t="shared" si="30"/>
        <v>8.9839696999999994</v>
      </c>
    </row>
    <row r="175" spans="1:15">
      <c r="A175">
        <v>9.07</v>
      </c>
      <c r="B175">
        <f t="shared" si="24"/>
        <v>1814</v>
      </c>
      <c r="C175">
        <v>0.35599999999999998</v>
      </c>
      <c r="D175">
        <v>2.4329442530870441E-2</v>
      </c>
      <c r="E175">
        <f t="shared" si="25"/>
        <v>1814</v>
      </c>
      <c r="F175">
        <f t="shared" si="33"/>
        <v>1.9829442530870441E-2</v>
      </c>
      <c r="I175">
        <f t="shared" si="27"/>
        <v>0.57666804375499492</v>
      </c>
      <c r="K175">
        <f t="shared" si="28"/>
        <v>0.58372732529598481</v>
      </c>
      <c r="L175">
        <f t="shared" si="29"/>
        <v>-0.63799782647923264</v>
      </c>
      <c r="N175">
        <v>1807.3849600000001</v>
      </c>
      <c r="O175">
        <f t="shared" si="30"/>
        <v>9.0369248000000013</v>
      </c>
    </row>
    <row r="176" spans="1:15">
      <c r="A176">
        <v>9.1199999999999992</v>
      </c>
      <c r="B176">
        <f t="shared" si="24"/>
        <v>1823.9999999999998</v>
      </c>
      <c r="C176">
        <v>0.35399999999999998</v>
      </c>
      <c r="D176">
        <v>2.473657205700874E-2</v>
      </c>
      <c r="E176">
        <f t="shared" si="25"/>
        <v>1823.9999999999998</v>
      </c>
      <c r="F176">
        <f t="shared" si="33"/>
        <v>2.0236572057008739E-2</v>
      </c>
      <c r="I176">
        <f t="shared" si="27"/>
        <v>0.57959753715991968</v>
      </c>
      <c r="K176">
        <f t="shared" si="28"/>
        <v>0.58676128366810076</v>
      </c>
      <c r="L176">
        <f t="shared" si="29"/>
        <v>-0.63496386810711669</v>
      </c>
      <c r="N176">
        <v>1817.4667999999999</v>
      </c>
      <c r="O176">
        <f t="shared" si="30"/>
        <v>9.0873340000000002</v>
      </c>
    </row>
    <row r="177" spans="1:15">
      <c r="A177">
        <v>9.17</v>
      </c>
      <c r="B177">
        <f t="shared" si="24"/>
        <v>1834</v>
      </c>
      <c r="C177">
        <v>0.35199999999999998</v>
      </c>
      <c r="D177">
        <v>2.427547425031662E-2</v>
      </c>
      <c r="E177">
        <f t="shared" si="25"/>
        <v>1834</v>
      </c>
      <c r="F177">
        <f t="shared" si="33"/>
        <v>1.9775474250316619E-2</v>
      </c>
      <c r="I177">
        <f t="shared" si="27"/>
        <v>0.57460609887540337</v>
      </c>
      <c r="K177">
        <f t="shared" si="28"/>
        <v>0.58156706581151485</v>
      </c>
      <c r="L177">
        <f t="shared" si="29"/>
        <v>-0.64015808596370261</v>
      </c>
      <c r="N177">
        <v>1828.36348</v>
      </c>
      <c r="O177">
        <f t="shared" si="30"/>
        <v>9.1418174000000008</v>
      </c>
    </row>
    <row r="178" spans="1:15">
      <c r="A178">
        <v>9.2200000000000006</v>
      </c>
      <c r="B178">
        <f t="shared" si="24"/>
        <v>1844.0000000000002</v>
      </c>
      <c r="C178">
        <v>0.35</v>
      </c>
      <c r="D178">
        <v>2.4188827723264691E-2</v>
      </c>
      <c r="E178">
        <f t="shared" si="25"/>
        <v>1844.0000000000002</v>
      </c>
      <c r="F178">
        <f t="shared" si="33"/>
        <v>1.968882772326469E-2</v>
      </c>
      <c r="I178">
        <f t="shared" si="27"/>
        <v>0.57302099160850051</v>
      </c>
      <c r="K178">
        <f t="shared" si="28"/>
        <v>0.57991208131164318</v>
      </c>
      <c r="L178">
        <f t="shared" si="29"/>
        <v>-0.64181307046357428</v>
      </c>
      <c r="N178">
        <v>1838.5468800000001</v>
      </c>
      <c r="O178">
        <f t="shared" si="30"/>
        <v>9.1927344000000009</v>
      </c>
    </row>
    <row r="179" spans="1:15">
      <c r="A179">
        <v>9.2799999999999994</v>
      </c>
      <c r="B179">
        <f t="shared" si="24"/>
        <v>1855.9999999999998</v>
      </c>
      <c r="C179">
        <v>0.34799999999999998</v>
      </c>
      <c r="D179">
        <v>2.4591587483882901E-2</v>
      </c>
      <c r="E179">
        <f t="shared" si="25"/>
        <v>1855.9999999999998</v>
      </c>
      <c r="F179">
        <f t="shared" si="33"/>
        <v>2.00915874838829E-2</v>
      </c>
      <c r="I179">
        <f t="shared" si="27"/>
        <v>0.57620993185043323</v>
      </c>
      <c r="K179">
        <f t="shared" si="28"/>
        <v>0.58320180429482449</v>
      </c>
      <c r="L179">
        <f t="shared" si="29"/>
        <v>-0.63852334748039297</v>
      </c>
      <c r="N179">
        <v>1849.0361399999999</v>
      </c>
      <c r="O179">
        <f t="shared" si="30"/>
        <v>9.2451806999999988</v>
      </c>
    </row>
    <row r="180" spans="1:15">
      <c r="A180">
        <v>9.33</v>
      </c>
      <c r="B180">
        <f t="shared" si="24"/>
        <v>1866</v>
      </c>
      <c r="C180">
        <v>0.34599999999999997</v>
      </c>
      <c r="D180">
        <v>2.4872282519936562E-2</v>
      </c>
      <c r="E180">
        <f t="shared" si="25"/>
        <v>1866</v>
      </c>
      <c r="F180">
        <f t="shared" si="33"/>
        <v>2.0372282519936561E-2</v>
      </c>
      <c r="I180">
        <f t="shared" si="27"/>
        <v>0.57805839591100816</v>
      </c>
      <c r="K180">
        <f t="shared" si="28"/>
        <v>0.58510720566290619</v>
      </c>
      <c r="L180">
        <f t="shared" si="29"/>
        <v>-0.63661794611231126</v>
      </c>
      <c r="N180">
        <v>1859.11796</v>
      </c>
      <c r="O180">
        <f t="shared" si="30"/>
        <v>9.2955898000000001</v>
      </c>
    </row>
    <row r="181" spans="1:15">
      <c r="A181">
        <v>9.3800000000000008</v>
      </c>
      <c r="B181">
        <f t="shared" si="24"/>
        <v>1876.0000000000002</v>
      </c>
      <c r="C181">
        <v>0.34300000000000003</v>
      </c>
      <c r="D181">
        <v>2.4994742125272751E-2</v>
      </c>
      <c r="E181">
        <f t="shared" si="25"/>
        <v>1876.0000000000002</v>
      </c>
      <c r="F181">
        <f t="shared" si="33"/>
        <v>2.049474212527275E-2</v>
      </c>
      <c r="I181">
        <f t="shared" si="27"/>
        <v>0.57745068113505849</v>
      </c>
      <c r="K181">
        <f t="shared" si="28"/>
        <v>0.58448037768402705</v>
      </c>
      <c r="L181">
        <f t="shared" si="29"/>
        <v>-0.6372447740911904</v>
      </c>
      <c r="N181">
        <v>1870.1164000000001</v>
      </c>
      <c r="O181">
        <f t="shared" si="30"/>
        <v>9.3505820000000011</v>
      </c>
    </row>
    <row r="182" spans="1:15">
      <c r="A182">
        <v>9.43</v>
      </c>
      <c r="B182">
        <f t="shared" si="24"/>
        <v>1886</v>
      </c>
      <c r="C182">
        <v>0.34100000000000003</v>
      </c>
      <c r="D182">
        <v>2.505173347890377E-2</v>
      </c>
      <c r="E182">
        <f t="shared" si="25"/>
        <v>1886</v>
      </c>
      <c r="F182">
        <f t="shared" si="33"/>
        <v>2.055173347890377E-2</v>
      </c>
      <c r="I182">
        <f t="shared" si="27"/>
        <v>0.5772378467060626</v>
      </c>
      <c r="K182">
        <f t="shared" si="28"/>
        <v>0.58424598782236881</v>
      </c>
      <c r="L182">
        <f t="shared" si="29"/>
        <v>-0.63747916395284865</v>
      </c>
      <c r="N182">
        <v>1880.60546</v>
      </c>
      <c r="O182">
        <f t="shared" si="30"/>
        <v>9.4030272999999998</v>
      </c>
    </row>
    <row r="183" spans="1:15">
      <c r="A183">
        <v>9.48</v>
      </c>
      <c r="B183">
        <f t="shared" si="24"/>
        <v>1896</v>
      </c>
      <c r="C183">
        <v>0.33900000000000002</v>
      </c>
      <c r="D183">
        <v>2.4565804749727249E-2</v>
      </c>
      <c r="E183">
        <f t="shared" si="25"/>
        <v>1896</v>
      </c>
      <c r="F183">
        <f t="shared" si="33"/>
        <v>2.0065804749727249E-2</v>
      </c>
      <c r="I183">
        <f t="shared" si="27"/>
        <v>0.57188382902741441</v>
      </c>
      <c r="K183">
        <f t="shared" si="28"/>
        <v>0.57868613683757197</v>
      </c>
      <c r="L183">
        <f t="shared" si="29"/>
        <v>-0.64303901493764548</v>
      </c>
      <c r="N183">
        <v>1890.99296</v>
      </c>
      <c r="O183">
        <f t="shared" si="30"/>
        <v>9.4549648000000008</v>
      </c>
    </row>
    <row r="184" spans="1:15">
      <c r="A184">
        <v>9.5299999999999994</v>
      </c>
      <c r="B184">
        <f t="shared" si="24"/>
        <v>1905.9999999999998</v>
      </c>
      <c r="C184">
        <v>0.33700000000000002</v>
      </c>
      <c r="D184">
        <v>2.4296250194311138E-2</v>
      </c>
      <c r="E184">
        <f t="shared" si="25"/>
        <v>1905.9999999999998</v>
      </c>
      <c r="F184">
        <f t="shared" si="33"/>
        <v>1.9796250194311138E-2</v>
      </c>
      <c r="I184">
        <f t="shared" si="27"/>
        <v>0.56854326435178515</v>
      </c>
      <c r="K184">
        <f t="shared" si="28"/>
        <v>0.57521460066726804</v>
      </c>
      <c r="L184">
        <f t="shared" si="29"/>
        <v>-0.64651055110794942</v>
      </c>
      <c r="N184">
        <v>1901.0748000000001</v>
      </c>
      <c r="O184">
        <f t="shared" si="30"/>
        <v>9.5053739999999998</v>
      </c>
    </row>
    <row r="185" spans="1:15">
      <c r="A185">
        <v>9.58</v>
      </c>
      <c r="B185">
        <f t="shared" si="24"/>
        <v>1916</v>
      </c>
      <c r="C185">
        <v>0.33500000000000002</v>
      </c>
      <c r="D185">
        <v>2.4016488343477249E-2</v>
      </c>
      <c r="E185">
        <f t="shared" si="25"/>
        <v>1916</v>
      </c>
      <c r="F185">
        <f t="shared" si="33"/>
        <v>1.9516488343477249E-2</v>
      </c>
      <c r="I185">
        <f t="shared" si="27"/>
        <v>0.56507795833051211</v>
      </c>
      <c r="K185">
        <f t="shared" si="28"/>
        <v>0.57161598192557694</v>
      </c>
      <c r="L185">
        <f t="shared" si="29"/>
        <v>-0.65010916984964051</v>
      </c>
      <c r="N185">
        <v>1911.1566399999999</v>
      </c>
      <c r="O185">
        <f t="shared" si="30"/>
        <v>9.5557832000000005</v>
      </c>
    </row>
    <row r="186" spans="1:15">
      <c r="A186">
        <v>9.6300000000000008</v>
      </c>
      <c r="B186">
        <f t="shared" si="24"/>
        <v>1926.0000000000002</v>
      </c>
      <c r="C186">
        <v>0.33300000000000002</v>
      </c>
      <c r="D186">
        <v>2.4950046092271801E-2</v>
      </c>
      <c r="E186">
        <f t="shared" si="25"/>
        <v>1926.0000000000002</v>
      </c>
      <c r="F186">
        <f t="shared" si="33"/>
        <v>2.0450046092271801E-2</v>
      </c>
      <c r="I186">
        <f t="shared" si="27"/>
        <v>0.57326894386857752</v>
      </c>
      <c r="K186">
        <f t="shared" si="28"/>
        <v>0.58007880921730404</v>
      </c>
      <c r="L186">
        <f t="shared" si="29"/>
        <v>-0.64164634255791342</v>
      </c>
      <c r="N186">
        <v>1921.74746</v>
      </c>
      <c r="O186">
        <f t="shared" si="30"/>
        <v>9.6087372999999996</v>
      </c>
    </row>
    <row r="187" spans="1:15">
      <c r="A187">
        <v>9.69</v>
      </c>
      <c r="B187">
        <f t="shared" si="24"/>
        <v>1938</v>
      </c>
      <c r="C187">
        <v>0.33</v>
      </c>
      <c r="D187">
        <v>2.4746935814619061E-2</v>
      </c>
      <c r="E187">
        <f t="shared" si="25"/>
        <v>1938</v>
      </c>
      <c r="F187">
        <f t="shared" si="33"/>
        <v>2.024693581461906E-2</v>
      </c>
      <c r="I187">
        <f t="shared" si="27"/>
        <v>0.56979780804365876</v>
      </c>
      <c r="K187">
        <f t="shared" si="28"/>
        <v>0.576479296862483</v>
      </c>
      <c r="L187">
        <f t="shared" si="29"/>
        <v>-0.64524585491273445</v>
      </c>
      <c r="N187">
        <v>1931.9312600000001</v>
      </c>
      <c r="O187">
        <f t="shared" si="30"/>
        <v>9.6596563</v>
      </c>
    </row>
    <row r="188" spans="1:15">
      <c r="A188">
        <v>9.74</v>
      </c>
      <c r="B188">
        <f t="shared" si="24"/>
        <v>1948</v>
      </c>
      <c r="C188">
        <v>0.32800000000000001</v>
      </c>
      <c r="D188">
        <v>2.47977115213871E-2</v>
      </c>
      <c r="E188">
        <f t="shared" si="25"/>
        <v>1948</v>
      </c>
      <c r="F188">
        <f t="shared" si="33"/>
        <v>2.02977115213871E-2</v>
      </c>
      <c r="I188">
        <f t="shared" si="27"/>
        <v>0.56952971021831034</v>
      </c>
      <c r="K188">
        <f t="shared" si="28"/>
        <v>0.57618735959732525</v>
      </c>
      <c r="L188">
        <f t="shared" si="29"/>
        <v>-0.6455377921778922</v>
      </c>
      <c r="N188">
        <v>1942.4203199999999</v>
      </c>
      <c r="O188">
        <f t="shared" si="30"/>
        <v>9.7121016000000004</v>
      </c>
    </row>
    <row r="189" spans="1:15">
      <c r="A189">
        <v>9.7899999999999991</v>
      </c>
      <c r="B189">
        <f t="shared" si="24"/>
        <v>1957.9999999999998</v>
      </c>
      <c r="C189">
        <v>0.32700000000000001</v>
      </c>
      <c r="D189">
        <v>2.4553913623094559E-2</v>
      </c>
      <c r="E189">
        <f t="shared" si="25"/>
        <v>1957.9999999999998</v>
      </c>
      <c r="F189">
        <f t="shared" si="33"/>
        <v>2.0053913623094558E-2</v>
      </c>
      <c r="I189">
        <f t="shared" si="27"/>
        <v>0.56738281437009574</v>
      </c>
      <c r="K189">
        <f t="shared" si="28"/>
        <v>0.57394044412484768</v>
      </c>
      <c r="L189">
        <f t="shared" si="29"/>
        <v>-0.64778470765036977</v>
      </c>
      <c r="N189">
        <v>1952.70606</v>
      </c>
      <c r="O189">
        <f t="shared" si="30"/>
        <v>9.7635302999999993</v>
      </c>
    </row>
    <row r="190" spans="1:15">
      <c r="A190">
        <v>9.84</v>
      </c>
      <c r="B190">
        <f t="shared" si="24"/>
        <v>1968</v>
      </c>
      <c r="C190">
        <v>0.32400000000000001</v>
      </c>
      <c r="D190">
        <v>2.4869997054338459E-2</v>
      </c>
      <c r="E190">
        <f t="shared" si="25"/>
        <v>1968</v>
      </c>
      <c r="F190">
        <f t="shared" si="33"/>
        <v>2.0369997054338458E-2</v>
      </c>
      <c r="I190">
        <f t="shared" si="27"/>
        <v>0.56872077101469043</v>
      </c>
      <c r="K190">
        <f t="shared" si="28"/>
        <v>0.57532065006029609</v>
      </c>
      <c r="L190">
        <f t="shared" si="29"/>
        <v>-0.64640450171492136</v>
      </c>
      <c r="N190">
        <v>1962.8894600000001</v>
      </c>
      <c r="O190">
        <f t="shared" si="30"/>
        <v>9.8144473000000012</v>
      </c>
    </row>
    <row r="191" spans="1:15">
      <c r="A191">
        <v>9.9</v>
      </c>
      <c r="B191">
        <f t="shared" si="24"/>
        <v>1980</v>
      </c>
      <c r="C191">
        <v>0.32200000000000001</v>
      </c>
      <c r="D191">
        <v>2.4348245933651921E-2</v>
      </c>
      <c r="E191">
        <f t="shared" si="25"/>
        <v>1980</v>
      </c>
      <c r="F191">
        <f t="shared" si="33"/>
        <v>1.984824593365192E-2</v>
      </c>
      <c r="I191">
        <f t="shared" si="27"/>
        <v>0.563047634743154</v>
      </c>
      <c r="K191">
        <f t="shared" si="28"/>
        <v>0.56943876993378995</v>
      </c>
      <c r="L191">
        <f t="shared" si="29"/>
        <v>-0.65228638184142751</v>
      </c>
      <c r="N191">
        <v>1973.0732399999999</v>
      </c>
      <c r="O191">
        <f t="shared" si="30"/>
        <v>9.8653662000000004</v>
      </c>
    </row>
    <row r="192" spans="1:15">
      <c r="A192">
        <v>9.9499999999999993</v>
      </c>
      <c r="B192">
        <f t="shared" si="24"/>
        <v>1989.9999999999998</v>
      </c>
      <c r="C192">
        <v>0.32</v>
      </c>
      <c r="D192">
        <v>2.544496022164822E-2</v>
      </c>
      <c r="E192">
        <f t="shared" si="25"/>
        <v>1989.9999999999998</v>
      </c>
      <c r="F192">
        <f t="shared" si="33"/>
        <v>2.0944960221648219E-2</v>
      </c>
      <c r="I192">
        <f t="shared" si="27"/>
        <v>0.57317735420539973</v>
      </c>
      <c r="K192">
        <f t="shared" si="28"/>
        <v>0.57987974147632715</v>
      </c>
      <c r="L192">
        <f t="shared" si="29"/>
        <v>-0.64184541029889031</v>
      </c>
      <c r="N192">
        <v>1983.25684</v>
      </c>
      <c r="O192">
        <f t="shared" si="30"/>
        <v>9.9162841999999998</v>
      </c>
    </row>
    <row r="193" spans="1:15">
      <c r="A193">
        <v>10</v>
      </c>
      <c r="B193">
        <f t="shared" si="24"/>
        <v>2000</v>
      </c>
      <c r="C193">
        <v>0.317</v>
      </c>
      <c r="D193">
        <v>2.464304119348526E-2</v>
      </c>
      <c r="E193">
        <f t="shared" si="25"/>
        <v>2000</v>
      </c>
      <c r="F193">
        <f t="shared" si="33"/>
        <v>2.0143041193485259E-2</v>
      </c>
      <c r="I193">
        <f t="shared" si="27"/>
        <v>0.56343041193485255</v>
      </c>
      <c r="K193">
        <f t="shared" si="28"/>
        <v>0.56981575599318735</v>
      </c>
      <c r="L193">
        <f t="shared" si="29"/>
        <v>-0.65190939578203011</v>
      </c>
      <c r="N193">
        <v>1993.6443400000001</v>
      </c>
      <c r="O193">
        <f t="shared" si="30"/>
        <v>9.9682217000000009</v>
      </c>
    </row>
    <row r="194" spans="1:15">
      <c r="A194">
        <v>10</v>
      </c>
      <c r="B194">
        <f t="shared" ref="B194:B257" si="34">A194*200</f>
        <v>2000</v>
      </c>
      <c r="C194">
        <v>0.315</v>
      </c>
      <c r="D194">
        <v>2.476061508059502E-2</v>
      </c>
      <c r="E194">
        <f t="shared" ref="E194:E223" si="35">B194</f>
        <v>2000</v>
      </c>
      <c r="F194">
        <f t="shared" si="33"/>
        <v>2.0260615080595019E-2</v>
      </c>
      <c r="I194">
        <f t="shared" ref="I194:I223" si="36">C194+(D194*A194)</f>
        <v>0.56260615080595022</v>
      </c>
      <c r="K194">
        <f t="shared" ref="K194:K223" si="37">I194+(F194*C194)</f>
        <v>0.56898824455633767</v>
      </c>
      <c r="L194">
        <f t="shared" ref="L194:L257" si="38">K194-$I$1</f>
        <v>-0.65273690721887978</v>
      </c>
      <c r="N194">
        <v>2004.2352000000001</v>
      </c>
      <c r="O194">
        <f t="shared" ref="O194:O257" si="39">N194/200</f>
        <v>10.021176000000001</v>
      </c>
    </row>
    <row r="195" spans="1:15">
      <c r="A195">
        <v>10.1</v>
      </c>
      <c r="B195">
        <f t="shared" si="34"/>
        <v>2020</v>
      </c>
      <c r="C195">
        <v>0.313</v>
      </c>
      <c r="D195">
        <v>2.476061508059502E-2</v>
      </c>
      <c r="E195">
        <f t="shared" si="35"/>
        <v>2020</v>
      </c>
      <c r="F195">
        <f t="shared" si="33"/>
        <v>2.0260615080595019E-2</v>
      </c>
      <c r="I195">
        <f t="shared" si="36"/>
        <v>0.56308221231400968</v>
      </c>
      <c r="K195">
        <f t="shared" si="37"/>
        <v>0.56942378483423595</v>
      </c>
      <c r="L195">
        <f t="shared" si="38"/>
        <v>-0.65230136694098151</v>
      </c>
      <c r="N195">
        <v>2014.4190000000001</v>
      </c>
      <c r="O195">
        <f t="shared" si="39"/>
        <v>10.072095000000001</v>
      </c>
    </row>
    <row r="196" spans="1:15">
      <c r="A196">
        <v>10.199999999999999</v>
      </c>
      <c r="B196">
        <f t="shared" si="34"/>
        <v>2039.9999999999998</v>
      </c>
      <c r="C196">
        <v>0.311</v>
      </c>
      <c r="D196">
        <v>2.4E-2</v>
      </c>
      <c r="E196">
        <f t="shared" si="35"/>
        <v>2039.9999999999998</v>
      </c>
      <c r="F196">
        <v>2.0369997054338451E-2</v>
      </c>
      <c r="I196">
        <f t="shared" si="36"/>
        <v>0.55579999999999996</v>
      </c>
      <c r="K196">
        <f t="shared" si="37"/>
        <v>0.56213506908389921</v>
      </c>
      <c r="L196">
        <f t="shared" si="38"/>
        <v>-0.65959008269131825</v>
      </c>
      <c r="N196">
        <v>2024.6025999999999</v>
      </c>
      <c r="O196">
        <f t="shared" si="39"/>
        <v>10.123013</v>
      </c>
    </row>
    <row r="197" spans="1:15">
      <c r="A197">
        <v>10.199999999999999</v>
      </c>
      <c r="B197">
        <f t="shared" si="34"/>
        <v>2039.9999999999998</v>
      </c>
      <c r="C197">
        <v>0.309</v>
      </c>
      <c r="D197">
        <v>2.4E-2</v>
      </c>
      <c r="E197">
        <f t="shared" si="35"/>
        <v>2039.9999999999998</v>
      </c>
      <c r="F197">
        <v>1.984824593365192E-2</v>
      </c>
      <c r="I197">
        <f t="shared" si="36"/>
        <v>0.55379999999999996</v>
      </c>
      <c r="K197">
        <f t="shared" si="37"/>
        <v>0.55993310799349838</v>
      </c>
      <c r="L197">
        <f t="shared" si="38"/>
        <v>-0.66179204378171907</v>
      </c>
      <c r="N197">
        <v>2035.0917999999999</v>
      </c>
      <c r="O197">
        <f t="shared" si="39"/>
        <v>10.175459</v>
      </c>
    </row>
    <row r="198" spans="1:15">
      <c r="A198">
        <v>10.3</v>
      </c>
      <c r="B198">
        <f t="shared" si="34"/>
        <v>2060</v>
      </c>
      <c r="C198">
        <v>0.30599999999999999</v>
      </c>
      <c r="D198">
        <v>2.4E-2</v>
      </c>
      <c r="E198">
        <f t="shared" si="35"/>
        <v>2060</v>
      </c>
      <c r="F198">
        <v>2.0944960221648219E-2</v>
      </c>
      <c r="I198">
        <f t="shared" si="36"/>
        <v>0.55320000000000003</v>
      </c>
      <c r="K198">
        <f t="shared" si="37"/>
        <v>0.55960915782782439</v>
      </c>
      <c r="L198">
        <f t="shared" si="38"/>
        <v>-0.66211599394739307</v>
      </c>
      <c r="N198">
        <v>2045.1733999999999</v>
      </c>
      <c r="O198">
        <f t="shared" si="39"/>
        <v>10.225866999999999</v>
      </c>
    </row>
    <row r="199" spans="1:15">
      <c r="A199">
        <v>10.3</v>
      </c>
      <c r="B199">
        <f t="shared" si="34"/>
        <v>2060</v>
      </c>
      <c r="C199">
        <v>0.30399999999999999</v>
      </c>
      <c r="D199">
        <v>2.4E-2</v>
      </c>
      <c r="E199">
        <f t="shared" si="35"/>
        <v>2060</v>
      </c>
      <c r="F199">
        <v>2.0143041193485259E-2</v>
      </c>
      <c r="I199">
        <f t="shared" si="36"/>
        <v>0.55120000000000002</v>
      </c>
      <c r="K199">
        <f t="shared" si="37"/>
        <v>0.55732348452281955</v>
      </c>
      <c r="L199">
        <f t="shared" si="38"/>
        <v>-0.66440166725239791</v>
      </c>
      <c r="N199">
        <v>2056.0700000000002</v>
      </c>
      <c r="O199">
        <f t="shared" si="39"/>
        <v>10.28035</v>
      </c>
    </row>
    <row r="200" spans="1:15">
      <c r="A200">
        <v>10.4</v>
      </c>
      <c r="B200">
        <f t="shared" si="34"/>
        <v>2080</v>
      </c>
      <c r="C200">
        <v>0.30099999999999999</v>
      </c>
      <c r="D200">
        <v>2.4E-2</v>
      </c>
      <c r="E200">
        <f t="shared" si="35"/>
        <v>2080</v>
      </c>
      <c r="F200">
        <v>1.974491569399834E-2</v>
      </c>
      <c r="I200">
        <f t="shared" si="36"/>
        <v>0.55059999999999998</v>
      </c>
      <c r="K200">
        <f t="shared" si="37"/>
        <v>0.55654321962389353</v>
      </c>
      <c r="L200">
        <f t="shared" si="38"/>
        <v>-0.66518193215132393</v>
      </c>
      <c r="N200">
        <v>2066.1518000000001</v>
      </c>
      <c r="O200">
        <f t="shared" si="39"/>
        <v>10.330759</v>
      </c>
    </row>
    <row r="201" spans="1:15">
      <c r="A201">
        <v>10.4</v>
      </c>
      <c r="B201">
        <f t="shared" si="34"/>
        <v>2080</v>
      </c>
      <c r="C201">
        <v>0.29899999999999999</v>
      </c>
      <c r="D201">
        <v>2.4E-2</v>
      </c>
      <c r="E201">
        <f t="shared" si="35"/>
        <v>2080</v>
      </c>
      <c r="F201">
        <v>1.9829442530870441E-2</v>
      </c>
      <c r="I201">
        <f t="shared" si="36"/>
        <v>0.54859999999999998</v>
      </c>
      <c r="K201">
        <f t="shared" si="37"/>
        <v>0.55452900331673027</v>
      </c>
      <c r="L201">
        <f t="shared" si="38"/>
        <v>-0.66719614845848718</v>
      </c>
      <c r="N201">
        <v>2076.2338</v>
      </c>
      <c r="O201">
        <f t="shared" si="39"/>
        <v>10.381169</v>
      </c>
    </row>
    <row r="202" spans="1:15">
      <c r="A202">
        <v>10.5</v>
      </c>
      <c r="B202">
        <f t="shared" si="34"/>
        <v>2100</v>
      </c>
      <c r="C202">
        <v>0.29699999999999999</v>
      </c>
      <c r="D202">
        <v>2.4E-2</v>
      </c>
      <c r="E202">
        <f t="shared" si="35"/>
        <v>2100</v>
      </c>
      <c r="F202">
        <v>2.0236572057008739E-2</v>
      </c>
      <c r="I202">
        <f t="shared" si="36"/>
        <v>0.54899999999999993</v>
      </c>
      <c r="K202">
        <f t="shared" si="37"/>
        <v>0.5550102619009315</v>
      </c>
      <c r="L202">
        <f t="shared" si="38"/>
        <v>-0.66671488987428595</v>
      </c>
      <c r="N202">
        <v>2086.5194000000001</v>
      </c>
      <c r="O202">
        <f t="shared" si="39"/>
        <v>10.432597000000001</v>
      </c>
    </row>
    <row r="203" spans="1:15">
      <c r="A203">
        <v>10.5</v>
      </c>
      <c r="B203">
        <f t="shared" si="34"/>
        <v>2100</v>
      </c>
      <c r="C203">
        <v>0.29499999999999998</v>
      </c>
      <c r="D203">
        <v>2.4E-2</v>
      </c>
      <c r="E203">
        <f t="shared" si="35"/>
        <v>2100</v>
      </c>
      <c r="F203">
        <v>1.9775474250316619E-2</v>
      </c>
      <c r="I203">
        <f t="shared" si="36"/>
        <v>0.54699999999999993</v>
      </c>
      <c r="K203">
        <f t="shared" si="37"/>
        <v>0.55283376490384328</v>
      </c>
      <c r="L203">
        <f t="shared" si="38"/>
        <v>-0.66889138687137417</v>
      </c>
      <c r="N203">
        <v>2097.1102000000001</v>
      </c>
      <c r="O203">
        <f t="shared" si="39"/>
        <v>10.485551000000001</v>
      </c>
    </row>
    <row r="204" spans="1:15">
      <c r="A204">
        <v>10.6</v>
      </c>
      <c r="B204">
        <f t="shared" si="34"/>
        <v>2120</v>
      </c>
      <c r="C204">
        <v>0.29299999999999998</v>
      </c>
      <c r="D204">
        <v>2.4E-2</v>
      </c>
      <c r="E204">
        <f t="shared" si="35"/>
        <v>2120</v>
      </c>
      <c r="F204">
        <v>1.968882772326469E-2</v>
      </c>
      <c r="I204">
        <f t="shared" si="36"/>
        <v>0.5474</v>
      </c>
      <c r="K204">
        <f t="shared" si="37"/>
        <v>0.55316882652291655</v>
      </c>
      <c r="L204">
        <f t="shared" si="38"/>
        <v>-0.66855632525230091</v>
      </c>
      <c r="N204">
        <v>2107.2939999999999</v>
      </c>
      <c r="O204">
        <f t="shared" si="39"/>
        <v>10.53647</v>
      </c>
    </row>
    <row r="205" spans="1:15">
      <c r="A205">
        <v>10.6</v>
      </c>
      <c r="B205">
        <f t="shared" si="34"/>
        <v>2120</v>
      </c>
      <c r="C205">
        <v>0.29099999999999998</v>
      </c>
      <c r="D205">
        <v>2.4E-2</v>
      </c>
      <c r="E205">
        <f t="shared" si="35"/>
        <v>2120</v>
      </c>
      <c r="F205">
        <v>2.00915874838829E-2</v>
      </c>
      <c r="I205">
        <f t="shared" si="36"/>
        <v>0.5454</v>
      </c>
      <c r="K205">
        <f t="shared" si="37"/>
        <v>0.55124665195780997</v>
      </c>
      <c r="L205">
        <f t="shared" si="38"/>
        <v>-0.67047849981740748</v>
      </c>
      <c r="N205">
        <v>2117.4776000000002</v>
      </c>
      <c r="O205">
        <f t="shared" si="39"/>
        <v>10.587388000000001</v>
      </c>
    </row>
    <row r="206" spans="1:15">
      <c r="A206">
        <v>10.7</v>
      </c>
      <c r="B206">
        <f t="shared" si="34"/>
        <v>2140</v>
      </c>
      <c r="C206">
        <v>0.28799999999999998</v>
      </c>
      <c r="D206">
        <v>2.4E-2</v>
      </c>
      <c r="E206">
        <f t="shared" si="35"/>
        <v>2140</v>
      </c>
      <c r="F206">
        <v>2.0372282519936561E-2</v>
      </c>
      <c r="I206">
        <f t="shared" si="36"/>
        <v>0.54479999999999995</v>
      </c>
      <c r="K206">
        <f t="shared" si="37"/>
        <v>0.55066721736574165</v>
      </c>
      <c r="L206">
        <f t="shared" si="38"/>
        <v>-0.67105793440947581</v>
      </c>
      <c r="N206">
        <v>2127.6614</v>
      </c>
      <c r="O206">
        <f t="shared" si="39"/>
        <v>10.638306999999999</v>
      </c>
    </row>
    <row r="207" spans="1:15">
      <c r="A207">
        <v>10.7</v>
      </c>
      <c r="B207">
        <f t="shared" si="34"/>
        <v>2140</v>
      </c>
      <c r="C207">
        <v>0.28599999999999998</v>
      </c>
      <c r="D207">
        <v>2.4E-2</v>
      </c>
      <c r="E207">
        <f t="shared" si="35"/>
        <v>2140</v>
      </c>
      <c r="F207">
        <v>2.0065804749727249E-2</v>
      </c>
      <c r="I207">
        <f t="shared" si="36"/>
        <v>0.54279999999999995</v>
      </c>
      <c r="K207">
        <f t="shared" si="37"/>
        <v>0.54853882015842192</v>
      </c>
      <c r="L207">
        <f t="shared" si="38"/>
        <v>-0.67318633161679553</v>
      </c>
      <c r="N207">
        <v>2138.6596</v>
      </c>
      <c r="O207">
        <f t="shared" si="39"/>
        <v>10.693298</v>
      </c>
    </row>
    <row r="208" spans="1:15">
      <c r="A208">
        <v>10.8</v>
      </c>
      <c r="B208">
        <f t="shared" si="34"/>
        <v>2160</v>
      </c>
      <c r="C208">
        <v>0.28399999999999997</v>
      </c>
      <c r="D208">
        <v>2.4E-2</v>
      </c>
      <c r="E208">
        <f t="shared" si="35"/>
        <v>2160</v>
      </c>
      <c r="F208">
        <v>1.9796250194311141E-2</v>
      </c>
      <c r="I208">
        <f t="shared" si="36"/>
        <v>0.54320000000000002</v>
      </c>
      <c r="K208">
        <f t="shared" si="37"/>
        <v>0.5488221350551844</v>
      </c>
      <c r="L208">
        <f t="shared" si="38"/>
        <v>-0.67290301672003305</v>
      </c>
      <c r="N208">
        <v>2149.3524000000002</v>
      </c>
      <c r="O208">
        <f t="shared" si="39"/>
        <v>10.746762</v>
      </c>
    </row>
    <row r="209" spans="1:15">
      <c r="A209">
        <v>10.8</v>
      </c>
      <c r="B209">
        <f t="shared" si="34"/>
        <v>2160</v>
      </c>
      <c r="C209">
        <v>0.28199999999999997</v>
      </c>
      <c r="D209">
        <v>2.4E-2</v>
      </c>
      <c r="E209">
        <f t="shared" si="35"/>
        <v>2160</v>
      </c>
      <c r="F209">
        <v>1.9516488343477249E-2</v>
      </c>
      <c r="I209">
        <f t="shared" si="36"/>
        <v>0.54120000000000001</v>
      </c>
      <c r="K209">
        <f t="shared" si="37"/>
        <v>0.54670364971286056</v>
      </c>
      <c r="L209">
        <f t="shared" si="38"/>
        <v>-0.67502150206235689</v>
      </c>
      <c r="N209">
        <v>2159.4342000000001</v>
      </c>
      <c r="O209">
        <f t="shared" si="39"/>
        <v>10.797171000000001</v>
      </c>
    </row>
    <row r="210" spans="1:15">
      <c r="A210">
        <v>10.9</v>
      </c>
      <c r="B210">
        <f t="shared" si="34"/>
        <v>2180</v>
      </c>
      <c r="C210">
        <v>0.27900000000000003</v>
      </c>
      <c r="D210">
        <v>2.4E-2</v>
      </c>
      <c r="E210">
        <f t="shared" si="35"/>
        <v>2180</v>
      </c>
      <c r="F210">
        <v>2.0450046092271801E-2</v>
      </c>
      <c r="I210">
        <f t="shared" si="36"/>
        <v>0.54059999999999997</v>
      </c>
      <c r="K210">
        <f t="shared" si="37"/>
        <v>0.54630556285974385</v>
      </c>
      <c r="L210">
        <f t="shared" si="38"/>
        <v>-0.6754195889154736</v>
      </c>
      <c r="N210">
        <v>2170.0252</v>
      </c>
      <c r="O210">
        <f t="shared" si="39"/>
        <v>10.850125999999999</v>
      </c>
    </row>
    <row r="211" spans="1:15">
      <c r="A211">
        <v>10.9</v>
      </c>
      <c r="B211">
        <f t="shared" si="34"/>
        <v>2180</v>
      </c>
      <c r="C211">
        <v>0.27700000000000002</v>
      </c>
      <c r="D211">
        <v>2.4E-2</v>
      </c>
      <c r="E211">
        <f t="shared" si="35"/>
        <v>2180</v>
      </c>
      <c r="F211">
        <v>2.024693581461906E-2</v>
      </c>
      <c r="I211">
        <f t="shared" si="36"/>
        <v>0.53859999999999997</v>
      </c>
      <c r="K211">
        <f t="shared" si="37"/>
        <v>0.5442084012206494</v>
      </c>
      <c r="L211">
        <f t="shared" si="38"/>
        <v>-0.67751675055456806</v>
      </c>
      <c r="N211">
        <v>2180.107</v>
      </c>
      <c r="O211">
        <f t="shared" si="39"/>
        <v>10.900535</v>
      </c>
    </row>
    <row r="212" spans="1:15">
      <c r="A212">
        <v>11</v>
      </c>
      <c r="B212">
        <f t="shared" si="34"/>
        <v>2200</v>
      </c>
      <c r="C212">
        <v>0.27500000000000002</v>
      </c>
      <c r="D212">
        <v>2.4E-2</v>
      </c>
      <c r="E212">
        <f t="shared" si="35"/>
        <v>2200</v>
      </c>
      <c r="F212">
        <v>2.02977115213871E-2</v>
      </c>
      <c r="I212">
        <f t="shared" si="36"/>
        <v>0.53900000000000003</v>
      </c>
      <c r="K212">
        <f t="shared" si="37"/>
        <v>0.54458187066838148</v>
      </c>
      <c r="L212">
        <f t="shared" si="38"/>
        <v>-0.67714328110683597</v>
      </c>
      <c r="N212">
        <v>2190.6981999999998</v>
      </c>
      <c r="O212">
        <f t="shared" si="39"/>
        <v>10.953491</v>
      </c>
    </row>
    <row r="213" spans="1:15">
      <c r="A213">
        <v>11</v>
      </c>
      <c r="B213">
        <f t="shared" si="34"/>
        <v>2200</v>
      </c>
      <c r="C213">
        <v>0.27200000000000002</v>
      </c>
      <c r="D213">
        <v>2.4E-2</v>
      </c>
      <c r="E213">
        <f t="shared" si="35"/>
        <v>2200</v>
      </c>
      <c r="F213">
        <v>2.0944960221648219E-2</v>
      </c>
      <c r="I213">
        <f t="shared" si="36"/>
        <v>0.53600000000000003</v>
      </c>
      <c r="K213">
        <f t="shared" si="37"/>
        <v>0.54169702918028839</v>
      </c>
      <c r="L213">
        <f t="shared" si="38"/>
        <v>-0.68002812259492906</v>
      </c>
      <c r="N213">
        <v>2200.7800000000002</v>
      </c>
      <c r="O213">
        <f t="shared" si="39"/>
        <v>11.003900000000002</v>
      </c>
    </row>
    <row r="214" spans="1:15">
      <c r="A214">
        <v>11.1</v>
      </c>
      <c r="B214">
        <f t="shared" si="34"/>
        <v>2220</v>
      </c>
      <c r="C214">
        <v>0.27</v>
      </c>
      <c r="D214">
        <v>2.4E-2</v>
      </c>
      <c r="E214">
        <f t="shared" si="35"/>
        <v>2220</v>
      </c>
      <c r="F214">
        <v>2.0143041193485259E-2</v>
      </c>
      <c r="I214">
        <f t="shared" si="36"/>
        <v>0.53639999999999999</v>
      </c>
      <c r="K214">
        <f t="shared" si="37"/>
        <v>0.54183862112224102</v>
      </c>
      <c r="L214">
        <f t="shared" si="38"/>
        <v>-0.67988653065297644</v>
      </c>
      <c r="N214">
        <v>2211.0654</v>
      </c>
      <c r="O214">
        <f t="shared" si="39"/>
        <v>11.055327</v>
      </c>
    </row>
    <row r="215" spans="1:15">
      <c r="A215">
        <v>11.1</v>
      </c>
      <c r="B215">
        <f t="shared" si="34"/>
        <v>2220</v>
      </c>
      <c r="C215">
        <v>0.26800000000000002</v>
      </c>
      <c r="D215">
        <v>2.4E-2</v>
      </c>
      <c r="E215">
        <f t="shared" si="35"/>
        <v>2220</v>
      </c>
      <c r="F215">
        <v>1.974491569399834E-2</v>
      </c>
      <c r="I215">
        <f t="shared" si="36"/>
        <v>0.53439999999999999</v>
      </c>
      <c r="K215">
        <f t="shared" si="37"/>
        <v>0.53969163740599158</v>
      </c>
      <c r="L215">
        <f t="shared" si="38"/>
        <v>-0.68203351436922588</v>
      </c>
      <c r="N215">
        <v>2221.1469999999999</v>
      </c>
      <c r="O215">
        <f t="shared" si="39"/>
        <v>11.105734999999999</v>
      </c>
    </row>
    <row r="216" spans="1:15">
      <c r="A216">
        <v>11.2</v>
      </c>
      <c r="B216">
        <f t="shared" si="34"/>
        <v>2240</v>
      </c>
      <c r="C216">
        <v>0.26500000000000001</v>
      </c>
      <c r="D216">
        <v>2.4E-2</v>
      </c>
      <c r="E216">
        <f t="shared" si="35"/>
        <v>2240</v>
      </c>
      <c r="F216">
        <v>1.9829442530870441E-2</v>
      </c>
      <c r="I216">
        <f t="shared" si="36"/>
        <v>0.53380000000000005</v>
      </c>
      <c r="K216">
        <f t="shared" si="37"/>
        <v>0.5390548022706807</v>
      </c>
      <c r="L216">
        <f t="shared" si="38"/>
        <v>-0.68267034950453676</v>
      </c>
      <c r="N216">
        <v>2231.6363999999999</v>
      </c>
      <c r="O216">
        <f t="shared" si="39"/>
        <v>11.158182</v>
      </c>
    </row>
    <row r="217" spans="1:15">
      <c r="A217">
        <v>11.2</v>
      </c>
      <c r="B217">
        <f t="shared" si="34"/>
        <v>2240</v>
      </c>
      <c r="C217">
        <v>0.26300000000000001</v>
      </c>
      <c r="D217">
        <v>2.4E-2</v>
      </c>
      <c r="E217">
        <f t="shared" si="35"/>
        <v>2240</v>
      </c>
      <c r="F217">
        <v>2.0236572057008739E-2</v>
      </c>
      <c r="I217">
        <f t="shared" si="36"/>
        <v>0.53180000000000005</v>
      </c>
      <c r="K217">
        <f t="shared" si="37"/>
        <v>0.53712221845099339</v>
      </c>
      <c r="L217">
        <f t="shared" si="38"/>
        <v>-0.68460293332422406</v>
      </c>
      <c r="N217">
        <v>2241.8200000000002</v>
      </c>
      <c r="O217">
        <f t="shared" si="39"/>
        <v>11.209100000000001</v>
      </c>
    </row>
    <row r="218" spans="1:15">
      <c r="A218">
        <v>11.3</v>
      </c>
      <c r="B218">
        <f t="shared" si="34"/>
        <v>2260</v>
      </c>
      <c r="C218">
        <v>0.26100000000000001</v>
      </c>
      <c r="D218">
        <v>2.4E-2</v>
      </c>
      <c r="E218">
        <f t="shared" si="35"/>
        <v>2260</v>
      </c>
      <c r="F218">
        <v>1.9775474250316619E-2</v>
      </c>
      <c r="I218">
        <f t="shared" si="36"/>
        <v>0.53220000000000001</v>
      </c>
      <c r="K218">
        <f t="shared" si="37"/>
        <v>0.53736139877933264</v>
      </c>
      <c r="L218">
        <f t="shared" si="38"/>
        <v>-0.68436375299588481</v>
      </c>
      <c r="N218">
        <v>2252.3092000000001</v>
      </c>
      <c r="O218">
        <f t="shared" si="39"/>
        <v>11.261546000000001</v>
      </c>
    </row>
    <row r="219" spans="1:15">
      <c r="A219">
        <v>11.4</v>
      </c>
      <c r="B219">
        <f t="shared" si="34"/>
        <v>2280</v>
      </c>
      <c r="C219">
        <v>0.25900000000000001</v>
      </c>
      <c r="D219">
        <v>2.4E-2</v>
      </c>
      <c r="E219">
        <f t="shared" si="35"/>
        <v>2280</v>
      </c>
      <c r="F219">
        <v>1.968882772326469E-2</v>
      </c>
      <c r="I219">
        <f t="shared" si="36"/>
        <v>0.53259999999999996</v>
      </c>
      <c r="K219">
        <f t="shared" si="37"/>
        <v>0.53769940638032554</v>
      </c>
      <c r="L219">
        <f t="shared" si="38"/>
        <v>-0.68402574539489192</v>
      </c>
      <c r="N219">
        <v>2262.4929999999999</v>
      </c>
      <c r="O219">
        <f t="shared" si="39"/>
        <v>11.312465</v>
      </c>
    </row>
    <row r="220" spans="1:15">
      <c r="A220">
        <v>11.4</v>
      </c>
      <c r="B220">
        <f t="shared" si="34"/>
        <v>2280</v>
      </c>
      <c r="C220">
        <v>0.25600000000000001</v>
      </c>
      <c r="D220">
        <v>2.4E-2</v>
      </c>
      <c r="E220">
        <f t="shared" si="35"/>
        <v>2280</v>
      </c>
      <c r="F220">
        <v>2.00915874838829E-2</v>
      </c>
      <c r="I220">
        <f t="shared" si="36"/>
        <v>0.52960000000000007</v>
      </c>
      <c r="K220">
        <f t="shared" si="37"/>
        <v>0.53474344639587412</v>
      </c>
      <c r="L220">
        <f t="shared" si="38"/>
        <v>-0.68698170537934333</v>
      </c>
      <c r="N220">
        <v>2272.982</v>
      </c>
      <c r="O220">
        <f t="shared" si="39"/>
        <v>11.36491</v>
      </c>
    </row>
    <row r="221" spans="1:15">
      <c r="A221">
        <v>11.5</v>
      </c>
      <c r="B221">
        <f t="shared" si="34"/>
        <v>2300</v>
      </c>
      <c r="C221">
        <v>0.254</v>
      </c>
      <c r="D221">
        <v>2.4E-2</v>
      </c>
      <c r="E221">
        <f t="shared" si="35"/>
        <v>2300</v>
      </c>
      <c r="F221">
        <v>2.0944960221648219E-2</v>
      </c>
      <c r="I221">
        <f t="shared" si="36"/>
        <v>0.53</v>
      </c>
      <c r="K221">
        <f t="shared" si="37"/>
        <v>0.53532001989629863</v>
      </c>
      <c r="L221">
        <f t="shared" si="38"/>
        <v>-0.68640513187891883</v>
      </c>
      <c r="N221">
        <v>2283.1658000000002</v>
      </c>
      <c r="O221">
        <f t="shared" si="39"/>
        <v>11.415829</v>
      </c>
    </row>
    <row r="222" spans="1:15">
      <c r="A222">
        <v>11.5</v>
      </c>
      <c r="B222">
        <f t="shared" si="34"/>
        <v>2300</v>
      </c>
      <c r="C222">
        <v>0.252</v>
      </c>
      <c r="D222">
        <v>2.4E-2</v>
      </c>
      <c r="E222">
        <f t="shared" si="35"/>
        <v>2300</v>
      </c>
      <c r="F222">
        <v>2.0143041193485259E-2</v>
      </c>
      <c r="I222">
        <f t="shared" si="36"/>
        <v>0.52800000000000002</v>
      </c>
      <c r="K222">
        <f t="shared" si="37"/>
        <v>0.53307604638075834</v>
      </c>
      <c r="L222">
        <f t="shared" si="38"/>
        <v>-0.68864910539445912</v>
      </c>
      <c r="N222">
        <v>2293.4512</v>
      </c>
      <c r="O222">
        <f t="shared" si="39"/>
        <v>11.467255999999999</v>
      </c>
    </row>
    <row r="223" spans="1:15">
      <c r="A223">
        <v>11.5</v>
      </c>
      <c r="B223">
        <f t="shared" si="34"/>
        <v>2300</v>
      </c>
      <c r="C223">
        <v>0.252</v>
      </c>
      <c r="D223">
        <v>2.4E-2</v>
      </c>
      <c r="E223">
        <f t="shared" si="35"/>
        <v>2300</v>
      </c>
      <c r="F223">
        <v>1.974491569399834E-2</v>
      </c>
      <c r="I223">
        <f t="shared" si="36"/>
        <v>0.52800000000000002</v>
      </c>
      <c r="K223">
        <f t="shared" si="37"/>
        <v>0.53297571875488758</v>
      </c>
      <c r="L223">
        <f t="shared" si="38"/>
        <v>-0.68874943302032987</v>
      </c>
      <c r="N223">
        <v>2303.5331999999999</v>
      </c>
      <c r="O223">
        <f t="shared" si="39"/>
        <v>11.517665999999998</v>
      </c>
    </row>
    <row r="224" spans="1:15">
      <c r="N224">
        <v>2314.1242000000002</v>
      </c>
      <c r="O224">
        <f t="shared" si="39"/>
        <v>11.570621000000001</v>
      </c>
    </row>
    <row r="225" spans="14:15">
      <c r="N225">
        <v>2325.4281999999998</v>
      </c>
      <c r="O225">
        <f t="shared" si="39"/>
        <v>11.627141</v>
      </c>
    </row>
    <row r="226" spans="14:15">
      <c r="N226">
        <v>2335.8152</v>
      </c>
      <c r="O226">
        <f t="shared" si="39"/>
        <v>11.679076</v>
      </c>
    </row>
    <row r="227" spans="14:15">
      <c r="N227">
        <v>2345.9987999999998</v>
      </c>
      <c r="O227">
        <f t="shared" si="39"/>
        <v>11.729994</v>
      </c>
    </row>
    <row r="228" spans="14:15">
      <c r="N228">
        <v>2356.7937999999999</v>
      </c>
      <c r="O228">
        <f t="shared" si="39"/>
        <v>11.783968999999999</v>
      </c>
    </row>
    <row r="229" spans="14:15">
      <c r="N229">
        <v>2366.8755999999998</v>
      </c>
      <c r="O229">
        <f t="shared" si="39"/>
        <v>11.834377999999999</v>
      </c>
    </row>
    <row r="230" spans="14:15">
      <c r="N230">
        <v>2377.0594000000001</v>
      </c>
      <c r="O230">
        <f t="shared" si="39"/>
        <v>11.885297000000001</v>
      </c>
    </row>
    <row r="231" spans="14:15">
      <c r="N231">
        <v>2387.1410000000001</v>
      </c>
      <c r="O231">
        <f t="shared" si="39"/>
        <v>11.935705</v>
      </c>
    </row>
    <row r="232" spans="14:15">
      <c r="N232">
        <v>2394.0659999999998</v>
      </c>
      <c r="O232">
        <f t="shared" si="39"/>
        <v>11.970329999999999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DavidOHalla</cp:lastModifiedBy>
  <dcterms:created xsi:type="dcterms:W3CDTF">2025-09-17T02:43:03Z</dcterms:created>
  <dcterms:modified xsi:type="dcterms:W3CDTF">2026-06-15T10:36:13Z</dcterms:modified>
</cp:coreProperties>
</file>