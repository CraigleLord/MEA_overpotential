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3595" windowHeight="11265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3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5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44"/>
  <sheetViews>
    <sheetView tabSelected="1" topLeftCell="I108" zoomScale="85" zoomScaleNormal="85" workbookViewId="0">
      <selection activeCell="M4" sqref="M4:P144"/>
    </sheetView>
  </sheetViews>
  <sheetFormatPr baseColWidth="8" defaultRowHeight="16.5"/>
  <cols>
    <col width="12.25" customWidth="1" style="1" min="10" max="10"/>
    <col width="13.625" bestFit="1" customWidth="1" style="1" min="11" max="11"/>
  </cols>
  <sheetData>
    <row r="1">
      <c r="A1" s="2" t="inlineStr">
        <is>
          <t>Overpotential Calculation</t>
        </is>
      </c>
      <c r="R1" s="3" t="inlineStr">
        <is>
          <t>T</t>
        </is>
      </c>
      <c r="S1" s="3" t="inlineStr">
        <is>
          <t>Log()</t>
        </is>
      </c>
      <c r="T1" s="3" t="inlineStr">
        <is>
          <t>P_H2</t>
        </is>
      </c>
      <c r="U1" s="3" t="inlineStr">
        <is>
          <t>P_O2</t>
        </is>
      </c>
    </row>
    <row r="2">
      <c r="A2" s="0" t="inlineStr">
        <is>
          <t>Raw</t>
        </is>
      </c>
      <c r="F2" s="0" t="inlineStr">
        <is>
          <t>mA/cm2</t>
        </is>
      </c>
      <c r="H2" s="0" t="inlineStr">
        <is>
          <t>mW/cm2</t>
        </is>
      </c>
      <c r="J2" s="2" t="inlineStr">
        <is>
          <t>Total Opot</t>
        </is>
      </c>
      <c r="M2" s="0" t="inlineStr">
        <is>
          <t>Erev</t>
        </is>
      </c>
      <c r="N2" s="2">
        <f>1.23-0.0009*(R2-298)+(2.303*8.314*R2/(4*96485))*LOG(S2)</f>
        <v/>
      </c>
      <c r="R2" s="4" t="n">
        <v>353</v>
      </c>
      <c r="S2" s="4">
        <f>(((T2/101.3)^2)*((U2/101.3)))^2</f>
        <v/>
      </c>
      <c r="T2" s="4" t="n">
        <v>250</v>
      </c>
      <c r="U2" s="4" t="n">
        <v>250</v>
      </c>
    </row>
    <row r="3">
      <c r="A3" s="0" t="inlineStr">
        <is>
          <t>I</t>
        </is>
      </c>
      <c r="B3" s="0" t="inlineStr">
        <is>
          <t>V</t>
        </is>
      </c>
      <c r="C3" s="0" t="inlineStr">
        <is>
          <t>P</t>
        </is>
      </c>
      <c r="D3" s="0" t="inlineStr">
        <is>
          <t>IR</t>
        </is>
      </c>
      <c r="F3" s="0" t="inlineStr">
        <is>
          <t>I</t>
        </is>
      </c>
      <c r="G3" s="0" t="inlineStr">
        <is>
          <t>V</t>
        </is>
      </c>
      <c r="H3" s="0" t="inlineStr">
        <is>
          <t>P</t>
        </is>
      </c>
      <c r="J3" s="0" t="inlineStr">
        <is>
          <t>Ln(i)</t>
        </is>
      </c>
      <c r="K3" s="0" t="inlineStr">
        <is>
          <t>Total Opot</t>
        </is>
      </c>
      <c r="M3" s="0" t="inlineStr">
        <is>
          <t>Kin Opot</t>
        </is>
      </c>
      <c r="N3" s="0" t="inlineStr">
        <is>
          <t>Ohmic</t>
        </is>
      </c>
      <c r="O3" s="0" t="inlineStr">
        <is>
          <t>proton</t>
        </is>
      </c>
      <c r="P3" s="0" t="inlineStr">
        <is>
          <t>Mass</t>
        </is>
      </c>
    </row>
    <row r="4">
      <c r="A4" s="0" t="n">
        <v>0.0630782</v>
      </c>
      <c r="B4" s="0" t="n">
        <v>0.83364</v>
      </c>
      <c r="C4" s="0">
        <f>A4*B4</f>
        <v/>
      </c>
      <c r="D4" s="0" t="n">
        <v>0.0165</v>
      </c>
      <c r="E4" s="0" t="n">
        <v>0.01413</v>
      </c>
      <c r="F4" s="0">
        <f>A4*200</f>
        <v/>
      </c>
      <c r="G4" s="0">
        <f>-B4</f>
        <v/>
      </c>
      <c r="H4" s="0">
        <f>-C4*200</f>
        <v/>
      </c>
      <c r="I4" s="0" t="n">
        <v>1</v>
      </c>
      <c r="J4" s="0">
        <f>LN(F4/1000)</f>
        <v/>
      </c>
      <c r="K4" s="0">
        <f>((-G4)-$N$2)</f>
        <v/>
      </c>
      <c r="M4" s="0">
        <f>-1*($S$4+($S$5*J4))</f>
        <v/>
      </c>
      <c r="N4" s="0">
        <f>D4*A4</f>
        <v/>
      </c>
      <c r="O4" s="0">
        <f>E4*A4</f>
        <v/>
      </c>
      <c r="P4" s="0">
        <f>-K4-M4-N4-O4</f>
        <v/>
      </c>
      <c r="R4" s="2" t="inlineStr">
        <is>
          <t>Intercept</t>
        </is>
      </c>
      <c r="S4" s="0" t="n">
        <v>-0.5690993035000974</v>
      </c>
      <c r="V4" s="0" t="n">
        <v>-6</v>
      </c>
      <c r="W4" s="0">
        <f>V4*$S$5+$S$4</f>
        <v/>
      </c>
    </row>
    <row r="5">
      <c r="A5" s="0" t="n">
        <v>0.1145057</v>
      </c>
      <c r="B5" s="0" t="n">
        <v>0.82504</v>
      </c>
      <c r="C5" s="0">
        <f>A5*B5</f>
        <v/>
      </c>
      <c r="D5" s="0" t="n">
        <v>0.0165</v>
      </c>
      <c r="E5" s="0" t="n">
        <v>0.01413</v>
      </c>
      <c r="F5" s="0">
        <f>A5*200</f>
        <v/>
      </c>
      <c r="G5" s="0">
        <f>-B5</f>
        <v/>
      </c>
      <c r="H5" s="0">
        <f>-C5*200</f>
        <v/>
      </c>
      <c r="I5" s="0" t="n">
        <v>1</v>
      </c>
      <c r="J5" s="0">
        <f>LN(F5/1000)</f>
        <v/>
      </c>
      <c r="K5" s="0">
        <f>((-G5)-$N$2)</f>
        <v/>
      </c>
      <c r="M5" s="0">
        <f>-1*($S$4+($S$5*J5))</f>
        <v/>
      </c>
      <c r="N5" s="0">
        <f>D5*A5</f>
        <v/>
      </c>
      <c r="O5" s="0">
        <f>E5*A5</f>
        <v/>
      </c>
      <c r="P5" s="0">
        <f>-K5-M5-N5-O5</f>
        <v/>
      </c>
      <c r="R5" s="2" t="inlineStr">
        <is>
          <t>Slope</t>
        </is>
      </c>
      <c r="S5" s="0" t="n">
        <v>-0.05044107183883433</v>
      </c>
      <c r="V5" s="0" t="n">
        <v>-5.9</v>
      </c>
      <c r="W5" s="0">
        <f>V5*$S$5+$S$4</f>
        <v/>
      </c>
    </row>
    <row r="6">
      <c r="A6" s="0" t="n">
        <v>0.16542405</v>
      </c>
      <c r="B6" s="0" t="n">
        <v>0.81449</v>
      </c>
      <c r="C6" s="0">
        <f>A6*B6</f>
        <v/>
      </c>
      <c r="D6" s="0" t="n">
        <v>0.0165</v>
      </c>
      <c r="E6" s="0" t="n">
        <v>0.01413</v>
      </c>
      <c r="F6" s="0">
        <f>A6*200</f>
        <v/>
      </c>
      <c r="G6" s="0">
        <f>-B6</f>
        <v/>
      </c>
      <c r="H6" s="0">
        <f>-C6*200</f>
        <v/>
      </c>
      <c r="I6" s="0" t="n">
        <v>1</v>
      </c>
      <c r="J6" s="0">
        <f>LN(F6/1000)</f>
        <v/>
      </c>
      <c r="K6" s="0">
        <f>((-G6)-$N$2)</f>
        <v/>
      </c>
      <c r="M6" s="0">
        <f>-1*($S$4+($S$5*J6))</f>
        <v/>
      </c>
      <c r="N6" s="0">
        <f>D6*A6</f>
        <v/>
      </c>
      <c r="O6" s="0">
        <f>E6*A6</f>
        <v/>
      </c>
      <c r="P6" s="0">
        <f>-K6-M6-N6-O6</f>
        <v/>
      </c>
      <c r="V6" s="0" t="n">
        <v>-5.8</v>
      </c>
      <c r="W6" s="0">
        <f>V6*$S$5+$S$4</f>
        <v/>
      </c>
    </row>
    <row r="7">
      <c r="A7" s="0" t="n">
        <v>0.2158332</v>
      </c>
      <c r="B7" s="0" t="n">
        <v>0.80681</v>
      </c>
      <c r="C7" s="0">
        <f>A7*B7</f>
        <v/>
      </c>
      <c r="D7" s="0" t="n">
        <v>0.0165</v>
      </c>
      <c r="E7" s="0" t="n">
        <v>0.01413</v>
      </c>
      <c r="F7" s="0">
        <f>A7*200</f>
        <v/>
      </c>
      <c r="G7" s="0">
        <f>-B7</f>
        <v/>
      </c>
      <c r="H7" s="0">
        <f>-C7*200</f>
        <v/>
      </c>
      <c r="I7" s="0" t="n">
        <v>1</v>
      </c>
      <c r="J7" s="0">
        <f>LN(F7/1000)</f>
        <v/>
      </c>
      <c r="K7" s="0">
        <f>((-G7)-$N$2)</f>
        <v/>
      </c>
      <c r="M7" s="0">
        <f>-1*($S$4+($S$5*J7))</f>
        <v/>
      </c>
      <c r="N7" s="0">
        <f>D7*A7</f>
        <v/>
      </c>
      <c r="O7" s="0">
        <f>E7*A7</f>
        <v/>
      </c>
      <c r="P7" s="0">
        <f>-K7-M7-N7-O7</f>
        <v/>
      </c>
      <c r="V7" s="0" t="n">
        <v>-5.7</v>
      </c>
      <c r="W7" s="0">
        <f>V7*$S$5+$S$4</f>
        <v/>
      </c>
    </row>
    <row r="8">
      <c r="A8" s="0" t="n">
        <v>0.2677699</v>
      </c>
      <c r="B8" s="0" t="n">
        <v>0.79849</v>
      </c>
      <c r="C8" s="0">
        <f>A8*B8</f>
        <v/>
      </c>
      <c r="D8" s="0" t="n">
        <v>0.0165</v>
      </c>
      <c r="E8" s="0" t="n">
        <v>0.01413</v>
      </c>
      <c r="F8" s="0">
        <f>A8*200</f>
        <v/>
      </c>
      <c r="G8" s="0">
        <f>-B8</f>
        <v/>
      </c>
      <c r="H8" s="0">
        <f>-C8*200</f>
        <v/>
      </c>
      <c r="I8" s="0" t="n">
        <v>1</v>
      </c>
      <c r="J8" s="0">
        <f>LN(F8/1000)</f>
        <v/>
      </c>
      <c r="K8" s="0">
        <f>((-G8)-$N$2)</f>
        <v/>
      </c>
      <c r="M8" s="0">
        <f>-1*($S$4+($S$5*J8))</f>
        <v/>
      </c>
      <c r="N8" s="0">
        <f>D8*A8</f>
        <v/>
      </c>
      <c r="O8" s="0">
        <f>E8*A8</f>
        <v/>
      </c>
      <c r="P8" s="0">
        <f>-K8-M8-N8-O8</f>
        <v/>
      </c>
      <c r="V8" s="0" t="n">
        <v>-5.6</v>
      </c>
      <c r="W8" s="0">
        <f>V8*$S$5+$S$4</f>
        <v/>
      </c>
    </row>
    <row r="9">
      <c r="A9" s="0" t="n">
        <v>0.32479845</v>
      </c>
      <c r="B9" s="0" t="n">
        <v>0.7914600000000001</v>
      </c>
      <c r="C9" s="0">
        <f>A9*B9</f>
        <v/>
      </c>
      <c r="D9" s="0" t="n">
        <v>0.0165</v>
      </c>
      <c r="E9" s="0" t="n">
        <v>0.01413</v>
      </c>
      <c r="F9" s="0">
        <f>A9*200</f>
        <v/>
      </c>
      <c r="G9" s="0">
        <f>-B9</f>
        <v/>
      </c>
      <c r="H9" s="0">
        <f>-C9*200</f>
        <v/>
      </c>
      <c r="I9" s="0" t="n">
        <v>1</v>
      </c>
      <c r="J9" s="0">
        <f>LN(F9/1000)</f>
        <v/>
      </c>
      <c r="K9" s="0">
        <f>((-G9)-$N$2)</f>
        <v/>
      </c>
      <c r="M9" s="0">
        <f>-1*($S$4+($S$5*J9))</f>
        <v/>
      </c>
      <c r="N9" s="0">
        <f>D9*A9</f>
        <v/>
      </c>
      <c r="O9" s="0">
        <f>E9*A9</f>
        <v/>
      </c>
      <c r="P9" s="0">
        <f>-K9-M9-N9-O9</f>
        <v/>
      </c>
      <c r="V9" s="0" t="n">
        <v>-5.5</v>
      </c>
      <c r="W9" s="0">
        <f>V9*$S$5+$S$4</f>
        <v/>
      </c>
    </row>
    <row r="10">
      <c r="A10" s="0" t="n">
        <v>0.3752076</v>
      </c>
      <c r="B10" s="0" t="n">
        <v>0.78411</v>
      </c>
      <c r="C10" s="0">
        <f>A10*B10</f>
        <v/>
      </c>
      <c r="D10" s="0" t="n">
        <v>0.0165</v>
      </c>
      <c r="E10" s="0" t="n">
        <v>0.01413</v>
      </c>
      <c r="F10" s="0">
        <f>A10*200</f>
        <v/>
      </c>
      <c r="G10" s="0">
        <f>-B10</f>
        <v/>
      </c>
      <c r="H10" s="0">
        <f>-C10*200</f>
        <v/>
      </c>
      <c r="I10" s="0" t="n">
        <v>1</v>
      </c>
      <c r="J10" s="0">
        <f>LN(F10/1000)</f>
        <v/>
      </c>
      <c r="K10" s="0">
        <f>((-G10)-$N$2)</f>
        <v/>
      </c>
      <c r="M10" s="0">
        <f>-1*($S$4+($S$5*J10))</f>
        <v/>
      </c>
      <c r="N10" s="0">
        <f>D10*A10</f>
        <v/>
      </c>
      <c r="O10" s="0">
        <f>E10*A10</f>
        <v/>
      </c>
      <c r="P10" s="0">
        <f>-K10-M10-N10-O10</f>
        <v/>
      </c>
      <c r="V10" s="0" t="n">
        <v>-5.4</v>
      </c>
      <c r="W10" s="0">
        <f>V10*$S$5+$S$4</f>
        <v/>
      </c>
    </row>
    <row r="11">
      <c r="A11" s="0" t="n">
        <v>0.42561665</v>
      </c>
      <c r="B11" s="0" t="n">
        <v>0.77735</v>
      </c>
      <c r="C11" s="0">
        <f>A11*B11</f>
        <v/>
      </c>
      <c r="D11" s="0" t="n">
        <v>0.0165</v>
      </c>
      <c r="E11" s="0" t="n">
        <v>0.01413</v>
      </c>
      <c r="F11" s="0">
        <f>A11*200</f>
        <v/>
      </c>
      <c r="G11" s="0">
        <f>-B11</f>
        <v/>
      </c>
      <c r="H11" s="0">
        <f>-C11*200</f>
        <v/>
      </c>
      <c r="I11" s="0" t="n">
        <v>1</v>
      </c>
      <c r="J11" s="0">
        <f>LN(F11/1000)</f>
        <v/>
      </c>
      <c r="K11" s="0">
        <f>((-G11)-$N$2)</f>
        <v/>
      </c>
      <c r="M11" s="0">
        <f>-1*($S$4+($S$5*J11))</f>
        <v/>
      </c>
      <c r="N11" s="0">
        <f>D11*A11</f>
        <v/>
      </c>
      <c r="O11" s="0">
        <f>E11*A11</f>
        <v/>
      </c>
      <c r="P11" s="0">
        <f>-K11-M11-N11-O11</f>
        <v/>
      </c>
      <c r="V11" s="0" t="n">
        <v>-5.3</v>
      </c>
      <c r="W11" s="0">
        <f>V11*$S$5+$S$4</f>
        <v/>
      </c>
    </row>
    <row r="12">
      <c r="A12" s="0" t="n">
        <v>0.476535</v>
      </c>
      <c r="B12" s="0" t="n">
        <v>0.77195</v>
      </c>
      <c r="C12" s="0">
        <f>A12*B12</f>
        <v/>
      </c>
      <c r="D12" s="0" t="n">
        <v>0.0165</v>
      </c>
      <c r="E12" s="0" t="n">
        <v>0.01413</v>
      </c>
      <c r="F12" s="0">
        <f>A12*200</f>
        <v/>
      </c>
      <c r="G12" s="0">
        <f>-B12</f>
        <v/>
      </c>
      <c r="H12" s="0">
        <f>-C12*200</f>
        <v/>
      </c>
      <c r="I12" s="0" t="n">
        <v>1</v>
      </c>
      <c r="J12" s="0">
        <f>LN(F12/1000)</f>
        <v/>
      </c>
      <c r="K12" s="0">
        <f>((-G12)-$N$2)</f>
        <v/>
      </c>
      <c r="M12" s="0">
        <f>-1*($S$4+($S$5*J12))</f>
        <v/>
      </c>
      <c r="N12" s="0">
        <f>D12*A12</f>
        <v/>
      </c>
      <c r="O12" s="0">
        <f>E12*A12</f>
        <v/>
      </c>
      <c r="P12" s="0">
        <f>-K12-M12-N12-O12</f>
        <v/>
      </c>
      <c r="V12" s="0" t="n">
        <v>-5.2</v>
      </c>
      <c r="W12" s="0">
        <f>V12*$S$5+$S$4</f>
        <v/>
      </c>
    </row>
    <row r="13">
      <c r="A13" s="0" t="n">
        <v>0.52898095</v>
      </c>
      <c r="B13" s="0" t="n">
        <v>0.76651</v>
      </c>
      <c r="C13" s="0">
        <f>A13*B13</f>
        <v/>
      </c>
      <c r="D13" s="0" t="n">
        <v>0.0165</v>
      </c>
      <c r="E13" s="0" t="n">
        <v>0.01413</v>
      </c>
      <c r="F13" s="0">
        <f>A13*200</f>
        <v/>
      </c>
      <c r="G13" s="0">
        <f>-B13</f>
        <v/>
      </c>
      <c r="H13" s="0">
        <f>-C13*200</f>
        <v/>
      </c>
      <c r="I13" s="0" t="n">
        <v>1</v>
      </c>
      <c r="J13" s="0">
        <f>LN(F13/1000)</f>
        <v/>
      </c>
      <c r="K13" s="0">
        <f>((-G13)-$N$2)</f>
        <v/>
      </c>
      <c r="M13" s="0">
        <f>-1*($S$4+($S$5*J13))</f>
        <v/>
      </c>
      <c r="N13" s="0">
        <f>D13*A13</f>
        <v/>
      </c>
      <c r="O13" s="0">
        <f>E13*A13</f>
        <v/>
      </c>
      <c r="P13" s="0">
        <f>-K13-M13-N13-O13</f>
        <v/>
      </c>
      <c r="V13" s="0" t="n">
        <v>-5.1</v>
      </c>
      <c r="W13" s="0">
        <f>V13*$S$5+$S$4</f>
        <v/>
      </c>
    </row>
    <row r="14">
      <c r="A14" s="0" t="n">
        <v>0.5793901</v>
      </c>
      <c r="B14" s="0" t="n">
        <v>0.76101</v>
      </c>
      <c r="C14" s="0">
        <f>A14*B14</f>
        <v/>
      </c>
      <c r="D14" s="0" t="n">
        <v>0.0165</v>
      </c>
      <c r="E14" s="0" t="n">
        <v>0.01413</v>
      </c>
      <c r="F14" s="0">
        <f>A14*200</f>
        <v/>
      </c>
      <c r="G14" s="0">
        <f>-B14</f>
        <v/>
      </c>
      <c r="H14" s="0">
        <f>-C14*200</f>
        <v/>
      </c>
      <c r="I14" s="0" t="n">
        <v>1</v>
      </c>
      <c r="J14" s="0">
        <f>LN(F14/1000)</f>
        <v/>
      </c>
      <c r="K14" s="0">
        <f>((-G14)-$N$2)</f>
        <v/>
      </c>
      <c r="M14" s="0">
        <f>-1*($S$4+($S$5*J14))</f>
        <v/>
      </c>
      <c r="N14" s="0">
        <f>D14*A14</f>
        <v/>
      </c>
      <c r="O14" s="0">
        <f>E14*A14</f>
        <v/>
      </c>
      <c r="P14" s="0">
        <f>-K14-M14-N14-O14</f>
        <v/>
      </c>
      <c r="V14" s="0" t="n">
        <v>-5</v>
      </c>
      <c r="W14" s="0">
        <f>V14*$S$5+$S$4</f>
        <v/>
      </c>
    </row>
    <row r="15">
      <c r="A15" s="0" t="n">
        <v>0.6303084</v>
      </c>
      <c r="B15" s="0" t="n">
        <v>0.75562</v>
      </c>
      <c r="C15" s="0">
        <f>A15*B15</f>
        <v/>
      </c>
      <c r="D15" s="0" t="n">
        <v>0.0165</v>
      </c>
      <c r="E15" s="0" t="n">
        <v>0.01413</v>
      </c>
      <c r="F15" s="0">
        <f>A15*200</f>
        <v/>
      </c>
      <c r="G15" s="0">
        <f>-B15</f>
        <v/>
      </c>
      <c r="H15" s="0">
        <f>-C15*200</f>
        <v/>
      </c>
      <c r="I15" s="0" t="n">
        <v>1</v>
      </c>
      <c r="J15" s="0">
        <f>LN(F15/1000)</f>
        <v/>
      </c>
      <c r="K15" s="0">
        <f>((-G15)-$N$2)</f>
        <v/>
      </c>
      <c r="M15" s="0">
        <f>-1*($S$4+($S$5*J15))</f>
        <v/>
      </c>
      <c r="N15" s="0">
        <f>D15*A15</f>
        <v/>
      </c>
      <c r="O15" s="0">
        <f>E15*A15</f>
        <v/>
      </c>
      <c r="P15" s="0">
        <f>-K15-M15-N15-O15</f>
        <v/>
      </c>
      <c r="V15" s="0" t="n">
        <v>-4.9</v>
      </c>
      <c r="W15" s="0">
        <f>V15*$S$5+$S$4</f>
        <v/>
      </c>
    </row>
    <row r="16">
      <c r="A16" s="0" t="n">
        <v>0.68224505</v>
      </c>
      <c r="B16" s="0" t="n">
        <v>0.75043</v>
      </c>
      <c r="C16" s="0">
        <f>A16*B16</f>
        <v/>
      </c>
      <c r="D16" s="0" t="n">
        <v>0.0165</v>
      </c>
      <c r="E16" s="0" t="n">
        <v>0.01413</v>
      </c>
      <c r="F16" s="0">
        <f>A16*200</f>
        <v/>
      </c>
      <c r="G16" s="0">
        <f>-B16</f>
        <v/>
      </c>
      <c r="H16" s="0">
        <f>-C16*200</f>
        <v/>
      </c>
      <c r="I16" s="0" t="n">
        <v>1</v>
      </c>
      <c r="J16" s="0">
        <f>LN(F16/1000)</f>
        <v/>
      </c>
      <c r="K16" s="0">
        <f>((-G16)-$N$2)</f>
        <v/>
      </c>
      <c r="M16" s="0">
        <f>-1*($S$4+($S$5*J16))</f>
        <v/>
      </c>
      <c r="N16" s="0">
        <f>D16*A16</f>
        <v/>
      </c>
      <c r="O16" s="0">
        <f>E16*A16</f>
        <v/>
      </c>
      <c r="P16" s="0">
        <f>-K16-M16-N16-O16</f>
        <v/>
      </c>
      <c r="V16" s="0" t="n">
        <v>-4.8</v>
      </c>
      <c r="W16" s="0">
        <f>V16*$S$5+$S$4</f>
        <v/>
      </c>
    </row>
    <row r="17">
      <c r="A17" s="0" t="n">
        <v>0.734691</v>
      </c>
      <c r="B17" s="0" t="n">
        <v>0.74569</v>
      </c>
      <c r="C17" s="0">
        <f>A17*B17</f>
        <v/>
      </c>
      <c r="D17" s="0" t="n">
        <v>0.0165</v>
      </c>
      <c r="E17" s="0" t="n">
        <v>0.01413</v>
      </c>
      <c r="F17" s="0">
        <f>A17*200</f>
        <v/>
      </c>
      <c r="G17" s="0">
        <f>-B17</f>
        <v/>
      </c>
      <c r="H17" s="0">
        <f>-C17*200</f>
        <v/>
      </c>
      <c r="I17" s="0" t="n">
        <v>1</v>
      </c>
      <c r="J17" s="0">
        <f>LN(F17/1000)</f>
        <v/>
      </c>
      <c r="K17" s="0">
        <f>((-G17)-$N$2)</f>
        <v/>
      </c>
      <c r="M17" s="0">
        <f>-1*($S$4+($S$5*J17))</f>
        <v/>
      </c>
      <c r="N17" s="0">
        <f>D17*A17</f>
        <v/>
      </c>
      <c r="O17" s="0">
        <f>E17*A17</f>
        <v/>
      </c>
      <c r="P17" s="0">
        <f>-K17-M17-N17-O17</f>
        <v/>
      </c>
      <c r="V17" s="0" t="n">
        <v>-4.7</v>
      </c>
      <c r="W17" s="0">
        <f>V17*$S$5+$S$4</f>
        <v/>
      </c>
    </row>
    <row r="18">
      <c r="A18" s="0" t="n">
        <v>0.78510005</v>
      </c>
      <c r="B18" s="0" t="n">
        <v>0.7406</v>
      </c>
      <c r="C18" s="0">
        <f>A18*B18</f>
        <v/>
      </c>
      <c r="D18" s="0" t="n">
        <v>0.0165</v>
      </c>
      <c r="E18" s="0" t="n">
        <v>0.01413</v>
      </c>
      <c r="F18" s="0">
        <f>A18*200</f>
        <v/>
      </c>
      <c r="G18" s="0">
        <f>-B18</f>
        <v/>
      </c>
      <c r="H18" s="0">
        <f>-C18*200</f>
        <v/>
      </c>
      <c r="I18" s="0" t="n">
        <v>1</v>
      </c>
      <c r="J18" s="0">
        <f>LN(F18/1000)</f>
        <v/>
      </c>
      <c r="K18" s="0">
        <f>((-G18)-$N$2)</f>
        <v/>
      </c>
      <c r="M18" s="0">
        <f>-1*($S$4+($S$5*J18))</f>
        <v/>
      </c>
      <c r="N18" s="0">
        <f>D18*A18</f>
        <v/>
      </c>
      <c r="O18" s="0">
        <f>E18*A18</f>
        <v/>
      </c>
      <c r="P18" s="0">
        <f>-K18-M18-N18-O18</f>
        <v/>
      </c>
      <c r="V18" s="0" t="n">
        <v>-4.6</v>
      </c>
      <c r="W18" s="0">
        <f>V18*$S$5+$S$4</f>
        <v/>
      </c>
    </row>
    <row r="19">
      <c r="A19" s="0" t="n">
        <v>0.83550915</v>
      </c>
      <c r="B19" s="0" t="n">
        <v>0.7359</v>
      </c>
      <c r="C19" s="0">
        <f>A19*B19</f>
        <v/>
      </c>
      <c r="D19" s="0" t="n">
        <v>0.0165</v>
      </c>
      <c r="E19" s="0" t="n">
        <v>0.01413</v>
      </c>
      <c r="F19" s="0">
        <f>A19*200</f>
        <v/>
      </c>
      <c r="G19" s="0">
        <f>-B19</f>
        <v/>
      </c>
      <c r="H19" s="0">
        <f>-C19*200</f>
        <v/>
      </c>
      <c r="I19" s="0" t="n">
        <v>1</v>
      </c>
      <c r="J19" s="0">
        <f>LN(F19/1000)</f>
        <v/>
      </c>
      <c r="K19" s="0">
        <f>((-G19)-$N$2)</f>
        <v/>
      </c>
      <c r="M19" s="0">
        <f>-1*($S$4+($S$5*J19))</f>
        <v/>
      </c>
      <c r="N19" s="0">
        <f>D19*A19</f>
        <v/>
      </c>
      <c r="O19" s="0">
        <f>E19*A19</f>
        <v/>
      </c>
      <c r="P19" s="0">
        <f>-K19-M19-N19-O19</f>
        <v/>
      </c>
      <c r="V19" s="0" t="n">
        <v>-4.50000000000001</v>
      </c>
      <c r="W19" s="0">
        <f>V19*$S$5+$S$4</f>
        <v/>
      </c>
    </row>
    <row r="20">
      <c r="A20" s="0" t="n">
        <v>0.88642755</v>
      </c>
      <c r="B20" s="0" t="n">
        <v>0.73193</v>
      </c>
      <c r="C20" s="0">
        <f>A20*B20</f>
        <v/>
      </c>
      <c r="D20" s="0" t="n">
        <v>0.0165</v>
      </c>
      <c r="E20" s="0" t="n">
        <v>0.01413</v>
      </c>
      <c r="F20" s="0">
        <f>A20*200</f>
        <v/>
      </c>
      <c r="G20" s="0">
        <f>-B20</f>
        <v/>
      </c>
      <c r="H20" s="0">
        <f>-C20*200</f>
        <v/>
      </c>
      <c r="I20" s="0" t="n">
        <v>1</v>
      </c>
      <c r="J20" s="0">
        <f>LN(F20/1000)</f>
        <v/>
      </c>
      <c r="K20" s="0">
        <f>((-G20)-$N$2)</f>
        <v/>
      </c>
      <c r="M20" s="0">
        <f>-1*($S$4+($S$5*J20))</f>
        <v/>
      </c>
      <c r="N20" s="0">
        <f>D20*A20</f>
        <v/>
      </c>
      <c r="O20" s="0">
        <f>E20*A20</f>
        <v/>
      </c>
      <c r="P20" s="0">
        <f>-K20-M20-N20-O20</f>
        <v/>
      </c>
      <c r="V20" s="0" t="n">
        <v>-4.40000000000001</v>
      </c>
      <c r="W20" s="0">
        <f>V20*$S$5+$S$4</f>
        <v/>
      </c>
    </row>
    <row r="21">
      <c r="A21" s="0" t="n">
        <v>0.940401</v>
      </c>
      <c r="B21" s="0" t="n">
        <v>0.72698</v>
      </c>
      <c r="C21" s="0">
        <f>A21*B21</f>
        <v/>
      </c>
      <c r="D21" s="0" t="n">
        <v>0.0165</v>
      </c>
      <c r="E21" s="0" t="n">
        <v>0.01413</v>
      </c>
      <c r="F21" s="0">
        <f>A21*200</f>
        <v/>
      </c>
      <c r="G21" s="0">
        <f>-B21</f>
        <v/>
      </c>
      <c r="H21" s="0">
        <f>-C21*200</f>
        <v/>
      </c>
      <c r="I21" s="0" t="n">
        <v>1</v>
      </c>
      <c r="J21" s="0">
        <f>LN(F21/1000)</f>
        <v/>
      </c>
      <c r="K21" s="0">
        <f>((-G21)-$N$2)</f>
        <v/>
      </c>
      <c r="M21" s="0">
        <f>-1*($S$4+($S$5*J21))</f>
        <v/>
      </c>
      <c r="N21" s="0">
        <f>D21*A21</f>
        <v/>
      </c>
      <c r="O21" s="0">
        <f>E21*A21</f>
        <v/>
      </c>
      <c r="P21" s="0">
        <f>-K21-M21-N21-O21</f>
        <v/>
      </c>
      <c r="V21" s="0" t="n">
        <v>-4.30000000000001</v>
      </c>
      <c r="W21" s="0">
        <f>V21*$S$5+$S$4</f>
        <v/>
      </c>
    </row>
    <row r="22">
      <c r="A22" s="0" t="n">
        <v>0.99131925</v>
      </c>
      <c r="B22" s="0" t="n">
        <v>0.72265</v>
      </c>
      <c r="C22" s="0">
        <f>A22*B22</f>
        <v/>
      </c>
      <c r="D22" s="0" t="n">
        <v>0.0165</v>
      </c>
      <c r="E22" s="0" t="n">
        <v>0.01413</v>
      </c>
      <c r="F22" s="0">
        <f>A22*200</f>
        <v/>
      </c>
      <c r="G22" s="0">
        <f>-B22</f>
        <v/>
      </c>
      <c r="H22" s="0">
        <f>-C22*200</f>
        <v/>
      </c>
      <c r="I22" s="0" t="n">
        <v>1</v>
      </c>
      <c r="J22" s="0">
        <f>LN(F22/1000)</f>
        <v/>
      </c>
      <c r="K22" s="0">
        <f>((-G22)-$N$2)</f>
        <v/>
      </c>
      <c r="M22" s="0">
        <f>-1*($S$4+($S$5*J22))</f>
        <v/>
      </c>
      <c r="N22" s="0">
        <f>D22*A22</f>
        <v/>
      </c>
      <c r="O22" s="0">
        <f>E22*A22</f>
        <v/>
      </c>
      <c r="P22" s="0">
        <f>-K22-M22-N22-O22</f>
        <v/>
      </c>
      <c r="V22" s="0" t="n">
        <v>-4.20000000000001</v>
      </c>
      <c r="W22" s="0">
        <f>V22*$S$5+$S$4</f>
        <v/>
      </c>
    </row>
    <row r="23">
      <c r="A23" s="0" t="n">
        <v>1.0427469</v>
      </c>
      <c r="B23" s="0" t="n">
        <v>0.71799</v>
      </c>
      <c r="C23" s="0">
        <f>A23*B23</f>
        <v/>
      </c>
      <c r="D23" s="0" t="n">
        <v>0.0165</v>
      </c>
      <c r="E23" s="0" t="n">
        <v>0.01413</v>
      </c>
      <c r="F23" s="0">
        <f>A23*200</f>
        <v/>
      </c>
      <c r="G23" s="0">
        <f>-B23</f>
        <v/>
      </c>
      <c r="H23" s="0">
        <f>-C23*200</f>
        <v/>
      </c>
      <c r="I23" s="0" t="n">
        <v>1</v>
      </c>
      <c r="J23" s="0">
        <f>LN(F23/1000)</f>
        <v/>
      </c>
      <c r="K23" s="0">
        <f>((-G23)-$N$2)</f>
        <v/>
      </c>
      <c r="M23" s="0">
        <f>-1*($S$4+($S$5*J23))</f>
        <v/>
      </c>
      <c r="N23" s="0">
        <f>D23*A23</f>
        <v/>
      </c>
      <c r="O23" s="0">
        <f>E23*A23</f>
        <v/>
      </c>
      <c r="P23" s="0">
        <f>-K23-M23-N23-O23</f>
        <v/>
      </c>
      <c r="V23" s="0" t="n">
        <v>-4.10000000000001</v>
      </c>
      <c r="W23" s="0">
        <f>V23*$S$5+$S$4</f>
        <v/>
      </c>
    </row>
    <row r="24">
      <c r="A24" s="0" t="n">
        <v>1.093156</v>
      </c>
      <c r="B24" s="0" t="n">
        <v>0.71354</v>
      </c>
      <c r="C24" s="0">
        <f>A24*B24</f>
        <v/>
      </c>
      <c r="D24" s="0" t="n">
        <v>0.0165</v>
      </c>
      <c r="E24" s="0" t="n">
        <v>0.01413</v>
      </c>
      <c r="F24" s="0">
        <f>A24*200</f>
        <v/>
      </c>
      <c r="G24" s="0">
        <f>-B24</f>
        <v/>
      </c>
      <c r="H24" s="0">
        <f>-C24*200</f>
        <v/>
      </c>
      <c r="I24" s="0" t="n">
        <v>1</v>
      </c>
      <c r="J24" s="0">
        <f>LN(F24/1000)</f>
        <v/>
      </c>
      <c r="K24" s="0">
        <f>((-G24)-$N$2)</f>
        <v/>
      </c>
      <c r="M24" s="0">
        <f>-1*($S$4+($S$5*J24))</f>
        <v/>
      </c>
      <c r="N24" s="0">
        <f>D24*A24</f>
        <v/>
      </c>
      <c r="O24" s="0">
        <f>E24*A24</f>
        <v/>
      </c>
      <c r="P24" s="0">
        <f>-K24-M24-N24-O24</f>
        <v/>
      </c>
      <c r="V24" s="0" t="n">
        <v>-4.00000000000001</v>
      </c>
      <c r="W24" s="0">
        <f>V24*$S$5+$S$4</f>
        <v/>
      </c>
    </row>
    <row r="25">
      <c r="A25" s="0" t="n">
        <v>1.1435652</v>
      </c>
      <c r="B25" s="0" t="n">
        <v>0.70955</v>
      </c>
      <c r="C25" s="0">
        <f>A25*B25</f>
        <v/>
      </c>
      <c r="D25" s="0" t="n">
        <v>0.0165</v>
      </c>
      <c r="E25" s="0" t="n">
        <v>0.01413</v>
      </c>
      <c r="F25" s="0">
        <f>A25*200</f>
        <v/>
      </c>
      <c r="G25" s="0">
        <f>-B25</f>
        <v/>
      </c>
      <c r="H25" s="0">
        <f>-C25*200</f>
        <v/>
      </c>
      <c r="I25" s="0" t="n">
        <v>1</v>
      </c>
      <c r="J25" s="0">
        <f>LN(F25/1000)</f>
        <v/>
      </c>
      <c r="K25" s="0">
        <f>((-G25)-$N$2)</f>
        <v/>
      </c>
      <c r="M25" s="0">
        <f>-1*($S$4+($S$5*J25))</f>
        <v/>
      </c>
      <c r="N25" s="0">
        <f>D25*A25</f>
        <v/>
      </c>
      <c r="O25" s="0">
        <f>E25*A25</f>
        <v/>
      </c>
      <c r="P25" s="0">
        <f>-K25-M25-N25-O25</f>
        <v/>
      </c>
      <c r="V25" s="0" t="n">
        <v>-3.90000000000001</v>
      </c>
      <c r="W25" s="0">
        <f>V25*$S$5+$S$4</f>
        <v/>
      </c>
    </row>
    <row r="26">
      <c r="A26" s="0" t="n">
        <v>1.1949927</v>
      </c>
      <c r="B26" s="0" t="n">
        <v>0.70526</v>
      </c>
      <c r="C26" s="0">
        <f>A26*B26</f>
        <v/>
      </c>
      <c r="D26" s="0" t="n">
        <v>0.0165</v>
      </c>
      <c r="E26" s="0" t="n">
        <v>0.01413</v>
      </c>
      <c r="F26" s="0">
        <f>A26*200</f>
        <v/>
      </c>
      <c r="G26" s="0">
        <f>-B26</f>
        <v/>
      </c>
      <c r="H26" s="0">
        <f>-C26*200</f>
        <v/>
      </c>
      <c r="I26" s="0" t="n">
        <v>1</v>
      </c>
      <c r="J26" s="0">
        <f>LN(F26/1000)</f>
        <v/>
      </c>
      <c r="K26" s="0">
        <f>((-G26)-$N$2)</f>
        <v/>
      </c>
      <c r="M26" s="0">
        <f>-1*($S$4+($S$5*J26))</f>
        <v/>
      </c>
      <c r="N26" s="0">
        <f>D26*A26</f>
        <v/>
      </c>
      <c r="O26" s="0">
        <f>E26*A26</f>
        <v/>
      </c>
      <c r="P26" s="0">
        <f>-K26-M26-N26-O26</f>
        <v/>
      </c>
      <c r="V26" s="0" t="n">
        <v>-3.80000000000001</v>
      </c>
      <c r="W26" s="0">
        <f>V26*$S$5+$S$4</f>
        <v/>
      </c>
    </row>
    <row r="27">
      <c r="A27" s="0" t="n">
        <v>1.2474386</v>
      </c>
      <c r="B27" s="0" t="n">
        <v>0.70119</v>
      </c>
      <c r="C27" s="0">
        <f>A27*B27</f>
        <v/>
      </c>
      <c r="D27" s="0" t="n">
        <v>0.0165</v>
      </c>
      <c r="E27" s="0" t="n">
        <v>0.01413</v>
      </c>
      <c r="F27" s="0">
        <f>A27*200</f>
        <v/>
      </c>
      <c r="G27" s="0">
        <f>-B27</f>
        <v/>
      </c>
      <c r="H27" s="0">
        <f>-C27*200</f>
        <v/>
      </c>
      <c r="I27" s="0" t="n">
        <v>1</v>
      </c>
      <c r="J27" s="0">
        <f>LN(F27/1000)</f>
        <v/>
      </c>
      <c r="K27" s="0">
        <f>((-G27)-$N$2)</f>
        <v/>
      </c>
      <c r="M27" s="0">
        <f>-1*($S$4+($S$5*J27))</f>
        <v/>
      </c>
      <c r="N27" s="0">
        <f>D27*A27</f>
        <v/>
      </c>
      <c r="O27" s="0">
        <f>E27*A27</f>
        <v/>
      </c>
      <c r="P27" s="0">
        <f>-K27-M27-N27-O27</f>
        <v/>
      </c>
      <c r="V27" s="0" t="n">
        <v>-3.70000000000001</v>
      </c>
      <c r="W27" s="0">
        <f>V27*$S$5+$S$4</f>
        <v/>
      </c>
    </row>
    <row r="28">
      <c r="A28" s="0" t="n">
        <v>1.304467</v>
      </c>
      <c r="B28" s="0" t="n">
        <v>0.69674</v>
      </c>
      <c r="C28" s="0">
        <f>A28*B28</f>
        <v/>
      </c>
      <c r="D28" s="0" t="n">
        <v>0.0165</v>
      </c>
      <c r="E28" s="0" t="n">
        <v>0.01413</v>
      </c>
      <c r="F28" s="0">
        <f>A28*200</f>
        <v/>
      </c>
      <c r="G28" s="0">
        <f>-B28</f>
        <v/>
      </c>
      <c r="H28" s="0">
        <f>-C28*200</f>
        <v/>
      </c>
      <c r="I28" s="0" t="n">
        <v>1</v>
      </c>
      <c r="J28" s="0">
        <f>LN(F28/1000)</f>
        <v/>
      </c>
      <c r="K28" s="0">
        <f>((-G28)-$N$2)</f>
        <v/>
      </c>
      <c r="M28" s="0">
        <f>-1*($S$4+($S$5*J28))</f>
        <v/>
      </c>
      <c r="N28" s="0">
        <f>D28*A28</f>
        <v/>
      </c>
      <c r="O28" s="0">
        <f>E28*A28</f>
        <v/>
      </c>
      <c r="P28" s="0">
        <f>-K28-M28-N28-O28</f>
        <v/>
      </c>
      <c r="V28" s="0" t="n">
        <v>-3.60000000000001</v>
      </c>
      <c r="W28" s="0">
        <f>V28*$S$5+$S$4</f>
        <v/>
      </c>
    </row>
    <row r="29">
      <c r="A29" s="0" t="n">
        <v>1.3553854</v>
      </c>
      <c r="B29" s="0" t="n">
        <v>0.69279</v>
      </c>
      <c r="C29" s="0">
        <f>A29*B29</f>
        <v/>
      </c>
      <c r="D29" s="0" t="n">
        <v>0.0165</v>
      </c>
      <c r="E29" s="0" t="n">
        <v>0.01413</v>
      </c>
      <c r="F29" s="0">
        <f>A29*200</f>
        <v/>
      </c>
      <c r="G29" s="0">
        <f>-B29</f>
        <v/>
      </c>
      <c r="H29" s="0">
        <f>-C29*200</f>
        <v/>
      </c>
      <c r="I29" s="0" t="n">
        <v>1</v>
      </c>
      <c r="J29" s="0">
        <f>LN(F29/1000)</f>
        <v/>
      </c>
      <c r="K29" s="0">
        <f>((-G29)-$N$2)</f>
        <v/>
      </c>
      <c r="M29" s="0">
        <f>-1*($S$4+($S$5*J29))</f>
        <v/>
      </c>
      <c r="N29" s="0">
        <f>D29*A29</f>
        <v/>
      </c>
      <c r="O29" s="0">
        <f>E29*A29</f>
        <v/>
      </c>
      <c r="P29" s="0">
        <f>-K29-M29-N29-O29</f>
        <v/>
      </c>
      <c r="V29" s="0" t="n">
        <v>-3.50000000000001</v>
      </c>
      <c r="W29" s="0">
        <f>V29*$S$5+$S$4</f>
        <v/>
      </c>
    </row>
    <row r="30">
      <c r="A30" s="0" t="n">
        <v>1.4063037</v>
      </c>
      <c r="B30" s="0" t="n">
        <v>0.68874</v>
      </c>
      <c r="C30" s="0">
        <f>A30*B30</f>
        <v/>
      </c>
      <c r="D30" s="0" t="n">
        <v>0.0165</v>
      </c>
      <c r="E30" s="0" t="n">
        <v>0.01413</v>
      </c>
      <c r="F30" s="0">
        <f>A30*200</f>
        <v/>
      </c>
      <c r="G30" s="0">
        <f>-B30</f>
        <v/>
      </c>
      <c r="H30" s="0">
        <f>-C30*200</f>
        <v/>
      </c>
      <c r="I30" s="0" t="n">
        <v>1</v>
      </c>
      <c r="J30" s="0">
        <f>LN(F30/1000)</f>
        <v/>
      </c>
      <c r="K30" s="0">
        <f>((-G30)-$N$2)</f>
        <v/>
      </c>
      <c r="M30" s="0">
        <f>-1*($S$4+($S$5*J30))</f>
        <v/>
      </c>
      <c r="N30" s="0">
        <f>D30*A30</f>
        <v/>
      </c>
      <c r="O30" s="0">
        <f>E30*A30</f>
        <v/>
      </c>
      <c r="P30" s="0">
        <f>-K30-M30-N30-O30</f>
        <v/>
      </c>
      <c r="V30" s="0" t="n">
        <v>-3.40000000000001</v>
      </c>
      <c r="W30" s="0">
        <f>V30*$S$5+$S$4</f>
        <v/>
      </c>
    </row>
    <row r="31">
      <c r="A31" s="0" t="n">
        <v>1.4577312</v>
      </c>
      <c r="B31" s="0" t="n">
        <v>0.68506</v>
      </c>
      <c r="C31" s="0">
        <f>A31*B31</f>
        <v/>
      </c>
      <c r="D31" s="0" t="n">
        <v>0.0165</v>
      </c>
      <c r="E31" s="0" t="n">
        <v>0.01413</v>
      </c>
      <c r="F31" s="0">
        <f>A31*200</f>
        <v/>
      </c>
      <c r="G31" s="0">
        <f>-B31</f>
        <v/>
      </c>
      <c r="H31" s="0">
        <f>-C31*200</f>
        <v/>
      </c>
      <c r="I31" s="0" t="n">
        <v>1</v>
      </c>
      <c r="J31" s="0">
        <f>LN(F31/1000)</f>
        <v/>
      </c>
      <c r="K31" s="0">
        <f>((-G31)-$N$2)</f>
        <v/>
      </c>
      <c r="M31" s="0">
        <f>-1*($S$4+($S$5*J31))</f>
        <v/>
      </c>
      <c r="N31" s="0">
        <f>D31*A31</f>
        <v/>
      </c>
      <c r="O31" s="0">
        <f>E31*A31</f>
        <v/>
      </c>
      <c r="P31" s="0">
        <f>-K31-M31-N31-O31</f>
        <v/>
      </c>
      <c r="V31" s="0" t="n">
        <v>-3.30000000000001</v>
      </c>
      <c r="W31" s="0">
        <f>V31*$S$5+$S$4</f>
        <v/>
      </c>
    </row>
    <row r="32">
      <c r="A32" s="0" t="n">
        <v>1.5091588</v>
      </c>
      <c r="B32" s="0" t="n">
        <v>0.6807</v>
      </c>
      <c r="C32" s="0">
        <f>A32*B32</f>
        <v/>
      </c>
      <c r="D32" s="0" t="n">
        <v>0.0165</v>
      </c>
      <c r="E32" s="0" t="n">
        <v>0.01413</v>
      </c>
      <c r="F32" s="0">
        <f>A32*200</f>
        <v/>
      </c>
      <c r="G32" s="0">
        <f>-B32</f>
        <v/>
      </c>
      <c r="H32" s="0">
        <f>-C32*200</f>
        <v/>
      </c>
      <c r="I32" s="0" t="n">
        <v>1</v>
      </c>
      <c r="J32" s="0">
        <f>LN(F32/1000)</f>
        <v/>
      </c>
      <c r="K32" s="0">
        <f>((-G32)-$N$2)</f>
        <v/>
      </c>
      <c r="M32" s="0">
        <f>-1*($S$4+($S$5*J32))</f>
        <v/>
      </c>
      <c r="N32" s="0">
        <f>D32*A32</f>
        <v/>
      </c>
      <c r="O32" s="0">
        <f>E32*A32</f>
        <v/>
      </c>
      <c r="P32" s="0">
        <f>-K32-M32-N32-O32</f>
        <v/>
      </c>
      <c r="V32" s="0" t="n">
        <v>-3.20000000000001</v>
      </c>
      <c r="W32" s="0">
        <f>V32*$S$5+$S$4</f>
        <v/>
      </c>
    </row>
    <row r="33">
      <c r="A33" s="0" t="n">
        <v>1.5610953</v>
      </c>
      <c r="B33" s="0" t="n">
        <v>0.67675</v>
      </c>
      <c r="C33" s="0">
        <f>A33*B33</f>
        <v/>
      </c>
      <c r="D33" s="0" t="n">
        <v>0.0165</v>
      </c>
      <c r="E33" s="0" t="n">
        <v>0.01413</v>
      </c>
      <c r="F33" s="0">
        <f>A33*200</f>
        <v/>
      </c>
      <c r="G33" s="0">
        <f>-B33</f>
        <v/>
      </c>
      <c r="H33" s="0">
        <f>-C33*200</f>
        <v/>
      </c>
      <c r="I33" s="0" t="n">
        <v>1</v>
      </c>
      <c r="J33" s="0">
        <f>LN(F33/1000)</f>
        <v/>
      </c>
      <c r="K33" s="0">
        <f>((-G33)-$N$2)</f>
        <v/>
      </c>
      <c r="M33" s="0">
        <f>-1*($S$4+($S$5*J33))</f>
        <v/>
      </c>
      <c r="N33" s="0">
        <f>D33*A33</f>
        <v/>
      </c>
      <c r="O33" s="0">
        <f>E33*A33</f>
        <v/>
      </c>
      <c r="P33" s="0">
        <f>-K33-M33-N33-O33</f>
        <v/>
      </c>
      <c r="V33" s="0" t="n">
        <v>-3.10000000000001</v>
      </c>
      <c r="W33" s="0">
        <f>V33*$S$5+$S$4</f>
        <v/>
      </c>
    </row>
    <row r="34">
      <c r="A34" s="0" t="n">
        <v>1.615578</v>
      </c>
      <c r="B34" s="0" t="n">
        <v>0.67278</v>
      </c>
      <c r="C34" s="0">
        <f>A34*B34</f>
        <v/>
      </c>
      <c r="D34" s="0" t="n">
        <v>0.0165</v>
      </c>
      <c r="E34" s="0" t="n">
        <v>0.01413</v>
      </c>
      <c r="F34" s="0">
        <f>A34*200</f>
        <v/>
      </c>
      <c r="G34" s="0">
        <f>-B34</f>
        <v/>
      </c>
      <c r="H34" s="0">
        <f>-C34*200</f>
        <v/>
      </c>
      <c r="I34" s="0" t="n">
        <v>1</v>
      </c>
      <c r="J34" s="0">
        <f>LN(F34/1000)</f>
        <v/>
      </c>
      <c r="K34" s="0">
        <f>((-G34)-$N$2)</f>
        <v/>
      </c>
      <c r="M34" s="0">
        <f>-1*($S$4+($S$5*J34))</f>
        <v/>
      </c>
      <c r="N34" s="0">
        <f>D34*A34</f>
        <v/>
      </c>
      <c r="O34" s="0">
        <f>E34*A34</f>
        <v/>
      </c>
      <c r="P34" s="0">
        <f>-K34-M34-N34-O34</f>
        <v/>
      </c>
      <c r="V34" s="0" t="n">
        <v>-3.00000000000001</v>
      </c>
      <c r="W34" s="0">
        <f>V34*$S$5+$S$4</f>
        <v/>
      </c>
    </row>
    <row r="35">
      <c r="A35" s="0" t="n">
        <v>1.6664963</v>
      </c>
      <c r="B35" s="0" t="n">
        <v>0.66877</v>
      </c>
      <c r="C35" s="0">
        <f>A35*B35</f>
        <v/>
      </c>
      <c r="D35" s="0" t="n">
        <v>0.0165</v>
      </c>
      <c r="E35" s="0" t="n">
        <v>0.01413</v>
      </c>
      <c r="F35" s="0">
        <f>A35*200</f>
        <v/>
      </c>
      <c r="G35" s="0">
        <f>-B35</f>
        <v/>
      </c>
      <c r="H35" s="0">
        <f>-C35*200</f>
        <v/>
      </c>
      <c r="I35" s="0" t="n">
        <v>1</v>
      </c>
      <c r="J35" s="0">
        <f>LN(F35/1000)</f>
        <v/>
      </c>
      <c r="K35" s="0">
        <f>((-G35)-$N$2)</f>
        <v/>
      </c>
      <c r="M35" s="0">
        <f>-1*($S$4+($S$5*J35))</f>
        <v/>
      </c>
      <c r="N35" s="0">
        <f>D35*A35</f>
        <v/>
      </c>
      <c r="O35" s="0">
        <f>E35*A35</f>
        <v/>
      </c>
      <c r="P35" s="0">
        <f>-K35-M35-N35-O35</f>
        <v/>
      </c>
      <c r="V35" s="0" t="n">
        <v>-2.90000000000001</v>
      </c>
      <c r="W35" s="0">
        <f>V35*$S$5+$S$4</f>
        <v/>
      </c>
    </row>
    <row r="36">
      <c r="A36" s="0" t="n">
        <v>1.7194513</v>
      </c>
      <c r="B36" s="0" t="n">
        <v>0.66474</v>
      </c>
      <c r="C36" s="0">
        <f>A36*B36</f>
        <v/>
      </c>
      <c r="D36" s="0" t="n">
        <v>0.0165</v>
      </c>
      <c r="E36" s="0" t="n">
        <v>0.01413</v>
      </c>
      <c r="F36" s="0">
        <f>A36*200</f>
        <v/>
      </c>
      <c r="G36" s="0">
        <f>-B36</f>
        <v/>
      </c>
      <c r="H36" s="0">
        <f>-C36*200</f>
        <v/>
      </c>
      <c r="I36" s="0" t="n">
        <v>1</v>
      </c>
      <c r="J36" s="0">
        <f>LN(F36/1000)</f>
        <v/>
      </c>
      <c r="K36" s="0">
        <f>((-G36)-$N$2)</f>
        <v/>
      </c>
      <c r="M36" s="0">
        <f>-1*($S$4+($S$5*J36))</f>
        <v/>
      </c>
      <c r="N36" s="0">
        <f>D36*A36</f>
        <v/>
      </c>
      <c r="O36" s="0">
        <f>E36*A36</f>
        <v/>
      </c>
      <c r="P36" s="0">
        <f>-K36-M36-N36-O36</f>
        <v/>
      </c>
      <c r="V36" s="0" t="n">
        <v>-2.80000000000001</v>
      </c>
      <c r="W36" s="0">
        <f>V36*$S$5+$S$4</f>
        <v/>
      </c>
    </row>
    <row r="37">
      <c r="A37" s="0" t="n">
        <v>1.7698605</v>
      </c>
      <c r="B37" s="0" t="n">
        <v>0.66111</v>
      </c>
      <c r="C37" s="0">
        <f>A37*B37</f>
        <v/>
      </c>
      <c r="D37" s="0" t="n">
        <v>0.0165</v>
      </c>
      <c r="E37" s="0" t="n">
        <v>0.01413</v>
      </c>
      <c r="F37" s="0">
        <f>A37*200</f>
        <v/>
      </c>
      <c r="G37" s="0">
        <f>-B37</f>
        <v/>
      </c>
      <c r="H37" s="0">
        <f>-C37*200</f>
        <v/>
      </c>
      <c r="I37" s="0" t="n">
        <v>1</v>
      </c>
      <c r="J37" s="0">
        <f>LN(F37/1000)</f>
        <v/>
      </c>
      <c r="K37" s="0">
        <f>((-G37)-$N$2)</f>
        <v/>
      </c>
      <c r="M37" s="0">
        <f>-1*($S$4+($S$5*J37))</f>
        <v/>
      </c>
      <c r="N37" s="0">
        <f>D37*A37</f>
        <v/>
      </c>
      <c r="O37" s="0">
        <f>E37*A37</f>
        <v/>
      </c>
      <c r="P37" s="0">
        <f>-K37-M37-N37-O37</f>
        <v/>
      </c>
      <c r="V37" s="0" t="n">
        <v>-2.70000000000001</v>
      </c>
      <c r="W37" s="0">
        <f>V37*$S$5+$S$4</f>
        <v/>
      </c>
    </row>
    <row r="38">
      <c r="A38" s="0" t="n">
        <v>1.8217972</v>
      </c>
      <c r="B38" s="0" t="n">
        <v>0.65762</v>
      </c>
      <c r="C38" s="0">
        <f>A38*B38</f>
        <v/>
      </c>
      <c r="D38" s="0" t="n">
        <v>0.0165</v>
      </c>
      <c r="E38" s="0" t="n">
        <v>0.01413</v>
      </c>
      <c r="F38" s="0">
        <f>A38*200</f>
        <v/>
      </c>
      <c r="G38" s="0">
        <f>-B38</f>
        <v/>
      </c>
      <c r="H38" s="0">
        <f>-C38*200</f>
        <v/>
      </c>
      <c r="I38" s="0" t="n">
        <v>1</v>
      </c>
      <c r="J38" s="0">
        <f>LN(F38/1000)</f>
        <v/>
      </c>
      <c r="K38" s="0">
        <f>((-G38)-$N$2)</f>
        <v/>
      </c>
      <c r="M38" s="0">
        <f>-1*($S$4+($S$5*J38))</f>
        <v/>
      </c>
      <c r="N38" s="0">
        <f>D38*A38</f>
        <v/>
      </c>
      <c r="O38" s="0">
        <f>E38*A38</f>
        <v/>
      </c>
      <c r="P38" s="0">
        <f>-K38-M38-N38-O38</f>
        <v/>
      </c>
      <c r="V38" s="0" t="n">
        <v>-2.60000000000001</v>
      </c>
      <c r="W38" s="0">
        <f>V38*$S$5+$S$4</f>
        <v/>
      </c>
    </row>
    <row r="39">
      <c r="A39" s="0" t="n">
        <v>1.8722064</v>
      </c>
      <c r="B39" s="0" t="n">
        <v>0.65359</v>
      </c>
      <c r="C39" s="0">
        <f>A39*B39</f>
        <v/>
      </c>
      <c r="D39" s="0" t="n">
        <v>0.0165</v>
      </c>
      <c r="E39" s="0" t="n">
        <v>0.01413</v>
      </c>
      <c r="F39" s="0">
        <f>A39*200</f>
        <v/>
      </c>
      <c r="G39" s="0">
        <f>-B39</f>
        <v/>
      </c>
      <c r="H39" s="0">
        <f>-C39*200</f>
        <v/>
      </c>
      <c r="I39" s="0" t="n">
        <v>1</v>
      </c>
      <c r="J39" s="0">
        <f>LN(F39/1000)</f>
        <v/>
      </c>
      <c r="K39" s="0">
        <f>((-G39)-$N$2)</f>
        <v/>
      </c>
      <c r="M39" s="0">
        <f>-1*($S$4+($S$5*J39))</f>
        <v/>
      </c>
      <c r="N39" s="0">
        <f>D39*A39</f>
        <v/>
      </c>
      <c r="O39" s="0">
        <f>E39*A39</f>
        <v/>
      </c>
      <c r="P39" s="0">
        <f>-K39-M39-N39-O39</f>
        <v/>
      </c>
      <c r="V39" s="0" t="n">
        <v>-2.50000000000001</v>
      </c>
      <c r="W39" s="0">
        <f>V39*$S$5+$S$4</f>
        <v/>
      </c>
    </row>
    <row r="40">
      <c r="A40" s="0" t="n">
        <v>1.9241431</v>
      </c>
      <c r="B40" s="0" t="n">
        <v>0.64985</v>
      </c>
      <c r="C40" s="0">
        <f>A40*B40</f>
        <v/>
      </c>
      <c r="D40" s="0" t="n">
        <v>0.0165</v>
      </c>
      <c r="E40" s="0" t="n">
        <v>0.01413</v>
      </c>
      <c r="F40" s="0">
        <f>A40*200</f>
        <v/>
      </c>
      <c r="G40" s="0">
        <f>-B40</f>
        <v/>
      </c>
      <c r="H40" s="0">
        <f>-C40*200</f>
        <v/>
      </c>
      <c r="I40" s="0" t="n">
        <v>1</v>
      </c>
      <c r="J40" s="0">
        <f>LN(F40/1000)</f>
        <v/>
      </c>
      <c r="K40" s="0">
        <f>((-G40)-$N$2)</f>
        <v/>
      </c>
      <c r="M40" s="0">
        <f>-1*($S$4+($S$5*J40))</f>
        <v/>
      </c>
      <c r="N40" s="0">
        <f>D40*A40</f>
        <v/>
      </c>
      <c r="O40" s="0">
        <f>E40*A40</f>
        <v/>
      </c>
      <c r="P40" s="0">
        <f>-K40-M40-N40-O40</f>
        <v/>
      </c>
      <c r="V40" s="0" t="n">
        <v>-2.40000000000001</v>
      </c>
      <c r="W40" s="0">
        <f>V40*$S$5+$S$4</f>
        <v/>
      </c>
    </row>
    <row r="41">
      <c r="A41" s="0" t="n">
        <v>1.9750614</v>
      </c>
      <c r="B41" s="0" t="n">
        <v>0.64603</v>
      </c>
      <c r="C41" s="0">
        <f>A41*B41</f>
        <v/>
      </c>
      <c r="D41" s="0" t="n">
        <v>0.0165</v>
      </c>
      <c r="E41" s="0" t="n">
        <v>0.01413</v>
      </c>
      <c r="F41" s="0">
        <f>A41*200</f>
        <v/>
      </c>
      <c r="G41" s="0">
        <f>-B41</f>
        <v/>
      </c>
      <c r="H41" s="0">
        <f>-C41*200</f>
        <v/>
      </c>
      <c r="I41" s="0" t="n">
        <v>1</v>
      </c>
      <c r="J41" s="0">
        <f>LN(F41/1000)</f>
        <v/>
      </c>
      <c r="K41" s="0">
        <f>((-G41)-$N$2)</f>
        <v/>
      </c>
      <c r="M41" s="0">
        <f>-1*($S$4+($S$5*J41))</f>
        <v/>
      </c>
      <c r="N41" s="0">
        <f>D41*A41</f>
        <v/>
      </c>
      <c r="O41" s="0">
        <f>E41*A41</f>
        <v/>
      </c>
      <c r="P41" s="0">
        <f>-K41-M41-N41-O41</f>
        <v/>
      </c>
      <c r="V41" s="0" t="n">
        <v>-2.30000000000001</v>
      </c>
      <c r="W41" s="0">
        <f>V41*$S$5+$S$4</f>
        <v/>
      </c>
    </row>
    <row r="42">
      <c r="A42" s="0" t="n">
        <v>2.0254705</v>
      </c>
      <c r="B42" s="0" t="n">
        <v>0.64238</v>
      </c>
      <c r="C42" s="0">
        <f>A42*B42</f>
        <v/>
      </c>
      <c r="D42" s="0" t="n">
        <v>0.0165</v>
      </c>
      <c r="E42" s="0" t="n">
        <v>0.01413</v>
      </c>
      <c r="F42" s="0">
        <f>A42*200</f>
        <v/>
      </c>
      <c r="G42" s="0">
        <f>-B42</f>
        <v/>
      </c>
      <c r="H42" s="0">
        <f>-C42*200</f>
        <v/>
      </c>
      <c r="I42" s="0" t="n">
        <v>1</v>
      </c>
      <c r="J42" s="0">
        <f>LN(F42/1000)</f>
        <v/>
      </c>
      <c r="K42" s="0">
        <f>((-G42)-$N$2)</f>
        <v/>
      </c>
      <c r="M42" s="0">
        <f>-1*($S$4+($S$5*J42))</f>
        <v/>
      </c>
      <c r="N42" s="0">
        <f>D42*A42</f>
        <v/>
      </c>
      <c r="O42" s="0">
        <f>E42*A42</f>
        <v/>
      </c>
      <c r="P42" s="0">
        <f>-K42-M42-N42-O42</f>
        <v/>
      </c>
      <c r="V42" s="0" t="n">
        <v>-2.20000000000001</v>
      </c>
      <c r="W42" s="0">
        <f>V42*$S$5+$S$4</f>
        <v/>
      </c>
    </row>
    <row r="43">
      <c r="A43" s="0" t="n">
        <v>2.0763889</v>
      </c>
      <c r="B43" s="0" t="n">
        <v>0.6387</v>
      </c>
      <c r="C43" s="0">
        <f>A43*B43</f>
        <v/>
      </c>
      <c r="D43" s="0" t="n">
        <v>0.0165</v>
      </c>
      <c r="E43" s="0" t="n">
        <v>0.01413</v>
      </c>
      <c r="F43" s="0">
        <f>A43*200</f>
        <v/>
      </c>
      <c r="G43" s="0">
        <f>-B43</f>
        <v/>
      </c>
      <c r="H43" s="0">
        <f>-C43*200</f>
        <v/>
      </c>
      <c r="I43" s="0" t="n">
        <v>1</v>
      </c>
      <c r="J43" s="0">
        <f>LN(F43/1000)</f>
        <v/>
      </c>
      <c r="K43" s="0">
        <f>((-G43)-$N$2)</f>
        <v/>
      </c>
      <c r="M43" s="0">
        <f>-1*($S$4+($S$5*J43))</f>
        <v/>
      </c>
      <c r="N43" s="0">
        <f>D43*A43</f>
        <v/>
      </c>
      <c r="O43" s="0">
        <f>E43*A43</f>
        <v/>
      </c>
      <c r="P43" s="0">
        <f>-K43-M43-N43-O43</f>
        <v/>
      </c>
      <c r="V43" s="0" t="n">
        <v>-2.10000000000001</v>
      </c>
      <c r="W43" s="0">
        <f>V43*$S$5+$S$4</f>
        <v/>
      </c>
    </row>
    <row r="44">
      <c r="A44" s="0" t="n">
        <v>2.1278164</v>
      </c>
      <c r="B44" s="0" t="n">
        <v>0.6349900000000001</v>
      </c>
      <c r="C44" s="0">
        <f>A44*B44</f>
        <v/>
      </c>
      <c r="D44" s="0" t="n">
        <v>0.0165</v>
      </c>
      <c r="E44" s="0" t="n">
        <v>0.01413</v>
      </c>
      <c r="F44" s="0">
        <f>A44*200</f>
        <v/>
      </c>
      <c r="G44" s="0">
        <f>-B44</f>
        <v/>
      </c>
      <c r="H44" s="0">
        <f>-C44*200</f>
        <v/>
      </c>
      <c r="I44" s="0" t="n">
        <v>1</v>
      </c>
      <c r="J44" s="0">
        <f>LN(F44/1000)</f>
        <v/>
      </c>
      <c r="K44" s="0">
        <f>((-G44)-$N$2)</f>
        <v/>
      </c>
      <c r="M44" s="0">
        <f>-1*($S$4+($S$5*J44))</f>
        <v/>
      </c>
      <c r="N44" s="0">
        <f>D44*A44</f>
        <v/>
      </c>
      <c r="O44" s="0">
        <f>E44*A44</f>
        <v/>
      </c>
      <c r="P44" s="0">
        <f>-K44-M44-N44-O44</f>
        <v/>
      </c>
      <c r="V44" s="0" t="n">
        <v>-2.00000000000001</v>
      </c>
      <c r="W44" s="0">
        <f>V44*$S$5+$S$4</f>
        <v/>
      </c>
    </row>
    <row r="45">
      <c r="A45" s="0" t="n">
        <v>2.1782256</v>
      </c>
      <c r="B45" s="0" t="n">
        <v>0.63148</v>
      </c>
      <c r="C45" s="0">
        <f>A45*B45</f>
        <v/>
      </c>
      <c r="D45" s="0" t="n">
        <v>0.0165</v>
      </c>
      <c r="E45" s="0" t="n">
        <v>0.01413</v>
      </c>
      <c r="F45" s="0">
        <f>A45*200</f>
        <v/>
      </c>
      <c r="G45" s="0">
        <f>-B45</f>
        <v/>
      </c>
      <c r="H45" s="0">
        <f>-C45*200</f>
        <v/>
      </c>
      <c r="I45" s="0" t="n">
        <v>1</v>
      </c>
      <c r="J45" s="0">
        <f>LN(F45/1000)</f>
        <v/>
      </c>
      <c r="K45" s="0">
        <f>((-G45)-$N$2)</f>
        <v/>
      </c>
      <c r="M45" s="0">
        <f>-1*($S$4+($S$5*J45))</f>
        <v/>
      </c>
      <c r="N45" s="0">
        <f>D45*A45</f>
        <v/>
      </c>
      <c r="O45" s="0">
        <f>E45*A45</f>
        <v/>
      </c>
      <c r="P45" s="0">
        <f>-K45-M45-N45-O45</f>
        <v/>
      </c>
      <c r="V45" s="0" t="n">
        <v>-1.90000000000001</v>
      </c>
      <c r="W45" s="0">
        <f>V45*$S$5+$S$4</f>
        <v/>
      </c>
    </row>
    <row r="46">
      <c r="A46" s="0" t="n">
        <v>2.2327083</v>
      </c>
      <c r="B46" s="0" t="n">
        <v>0.6278899999999999</v>
      </c>
      <c r="C46" s="0">
        <f>A46*B46</f>
        <v/>
      </c>
      <c r="D46" s="0" t="n">
        <v>0.0165</v>
      </c>
      <c r="E46" s="0" t="n">
        <v>0.01413</v>
      </c>
      <c r="F46" s="0">
        <f>A46*200</f>
        <v/>
      </c>
      <c r="G46" s="0">
        <f>-B46</f>
        <v/>
      </c>
      <c r="H46" s="0">
        <f>-C46*200</f>
        <v/>
      </c>
      <c r="I46" s="0" t="n">
        <v>1</v>
      </c>
      <c r="J46" s="0">
        <f>LN(F46/1000)</f>
        <v/>
      </c>
      <c r="K46" s="0">
        <f>((-G46)-$N$2)</f>
        <v/>
      </c>
      <c r="M46" s="0">
        <f>-1*($S$4+($S$5*J46))</f>
        <v/>
      </c>
      <c r="N46" s="0">
        <f>D46*A46</f>
        <v/>
      </c>
      <c r="O46" s="0">
        <f>E46*A46</f>
        <v/>
      </c>
      <c r="P46" s="0">
        <f>-K46-M46-N46-O46</f>
        <v/>
      </c>
      <c r="V46" s="0" t="n">
        <v>-1.80000000000001</v>
      </c>
      <c r="W46" s="0">
        <f>V46*$S$5+$S$4</f>
        <v/>
      </c>
    </row>
    <row r="47">
      <c r="A47" s="0" t="n">
        <v>2.2831174</v>
      </c>
      <c r="B47" s="0" t="n">
        <v>0.62383</v>
      </c>
      <c r="C47" s="0">
        <f>A47*B47</f>
        <v/>
      </c>
      <c r="D47" s="0" t="n">
        <v>0.0165</v>
      </c>
      <c r="E47" s="0" t="n">
        <v>0.01413</v>
      </c>
      <c r="F47" s="0">
        <f>A47*200</f>
        <v/>
      </c>
      <c r="G47" s="0">
        <f>-B47</f>
        <v/>
      </c>
      <c r="H47" s="0">
        <f>-C47*200</f>
        <v/>
      </c>
      <c r="I47" s="0" t="n">
        <v>1</v>
      </c>
      <c r="J47" s="0">
        <f>LN(F47/1000)</f>
        <v/>
      </c>
      <c r="K47" s="0">
        <f>((-G47)-$N$2)</f>
        <v/>
      </c>
      <c r="M47" s="0">
        <f>-1*($S$4+($S$5*J47))</f>
        <v/>
      </c>
      <c r="N47" s="0">
        <f>D47*A47</f>
        <v/>
      </c>
      <c r="O47" s="0">
        <f>E47*A47</f>
        <v/>
      </c>
      <c r="P47" s="0">
        <f>-K47-M47-N47-O47</f>
        <v/>
      </c>
      <c r="V47" s="0" t="n">
        <v>-1.70000000000002</v>
      </c>
      <c r="W47" s="0">
        <f>V47*$S$5+$S$4</f>
        <v/>
      </c>
    </row>
    <row r="48">
      <c r="A48" s="0" t="n">
        <v>2.3335266</v>
      </c>
      <c r="B48" s="0" t="n">
        <v>0.62054</v>
      </c>
      <c r="C48" s="0">
        <f>A48*B48</f>
        <v/>
      </c>
      <c r="D48" s="0" t="n">
        <v>0.0165</v>
      </c>
      <c r="E48" s="0" t="n">
        <v>0.01413</v>
      </c>
      <c r="F48" s="0">
        <f>A48*200</f>
        <v/>
      </c>
      <c r="G48" s="0">
        <f>-B48</f>
        <v/>
      </c>
      <c r="H48" s="0">
        <f>-C48*200</f>
        <v/>
      </c>
      <c r="I48" s="0" t="n">
        <v>1</v>
      </c>
      <c r="J48" s="0">
        <f>LN(F48/1000)</f>
        <v/>
      </c>
      <c r="K48" s="0">
        <f>((-G48)-$N$2)</f>
        <v/>
      </c>
      <c r="M48" s="0">
        <f>-1*($S$4+($S$5*J48))</f>
        <v/>
      </c>
      <c r="N48" s="0">
        <f>D48*A48</f>
        <v/>
      </c>
      <c r="O48" s="0">
        <f>E48*A48</f>
        <v/>
      </c>
      <c r="P48" s="0">
        <f>-K48-M48-N48-O48</f>
        <v/>
      </c>
      <c r="V48" s="0" t="n">
        <v>-1.60000000000002</v>
      </c>
      <c r="W48" s="0">
        <f>V48*$S$5+$S$4</f>
        <v/>
      </c>
    </row>
    <row r="49">
      <c r="A49" s="0" t="n">
        <v>2.3859724</v>
      </c>
      <c r="B49" s="0" t="n">
        <v>0.61678</v>
      </c>
      <c r="C49" s="0">
        <f>A49*B49</f>
        <v/>
      </c>
      <c r="D49" s="0" t="n">
        <v>0.0165</v>
      </c>
      <c r="E49" s="0" t="n">
        <v>0.01413</v>
      </c>
      <c r="F49" s="0">
        <f>A49*200</f>
        <v/>
      </c>
      <c r="G49" s="0">
        <f>-B49</f>
        <v/>
      </c>
      <c r="H49" s="0">
        <f>-C49*200</f>
        <v/>
      </c>
      <c r="I49" s="0" t="n">
        <v>1</v>
      </c>
      <c r="J49" s="0">
        <f>LN(F49/1000)</f>
        <v/>
      </c>
      <c r="K49" s="0">
        <f>((-G49)-$N$2)</f>
        <v/>
      </c>
      <c r="M49" s="0">
        <f>-1*($S$4+($S$5*J49))</f>
        <v/>
      </c>
      <c r="N49" s="0">
        <f>D49*A49</f>
        <v/>
      </c>
      <c r="O49" s="0">
        <f>E49*A49</f>
        <v/>
      </c>
      <c r="P49" s="0">
        <f>-K49-M49-N49-O49</f>
        <v/>
      </c>
      <c r="V49" s="0" t="n">
        <v>-1.50000000000002</v>
      </c>
      <c r="W49" s="0">
        <f>V49*$S$5+$S$4</f>
        <v/>
      </c>
    </row>
    <row r="50">
      <c r="A50" s="0" t="n">
        <v>2.4363816</v>
      </c>
      <c r="B50" s="0" t="n">
        <v>0.61338</v>
      </c>
      <c r="C50" s="0">
        <f>A50*B50</f>
        <v/>
      </c>
      <c r="D50" s="0" t="n">
        <v>0.0165</v>
      </c>
      <c r="E50" s="0" t="n">
        <v>0.01413</v>
      </c>
      <c r="F50" s="0">
        <f>A50*200</f>
        <v/>
      </c>
      <c r="G50" s="0">
        <f>-B50</f>
        <v/>
      </c>
      <c r="H50" s="0">
        <f>-C50*200</f>
        <v/>
      </c>
      <c r="I50" s="0" t="n">
        <v>1</v>
      </c>
      <c r="J50" s="0">
        <f>LN(F50/1000)</f>
        <v/>
      </c>
      <c r="K50" s="0">
        <f>((-G50)-$N$2)</f>
        <v/>
      </c>
      <c r="M50" s="0">
        <f>-1*($S$4+($S$5*J50))</f>
        <v/>
      </c>
      <c r="N50" s="0">
        <f>D50*A50</f>
        <v/>
      </c>
      <c r="O50" s="0">
        <f>E50*A50</f>
        <v/>
      </c>
      <c r="P50" s="0">
        <f>-K50-M50-N50-O50</f>
        <v/>
      </c>
      <c r="V50" s="0" t="n">
        <v>-1.40000000000002</v>
      </c>
      <c r="W50" s="0">
        <f>V50*$S$5+$S$4</f>
        <v/>
      </c>
    </row>
    <row r="51">
      <c r="A51" s="0" t="n">
        <v>2.4867908</v>
      </c>
      <c r="B51" s="0" t="n">
        <v>0.6097</v>
      </c>
      <c r="C51" s="0">
        <f>A51*B51</f>
        <v/>
      </c>
      <c r="D51" s="0" t="n">
        <v>0.0165</v>
      </c>
      <c r="E51" s="0" t="n">
        <v>0.01413</v>
      </c>
      <c r="F51" s="0">
        <f>A51*200</f>
        <v/>
      </c>
      <c r="G51" s="0">
        <f>-B51</f>
        <v/>
      </c>
      <c r="H51" s="0">
        <f>-C51*200</f>
        <v/>
      </c>
      <c r="I51" s="0" t="n">
        <v>1</v>
      </c>
      <c r="J51" s="0">
        <f>LN(F51/1000)</f>
        <v/>
      </c>
      <c r="K51" s="0">
        <f>((-G51)-$N$2)</f>
        <v/>
      </c>
      <c r="M51" s="0">
        <f>-1*($S$4+($S$5*J51))</f>
        <v/>
      </c>
      <c r="N51" s="0">
        <f>D51*A51</f>
        <v/>
      </c>
      <c r="O51" s="0">
        <f>E51*A51</f>
        <v/>
      </c>
      <c r="P51" s="0">
        <f>-K51-M51-N51-O51</f>
        <v/>
      </c>
      <c r="V51" s="0" t="n">
        <v>-1.30000000000002</v>
      </c>
      <c r="W51" s="0">
        <f>V51*$S$5+$S$4</f>
        <v/>
      </c>
    </row>
    <row r="52">
      <c r="A52" s="0" t="n">
        <v>2.5402551</v>
      </c>
      <c r="B52" s="0" t="n">
        <v>0.60636</v>
      </c>
      <c r="C52" s="0">
        <f>A52*B52</f>
        <v/>
      </c>
      <c r="D52" s="0" t="n">
        <v>0.0165</v>
      </c>
      <c r="E52" s="0" t="n">
        <v>0.01413</v>
      </c>
      <c r="F52" s="0">
        <f>A52*200</f>
        <v/>
      </c>
      <c r="G52" s="0">
        <f>-B52</f>
        <v/>
      </c>
      <c r="H52" s="0">
        <f>-C52*200</f>
        <v/>
      </c>
      <c r="I52" s="0" t="n">
        <v>1</v>
      </c>
      <c r="J52" s="0">
        <f>LN(F52/1000)</f>
        <v/>
      </c>
      <c r="K52" s="0">
        <f>((-G52)-$N$2)</f>
        <v/>
      </c>
      <c r="M52" s="0">
        <f>-1*($S$4+($S$5*J52))</f>
        <v/>
      </c>
      <c r="N52" s="0">
        <f>D52*A52</f>
        <v/>
      </c>
      <c r="O52" s="0">
        <f>E52*A52</f>
        <v/>
      </c>
      <c r="P52" s="0">
        <f>-K52-M52-N52-O52</f>
        <v/>
      </c>
      <c r="V52" s="0" t="n">
        <v>-1.20000000000002</v>
      </c>
      <c r="W52" s="0">
        <f>V52*$S$5+$S$4</f>
        <v/>
      </c>
    </row>
    <row r="53">
      <c r="A53" s="0" t="n">
        <v>2.5932102</v>
      </c>
      <c r="B53" s="0" t="n">
        <v>0.60229</v>
      </c>
      <c r="C53" s="0">
        <f>A53*B53</f>
        <v/>
      </c>
      <c r="D53" s="0" t="n">
        <v>0.0165</v>
      </c>
      <c r="E53" s="0" t="n">
        <v>0.01413</v>
      </c>
      <c r="F53" s="0">
        <f>A53*200</f>
        <v/>
      </c>
      <c r="G53" s="0">
        <f>-B53</f>
        <v/>
      </c>
      <c r="H53" s="0">
        <f>-C53*200</f>
        <v/>
      </c>
      <c r="I53" s="0" t="n">
        <v>1</v>
      </c>
      <c r="J53" s="0">
        <f>LN(F53/1000)</f>
        <v/>
      </c>
      <c r="K53" s="0">
        <f>((-G53)-$N$2)</f>
        <v/>
      </c>
      <c r="M53" s="0">
        <f>-1*($S$4+($S$5*J53))</f>
        <v/>
      </c>
      <c r="N53" s="0">
        <f>D53*A53</f>
        <v/>
      </c>
      <c r="O53" s="0">
        <f>E53*A53</f>
        <v/>
      </c>
      <c r="P53" s="0">
        <f>-K53-M53-N53-O53</f>
        <v/>
      </c>
      <c r="V53" s="0" t="n">
        <v>-1.10000000000002</v>
      </c>
      <c r="W53" s="0">
        <f>V53*$S$5+$S$4</f>
        <v/>
      </c>
    </row>
    <row r="54">
      <c r="A54" s="0" t="n">
        <v>2.6451467</v>
      </c>
      <c r="B54" s="0" t="n">
        <v>0.59899</v>
      </c>
      <c r="C54" s="0">
        <f>A54*B54</f>
        <v/>
      </c>
      <c r="D54" s="0" t="n">
        <v>0.0165</v>
      </c>
      <c r="E54" s="0" t="n">
        <v>0.01413</v>
      </c>
      <c r="F54" s="0">
        <f>A54*200</f>
        <v/>
      </c>
      <c r="G54" s="0">
        <f>-B54</f>
        <v/>
      </c>
      <c r="H54" s="0">
        <f>-C54*200</f>
        <v/>
      </c>
      <c r="I54" s="0" t="n">
        <v>1</v>
      </c>
      <c r="J54" s="0">
        <f>LN(F54/1000)</f>
        <v/>
      </c>
      <c r="K54" s="0">
        <f>((-G54)-$N$2)</f>
        <v/>
      </c>
      <c r="M54" s="0">
        <f>-1*($S$4+($S$5*J54))</f>
        <v/>
      </c>
      <c r="N54" s="0">
        <f>D54*A54</f>
        <v/>
      </c>
      <c r="O54" s="0">
        <f>E54*A54</f>
        <v/>
      </c>
      <c r="P54" s="0">
        <f>-K54-M54-N54-O54</f>
        <v/>
      </c>
      <c r="V54" s="0" t="n">
        <v>-1.00000000000002</v>
      </c>
      <c r="W54" s="0">
        <f>V54*$S$5+$S$4</f>
        <v/>
      </c>
    </row>
    <row r="55">
      <c r="A55" s="0" t="n">
        <v>2.6955559</v>
      </c>
      <c r="B55" s="0" t="n">
        <v>0.59517</v>
      </c>
      <c r="C55" s="0">
        <f>A55*B55</f>
        <v/>
      </c>
      <c r="D55" s="0" t="n">
        <v>0.0165</v>
      </c>
      <c r="E55" s="0" t="n">
        <v>0.01413</v>
      </c>
      <c r="F55" s="0">
        <f>A55*200</f>
        <v/>
      </c>
      <c r="G55" s="0">
        <f>-B55</f>
        <v/>
      </c>
      <c r="H55" s="0">
        <f>-C55*200</f>
        <v/>
      </c>
      <c r="I55" s="0" t="n">
        <v>1</v>
      </c>
      <c r="J55" s="0">
        <f>LN(F55/1000)</f>
        <v/>
      </c>
      <c r="K55" s="0">
        <f>((-G55)-$N$2)</f>
        <v/>
      </c>
      <c r="M55" s="0">
        <f>-1*($S$4+($S$5*J55))</f>
        <v/>
      </c>
      <c r="N55" s="0">
        <f>D55*A55</f>
        <v/>
      </c>
      <c r="O55" s="0">
        <f>E55*A55</f>
        <v/>
      </c>
      <c r="P55" s="0">
        <f>-K55-M55-N55-O55</f>
        <v/>
      </c>
      <c r="V55" s="0" t="n">
        <v>-0.90000000000002</v>
      </c>
      <c r="W55" s="0">
        <f>V55*$S$5+$S$4</f>
        <v/>
      </c>
    </row>
    <row r="56">
      <c r="A56" s="0" t="n">
        <v>2.7469834</v>
      </c>
      <c r="B56" s="0" t="n">
        <v>0.59196</v>
      </c>
      <c r="C56" s="0">
        <f>A56*B56</f>
        <v/>
      </c>
      <c r="D56" s="0" t="n">
        <v>0.0165</v>
      </c>
      <c r="E56" s="0" t="n">
        <v>0.01413</v>
      </c>
      <c r="F56" s="0">
        <f>A56*200</f>
        <v/>
      </c>
      <c r="G56" s="0">
        <f>-B56</f>
        <v/>
      </c>
      <c r="H56" s="0">
        <f>-C56*200</f>
        <v/>
      </c>
      <c r="I56" s="0" t="n">
        <v>1</v>
      </c>
      <c r="J56" s="0">
        <f>LN(F56/1000)</f>
        <v/>
      </c>
      <c r="K56" s="0">
        <f>((-G56)-$N$2)</f>
        <v/>
      </c>
      <c r="M56" s="0">
        <f>-1*($S$4+($S$5*J56))</f>
        <v/>
      </c>
      <c r="N56" s="0">
        <f>D56*A56</f>
        <v/>
      </c>
      <c r="O56" s="0">
        <f>E56*A56</f>
        <v/>
      </c>
      <c r="P56" s="0">
        <f>-K56-M56-N56-O56</f>
        <v/>
      </c>
      <c r="V56" s="0" t="n">
        <v>-0.80000000000002</v>
      </c>
      <c r="W56" s="0">
        <f>V56*$S$5+$S$4</f>
        <v/>
      </c>
    </row>
    <row r="57">
      <c r="A57" s="0" t="n">
        <v>2.7989202</v>
      </c>
      <c r="B57" s="0" t="n">
        <v>0.58824</v>
      </c>
      <c r="C57" s="0">
        <f>A57*B57</f>
        <v/>
      </c>
      <c r="D57" s="0" t="n">
        <v>0.0165</v>
      </c>
      <c r="E57" s="0" t="n">
        <v>0.01413</v>
      </c>
      <c r="F57" s="0">
        <f>A57*200</f>
        <v/>
      </c>
      <c r="G57" s="0">
        <f>-B57</f>
        <v/>
      </c>
      <c r="H57" s="0">
        <f>-C57*200</f>
        <v/>
      </c>
      <c r="I57" s="0" t="n">
        <v>1</v>
      </c>
      <c r="J57" s="0">
        <f>LN(F57/1000)</f>
        <v/>
      </c>
      <c r="K57" s="0">
        <f>((-G57)-$N$2)</f>
        <v/>
      </c>
      <c r="M57" s="0">
        <f>-1*($S$4+($S$5*J57))</f>
        <v/>
      </c>
      <c r="N57" s="0">
        <f>D57*A57</f>
        <v/>
      </c>
      <c r="O57" s="0">
        <f>E57*A57</f>
        <v/>
      </c>
      <c r="P57" s="0">
        <f>-K57-M57-N57-O57</f>
        <v/>
      </c>
      <c r="V57" s="0" t="n">
        <v>-0.7000000000000201</v>
      </c>
      <c r="W57" s="0">
        <f>V57*$S$5+$S$4</f>
        <v/>
      </c>
    </row>
    <row r="58">
      <c r="A58" s="0" t="n">
        <v>2.851875</v>
      </c>
      <c r="B58" s="0" t="n">
        <v>0.58512</v>
      </c>
      <c r="C58" s="0">
        <f>A58*B58</f>
        <v/>
      </c>
      <c r="D58" s="0" t="n">
        <v>0.0165</v>
      </c>
      <c r="E58" s="0" t="n">
        <v>0.01413</v>
      </c>
      <c r="F58" s="0">
        <f>A58*200</f>
        <v/>
      </c>
      <c r="G58" s="0">
        <f>-B58</f>
        <v/>
      </c>
      <c r="H58" s="0">
        <f>-C58*200</f>
        <v/>
      </c>
      <c r="I58" s="0" t="n">
        <v>1</v>
      </c>
      <c r="J58" s="0">
        <f>LN(F58/1000)</f>
        <v/>
      </c>
      <c r="K58" s="0">
        <f>((-G58)-$N$2)</f>
        <v/>
      </c>
      <c r="M58" s="0">
        <f>-1*($S$4+($S$5*J58))</f>
        <v/>
      </c>
      <c r="N58" s="0">
        <f>D58*A58</f>
        <v/>
      </c>
      <c r="O58" s="0">
        <f>E58*A58</f>
        <v/>
      </c>
      <c r="P58" s="0">
        <f>-K58-M58-N58-O58</f>
        <v/>
      </c>
      <c r="V58" s="0" t="n">
        <v>-0.60000000000002</v>
      </c>
      <c r="W58" s="0">
        <f>V58*$S$5+$S$4</f>
        <v/>
      </c>
    </row>
    <row r="59">
      <c r="A59" s="0" t="n">
        <v>2.9038118</v>
      </c>
      <c r="B59" s="0" t="n">
        <v>0.58127</v>
      </c>
      <c r="C59" s="0">
        <f>A59*B59</f>
        <v/>
      </c>
      <c r="D59" s="0" t="n">
        <v>0.0165</v>
      </c>
      <c r="E59" s="0" t="n">
        <v>0.01413</v>
      </c>
      <c r="F59" s="0">
        <f>A59*200</f>
        <v/>
      </c>
      <c r="G59" s="0">
        <f>-B59</f>
        <v/>
      </c>
      <c r="H59" s="0">
        <f>-C59*200</f>
        <v/>
      </c>
      <c r="I59" s="0" t="n">
        <v>1</v>
      </c>
      <c r="J59" s="0">
        <f>LN(F59/1000)</f>
        <v/>
      </c>
      <c r="K59" s="0">
        <f>((-G59)-$N$2)</f>
        <v/>
      </c>
      <c r="M59" s="0">
        <f>-1*($S$4+($S$5*J59))</f>
        <v/>
      </c>
      <c r="N59" s="0">
        <f>D59*A59</f>
        <v/>
      </c>
      <c r="O59" s="0">
        <f>E59*A59</f>
        <v/>
      </c>
      <c r="P59" s="0">
        <f>-K59-M59-N59-O59</f>
        <v/>
      </c>
      <c r="V59" s="0" t="n">
        <v>-0.50000000000002</v>
      </c>
      <c r="W59" s="0">
        <f>V59*$S$5+$S$4</f>
        <v/>
      </c>
    </row>
    <row r="60">
      <c r="A60" s="0" t="n">
        <v>2.959822</v>
      </c>
      <c r="B60" s="0" t="n">
        <v>0.5777</v>
      </c>
      <c r="C60" s="0">
        <f>A60*B60</f>
        <v/>
      </c>
      <c r="D60" s="0" t="n">
        <v>0.0165</v>
      </c>
      <c r="E60" s="0" t="n">
        <v>0.01413</v>
      </c>
      <c r="F60" s="0">
        <f>A60*200</f>
        <v/>
      </c>
      <c r="G60" s="0">
        <f>-B60</f>
        <v/>
      </c>
      <c r="H60" s="0">
        <f>-C60*200</f>
        <v/>
      </c>
      <c r="I60" s="0" t="n">
        <v>1</v>
      </c>
      <c r="J60" s="0">
        <f>LN(F60/1000)</f>
        <v/>
      </c>
      <c r="K60" s="0">
        <f>((-G60)-$N$2)</f>
        <v/>
      </c>
      <c r="M60" s="0">
        <f>-1*($S$4+($S$5*J60))</f>
        <v/>
      </c>
      <c r="N60" s="0">
        <f>D60*A60</f>
        <v/>
      </c>
      <c r="O60" s="0">
        <f>E60*A60</f>
        <v/>
      </c>
      <c r="P60" s="0">
        <f>-K60-M60-N60-O60</f>
        <v/>
      </c>
      <c r="V60" s="0" t="n">
        <v>-0.40000000000002</v>
      </c>
      <c r="W60" s="0">
        <f>V60*$S$5+$S$4</f>
        <v/>
      </c>
    </row>
    <row r="61">
      <c r="A61" s="0" t="n">
        <v>3.01074</v>
      </c>
      <c r="B61" s="0" t="n">
        <v>0.57409</v>
      </c>
      <c r="C61" s="0">
        <f>A61*B61</f>
        <v/>
      </c>
      <c r="D61" s="0" t="n">
        <v>0.0165</v>
      </c>
      <c r="E61" s="0" t="n">
        <v>0.01413</v>
      </c>
      <c r="F61" s="0">
        <f>A61*200</f>
        <v/>
      </c>
      <c r="G61" s="0">
        <f>-B61</f>
        <v/>
      </c>
      <c r="H61" s="0">
        <f>-C61*200</f>
        <v/>
      </c>
      <c r="I61" s="0" t="n">
        <v>1</v>
      </c>
      <c r="J61" s="0">
        <f>LN(F61/1000)</f>
        <v/>
      </c>
      <c r="K61" s="0">
        <f>((-G61)-$N$2)</f>
        <v/>
      </c>
      <c r="M61" s="0">
        <f>-1*($S$4+($S$5*J61))</f>
        <v/>
      </c>
      <c r="N61" s="0">
        <f>D61*A61</f>
        <v/>
      </c>
      <c r="O61" s="0">
        <f>E61*A61</f>
        <v/>
      </c>
      <c r="P61" s="0">
        <f>-K61-M61-N61-O61</f>
        <v/>
      </c>
      <c r="V61" s="0" t="n">
        <v>-0.30000000000002</v>
      </c>
      <c r="W61" s="0">
        <f>V61*$S$5+$S$4</f>
        <v/>
      </c>
    </row>
    <row r="62">
      <c r="A62" s="0" t="n">
        <v>3.0616584</v>
      </c>
      <c r="B62" s="0" t="n">
        <v>0.57033</v>
      </c>
      <c r="C62" s="0">
        <f>A62*B62</f>
        <v/>
      </c>
      <c r="D62" s="0" t="n">
        <v>0.0165</v>
      </c>
      <c r="E62" s="0" t="n">
        <v>0.01413</v>
      </c>
      <c r="F62" s="0">
        <f>A62*200</f>
        <v/>
      </c>
      <c r="G62" s="0">
        <f>-B62</f>
        <v/>
      </c>
      <c r="H62" s="0">
        <f>-C62*200</f>
        <v/>
      </c>
      <c r="I62" s="0" t="n">
        <v>1</v>
      </c>
      <c r="J62" s="0">
        <f>LN(F62/1000)</f>
        <v/>
      </c>
      <c r="K62" s="0">
        <f>((-G62)-$N$2)</f>
        <v/>
      </c>
      <c r="M62" s="0">
        <f>-1*($S$4+($S$5*J62))</f>
        <v/>
      </c>
      <c r="N62" s="0">
        <f>D62*A62</f>
        <v/>
      </c>
      <c r="O62" s="0">
        <f>E62*A62</f>
        <v/>
      </c>
      <c r="P62" s="0">
        <f>-K62-M62-N62-O62</f>
        <v/>
      </c>
      <c r="V62" s="0" t="n">
        <v>-0.20000000000002</v>
      </c>
      <c r="W62" s="0">
        <f>V62*$S$5+$S$4</f>
        <v/>
      </c>
    </row>
    <row r="63">
      <c r="A63" s="0" t="n">
        <v>3.1156321</v>
      </c>
      <c r="B63" s="0" t="n">
        <v>0.56693</v>
      </c>
      <c r="C63" s="0">
        <f>A63*B63</f>
        <v/>
      </c>
      <c r="D63" s="0" t="n">
        <v>0.0165</v>
      </c>
      <c r="E63" s="0" t="n">
        <v>0.01413</v>
      </c>
      <c r="F63" s="0">
        <f>A63*200</f>
        <v/>
      </c>
      <c r="G63" s="0">
        <f>-B63</f>
        <v/>
      </c>
      <c r="H63" s="0">
        <f>-C63*200</f>
        <v/>
      </c>
      <c r="I63" s="0" t="n">
        <v>1</v>
      </c>
      <c r="J63" s="0">
        <f>LN(F63/1000)</f>
        <v/>
      </c>
      <c r="K63" s="0">
        <f>((-G63)-$N$2)</f>
        <v/>
      </c>
      <c r="M63" s="0">
        <f>-1*($S$4+($S$5*J63))</f>
        <v/>
      </c>
      <c r="N63" s="0">
        <f>D63*A63</f>
        <v/>
      </c>
      <c r="O63" s="0">
        <f>E63*A63</f>
        <v/>
      </c>
      <c r="P63" s="0">
        <f>-K63-M63-N63-O63</f>
        <v/>
      </c>
      <c r="V63" s="0" t="n">
        <v>-0.10000000000002</v>
      </c>
      <c r="W63" s="0">
        <f>V63*$S$5+$S$4</f>
        <v/>
      </c>
    </row>
    <row r="64">
      <c r="A64" s="0" t="n">
        <v>3.1680776</v>
      </c>
      <c r="B64" s="0" t="n">
        <v>0.56328</v>
      </c>
      <c r="C64" s="0">
        <f>A64*B64</f>
        <v/>
      </c>
      <c r="D64" s="0" t="n">
        <v>0.0165</v>
      </c>
      <c r="E64" s="0" t="n">
        <v>0.01413</v>
      </c>
      <c r="F64" s="0">
        <f>A64*200</f>
        <v/>
      </c>
      <c r="G64" s="0">
        <f>-B64</f>
        <v/>
      </c>
      <c r="H64" s="0">
        <f>-C64*200</f>
        <v/>
      </c>
      <c r="I64" s="0" t="n">
        <v>1</v>
      </c>
      <c r="J64" s="0">
        <f>LN(F64/1000)</f>
        <v/>
      </c>
      <c r="K64" s="0">
        <f>((-G64)-$N$2)</f>
        <v/>
      </c>
      <c r="M64" s="0">
        <f>-1*($S$4+($S$5*J64))</f>
        <v/>
      </c>
      <c r="N64" s="0">
        <f>D64*A64</f>
        <v/>
      </c>
      <c r="O64" s="0">
        <f>E64*A64</f>
        <v/>
      </c>
      <c r="P64" s="0">
        <f>-K64-M64-N64-O64</f>
        <v/>
      </c>
      <c r="V64" s="0" t="n">
        <v>-2.04281036531029e-14</v>
      </c>
      <c r="W64" s="0">
        <f>V64*$S$5+$S$4</f>
        <v/>
      </c>
    </row>
    <row r="65">
      <c r="A65" s="0" t="n">
        <v>3.2195054</v>
      </c>
      <c r="B65" s="0" t="n">
        <v>0.55979</v>
      </c>
      <c r="C65" s="0">
        <f>A65*B65</f>
        <v/>
      </c>
      <c r="D65" s="0" t="n">
        <v>0.0165</v>
      </c>
      <c r="E65" s="0" t="n">
        <v>0.01413</v>
      </c>
      <c r="F65" s="0">
        <f>A65*200</f>
        <v/>
      </c>
      <c r="G65" s="0">
        <f>-B65</f>
        <v/>
      </c>
      <c r="H65" s="0">
        <f>-C65*200</f>
        <v/>
      </c>
      <c r="I65" s="0" t="n">
        <v>1</v>
      </c>
      <c r="J65" s="0">
        <f>LN(F65/1000)</f>
        <v/>
      </c>
      <c r="K65" s="0">
        <f>((-G65)-$N$2)</f>
        <v/>
      </c>
      <c r="M65" s="0">
        <f>-1*($S$4+($S$5*J65))</f>
        <v/>
      </c>
      <c r="N65" s="0">
        <f>D65*A65</f>
        <v/>
      </c>
      <c r="O65" s="0">
        <f>E65*A65</f>
        <v/>
      </c>
      <c r="P65" s="0">
        <f>-K65-M65-N65-O65</f>
        <v/>
      </c>
      <c r="V65" s="0" t="n">
        <v>0.0999999999999801</v>
      </c>
      <c r="W65" s="0">
        <f>V65*$S$5+$S$4</f>
        <v/>
      </c>
    </row>
    <row r="66">
      <c r="A66" s="0" t="n">
        <v>3.2719512</v>
      </c>
      <c r="B66" s="0" t="n">
        <v>0.55606</v>
      </c>
      <c r="C66" s="0">
        <f>A66*B66</f>
        <v/>
      </c>
      <c r="D66" s="0" t="n">
        <v>0.0165</v>
      </c>
      <c r="E66" s="0" t="n">
        <v>0.01413</v>
      </c>
      <c r="F66" s="0">
        <f>A66*200</f>
        <v/>
      </c>
      <c r="G66" s="0">
        <f>-B66</f>
        <v/>
      </c>
      <c r="H66" s="0">
        <f>-C66*200</f>
        <v/>
      </c>
      <c r="I66" s="0" t="n">
        <v>1</v>
      </c>
      <c r="J66" s="0">
        <f>LN(F66/1000)</f>
        <v/>
      </c>
      <c r="K66" s="0">
        <f>((-G66)-$N$2)</f>
        <v/>
      </c>
      <c r="M66" s="0">
        <f>-1*($S$4+($S$5*J66))</f>
        <v/>
      </c>
      <c r="N66" s="0">
        <f>D66*A66</f>
        <v/>
      </c>
      <c r="O66" s="0">
        <f>E66*A66</f>
        <v/>
      </c>
      <c r="P66" s="0">
        <f>-K66-M66-N66-O66</f>
        <v/>
      </c>
      <c r="V66" s="0" t="n">
        <v>0.19999999999998</v>
      </c>
      <c r="W66" s="0">
        <f>V66*$S$5+$S$4</f>
        <v/>
      </c>
    </row>
    <row r="67">
      <c r="A67" s="0" t="n">
        <v>3.3228696</v>
      </c>
      <c r="B67" s="0" t="n">
        <v>0.55284</v>
      </c>
      <c r="C67" s="0">
        <f>A67*B67</f>
        <v/>
      </c>
      <c r="D67" s="0" t="n">
        <v>0.0165</v>
      </c>
      <c r="E67" s="0" t="n">
        <v>0.01413</v>
      </c>
      <c r="F67" s="0">
        <f>A67*200</f>
        <v/>
      </c>
      <c r="G67" s="0">
        <f>-B67</f>
        <v/>
      </c>
      <c r="H67" s="0">
        <f>-C67*200</f>
        <v/>
      </c>
      <c r="I67" s="0" t="n">
        <v>1</v>
      </c>
      <c r="J67" s="0">
        <f>LN(F67/1000)</f>
        <v/>
      </c>
      <c r="K67" s="0">
        <f>((-G67)-$N$2)</f>
        <v/>
      </c>
      <c r="M67" s="0">
        <f>-1*($S$4+($S$5*J67))</f>
        <v/>
      </c>
      <c r="N67" s="0">
        <f>D67*A67</f>
        <v/>
      </c>
      <c r="O67" s="0">
        <f>E67*A67</f>
        <v/>
      </c>
      <c r="P67" s="0">
        <f>-K67-M67-N67-O67</f>
        <v/>
      </c>
      <c r="V67" s="0" t="n">
        <v>0.29999999999998</v>
      </c>
      <c r="W67" s="0">
        <f>V67*$S$5+$S$4</f>
        <v/>
      </c>
    </row>
    <row r="68">
      <c r="A68" s="0" t="n">
        <v>3.3763337</v>
      </c>
      <c r="B68" s="0" t="n">
        <v>0.5494</v>
      </c>
      <c r="C68" s="0">
        <f>A68*B68</f>
        <v/>
      </c>
      <c r="D68" s="0" t="n">
        <v>0.0165</v>
      </c>
      <c r="E68" s="0" t="n">
        <v>0.01413</v>
      </c>
      <c r="F68" s="0">
        <f>A68*200</f>
        <v/>
      </c>
      <c r="G68" s="0">
        <f>-B68</f>
        <v/>
      </c>
      <c r="H68" s="0">
        <f>-C68*200</f>
        <v/>
      </c>
      <c r="I68" s="0" t="n">
        <v>1</v>
      </c>
      <c r="J68" s="0">
        <f>LN(F68/1000)</f>
        <v/>
      </c>
      <c r="K68" s="0">
        <f>((-G68)-$N$2)</f>
        <v/>
      </c>
      <c r="M68" s="0">
        <f>-1*($S$4+($S$5*J68))</f>
        <v/>
      </c>
      <c r="N68" s="0">
        <f>D68*A68</f>
        <v/>
      </c>
      <c r="O68" s="0">
        <f>E68*A68</f>
        <v/>
      </c>
      <c r="P68" s="0">
        <f>-K68-M68-N68-O68</f>
        <v/>
      </c>
      <c r="V68" s="0" t="n">
        <v>0.39999999999998</v>
      </c>
      <c r="W68" s="0">
        <f>V68*$S$5+$S$4</f>
        <v/>
      </c>
    </row>
    <row r="69">
      <c r="A69" s="0" t="n">
        <v>3.4292886</v>
      </c>
      <c r="B69" s="0" t="n">
        <v>0.546</v>
      </c>
      <c r="C69" s="0">
        <f>A69*B69</f>
        <v/>
      </c>
      <c r="D69" s="0" t="n">
        <v>0.0165</v>
      </c>
      <c r="E69" s="0" t="n">
        <v>0.01413</v>
      </c>
      <c r="F69" s="0">
        <f>A69*200</f>
        <v/>
      </c>
      <c r="G69" s="0">
        <f>-B69</f>
        <v/>
      </c>
      <c r="H69" s="0">
        <f>-C69*200</f>
        <v/>
      </c>
      <c r="I69" s="0" t="n">
        <v>1</v>
      </c>
      <c r="J69" s="0">
        <f>LN(F69/1000)</f>
        <v/>
      </c>
      <c r="K69" s="0">
        <f>((-G69)-$N$2)</f>
        <v/>
      </c>
      <c r="M69" s="0">
        <f>-1*($S$4+($S$5*J69))</f>
        <v/>
      </c>
      <c r="N69" s="0">
        <f>D69*A69</f>
        <v/>
      </c>
      <c r="O69" s="0">
        <f>E69*A69</f>
        <v/>
      </c>
      <c r="P69" s="0">
        <f>-K69-M69-N69-O69</f>
        <v/>
      </c>
      <c r="V69" s="0" t="n">
        <v>0.49999999999998</v>
      </c>
      <c r="W69" s="0">
        <f>V69*$S$5+$S$4</f>
        <v/>
      </c>
    </row>
    <row r="70">
      <c r="A70" s="0" t="n">
        <v>3.4802075</v>
      </c>
      <c r="B70" s="0" t="n">
        <v>0.54203</v>
      </c>
      <c r="C70" s="0">
        <f>A70*B70</f>
        <v/>
      </c>
      <c r="D70" s="0" t="n">
        <v>0.0165</v>
      </c>
      <c r="E70" s="0" t="n">
        <v>0.01413</v>
      </c>
      <c r="F70" s="0">
        <f>A70*200</f>
        <v/>
      </c>
      <c r="G70" s="0">
        <f>-B70</f>
        <v/>
      </c>
      <c r="H70" s="0">
        <f>-C70*200</f>
        <v/>
      </c>
      <c r="I70" s="0" t="n">
        <v>1</v>
      </c>
      <c r="J70" s="0">
        <f>LN(F70/1000)</f>
        <v/>
      </c>
      <c r="K70" s="0">
        <f>((-G70)-$N$2)</f>
        <v/>
      </c>
      <c r="M70" s="0">
        <f>-1*($S$4+($S$5*J70))</f>
        <v/>
      </c>
      <c r="N70" s="0">
        <f>D70*A70</f>
        <v/>
      </c>
      <c r="O70" s="0">
        <f>E70*A70</f>
        <v/>
      </c>
      <c r="P70" s="0">
        <f>-K70-M70-N70-O70</f>
        <v/>
      </c>
      <c r="V70" s="0" t="n">
        <v>0.59999999999998</v>
      </c>
      <c r="W70" s="0">
        <f>V70*$S$5+$S$4</f>
        <v/>
      </c>
    </row>
    <row r="71">
      <c r="A71" s="0" t="n">
        <v>3.5326531</v>
      </c>
      <c r="B71" s="0" t="n">
        <v>0.5387999999999999</v>
      </c>
      <c r="C71" s="0">
        <f>A71*B71</f>
        <v/>
      </c>
      <c r="D71" s="0" t="n">
        <v>0.0165</v>
      </c>
      <c r="E71" s="0" t="n">
        <v>0.01413</v>
      </c>
      <c r="F71" s="0">
        <f>A71*200</f>
        <v/>
      </c>
      <c r="G71" s="0">
        <f>-B71</f>
        <v/>
      </c>
      <c r="H71" s="0">
        <f>-C71*200</f>
        <v/>
      </c>
      <c r="I71" s="0" t="n">
        <v>1</v>
      </c>
      <c r="J71" s="0">
        <f>LN(F71/1000)</f>
        <v/>
      </c>
      <c r="K71" s="0">
        <f>((-G71)-$N$2)</f>
        <v/>
      </c>
      <c r="M71" s="0">
        <f>-1*($S$4+($S$5*J71))</f>
        <v/>
      </c>
      <c r="N71" s="0">
        <f>D71*A71</f>
        <v/>
      </c>
      <c r="O71" s="0">
        <f>E71*A71</f>
        <v/>
      </c>
      <c r="P71" s="0">
        <f>-K71-M71-N71-O71</f>
        <v/>
      </c>
      <c r="V71" s="0" t="n">
        <v>0.69999999999998</v>
      </c>
      <c r="W71" s="0">
        <f>V71*$S$5+$S$4</f>
        <v/>
      </c>
    </row>
    <row r="72">
      <c r="A72" s="0" t="n">
        <v>3.583571</v>
      </c>
      <c r="B72" s="0" t="n">
        <v>0.53543</v>
      </c>
      <c r="C72" s="0">
        <f>A72*B72</f>
        <v/>
      </c>
      <c r="D72" s="0" t="n">
        <v>0.0165</v>
      </c>
      <c r="E72" s="0" t="n">
        <v>0.01413</v>
      </c>
      <c r="F72" s="0">
        <f>A72*200</f>
        <v/>
      </c>
      <c r="G72" s="0">
        <f>-B72</f>
        <v/>
      </c>
      <c r="H72" s="0">
        <f>-C72*200</f>
        <v/>
      </c>
      <c r="I72" s="0" t="n">
        <v>1</v>
      </c>
      <c r="J72" s="0">
        <f>LN(F72/1000)</f>
        <v/>
      </c>
      <c r="K72" s="0">
        <f>((-G72)-$N$2)</f>
        <v/>
      </c>
      <c r="M72" s="0">
        <f>-1*($S$4+($S$5*J72))</f>
        <v/>
      </c>
      <c r="N72" s="0">
        <f>D72*A72</f>
        <v/>
      </c>
      <c r="O72" s="0">
        <f>E72*A72</f>
        <v/>
      </c>
      <c r="P72" s="0">
        <f>-K72-M72-N72-O72</f>
        <v/>
      </c>
      <c r="V72" s="0" t="n">
        <v>0.7999999999999799</v>
      </c>
      <c r="W72" s="0">
        <f>V72*$S$5+$S$4</f>
        <v/>
      </c>
    </row>
    <row r="73">
      <c r="A73" s="0" t="n">
        <v>3.6375449</v>
      </c>
      <c r="B73" s="0" t="n">
        <v>0.53174</v>
      </c>
      <c r="C73" s="0">
        <f>A73*B73</f>
        <v/>
      </c>
      <c r="D73" s="0" t="n">
        <v>0.0165</v>
      </c>
      <c r="E73" s="0" t="n">
        <v>0.01413</v>
      </c>
      <c r="F73" s="0">
        <f>A73*200</f>
        <v/>
      </c>
      <c r="G73" s="0">
        <f>-B73</f>
        <v/>
      </c>
      <c r="H73" s="0">
        <f>-C73*200</f>
        <v/>
      </c>
      <c r="I73" s="0" t="n">
        <v>1</v>
      </c>
      <c r="J73" s="0">
        <f>LN(F73/1000)</f>
        <v/>
      </c>
      <c r="K73" s="0">
        <f>((-G73)-$N$2)</f>
        <v/>
      </c>
      <c r="M73" s="0">
        <f>-1*($S$4+($S$5*J73))</f>
        <v/>
      </c>
      <c r="N73" s="0">
        <f>D73*A73</f>
        <v/>
      </c>
      <c r="O73" s="0">
        <f>E73*A73</f>
        <v/>
      </c>
      <c r="P73" s="0">
        <f>-K73-M73-N73-O73</f>
        <v/>
      </c>
      <c r="V73" s="0" t="n">
        <v>0.89999999999998</v>
      </c>
      <c r="W73" s="0">
        <f>V73*$S$5+$S$4</f>
        <v/>
      </c>
    </row>
    <row r="74">
      <c r="A74" s="0" t="n">
        <v>3.6889722</v>
      </c>
      <c r="B74" s="0" t="n">
        <v>0.52838</v>
      </c>
      <c r="C74" s="0">
        <f>A74*B74</f>
        <v/>
      </c>
      <c r="D74" s="0" t="n">
        <v>0.0165</v>
      </c>
      <c r="E74" s="0" t="n">
        <v>0.01413</v>
      </c>
      <c r="F74" s="0">
        <f>A74*200</f>
        <v/>
      </c>
      <c r="G74" s="0">
        <f>-B74</f>
        <v/>
      </c>
      <c r="H74" s="0">
        <f>-C74*200</f>
        <v/>
      </c>
      <c r="I74" s="0" t="n">
        <v>1</v>
      </c>
      <c r="J74" s="0">
        <f>LN(F74/1000)</f>
        <v/>
      </c>
      <c r="K74" s="0">
        <f>((-G74)-$N$2)</f>
        <v/>
      </c>
      <c r="M74" s="0">
        <f>-1*($S$4+($S$5*J74))</f>
        <v/>
      </c>
      <c r="N74" s="0">
        <f>D74*A74</f>
        <v/>
      </c>
      <c r="O74" s="0">
        <f>E74*A74</f>
        <v/>
      </c>
      <c r="P74" s="0">
        <f>-K74-M74-N74-O74</f>
        <v/>
      </c>
      <c r="V74" s="0" t="n">
        <v>0.99999999999998</v>
      </c>
      <c r="W74" s="0">
        <f>V74*$S$5+$S$4</f>
        <v/>
      </c>
    </row>
    <row r="75">
      <c r="A75" s="0" t="n">
        <v>3.7398909</v>
      </c>
      <c r="B75" s="0" t="n">
        <v>0.5249</v>
      </c>
      <c r="C75" s="0">
        <f>A75*B75</f>
        <v/>
      </c>
      <c r="D75" s="0" t="n">
        <v>0.0165</v>
      </c>
      <c r="E75" s="0" t="n">
        <v>0.01413</v>
      </c>
      <c r="F75" s="0">
        <f>A75*200</f>
        <v/>
      </c>
      <c r="G75" s="0">
        <f>-B75</f>
        <v/>
      </c>
      <c r="H75" s="0">
        <f>-C75*200</f>
        <v/>
      </c>
      <c r="I75" s="0" t="n">
        <v>1</v>
      </c>
      <c r="J75" s="0">
        <f>LN(F75/1000)</f>
        <v/>
      </c>
      <c r="K75" s="0">
        <f>((-G75)-$N$2)</f>
        <v/>
      </c>
      <c r="M75" s="0">
        <f>-1*($S$4+($S$5*J75))</f>
        <v/>
      </c>
      <c r="N75" s="0">
        <f>D75*A75</f>
        <v/>
      </c>
      <c r="O75" s="0">
        <f>E75*A75</f>
        <v/>
      </c>
      <c r="P75" s="0">
        <f>-K75-M75-N75-O75</f>
        <v/>
      </c>
      <c r="V75" s="0" t="n">
        <v>1.09999999999997</v>
      </c>
      <c r="W75" s="0">
        <f>V75*$S$5+$S$4</f>
        <v/>
      </c>
    </row>
    <row r="76">
      <c r="A76" s="0" t="n">
        <v>3.7908091</v>
      </c>
      <c r="B76" s="0" t="n">
        <v>0.52145</v>
      </c>
      <c r="C76" s="0">
        <f>A76*B76</f>
        <v/>
      </c>
      <c r="D76" s="0" t="n">
        <v>0.0165</v>
      </c>
      <c r="E76" s="0" t="n">
        <v>0.01413</v>
      </c>
      <c r="F76" s="0">
        <f>A76*200</f>
        <v/>
      </c>
      <c r="G76" s="0">
        <f>-B76</f>
        <v/>
      </c>
      <c r="H76" s="0">
        <f>-C76*200</f>
        <v/>
      </c>
      <c r="I76" s="0" t="n">
        <v>1</v>
      </c>
      <c r="J76" s="0">
        <f>LN(F76/1000)</f>
        <v/>
      </c>
      <c r="K76" s="0">
        <f>((-G76)-$N$2)</f>
        <v/>
      </c>
      <c r="M76" s="0">
        <f>-1*($S$4+($S$5*J76))</f>
        <v/>
      </c>
      <c r="N76" s="0">
        <f>D76*A76</f>
        <v/>
      </c>
      <c r="O76" s="0">
        <f>E76*A76</f>
        <v/>
      </c>
      <c r="P76" s="0">
        <f>-K76-M76-N76-O76</f>
        <v/>
      </c>
      <c r="V76" s="0" t="n">
        <v>1.19999999999997</v>
      </c>
      <c r="W76" s="0">
        <f>V76*$S$5+$S$4</f>
        <v/>
      </c>
    </row>
    <row r="77">
      <c r="A77" s="0" t="n">
        <v>3.8412183</v>
      </c>
      <c r="B77" s="0" t="n">
        <v>0.51792</v>
      </c>
      <c r="C77" s="0">
        <f>A77*B77</f>
        <v/>
      </c>
      <c r="D77" s="0" t="n">
        <v>0.0165</v>
      </c>
      <c r="E77" s="0" t="n">
        <v>0.01413</v>
      </c>
      <c r="F77" s="0">
        <f>A77*200</f>
        <v/>
      </c>
      <c r="G77" s="0">
        <f>-B77</f>
        <v/>
      </c>
      <c r="H77" s="0">
        <f>-C77*200</f>
        <v/>
      </c>
      <c r="I77" s="0" t="n">
        <v>1</v>
      </c>
      <c r="J77" s="0">
        <f>LN(F77/1000)</f>
        <v/>
      </c>
      <c r="K77" s="0">
        <f>((-G77)-$N$2)</f>
        <v/>
      </c>
      <c r="M77" s="0">
        <f>-1*($S$4+($S$5*J77))</f>
        <v/>
      </c>
      <c r="N77" s="0">
        <f>D77*A77</f>
        <v/>
      </c>
      <c r="O77" s="0">
        <f>E77*A77</f>
        <v/>
      </c>
      <c r="P77" s="0">
        <f>-K77-M77-N77-O77</f>
        <v/>
      </c>
      <c r="V77" s="0" t="n">
        <v>1.29999999999997</v>
      </c>
      <c r="W77" s="0">
        <f>V77*$S$5+$S$4</f>
        <v/>
      </c>
    </row>
    <row r="78">
      <c r="A78" s="0" t="n">
        <v>3.8941733</v>
      </c>
      <c r="B78" s="0" t="n">
        <v>0.5145</v>
      </c>
      <c r="C78" s="0">
        <f>A78*B78</f>
        <v/>
      </c>
      <c r="D78" s="0" t="n">
        <v>0.0165</v>
      </c>
      <c r="E78" s="0" t="n">
        <v>0.01413</v>
      </c>
      <c r="F78" s="0">
        <f>A78*200</f>
        <v/>
      </c>
      <c r="G78" s="0">
        <f>-B78</f>
        <v/>
      </c>
      <c r="H78" s="0">
        <f>-C78*200</f>
        <v/>
      </c>
      <c r="I78" s="0" t="n">
        <v>1</v>
      </c>
      <c r="J78" s="0">
        <f>LN(F78/1000)</f>
        <v/>
      </c>
      <c r="K78" s="0">
        <f>((-G78)-$N$2)</f>
        <v/>
      </c>
      <c r="M78" s="0">
        <f>-1*($S$4+($S$5*J78))</f>
        <v/>
      </c>
      <c r="N78" s="0">
        <f>D78*A78</f>
        <v/>
      </c>
      <c r="O78" s="0">
        <f>E78*A78</f>
        <v/>
      </c>
      <c r="P78" s="0">
        <f>-K78-M78-N78-O78</f>
        <v/>
      </c>
      <c r="V78" s="0" t="n">
        <v>1.39999999999997</v>
      </c>
      <c r="W78" s="0">
        <f>V78*$S$5+$S$4</f>
        <v/>
      </c>
    </row>
    <row r="79">
      <c r="A79" s="0" t="n">
        <v>3.9456006</v>
      </c>
      <c r="B79" s="0" t="n">
        <v>0.51089</v>
      </c>
      <c r="C79" s="0">
        <f>A79*B79</f>
        <v/>
      </c>
      <c r="D79" s="0" t="n">
        <v>0.0165</v>
      </c>
      <c r="E79" s="0" t="n">
        <v>0.01413</v>
      </c>
      <c r="F79" s="0">
        <f>A79*200</f>
        <v/>
      </c>
      <c r="G79" s="0">
        <f>-B79</f>
        <v/>
      </c>
      <c r="H79" s="0">
        <f>-C79*200</f>
        <v/>
      </c>
      <c r="I79" s="0" t="n">
        <v>1</v>
      </c>
      <c r="J79" s="0">
        <f>LN(F79/1000)</f>
        <v/>
      </c>
      <c r="K79" s="0">
        <f>((-G79)-$N$2)</f>
        <v/>
      </c>
      <c r="M79" s="0">
        <f>-1*($S$4+($S$5*J79))</f>
        <v/>
      </c>
      <c r="N79" s="0">
        <f>D79*A79</f>
        <v/>
      </c>
      <c r="O79" s="0">
        <f>E79*A79</f>
        <v/>
      </c>
      <c r="P79" s="0">
        <f>-K79-M79-N79-O79</f>
        <v/>
      </c>
      <c r="V79" s="0" t="n">
        <v>1.49999999999997</v>
      </c>
      <c r="W79" s="0">
        <f>V79*$S$5+$S$4</f>
        <v/>
      </c>
    </row>
    <row r="80">
      <c r="A80" s="0" t="n">
        <v>3.9985557</v>
      </c>
      <c r="B80" s="0" t="n">
        <v>0.50753</v>
      </c>
      <c r="C80" s="0">
        <f>A80*B80</f>
        <v/>
      </c>
      <c r="D80" s="0" t="n">
        <v>0.0165</v>
      </c>
      <c r="E80" s="0" t="n">
        <v>0.01413</v>
      </c>
      <c r="F80" s="0">
        <f>A80*200</f>
        <v/>
      </c>
      <c r="G80" s="0">
        <f>-B80</f>
        <v/>
      </c>
      <c r="H80" s="0">
        <f>-C80*200</f>
        <v/>
      </c>
      <c r="I80" s="0" t="n">
        <v>1</v>
      </c>
      <c r="J80" s="0">
        <f>LN(F80/1000)</f>
        <v/>
      </c>
      <c r="K80" s="0">
        <f>((-G80)-$N$2)</f>
        <v/>
      </c>
      <c r="M80" s="0">
        <f>-1*($S$4+($S$5*J80))</f>
        <v/>
      </c>
      <c r="N80" s="0">
        <f>D80*A80</f>
        <v/>
      </c>
      <c r="O80" s="0">
        <f>E80*A80</f>
        <v/>
      </c>
      <c r="P80" s="0">
        <f>-K80-M80-N80-O80</f>
        <v/>
      </c>
      <c r="V80" s="0" t="n">
        <v>1.59999999999997</v>
      </c>
      <c r="W80" s="0">
        <f>V80*$S$5+$S$4</f>
        <v/>
      </c>
    </row>
    <row r="81">
      <c r="A81" s="0" t="n">
        <v>4.0535476</v>
      </c>
      <c r="B81" s="0" t="n">
        <v>0.50371</v>
      </c>
      <c r="C81" s="0">
        <f>A81*B81</f>
        <v/>
      </c>
      <c r="D81" s="0" t="n">
        <v>0.0165</v>
      </c>
      <c r="E81" s="0" t="n">
        <v>0.01413</v>
      </c>
      <c r="F81" s="0">
        <f>A81*200</f>
        <v/>
      </c>
      <c r="G81" s="0">
        <f>-B81</f>
        <v/>
      </c>
      <c r="H81" s="0">
        <f>-C81*200</f>
        <v/>
      </c>
      <c r="I81" s="0" t="n">
        <v>1</v>
      </c>
      <c r="J81" s="0">
        <f>LN(F81/1000)</f>
        <v/>
      </c>
      <c r="K81" s="0">
        <f>((-G81)-$N$2)</f>
        <v/>
      </c>
      <c r="M81" s="0">
        <f>-1*($S$4+($S$5*J81))</f>
        <v/>
      </c>
      <c r="N81" s="0">
        <f>D81*A81</f>
        <v/>
      </c>
      <c r="O81" s="0">
        <f>E81*A81</f>
        <v/>
      </c>
      <c r="P81" s="0">
        <f>-K81-M81-N81-O81</f>
        <v/>
      </c>
      <c r="V81" s="0" t="n">
        <v>1.69999999999997</v>
      </c>
      <c r="W81" s="0">
        <f>V81*$S$5+$S$4</f>
        <v/>
      </c>
    </row>
    <row r="82">
      <c r="A82" s="0" t="n">
        <v>4.107521</v>
      </c>
      <c r="B82" s="0" t="n">
        <v>0.50043</v>
      </c>
      <c r="C82" s="0">
        <f>A82*B82</f>
        <v/>
      </c>
      <c r="D82" s="0" t="n">
        <v>0.0165</v>
      </c>
      <c r="E82" s="0" t="n">
        <v>0.01413</v>
      </c>
      <c r="F82" s="0">
        <f>A82*200</f>
        <v/>
      </c>
      <c r="G82" s="0">
        <f>-B82</f>
        <v/>
      </c>
      <c r="H82" s="0">
        <f>-C82*200</f>
        <v/>
      </c>
      <c r="I82" s="0" t="n">
        <v>1</v>
      </c>
      <c r="J82" s="0">
        <f>LN(F82/1000)</f>
        <v/>
      </c>
      <c r="K82" s="0">
        <f>((-G82)-$N$2)</f>
        <v/>
      </c>
      <c r="M82" s="0">
        <f>-1*($S$4+($S$5*J82))</f>
        <v/>
      </c>
      <c r="N82" s="0">
        <f>D82*A82</f>
        <v/>
      </c>
      <c r="O82" s="0">
        <f>E82*A82</f>
        <v/>
      </c>
      <c r="P82" s="0">
        <f>-K82-M82-N82-O82</f>
        <v/>
      </c>
      <c r="V82" s="0" t="n">
        <v>1.79999999999997</v>
      </c>
      <c r="W82" s="0">
        <f>V82*$S$5+$S$4</f>
        <v/>
      </c>
    </row>
    <row r="83">
      <c r="A83" s="0" t="n">
        <v>4.1584395</v>
      </c>
      <c r="B83" s="0" t="n">
        <v>0.49669</v>
      </c>
      <c r="C83" s="0">
        <f>A83*B83</f>
        <v/>
      </c>
      <c r="D83" s="0" t="n">
        <v>0.0165</v>
      </c>
      <c r="E83" s="0" t="n">
        <v>0.01413</v>
      </c>
      <c r="F83" s="0">
        <f>A83*200</f>
        <v/>
      </c>
      <c r="G83" s="0">
        <f>-B83</f>
        <v/>
      </c>
      <c r="H83" s="0">
        <f>-C83*200</f>
        <v/>
      </c>
      <c r="I83" s="0" t="n">
        <v>1</v>
      </c>
      <c r="J83" s="0">
        <f>LN(F83/1000)</f>
        <v/>
      </c>
      <c r="K83" s="0">
        <f>((-G83)-$N$2)</f>
        <v/>
      </c>
      <c r="M83" s="0">
        <f>-1*($S$4+($S$5*J83))</f>
        <v/>
      </c>
      <c r="N83" s="0">
        <f>D83*A83</f>
        <v/>
      </c>
      <c r="O83" s="0">
        <f>E83*A83</f>
        <v/>
      </c>
      <c r="P83" s="0">
        <f>-K83-M83-N83-O83</f>
        <v/>
      </c>
      <c r="V83" s="0" t="n">
        <v>1.89999999999997</v>
      </c>
      <c r="W83" s="0">
        <f>V83*$S$5+$S$4</f>
        <v/>
      </c>
    </row>
    <row r="84">
      <c r="A84" s="0" t="n">
        <v>4.2103765</v>
      </c>
      <c r="B84" s="0" t="n">
        <v>0.49302</v>
      </c>
      <c r="C84" s="0">
        <f>A84*B84</f>
        <v/>
      </c>
      <c r="D84" s="0" t="n">
        <v>0.0165</v>
      </c>
      <c r="E84" s="0" t="n">
        <v>0.01413</v>
      </c>
      <c r="F84" s="0">
        <f>A84*200</f>
        <v/>
      </c>
      <c r="G84" s="0">
        <f>-B84</f>
        <v/>
      </c>
      <c r="H84" s="0">
        <f>-C84*200</f>
        <v/>
      </c>
      <c r="I84" s="0" t="n">
        <v>1</v>
      </c>
      <c r="J84" s="0">
        <f>LN(F84/1000)</f>
        <v/>
      </c>
      <c r="K84" s="0">
        <f>((-G84)-$N$2)</f>
        <v/>
      </c>
      <c r="M84" s="0">
        <f>-1*($S$4+($S$5*J84))</f>
        <v/>
      </c>
      <c r="N84" s="0">
        <f>D84*A84</f>
        <v/>
      </c>
      <c r="O84" s="0">
        <f>E84*A84</f>
        <v/>
      </c>
      <c r="P84" s="0">
        <f>-K84-M84-N84-O84</f>
        <v/>
      </c>
      <c r="V84" s="0" t="n">
        <v>1.99999999999997</v>
      </c>
      <c r="W84" s="0">
        <f>V84*$S$5+$S$4</f>
        <v/>
      </c>
    </row>
    <row r="85">
      <c r="A85" s="0" t="n">
        <v>4.2618037</v>
      </c>
      <c r="B85" s="0" t="n">
        <v>0.48991</v>
      </c>
      <c r="C85" s="0">
        <f>A85*B85</f>
        <v/>
      </c>
      <c r="D85" s="0" t="n">
        <v>0.0165</v>
      </c>
      <c r="E85" s="0" t="n">
        <v>0.01413</v>
      </c>
      <c r="F85" s="0">
        <f>A85*200</f>
        <v/>
      </c>
      <c r="G85" s="0">
        <f>-B85</f>
        <v/>
      </c>
      <c r="H85" s="0">
        <f>-C85*200</f>
        <v/>
      </c>
      <c r="I85" s="0" t="n">
        <v>1</v>
      </c>
      <c r="J85" s="0">
        <f>LN(F85/1000)</f>
        <v/>
      </c>
      <c r="K85" s="0">
        <f>((-G85)-$N$2)</f>
        <v/>
      </c>
      <c r="M85" s="0">
        <f>-1*($S$4+($S$5*J85))</f>
        <v/>
      </c>
      <c r="N85" s="0">
        <f>D85*A85</f>
        <v/>
      </c>
      <c r="O85" s="0">
        <f>E85*A85</f>
        <v/>
      </c>
      <c r="P85" s="0">
        <f>-K85-M85-N85-O85</f>
        <v/>
      </c>
      <c r="V85" s="0" t="n">
        <v>2.09999999999997</v>
      </c>
      <c r="W85" s="0">
        <f>V85*$S$5+$S$4</f>
        <v/>
      </c>
    </row>
    <row r="86">
      <c r="A86" s="0" t="n">
        <v>4.3122129</v>
      </c>
      <c r="B86" s="0" t="n">
        <v>0.48611</v>
      </c>
      <c r="C86" s="0">
        <f>A86*B86</f>
        <v/>
      </c>
      <c r="D86" s="0" t="n">
        <v>0.0165</v>
      </c>
      <c r="E86" s="0" t="n">
        <v>0.01413</v>
      </c>
      <c r="F86" s="0">
        <f>A86*200</f>
        <v/>
      </c>
      <c r="G86" s="0">
        <f>-B86</f>
        <v/>
      </c>
      <c r="H86" s="0">
        <f>-C86*200</f>
        <v/>
      </c>
      <c r="I86" s="0" t="n">
        <v>1</v>
      </c>
      <c r="J86" s="0">
        <f>LN(F86/1000)</f>
        <v/>
      </c>
      <c r="K86" s="0">
        <f>((-G86)-$N$2)</f>
        <v/>
      </c>
      <c r="M86" s="0">
        <f>-1*($S$4+($S$5*J86))</f>
        <v/>
      </c>
      <c r="N86" s="0">
        <f>D86*A86</f>
        <v/>
      </c>
      <c r="O86" s="0">
        <f>E86*A86</f>
        <v/>
      </c>
      <c r="P86" s="0">
        <f>-K86-M86-N86-O86</f>
        <v/>
      </c>
      <c r="V86" s="0" t="n">
        <v>2.19999999999997</v>
      </c>
      <c r="W86" s="0">
        <f>V86*$S$5+$S$4</f>
        <v/>
      </c>
    </row>
    <row r="87">
      <c r="A87" s="0" t="n">
        <v>4.3631313</v>
      </c>
      <c r="B87" s="0" t="n">
        <v>0.48279</v>
      </c>
      <c r="C87" s="0">
        <f>A87*B87</f>
        <v/>
      </c>
      <c r="D87" s="0" t="n">
        <v>0.0165</v>
      </c>
      <c r="E87" s="0" t="n">
        <v>0.01413</v>
      </c>
      <c r="F87" s="0">
        <f>A87*200</f>
        <v/>
      </c>
      <c r="G87" s="0">
        <f>-B87</f>
        <v/>
      </c>
      <c r="H87" s="0">
        <f>-C87*200</f>
        <v/>
      </c>
      <c r="I87" s="0" t="n">
        <v>1</v>
      </c>
      <c r="J87" s="0">
        <f>LN(F87/1000)</f>
        <v/>
      </c>
      <c r="K87" s="0">
        <f>((-G87)-$N$2)</f>
        <v/>
      </c>
      <c r="M87" s="0">
        <f>-1*($S$4+($S$5*J87))</f>
        <v/>
      </c>
      <c r="N87" s="0">
        <f>D87*A87</f>
        <v/>
      </c>
      <c r="O87" s="0">
        <f>E87*A87</f>
        <v/>
      </c>
      <c r="P87" s="0">
        <f>-K87-M87-N87-O87</f>
        <v/>
      </c>
      <c r="V87" s="0" t="n">
        <v>2.29999999999997</v>
      </c>
      <c r="W87" s="0">
        <f>V87*$S$5+$S$4</f>
        <v/>
      </c>
    </row>
    <row r="88">
      <c r="A88" s="0" t="n">
        <v>4.4160864</v>
      </c>
      <c r="B88" s="0" t="n">
        <v>0.47914</v>
      </c>
      <c r="C88" s="0">
        <f>A88*B88</f>
        <v/>
      </c>
      <c r="D88" s="0" t="n">
        <v>0.0165</v>
      </c>
      <c r="E88" s="0" t="n">
        <v>0.01413</v>
      </c>
      <c r="F88" s="0">
        <f>A88*200</f>
        <v/>
      </c>
      <c r="G88" s="0">
        <f>-B88</f>
        <v/>
      </c>
      <c r="H88" s="0">
        <f>-C88*200</f>
        <v/>
      </c>
      <c r="I88" s="0" t="n">
        <v>1</v>
      </c>
      <c r="J88" s="0">
        <f>LN(F88/1000)</f>
        <v/>
      </c>
      <c r="K88" s="0">
        <f>((-G88)-$N$2)</f>
        <v/>
      </c>
      <c r="M88" s="0">
        <f>-1*($S$4+($S$5*J88))</f>
        <v/>
      </c>
      <c r="N88" s="0">
        <f>D88*A88</f>
        <v/>
      </c>
      <c r="O88" s="0">
        <f>E88*A88</f>
        <v/>
      </c>
      <c r="P88" s="0">
        <f>-K88-M88-N88-O88</f>
        <v/>
      </c>
      <c r="V88" s="0" t="n">
        <v>2.39999999999997</v>
      </c>
      <c r="W88" s="0">
        <f>V88*$S$5+$S$4</f>
        <v/>
      </c>
    </row>
    <row r="89">
      <c r="A89" s="0" t="n">
        <v>4.4670049</v>
      </c>
      <c r="B89" s="0" t="n">
        <v>0.47582</v>
      </c>
      <c r="C89" s="0">
        <f>A89*B89</f>
        <v/>
      </c>
      <c r="D89" s="0" t="n">
        <v>0.0165</v>
      </c>
      <c r="E89" s="0" t="n">
        <v>0.01413</v>
      </c>
      <c r="F89" s="0">
        <f>A89*200</f>
        <v/>
      </c>
      <c r="G89" s="0">
        <f>-B89</f>
        <v/>
      </c>
      <c r="H89" s="0">
        <f>-C89*200</f>
        <v/>
      </c>
      <c r="I89" s="0" t="n">
        <v>1</v>
      </c>
      <c r="J89" s="0">
        <f>LN(F89/1000)</f>
        <v/>
      </c>
      <c r="K89" s="0">
        <f>((-G89)-$N$2)</f>
        <v/>
      </c>
      <c r="M89" s="0">
        <f>-1*($S$4+($S$5*J89))</f>
        <v/>
      </c>
      <c r="N89" s="0">
        <f>D89*A89</f>
        <v/>
      </c>
      <c r="O89" s="0">
        <f>E89*A89</f>
        <v/>
      </c>
      <c r="P89" s="0">
        <f>-K89-M89-N89-O89</f>
        <v/>
      </c>
      <c r="V89" s="0" t="n">
        <v>2.49999999999997</v>
      </c>
      <c r="W89" s="0">
        <f>V89*$S$5+$S$4</f>
        <v/>
      </c>
    </row>
    <row r="90">
      <c r="A90" s="0" t="n">
        <v>4.5179229</v>
      </c>
      <c r="B90" s="0" t="n">
        <v>0.47196</v>
      </c>
      <c r="C90" s="0">
        <f>A90*B90</f>
        <v/>
      </c>
      <c r="D90" s="0" t="n">
        <v>0.0165</v>
      </c>
      <c r="E90" s="0" t="n">
        <v>0.01413</v>
      </c>
      <c r="F90" s="0">
        <f>A90*200</f>
        <v/>
      </c>
      <c r="G90" s="0">
        <f>-B90</f>
        <v/>
      </c>
      <c r="H90" s="0">
        <f>-C90*200</f>
        <v/>
      </c>
      <c r="I90" s="0" t="n">
        <v>1</v>
      </c>
      <c r="J90" s="0">
        <f>LN(F90/1000)</f>
        <v/>
      </c>
      <c r="K90" s="0">
        <f>((-G90)-$N$2)</f>
        <v/>
      </c>
      <c r="M90" s="0">
        <f>-1*($S$4+($S$5*J90))</f>
        <v/>
      </c>
      <c r="N90" s="0">
        <f>D90*A90</f>
        <v/>
      </c>
      <c r="O90" s="0">
        <f>E90*A90</f>
        <v/>
      </c>
      <c r="P90" s="0">
        <f>-K90-M90-N90-O90</f>
        <v/>
      </c>
      <c r="V90" s="0" t="n">
        <v>2.59999999999997</v>
      </c>
      <c r="W90" s="0">
        <f>V90*$S$5+$S$4</f>
        <v/>
      </c>
    </row>
    <row r="91">
      <c r="A91" s="0" t="n">
        <v>4.5688413</v>
      </c>
      <c r="B91" s="0" t="n">
        <v>0.46873</v>
      </c>
      <c r="C91" s="0">
        <f>A91*B91</f>
        <v/>
      </c>
      <c r="D91" s="0" t="n">
        <v>0.0165</v>
      </c>
      <c r="E91" s="0" t="n">
        <v>0.01413</v>
      </c>
      <c r="F91" s="0">
        <f>A91*200</f>
        <v/>
      </c>
      <c r="G91" s="0">
        <f>-B91</f>
        <v/>
      </c>
      <c r="H91" s="0">
        <f>-C91*200</f>
        <v/>
      </c>
      <c r="I91" s="0" t="n">
        <v>1</v>
      </c>
      <c r="J91" s="0">
        <f>LN(F91/1000)</f>
        <v/>
      </c>
      <c r="K91" s="0">
        <f>((-G91)-$N$2)</f>
        <v/>
      </c>
      <c r="M91" s="0">
        <f>-1*($S$4+($S$5*J91))</f>
        <v/>
      </c>
      <c r="N91" s="0">
        <f>D91*A91</f>
        <v/>
      </c>
      <c r="O91" s="0">
        <f>E91*A91</f>
        <v/>
      </c>
      <c r="P91" s="0">
        <f>-K91-M91-N91-O91</f>
        <v/>
      </c>
      <c r="V91" s="0" t="n">
        <v>2.69999999999997</v>
      </c>
      <c r="W91" s="0">
        <f>V91*$S$5+$S$4</f>
        <v/>
      </c>
    </row>
    <row r="92">
      <c r="A92" s="0" t="n">
        <v>4.6197598</v>
      </c>
      <c r="B92" s="0" t="n">
        <v>0.46532</v>
      </c>
      <c r="C92" s="0">
        <f>A92*B92</f>
        <v/>
      </c>
      <c r="D92" s="0" t="n">
        <v>0.0165</v>
      </c>
      <c r="E92" s="0" t="n">
        <v>0.01413</v>
      </c>
      <c r="F92" s="0">
        <f>A92*200</f>
        <v/>
      </c>
      <c r="G92" s="0">
        <f>-B92</f>
        <v/>
      </c>
      <c r="H92" s="0">
        <f>-C92*200</f>
        <v/>
      </c>
      <c r="I92" s="0" t="n">
        <v>1</v>
      </c>
      <c r="J92" s="0">
        <f>LN(F92/1000)</f>
        <v/>
      </c>
      <c r="K92" s="0">
        <f>((-G92)-$N$2)</f>
        <v/>
      </c>
      <c r="M92" s="0">
        <f>-1*($S$4+($S$5*J92))</f>
        <v/>
      </c>
      <c r="N92" s="0">
        <f>D92*A92</f>
        <v/>
      </c>
      <c r="O92" s="0">
        <f>E92*A92</f>
        <v/>
      </c>
      <c r="P92" s="0">
        <f>-K92-M92-N92-O92</f>
        <v/>
      </c>
      <c r="V92" s="0" t="n">
        <v>2.79999999999997</v>
      </c>
      <c r="W92" s="0">
        <f>V92*$S$5+$S$4</f>
        <v/>
      </c>
    </row>
    <row r="93">
      <c r="A93" s="0" t="n">
        <v>4.6706777</v>
      </c>
      <c r="B93" s="0" t="n">
        <v>0.46194</v>
      </c>
      <c r="C93" s="0">
        <f>A93*B93</f>
        <v/>
      </c>
      <c r="D93" s="0" t="n">
        <v>0.0165</v>
      </c>
      <c r="E93" s="0" t="n">
        <v>0.01413</v>
      </c>
      <c r="F93" s="0">
        <f>A93*200</f>
        <v/>
      </c>
      <c r="G93" s="0">
        <f>-B93</f>
        <v/>
      </c>
      <c r="H93" s="0">
        <f>-C93*200</f>
        <v/>
      </c>
      <c r="I93" s="0" t="n">
        <v>1</v>
      </c>
      <c r="J93" s="0">
        <f>LN(F93/1000)</f>
        <v/>
      </c>
      <c r="K93" s="0">
        <f>((-G93)-$N$2)</f>
        <v/>
      </c>
      <c r="M93" s="0">
        <f>-1*($S$4+($S$5*J93))</f>
        <v/>
      </c>
      <c r="N93" s="0">
        <f>D93*A93</f>
        <v/>
      </c>
      <c r="O93" s="0">
        <f>E93*A93</f>
        <v/>
      </c>
      <c r="P93" s="0">
        <f>-K93-M93-N93-O93</f>
        <v/>
      </c>
      <c r="V93" s="0" t="n">
        <v>2.89999999999997</v>
      </c>
      <c r="W93" s="0">
        <f>V93*$S$5+$S$4</f>
        <v/>
      </c>
    </row>
    <row r="94">
      <c r="A94" s="0" t="n">
        <v>4.7210869</v>
      </c>
      <c r="B94" s="0" t="n">
        <v>0.45831</v>
      </c>
      <c r="C94" s="0">
        <f>A94*B94</f>
        <v/>
      </c>
      <c r="D94" s="0" t="n">
        <v>0.0165</v>
      </c>
      <c r="E94" s="0" t="n">
        <v>0.01413</v>
      </c>
      <c r="F94" s="0">
        <f>A94*200</f>
        <v/>
      </c>
      <c r="G94" s="0">
        <f>-B94</f>
        <v/>
      </c>
      <c r="H94" s="0">
        <f>-C94*200</f>
        <v/>
      </c>
      <c r="I94" s="0" t="n">
        <v>1</v>
      </c>
      <c r="J94" s="0">
        <f>LN(F94/1000)</f>
        <v/>
      </c>
      <c r="K94" s="0">
        <f>((-G94)-$N$2)</f>
        <v/>
      </c>
      <c r="M94" s="0">
        <f>-1*($S$4+($S$5*J94))</f>
        <v/>
      </c>
      <c r="N94" s="0">
        <f>D94*A94</f>
        <v/>
      </c>
      <c r="O94" s="0">
        <f>E94*A94</f>
        <v/>
      </c>
      <c r="P94" s="0">
        <f>-K94-M94-N94-O94</f>
        <v/>
      </c>
      <c r="V94" s="0" t="n">
        <v>2.99999999999997</v>
      </c>
      <c r="W94" s="0">
        <f>V94*$S$5+$S$4</f>
        <v/>
      </c>
    </row>
    <row r="95">
      <c r="A95" s="0" t="n">
        <v>4.7770972</v>
      </c>
      <c r="B95" s="0" t="n">
        <v>0.45441</v>
      </c>
      <c r="C95" s="0">
        <f>A95*B95</f>
        <v/>
      </c>
      <c r="D95" s="0" t="n">
        <v>0.0165</v>
      </c>
      <c r="E95" s="0" t="n">
        <v>0.01413</v>
      </c>
      <c r="F95" s="0">
        <f>A95*200</f>
        <v/>
      </c>
      <c r="G95" s="0">
        <f>-B95</f>
        <v/>
      </c>
      <c r="H95" s="0">
        <f>-C95*200</f>
        <v/>
      </c>
      <c r="I95" s="0" t="n">
        <v>1</v>
      </c>
      <c r="J95" s="0">
        <f>LN(F95/1000)</f>
        <v/>
      </c>
      <c r="K95" s="0">
        <f>((-G95)-$N$2)</f>
        <v/>
      </c>
      <c r="M95" s="0">
        <f>-1*($S$4+($S$5*J95))</f>
        <v/>
      </c>
      <c r="N95" s="0">
        <f>D95*A95</f>
        <v/>
      </c>
      <c r="O95" s="0">
        <f>E95*A95</f>
        <v/>
      </c>
      <c r="P95" s="0">
        <f>-K95-M95-N95-O95</f>
        <v/>
      </c>
      <c r="V95" s="0" t="n">
        <v>3.09999999999997</v>
      </c>
      <c r="W95" s="0">
        <f>V95*$S$5+$S$4</f>
        <v/>
      </c>
    </row>
    <row r="96">
      <c r="A96" s="0" t="n">
        <v>4.829543</v>
      </c>
      <c r="B96" s="0" t="n">
        <v>0.45037</v>
      </c>
      <c r="C96" s="0">
        <f>A96*B96</f>
        <v/>
      </c>
      <c r="D96" s="0" t="n">
        <v>0.0165</v>
      </c>
      <c r="E96" s="0" t="n">
        <v>0.01413</v>
      </c>
      <c r="F96" s="0">
        <f>A96*200</f>
        <v/>
      </c>
      <c r="G96" s="0">
        <f>-B96</f>
        <v/>
      </c>
      <c r="H96" s="0">
        <f>-C96*200</f>
        <v/>
      </c>
      <c r="I96" s="0" t="n">
        <v>1</v>
      </c>
      <c r="J96" s="0">
        <f>LN(F96/1000)</f>
        <v/>
      </c>
      <c r="K96" s="0">
        <f>((-G96)-$N$2)</f>
        <v/>
      </c>
      <c r="M96" s="0">
        <f>-1*($S$4+($S$5*J96))</f>
        <v/>
      </c>
      <c r="N96" s="0">
        <f>D96*A96</f>
        <v/>
      </c>
      <c r="O96" s="0">
        <f>E96*A96</f>
        <v/>
      </c>
      <c r="P96" s="0">
        <f>-K96-M96-N96-O96</f>
        <v/>
      </c>
      <c r="V96" s="0" t="n">
        <v>3.19999999999997</v>
      </c>
      <c r="W96" s="0">
        <f>V96*$S$5+$S$4</f>
        <v/>
      </c>
    </row>
    <row r="97">
      <c r="A97" s="0" t="n">
        <v>4.8860625</v>
      </c>
      <c r="B97" s="0" t="n">
        <v>0.44689</v>
      </c>
      <c r="C97" s="0">
        <f>A97*B97</f>
        <v/>
      </c>
      <c r="D97" s="0" t="n">
        <v>0.0165</v>
      </c>
      <c r="E97" s="0" t="n">
        <v>0.01413</v>
      </c>
      <c r="F97" s="0">
        <f>A97*200</f>
        <v/>
      </c>
      <c r="G97" s="0">
        <f>-B97</f>
        <v/>
      </c>
      <c r="H97" s="0">
        <f>-C97*200</f>
        <v/>
      </c>
      <c r="I97" s="0" t="n">
        <v>1</v>
      </c>
      <c r="J97" s="0">
        <f>LN(F97/1000)</f>
        <v/>
      </c>
      <c r="K97" s="0">
        <f>((-G97)-$N$2)</f>
        <v/>
      </c>
      <c r="M97" s="0">
        <f>-1*($S$4+($S$5*J97))</f>
        <v/>
      </c>
      <c r="N97" s="0">
        <f>D97*A97</f>
        <v/>
      </c>
      <c r="O97" s="0">
        <f>E97*A97</f>
        <v/>
      </c>
      <c r="P97" s="0">
        <f>-K97-M97-N97-O97</f>
        <v/>
      </c>
      <c r="V97" s="0" t="n">
        <v>3.29999999999997</v>
      </c>
      <c r="W97" s="0">
        <f>V97*$S$5+$S$4</f>
        <v/>
      </c>
    </row>
    <row r="98">
      <c r="A98" s="0" t="n">
        <v>4.9364717</v>
      </c>
      <c r="B98" s="0" t="n">
        <v>0.44319</v>
      </c>
      <c r="C98" s="0">
        <f>A98*B98</f>
        <v/>
      </c>
      <c r="D98" s="0" t="n">
        <v>0.0165</v>
      </c>
      <c r="E98" s="0" t="n">
        <v>0.01413</v>
      </c>
      <c r="F98" s="0">
        <f>A98*200</f>
        <v/>
      </c>
      <c r="G98" s="0">
        <f>-B98</f>
        <v/>
      </c>
      <c r="H98" s="0">
        <f>-C98*200</f>
        <v/>
      </c>
      <c r="I98" s="0" t="n">
        <v>1</v>
      </c>
      <c r="J98" s="0">
        <f>LN(F98/1000)</f>
        <v/>
      </c>
      <c r="K98" s="0">
        <f>((-G98)-$N$2)</f>
        <v/>
      </c>
      <c r="M98" s="0">
        <f>-1*($S$4+($S$5*J98))</f>
        <v/>
      </c>
      <c r="N98" s="0">
        <f>D98*A98</f>
        <v/>
      </c>
      <c r="O98" s="0">
        <f>E98*A98</f>
        <v/>
      </c>
      <c r="P98" s="0">
        <f>-K98-M98-N98-O98</f>
        <v/>
      </c>
      <c r="V98" s="0" t="n">
        <v>3.39999999999997</v>
      </c>
      <c r="W98" s="0">
        <f>V98*$S$5+$S$4</f>
        <v/>
      </c>
    </row>
    <row r="99">
      <c r="A99" s="0" t="n">
        <v>4.9924819</v>
      </c>
      <c r="B99" s="0" t="n">
        <v>0.43945</v>
      </c>
      <c r="C99" s="0">
        <f>A99*B99</f>
        <v/>
      </c>
      <c r="D99" s="0" t="n">
        <v>0.0165</v>
      </c>
      <c r="E99" s="0" t="n">
        <v>0.01413</v>
      </c>
      <c r="F99" s="0">
        <f>A99*200</f>
        <v/>
      </c>
      <c r="G99" s="0">
        <f>-B99</f>
        <v/>
      </c>
      <c r="H99" s="0">
        <f>-C99*200</f>
        <v/>
      </c>
      <c r="I99" s="0" t="n">
        <v>1</v>
      </c>
      <c r="J99" s="0">
        <f>LN(F99/1000)</f>
        <v/>
      </c>
      <c r="K99" s="0">
        <f>((-G99)-$N$2)</f>
        <v/>
      </c>
      <c r="M99" s="0">
        <f>-1*($S$4+($S$5*J99))</f>
        <v/>
      </c>
      <c r="N99" s="0">
        <f>D99*A99</f>
        <v/>
      </c>
      <c r="O99" s="0">
        <f>E99*A99</f>
        <v/>
      </c>
      <c r="P99" s="0">
        <f>-K99-M99-N99-O99</f>
        <v/>
      </c>
      <c r="V99" s="0" t="n">
        <v>3.49999999999997</v>
      </c>
      <c r="W99" s="0">
        <f>V99*$S$5+$S$4</f>
        <v/>
      </c>
    </row>
    <row r="100">
      <c r="A100" s="0" t="n">
        <v>5.0428906</v>
      </c>
      <c r="B100" s="0" t="n">
        <v>0.43551</v>
      </c>
      <c r="C100" s="0">
        <f>A100*B100</f>
        <v/>
      </c>
      <c r="D100" s="0" t="n">
        <v>0.0165</v>
      </c>
      <c r="E100" s="0" t="n">
        <v>0.01413</v>
      </c>
      <c r="F100" s="0">
        <f>A100*200</f>
        <v/>
      </c>
      <c r="G100" s="0">
        <f>-B100</f>
        <v/>
      </c>
      <c r="H100" s="0">
        <f>-C100*200</f>
        <v/>
      </c>
      <c r="I100" s="0" t="n">
        <v>1</v>
      </c>
      <c r="J100" s="0">
        <f>LN(F100/1000)</f>
        <v/>
      </c>
      <c r="K100" s="0">
        <f>((-G100)-$N$2)</f>
        <v/>
      </c>
      <c r="M100" s="0">
        <f>-1*($S$4+($S$5*J100))</f>
        <v/>
      </c>
      <c r="N100" s="0">
        <f>D100*A100</f>
        <v/>
      </c>
      <c r="O100" s="0">
        <f>E100*A100</f>
        <v/>
      </c>
      <c r="P100" s="0">
        <f>-K100-M100-N100-O100</f>
        <v/>
      </c>
      <c r="V100" s="0" t="n">
        <v>3.59999999999997</v>
      </c>
      <c r="W100" s="0">
        <f>V100*$S$5+$S$4</f>
        <v/>
      </c>
    </row>
    <row r="101">
      <c r="A101" s="0" t="n">
        <v>5.0948276</v>
      </c>
      <c r="B101" s="0" t="n">
        <v>0.43173</v>
      </c>
      <c r="C101" s="0">
        <f>A101*B101</f>
        <v/>
      </c>
      <c r="D101" s="0" t="n">
        <v>0.0165</v>
      </c>
      <c r="E101" s="0" t="n">
        <v>0.01413</v>
      </c>
      <c r="F101" s="0">
        <f>A101*200</f>
        <v/>
      </c>
      <c r="G101" s="0">
        <f>-B101</f>
        <v/>
      </c>
      <c r="H101" s="0">
        <f>-C101*200</f>
        <v/>
      </c>
      <c r="I101" s="0" t="n">
        <v>1</v>
      </c>
      <c r="J101" s="0">
        <f>LN(F101/1000)</f>
        <v/>
      </c>
      <c r="K101" s="0">
        <f>((-G101)-$N$2)</f>
        <v/>
      </c>
      <c r="M101" s="0">
        <f>-1*($S$4+($S$5*J101))</f>
        <v/>
      </c>
      <c r="N101" s="0">
        <f>D101*A101</f>
        <v/>
      </c>
      <c r="O101" s="0">
        <f>E101*A101</f>
        <v/>
      </c>
      <c r="P101" s="0">
        <f>-K101-M101-N101-O101</f>
        <v/>
      </c>
      <c r="V101" s="0" t="n">
        <v>3.69999999999997</v>
      </c>
      <c r="W101" s="0">
        <f>V101*$S$5+$S$4</f>
        <v/>
      </c>
    </row>
    <row r="102">
      <c r="A102" s="0" t="n">
        <v>5.1472729</v>
      </c>
      <c r="B102" s="0" t="n">
        <v>0.42816</v>
      </c>
      <c r="C102" s="0">
        <f>A102*B102</f>
        <v/>
      </c>
      <c r="D102" s="0" t="n">
        <v>0.0165</v>
      </c>
      <c r="E102" s="0" t="n">
        <v>0.01413</v>
      </c>
      <c r="F102" s="0">
        <f>A102*200</f>
        <v/>
      </c>
      <c r="G102" s="0">
        <f>-B102</f>
        <v/>
      </c>
      <c r="H102" s="0">
        <f>-C102*200</f>
        <v/>
      </c>
      <c r="I102" s="0" t="n">
        <v>1</v>
      </c>
      <c r="J102" s="0">
        <f>LN(F102/1000)</f>
        <v/>
      </c>
      <c r="K102" s="0">
        <f>((-G102)-$N$2)</f>
        <v/>
      </c>
      <c r="M102" s="0">
        <f>-1*($S$4+($S$5*J102))</f>
        <v/>
      </c>
      <c r="N102" s="0">
        <f>D102*A102</f>
        <v/>
      </c>
      <c r="O102" s="0">
        <f>E102*A102</f>
        <v/>
      </c>
      <c r="P102" s="0">
        <f>-K102-M102-N102-O102</f>
        <v/>
      </c>
      <c r="V102" s="0" t="n">
        <v>3.79999999999997</v>
      </c>
      <c r="W102" s="0">
        <f>V102*$S$5+$S$4</f>
        <v/>
      </c>
    </row>
    <row r="103">
      <c r="A103" s="0" t="n">
        <v>5.1976826</v>
      </c>
      <c r="B103" s="0" t="n">
        <v>0.42451</v>
      </c>
      <c r="C103" s="0">
        <f>A103*B103</f>
        <v/>
      </c>
      <c r="D103" s="0" t="n">
        <v>0.0165</v>
      </c>
      <c r="E103" s="0" t="n">
        <v>0.01413</v>
      </c>
      <c r="F103" s="0">
        <f>A103*200</f>
        <v/>
      </c>
      <c r="G103" s="0">
        <f>-B103</f>
        <v/>
      </c>
      <c r="H103" s="0">
        <f>-C103*200</f>
        <v/>
      </c>
      <c r="I103" s="0" t="n">
        <v>1</v>
      </c>
      <c r="J103" s="0">
        <f>LN(F103/1000)</f>
        <v/>
      </c>
      <c r="K103" s="0">
        <f>((-G103)-$N$2)</f>
        <v/>
      </c>
      <c r="M103" s="0">
        <f>-1*($S$4+($S$5*J103))</f>
        <v/>
      </c>
      <c r="N103" s="0">
        <f>D103*A103</f>
        <v/>
      </c>
      <c r="O103" s="0">
        <f>E103*A103</f>
        <v/>
      </c>
      <c r="P103" s="0">
        <f>-K103-M103-N103-O103</f>
        <v/>
      </c>
      <c r="V103" s="0" t="n">
        <v>3.89999999999996</v>
      </c>
      <c r="W103" s="0">
        <f>V103*$S$5+$S$4</f>
        <v/>
      </c>
    </row>
    <row r="104">
      <c r="A104" s="0" t="n">
        <v>5.2480913</v>
      </c>
      <c r="B104" s="0" t="n">
        <v>0.42091</v>
      </c>
      <c r="C104" s="0">
        <f>A104*B104</f>
        <v/>
      </c>
      <c r="D104" s="0" t="n">
        <v>0.0165</v>
      </c>
      <c r="E104" s="0" t="n">
        <v>0.01413</v>
      </c>
      <c r="F104" s="0">
        <f>A104*200</f>
        <v/>
      </c>
      <c r="G104" s="0">
        <f>-B104</f>
        <v/>
      </c>
      <c r="H104" s="0">
        <f>-C104*200</f>
        <v/>
      </c>
      <c r="I104" s="0" t="n">
        <v>1</v>
      </c>
      <c r="J104" s="0">
        <f>LN(F104/1000)</f>
        <v/>
      </c>
      <c r="K104" s="0">
        <f>((-G104)-$N$2)</f>
        <v/>
      </c>
      <c r="M104" s="0">
        <f>-1*($S$4+($S$5*J104))</f>
        <v/>
      </c>
      <c r="N104" s="0">
        <f>D104*A104</f>
        <v/>
      </c>
      <c r="O104" s="0">
        <f>E104*A104</f>
        <v/>
      </c>
      <c r="P104" s="0">
        <f>-K104-M104-N104-O104</f>
        <v/>
      </c>
      <c r="V104" s="0" t="n">
        <v>3.99999999999996</v>
      </c>
      <c r="W104" s="0">
        <f>V104*$S$5+$S$4</f>
        <v/>
      </c>
    </row>
    <row r="105">
      <c r="A105" s="0" t="n">
        <v>5.298501</v>
      </c>
      <c r="B105" s="0" t="n">
        <v>0.41714</v>
      </c>
      <c r="C105" s="0">
        <f>A105*B105</f>
        <v/>
      </c>
      <c r="D105" s="0" t="n">
        <v>0.0165</v>
      </c>
      <c r="E105" s="0" t="n">
        <v>0.01413</v>
      </c>
      <c r="F105" s="0">
        <f>A105*200</f>
        <v/>
      </c>
      <c r="G105" s="0">
        <f>-B105</f>
        <v/>
      </c>
      <c r="H105" s="0">
        <f>-C105*200</f>
        <v/>
      </c>
      <c r="I105" s="0" t="n">
        <v>1</v>
      </c>
      <c r="J105" s="0">
        <f>LN(F105/1000)</f>
        <v/>
      </c>
      <c r="K105" s="0">
        <f>((-G105)-$N$2)</f>
        <v/>
      </c>
      <c r="M105" s="0">
        <f>-1*($S$4+($S$5*J105))</f>
        <v/>
      </c>
      <c r="N105" s="0">
        <f>D105*A105</f>
        <v/>
      </c>
      <c r="O105" s="0">
        <f>E105*A105</f>
        <v/>
      </c>
      <c r="P105" s="0">
        <f>-K105-M105-N105-O105</f>
        <v/>
      </c>
      <c r="V105" s="0" t="n">
        <v>4.1</v>
      </c>
      <c r="W105" s="0">
        <f>V105*$S$5+$S$4</f>
        <v/>
      </c>
    </row>
    <row r="106">
      <c r="A106" s="0" t="n">
        <v>5.3494194</v>
      </c>
      <c r="B106" s="0" t="n">
        <v>0.41363</v>
      </c>
      <c r="C106" s="0">
        <f>A106*B106</f>
        <v/>
      </c>
      <c r="D106" s="0" t="n">
        <v>0.0165</v>
      </c>
      <c r="E106" s="0" t="n">
        <v>0.01413</v>
      </c>
      <c r="F106" s="0">
        <f>A106*200</f>
        <v/>
      </c>
      <c r="G106" s="0">
        <f>-B106</f>
        <v/>
      </c>
      <c r="H106" s="0">
        <f>-C106*200</f>
        <v/>
      </c>
      <c r="I106" s="0" t="n">
        <v>1</v>
      </c>
      <c r="J106" s="0">
        <f>LN(F106/1000)</f>
        <v/>
      </c>
      <c r="K106" s="0">
        <f>((-G106)-$N$2)</f>
        <v/>
      </c>
      <c r="M106" s="0">
        <f>-1*($S$4+($S$5*J106))</f>
        <v/>
      </c>
      <c r="N106" s="0">
        <f>D106*A106</f>
        <v/>
      </c>
      <c r="O106" s="0">
        <f>E106*A106</f>
        <v/>
      </c>
      <c r="P106" s="0">
        <f>-K106-M106-N106-O106</f>
        <v/>
      </c>
      <c r="V106" s="0" t="n">
        <v>4.2</v>
      </c>
      <c r="W106" s="0">
        <f>V106*$S$5+$S$4</f>
        <v/>
      </c>
    </row>
    <row r="107">
      <c r="A107" s="0" t="n">
        <v>5.401356</v>
      </c>
      <c r="B107" s="0" t="n">
        <v>0.40974</v>
      </c>
      <c r="C107" s="0">
        <f>A107*B107</f>
        <v/>
      </c>
      <c r="D107" s="0" t="n">
        <v>0.0165</v>
      </c>
      <c r="E107" s="0" t="n">
        <v>0.01413</v>
      </c>
      <c r="F107" s="0">
        <f>A107*200</f>
        <v/>
      </c>
      <c r="G107" s="0">
        <f>-B107</f>
        <v/>
      </c>
      <c r="H107" s="0">
        <f>-C107*200</f>
        <v/>
      </c>
      <c r="I107" s="0" t="n">
        <v>1</v>
      </c>
      <c r="J107" s="0">
        <f>LN(F107/1000)</f>
        <v/>
      </c>
      <c r="K107" s="0">
        <f>((-G107)-$N$2)</f>
        <v/>
      </c>
      <c r="M107" s="0">
        <f>-1*($S$4+($S$5*J107))</f>
        <v/>
      </c>
      <c r="N107" s="0">
        <f>D107*A107</f>
        <v/>
      </c>
      <c r="O107" s="0">
        <f>E107*A107</f>
        <v/>
      </c>
      <c r="P107" s="0">
        <f>-K107-M107-N107-O107</f>
        <v/>
      </c>
      <c r="V107" s="0" t="n">
        <v>4.3</v>
      </c>
      <c r="W107" s="0">
        <f>V107*$S$5+$S$4</f>
        <v/>
      </c>
    </row>
    <row r="108">
      <c r="A108" s="0" t="n">
        <v>5.4573657</v>
      </c>
      <c r="B108" s="0" t="n">
        <v>0.40599</v>
      </c>
      <c r="C108" s="0">
        <f>A108*B108</f>
        <v/>
      </c>
      <c r="D108" s="0" t="n">
        <v>0.0165</v>
      </c>
      <c r="E108" s="0" t="n">
        <v>0.01413</v>
      </c>
      <c r="F108" s="0">
        <f>A108*200</f>
        <v/>
      </c>
      <c r="G108" s="0">
        <f>-B108</f>
        <v/>
      </c>
      <c r="H108" s="0">
        <f>-C108*200</f>
        <v/>
      </c>
      <c r="I108" s="0" t="n">
        <v>1</v>
      </c>
      <c r="J108" s="0">
        <f>LN(F108/1000)</f>
        <v/>
      </c>
      <c r="K108" s="0">
        <f>((-G108)-$N$2)</f>
        <v/>
      </c>
      <c r="M108" s="0">
        <f>-1*($S$4+($S$5*J108))</f>
        <v/>
      </c>
      <c r="N108" s="0">
        <f>D108*A108</f>
        <v/>
      </c>
      <c r="O108" s="0">
        <f>E108*A108</f>
        <v/>
      </c>
      <c r="P108" s="0">
        <f>-K108-M108-N108-O108</f>
        <v/>
      </c>
      <c r="V108" s="0" t="n">
        <v>4.4</v>
      </c>
      <c r="W108" s="0">
        <f>V108*$S$5+$S$4</f>
        <v/>
      </c>
    </row>
    <row r="109">
      <c r="A109" s="0" t="n">
        <v>5.5077754</v>
      </c>
      <c r="B109" s="0" t="n">
        <v>0.40191</v>
      </c>
      <c r="C109" s="0">
        <f>A109*B109</f>
        <v/>
      </c>
      <c r="D109" s="0" t="n">
        <v>0.0165</v>
      </c>
      <c r="E109" s="0" t="n">
        <v>0.01413</v>
      </c>
      <c r="F109" s="0">
        <f>A109*200</f>
        <v/>
      </c>
      <c r="G109" s="0">
        <f>-B109</f>
        <v/>
      </c>
      <c r="H109" s="0">
        <f>-C109*200</f>
        <v/>
      </c>
      <c r="I109" s="0" t="n">
        <v>1</v>
      </c>
      <c r="J109" s="0">
        <f>LN(F109/1000)</f>
        <v/>
      </c>
      <c r="K109" s="0">
        <f>((-G109)-$N$2)</f>
        <v/>
      </c>
      <c r="M109" s="0">
        <f>-1*($S$4+($S$5*J109))</f>
        <v/>
      </c>
      <c r="N109" s="0">
        <f>D109*A109</f>
        <v/>
      </c>
      <c r="O109" s="0">
        <f>E109*A109</f>
        <v/>
      </c>
      <c r="P109" s="0">
        <f>-K109-M109-N109-O109</f>
        <v/>
      </c>
      <c r="V109" s="0" t="n">
        <v>4.5</v>
      </c>
      <c r="W109" s="0">
        <f>V109*$S$5+$S$4</f>
        <v/>
      </c>
    </row>
    <row r="110">
      <c r="A110" s="0" t="n">
        <v>5.5592026</v>
      </c>
      <c r="B110" s="0" t="n">
        <v>0.3979</v>
      </c>
      <c r="C110" s="0">
        <f>A110*B110</f>
        <v/>
      </c>
      <c r="D110" s="0" t="n">
        <v>0.0165</v>
      </c>
      <c r="E110" s="0" t="n">
        <v>0.01413</v>
      </c>
      <c r="F110" s="0">
        <f>A110*200</f>
        <v/>
      </c>
      <c r="G110" s="0">
        <f>-B110</f>
        <v/>
      </c>
      <c r="H110" s="0">
        <f>-C110*200</f>
        <v/>
      </c>
      <c r="I110" s="0" t="n">
        <v>1</v>
      </c>
      <c r="J110" s="0">
        <f>LN(F110/1000)</f>
        <v/>
      </c>
      <c r="K110" s="0">
        <f>((-G110)-$N$2)</f>
        <v/>
      </c>
      <c r="M110" s="0">
        <f>-1*($S$4+($S$5*J110))</f>
        <v/>
      </c>
      <c r="N110" s="0">
        <f>D110*A110</f>
        <v/>
      </c>
      <c r="O110" s="0">
        <f>E110*A110</f>
        <v/>
      </c>
      <c r="P110" s="0">
        <f>-K110-M110-N110-O110</f>
        <v/>
      </c>
      <c r="V110" s="0" t="n">
        <v>4.6</v>
      </c>
      <c r="W110" s="0">
        <f>V110*$S$5+$S$4</f>
        <v/>
      </c>
    </row>
    <row r="111">
      <c r="A111" s="0" t="n">
        <v>5.6106304</v>
      </c>
      <c r="B111" s="0" t="n">
        <v>0.39433</v>
      </c>
      <c r="C111" s="0">
        <f>A111*B111</f>
        <v/>
      </c>
      <c r="D111" s="0" t="n">
        <v>0.0165</v>
      </c>
      <c r="E111" s="0" t="n">
        <v>0.01413</v>
      </c>
      <c r="F111" s="0">
        <f>A111*200</f>
        <v/>
      </c>
      <c r="G111" s="0">
        <f>-B111</f>
        <v/>
      </c>
      <c r="H111" s="0">
        <f>-C111*200</f>
        <v/>
      </c>
      <c r="I111" s="0" t="n">
        <v>1</v>
      </c>
      <c r="J111" s="0">
        <f>LN(F111/1000)</f>
        <v/>
      </c>
      <c r="K111" s="0">
        <f>((-G111)-$N$2)</f>
        <v/>
      </c>
      <c r="M111" s="0">
        <f>-1*($S$4+($S$5*J111))</f>
        <v/>
      </c>
      <c r="N111" s="0">
        <f>D111*A111</f>
        <v/>
      </c>
      <c r="O111" s="0">
        <f>E111*A111</f>
        <v/>
      </c>
      <c r="P111" s="0">
        <f>-K111-M111-N111-O111</f>
        <v/>
      </c>
      <c r="V111" s="0" t="n">
        <v>4.7</v>
      </c>
      <c r="W111" s="0">
        <f>V111*$S$5+$S$4</f>
        <v/>
      </c>
    </row>
    <row r="112">
      <c r="A112" s="0" t="n">
        <v>5.6640942</v>
      </c>
      <c r="B112" s="0" t="n">
        <v>0.39007</v>
      </c>
      <c r="C112" s="0">
        <f>A112*B112</f>
        <v/>
      </c>
      <c r="D112" s="0" t="n">
        <v>0.0165</v>
      </c>
      <c r="E112" s="0" t="n">
        <v>0.01413</v>
      </c>
      <c r="F112" s="0">
        <f>A112*200</f>
        <v/>
      </c>
      <c r="G112" s="0">
        <f>-B112</f>
        <v/>
      </c>
      <c r="H112" s="0">
        <f>-C112*200</f>
        <v/>
      </c>
      <c r="I112" s="0" t="n">
        <v>1</v>
      </c>
      <c r="J112" s="0">
        <f>LN(F112/1000)</f>
        <v/>
      </c>
      <c r="K112" s="0">
        <f>((-G112)-$N$2)</f>
        <v/>
      </c>
      <c r="M112" s="0">
        <f>-1*($S$4+($S$5*J112))</f>
        <v/>
      </c>
      <c r="N112" s="0">
        <f>D112*A112</f>
        <v/>
      </c>
      <c r="O112" s="0">
        <f>E112*A112</f>
        <v/>
      </c>
      <c r="P112" s="0">
        <f>-K112-M112-N112-O112</f>
        <v/>
      </c>
      <c r="V112" s="0" t="n">
        <v>4.8</v>
      </c>
      <c r="W112" s="0">
        <f>V112*$S$5+$S$4</f>
        <v/>
      </c>
    </row>
    <row r="113">
      <c r="A113" s="0" t="n">
        <v>5.7145039</v>
      </c>
      <c r="B113" s="0" t="n">
        <v>0.38602</v>
      </c>
      <c r="C113" s="0">
        <f>A113*B113</f>
        <v/>
      </c>
      <c r="D113" s="0" t="n">
        <v>0.0165</v>
      </c>
      <c r="E113" s="0" t="n">
        <v>0.01413</v>
      </c>
      <c r="F113" s="0">
        <f>A113*200</f>
        <v/>
      </c>
      <c r="G113" s="0">
        <f>-B113</f>
        <v/>
      </c>
      <c r="H113" s="0">
        <f>-C113*200</f>
        <v/>
      </c>
      <c r="I113" s="0" t="n">
        <v>1</v>
      </c>
      <c r="J113" s="0">
        <f>LN(F113/1000)</f>
        <v/>
      </c>
      <c r="K113" s="0">
        <f>((-G113)-$N$2)</f>
        <v/>
      </c>
      <c r="M113" s="0">
        <f>-1*($S$4+($S$5*J113))</f>
        <v/>
      </c>
      <c r="N113" s="0">
        <f>D113*A113</f>
        <v/>
      </c>
      <c r="O113" s="0">
        <f>E113*A113</f>
        <v/>
      </c>
      <c r="P113" s="0">
        <f>-K113-M113-N113-O113</f>
        <v/>
      </c>
      <c r="V113" s="0" t="n">
        <v>4.9</v>
      </c>
      <c r="W113" s="0">
        <f>V113*$S$5+$S$4</f>
        <v/>
      </c>
    </row>
    <row r="114">
      <c r="A114" s="0" t="n">
        <v>5.7664404</v>
      </c>
      <c r="B114" s="0" t="n">
        <v>0.38192</v>
      </c>
      <c r="C114" s="0">
        <f>A114*B114</f>
        <v/>
      </c>
      <c r="D114" s="0" t="n">
        <v>0.0165</v>
      </c>
      <c r="E114" s="0" t="n">
        <v>0.01413</v>
      </c>
      <c r="F114" s="0">
        <f>A114*200</f>
        <v/>
      </c>
      <c r="G114" s="0">
        <f>-B114</f>
        <v/>
      </c>
      <c r="H114" s="0">
        <f>-C114*200</f>
        <v/>
      </c>
      <c r="I114" s="0" t="n">
        <v>1</v>
      </c>
      <c r="J114" s="0">
        <f>LN(F114/1000)</f>
        <v/>
      </c>
      <c r="K114" s="0">
        <f>((-G114)-$N$2)</f>
        <v/>
      </c>
      <c r="M114" s="0">
        <f>-1*($S$4+($S$5*J114))</f>
        <v/>
      </c>
      <c r="N114" s="0">
        <f>D114*A114</f>
        <v/>
      </c>
      <c r="O114" s="0">
        <f>E114*A114</f>
        <v/>
      </c>
      <c r="P114" s="0">
        <f>-K114-M114-N114-O114</f>
        <v/>
      </c>
      <c r="V114" s="0" t="n">
        <v>5</v>
      </c>
      <c r="W114" s="0">
        <f>V114*$S$5+$S$4</f>
        <v/>
      </c>
    </row>
    <row r="115">
      <c r="A115" s="0" t="n">
        <v>5.8168496</v>
      </c>
      <c r="B115" s="0" t="n">
        <v>0.37841</v>
      </c>
      <c r="C115" s="0">
        <f>A115*B115</f>
        <v/>
      </c>
      <c r="D115" s="0" t="n">
        <v>0.0165</v>
      </c>
      <c r="E115" s="0" t="n">
        <v>0.01413</v>
      </c>
      <c r="F115" s="0">
        <f>A115*200</f>
        <v/>
      </c>
      <c r="G115" s="0">
        <f>-B115</f>
        <v/>
      </c>
      <c r="H115" s="0">
        <f>-C115*200</f>
        <v/>
      </c>
      <c r="I115" s="0" t="n">
        <v>1</v>
      </c>
      <c r="J115" s="0">
        <f>LN(F115/1000)</f>
        <v/>
      </c>
      <c r="K115" s="0">
        <f>((-G115)-$N$2)</f>
        <v/>
      </c>
      <c r="M115" s="0">
        <f>-1*($S$4+($S$5*J115))</f>
        <v/>
      </c>
      <c r="N115" s="0">
        <f>D115*A115</f>
        <v/>
      </c>
      <c r="O115" s="0">
        <f>E115*A115</f>
        <v/>
      </c>
      <c r="P115" s="0">
        <f>-K115-M115-N115-O115</f>
        <v/>
      </c>
      <c r="V115" s="0" t="n">
        <v>5.1</v>
      </c>
      <c r="W115" s="0">
        <f>V115*$S$5+$S$4</f>
        <v/>
      </c>
    </row>
    <row r="116">
      <c r="A116" s="0" t="n">
        <v>5.8672588</v>
      </c>
      <c r="B116" s="0" t="n">
        <v>0.37483</v>
      </c>
      <c r="C116" s="0">
        <f>A116*B116</f>
        <v/>
      </c>
      <c r="D116" s="0" t="n">
        <v>0.0165</v>
      </c>
      <c r="E116" s="0" t="n">
        <v>0.01413</v>
      </c>
      <c r="F116" s="0">
        <f>A116*200</f>
        <v/>
      </c>
      <c r="G116" s="0">
        <f>-B116</f>
        <v/>
      </c>
      <c r="H116" s="0">
        <f>-C116*200</f>
        <v/>
      </c>
      <c r="I116" s="0" t="n">
        <v>1</v>
      </c>
      <c r="J116" s="0">
        <f>LN(F116/1000)</f>
        <v/>
      </c>
      <c r="K116" s="0">
        <f>((-G116)-$N$2)</f>
        <v/>
      </c>
      <c r="M116" s="0">
        <f>-1*($S$4+($S$5*J116))</f>
        <v/>
      </c>
      <c r="N116" s="0">
        <f>D116*A116</f>
        <v/>
      </c>
      <c r="O116" s="0">
        <f>E116*A116</f>
        <v/>
      </c>
      <c r="P116" s="0">
        <f>-K116-M116-N116-O116</f>
        <v/>
      </c>
      <c r="V116" s="0" t="n">
        <v>5.2</v>
      </c>
      <c r="W116" s="0">
        <f>V116*$S$5+$S$4</f>
        <v/>
      </c>
    </row>
    <row r="117">
      <c r="A117" s="0" t="n">
        <v>5.9207227</v>
      </c>
      <c r="B117" s="0" t="n">
        <v>0.37006</v>
      </c>
      <c r="C117" s="0">
        <f>A117*B117</f>
        <v/>
      </c>
      <c r="D117" s="0" t="n">
        <v>0.0165</v>
      </c>
      <c r="E117" s="0" t="n">
        <v>0.01413</v>
      </c>
      <c r="F117" s="0">
        <f>A117*200</f>
        <v/>
      </c>
      <c r="G117" s="0">
        <f>-B117</f>
        <v/>
      </c>
      <c r="H117" s="0">
        <f>-C117*200</f>
        <v/>
      </c>
      <c r="I117" s="0" t="n">
        <v>1</v>
      </c>
      <c r="J117" s="0">
        <f>LN(F117/1000)</f>
        <v/>
      </c>
      <c r="K117" s="0">
        <f>((-G117)-$N$2)</f>
        <v/>
      </c>
      <c r="M117" s="0">
        <f>-1*($S$4+($S$5*J117))</f>
        <v/>
      </c>
      <c r="N117" s="0">
        <f>D117*A117</f>
        <v/>
      </c>
      <c r="O117" s="0">
        <f>E117*A117</f>
        <v/>
      </c>
      <c r="P117" s="0">
        <f>-K117-M117-N117-O117</f>
        <v/>
      </c>
      <c r="V117" s="0" t="n">
        <v>5.3</v>
      </c>
      <c r="W117" s="0">
        <f>V117*$S$5+$S$4</f>
        <v/>
      </c>
    </row>
    <row r="118">
      <c r="A118" s="0" t="n">
        <v>5.9752056</v>
      </c>
      <c r="B118" s="0" t="n">
        <v>0.36586</v>
      </c>
      <c r="C118" s="0">
        <f>A118*B118</f>
        <v/>
      </c>
      <c r="D118" s="0" t="n">
        <v>0.0165</v>
      </c>
      <c r="E118" s="0" t="n">
        <v>0.01413</v>
      </c>
      <c r="F118" s="0">
        <f>A118*200</f>
        <v/>
      </c>
      <c r="G118" s="0">
        <f>-B118</f>
        <v/>
      </c>
      <c r="H118" s="0">
        <f>-C118*200</f>
        <v/>
      </c>
      <c r="I118" s="0" t="n">
        <v>1</v>
      </c>
      <c r="J118" s="0">
        <f>LN(F118/1000)</f>
        <v/>
      </c>
      <c r="K118" s="0">
        <f>((-G118)-$N$2)</f>
        <v/>
      </c>
      <c r="M118" s="0">
        <f>-1*($S$4+($S$5*J118))</f>
        <v/>
      </c>
      <c r="N118" s="0">
        <f>D118*A118</f>
        <v/>
      </c>
      <c r="O118" s="0">
        <f>E118*A118</f>
        <v/>
      </c>
      <c r="P118" s="0">
        <f>-K118-M118-N118-O118</f>
        <v/>
      </c>
      <c r="V118" s="0" t="n">
        <v>5.4</v>
      </c>
      <c r="W118" s="0">
        <f>V118*$S$5+$S$4</f>
        <v/>
      </c>
    </row>
    <row r="119">
      <c r="A119" s="0" t="n">
        <v>6.0276519</v>
      </c>
      <c r="B119" s="0" t="n">
        <v>0.36166</v>
      </c>
      <c r="C119" s="0">
        <f>A119*B119</f>
        <v/>
      </c>
      <c r="D119" s="0" t="n">
        <v>0.0165</v>
      </c>
      <c r="E119" s="0" t="n">
        <v>0.01413</v>
      </c>
      <c r="F119" s="0">
        <f>A119*200</f>
        <v/>
      </c>
      <c r="G119" s="0">
        <f>-B119</f>
        <v/>
      </c>
      <c r="H119" s="0">
        <f>-C119*200</f>
        <v/>
      </c>
      <c r="I119" s="0" t="n">
        <v>1</v>
      </c>
      <c r="J119" s="0">
        <f>LN(F119/1000)</f>
        <v/>
      </c>
      <c r="K119" s="0">
        <f>((-G119)-$N$2)</f>
        <v/>
      </c>
      <c r="M119" s="0">
        <f>-1*($S$4+($S$5*J119))</f>
        <v/>
      </c>
      <c r="N119" s="0">
        <f>D119*A119</f>
        <v/>
      </c>
      <c r="O119" s="0">
        <f>E119*A119</f>
        <v/>
      </c>
      <c r="P119" s="0">
        <f>-K119-M119-N119-O119</f>
        <v/>
      </c>
      <c r="V119" s="0" t="n">
        <v>5.5</v>
      </c>
      <c r="W119" s="0">
        <f>V119*$S$5+$S$4</f>
        <v/>
      </c>
    </row>
    <row r="120">
      <c r="A120" s="0" t="n">
        <v>6.0780605</v>
      </c>
      <c r="B120" s="0" t="n">
        <v>0.35712</v>
      </c>
      <c r="C120" s="0">
        <f>A120*B120</f>
        <v/>
      </c>
      <c r="D120" s="0" t="n">
        <v>0.0165</v>
      </c>
      <c r="E120" s="0" t="n">
        <v>0.01413</v>
      </c>
      <c r="F120" s="0">
        <f>A120*200</f>
        <v/>
      </c>
      <c r="G120" s="0">
        <f>-B120</f>
        <v/>
      </c>
      <c r="H120" s="0">
        <f>-C120*200</f>
        <v/>
      </c>
      <c r="I120" s="0" t="n">
        <v>1</v>
      </c>
      <c r="J120" s="0">
        <f>LN(F120/1000)</f>
        <v/>
      </c>
      <c r="K120" s="0">
        <f>((-G120)-$N$2)</f>
        <v/>
      </c>
      <c r="M120" s="0">
        <f>-1*($S$4+($S$5*J120))</f>
        <v/>
      </c>
      <c r="N120" s="0">
        <f>D120*A120</f>
        <v/>
      </c>
      <c r="O120" s="0">
        <f>E120*A120</f>
        <v/>
      </c>
      <c r="P120" s="0">
        <f>-K120-M120-N120-O120</f>
        <v/>
      </c>
      <c r="V120" s="0" t="n">
        <v>5.6</v>
      </c>
      <c r="W120" s="0">
        <f>V120*$S$5+$S$4</f>
        <v/>
      </c>
    </row>
    <row r="121">
      <c r="A121" s="0" t="n">
        <v>6.1294878</v>
      </c>
      <c r="B121" s="0" t="n">
        <v>0.35349</v>
      </c>
      <c r="C121" s="0">
        <f>A121*B121</f>
        <v/>
      </c>
      <c r="D121" s="0" t="n">
        <v>0.0165</v>
      </c>
      <c r="E121" s="0" t="n">
        <v>0.01413</v>
      </c>
      <c r="F121" s="0">
        <f>A121*200</f>
        <v/>
      </c>
      <c r="G121" s="0">
        <f>-B121</f>
        <v/>
      </c>
      <c r="H121" s="0">
        <f>-C121*200</f>
        <v/>
      </c>
      <c r="I121" s="0" t="n">
        <v>1</v>
      </c>
      <c r="J121" s="0">
        <f>LN(F121/1000)</f>
        <v/>
      </c>
      <c r="K121" s="0">
        <f>((-G121)-$N$2)</f>
        <v/>
      </c>
      <c r="M121" s="0">
        <f>-1*($S$4+($S$5*J121))</f>
        <v/>
      </c>
      <c r="N121" s="0">
        <f>D121*A121</f>
        <v/>
      </c>
      <c r="O121" s="0">
        <f>E121*A121</f>
        <v/>
      </c>
      <c r="P121" s="0">
        <f>-K121-M121-N121-O121</f>
        <v/>
      </c>
      <c r="V121" s="0" t="n">
        <v>5.7</v>
      </c>
      <c r="W121" s="0">
        <f>V121*$S$5+$S$4</f>
        <v/>
      </c>
    </row>
    <row r="122">
      <c r="A122" s="0" t="n">
        <v>6.1804063</v>
      </c>
      <c r="B122" s="0" t="n">
        <v>0.34816</v>
      </c>
      <c r="C122" s="0">
        <f>A122*B122</f>
        <v/>
      </c>
      <c r="D122" s="0" t="n">
        <v>0.0165</v>
      </c>
      <c r="E122" s="0" t="n">
        <v>0.01413</v>
      </c>
      <c r="F122" s="0">
        <f>A122*200</f>
        <v/>
      </c>
      <c r="G122" s="0">
        <f>-B122</f>
        <v/>
      </c>
      <c r="H122" s="0">
        <f>-C122*200</f>
        <v/>
      </c>
      <c r="I122" s="0" t="n">
        <v>1</v>
      </c>
      <c r="J122" s="0">
        <f>LN(F122/1000)</f>
        <v/>
      </c>
      <c r="K122" s="0">
        <f>((-G122)-$N$2)</f>
        <v/>
      </c>
      <c r="M122" s="0">
        <f>-1*($S$4+($S$5*J122))</f>
        <v/>
      </c>
      <c r="N122" s="0">
        <f>D122*A122</f>
        <v/>
      </c>
      <c r="O122" s="0">
        <f>E122*A122</f>
        <v/>
      </c>
      <c r="P122" s="0">
        <f>-K122-M122-N122-O122</f>
        <v/>
      </c>
      <c r="V122" s="0" t="n">
        <v>5.8</v>
      </c>
      <c r="W122" s="0">
        <f>V122*$S$5+$S$4</f>
        <v/>
      </c>
    </row>
    <row r="123">
      <c r="A123" s="0" t="n">
        <v>6.231834</v>
      </c>
      <c r="B123" s="0" t="n">
        <v>0.34431</v>
      </c>
      <c r="C123" s="0">
        <f>A123*B123</f>
        <v/>
      </c>
      <c r="D123" s="0" t="n">
        <v>0.0165</v>
      </c>
      <c r="E123" s="0" t="n">
        <v>0.01413</v>
      </c>
      <c r="F123" s="0">
        <f>A123*200</f>
        <v/>
      </c>
      <c r="G123" s="0">
        <f>-B123</f>
        <v/>
      </c>
      <c r="H123" s="0">
        <f>-C123*200</f>
        <v/>
      </c>
      <c r="I123" s="0" t="n">
        <v>1</v>
      </c>
      <c r="J123" s="0">
        <f>LN(F123/1000)</f>
        <v/>
      </c>
      <c r="K123" s="0">
        <f>((-G123)-$N$2)</f>
        <v/>
      </c>
      <c r="M123" s="0">
        <f>-1*($S$4+($S$5*J123))</f>
        <v/>
      </c>
      <c r="N123" s="0">
        <f>D123*A123</f>
        <v/>
      </c>
      <c r="O123" s="0">
        <f>E123*A123</f>
        <v/>
      </c>
      <c r="P123" s="0">
        <f>-K123-M123-N123-O123</f>
        <v/>
      </c>
      <c r="V123" s="0" t="n">
        <v>5.9</v>
      </c>
      <c r="W123" s="0">
        <f>V123*$S$5+$S$4</f>
        <v/>
      </c>
    </row>
    <row r="124">
      <c r="A124" s="0" t="n">
        <v>6.2878438</v>
      </c>
      <c r="B124" s="0" t="n">
        <v>0.33938</v>
      </c>
      <c r="C124" s="0">
        <f>A124*B124</f>
        <v/>
      </c>
      <c r="D124" s="0" t="n">
        <v>0.0165</v>
      </c>
      <c r="E124" s="0" t="n">
        <v>0.01413</v>
      </c>
      <c r="F124" s="0">
        <f>A124*200</f>
        <v/>
      </c>
      <c r="G124" s="0">
        <f>-B124</f>
        <v/>
      </c>
      <c r="H124" s="0">
        <f>-C124*200</f>
        <v/>
      </c>
      <c r="I124" s="0" t="n">
        <v>1</v>
      </c>
      <c r="J124" s="0">
        <f>LN(F124/1000)</f>
        <v/>
      </c>
      <c r="K124" s="0">
        <f>((-G124)-$N$2)</f>
        <v/>
      </c>
      <c r="M124" s="0">
        <f>-1*($S$4+($S$5*J124))</f>
        <v/>
      </c>
      <c r="N124" s="0">
        <f>D124*A124</f>
        <v/>
      </c>
      <c r="O124" s="0">
        <f>E124*A124</f>
        <v/>
      </c>
      <c r="P124" s="0">
        <f>-K124-M124-N124-O124</f>
        <v/>
      </c>
      <c r="V124" s="0" t="n">
        <v>6</v>
      </c>
      <c r="W124" s="0">
        <f>V124*$S$5+$S$4</f>
        <v/>
      </c>
    </row>
    <row r="125">
      <c r="A125" s="0" t="n">
        <v>6.3402896</v>
      </c>
      <c r="B125" s="0" t="n">
        <v>0.33489</v>
      </c>
      <c r="C125" s="0">
        <f>A125*B125</f>
        <v/>
      </c>
      <c r="D125" s="0" t="n">
        <v>0.0165</v>
      </c>
      <c r="E125" s="0" t="n">
        <v>0.01413</v>
      </c>
      <c r="F125" s="0">
        <f>A125*200</f>
        <v/>
      </c>
      <c r="G125" s="0">
        <f>-B125</f>
        <v/>
      </c>
      <c r="H125" s="0">
        <f>-C125*200</f>
        <v/>
      </c>
      <c r="I125" s="0" t="n">
        <v>1</v>
      </c>
      <c r="J125" s="0">
        <f>LN(F125/1000)</f>
        <v/>
      </c>
      <c r="K125" s="0">
        <f>((-G125)-$N$2)</f>
        <v/>
      </c>
      <c r="M125" s="0">
        <f>-1*($S$4+($S$5*J125))</f>
        <v/>
      </c>
      <c r="N125" s="0">
        <f>D125*A125</f>
        <v/>
      </c>
      <c r="O125" s="0">
        <f>E125*A125</f>
        <v/>
      </c>
      <c r="P125" s="0">
        <f>-K125-M125-N125-O125</f>
        <v/>
      </c>
      <c r="V125" s="0" t="n">
        <v>6.1</v>
      </c>
      <c r="W125" s="0">
        <f>V125*$S$5+$S$4</f>
        <v/>
      </c>
    </row>
    <row r="126">
      <c r="A126" s="0" t="n">
        <v>6.3917173</v>
      </c>
      <c r="B126" s="0" t="n">
        <v>0.33002</v>
      </c>
      <c r="C126" s="0">
        <f>A126*B126</f>
        <v/>
      </c>
      <c r="D126" s="0" t="n">
        <v>0.0165</v>
      </c>
      <c r="E126" s="0" t="n">
        <v>0.01413</v>
      </c>
      <c r="F126" s="0">
        <f>A126*200</f>
        <v/>
      </c>
      <c r="G126" s="0">
        <f>-B126</f>
        <v/>
      </c>
      <c r="H126" s="0">
        <f>-C126*200</f>
        <v/>
      </c>
      <c r="I126" s="0" t="n">
        <v>1</v>
      </c>
      <c r="J126" s="0">
        <f>LN(F126/1000)</f>
        <v/>
      </c>
      <c r="K126" s="0">
        <f>((-G126)-$N$2)</f>
        <v/>
      </c>
      <c r="M126" s="0">
        <f>-1*($S$4+($S$5*J126))</f>
        <v/>
      </c>
      <c r="N126" s="0">
        <f>D126*A126</f>
        <v/>
      </c>
      <c r="O126" s="0">
        <f>E126*A126</f>
        <v/>
      </c>
      <c r="P126" s="0">
        <f>-K126-M126-N126-O126</f>
        <v/>
      </c>
      <c r="V126" s="0" t="n">
        <v>6.2</v>
      </c>
      <c r="W126" s="0">
        <f>V126*$S$5+$S$4</f>
        <v/>
      </c>
    </row>
    <row r="127">
      <c r="A127" s="0" t="n">
        <v>6.443145</v>
      </c>
      <c r="B127" s="0" t="n">
        <v>0.32544</v>
      </c>
      <c r="C127" s="0">
        <f>A127*B127</f>
        <v/>
      </c>
      <c r="D127" s="0" t="n">
        <v>0.0165</v>
      </c>
      <c r="E127" s="0" t="n">
        <v>0.01413</v>
      </c>
      <c r="F127" s="0">
        <f>A127*200</f>
        <v/>
      </c>
      <c r="G127" s="0">
        <f>-B127</f>
        <v/>
      </c>
      <c r="H127" s="0">
        <f>-C127*200</f>
        <v/>
      </c>
      <c r="I127" s="0" t="n">
        <v>1</v>
      </c>
      <c r="J127" s="0">
        <f>LN(F127/1000)</f>
        <v/>
      </c>
      <c r="K127" s="0">
        <f>((-G127)-$N$2)</f>
        <v/>
      </c>
      <c r="M127" s="0">
        <f>-1*($S$4+($S$5*J127))</f>
        <v/>
      </c>
      <c r="N127" s="0">
        <f>D127*A127</f>
        <v/>
      </c>
      <c r="O127" s="0">
        <f>E127*A127</f>
        <v/>
      </c>
      <c r="P127" s="0">
        <f>-K127-M127-N127-O127</f>
        <v/>
      </c>
    </row>
    <row r="128">
      <c r="A128" s="0" t="n">
        <v>6.4935537</v>
      </c>
      <c r="B128" s="0" t="n">
        <v>0.32061</v>
      </c>
      <c r="C128" s="0">
        <f>A128*B128</f>
        <v/>
      </c>
      <c r="D128" s="0" t="n">
        <v>0.0165</v>
      </c>
      <c r="E128" s="0" t="n">
        <v>0.01413</v>
      </c>
      <c r="F128" s="0">
        <f>A128*200</f>
        <v/>
      </c>
      <c r="G128" s="0">
        <f>-B128</f>
        <v/>
      </c>
      <c r="H128" s="0">
        <f>-C128*200</f>
        <v/>
      </c>
      <c r="I128" s="0" t="n">
        <v>1</v>
      </c>
      <c r="J128" s="0">
        <f>LN(F128/1000)</f>
        <v/>
      </c>
      <c r="K128" s="0">
        <f>((-G128)-$N$2)</f>
        <v/>
      </c>
      <c r="M128" s="0">
        <f>-1*($S$4+($S$5*J128))</f>
        <v/>
      </c>
      <c r="N128" s="0">
        <f>D128*A128</f>
        <v/>
      </c>
      <c r="O128" s="0">
        <f>E128*A128</f>
        <v/>
      </c>
      <c r="P128" s="0">
        <f>-K128-M128-N128-O128</f>
        <v/>
      </c>
    </row>
    <row r="129">
      <c r="A129" s="0" t="n">
        <v>6.546</v>
      </c>
      <c r="B129" s="0" t="n">
        <v>0.31597</v>
      </c>
      <c r="C129" s="0">
        <f>A129*B129</f>
        <v/>
      </c>
      <c r="D129" s="0" t="n">
        <v>0.0165</v>
      </c>
      <c r="E129" s="0" t="n">
        <v>0.01413</v>
      </c>
      <c r="F129" s="0">
        <f>A129*200</f>
        <v/>
      </c>
      <c r="G129" s="0">
        <f>-B129</f>
        <v/>
      </c>
      <c r="H129" s="0">
        <f>-C129*200</f>
        <v/>
      </c>
      <c r="I129" s="0" t="n">
        <v>1</v>
      </c>
      <c r="J129" s="0">
        <f>LN(F129/1000)</f>
        <v/>
      </c>
      <c r="K129" s="0">
        <f>((-G129)-$N$2)</f>
        <v/>
      </c>
      <c r="M129" s="0">
        <f>-1*($S$4+($S$5*J129))</f>
        <v/>
      </c>
      <c r="N129" s="0">
        <f>D129*A129</f>
        <v/>
      </c>
      <c r="O129" s="0">
        <f>E129*A129</f>
        <v/>
      </c>
      <c r="P129" s="0">
        <f>-K129-M129-N129-O129</f>
        <v/>
      </c>
    </row>
    <row r="130">
      <c r="A130" s="0" t="n">
        <v>6.596918</v>
      </c>
      <c r="B130" s="0" t="n">
        <v>0.31011</v>
      </c>
      <c r="C130" s="0">
        <f>A130*B130</f>
        <v/>
      </c>
      <c r="D130" s="0" t="n">
        <v>0.0165</v>
      </c>
      <c r="E130" s="0" t="n">
        <v>0.01413</v>
      </c>
      <c r="F130" s="0">
        <f>A130*200</f>
        <v/>
      </c>
      <c r="G130" s="0">
        <f>-B130</f>
        <v/>
      </c>
      <c r="H130" s="0">
        <f>-C130*200</f>
        <v/>
      </c>
      <c r="I130" s="0" t="n">
        <v>1</v>
      </c>
      <c r="J130" s="0">
        <f>LN(F130/1000)</f>
        <v/>
      </c>
      <c r="K130" s="0">
        <f>((-G130)-$N$2)</f>
        <v/>
      </c>
      <c r="M130" s="0">
        <f>-1*($S$4+($S$5*J130))</f>
        <v/>
      </c>
      <c r="N130" s="0">
        <f>D130*A130</f>
        <v/>
      </c>
      <c r="O130" s="0">
        <f>E130*A130</f>
        <v/>
      </c>
      <c r="P130" s="0">
        <f>-K130-M130-N130-O130</f>
        <v/>
      </c>
    </row>
    <row r="131">
      <c r="A131" s="0" t="n">
        <v>6.6478364</v>
      </c>
      <c r="B131" s="0" t="n">
        <v>0.30583</v>
      </c>
      <c r="C131" s="0">
        <f>A131*B131</f>
        <v/>
      </c>
      <c r="D131" s="0" t="n">
        <v>0.0165</v>
      </c>
      <c r="E131" s="0" t="n">
        <v>0.01413</v>
      </c>
      <c r="F131" s="0">
        <f>A131*200</f>
        <v/>
      </c>
      <c r="G131" s="0">
        <f>-B131</f>
        <v/>
      </c>
      <c r="H131" s="0">
        <f>-C131*200</f>
        <v/>
      </c>
      <c r="I131" s="0" t="n">
        <v>1</v>
      </c>
      <c r="J131" s="0">
        <f>LN(F131/1000)</f>
        <v/>
      </c>
      <c r="K131" s="0">
        <f>((-G131)-$N$2)</f>
        <v/>
      </c>
      <c r="M131" s="0">
        <f>-1*($S$4+($S$5*J131))</f>
        <v/>
      </c>
      <c r="N131" s="0">
        <f>D131*A131</f>
        <v/>
      </c>
      <c r="O131" s="0">
        <f>E131*A131</f>
        <v/>
      </c>
      <c r="P131" s="0">
        <f>-K131-M131-N131-O131</f>
        <v/>
      </c>
    </row>
    <row r="132">
      <c r="A132" s="0" t="n">
        <v>6.6992637</v>
      </c>
      <c r="B132" s="0" t="n">
        <v>0.30096</v>
      </c>
      <c r="C132" s="0">
        <f>A132*B132</f>
        <v/>
      </c>
      <c r="D132" s="0" t="n">
        <v>0.0165</v>
      </c>
      <c r="E132" s="0" t="n">
        <v>0.01413</v>
      </c>
      <c r="F132" s="0">
        <f>A132*200</f>
        <v/>
      </c>
      <c r="G132" s="0">
        <f>-B132</f>
        <v/>
      </c>
      <c r="H132" s="0">
        <f>-C132*200</f>
        <v/>
      </c>
      <c r="I132" s="0" t="n">
        <v>1</v>
      </c>
      <c r="J132" s="0">
        <f>LN(F132/1000)</f>
        <v/>
      </c>
      <c r="K132" s="0">
        <f>((-G132)-$N$2)</f>
        <v/>
      </c>
      <c r="M132" s="0">
        <f>-1*($S$4+($S$5*J132))</f>
        <v/>
      </c>
      <c r="N132" s="0">
        <f>D132*A132</f>
        <v/>
      </c>
      <c r="O132" s="0">
        <f>E132*A132</f>
        <v/>
      </c>
      <c r="P132" s="0">
        <f>-K132-M132-N132-O132</f>
        <v/>
      </c>
    </row>
    <row r="133">
      <c r="A133" s="0" t="n">
        <v>6.7506919</v>
      </c>
      <c r="B133" s="0" t="n">
        <v>0.29612</v>
      </c>
      <c r="C133" s="0">
        <f>A133*B133</f>
        <v/>
      </c>
      <c r="D133" s="0" t="n">
        <v>0.0165</v>
      </c>
      <c r="E133" s="0" t="n">
        <v>0.01413</v>
      </c>
      <c r="F133" s="0">
        <f>A133*200</f>
        <v/>
      </c>
      <c r="G133" s="0">
        <f>-B133</f>
        <v/>
      </c>
      <c r="H133" s="0">
        <f>-C133*200</f>
        <v/>
      </c>
      <c r="I133" s="0" t="n">
        <v>1</v>
      </c>
      <c r="J133" s="0">
        <f>LN(F133/1000)</f>
        <v/>
      </c>
      <c r="K133" s="0">
        <f>((-G133)-$N$2)</f>
        <v/>
      </c>
      <c r="M133" s="0">
        <f>-1*($S$4+($S$5*J133))</f>
        <v/>
      </c>
      <c r="N133" s="0">
        <f>D133*A133</f>
        <v/>
      </c>
      <c r="O133" s="0">
        <f>E133*A133</f>
        <v/>
      </c>
      <c r="P133" s="0">
        <f>-K133-M133-N133-O133</f>
        <v/>
      </c>
    </row>
    <row r="134">
      <c r="A134" s="0" t="n">
        <v>6.8011006</v>
      </c>
      <c r="B134" s="0" t="n">
        <v>0.29111</v>
      </c>
      <c r="C134" s="0">
        <f>A134*B134</f>
        <v/>
      </c>
      <c r="D134" s="0" t="n">
        <v>0.0165</v>
      </c>
      <c r="E134" s="0" t="n">
        <v>0.01413</v>
      </c>
      <c r="F134" s="0">
        <f>A134*200</f>
        <v/>
      </c>
      <c r="G134" s="0">
        <f>-B134</f>
        <v/>
      </c>
      <c r="H134" s="0">
        <f>-C134*200</f>
        <v/>
      </c>
      <c r="I134" s="0" t="n">
        <v>1</v>
      </c>
      <c r="J134" s="0">
        <f>LN(F134/1000)</f>
        <v/>
      </c>
      <c r="K134" s="0">
        <f>((-G134)-$N$2)</f>
        <v/>
      </c>
      <c r="M134" s="0">
        <f>-1*($S$4+($S$5*J134))</f>
        <v/>
      </c>
      <c r="N134" s="0">
        <f>D134*A134</f>
        <v/>
      </c>
      <c r="O134" s="0">
        <f>E134*A134</f>
        <v/>
      </c>
      <c r="P134" s="0">
        <f>-K134-M134-N134-O134</f>
        <v/>
      </c>
    </row>
    <row r="135">
      <c r="A135" s="0" t="n">
        <v>6.8520186</v>
      </c>
      <c r="B135" s="0" t="n">
        <v>0.28601</v>
      </c>
      <c r="C135" s="0">
        <f>A135*B135</f>
        <v/>
      </c>
      <c r="D135" s="0" t="n">
        <v>0.0165</v>
      </c>
      <c r="E135" s="0" t="n">
        <v>0.01413</v>
      </c>
      <c r="F135" s="0">
        <f>A135*200</f>
        <v/>
      </c>
      <c r="G135" s="0">
        <f>-B135</f>
        <v/>
      </c>
      <c r="H135" s="0">
        <f>-C135*200</f>
        <v/>
      </c>
      <c r="I135" s="0" t="n">
        <v>1</v>
      </c>
      <c r="J135" s="0">
        <f>LN(F135/1000)</f>
        <v/>
      </c>
      <c r="K135" s="0">
        <f>((-G135)-$N$2)</f>
        <v/>
      </c>
      <c r="M135" s="0">
        <f>-1*($S$4+($S$5*J135))</f>
        <v/>
      </c>
      <c r="N135" s="0">
        <f>D135*A135</f>
        <v/>
      </c>
      <c r="O135" s="0">
        <f>E135*A135</f>
        <v/>
      </c>
      <c r="P135" s="0">
        <f>-K135-M135-N135-O135</f>
        <v/>
      </c>
    </row>
    <row r="136">
      <c r="A136" s="0" t="n">
        <v>6.9049741</v>
      </c>
      <c r="B136" s="0" t="n">
        <v>0.28086</v>
      </c>
      <c r="C136" s="0">
        <f>A136*B136</f>
        <v/>
      </c>
      <c r="D136" s="0" t="n">
        <v>0.0165</v>
      </c>
      <c r="E136" s="0" t="n">
        <v>0.01413</v>
      </c>
      <c r="F136" s="0">
        <f>A136*200</f>
        <v/>
      </c>
      <c r="G136" s="0">
        <f>-B136</f>
        <v/>
      </c>
      <c r="H136" s="0">
        <f>-C136*200</f>
        <v/>
      </c>
      <c r="I136" s="0" t="n">
        <v>1</v>
      </c>
      <c r="J136" s="0">
        <f>LN(F136/1000)</f>
        <v/>
      </c>
      <c r="K136" s="0">
        <f>((-G136)-$N$2)</f>
        <v/>
      </c>
      <c r="M136" s="0">
        <f>-1*($S$4+($S$5*J136))</f>
        <v/>
      </c>
      <c r="N136" s="0">
        <f>D136*A136</f>
        <v/>
      </c>
      <c r="O136" s="0">
        <f>E136*A136</f>
        <v/>
      </c>
      <c r="P136" s="0">
        <f>-K136-M136-N136-O136</f>
        <v/>
      </c>
    </row>
    <row r="137">
      <c r="A137" s="0" t="n">
        <v>6.9564019</v>
      </c>
      <c r="B137" s="0" t="n">
        <v>0.27523</v>
      </c>
      <c r="C137" s="0">
        <f>A137*B137</f>
        <v/>
      </c>
      <c r="D137" s="0" t="n">
        <v>0.0165</v>
      </c>
      <c r="E137" s="0" t="n">
        <v>0.01413</v>
      </c>
      <c r="F137" s="0">
        <f>A137*200</f>
        <v/>
      </c>
      <c r="G137" s="0">
        <f>-B137</f>
        <v/>
      </c>
      <c r="H137" s="0">
        <f>-C137*200</f>
        <v/>
      </c>
      <c r="I137" s="0" t="n">
        <v>1</v>
      </c>
      <c r="J137" s="0">
        <f>LN(F137/1000)</f>
        <v/>
      </c>
      <c r="K137" s="0">
        <f>((-G137)-$N$2)</f>
        <v/>
      </c>
      <c r="M137" s="0">
        <f>-1*($S$4+($S$5*J137))</f>
        <v/>
      </c>
      <c r="N137" s="0">
        <f>D137*A137</f>
        <v/>
      </c>
      <c r="O137" s="0">
        <f>E137*A137</f>
        <v/>
      </c>
      <c r="P137" s="0">
        <f>-K137-M137-N137-O137</f>
        <v/>
      </c>
    </row>
    <row r="138">
      <c r="A138" s="0" t="n">
        <v>7.0083384</v>
      </c>
      <c r="B138" s="0" t="n">
        <v>0.26961</v>
      </c>
      <c r="C138" s="0">
        <f>A138*B138</f>
        <v/>
      </c>
      <c r="D138" s="0" t="n">
        <v>0.0165</v>
      </c>
      <c r="E138" s="0" t="n">
        <v>0.01413</v>
      </c>
      <c r="F138" s="0">
        <f>A138*200</f>
        <v/>
      </c>
      <c r="G138" s="0">
        <f>-B138</f>
        <v/>
      </c>
      <c r="H138" s="0">
        <f>-C138*200</f>
        <v/>
      </c>
      <c r="I138" s="0" t="n">
        <v>1</v>
      </c>
      <c r="J138" s="0">
        <f>LN(F138/1000)</f>
        <v/>
      </c>
      <c r="K138" s="0">
        <f>((-G138)-$N$2)</f>
        <v/>
      </c>
      <c r="M138" s="0">
        <f>-1*($S$4+($S$5*J138))</f>
        <v/>
      </c>
      <c r="N138" s="0">
        <f>D138*A138</f>
        <v/>
      </c>
      <c r="O138" s="0">
        <f>E138*A138</f>
        <v/>
      </c>
      <c r="P138" s="0">
        <f>-K138-M138-N138-O138</f>
        <v/>
      </c>
    </row>
    <row r="139">
      <c r="A139" s="0" t="n">
        <v>7.062312</v>
      </c>
      <c r="B139" s="0" t="n">
        <v>0.26421</v>
      </c>
      <c r="C139" s="0">
        <f>A139*B139</f>
        <v/>
      </c>
      <c r="D139" s="0" t="n">
        <v>0.0165</v>
      </c>
      <c r="E139" s="0" t="n">
        <v>0.01413</v>
      </c>
      <c r="F139" s="0">
        <f>A139*200</f>
        <v/>
      </c>
      <c r="G139" s="0">
        <f>-B139</f>
        <v/>
      </c>
      <c r="H139" s="0">
        <f>-C139*200</f>
        <v/>
      </c>
      <c r="I139" s="0" t="n">
        <v>1</v>
      </c>
      <c r="J139" s="0">
        <f>LN(F139/1000)</f>
        <v/>
      </c>
      <c r="K139" s="0">
        <f>((-G139)-$N$2)</f>
        <v/>
      </c>
      <c r="M139" s="0">
        <f>-1*($S$4+($S$5*J139))</f>
        <v/>
      </c>
      <c r="N139" s="0">
        <f>D139*A139</f>
        <v/>
      </c>
      <c r="O139" s="0">
        <f>E139*A139</f>
        <v/>
      </c>
      <c r="P139" s="0">
        <f>-K139-M139-N139-O139</f>
        <v/>
      </c>
    </row>
    <row r="140">
      <c r="A140" s="0" t="n">
        <v>7.1147568</v>
      </c>
      <c r="B140" s="0" t="n">
        <v>0.25917</v>
      </c>
      <c r="C140" s="0">
        <f>A140*B140</f>
        <v/>
      </c>
      <c r="D140" s="0" t="n">
        <v>0.0165</v>
      </c>
      <c r="E140" s="0" t="n">
        <v>0.01413</v>
      </c>
      <c r="F140" s="0">
        <f>A140*200</f>
        <v/>
      </c>
      <c r="G140" s="0">
        <f>-B140</f>
        <v/>
      </c>
      <c r="H140" s="0">
        <f>-C140*200</f>
        <v/>
      </c>
      <c r="I140" s="0" t="n">
        <v>1</v>
      </c>
      <c r="J140" s="0">
        <f>LN(F140/1000)</f>
        <v/>
      </c>
      <c r="K140" s="0">
        <f>((-G140)-$N$2)</f>
        <v/>
      </c>
      <c r="M140" s="0">
        <f>-1*($S$4+($S$5*J140))</f>
        <v/>
      </c>
      <c r="N140" s="0">
        <f>D140*A140</f>
        <v/>
      </c>
      <c r="O140" s="0">
        <f>E140*A140</f>
        <v/>
      </c>
      <c r="P140" s="0">
        <f>-K140-M140-N140-O140</f>
        <v/>
      </c>
    </row>
    <row r="141">
      <c r="A141" s="0" t="n">
        <v>7.1656758</v>
      </c>
      <c r="B141" s="0" t="n">
        <v>0.25178</v>
      </c>
      <c r="C141" s="0">
        <f>A141*B141</f>
        <v/>
      </c>
      <c r="D141" s="0" t="n">
        <v>0.0165</v>
      </c>
      <c r="E141" s="0" t="n">
        <v>0.01413</v>
      </c>
      <c r="F141" s="0">
        <f>A141*200</f>
        <v/>
      </c>
      <c r="G141" s="0">
        <f>-B141</f>
        <v/>
      </c>
      <c r="H141" s="0">
        <f>-C141*200</f>
        <v/>
      </c>
      <c r="I141" s="0" t="n">
        <v>1</v>
      </c>
      <c r="J141" s="0">
        <f>LN(F141/1000)</f>
        <v/>
      </c>
      <c r="K141" s="0">
        <f>((-G141)-$N$2)</f>
        <v/>
      </c>
      <c r="M141" s="0">
        <f>-1*($S$4+($S$5*J141))</f>
        <v/>
      </c>
      <c r="N141" s="0">
        <f>D141*A141</f>
        <v/>
      </c>
      <c r="O141" s="0">
        <f>E141*A141</f>
        <v/>
      </c>
      <c r="P141" s="0">
        <f>-K141-M141-N141-O141</f>
        <v/>
      </c>
    </row>
    <row r="142">
      <c r="A142" s="0" t="n">
        <v>7.169749</v>
      </c>
      <c r="B142" s="0" t="n">
        <v>0.25142</v>
      </c>
      <c r="C142" s="0">
        <f>A142*B142</f>
        <v/>
      </c>
      <c r="D142" s="0" t="n">
        <v>0.0165</v>
      </c>
      <c r="E142" s="0" t="n">
        <v>0.01413</v>
      </c>
      <c r="F142" s="0">
        <f>A142*200</f>
        <v/>
      </c>
      <c r="G142" s="0">
        <f>-B142</f>
        <v/>
      </c>
      <c r="H142" s="0">
        <f>-C142*200</f>
        <v/>
      </c>
      <c r="I142" s="0" t="n">
        <v>1</v>
      </c>
      <c r="J142" s="0">
        <f>LN(F142/1000)</f>
        <v/>
      </c>
      <c r="K142" s="0">
        <f>((-G142)-$N$2)</f>
        <v/>
      </c>
      <c r="M142" s="0">
        <f>-1*($S$4+($S$5*J142))</f>
        <v/>
      </c>
      <c r="N142" s="0">
        <f>D142*A142</f>
        <v/>
      </c>
      <c r="O142" s="0">
        <f>E142*A142</f>
        <v/>
      </c>
      <c r="P142" s="0">
        <f>-K142-M142-N142-O142</f>
        <v/>
      </c>
    </row>
    <row r="143">
      <c r="A143" s="0" t="n"/>
      <c r="C143" s="0">
        <f>A143*B143</f>
        <v/>
      </c>
      <c r="F143" s="0">
        <f>A143*200</f>
        <v/>
      </c>
      <c r="G143" s="0">
        <f>-B143</f>
        <v/>
      </c>
      <c r="H143" s="0">
        <f>-C143*200</f>
        <v/>
      </c>
      <c r="I143" s="0" t="n">
        <v>1</v>
      </c>
      <c r="J143" s="0">
        <f>LN(F143/1000)</f>
        <v/>
      </c>
      <c r="K143" s="0">
        <f>((-G143)-$N$2)</f>
        <v/>
      </c>
      <c r="M143" s="0">
        <f>-1*($S$4+($S$5*J143))</f>
        <v/>
      </c>
      <c r="N143" s="0">
        <f>D143*A143</f>
        <v/>
      </c>
      <c r="O143" s="0">
        <f>E143*A143</f>
        <v/>
      </c>
      <c r="P143" s="0">
        <f>-K143-M143-N143-O143</f>
        <v/>
      </c>
    </row>
    <row r="144">
      <c r="A144" s="0" t="n"/>
      <c r="C144" s="0">
        <f>A144*B144</f>
        <v/>
      </c>
      <c r="F144" s="0">
        <f>A144*200</f>
        <v/>
      </c>
      <c r="G144" s="0">
        <f>-B144</f>
        <v/>
      </c>
      <c r="H144" s="0">
        <f>-C144*200</f>
        <v/>
      </c>
      <c r="I144" s="0" t="n">
        <v>1</v>
      </c>
      <c r="J144" s="0">
        <f>LN(F144/1000)</f>
        <v/>
      </c>
      <c r="K144" s="0">
        <f>((-G144)-$N$2)</f>
        <v/>
      </c>
      <c r="M144" s="0">
        <f>-1*($S$4+($S$5*J144))</f>
        <v/>
      </c>
      <c r="N144" s="0">
        <f>D144*A144</f>
        <v/>
      </c>
      <c r="O144" s="0">
        <f>E144*A144</f>
        <v/>
      </c>
      <c r="P144" s="0">
        <f>-K144-M144-N144-O144</f>
        <v/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41"/>
  <sheetViews>
    <sheetView workbookViewId="0">
      <selection activeCell="C1" sqref="C1:D141"/>
    </sheetView>
  </sheetViews>
  <sheetFormatPr baseColWidth="8" defaultRowHeight="16.5"/>
  <sheetData>
    <row r="1">
      <c r="A1" s="0" t="n">
        <v>12.31013</v>
      </c>
      <c r="B1" s="0" t="n">
        <v>0.82829</v>
      </c>
      <c r="C1" s="0">
        <f>A1/200</f>
        <v/>
      </c>
      <c r="D1" s="0">
        <f>B1</f>
        <v/>
      </c>
    </row>
    <row r="2">
      <c r="A2" s="0" t="n">
        <v>23.00298</v>
      </c>
      <c r="B2" s="0" t="n">
        <v>0.81914</v>
      </c>
      <c r="C2" s="0">
        <f>A2/200</f>
        <v/>
      </c>
      <c r="D2" s="0">
        <f>B2</f>
        <v/>
      </c>
    </row>
    <row r="3">
      <c r="A3" s="0" t="n">
        <v>33.28848</v>
      </c>
      <c r="B3" s="0" t="n">
        <v>0.80841</v>
      </c>
      <c r="C3" s="0">
        <f>A3/200</f>
        <v/>
      </c>
      <c r="D3" s="0">
        <f>B3</f>
        <v/>
      </c>
    </row>
    <row r="4">
      <c r="A4" s="0" t="n">
        <v>43.47215</v>
      </c>
      <c r="B4" s="0" t="n">
        <v>0.79938</v>
      </c>
      <c r="C4" s="0">
        <f>A4/200</f>
        <v/>
      </c>
      <c r="D4" s="0">
        <f>B4</f>
        <v/>
      </c>
    </row>
    <row r="5">
      <c r="A5" s="0" t="n">
        <v>53.55398</v>
      </c>
      <c r="B5" s="0" t="n">
        <v>0.79138</v>
      </c>
      <c r="C5" s="0">
        <f>A5/200</f>
        <v/>
      </c>
      <c r="D5" s="0">
        <f>B5</f>
        <v/>
      </c>
    </row>
    <row r="6">
      <c r="A6" s="0" t="n">
        <v>64.34866</v>
      </c>
      <c r="B6" s="0" t="n">
        <v>0.78382</v>
      </c>
      <c r="C6" s="0">
        <f>A6/200</f>
        <v/>
      </c>
      <c r="D6" s="0">
        <f>B6</f>
        <v/>
      </c>
    </row>
    <row r="7">
      <c r="A7" s="0" t="n">
        <v>74.53233</v>
      </c>
      <c r="B7" s="0" t="n">
        <v>0.77584</v>
      </c>
      <c r="C7" s="0">
        <f>A7/200</f>
        <v/>
      </c>
      <c r="D7" s="0">
        <f>B7</f>
        <v/>
      </c>
    </row>
    <row r="8">
      <c r="A8" s="0" t="n">
        <v>84.91967</v>
      </c>
      <c r="B8" s="0" t="n">
        <v>0.7692</v>
      </c>
      <c r="C8" s="0">
        <f>A8/200</f>
        <v/>
      </c>
      <c r="D8" s="0">
        <f>B8</f>
        <v/>
      </c>
    </row>
    <row r="9">
      <c r="A9" s="0" t="n">
        <v>95.10333</v>
      </c>
      <c r="B9" s="0" t="n">
        <v>0.7632</v>
      </c>
      <c r="C9" s="0">
        <f>A9/200</f>
        <v/>
      </c>
      <c r="D9" s="0">
        <f>B9</f>
        <v/>
      </c>
    </row>
    <row r="10">
      <c r="A10" s="0" t="n">
        <v>105.18517</v>
      </c>
      <c r="B10" s="0" t="n">
        <v>0.75721</v>
      </c>
      <c r="C10" s="0">
        <f>A10/200</f>
        <v/>
      </c>
      <c r="D10" s="0">
        <f>B10</f>
        <v/>
      </c>
    </row>
    <row r="11">
      <c r="A11" s="0" t="n">
        <v>115.267</v>
      </c>
      <c r="B11" s="0" t="n">
        <v>0.75135</v>
      </c>
      <c r="C11" s="0">
        <f>A11/200</f>
        <v/>
      </c>
      <c r="D11" s="0">
        <f>B11</f>
        <v/>
      </c>
    </row>
    <row r="12">
      <c r="A12" s="0" t="n">
        <v>125.858</v>
      </c>
      <c r="B12" s="0" t="n">
        <v>0.74577</v>
      </c>
      <c r="C12" s="0">
        <f>A12/200</f>
        <v/>
      </c>
      <c r="D12" s="0">
        <f>B12</f>
        <v/>
      </c>
    </row>
    <row r="13">
      <c r="A13" s="0" t="n">
        <v>135.93983</v>
      </c>
      <c r="B13" s="0" t="n">
        <v>0.74031</v>
      </c>
      <c r="C13" s="0">
        <f>A13/200</f>
        <v/>
      </c>
      <c r="D13" s="0">
        <f>B13</f>
        <v/>
      </c>
    </row>
    <row r="14">
      <c r="A14" s="0" t="n">
        <v>146.32717</v>
      </c>
      <c r="B14" s="0" t="n">
        <v>0.7347</v>
      </c>
      <c r="C14" s="0">
        <f>A14/200</f>
        <v/>
      </c>
      <c r="D14" s="0">
        <f>B14</f>
        <v/>
      </c>
    </row>
    <row r="15">
      <c r="A15" s="0" t="n">
        <v>156.51084</v>
      </c>
      <c r="B15" s="0" t="n">
        <v>0.7299</v>
      </c>
      <c r="C15" s="0">
        <f>A15/200</f>
        <v/>
      </c>
      <c r="D15" s="0">
        <f>B15</f>
        <v/>
      </c>
    </row>
    <row r="16">
      <c r="A16" s="0" t="n">
        <v>167.00001</v>
      </c>
      <c r="B16" s="0" t="n">
        <v>0.72439</v>
      </c>
      <c r="C16" s="0">
        <f>A16/200</f>
        <v/>
      </c>
      <c r="D16" s="0">
        <f>B16</f>
        <v/>
      </c>
    </row>
    <row r="17">
      <c r="A17" s="0" t="n">
        <v>177.38735</v>
      </c>
      <c r="B17" s="0" t="n">
        <v>0.71956</v>
      </c>
      <c r="C17" s="0">
        <f>A17/200</f>
        <v/>
      </c>
      <c r="D17" s="0">
        <f>B17</f>
        <v/>
      </c>
    </row>
    <row r="18">
      <c r="A18" s="0" t="n">
        <v>188.18203</v>
      </c>
      <c r="B18" s="0" t="n">
        <v>0.71446</v>
      </c>
      <c r="C18" s="0">
        <f>A18/200</f>
        <v/>
      </c>
      <c r="D18" s="0">
        <f>B18</f>
        <v/>
      </c>
    </row>
    <row r="19">
      <c r="A19" s="0" t="n">
        <v>198.36571</v>
      </c>
      <c r="B19" s="0" t="n">
        <v>0.70957</v>
      </c>
      <c r="C19" s="0">
        <f>A19/200</f>
        <v/>
      </c>
      <c r="D19" s="0">
        <f>B19</f>
        <v/>
      </c>
    </row>
    <row r="20">
      <c r="A20" s="0" t="n">
        <v>208.44754</v>
      </c>
      <c r="B20" s="0" t="n">
        <v>0.70512</v>
      </c>
      <c r="C20" s="0">
        <f>A20/200</f>
        <v/>
      </c>
      <c r="D20" s="0">
        <f>B20</f>
        <v/>
      </c>
    </row>
    <row r="21">
      <c r="A21" s="0" t="n">
        <v>219.03854</v>
      </c>
      <c r="B21" s="0" t="n">
        <v>0.7002699999999999</v>
      </c>
      <c r="C21" s="0">
        <f>A21/200</f>
        <v/>
      </c>
      <c r="D21" s="0">
        <f>B21</f>
        <v/>
      </c>
    </row>
    <row r="22">
      <c r="A22" s="0" t="n">
        <v>229.4259</v>
      </c>
      <c r="B22" s="0" t="n">
        <v>0.69594</v>
      </c>
      <c r="C22" s="0">
        <f>A22/200</f>
        <v/>
      </c>
      <c r="D22" s="0">
        <f>B22</f>
        <v/>
      </c>
    </row>
    <row r="23">
      <c r="A23" s="0" t="n">
        <v>239.91506</v>
      </c>
      <c r="B23" s="0" t="n">
        <v>0.6912</v>
      </c>
      <c r="C23" s="0">
        <f>A23/200</f>
        <v/>
      </c>
      <c r="D23" s="0">
        <f>B23</f>
        <v/>
      </c>
    </row>
    <row r="24">
      <c r="A24" s="0" t="n">
        <v>250.20058</v>
      </c>
      <c r="B24" s="0" t="n">
        <v>0.6867</v>
      </c>
      <c r="C24" s="0">
        <f>A24/200</f>
        <v/>
      </c>
      <c r="D24" s="0">
        <f>B24</f>
        <v/>
      </c>
    </row>
    <row r="25">
      <c r="A25" s="0" t="n">
        <v>260.48606</v>
      </c>
      <c r="B25" s="0" t="n">
        <v>0.6823399999999999</v>
      </c>
      <c r="C25" s="0">
        <f>A25/200</f>
        <v/>
      </c>
      <c r="D25" s="0">
        <f>B25</f>
        <v/>
      </c>
    </row>
    <row r="26">
      <c r="A26" s="0" t="n">
        <v>271.07708</v>
      </c>
      <c r="B26" s="0" t="n">
        <v>0.67818</v>
      </c>
      <c r="C26" s="0">
        <f>A26/200</f>
        <v/>
      </c>
      <c r="D26" s="0">
        <f>B26</f>
        <v/>
      </c>
    </row>
    <row r="27">
      <c r="A27" s="0" t="n">
        <v>281.87176</v>
      </c>
      <c r="B27" s="0" t="n">
        <v>0.67349</v>
      </c>
      <c r="C27" s="0">
        <f>A27/200</f>
        <v/>
      </c>
      <c r="D27" s="0">
        <f>B27</f>
        <v/>
      </c>
    </row>
    <row r="28">
      <c r="A28" s="0" t="n">
        <v>291.95356</v>
      </c>
      <c r="B28" s="0" t="n">
        <v>0.66915</v>
      </c>
      <c r="C28" s="0">
        <f>A28/200</f>
        <v/>
      </c>
      <c r="D28" s="0">
        <f>B28</f>
        <v/>
      </c>
    </row>
    <row r="29">
      <c r="A29" s="0" t="n">
        <v>302.34094</v>
      </c>
      <c r="B29" s="0" t="n">
        <v>0.66499</v>
      </c>
      <c r="C29" s="0">
        <f>A29/200</f>
        <v/>
      </c>
      <c r="D29" s="0">
        <f>B29</f>
        <v/>
      </c>
    </row>
    <row r="30">
      <c r="A30" s="0" t="n">
        <v>312.62644</v>
      </c>
      <c r="B30" s="0" t="n">
        <v>0.66098</v>
      </c>
      <c r="C30" s="0">
        <f>A30/200</f>
        <v/>
      </c>
      <c r="D30" s="0">
        <f>B30</f>
        <v/>
      </c>
    </row>
    <row r="31">
      <c r="A31" s="0" t="n">
        <v>322.70826</v>
      </c>
      <c r="B31" s="0" t="n">
        <v>0.65668</v>
      </c>
      <c r="C31" s="0">
        <f>A31/200</f>
        <v/>
      </c>
      <c r="D31" s="0">
        <f>B31</f>
        <v/>
      </c>
    </row>
    <row r="32">
      <c r="A32" s="0" t="n">
        <v>332.99376</v>
      </c>
      <c r="B32" s="0" t="n">
        <v>0.65256</v>
      </c>
      <c r="C32" s="0">
        <f>A32/200</f>
        <v/>
      </c>
      <c r="D32" s="0">
        <f>B32</f>
        <v/>
      </c>
    </row>
    <row r="33">
      <c r="A33" s="0" t="n">
        <v>343.17744</v>
      </c>
      <c r="B33" s="0" t="n">
        <v>0.6487000000000001</v>
      </c>
      <c r="C33" s="0">
        <f>A33/200</f>
        <v/>
      </c>
      <c r="D33" s="0">
        <f>B33</f>
        <v/>
      </c>
    </row>
    <row r="34">
      <c r="A34" s="0" t="n">
        <v>354.07396</v>
      </c>
      <c r="B34" s="0" t="n">
        <v>0.64456</v>
      </c>
      <c r="C34" s="0">
        <f>A34/200</f>
        <v/>
      </c>
      <c r="D34" s="0">
        <f>B34</f>
        <v/>
      </c>
    </row>
    <row r="35">
      <c r="A35" s="0" t="n">
        <v>364.25762</v>
      </c>
      <c r="B35" s="0" t="n">
        <v>0.6403799999999999</v>
      </c>
      <c r="C35" s="0">
        <f>A35/200</f>
        <v/>
      </c>
      <c r="D35" s="0">
        <f>B35</f>
        <v/>
      </c>
    </row>
    <row r="36">
      <c r="A36" s="0" t="n">
        <v>374.74678</v>
      </c>
      <c r="B36" s="0" t="n">
        <v>0.63662</v>
      </c>
      <c r="C36" s="0">
        <f>A36/200</f>
        <v/>
      </c>
      <c r="D36" s="0">
        <f>B36</f>
        <v/>
      </c>
    </row>
    <row r="37">
      <c r="A37" s="0" t="n">
        <v>385.0323</v>
      </c>
      <c r="B37" s="0" t="n">
        <v>0.6323</v>
      </c>
      <c r="C37" s="0">
        <f>A37/200</f>
        <v/>
      </c>
      <c r="D37" s="0">
        <f>B37</f>
        <v/>
      </c>
    </row>
    <row r="38">
      <c r="A38" s="0" t="n">
        <v>395.21594</v>
      </c>
      <c r="B38" s="0" t="n">
        <v>0.62896</v>
      </c>
      <c r="C38" s="0">
        <f>A38/200</f>
        <v/>
      </c>
      <c r="D38" s="0">
        <f>B38</f>
        <v/>
      </c>
    </row>
    <row r="39">
      <c r="A39" s="0" t="n">
        <v>405.90882</v>
      </c>
      <c r="B39" s="0" t="n">
        <v>0.6244</v>
      </c>
      <c r="C39" s="0">
        <f>A39/200</f>
        <v/>
      </c>
      <c r="D39" s="0">
        <f>B39</f>
        <v/>
      </c>
    </row>
    <row r="40">
      <c r="A40" s="0" t="n">
        <v>416.60166</v>
      </c>
      <c r="B40" s="0" t="n">
        <v>0.62085</v>
      </c>
      <c r="C40" s="0">
        <f>A40/200</f>
        <v/>
      </c>
      <c r="D40" s="0">
        <f>B40</f>
        <v/>
      </c>
    </row>
    <row r="41">
      <c r="A41" s="0" t="n">
        <v>427.29454</v>
      </c>
      <c r="B41" s="0" t="n">
        <v>0.61649</v>
      </c>
      <c r="C41" s="0">
        <f>A41/200</f>
        <v/>
      </c>
      <c r="D41" s="0">
        <f>B41</f>
        <v/>
      </c>
    </row>
    <row r="42">
      <c r="A42" s="0" t="n">
        <v>437.88554</v>
      </c>
      <c r="B42" s="0" t="n">
        <v>0.6126200000000001</v>
      </c>
      <c r="C42" s="0">
        <f>A42/200</f>
        <v/>
      </c>
      <c r="D42" s="0">
        <f>B42</f>
        <v/>
      </c>
    </row>
    <row r="43">
      <c r="A43" s="0" t="n">
        <v>448.17104</v>
      </c>
      <c r="B43" s="0" t="n">
        <v>0.60905</v>
      </c>
      <c r="C43" s="0">
        <f>A43/200</f>
        <v/>
      </c>
      <c r="D43" s="0">
        <f>B43</f>
        <v/>
      </c>
    </row>
    <row r="44">
      <c r="A44" s="0" t="n">
        <v>458.35468</v>
      </c>
      <c r="B44" s="0" t="n">
        <v>0.60525</v>
      </c>
      <c r="C44" s="0">
        <f>A44/200</f>
        <v/>
      </c>
      <c r="D44" s="0">
        <f>B44</f>
        <v/>
      </c>
    </row>
    <row r="45">
      <c r="A45" s="0" t="n">
        <v>468.9457</v>
      </c>
      <c r="B45" s="0" t="n">
        <v>0.60139</v>
      </c>
      <c r="C45" s="0">
        <f>A45/200</f>
        <v/>
      </c>
      <c r="D45" s="0">
        <f>B45</f>
        <v/>
      </c>
    </row>
    <row r="46">
      <c r="A46" s="0" t="n">
        <v>479.1294</v>
      </c>
      <c r="B46" s="0" t="n">
        <v>0.59753</v>
      </c>
      <c r="C46" s="0">
        <f>A46/200</f>
        <v/>
      </c>
      <c r="D46" s="0">
        <f>B46</f>
        <v/>
      </c>
    </row>
    <row r="47">
      <c r="A47" s="0" t="n">
        <v>489.4149</v>
      </c>
      <c r="B47" s="0" t="n">
        <v>0.59414</v>
      </c>
      <c r="C47" s="0">
        <f>A47/200</f>
        <v/>
      </c>
      <c r="D47" s="0">
        <f>B47</f>
        <v/>
      </c>
    </row>
    <row r="48">
      <c r="A48" s="0" t="n">
        <v>499.49672</v>
      </c>
      <c r="B48" s="0" t="n">
        <v>0.59032</v>
      </c>
      <c r="C48" s="0">
        <f>A48/200</f>
        <v/>
      </c>
      <c r="D48" s="0">
        <f>B48</f>
        <v/>
      </c>
    </row>
    <row r="49">
      <c r="A49" s="0" t="n">
        <v>510.39322</v>
      </c>
      <c r="B49" s="0" t="n">
        <v>0.58667</v>
      </c>
      <c r="C49" s="0">
        <f>A49/200</f>
        <v/>
      </c>
      <c r="D49" s="0">
        <f>B49</f>
        <v/>
      </c>
    </row>
    <row r="50">
      <c r="A50" s="0" t="n">
        <v>520.47504</v>
      </c>
      <c r="B50" s="0" t="n">
        <v>0.58287</v>
      </c>
      <c r="C50" s="0">
        <f>A50/200</f>
        <v/>
      </c>
      <c r="D50" s="0">
        <f>B50</f>
        <v/>
      </c>
    </row>
    <row r="51">
      <c r="A51" s="0" t="n">
        <v>530.6587</v>
      </c>
      <c r="B51" s="0" t="n">
        <v>0.57934</v>
      </c>
      <c r="C51" s="0">
        <f>A51/200</f>
        <v/>
      </c>
      <c r="D51" s="0">
        <f>B51</f>
        <v/>
      </c>
    </row>
    <row r="52">
      <c r="A52" s="0" t="n">
        <v>540.94424</v>
      </c>
      <c r="B52" s="0" t="n">
        <v>0.57628</v>
      </c>
      <c r="C52" s="0">
        <f>A52/200</f>
        <v/>
      </c>
      <c r="D52" s="0">
        <f>B52</f>
        <v/>
      </c>
    </row>
    <row r="53">
      <c r="A53" s="0" t="n">
        <v>551.84072</v>
      </c>
      <c r="B53" s="0" t="n">
        <v>0.57237</v>
      </c>
      <c r="C53" s="0">
        <f>A53/200</f>
        <v/>
      </c>
      <c r="D53" s="0">
        <f>B53</f>
        <v/>
      </c>
    </row>
    <row r="54">
      <c r="A54" s="0" t="n">
        <v>562.22812</v>
      </c>
      <c r="B54" s="0" t="n">
        <v>0.56857</v>
      </c>
      <c r="C54" s="0">
        <f>A54/200</f>
        <v/>
      </c>
      <c r="D54" s="0">
        <f>B54</f>
        <v/>
      </c>
    </row>
    <row r="55">
      <c r="A55" s="0" t="n">
        <v>572.30992</v>
      </c>
      <c r="B55" s="0" t="n">
        <v>0.56475</v>
      </c>
      <c r="C55" s="0">
        <f>A55/200</f>
        <v/>
      </c>
      <c r="D55" s="0">
        <f>B55</f>
        <v/>
      </c>
    </row>
    <row r="56">
      <c r="A56" s="0" t="n">
        <v>583.3083</v>
      </c>
      <c r="B56" s="0" t="n">
        <v>0.56118</v>
      </c>
      <c r="C56" s="0">
        <f>A56/200</f>
        <v/>
      </c>
      <c r="D56" s="0">
        <f>B56</f>
        <v/>
      </c>
    </row>
    <row r="57">
      <c r="A57" s="0" t="n">
        <v>593.59376</v>
      </c>
      <c r="B57" s="0" t="n">
        <v>0.55744</v>
      </c>
      <c r="C57" s="0">
        <f>A57/200</f>
        <v/>
      </c>
      <c r="D57" s="0">
        <f>B57</f>
        <v/>
      </c>
    </row>
    <row r="58">
      <c r="A58" s="0" t="n">
        <v>603.77744</v>
      </c>
      <c r="B58" s="0" t="n">
        <v>0.5544</v>
      </c>
      <c r="C58" s="0">
        <f>A58/200</f>
        <v/>
      </c>
      <c r="D58" s="0">
        <f>B58</f>
        <v/>
      </c>
    </row>
    <row r="59">
      <c r="A59" s="0" t="n">
        <v>613.96114</v>
      </c>
      <c r="B59" s="0" t="n">
        <v>0.55091</v>
      </c>
      <c r="C59" s="0">
        <f>A59/200</f>
        <v/>
      </c>
      <c r="D59" s="0">
        <f>B59</f>
        <v/>
      </c>
    </row>
    <row r="60">
      <c r="A60" s="0" t="n">
        <v>624.14478</v>
      </c>
      <c r="B60" s="0" t="n">
        <v>0.54726</v>
      </c>
      <c r="C60" s="0">
        <f>A60/200</f>
        <v/>
      </c>
      <c r="D60" s="0">
        <f>B60</f>
        <v/>
      </c>
    </row>
    <row r="61">
      <c r="A61" s="0" t="n">
        <v>635.34678</v>
      </c>
      <c r="B61" s="0" t="n">
        <v>0.5436</v>
      </c>
      <c r="C61" s="0">
        <f>A61/200</f>
        <v/>
      </c>
      <c r="D61" s="0">
        <f>B61</f>
        <v/>
      </c>
    </row>
    <row r="62">
      <c r="A62" s="0" t="n">
        <v>645.63228</v>
      </c>
      <c r="B62" s="0" t="n">
        <v>0.54003</v>
      </c>
      <c r="C62" s="0">
        <f>A62/200</f>
        <v/>
      </c>
      <c r="D62" s="0">
        <f>B62</f>
        <v/>
      </c>
    </row>
    <row r="63">
      <c r="A63" s="0" t="n">
        <v>655.71412</v>
      </c>
      <c r="B63" s="0" t="n">
        <v>0.53667</v>
      </c>
      <c r="C63" s="0">
        <f>A63/200</f>
        <v/>
      </c>
      <c r="D63" s="0">
        <f>B63</f>
        <v/>
      </c>
    </row>
    <row r="64">
      <c r="A64" s="0" t="n">
        <v>665.8978</v>
      </c>
      <c r="B64" s="0" t="n">
        <v>0.53327</v>
      </c>
      <c r="C64" s="0">
        <f>A64/200</f>
        <v/>
      </c>
      <c r="D64" s="0">
        <f>B64</f>
        <v/>
      </c>
    </row>
    <row r="65">
      <c r="A65" s="0" t="n">
        <v>676.5906199999999</v>
      </c>
      <c r="B65" s="0" t="n">
        <v>0.52962</v>
      </c>
      <c r="C65" s="0">
        <f>A65/200</f>
        <v/>
      </c>
      <c r="D65" s="0">
        <f>B65</f>
        <v/>
      </c>
    </row>
    <row r="66">
      <c r="A66" s="0" t="n">
        <v>687.99628</v>
      </c>
      <c r="B66" s="0" t="n">
        <v>0.52584</v>
      </c>
      <c r="C66" s="0">
        <f>A66/200</f>
        <v/>
      </c>
      <c r="D66" s="0">
        <f>B66</f>
        <v/>
      </c>
    </row>
    <row r="67">
      <c r="A67" s="0" t="n">
        <v>698.38364</v>
      </c>
      <c r="B67" s="0" t="n">
        <v>0.5224800000000001</v>
      </c>
      <c r="C67" s="0">
        <f>A67/200</f>
        <v/>
      </c>
      <c r="D67" s="0">
        <f>B67</f>
        <v/>
      </c>
    </row>
    <row r="68">
      <c r="A68" s="0" t="n">
        <v>708.771</v>
      </c>
      <c r="B68" s="0" t="n">
        <v>0.51883</v>
      </c>
      <c r="C68" s="0">
        <f>A68/200</f>
        <v/>
      </c>
      <c r="D68" s="0">
        <f>B68</f>
        <v/>
      </c>
    </row>
    <row r="69">
      <c r="A69" s="0" t="n">
        <v>718.9546800000001</v>
      </c>
      <c r="B69" s="0" t="n">
        <v>0.51572</v>
      </c>
      <c r="C69" s="0">
        <f>A69/200</f>
        <v/>
      </c>
      <c r="D69" s="0">
        <f>B69</f>
        <v/>
      </c>
    </row>
    <row r="70">
      <c r="A70" s="0" t="n">
        <v>729.03652</v>
      </c>
      <c r="B70" s="0" t="n">
        <v>0.51215</v>
      </c>
      <c r="C70" s="0">
        <f>A70/200</f>
        <v/>
      </c>
      <c r="D70" s="0">
        <f>B70</f>
        <v/>
      </c>
    </row>
    <row r="71">
      <c r="A71" s="0" t="n">
        <v>739.3219800000001</v>
      </c>
      <c r="B71" s="0" t="n">
        <v>0.5087699999999999</v>
      </c>
      <c r="C71" s="0">
        <f>A71/200</f>
        <v/>
      </c>
      <c r="D71" s="0">
        <f>B71</f>
        <v/>
      </c>
    </row>
    <row r="72">
      <c r="A72" s="0" t="n">
        <v>749.60752</v>
      </c>
      <c r="B72" s="0" t="n">
        <v>0.50526</v>
      </c>
      <c r="C72" s="0">
        <f>A72/200</f>
        <v/>
      </c>
      <c r="D72" s="0">
        <f>B72</f>
        <v/>
      </c>
    </row>
    <row r="73">
      <c r="A73" s="0" t="n">
        <v>759.99488</v>
      </c>
      <c r="B73" s="0" t="n">
        <v>0.50203</v>
      </c>
      <c r="C73" s="0">
        <f>A73/200</f>
        <v/>
      </c>
      <c r="D73" s="0">
        <f>B73</f>
        <v/>
      </c>
    </row>
    <row r="74">
      <c r="A74" s="0" t="n">
        <v>770.3821799999999</v>
      </c>
      <c r="B74" s="0" t="n">
        <v>0.49861</v>
      </c>
      <c r="C74" s="0">
        <f>A74/200</f>
        <v/>
      </c>
      <c r="D74" s="0">
        <f>B74</f>
        <v/>
      </c>
    </row>
    <row r="75">
      <c r="A75" s="0" t="n">
        <v>780.87134</v>
      </c>
      <c r="B75" s="0" t="n">
        <v>0.49508</v>
      </c>
      <c r="C75" s="0">
        <f>A75/200</f>
        <v/>
      </c>
      <c r="D75" s="0">
        <f>B75</f>
        <v/>
      </c>
    </row>
    <row r="76">
      <c r="A76" s="0" t="n">
        <v>791.05502</v>
      </c>
      <c r="B76" s="0" t="n">
        <v>0.49161</v>
      </c>
      <c r="C76" s="0">
        <f>A76/200</f>
        <v/>
      </c>
      <c r="D76" s="0">
        <f>B76</f>
        <v/>
      </c>
    </row>
    <row r="77">
      <c r="A77" s="0" t="n">
        <v>801.23868</v>
      </c>
      <c r="B77" s="0" t="n">
        <v>0.4884</v>
      </c>
      <c r="C77" s="0">
        <f>A77/200</f>
        <v/>
      </c>
      <c r="D77" s="0">
        <f>B77</f>
        <v/>
      </c>
    </row>
    <row r="78">
      <c r="A78" s="0" t="n">
        <v>811.52422</v>
      </c>
      <c r="B78" s="0" t="n">
        <v>0.48515</v>
      </c>
      <c r="C78" s="0">
        <f>A78/200</f>
        <v/>
      </c>
      <c r="D78" s="0">
        <f>B78</f>
        <v/>
      </c>
    </row>
    <row r="79">
      <c r="A79" s="0" t="n">
        <v>821.91162</v>
      </c>
      <c r="B79" s="0" t="n">
        <v>0.48175</v>
      </c>
      <c r="C79" s="0">
        <f>A79/200</f>
        <v/>
      </c>
      <c r="D79" s="0">
        <f>B79</f>
        <v/>
      </c>
    </row>
    <row r="80">
      <c r="A80" s="0" t="n">
        <v>832.19708</v>
      </c>
      <c r="B80" s="0" t="n">
        <v>0.47839</v>
      </c>
      <c r="C80" s="0">
        <f>A80/200</f>
        <v/>
      </c>
      <c r="D80" s="0">
        <f>B80</f>
        <v/>
      </c>
    </row>
    <row r="81">
      <c r="A81" s="0" t="n">
        <v>842.38076</v>
      </c>
      <c r="B81" s="0" t="n">
        <v>0.47502</v>
      </c>
      <c r="C81" s="0">
        <f>A81/200</f>
        <v/>
      </c>
      <c r="D81" s="0">
        <f>B81</f>
        <v/>
      </c>
    </row>
    <row r="82">
      <c r="A82" s="0" t="n">
        <v>852.4626</v>
      </c>
      <c r="B82" s="0" t="n">
        <v>0.47192</v>
      </c>
      <c r="C82" s="0">
        <f>A82/200</f>
        <v/>
      </c>
      <c r="D82" s="0">
        <f>B82</f>
        <v/>
      </c>
    </row>
    <row r="83">
      <c r="A83" s="0" t="n">
        <v>862.54444</v>
      </c>
      <c r="B83" s="0" t="n">
        <v>0.46856</v>
      </c>
      <c r="C83" s="0">
        <f>A83/200</f>
        <v/>
      </c>
      <c r="D83" s="0">
        <f>B83</f>
        <v/>
      </c>
    </row>
    <row r="84">
      <c r="A84" s="0" t="n">
        <v>872.72802</v>
      </c>
      <c r="B84" s="0" t="n">
        <v>0.46505</v>
      </c>
      <c r="C84" s="0">
        <f>A84/200</f>
        <v/>
      </c>
      <c r="D84" s="0">
        <f>B84</f>
        <v/>
      </c>
    </row>
    <row r="85">
      <c r="A85" s="0" t="n">
        <v>882.91182</v>
      </c>
      <c r="B85" s="0" t="n">
        <v>0.46213</v>
      </c>
      <c r="C85" s="0">
        <f>A85/200</f>
        <v/>
      </c>
      <c r="D85" s="0">
        <f>B85</f>
        <v/>
      </c>
    </row>
    <row r="86">
      <c r="A86" s="0" t="n">
        <v>893.29912</v>
      </c>
      <c r="B86" s="0" t="n">
        <v>0.45852</v>
      </c>
      <c r="C86" s="0">
        <f>A86/200</f>
        <v/>
      </c>
      <c r="D86" s="0">
        <f>B86</f>
        <v/>
      </c>
    </row>
    <row r="87">
      <c r="A87" s="0" t="n">
        <v>903.4828199999999</v>
      </c>
      <c r="B87" s="0" t="n">
        <v>0.45525</v>
      </c>
      <c r="C87" s="0">
        <f>A87/200</f>
        <v/>
      </c>
      <c r="D87" s="0">
        <f>B87</f>
        <v/>
      </c>
    </row>
    <row r="88">
      <c r="A88" s="0" t="n">
        <v>913.7682600000001</v>
      </c>
      <c r="B88" s="0" t="n">
        <v>0.45193</v>
      </c>
      <c r="C88" s="0">
        <f>A88/200</f>
        <v/>
      </c>
      <c r="D88" s="0">
        <f>B88</f>
        <v/>
      </c>
    </row>
    <row r="89">
      <c r="A89" s="0" t="n">
        <v>924.25742</v>
      </c>
      <c r="B89" s="0" t="n">
        <v>0.44827</v>
      </c>
      <c r="C89" s="0">
        <f>A89/200</f>
        <v/>
      </c>
      <c r="D89" s="0">
        <f>B89</f>
        <v/>
      </c>
    </row>
    <row r="90">
      <c r="A90" s="0" t="n">
        <v>934.9503</v>
      </c>
      <c r="B90" s="0" t="n">
        <v>0.44506</v>
      </c>
      <c r="C90" s="0">
        <f>A90/200</f>
        <v/>
      </c>
      <c r="D90" s="0">
        <f>B90</f>
        <v/>
      </c>
    </row>
    <row r="91">
      <c r="A91" s="0" t="n">
        <v>945.3376</v>
      </c>
      <c r="B91" s="0" t="n">
        <v>0.44145</v>
      </c>
      <c r="C91" s="0">
        <f>A91/200</f>
        <v/>
      </c>
      <c r="D91" s="0">
        <f>B91</f>
        <v/>
      </c>
    </row>
    <row r="92">
      <c r="A92" s="0" t="n">
        <v>955.62314</v>
      </c>
      <c r="B92" s="0" t="n">
        <v>0.43807</v>
      </c>
      <c r="C92" s="0">
        <f>A92/200</f>
        <v/>
      </c>
      <c r="D92" s="0">
        <f>B92</f>
        <v/>
      </c>
    </row>
    <row r="93">
      <c r="A93" s="0" t="n">
        <v>965.70498</v>
      </c>
      <c r="B93" s="0" t="n">
        <v>0.43431</v>
      </c>
      <c r="C93" s="0">
        <f>A93/200</f>
        <v/>
      </c>
      <c r="D93" s="0">
        <f>B93</f>
        <v/>
      </c>
    </row>
    <row r="94">
      <c r="A94" s="0" t="n">
        <v>975.88858</v>
      </c>
      <c r="B94" s="0" t="n">
        <v>0.43133</v>
      </c>
      <c r="C94" s="0">
        <f>A94/200</f>
        <v/>
      </c>
      <c r="D94" s="0">
        <f>B94</f>
        <v/>
      </c>
    </row>
    <row r="95">
      <c r="A95" s="0" t="n">
        <v>985.9705</v>
      </c>
      <c r="B95" s="0" t="n">
        <v>0.42782</v>
      </c>
      <c r="C95" s="0">
        <f>A95/200</f>
        <v/>
      </c>
      <c r="D95" s="0">
        <f>B95</f>
        <v/>
      </c>
    </row>
    <row r="96">
      <c r="A96" s="0" t="n">
        <v>996.1541</v>
      </c>
      <c r="B96" s="0" t="n">
        <v>0.42474</v>
      </c>
      <c r="C96" s="0">
        <f>A96/200</f>
        <v/>
      </c>
      <c r="D96" s="0">
        <f>B96</f>
        <v/>
      </c>
    </row>
    <row r="97">
      <c r="A97" s="0" t="n">
        <v>1006.64336</v>
      </c>
      <c r="B97" s="0" t="n">
        <v>0.42081</v>
      </c>
      <c r="C97" s="0">
        <f>A97/200</f>
        <v/>
      </c>
      <c r="D97" s="0">
        <f>B97</f>
        <v/>
      </c>
    </row>
    <row r="98">
      <c r="A98" s="0" t="n">
        <v>1017.03066</v>
      </c>
      <c r="B98" s="0" t="n">
        <v>0.41734</v>
      </c>
      <c r="C98" s="0">
        <f>A98/200</f>
        <v/>
      </c>
      <c r="D98" s="0">
        <f>B98</f>
        <v/>
      </c>
    </row>
    <row r="99">
      <c r="A99" s="0" t="n">
        <v>1027.1124</v>
      </c>
      <c r="B99" s="0" t="n">
        <v>0.41409</v>
      </c>
      <c r="C99" s="0">
        <f>A99/200</f>
        <v/>
      </c>
      <c r="D99" s="0">
        <f>B99</f>
        <v/>
      </c>
    </row>
    <row r="100">
      <c r="A100" s="0" t="n">
        <v>1037.80538</v>
      </c>
      <c r="B100" s="0" t="n">
        <v>0.41077</v>
      </c>
      <c r="C100" s="0">
        <f>A100/200</f>
        <v/>
      </c>
      <c r="D100" s="0">
        <f>B100</f>
        <v/>
      </c>
    </row>
    <row r="101">
      <c r="A101" s="0" t="n">
        <v>1047.8871</v>
      </c>
      <c r="B101" s="0" t="n">
        <v>0.40722</v>
      </c>
      <c r="C101" s="0">
        <f>A101/200</f>
        <v/>
      </c>
      <c r="D101" s="0">
        <f>B101</f>
        <v/>
      </c>
    </row>
    <row r="102">
      <c r="A102" s="0" t="n">
        <v>1058.68174</v>
      </c>
      <c r="B102" s="0" t="n">
        <v>0.40338</v>
      </c>
      <c r="C102" s="0">
        <f>A102/200</f>
        <v/>
      </c>
      <c r="D102" s="0">
        <f>B102</f>
        <v/>
      </c>
    </row>
    <row r="103">
      <c r="A103" s="0" t="n">
        <v>1068.76368</v>
      </c>
      <c r="B103" s="0" t="n">
        <v>0.40029</v>
      </c>
      <c r="C103" s="0">
        <f>A103/200</f>
        <v/>
      </c>
      <c r="D103" s="0">
        <f>B103</f>
        <v/>
      </c>
    </row>
    <row r="104">
      <c r="A104" s="0" t="n">
        <v>1079.04912</v>
      </c>
      <c r="B104" s="0" t="n">
        <v>0.39654</v>
      </c>
      <c r="C104" s="0">
        <f>A104/200</f>
        <v/>
      </c>
      <c r="D104" s="0">
        <f>B104</f>
        <v/>
      </c>
    </row>
    <row r="105">
      <c r="A105" s="0" t="n">
        <v>1089.53828</v>
      </c>
      <c r="B105" s="0" t="n">
        <v>0.39324</v>
      </c>
      <c r="C105" s="0">
        <f>A105/200</f>
        <v/>
      </c>
      <c r="D105" s="0">
        <f>B105</f>
        <v/>
      </c>
    </row>
    <row r="106">
      <c r="A106" s="0" t="n">
        <v>1099.72198</v>
      </c>
      <c r="B106" s="0" t="n">
        <v>0.38929</v>
      </c>
      <c r="C106" s="0">
        <f>A106/200</f>
        <v/>
      </c>
      <c r="D106" s="0">
        <f>B106</f>
        <v/>
      </c>
    </row>
    <row r="107">
      <c r="A107" s="0" t="n">
        <v>1109.80372</v>
      </c>
      <c r="B107" s="0" t="n">
        <v>0.38591</v>
      </c>
      <c r="C107" s="0">
        <f>A107/200</f>
        <v/>
      </c>
      <c r="D107" s="0">
        <f>B107</f>
        <v/>
      </c>
    </row>
    <row r="108">
      <c r="A108" s="0" t="n">
        <v>1120.29296</v>
      </c>
      <c r="B108" s="0" t="n">
        <v>0.38243</v>
      </c>
      <c r="C108" s="0">
        <f>A108/200</f>
        <v/>
      </c>
      <c r="D108" s="0">
        <f>B108</f>
        <v/>
      </c>
    </row>
    <row r="109">
      <c r="A109" s="0" t="n">
        <v>1130.57842</v>
      </c>
      <c r="B109" s="0" t="n">
        <v>0.37884</v>
      </c>
      <c r="C109" s="0">
        <f>A109/200</f>
        <v/>
      </c>
      <c r="D109" s="0">
        <f>B109</f>
        <v/>
      </c>
    </row>
    <row r="110">
      <c r="A110" s="0" t="n">
        <v>1140.86396</v>
      </c>
      <c r="B110" s="0" t="n">
        <v>0.3751</v>
      </c>
      <c r="C110" s="0">
        <f>A110/200</f>
        <v/>
      </c>
      <c r="D110" s="0">
        <f>B110</f>
        <v/>
      </c>
    </row>
    <row r="111">
      <c r="A111" s="0" t="n">
        <v>1151.35312</v>
      </c>
      <c r="B111" s="0" t="n">
        <v>0.37176</v>
      </c>
      <c r="C111" s="0">
        <f>A111/200</f>
        <v/>
      </c>
      <c r="D111" s="0">
        <f>B111</f>
        <v/>
      </c>
    </row>
    <row r="112">
      <c r="A112" s="0" t="n">
        <v>1161.43496</v>
      </c>
      <c r="B112" s="0" t="n">
        <v>0.36783</v>
      </c>
      <c r="C112" s="0">
        <f>A112/200</f>
        <v/>
      </c>
      <c r="D112" s="0">
        <f>B112</f>
        <v/>
      </c>
    </row>
    <row r="113">
      <c r="A113" s="0" t="n">
        <v>1171.61866</v>
      </c>
      <c r="B113" s="0" t="n">
        <v>0.36405</v>
      </c>
      <c r="C113" s="0">
        <f>A113/200</f>
        <v/>
      </c>
      <c r="D113" s="0">
        <f>B113</f>
        <v/>
      </c>
    </row>
    <row r="114">
      <c r="A114" s="0" t="n">
        <v>1181.70048</v>
      </c>
      <c r="B114" s="0" t="n">
        <v>0.36076</v>
      </c>
      <c r="C114" s="0">
        <f>A114/200</f>
        <v/>
      </c>
      <c r="D114" s="0">
        <f>B114</f>
        <v/>
      </c>
    </row>
    <row r="115">
      <c r="A115" s="0" t="n">
        <v>1191.98604</v>
      </c>
      <c r="B115" s="0" t="n">
        <v>0.35664</v>
      </c>
      <c r="C115" s="0">
        <f>A115/200</f>
        <v/>
      </c>
      <c r="D115" s="0">
        <f>B115</f>
        <v/>
      </c>
    </row>
    <row r="116">
      <c r="A116" s="0" t="n">
        <v>1202.16972</v>
      </c>
      <c r="B116" s="0" t="n">
        <v>0.35307</v>
      </c>
      <c r="C116" s="0">
        <f>A116/200</f>
        <v/>
      </c>
      <c r="D116" s="0">
        <f>B116</f>
        <v/>
      </c>
    </row>
    <row r="117">
      <c r="A117" s="0" t="n">
        <v>1212.76064</v>
      </c>
      <c r="B117" s="0" t="n">
        <v>0.34925</v>
      </c>
      <c r="C117" s="0">
        <f>A117/200</f>
        <v/>
      </c>
      <c r="D117" s="0">
        <f>B117</f>
        <v/>
      </c>
    </row>
    <row r="118">
      <c r="A118" s="0" t="n">
        <v>1223.45342</v>
      </c>
      <c r="B118" s="0" t="n">
        <v>0.34518</v>
      </c>
      <c r="C118" s="0">
        <f>A118/200</f>
        <v/>
      </c>
      <c r="D118" s="0">
        <f>B118</f>
        <v/>
      </c>
    </row>
    <row r="119">
      <c r="A119" s="0" t="n">
        <v>1233.73906</v>
      </c>
      <c r="B119" s="0" t="n">
        <v>0.34146</v>
      </c>
      <c r="C119" s="0">
        <f>A119/200</f>
        <v/>
      </c>
      <c r="D119" s="0">
        <f>B119</f>
        <v/>
      </c>
    </row>
    <row r="120">
      <c r="A120" s="0" t="n">
        <v>1243.8208</v>
      </c>
      <c r="B120" s="0" t="n">
        <v>0.33778</v>
      </c>
      <c r="C120" s="0">
        <f>A120/200</f>
        <v/>
      </c>
      <c r="D120" s="0">
        <f>B120</f>
        <v/>
      </c>
    </row>
    <row r="121">
      <c r="A121" s="0" t="n">
        <v>1254.51368</v>
      </c>
      <c r="B121" s="0" t="n">
        <v>0.33367</v>
      </c>
      <c r="C121" s="0">
        <f>A121/200</f>
        <v/>
      </c>
      <c r="D121" s="0">
        <f>B121</f>
        <v/>
      </c>
    </row>
    <row r="122">
      <c r="A122" s="0" t="n">
        <v>1264.5956</v>
      </c>
      <c r="B122" s="0" t="n">
        <v>0.32951</v>
      </c>
      <c r="C122" s="0">
        <f>A122/200</f>
        <v/>
      </c>
      <c r="D122" s="0">
        <f>B122</f>
        <v/>
      </c>
    </row>
    <row r="123">
      <c r="A123" s="0" t="n">
        <v>1275.39004</v>
      </c>
      <c r="B123" s="0" t="n">
        <v>0.32582</v>
      </c>
      <c r="C123" s="0">
        <f>A123/200</f>
        <v/>
      </c>
      <c r="D123" s="0">
        <f>B123</f>
        <v/>
      </c>
    </row>
    <row r="124">
      <c r="A124" s="0" t="n">
        <v>1285.47198</v>
      </c>
      <c r="B124" s="0" t="n">
        <v>0.32157</v>
      </c>
      <c r="C124" s="0">
        <f>A124/200</f>
        <v/>
      </c>
      <c r="D124" s="0">
        <f>B124</f>
        <v/>
      </c>
    </row>
    <row r="125">
      <c r="A125" s="0" t="n">
        <v>1295.55372</v>
      </c>
      <c r="B125" s="0" t="n">
        <v>0.31742</v>
      </c>
      <c r="C125" s="0">
        <f>A125/200</f>
        <v/>
      </c>
      <c r="D125" s="0">
        <f>B125</f>
        <v/>
      </c>
    </row>
    <row r="126">
      <c r="A126" s="0" t="n">
        <v>1306.654</v>
      </c>
      <c r="B126" s="0" t="n">
        <v>0.31372</v>
      </c>
      <c r="C126" s="0">
        <f>A126/200</f>
        <v/>
      </c>
      <c r="D126" s="0">
        <f>B126</f>
        <v/>
      </c>
    </row>
    <row r="127">
      <c r="A127" s="0" t="n">
        <v>1316.8377</v>
      </c>
      <c r="B127" s="0" t="n">
        <v>0.30931</v>
      </c>
      <c r="C127" s="0">
        <f>A127/200</f>
        <v/>
      </c>
      <c r="D127" s="0">
        <f>B127</f>
        <v/>
      </c>
    </row>
    <row r="128">
      <c r="A128" s="0" t="n">
        <v>1327.32686</v>
      </c>
      <c r="B128" s="0" t="n">
        <v>0.30518</v>
      </c>
      <c r="C128" s="0">
        <f>A128/200</f>
        <v/>
      </c>
      <c r="D128" s="0">
        <f>B128</f>
        <v/>
      </c>
    </row>
    <row r="129">
      <c r="A129" s="0" t="n">
        <v>1337.6124</v>
      </c>
      <c r="B129" s="0" t="n">
        <v>0.30117</v>
      </c>
      <c r="C129" s="0">
        <f>A129/200</f>
        <v/>
      </c>
      <c r="D129" s="0">
        <f>B129</f>
        <v/>
      </c>
    </row>
    <row r="130">
      <c r="A130" s="0" t="n">
        <v>1347.796</v>
      </c>
      <c r="B130" s="0" t="n">
        <v>0.29697</v>
      </c>
      <c r="C130" s="0">
        <f>A130/200</f>
        <v/>
      </c>
      <c r="D130" s="0">
        <f>B130</f>
        <v/>
      </c>
    </row>
    <row r="131">
      <c r="A131" s="0" t="n">
        <v>1358.08164</v>
      </c>
      <c r="B131" s="0" t="n">
        <v>0.29241</v>
      </c>
      <c r="C131" s="0">
        <f>A131/200</f>
        <v/>
      </c>
      <c r="D131" s="0">
        <f>B131</f>
        <v/>
      </c>
    </row>
    <row r="132">
      <c r="A132" s="0" t="n">
        <v>1368.26524</v>
      </c>
      <c r="B132" s="0" t="n">
        <v>0.28829</v>
      </c>
      <c r="C132" s="0">
        <f>A132/200</f>
        <v/>
      </c>
      <c r="D132" s="0">
        <f>B132</f>
        <v/>
      </c>
    </row>
    <row r="133">
      <c r="A133" s="0" t="n">
        <v>1378.44892</v>
      </c>
      <c r="B133" s="0" t="n">
        <v>0.28395</v>
      </c>
      <c r="C133" s="0">
        <f>A133/200</f>
        <v/>
      </c>
      <c r="D133" s="0">
        <f>B133</f>
        <v/>
      </c>
    </row>
    <row r="134">
      <c r="A134" s="0" t="n">
        <v>1388.53066</v>
      </c>
      <c r="B134" s="0" t="n">
        <v>0.27973</v>
      </c>
      <c r="C134" s="0">
        <f>A134/200</f>
        <v/>
      </c>
      <c r="D134" s="0">
        <f>B134</f>
        <v/>
      </c>
    </row>
    <row r="135">
      <c r="A135" s="0" t="n">
        <v>1398.81612</v>
      </c>
      <c r="B135" s="0" t="n">
        <v>0.27551</v>
      </c>
      <c r="C135" s="0">
        <f>A135/200</f>
        <v/>
      </c>
      <c r="D135" s="0">
        <f>B135</f>
        <v/>
      </c>
    </row>
    <row r="136">
      <c r="A136" s="0" t="n">
        <v>1408.89794</v>
      </c>
      <c r="B136" s="0" t="n">
        <v>0.27089</v>
      </c>
      <c r="C136" s="0">
        <f>A136/200</f>
        <v/>
      </c>
      <c r="D136" s="0">
        <f>B136</f>
        <v/>
      </c>
    </row>
    <row r="137">
      <c r="A137" s="0" t="n">
        <v>1419.08174</v>
      </c>
      <c r="B137" s="0" t="n">
        <v>0.26652</v>
      </c>
      <c r="C137" s="0">
        <f>A137/200</f>
        <v/>
      </c>
      <c r="D137" s="0">
        <f>B137</f>
        <v/>
      </c>
    </row>
    <row r="138">
      <c r="A138" s="0" t="n">
        <v>1429.36708</v>
      </c>
      <c r="B138" s="0" t="n">
        <v>0.26219</v>
      </c>
      <c r="C138" s="0">
        <f>A138/200</f>
        <v/>
      </c>
      <c r="D138" s="0">
        <f>B138</f>
        <v/>
      </c>
    </row>
    <row r="139">
      <c r="A139" s="0" t="n">
        <v>1440.05996</v>
      </c>
      <c r="B139" s="0" t="n">
        <v>0.25738</v>
      </c>
      <c r="C139" s="0">
        <f>A139/200</f>
        <v/>
      </c>
      <c r="D139" s="0">
        <f>B139</f>
        <v/>
      </c>
    </row>
    <row r="140">
      <c r="A140" s="0" t="n">
        <v>1450.1418</v>
      </c>
      <c r="B140" s="0" t="n">
        <v>0.25293</v>
      </c>
      <c r="C140" s="0">
        <f>A140/200</f>
        <v/>
      </c>
      <c r="D140" s="0">
        <f>B140</f>
        <v/>
      </c>
    </row>
    <row r="141">
      <c r="A141" s="0" t="n">
        <v>1452.99336</v>
      </c>
      <c r="B141" s="0" t="n">
        <v>0.2513</v>
      </c>
      <c r="C141" s="0">
        <f>A141/200</f>
        <v/>
      </c>
      <c r="D141" s="0">
        <f>B141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user</dc:creator>
  <dcterms:created xmlns:dcterms="http://purl.org/dc/terms/" xmlns:xsi="http://www.w3.org/2001/XMLSchema-instance" xsi:type="dcterms:W3CDTF">2025-09-17T02:43:03Z</dcterms:created>
  <dcterms:modified xmlns:dcterms="http://purl.org/dc/terms/" xmlns:xsi="http://www.w3.org/2001/XMLSchema-instance" xsi:type="dcterms:W3CDTF">2026-06-03T04:14:06Z</dcterms:modified>
  <cp:lastModifiedBy>user</cp:lastModifiedBy>
</cp:coreProperties>
</file>