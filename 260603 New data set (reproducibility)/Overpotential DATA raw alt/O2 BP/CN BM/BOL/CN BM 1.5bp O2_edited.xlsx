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CN BM\BOL\"/>
    </mc:Choice>
  </mc:AlternateContent>
  <xr:revisionPtr revIDLastSave="0" documentId="13_ncr:1_{21DC3807-1086-46B0-89AB-D9E533BA3F76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I223" i="2" l="1"/>
  <c r="K223" i="2" s="1"/>
  <c r="E223" i="2"/>
  <c r="B223" i="2"/>
  <c r="K222" i="2"/>
  <c r="I222" i="2"/>
  <c r="E222" i="2"/>
  <c r="B222" i="2"/>
  <c r="K221" i="2"/>
  <c r="I221" i="2"/>
  <c r="B221" i="2"/>
  <c r="E221" i="2" s="1"/>
  <c r="K220" i="2"/>
  <c r="I220" i="2"/>
  <c r="B220" i="2"/>
  <c r="E220" i="2" s="1"/>
  <c r="I219" i="2"/>
  <c r="K219" i="2" s="1"/>
  <c r="E219" i="2"/>
  <c r="B219" i="2"/>
  <c r="K218" i="2"/>
  <c r="I218" i="2"/>
  <c r="E218" i="2"/>
  <c r="B218" i="2"/>
  <c r="K217" i="2"/>
  <c r="I217" i="2"/>
  <c r="B217" i="2"/>
  <c r="E217" i="2" s="1"/>
  <c r="K216" i="2"/>
  <c r="I216" i="2"/>
  <c r="B216" i="2"/>
  <c r="E216" i="2" s="1"/>
  <c r="I215" i="2"/>
  <c r="K215" i="2" s="1"/>
  <c r="E215" i="2"/>
  <c r="B215" i="2"/>
  <c r="K214" i="2"/>
  <c r="I214" i="2"/>
  <c r="E214" i="2"/>
  <c r="B214" i="2"/>
  <c r="K213" i="2"/>
  <c r="I213" i="2"/>
  <c r="B213" i="2"/>
  <c r="E213" i="2" s="1"/>
  <c r="K212" i="2"/>
  <c r="I212" i="2"/>
  <c r="B212" i="2"/>
  <c r="E212" i="2" s="1"/>
  <c r="I211" i="2"/>
  <c r="K211" i="2" s="1"/>
  <c r="E211" i="2"/>
  <c r="B211" i="2"/>
  <c r="K210" i="2"/>
  <c r="I210" i="2"/>
  <c r="E210" i="2"/>
  <c r="B210" i="2"/>
  <c r="K209" i="2"/>
  <c r="I209" i="2"/>
  <c r="B209" i="2"/>
  <c r="E209" i="2" s="1"/>
  <c r="K208" i="2"/>
  <c r="I208" i="2"/>
  <c r="B208" i="2"/>
  <c r="E208" i="2" s="1"/>
  <c r="I207" i="2"/>
  <c r="K207" i="2" s="1"/>
  <c r="E207" i="2"/>
  <c r="B207" i="2"/>
  <c r="K206" i="2"/>
  <c r="I206" i="2"/>
  <c r="E206" i="2"/>
  <c r="B206" i="2"/>
  <c r="K205" i="2"/>
  <c r="I205" i="2"/>
  <c r="B205" i="2"/>
  <c r="E205" i="2" s="1"/>
  <c r="K204" i="2"/>
  <c r="I204" i="2"/>
  <c r="B204" i="2"/>
  <c r="E204" i="2" s="1"/>
  <c r="I203" i="2"/>
  <c r="K203" i="2" s="1"/>
  <c r="E203" i="2"/>
  <c r="B203" i="2"/>
  <c r="K202" i="2"/>
  <c r="I202" i="2"/>
  <c r="E202" i="2"/>
  <c r="B202" i="2"/>
  <c r="K201" i="2"/>
  <c r="I201" i="2"/>
  <c r="B201" i="2"/>
  <c r="E201" i="2" s="1"/>
  <c r="K200" i="2"/>
  <c r="I200" i="2"/>
  <c r="B200" i="2"/>
  <c r="E200" i="2" s="1"/>
  <c r="I199" i="2"/>
  <c r="K199" i="2" s="1"/>
  <c r="E199" i="2"/>
  <c r="B199" i="2"/>
  <c r="K198" i="2"/>
  <c r="I198" i="2"/>
  <c r="E198" i="2"/>
  <c r="B198" i="2"/>
  <c r="K197" i="2"/>
  <c r="I197" i="2"/>
  <c r="B197" i="2"/>
  <c r="E197" i="2" s="1"/>
  <c r="K196" i="2"/>
  <c r="I196" i="2"/>
  <c r="B196" i="2"/>
  <c r="E196" i="2" s="1"/>
  <c r="I195" i="2"/>
  <c r="K195" i="2" s="1"/>
  <c r="F195" i="2"/>
  <c r="E195" i="2"/>
  <c r="B195" i="2"/>
  <c r="K194" i="2"/>
  <c r="I194" i="2"/>
  <c r="F194" i="2"/>
  <c r="E194" i="2"/>
  <c r="B194" i="2"/>
  <c r="I193" i="2"/>
  <c r="F193" i="2"/>
  <c r="E193" i="2"/>
  <c r="B193" i="2"/>
  <c r="K192" i="2"/>
  <c r="I192" i="2"/>
  <c r="F192" i="2"/>
  <c r="B192" i="2"/>
  <c r="E192" i="2" s="1"/>
  <c r="I191" i="2"/>
  <c r="K191" i="2" s="1"/>
  <c r="F191" i="2"/>
  <c r="B191" i="2"/>
  <c r="E191" i="2" s="1"/>
  <c r="K190" i="2"/>
  <c r="I190" i="2"/>
  <c r="F190" i="2"/>
  <c r="E190" i="2"/>
  <c r="B190" i="2"/>
  <c r="I189" i="2"/>
  <c r="F189" i="2"/>
  <c r="B189" i="2"/>
  <c r="E189" i="2" s="1"/>
  <c r="K188" i="2"/>
  <c r="I188" i="2"/>
  <c r="F188" i="2"/>
  <c r="E188" i="2"/>
  <c r="B188" i="2"/>
  <c r="I187" i="2"/>
  <c r="F187" i="2"/>
  <c r="B187" i="2"/>
  <c r="E187" i="2" s="1"/>
  <c r="K186" i="2"/>
  <c r="I186" i="2"/>
  <c r="F186" i="2"/>
  <c r="B186" i="2"/>
  <c r="E186" i="2" s="1"/>
  <c r="I185" i="2"/>
  <c r="K185" i="2" s="1"/>
  <c r="F185" i="2"/>
  <c r="B185" i="2"/>
  <c r="E185" i="2" s="1"/>
  <c r="K184" i="2"/>
  <c r="I184" i="2"/>
  <c r="F184" i="2"/>
  <c r="B184" i="2"/>
  <c r="E184" i="2" s="1"/>
  <c r="I183" i="2"/>
  <c r="K183" i="2" s="1"/>
  <c r="F183" i="2"/>
  <c r="B183" i="2"/>
  <c r="E183" i="2" s="1"/>
  <c r="K182" i="2"/>
  <c r="I182" i="2"/>
  <c r="F182" i="2"/>
  <c r="E182" i="2"/>
  <c r="B182" i="2"/>
  <c r="I181" i="2"/>
  <c r="F181" i="2"/>
  <c r="B181" i="2"/>
  <c r="E181" i="2" s="1"/>
  <c r="K180" i="2"/>
  <c r="I180" i="2"/>
  <c r="F180" i="2"/>
  <c r="E180" i="2"/>
  <c r="B180" i="2"/>
  <c r="I179" i="2"/>
  <c r="F179" i="2"/>
  <c r="B179" i="2"/>
  <c r="E179" i="2" s="1"/>
  <c r="K178" i="2"/>
  <c r="I178" i="2"/>
  <c r="F178" i="2"/>
  <c r="B178" i="2"/>
  <c r="E178" i="2" s="1"/>
  <c r="I177" i="2"/>
  <c r="K177" i="2" s="1"/>
  <c r="F177" i="2"/>
  <c r="B177" i="2"/>
  <c r="E177" i="2" s="1"/>
  <c r="K176" i="2"/>
  <c r="I176" i="2"/>
  <c r="F176" i="2"/>
  <c r="B176" i="2"/>
  <c r="E176" i="2" s="1"/>
  <c r="I175" i="2"/>
  <c r="K175" i="2" s="1"/>
  <c r="F175" i="2"/>
  <c r="B175" i="2"/>
  <c r="E175" i="2" s="1"/>
  <c r="K174" i="2"/>
  <c r="I174" i="2"/>
  <c r="F174" i="2"/>
  <c r="E174" i="2"/>
  <c r="B174" i="2"/>
  <c r="I173" i="2"/>
  <c r="F173" i="2"/>
  <c r="B173" i="2"/>
  <c r="E173" i="2" s="1"/>
  <c r="K172" i="2"/>
  <c r="I172" i="2"/>
  <c r="F172" i="2"/>
  <c r="E172" i="2"/>
  <c r="B172" i="2"/>
  <c r="I171" i="2"/>
  <c r="F171" i="2"/>
  <c r="B171" i="2"/>
  <c r="E171" i="2" s="1"/>
  <c r="K170" i="2"/>
  <c r="I170" i="2"/>
  <c r="F170" i="2"/>
  <c r="B170" i="2"/>
  <c r="E170" i="2" s="1"/>
  <c r="I169" i="2"/>
  <c r="K169" i="2" s="1"/>
  <c r="F169" i="2"/>
  <c r="B169" i="2"/>
  <c r="E169" i="2" s="1"/>
  <c r="K168" i="2"/>
  <c r="I168" i="2"/>
  <c r="F168" i="2"/>
  <c r="B168" i="2"/>
  <c r="E168" i="2" s="1"/>
  <c r="I167" i="2"/>
  <c r="K167" i="2" s="1"/>
  <c r="F167" i="2"/>
  <c r="B167" i="2"/>
  <c r="E167" i="2" s="1"/>
  <c r="K166" i="2"/>
  <c r="I166" i="2"/>
  <c r="F166" i="2"/>
  <c r="E166" i="2"/>
  <c r="B166" i="2"/>
  <c r="I165" i="2"/>
  <c r="F165" i="2"/>
  <c r="B165" i="2"/>
  <c r="E165" i="2" s="1"/>
  <c r="K164" i="2"/>
  <c r="I164" i="2"/>
  <c r="F164" i="2"/>
  <c r="E164" i="2"/>
  <c r="B164" i="2"/>
  <c r="I163" i="2"/>
  <c r="F163" i="2"/>
  <c r="B163" i="2"/>
  <c r="E163" i="2" s="1"/>
  <c r="K162" i="2"/>
  <c r="I162" i="2"/>
  <c r="F162" i="2"/>
  <c r="B162" i="2"/>
  <c r="E162" i="2" s="1"/>
  <c r="I161" i="2"/>
  <c r="K161" i="2" s="1"/>
  <c r="F161" i="2"/>
  <c r="B161" i="2"/>
  <c r="E161" i="2" s="1"/>
  <c r="K160" i="2"/>
  <c r="I160" i="2"/>
  <c r="F160" i="2"/>
  <c r="B160" i="2"/>
  <c r="E160" i="2" s="1"/>
  <c r="I159" i="2"/>
  <c r="K159" i="2" s="1"/>
  <c r="F159" i="2"/>
  <c r="B159" i="2"/>
  <c r="E159" i="2" s="1"/>
  <c r="K158" i="2"/>
  <c r="I158" i="2"/>
  <c r="F158" i="2"/>
  <c r="E158" i="2"/>
  <c r="B158" i="2"/>
  <c r="I157" i="2"/>
  <c r="F157" i="2"/>
  <c r="B157" i="2"/>
  <c r="E157" i="2" s="1"/>
  <c r="K156" i="2"/>
  <c r="I156" i="2"/>
  <c r="F156" i="2"/>
  <c r="E156" i="2"/>
  <c r="B156" i="2"/>
  <c r="I155" i="2"/>
  <c r="F155" i="2"/>
  <c r="B155" i="2"/>
  <c r="E155" i="2" s="1"/>
  <c r="K154" i="2"/>
  <c r="I154" i="2"/>
  <c r="F154" i="2"/>
  <c r="B154" i="2"/>
  <c r="E154" i="2" s="1"/>
  <c r="I153" i="2"/>
  <c r="K153" i="2" s="1"/>
  <c r="F153" i="2"/>
  <c r="B153" i="2"/>
  <c r="E153" i="2" s="1"/>
  <c r="K152" i="2"/>
  <c r="I152" i="2"/>
  <c r="F152" i="2"/>
  <c r="B152" i="2"/>
  <c r="E152" i="2" s="1"/>
  <c r="I151" i="2"/>
  <c r="K151" i="2" s="1"/>
  <c r="F151" i="2"/>
  <c r="B151" i="2"/>
  <c r="E151" i="2" s="1"/>
  <c r="K150" i="2"/>
  <c r="I150" i="2"/>
  <c r="F150" i="2"/>
  <c r="E150" i="2"/>
  <c r="B150" i="2"/>
  <c r="I149" i="2"/>
  <c r="F149" i="2"/>
  <c r="B149" i="2"/>
  <c r="E149" i="2" s="1"/>
  <c r="K148" i="2"/>
  <c r="I148" i="2"/>
  <c r="F148" i="2"/>
  <c r="E148" i="2"/>
  <c r="B148" i="2"/>
  <c r="I147" i="2"/>
  <c r="F147" i="2"/>
  <c r="B147" i="2"/>
  <c r="E147" i="2" s="1"/>
  <c r="K146" i="2"/>
  <c r="I146" i="2"/>
  <c r="F146" i="2"/>
  <c r="B146" i="2"/>
  <c r="E146" i="2" s="1"/>
  <c r="I145" i="2"/>
  <c r="K145" i="2" s="1"/>
  <c r="F145" i="2"/>
  <c r="B145" i="2"/>
  <c r="E145" i="2" s="1"/>
  <c r="K144" i="2"/>
  <c r="I144" i="2"/>
  <c r="F144" i="2"/>
  <c r="B144" i="2"/>
  <c r="E144" i="2" s="1"/>
  <c r="I143" i="2"/>
  <c r="K143" i="2" s="1"/>
  <c r="F143" i="2"/>
  <c r="B143" i="2"/>
  <c r="E143" i="2" s="1"/>
  <c r="K142" i="2"/>
  <c r="I142" i="2"/>
  <c r="F142" i="2"/>
  <c r="E142" i="2"/>
  <c r="B142" i="2"/>
  <c r="I141" i="2"/>
  <c r="F141" i="2"/>
  <c r="B141" i="2"/>
  <c r="E141" i="2" s="1"/>
  <c r="K140" i="2"/>
  <c r="I140" i="2"/>
  <c r="F140" i="2"/>
  <c r="E140" i="2"/>
  <c r="B140" i="2"/>
  <c r="I139" i="2"/>
  <c r="F139" i="2"/>
  <c r="B139" i="2"/>
  <c r="E139" i="2" s="1"/>
  <c r="K138" i="2"/>
  <c r="I138" i="2"/>
  <c r="F138" i="2"/>
  <c r="B138" i="2"/>
  <c r="E138" i="2" s="1"/>
  <c r="I137" i="2"/>
  <c r="K137" i="2" s="1"/>
  <c r="F137" i="2"/>
  <c r="B137" i="2"/>
  <c r="E137" i="2" s="1"/>
  <c r="K136" i="2"/>
  <c r="I136" i="2"/>
  <c r="F136" i="2"/>
  <c r="B136" i="2"/>
  <c r="E136" i="2" s="1"/>
  <c r="I135" i="2"/>
  <c r="K135" i="2" s="1"/>
  <c r="F135" i="2"/>
  <c r="B135" i="2"/>
  <c r="E135" i="2" s="1"/>
  <c r="K134" i="2"/>
  <c r="I134" i="2"/>
  <c r="F134" i="2"/>
  <c r="E134" i="2"/>
  <c r="B134" i="2"/>
  <c r="I133" i="2"/>
  <c r="F133" i="2"/>
  <c r="B133" i="2"/>
  <c r="E133" i="2" s="1"/>
  <c r="K132" i="2"/>
  <c r="I132" i="2"/>
  <c r="F132" i="2"/>
  <c r="E132" i="2"/>
  <c r="B132" i="2"/>
  <c r="I131" i="2"/>
  <c r="F131" i="2"/>
  <c r="B131" i="2"/>
  <c r="E131" i="2" s="1"/>
  <c r="K130" i="2"/>
  <c r="I130" i="2"/>
  <c r="F130" i="2"/>
  <c r="B130" i="2"/>
  <c r="E130" i="2" s="1"/>
  <c r="I129" i="2"/>
  <c r="K129" i="2" s="1"/>
  <c r="F129" i="2"/>
  <c r="B129" i="2"/>
  <c r="E129" i="2" s="1"/>
  <c r="K128" i="2"/>
  <c r="I128" i="2"/>
  <c r="F128" i="2"/>
  <c r="B128" i="2"/>
  <c r="E128" i="2" s="1"/>
  <c r="K127" i="2"/>
  <c r="I127" i="2"/>
  <c r="F127" i="2"/>
  <c r="B127" i="2"/>
  <c r="E127" i="2" s="1"/>
  <c r="I126" i="2"/>
  <c r="F126" i="2"/>
  <c r="K126" i="2" s="1"/>
  <c r="E126" i="2"/>
  <c r="B126" i="2"/>
  <c r="I125" i="2"/>
  <c r="K125" i="2" s="1"/>
  <c r="F125" i="2"/>
  <c r="B125" i="2"/>
  <c r="E125" i="2" s="1"/>
  <c r="K124" i="2"/>
  <c r="I124" i="2"/>
  <c r="F124" i="2"/>
  <c r="B124" i="2"/>
  <c r="E124" i="2" s="1"/>
  <c r="K123" i="2"/>
  <c r="I123" i="2"/>
  <c r="F123" i="2"/>
  <c r="B123" i="2"/>
  <c r="E123" i="2" s="1"/>
  <c r="I122" i="2"/>
  <c r="F122" i="2"/>
  <c r="K122" i="2" s="1"/>
  <c r="E122" i="2"/>
  <c r="B122" i="2"/>
  <c r="I121" i="2"/>
  <c r="K121" i="2" s="1"/>
  <c r="F121" i="2"/>
  <c r="B121" i="2"/>
  <c r="E121" i="2" s="1"/>
  <c r="K120" i="2"/>
  <c r="I120" i="2"/>
  <c r="F120" i="2"/>
  <c r="B120" i="2"/>
  <c r="E120" i="2" s="1"/>
  <c r="K119" i="2"/>
  <c r="I119" i="2"/>
  <c r="F119" i="2"/>
  <c r="B119" i="2"/>
  <c r="E119" i="2" s="1"/>
  <c r="I118" i="2"/>
  <c r="F118" i="2"/>
  <c r="K118" i="2" s="1"/>
  <c r="E118" i="2"/>
  <c r="B118" i="2"/>
  <c r="I117" i="2"/>
  <c r="K117" i="2" s="1"/>
  <c r="F117" i="2"/>
  <c r="B117" i="2"/>
  <c r="E117" i="2" s="1"/>
  <c r="K116" i="2"/>
  <c r="I116" i="2"/>
  <c r="F116" i="2"/>
  <c r="B116" i="2"/>
  <c r="E116" i="2" s="1"/>
  <c r="I115" i="2"/>
  <c r="F115" i="2"/>
  <c r="K115" i="2" s="1"/>
  <c r="E115" i="2"/>
  <c r="B115" i="2"/>
  <c r="K114" i="2"/>
  <c r="I114" i="2"/>
  <c r="F114" i="2"/>
  <c r="B114" i="2"/>
  <c r="E114" i="2" s="1"/>
  <c r="I113" i="2"/>
  <c r="F113" i="2"/>
  <c r="K113" i="2" s="1"/>
  <c r="E113" i="2"/>
  <c r="B113" i="2"/>
  <c r="K112" i="2"/>
  <c r="I112" i="2"/>
  <c r="F112" i="2"/>
  <c r="B112" i="2"/>
  <c r="E112" i="2" s="1"/>
  <c r="I111" i="2"/>
  <c r="F111" i="2"/>
  <c r="K111" i="2" s="1"/>
  <c r="E111" i="2"/>
  <c r="B111" i="2"/>
  <c r="K110" i="2"/>
  <c r="I110" i="2"/>
  <c r="F110" i="2"/>
  <c r="B110" i="2"/>
  <c r="E110" i="2" s="1"/>
  <c r="I109" i="2"/>
  <c r="F109" i="2"/>
  <c r="K109" i="2" s="1"/>
  <c r="E109" i="2"/>
  <c r="B109" i="2"/>
  <c r="K108" i="2"/>
  <c r="I108" i="2"/>
  <c r="F108" i="2"/>
  <c r="B108" i="2"/>
  <c r="E108" i="2" s="1"/>
  <c r="I107" i="2"/>
  <c r="F107" i="2"/>
  <c r="K107" i="2" s="1"/>
  <c r="E107" i="2"/>
  <c r="B107" i="2"/>
  <c r="K106" i="2"/>
  <c r="I106" i="2"/>
  <c r="F106" i="2"/>
  <c r="B106" i="2"/>
  <c r="E106" i="2" s="1"/>
  <c r="I105" i="2"/>
  <c r="F105" i="2"/>
  <c r="K105" i="2" s="1"/>
  <c r="E105" i="2"/>
  <c r="B105" i="2"/>
  <c r="K104" i="2"/>
  <c r="I104" i="2"/>
  <c r="F104" i="2"/>
  <c r="B104" i="2"/>
  <c r="E104" i="2" s="1"/>
  <c r="I103" i="2"/>
  <c r="F103" i="2"/>
  <c r="K103" i="2" s="1"/>
  <c r="E103" i="2"/>
  <c r="B103" i="2"/>
  <c r="K102" i="2"/>
  <c r="I102" i="2"/>
  <c r="F102" i="2"/>
  <c r="B102" i="2"/>
  <c r="E102" i="2" s="1"/>
  <c r="I101" i="2"/>
  <c r="F101" i="2"/>
  <c r="K101" i="2" s="1"/>
  <c r="E101" i="2"/>
  <c r="B101" i="2"/>
  <c r="I100" i="2"/>
  <c r="K100" i="2" s="1"/>
  <c r="F100" i="2"/>
  <c r="B100" i="2"/>
  <c r="E100" i="2" s="1"/>
  <c r="I99" i="2"/>
  <c r="F99" i="2"/>
  <c r="K99" i="2" s="1"/>
  <c r="E99" i="2"/>
  <c r="B99" i="2"/>
  <c r="I98" i="2"/>
  <c r="K98" i="2" s="1"/>
  <c r="F98" i="2"/>
  <c r="B98" i="2"/>
  <c r="E98" i="2" s="1"/>
  <c r="I97" i="2"/>
  <c r="F97" i="2"/>
  <c r="K97" i="2" s="1"/>
  <c r="E97" i="2"/>
  <c r="B97" i="2"/>
  <c r="K96" i="2"/>
  <c r="I96" i="2"/>
  <c r="F96" i="2"/>
  <c r="B96" i="2"/>
  <c r="E96" i="2" s="1"/>
  <c r="I95" i="2"/>
  <c r="F95" i="2"/>
  <c r="K95" i="2" s="1"/>
  <c r="E95" i="2"/>
  <c r="B95" i="2"/>
  <c r="K94" i="2"/>
  <c r="I94" i="2"/>
  <c r="F94" i="2"/>
  <c r="B94" i="2"/>
  <c r="E94" i="2" s="1"/>
  <c r="I93" i="2"/>
  <c r="F93" i="2"/>
  <c r="K93" i="2" s="1"/>
  <c r="E93" i="2"/>
  <c r="B93" i="2"/>
  <c r="I92" i="2"/>
  <c r="K92" i="2" s="1"/>
  <c r="F92" i="2"/>
  <c r="B92" i="2"/>
  <c r="E92" i="2" s="1"/>
  <c r="I91" i="2"/>
  <c r="F91" i="2"/>
  <c r="K91" i="2" s="1"/>
  <c r="E91" i="2"/>
  <c r="B91" i="2"/>
  <c r="I90" i="2"/>
  <c r="K90" i="2" s="1"/>
  <c r="F90" i="2"/>
  <c r="B90" i="2"/>
  <c r="E90" i="2" s="1"/>
  <c r="I89" i="2"/>
  <c r="F89" i="2"/>
  <c r="K89" i="2" s="1"/>
  <c r="E89" i="2"/>
  <c r="B89" i="2"/>
  <c r="K88" i="2"/>
  <c r="I88" i="2"/>
  <c r="F88" i="2"/>
  <c r="B88" i="2"/>
  <c r="E88" i="2" s="1"/>
  <c r="I87" i="2"/>
  <c r="F87" i="2"/>
  <c r="K87" i="2" s="1"/>
  <c r="E87" i="2"/>
  <c r="B87" i="2"/>
  <c r="K86" i="2"/>
  <c r="I86" i="2"/>
  <c r="F86" i="2"/>
  <c r="B86" i="2"/>
  <c r="E86" i="2" s="1"/>
  <c r="I85" i="2"/>
  <c r="F85" i="2"/>
  <c r="K85" i="2" s="1"/>
  <c r="E85" i="2"/>
  <c r="B85" i="2"/>
  <c r="I84" i="2"/>
  <c r="K84" i="2" s="1"/>
  <c r="F84" i="2"/>
  <c r="B84" i="2"/>
  <c r="E84" i="2" s="1"/>
  <c r="K83" i="2"/>
  <c r="I83" i="2"/>
  <c r="F83" i="2"/>
  <c r="B83" i="2"/>
  <c r="E83" i="2" s="1"/>
  <c r="K82" i="2"/>
  <c r="I82" i="2"/>
  <c r="F82" i="2"/>
  <c r="B82" i="2"/>
  <c r="E82" i="2" s="1"/>
  <c r="I81" i="2"/>
  <c r="F81" i="2"/>
  <c r="K81" i="2" s="1"/>
  <c r="E81" i="2"/>
  <c r="B81" i="2"/>
  <c r="I80" i="2"/>
  <c r="K80" i="2" s="1"/>
  <c r="F80" i="2"/>
  <c r="B80" i="2"/>
  <c r="E80" i="2" s="1"/>
  <c r="K79" i="2"/>
  <c r="I79" i="2"/>
  <c r="F79" i="2"/>
  <c r="B79" i="2"/>
  <c r="E79" i="2" s="1"/>
  <c r="K78" i="2"/>
  <c r="I78" i="2"/>
  <c r="F78" i="2"/>
  <c r="B78" i="2"/>
  <c r="E78" i="2" s="1"/>
  <c r="I77" i="2"/>
  <c r="F77" i="2"/>
  <c r="K77" i="2" s="1"/>
  <c r="E77" i="2"/>
  <c r="B77" i="2"/>
  <c r="I76" i="2"/>
  <c r="K76" i="2" s="1"/>
  <c r="F76" i="2"/>
  <c r="B76" i="2"/>
  <c r="E76" i="2" s="1"/>
  <c r="K75" i="2"/>
  <c r="I75" i="2"/>
  <c r="F75" i="2"/>
  <c r="B75" i="2"/>
  <c r="E75" i="2" s="1"/>
  <c r="K74" i="2"/>
  <c r="I74" i="2"/>
  <c r="F74" i="2"/>
  <c r="B74" i="2"/>
  <c r="E74" i="2" s="1"/>
  <c r="I73" i="2"/>
  <c r="K73" i="2" s="1"/>
  <c r="F73" i="2"/>
  <c r="E73" i="2"/>
  <c r="B73" i="2"/>
  <c r="K72" i="2"/>
  <c r="I72" i="2"/>
  <c r="F72" i="2"/>
  <c r="B72" i="2"/>
  <c r="E72" i="2" s="1"/>
  <c r="I71" i="2"/>
  <c r="K71" i="2" s="1"/>
  <c r="F71" i="2"/>
  <c r="E71" i="2"/>
  <c r="B71" i="2"/>
  <c r="K70" i="2"/>
  <c r="I70" i="2"/>
  <c r="F70" i="2"/>
  <c r="B70" i="2"/>
  <c r="E70" i="2" s="1"/>
  <c r="I69" i="2"/>
  <c r="F69" i="2"/>
  <c r="K69" i="2" s="1"/>
  <c r="E69" i="2"/>
  <c r="B69" i="2"/>
  <c r="K68" i="2"/>
  <c r="I68" i="2"/>
  <c r="F68" i="2"/>
  <c r="B68" i="2"/>
  <c r="E68" i="2" s="1"/>
  <c r="I67" i="2"/>
  <c r="F67" i="2"/>
  <c r="K67" i="2" s="1"/>
  <c r="E67" i="2"/>
  <c r="B67" i="2"/>
  <c r="K66" i="2"/>
  <c r="I66" i="2"/>
  <c r="F66" i="2"/>
  <c r="B66" i="2"/>
  <c r="E66" i="2" s="1"/>
  <c r="I65" i="2"/>
  <c r="F65" i="2"/>
  <c r="K65" i="2" s="1"/>
  <c r="E65" i="2"/>
  <c r="B65" i="2"/>
  <c r="K64" i="2"/>
  <c r="I64" i="2"/>
  <c r="F64" i="2"/>
  <c r="B64" i="2"/>
  <c r="E64" i="2" s="1"/>
  <c r="I63" i="2"/>
  <c r="F63" i="2"/>
  <c r="K63" i="2" s="1"/>
  <c r="E63" i="2"/>
  <c r="B63" i="2"/>
  <c r="K62" i="2"/>
  <c r="I62" i="2"/>
  <c r="F62" i="2"/>
  <c r="B62" i="2"/>
  <c r="E62" i="2" s="1"/>
  <c r="I61" i="2"/>
  <c r="F61" i="2"/>
  <c r="K61" i="2" s="1"/>
  <c r="E61" i="2"/>
  <c r="B61" i="2"/>
  <c r="K60" i="2"/>
  <c r="I60" i="2"/>
  <c r="F60" i="2"/>
  <c r="B60" i="2"/>
  <c r="E60" i="2" s="1"/>
  <c r="I59" i="2"/>
  <c r="F59" i="2"/>
  <c r="K59" i="2" s="1"/>
  <c r="E59" i="2"/>
  <c r="B59" i="2"/>
  <c r="K58" i="2"/>
  <c r="I58" i="2"/>
  <c r="F58" i="2"/>
  <c r="B58" i="2"/>
  <c r="E58" i="2" s="1"/>
  <c r="I57" i="2"/>
  <c r="F57" i="2"/>
  <c r="K57" i="2" s="1"/>
  <c r="E57" i="2"/>
  <c r="B57" i="2"/>
  <c r="K56" i="2"/>
  <c r="I56" i="2"/>
  <c r="F56" i="2"/>
  <c r="B56" i="2"/>
  <c r="E56" i="2" s="1"/>
  <c r="I55" i="2"/>
  <c r="F55" i="2"/>
  <c r="K55" i="2" s="1"/>
  <c r="E55" i="2"/>
  <c r="B55" i="2"/>
  <c r="K54" i="2"/>
  <c r="I54" i="2"/>
  <c r="F54" i="2"/>
  <c r="B54" i="2"/>
  <c r="E54" i="2" s="1"/>
  <c r="I53" i="2"/>
  <c r="F53" i="2"/>
  <c r="K53" i="2" s="1"/>
  <c r="E53" i="2"/>
  <c r="B53" i="2"/>
  <c r="K52" i="2"/>
  <c r="I52" i="2"/>
  <c r="F52" i="2"/>
  <c r="B52" i="2"/>
  <c r="E52" i="2" s="1"/>
  <c r="I51" i="2"/>
  <c r="F51" i="2"/>
  <c r="K51" i="2" s="1"/>
  <c r="E51" i="2"/>
  <c r="B51" i="2"/>
  <c r="K50" i="2"/>
  <c r="I50" i="2"/>
  <c r="F50" i="2"/>
  <c r="B50" i="2"/>
  <c r="E50" i="2" s="1"/>
  <c r="I49" i="2"/>
  <c r="F49" i="2"/>
  <c r="K49" i="2" s="1"/>
  <c r="E49" i="2"/>
  <c r="B49" i="2"/>
  <c r="K48" i="2"/>
  <c r="I48" i="2"/>
  <c r="F48" i="2"/>
  <c r="B48" i="2"/>
  <c r="E48" i="2" s="1"/>
  <c r="I47" i="2"/>
  <c r="F47" i="2"/>
  <c r="K47" i="2" s="1"/>
  <c r="E47" i="2"/>
  <c r="B47" i="2"/>
  <c r="K46" i="2"/>
  <c r="I46" i="2"/>
  <c r="F46" i="2"/>
  <c r="B46" i="2"/>
  <c r="E46" i="2" s="1"/>
  <c r="I45" i="2"/>
  <c r="F45" i="2"/>
  <c r="K45" i="2" s="1"/>
  <c r="E45" i="2"/>
  <c r="B45" i="2"/>
  <c r="K44" i="2"/>
  <c r="I44" i="2"/>
  <c r="F44" i="2"/>
  <c r="B44" i="2"/>
  <c r="E44" i="2" s="1"/>
  <c r="I43" i="2"/>
  <c r="F43" i="2"/>
  <c r="K43" i="2" s="1"/>
  <c r="E43" i="2"/>
  <c r="B43" i="2"/>
  <c r="K42" i="2"/>
  <c r="I42" i="2"/>
  <c r="F42" i="2"/>
  <c r="B42" i="2"/>
  <c r="E42" i="2" s="1"/>
  <c r="I41" i="2"/>
  <c r="F41" i="2"/>
  <c r="K41" i="2" s="1"/>
  <c r="E41" i="2"/>
  <c r="B41" i="2"/>
  <c r="K40" i="2"/>
  <c r="I40" i="2"/>
  <c r="F40" i="2"/>
  <c r="B40" i="2"/>
  <c r="E40" i="2" s="1"/>
  <c r="I39" i="2"/>
  <c r="F39" i="2"/>
  <c r="K39" i="2" s="1"/>
  <c r="E39" i="2"/>
  <c r="B39" i="2"/>
  <c r="K38" i="2"/>
  <c r="I38" i="2"/>
  <c r="F38" i="2"/>
  <c r="B38" i="2"/>
  <c r="E38" i="2" s="1"/>
  <c r="I37" i="2"/>
  <c r="F37" i="2"/>
  <c r="K37" i="2" s="1"/>
  <c r="E37" i="2"/>
  <c r="B37" i="2"/>
  <c r="K36" i="2"/>
  <c r="I36" i="2"/>
  <c r="F36" i="2"/>
  <c r="B36" i="2"/>
  <c r="E36" i="2" s="1"/>
  <c r="I35" i="2"/>
  <c r="F35" i="2"/>
  <c r="K35" i="2" s="1"/>
  <c r="E35" i="2"/>
  <c r="B35" i="2"/>
  <c r="K34" i="2"/>
  <c r="I34" i="2"/>
  <c r="F34" i="2"/>
  <c r="B34" i="2"/>
  <c r="E34" i="2" s="1"/>
  <c r="I33" i="2"/>
  <c r="F33" i="2"/>
  <c r="K33" i="2" s="1"/>
  <c r="E33" i="2"/>
  <c r="B33" i="2"/>
  <c r="K32" i="2"/>
  <c r="I32" i="2"/>
  <c r="F32" i="2"/>
  <c r="B32" i="2"/>
  <c r="E32" i="2" s="1"/>
  <c r="I31" i="2"/>
  <c r="F31" i="2"/>
  <c r="K31" i="2" s="1"/>
  <c r="E31" i="2"/>
  <c r="B31" i="2"/>
  <c r="K30" i="2"/>
  <c r="I30" i="2"/>
  <c r="F30" i="2"/>
  <c r="B30" i="2"/>
  <c r="E30" i="2" s="1"/>
  <c r="I29" i="2"/>
  <c r="F29" i="2"/>
  <c r="K29" i="2" s="1"/>
  <c r="E29" i="2"/>
  <c r="B29" i="2"/>
  <c r="K28" i="2"/>
  <c r="I28" i="2"/>
  <c r="F28" i="2"/>
  <c r="B28" i="2"/>
  <c r="E28" i="2" s="1"/>
  <c r="I27" i="2"/>
  <c r="F27" i="2"/>
  <c r="K27" i="2" s="1"/>
  <c r="E27" i="2"/>
  <c r="B27" i="2"/>
  <c r="K26" i="2"/>
  <c r="I26" i="2"/>
  <c r="F26" i="2"/>
  <c r="B26" i="2"/>
  <c r="E26" i="2" s="1"/>
  <c r="I25" i="2"/>
  <c r="F25" i="2"/>
  <c r="K25" i="2" s="1"/>
  <c r="E25" i="2"/>
  <c r="B25" i="2"/>
  <c r="K24" i="2"/>
  <c r="I24" i="2"/>
  <c r="F24" i="2"/>
  <c r="B24" i="2"/>
  <c r="E24" i="2" s="1"/>
  <c r="I23" i="2"/>
  <c r="F23" i="2"/>
  <c r="K23" i="2" s="1"/>
  <c r="E23" i="2"/>
  <c r="B23" i="2"/>
  <c r="K22" i="2"/>
  <c r="I22" i="2"/>
  <c r="F22" i="2"/>
  <c r="B22" i="2"/>
  <c r="E22" i="2" s="1"/>
  <c r="I21" i="2"/>
  <c r="F21" i="2"/>
  <c r="K21" i="2" s="1"/>
  <c r="E21" i="2"/>
  <c r="B21" i="2"/>
  <c r="K20" i="2"/>
  <c r="I20" i="2"/>
  <c r="F20" i="2"/>
  <c r="B20" i="2"/>
  <c r="E20" i="2" s="1"/>
  <c r="I19" i="2"/>
  <c r="F19" i="2"/>
  <c r="K19" i="2" s="1"/>
  <c r="E19" i="2"/>
  <c r="B19" i="2"/>
  <c r="K18" i="2"/>
  <c r="I18" i="2"/>
  <c r="F18" i="2"/>
  <c r="B18" i="2"/>
  <c r="E18" i="2" s="1"/>
  <c r="I17" i="2"/>
  <c r="F17" i="2"/>
  <c r="K17" i="2" s="1"/>
  <c r="E17" i="2"/>
  <c r="B17" i="2"/>
  <c r="K16" i="2"/>
  <c r="I16" i="2"/>
  <c r="F16" i="2"/>
  <c r="B16" i="2"/>
  <c r="E16" i="2" s="1"/>
  <c r="I15" i="2"/>
  <c r="F15" i="2"/>
  <c r="K15" i="2" s="1"/>
  <c r="E15" i="2"/>
  <c r="B15" i="2"/>
  <c r="K14" i="2"/>
  <c r="I14" i="2"/>
  <c r="F14" i="2"/>
  <c r="B14" i="2"/>
  <c r="E14" i="2" s="1"/>
  <c r="I13" i="2"/>
  <c r="F13" i="2"/>
  <c r="K13" i="2" s="1"/>
  <c r="E13" i="2"/>
  <c r="B13" i="2"/>
  <c r="K12" i="2"/>
  <c r="I12" i="2"/>
  <c r="F12" i="2"/>
  <c r="B12" i="2"/>
  <c r="E12" i="2" s="1"/>
  <c r="I11" i="2"/>
  <c r="F11" i="2"/>
  <c r="K11" i="2" s="1"/>
  <c r="E11" i="2"/>
  <c r="B11" i="2"/>
  <c r="K10" i="2"/>
  <c r="I10" i="2"/>
  <c r="F10" i="2"/>
  <c r="B10" i="2"/>
  <c r="E10" i="2" s="1"/>
  <c r="I9" i="2"/>
  <c r="F9" i="2"/>
  <c r="K9" i="2" s="1"/>
  <c r="E9" i="2"/>
  <c r="B9" i="2"/>
  <c r="K8" i="2"/>
  <c r="I8" i="2"/>
  <c r="F8" i="2"/>
  <c r="B8" i="2"/>
  <c r="E8" i="2" s="1"/>
  <c r="I7" i="2"/>
  <c r="F7" i="2"/>
  <c r="K7" i="2" s="1"/>
  <c r="E7" i="2"/>
  <c r="B7" i="2"/>
  <c r="K6" i="2"/>
  <c r="I6" i="2"/>
  <c r="F6" i="2"/>
  <c r="B6" i="2"/>
  <c r="E6" i="2" s="1"/>
  <c r="I5" i="2"/>
  <c r="F5" i="2"/>
  <c r="K5" i="2" s="1"/>
  <c r="E5" i="2"/>
  <c r="B5" i="2"/>
  <c r="K4" i="2"/>
  <c r="I4" i="2"/>
  <c r="F4" i="2"/>
  <c r="B4" i="2"/>
  <c r="E4" i="2" s="1"/>
  <c r="I3" i="2"/>
  <c r="F3" i="2"/>
  <c r="K3" i="2" s="1"/>
  <c r="E3" i="2"/>
  <c r="B3" i="2"/>
  <c r="K2" i="2"/>
  <c r="I2" i="2"/>
  <c r="F2" i="2"/>
  <c r="B2" i="2"/>
  <c r="E2" i="2" s="1"/>
  <c r="O303" i="1"/>
  <c r="N303" i="1"/>
  <c r="H303" i="1"/>
  <c r="G303" i="1"/>
  <c r="F303" i="1"/>
  <c r="J303" i="1" s="1"/>
  <c r="M303" i="1" s="1"/>
  <c r="C303" i="1"/>
  <c r="O302" i="1"/>
  <c r="N302" i="1"/>
  <c r="G302" i="1"/>
  <c r="F302" i="1"/>
  <c r="J302" i="1" s="1"/>
  <c r="M302" i="1" s="1"/>
  <c r="C302" i="1"/>
  <c r="H302" i="1" s="1"/>
  <c r="O301" i="1"/>
  <c r="N301" i="1"/>
  <c r="H301" i="1"/>
  <c r="G301" i="1"/>
  <c r="F301" i="1"/>
  <c r="J301" i="1" s="1"/>
  <c r="M301" i="1" s="1"/>
  <c r="C301" i="1"/>
  <c r="O300" i="1"/>
  <c r="N300" i="1"/>
  <c r="G300" i="1"/>
  <c r="F300" i="1"/>
  <c r="J300" i="1" s="1"/>
  <c r="M300" i="1" s="1"/>
  <c r="C300" i="1"/>
  <c r="H300" i="1" s="1"/>
  <c r="O299" i="1"/>
  <c r="N299" i="1"/>
  <c r="H299" i="1"/>
  <c r="G299" i="1"/>
  <c r="F299" i="1"/>
  <c r="J299" i="1" s="1"/>
  <c r="M299" i="1" s="1"/>
  <c r="C299" i="1"/>
  <c r="O298" i="1"/>
  <c r="N298" i="1"/>
  <c r="G298" i="1"/>
  <c r="F298" i="1"/>
  <c r="J298" i="1" s="1"/>
  <c r="M298" i="1" s="1"/>
  <c r="C298" i="1"/>
  <c r="H298" i="1" s="1"/>
  <c r="O297" i="1"/>
  <c r="N297" i="1"/>
  <c r="H297" i="1"/>
  <c r="G297" i="1"/>
  <c r="F297" i="1"/>
  <c r="J297" i="1" s="1"/>
  <c r="M297" i="1" s="1"/>
  <c r="C297" i="1"/>
  <c r="O296" i="1"/>
  <c r="N296" i="1"/>
  <c r="G296" i="1"/>
  <c r="F296" i="1"/>
  <c r="J296" i="1" s="1"/>
  <c r="M296" i="1" s="1"/>
  <c r="C296" i="1"/>
  <c r="H296" i="1" s="1"/>
  <c r="O295" i="1"/>
  <c r="N295" i="1"/>
  <c r="H295" i="1"/>
  <c r="G295" i="1"/>
  <c r="F295" i="1"/>
  <c r="J295" i="1" s="1"/>
  <c r="M295" i="1" s="1"/>
  <c r="C295" i="1"/>
  <c r="O294" i="1"/>
  <c r="N294" i="1"/>
  <c r="G294" i="1"/>
  <c r="F294" i="1"/>
  <c r="J294" i="1" s="1"/>
  <c r="M294" i="1" s="1"/>
  <c r="C294" i="1"/>
  <c r="H294" i="1" s="1"/>
  <c r="O293" i="1"/>
  <c r="N293" i="1"/>
  <c r="M293" i="1"/>
  <c r="H293" i="1"/>
  <c r="G293" i="1"/>
  <c r="F293" i="1"/>
  <c r="J293" i="1" s="1"/>
  <c r="C293" i="1"/>
  <c r="O292" i="1"/>
  <c r="N292" i="1"/>
  <c r="J292" i="1"/>
  <c r="M292" i="1" s="1"/>
  <c r="G292" i="1"/>
  <c r="F292" i="1"/>
  <c r="C292" i="1"/>
  <c r="H292" i="1" s="1"/>
  <c r="O291" i="1"/>
  <c r="N291" i="1"/>
  <c r="H291" i="1"/>
  <c r="G291" i="1"/>
  <c r="F291" i="1"/>
  <c r="J291" i="1" s="1"/>
  <c r="M291" i="1" s="1"/>
  <c r="C291" i="1"/>
  <c r="O290" i="1"/>
  <c r="N290" i="1"/>
  <c r="G290" i="1"/>
  <c r="F290" i="1"/>
  <c r="J290" i="1" s="1"/>
  <c r="M290" i="1" s="1"/>
  <c r="C290" i="1"/>
  <c r="H290" i="1" s="1"/>
  <c r="O289" i="1"/>
  <c r="N289" i="1"/>
  <c r="H289" i="1"/>
  <c r="G289" i="1"/>
  <c r="F289" i="1"/>
  <c r="J289" i="1" s="1"/>
  <c r="M289" i="1" s="1"/>
  <c r="C289" i="1"/>
  <c r="O288" i="1"/>
  <c r="N288" i="1"/>
  <c r="G288" i="1"/>
  <c r="F288" i="1"/>
  <c r="J288" i="1" s="1"/>
  <c r="M288" i="1" s="1"/>
  <c r="C288" i="1"/>
  <c r="H288" i="1" s="1"/>
  <c r="O287" i="1"/>
  <c r="N287" i="1"/>
  <c r="H287" i="1"/>
  <c r="G287" i="1"/>
  <c r="F287" i="1"/>
  <c r="J287" i="1" s="1"/>
  <c r="M287" i="1" s="1"/>
  <c r="C287" i="1"/>
  <c r="O286" i="1"/>
  <c r="N286" i="1"/>
  <c r="H286" i="1"/>
  <c r="G286" i="1"/>
  <c r="F286" i="1"/>
  <c r="J286" i="1" s="1"/>
  <c r="M286" i="1" s="1"/>
  <c r="C286" i="1"/>
  <c r="O285" i="1"/>
  <c r="N285" i="1"/>
  <c r="H285" i="1"/>
  <c r="G285" i="1"/>
  <c r="F285" i="1"/>
  <c r="J285" i="1" s="1"/>
  <c r="M285" i="1" s="1"/>
  <c r="C285" i="1"/>
  <c r="O284" i="1"/>
  <c r="N284" i="1"/>
  <c r="J284" i="1"/>
  <c r="M284" i="1" s="1"/>
  <c r="G284" i="1"/>
  <c r="F284" i="1"/>
  <c r="C284" i="1"/>
  <c r="H284" i="1" s="1"/>
  <c r="O283" i="1"/>
  <c r="N283" i="1"/>
  <c r="M283" i="1"/>
  <c r="H283" i="1"/>
  <c r="G283" i="1"/>
  <c r="F283" i="1"/>
  <c r="J283" i="1" s="1"/>
  <c r="C283" i="1"/>
  <c r="O282" i="1"/>
  <c r="N282" i="1"/>
  <c r="H282" i="1"/>
  <c r="G282" i="1"/>
  <c r="F282" i="1"/>
  <c r="J282" i="1" s="1"/>
  <c r="M282" i="1" s="1"/>
  <c r="C282" i="1"/>
  <c r="O281" i="1"/>
  <c r="N281" i="1"/>
  <c r="J281" i="1"/>
  <c r="M281" i="1" s="1"/>
  <c r="G281" i="1"/>
  <c r="F281" i="1"/>
  <c r="C281" i="1"/>
  <c r="H281" i="1" s="1"/>
  <c r="O280" i="1"/>
  <c r="N280" i="1"/>
  <c r="M280" i="1"/>
  <c r="H280" i="1"/>
  <c r="G280" i="1"/>
  <c r="F280" i="1"/>
  <c r="J280" i="1" s="1"/>
  <c r="C280" i="1"/>
  <c r="O279" i="1"/>
  <c r="N279" i="1"/>
  <c r="J279" i="1"/>
  <c r="M279" i="1" s="1"/>
  <c r="G279" i="1"/>
  <c r="F279" i="1"/>
  <c r="C279" i="1"/>
  <c r="H279" i="1" s="1"/>
  <c r="O278" i="1"/>
  <c r="N278" i="1"/>
  <c r="M278" i="1"/>
  <c r="H278" i="1"/>
  <c r="G278" i="1"/>
  <c r="F278" i="1"/>
  <c r="J278" i="1" s="1"/>
  <c r="C278" i="1"/>
  <c r="O277" i="1"/>
  <c r="N277" i="1"/>
  <c r="J277" i="1"/>
  <c r="M277" i="1" s="1"/>
  <c r="G277" i="1"/>
  <c r="F277" i="1"/>
  <c r="C277" i="1"/>
  <c r="H277" i="1" s="1"/>
  <c r="O276" i="1"/>
  <c r="N276" i="1"/>
  <c r="H276" i="1"/>
  <c r="G276" i="1"/>
  <c r="F276" i="1"/>
  <c r="J276" i="1" s="1"/>
  <c r="M276" i="1" s="1"/>
  <c r="C276" i="1"/>
  <c r="O275" i="1"/>
  <c r="N275" i="1"/>
  <c r="J275" i="1"/>
  <c r="M275" i="1" s="1"/>
  <c r="G275" i="1"/>
  <c r="F275" i="1"/>
  <c r="C275" i="1"/>
  <c r="H275" i="1" s="1"/>
  <c r="O274" i="1"/>
  <c r="N274" i="1"/>
  <c r="H274" i="1"/>
  <c r="G274" i="1"/>
  <c r="F274" i="1"/>
  <c r="J274" i="1" s="1"/>
  <c r="M274" i="1" s="1"/>
  <c r="C274" i="1"/>
  <c r="O273" i="1"/>
  <c r="N273" i="1"/>
  <c r="J273" i="1"/>
  <c r="M273" i="1" s="1"/>
  <c r="G273" i="1"/>
  <c r="F273" i="1"/>
  <c r="C273" i="1"/>
  <c r="H273" i="1" s="1"/>
  <c r="O272" i="1"/>
  <c r="N272" i="1"/>
  <c r="M272" i="1"/>
  <c r="H272" i="1"/>
  <c r="G272" i="1"/>
  <c r="F272" i="1"/>
  <c r="J272" i="1" s="1"/>
  <c r="C272" i="1"/>
  <c r="O271" i="1"/>
  <c r="N271" i="1"/>
  <c r="J271" i="1"/>
  <c r="M271" i="1" s="1"/>
  <c r="G271" i="1"/>
  <c r="F271" i="1"/>
  <c r="C271" i="1"/>
  <c r="H271" i="1" s="1"/>
  <c r="O270" i="1"/>
  <c r="N270" i="1"/>
  <c r="M270" i="1"/>
  <c r="H270" i="1"/>
  <c r="G270" i="1"/>
  <c r="F270" i="1"/>
  <c r="J270" i="1" s="1"/>
  <c r="C270" i="1"/>
  <c r="O269" i="1"/>
  <c r="N269" i="1"/>
  <c r="J269" i="1"/>
  <c r="M269" i="1" s="1"/>
  <c r="G269" i="1"/>
  <c r="F269" i="1"/>
  <c r="C269" i="1"/>
  <c r="H269" i="1" s="1"/>
  <c r="O268" i="1"/>
  <c r="N268" i="1"/>
  <c r="H268" i="1"/>
  <c r="G268" i="1"/>
  <c r="F268" i="1"/>
  <c r="J268" i="1" s="1"/>
  <c r="M268" i="1" s="1"/>
  <c r="C268" i="1"/>
  <c r="O267" i="1"/>
  <c r="N267" i="1"/>
  <c r="J267" i="1"/>
  <c r="M267" i="1" s="1"/>
  <c r="G267" i="1"/>
  <c r="F267" i="1"/>
  <c r="C267" i="1"/>
  <c r="H267" i="1" s="1"/>
  <c r="O266" i="1"/>
  <c r="N266" i="1"/>
  <c r="H266" i="1"/>
  <c r="G266" i="1"/>
  <c r="F266" i="1"/>
  <c r="J266" i="1" s="1"/>
  <c r="M266" i="1" s="1"/>
  <c r="C266" i="1"/>
  <c r="O265" i="1"/>
  <c r="N265" i="1"/>
  <c r="J265" i="1"/>
  <c r="M265" i="1" s="1"/>
  <c r="G265" i="1"/>
  <c r="F265" i="1"/>
  <c r="C265" i="1"/>
  <c r="H265" i="1" s="1"/>
  <c r="O264" i="1"/>
  <c r="N264" i="1"/>
  <c r="M264" i="1"/>
  <c r="H264" i="1"/>
  <c r="G264" i="1"/>
  <c r="F264" i="1"/>
  <c r="J264" i="1" s="1"/>
  <c r="C264" i="1"/>
  <c r="O263" i="1"/>
  <c r="N263" i="1"/>
  <c r="J263" i="1"/>
  <c r="M263" i="1" s="1"/>
  <c r="G263" i="1"/>
  <c r="F263" i="1"/>
  <c r="C263" i="1"/>
  <c r="H263" i="1" s="1"/>
  <c r="O262" i="1"/>
  <c r="N262" i="1"/>
  <c r="M262" i="1"/>
  <c r="H262" i="1"/>
  <c r="G262" i="1"/>
  <c r="F262" i="1"/>
  <c r="J262" i="1" s="1"/>
  <c r="C262" i="1"/>
  <c r="O261" i="1"/>
  <c r="N261" i="1"/>
  <c r="J261" i="1"/>
  <c r="M261" i="1" s="1"/>
  <c r="G261" i="1"/>
  <c r="F261" i="1"/>
  <c r="C261" i="1"/>
  <c r="H261" i="1" s="1"/>
  <c r="O260" i="1"/>
  <c r="N260" i="1"/>
  <c r="H260" i="1"/>
  <c r="G260" i="1"/>
  <c r="F260" i="1"/>
  <c r="J260" i="1" s="1"/>
  <c r="M260" i="1" s="1"/>
  <c r="C260" i="1"/>
  <c r="O259" i="1"/>
  <c r="N259" i="1"/>
  <c r="J259" i="1"/>
  <c r="M259" i="1" s="1"/>
  <c r="G259" i="1"/>
  <c r="F259" i="1"/>
  <c r="C259" i="1"/>
  <c r="H259" i="1" s="1"/>
  <c r="O258" i="1"/>
  <c r="N258" i="1"/>
  <c r="H258" i="1"/>
  <c r="G258" i="1"/>
  <c r="F258" i="1"/>
  <c r="J258" i="1" s="1"/>
  <c r="M258" i="1" s="1"/>
  <c r="C258" i="1"/>
  <c r="O257" i="1"/>
  <c r="N257" i="1"/>
  <c r="J257" i="1"/>
  <c r="M257" i="1" s="1"/>
  <c r="G257" i="1"/>
  <c r="F257" i="1"/>
  <c r="C257" i="1"/>
  <c r="H257" i="1" s="1"/>
  <c r="O256" i="1"/>
  <c r="N256" i="1"/>
  <c r="M256" i="1"/>
  <c r="H256" i="1"/>
  <c r="G256" i="1"/>
  <c r="F256" i="1"/>
  <c r="J256" i="1" s="1"/>
  <c r="C256" i="1"/>
  <c r="O255" i="1"/>
  <c r="N255" i="1"/>
  <c r="J255" i="1"/>
  <c r="M255" i="1" s="1"/>
  <c r="G255" i="1"/>
  <c r="F255" i="1"/>
  <c r="C255" i="1"/>
  <c r="H255" i="1" s="1"/>
  <c r="O254" i="1"/>
  <c r="N254" i="1"/>
  <c r="M254" i="1"/>
  <c r="H254" i="1"/>
  <c r="G254" i="1"/>
  <c r="F254" i="1"/>
  <c r="J254" i="1" s="1"/>
  <c r="C254" i="1"/>
  <c r="O253" i="1"/>
  <c r="N253" i="1"/>
  <c r="J253" i="1"/>
  <c r="M253" i="1" s="1"/>
  <c r="G253" i="1"/>
  <c r="F253" i="1"/>
  <c r="C253" i="1"/>
  <c r="H253" i="1" s="1"/>
  <c r="O252" i="1"/>
  <c r="N252" i="1"/>
  <c r="H252" i="1"/>
  <c r="G252" i="1"/>
  <c r="F252" i="1"/>
  <c r="J252" i="1" s="1"/>
  <c r="M252" i="1" s="1"/>
  <c r="C252" i="1"/>
  <c r="O251" i="1"/>
  <c r="N251" i="1"/>
  <c r="J251" i="1"/>
  <c r="M251" i="1" s="1"/>
  <c r="G251" i="1"/>
  <c r="F251" i="1"/>
  <c r="C251" i="1"/>
  <c r="H251" i="1" s="1"/>
  <c r="O250" i="1"/>
  <c r="N250" i="1"/>
  <c r="H250" i="1"/>
  <c r="G250" i="1"/>
  <c r="F250" i="1"/>
  <c r="J250" i="1" s="1"/>
  <c r="M250" i="1" s="1"/>
  <c r="C250" i="1"/>
  <c r="O249" i="1"/>
  <c r="N249" i="1"/>
  <c r="J249" i="1"/>
  <c r="M249" i="1" s="1"/>
  <c r="G249" i="1"/>
  <c r="F249" i="1"/>
  <c r="C249" i="1"/>
  <c r="H249" i="1" s="1"/>
  <c r="O248" i="1"/>
  <c r="N248" i="1"/>
  <c r="M248" i="1"/>
  <c r="H248" i="1"/>
  <c r="G248" i="1"/>
  <c r="F248" i="1"/>
  <c r="J248" i="1" s="1"/>
  <c r="C248" i="1"/>
  <c r="O247" i="1"/>
  <c r="N247" i="1"/>
  <c r="J247" i="1"/>
  <c r="M247" i="1" s="1"/>
  <c r="G247" i="1"/>
  <c r="F247" i="1"/>
  <c r="C247" i="1"/>
  <c r="H247" i="1" s="1"/>
  <c r="O246" i="1"/>
  <c r="N246" i="1"/>
  <c r="M246" i="1"/>
  <c r="H246" i="1"/>
  <c r="G246" i="1"/>
  <c r="F246" i="1"/>
  <c r="J246" i="1" s="1"/>
  <c r="C246" i="1"/>
  <c r="O245" i="1"/>
  <c r="N245" i="1"/>
  <c r="J245" i="1"/>
  <c r="M245" i="1" s="1"/>
  <c r="G245" i="1"/>
  <c r="F245" i="1"/>
  <c r="C245" i="1"/>
  <c r="H245" i="1" s="1"/>
  <c r="O244" i="1"/>
  <c r="N244" i="1"/>
  <c r="H244" i="1"/>
  <c r="G244" i="1"/>
  <c r="F244" i="1"/>
  <c r="J244" i="1" s="1"/>
  <c r="M244" i="1" s="1"/>
  <c r="C244" i="1"/>
  <c r="O243" i="1"/>
  <c r="N243" i="1"/>
  <c r="J243" i="1"/>
  <c r="M243" i="1" s="1"/>
  <c r="G243" i="1"/>
  <c r="F243" i="1"/>
  <c r="C243" i="1"/>
  <c r="H243" i="1" s="1"/>
  <c r="O242" i="1"/>
  <c r="N242" i="1"/>
  <c r="H242" i="1"/>
  <c r="G242" i="1"/>
  <c r="F242" i="1"/>
  <c r="J242" i="1" s="1"/>
  <c r="M242" i="1" s="1"/>
  <c r="C242" i="1"/>
  <c r="O241" i="1"/>
  <c r="N241" i="1"/>
  <c r="J241" i="1"/>
  <c r="M241" i="1" s="1"/>
  <c r="G241" i="1"/>
  <c r="F241" i="1"/>
  <c r="C241" i="1"/>
  <c r="H241" i="1" s="1"/>
  <c r="O240" i="1"/>
  <c r="N240" i="1"/>
  <c r="M240" i="1"/>
  <c r="H240" i="1"/>
  <c r="G240" i="1"/>
  <c r="F240" i="1"/>
  <c r="J240" i="1" s="1"/>
  <c r="C240" i="1"/>
  <c r="O239" i="1"/>
  <c r="N239" i="1"/>
  <c r="J239" i="1"/>
  <c r="M239" i="1" s="1"/>
  <c r="G239" i="1"/>
  <c r="F239" i="1"/>
  <c r="C239" i="1"/>
  <c r="H239" i="1" s="1"/>
  <c r="O238" i="1"/>
  <c r="N238" i="1"/>
  <c r="M238" i="1"/>
  <c r="H238" i="1"/>
  <c r="G238" i="1"/>
  <c r="F238" i="1"/>
  <c r="J238" i="1" s="1"/>
  <c r="C238" i="1"/>
  <c r="O237" i="1"/>
  <c r="N237" i="1"/>
  <c r="J237" i="1"/>
  <c r="M237" i="1" s="1"/>
  <c r="G237" i="1"/>
  <c r="F237" i="1"/>
  <c r="C237" i="1"/>
  <c r="H237" i="1" s="1"/>
  <c r="O236" i="1"/>
  <c r="N236" i="1"/>
  <c r="H236" i="1"/>
  <c r="G236" i="1"/>
  <c r="F236" i="1"/>
  <c r="J236" i="1" s="1"/>
  <c r="M236" i="1" s="1"/>
  <c r="C236" i="1"/>
  <c r="O235" i="1"/>
  <c r="N235" i="1"/>
  <c r="J235" i="1"/>
  <c r="M235" i="1" s="1"/>
  <c r="G235" i="1"/>
  <c r="F235" i="1"/>
  <c r="C235" i="1"/>
  <c r="H235" i="1" s="1"/>
  <c r="O234" i="1"/>
  <c r="N234" i="1"/>
  <c r="H234" i="1"/>
  <c r="G234" i="1"/>
  <c r="F234" i="1"/>
  <c r="J234" i="1" s="1"/>
  <c r="M234" i="1" s="1"/>
  <c r="C234" i="1"/>
  <c r="O233" i="1"/>
  <c r="N233" i="1"/>
  <c r="J233" i="1"/>
  <c r="M233" i="1" s="1"/>
  <c r="G233" i="1"/>
  <c r="F233" i="1"/>
  <c r="C233" i="1"/>
  <c r="H233" i="1" s="1"/>
  <c r="O232" i="1"/>
  <c r="N232" i="1"/>
  <c r="M232" i="1"/>
  <c r="H232" i="1"/>
  <c r="G232" i="1"/>
  <c r="F232" i="1"/>
  <c r="J232" i="1" s="1"/>
  <c r="C232" i="1"/>
  <c r="O231" i="1"/>
  <c r="N231" i="1"/>
  <c r="J231" i="1"/>
  <c r="M231" i="1" s="1"/>
  <c r="G231" i="1"/>
  <c r="F231" i="1"/>
  <c r="C231" i="1"/>
  <c r="H231" i="1" s="1"/>
  <c r="O230" i="1"/>
  <c r="N230" i="1"/>
  <c r="M230" i="1"/>
  <c r="H230" i="1"/>
  <c r="G230" i="1"/>
  <c r="F230" i="1"/>
  <c r="J230" i="1" s="1"/>
  <c r="C230" i="1"/>
  <c r="O229" i="1"/>
  <c r="N229" i="1"/>
  <c r="J229" i="1"/>
  <c r="M229" i="1" s="1"/>
  <c r="G229" i="1"/>
  <c r="F229" i="1"/>
  <c r="C229" i="1"/>
  <c r="H229" i="1" s="1"/>
  <c r="O228" i="1"/>
  <c r="N228" i="1"/>
  <c r="H228" i="1"/>
  <c r="G228" i="1"/>
  <c r="F228" i="1"/>
  <c r="J228" i="1" s="1"/>
  <c r="M228" i="1" s="1"/>
  <c r="C228" i="1"/>
  <c r="O227" i="1"/>
  <c r="N227" i="1"/>
  <c r="J227" i="1"/>
  <c r="M227" i="1" s="1"/>
  <c r="G227" i="1"/>
  <c r="F227" i="1"/>
  <c r="C227" i="1"/>
  <c r="H227" i="1" s="1"/>
  <c r="O226" i="1"/>
  <c r="N226" i="1"/>
  <c r="H226" i="1"/>
  <c r="G226" i="1"/>
  <c r="F226" i="1"/>
  <c r="J226" i="1" s="1"/>
  <c r="M226" i="1" s="1"/>
  <c r="C226" i="1"/>
  <c r="O225" i="1"/>
  <c r="R225" i="1" s="1"/>
  <c r="N225" i="1"/>
  <c r="G225" i="1"/>
  <c r="F225" i="1"/>
  <c r="J225" i="1" s="1"/>
  <c r="M225" i="1" s="1"/>
  <c r="C225" i="1"/>
  <c r="H225" i="1" s="1"/>
  <c r="O224" i="1"/>
  <c r="N224" i="1"/>
  <c r="M224" i="1"/>
  <c r="J224" i="1"/>
  <c r="H224" i="1"/>
  <c r="G224" i="1"/>
  <c r="F224" i="1"/>
  <c r="C224" i="1"/>
  <c r="O223" i="1"/>
  <c r="N223" i="1"/>
  <c r="G223" i="1"/>
  <c r="F223" i="1"/>
  <c r="J223" i="1" s="1"/>
  <c r="M223" i="1" s="1"/>
  <c r="C223" i="1"/>
  <c r="H223" i="1" s="1"/>
  <c r="O222" i="1"/>
  <c r="N222" i="1"/>
  <c r="M222" i="1"/>
  <c r="J222" i="1"/>
  <c r="H222" i="1"/>
  <c r="G222" i="1"/>
  <c r="F222" i="1"/>
  <c r="C222" i="1"/>
  <c r="O221" i="1"/>
  <c r="N221" i="1"/>
  <c r="G221" i="1"/>
  <c r="F221" i="1"/>
  <c r="J221" i="1" s="1"/>
  <c r="M221" i="1" s="1"/>
  <c r="C221" i="1"/>
  <c r="H221" i="1" s="1"/>
  <c r="O220" i="1"/>
  <c r="N220" i="1"/>
  <c r="M220" i="1"/>
  <c r="J220" i="1"/>
  <c r="H220" i="1"/>
  <c r="G220" i="1"/>
  <c r="F220" i="1"/>
  <c r="C220" i="1"/>
  <c r="O219" i="1"/>
  <c r="N219" i="1"/>
  <c r="G219" i="1"/>
  <c r="F219" i="1"/>
  <c r="J219" i="1" s="1"/>
  <c r="M219" i="1" s="1"/>
  <c r="C219" i="1"/>
  <c r="H219" i="1" s="1"/>
  <c r="O218" i="1"/>
  <c r="N218" i="1"/>
  <c r="M218" i="1"/>
  <c r="J218" i="1"/>
  <c r="H218" i="1"/>
  <c r="G218" i="1"/>
  <c r="F218" i="1"/>
  <c r="C218" i="1"/>
  <c r="O217" i="1"/>
  <c r="N217" i="1"/>
  <c r="G217" i="1"/>
  <c r="F217" i="1"/>
  <c r="J217" i="1" s="1"/>
  <c r="M217" i="1" s="1"/>
  <c r="C217" i="1"/>
  <c r="H217" i="1" s="1"/>
  <c r="O216" i="1"/>
  <c r="N216" i="1"/>
  <c r="M216" i="1"/>
  <c r="J216" i="1"/>
  <c r="H216" i="1"/>
  <c r="G216" i="1"/>
  <c r="F216" i="1"/>
  <c r="C216" i="1"/>
  <c r="O215" i="1"/>
  <c r="N215" i="1"/>
  <c r="G215" i="1"/>
  <c r="F215" i="1"/>
  <c r="J215" i="1" s="1"/>
  <c r="M215" i="1" s="1"/>
  <c r="C215" i="1"/>
  <c r="H215" i="1" s="1"/>
  <c r="O214" i="1"/>
  <c r="N214" i="1"/>
  <c r="M214" i="1"/>
  <c r="J214" i="1"/>
  <c r="G214" i="1"/>
  <c r="F214" i="1"/>
  <c r="C214" i="1"/>
  <c r="H214" i="1" s="1"/>
  <c r="O213" i="1"/>
  <c r="N213" i="1"/>
  <c r="J213" i="1"/>
  <c r="M213" i="1" s="1"/>
  <c r="G213" i="1"/>
  <c r="F213" i="1"/>
  <c r="C213" i="1"/>
  <c r="H213" i="1" s="1"/>
  <c r="O212" i="1"/>
  <c r="N212" i="1"/>
  <c r="M212" i="1"/>
  <c r="J212" i="1"/>
  <c r="H212" i="1"/>
  <c r="G212" i="1"/>
  <c r="F212" i="1"/>
  <c r="C212" i="1"/>
  <c r="O211" i="1"/>
  <c r="N211" i="1"/>
  <c r="J211" i="1"/>
  <c r="M211" i="1" s="1"/>
  <c r="G211" i="1"/>
  <c r="F211" i="1"/>
  <c r="C211" i="1"/>
  <c r="H211" i="1" s="1"/>
  <c r="O210" i="1"/>
  <c r="N210" i="1"/>
  <c r="J210" i="1"/>
  <c r="M210" i="1" s="1"/>
  <c r="H210" i="1"/>
  <c r="G210" i="1"/>
  <c r="F210" i="1"/>
  <c r="C210" i="1"/>
  <c r="O209" i="1"/>
  <c r="N209" i="1"/>
  <c r="G209" i="1"/>
  <c r="F209" i="1"/>
  <c r="J209" i="1" s="1"/>
  <c r="M209" i="1" s="1"/>
  <c r="C209" i="1"/>
  <c r="H209" i="1" s="1"/>
  <c r="O208" i="1"/>
  <c r="N208" i="1"/>
  <c r="J208" i="1"/>
  <c r="M208" i="1" s="1"/>
  <c r="G208" i="1"/>
  <c r="F208" i="1"/>
  <c r="C208" i="1"/>
  <c r="H208" i="1" s="1"/>
  <c r="O207" i="1"/>
  <c r="N207" i="1"/>
  <c r="G207" i="1"/>
  <c r="F207" i="1"/>
  <c r="J207" i="1" s="1"/>
  <c r="M207" i="1" s="1"/>
  <c r="C207" i="1"/>
  <c r="H207" i="1" s="1"/>
  <c r="O206" i="1"/>
  <c r="N206" i="1"/>
  <c r="M206" i="1"/>
  <c r="J206" i="1"/>
  <c r="G206" i="1"/>
  <c r="F206" i="1"/>
  <c r="C206" i="1"/>
  <c r="H206" i="1" s="1"/>
  <c r="O205" i="1"/>
  <c r="N205" i="1"/>
  <c r="J205" i="1"/>
  <c r="M205" i="1" s="1"/>
  <c r="G205" i="1"/>
  <c r="F205" i="1"/>
  <c r="C205" i="1"/>
  <c r="H205" i="1" s="1"/>
  <c r="O204" i="1"/>
  <c r="N204" i="1"/>
  <c r="M204" i="1"/>
  <c r="J204" i="1"/>
  <c r="H204" i="1"/>
  <c r="G204" i="1"/>
  <c r="F204" i="1"/>
  <c r="C204" i="1"/>
  <c r="O203" i="1"/>
  <c r="N203" i="1"/>
  <c r="J203" i="1"/>
  <c r="M203" i="1" s="1"/>
  <c r="G203" i="1"/>
  <c r="F203" i="1"/>
  <c r="C203" i="1"/>
  <c r="H203" i="1" s="1"/>
  <c r="O202" i="1"/>
  <c r="N202" i="1"/>
  <c r="J202" i="1"/>
  <c r="M202" i="1" s="1"/>
  <c r="H202" i="1"/>
  <c r="G202" i="1"/>
  <c r="F202" i="1"/>
  <c r="C202" i="1"/>
  <c r="O201" i="1"/>
  <c r="N201" i="1"/>
  <c r="G201" i="1"/>
  <c r="F201" i="1"/>
  <c r="J201" i="1" s="1"/>
  <c r="M201" i="1" s="1"/>
  <c r="C201" i="1"/>
  <c r="H201" i="1" s="1"/>
  <c r="O200" i="1"/>
  <c r="N200" i="1"/>
  <c r="J200" i="1"/>
  <c r="M200" i="1" s="1"/>
  <c r="G200" i="1"/>
  <c r="F200" i="1"/>
  <c r="C200" i="1"/>
  <c r="H200" i="1" s="1"/>
  <c r="O199" i="1"/>
  <c r="N199" i="1"/>
  <c r="G199" i="1"/>
  <c r="F199" i="1"/>
  <c r="J199" i="1" s="1"/>
  <c r="M199" i="1" s="1"/>
  <c r="C199" i="1"/>
  <c r="H199" i="1" s="1"/>
  <c r="O198" i="1"/>
  <c r="N198" i="1"/>
  <c r="M198" i="1"/>
  <c r="J198" i="1"/>
  <c r="G198" i="1"/>
  <c r="F198" i="1"/>
  <c r="C198" i="1"/>
  <c r="H198" i="1" s="1"/>
  <c r="O197" i="1"/>
  <c r="N197" i="1"/>
  <c r="J197" i="1"/>
  <c r="M197" i="1" s="1"/>
  <c r="G197" i="1"/>
  <c r="F197" i="1"/>
  <c r="C197" i="1"/>
  <c r="H197" i="1" s="1"/>
  <c r="O196" i="1"/>
  <c r="N196" i="1"/>
  <c r="M196" i="1"/>
  <c r="J196" i="1"/>
  <c r="H196" i="1"/>
  <c r="G196" i="1"/>
  <c r="F196" i="1"/>
  <c r="C196" i="1"/>
  <c r="O195" i="1"/>
  <c r="N195" i="1"/>
  <c r="J195" i="1"/>
  <c r="M195" i="1" s="1"/>
  <c r="G195" i="1"/>
  <c r="F195" i="1"/>
  <c r="C195" i="1"/>
  <c r="H195" i="1" s="1"/>
  <c r="O194" i="1"/>
  <c r="N194" i="1"/>
  <c r="J194" i="1"/>
  <c r="M194" i="1" s="1"/>
  <c r="H194" i="1"/>
  <c r="G194" i="1"/>
  <c r="F194" i="1"/>
  <c r="C194" i="1"/>
  <c r="O193" i="1"/>
  <c r="N193" i="1"/>
  <c r="G193" i="1"/>
  <c r="F193" i="1"/>
  <c r="J193" i="1" s="1"/>
  <c r="M193" i="1" s="1"/>
  <c r="C193" i="1"/>
  <c r="H193" i="1" s="1"/>
  <c r="O192" i="1"/>
  <c r="N192" i="1"/>
  <c r="J192" i="1"/>
  <c r="M192" i="1" s="1"/>
  <c r="G192" i="1"/>
  <c r="F192" i="1"/>
  <c r="C192" i="1"/>
  <c r="H192" i="1" s="1"/>
  <c r="O191" i="1"/>
  <c r="N191" i="1"/>
  <c r="M191" i="1"/>
  <c r="G191" i="1"/>
  <c r="F191" i="1"/>
  <c r="J191" i="1" s="1"/>
  <c r="C191" i="1"/>
  <c r="H191" i="1" s="1"/>
  <c r="O190" i="1"/>
  <c r="N190" i="1"/>
  <c r="M190" i="1"/>
  <c r="J190" i="1"/>
  <c r="G190" i="1"/>
  <c r="F190" i="1"/>
  <c r="C190" i="1"/>
  <c r="H190" i="1" s="1"/>
  <c r="O189" i="1"/>
  <c r="N189" i="1"/>
  <c r="J189" i="1"/>
  <c r="M189" i="1" s="1"/>
  <c r="G189" i="1"/>
  <c r="F189" i="1"/>
  <c r="C189" i="1"/>
  <c r="H189" i="1" s="1"/>
  <c r="O188" i="1"/>
  <c r="N188" i="1"/>
  <c r="M188" i="1"/>
  <c r="J188" i="1"/>
  <c r="H188" i="1"/>
  <c r="G188" i="1"/>
  <c r="F188" i="1"/>
  <c r="C188" i="1"/>
  <c r="O187" i="1"/>
  <c r="N187" i="1"/>
  <c r="J187" i="1"/>
  <c r="M187" i="1" s="1"/>
  <c r="G187" i="1"/>
  <c r="F187" i="1"/>
  <c r="C187" i="1"/>
  <c r="H187" i="1" s="1"/>
  <c r="O186" i="1"/>
  <c r="N186" i="1"/>
  <c r="J186" i="1"/>
  <c r="M186" i="1" s="1"/>
  <c r="H186" i="1"/>
  <c r="G186" i="1"/>
  <c r="F186" i="1"/>
  <c r="C186" i="1"/>
  <c r="O185" i="1"/>
  <c r="N185" i="1"/>
  <c r="G185" i="1"/>
  <c r="F185" i="1"/>
  <c r="J185" i="1" s="1"/>
  <c r="M185" i="1" s="1"/>
  <c r="C185" i="1"/>
  <c r="H185" i="1" s="1"/>
  <c r="O184" i="1"/>
  <c r="N184" i="1"/>
  <c r="J184" i="1"/>
  <c r="M184" i="1" s="1"/>
  <c r="G184" i="1"/>
  <c r="F184" i="1"/>
  <c r="C184" i="1"/>
  <c r="H184" i="1" s="1"/>
  <c r="O183" i="1"/>
  <c r="N183" i="1"/>
  <c r="M183" i="1"/>
  <c r="G183" i="1"/>
  <c r="F183" i="1"/>
  <c r="J183" i="1" s="1"/>
  <c r="C183" i="1"/>
  <c r="H183" i="1" s="1"/>
  <c r="O182" i="1"/>
  <c r="N182" i="1"/>
  <c r="M182" i="1"/>
  <c r="J182" i="1"/>
  <c r="G182" i="1"/>
  <c r="F182" i="1"/>
  <c r="C182" i="1"/>
  <c r="H182" i="1" s="1"/>
  <c r="O181" i="1"/>
  <c r="N181" i="1"/>
  <c r="J181" i="1"/>
  <c r="M181" i="1" s="1"/>
  <c r="G181" i="1"/>
  <c r="F181" i="1"/>
  <c r="C181" i="1"/>
  <c r="H181" i="1" s="1"/>
  <c r="O180" i="1"/>
  <c r="N180" i="1"/>
  <c r="M180" i="1"/>
  <c r="J180" i="1"/>
  <c r="H180" i="1"/>
  <c r="G180" i="1"/>
  <c r="F180" i="1"/>
  <c r="C180" i="1"/>
  <c r="O179" i="1"/>
  <c r="N179" i="1"/>
  <c r="J179" i="1"/>
  <c r="M179" i="1" s="1"/>
  <c r="G179" i="1"/>
  <c r="F179" i="1"/>
  <c r="C179" i="1"/>
  <c r="H179" i="1" s="1"/>
  <c r="O178" i="1"/>
  <c r="N178" i="1"/>
  <c r="J178" i="1"/>
  <c r="M178" i="1" s="1"/>
  <c r="H178" i="1"/>
  <c r="G178" i="1"/>
  <c r="F178" i="1"/>
  <c r="C178" i="1"/>
  <c r="O177" i="1"/>
  <c r="N177" i="1"/>
  <c r="G177" i="1"/>
  <c r="F177" i="1"/>
  <c r="J177" i="1" s="1"/>
  <c r="M177" i="1" s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G175" i="1"/>
  <c r="F175" i="1"/>
  <c r="J175" i="1" s="1"/>
  <c r="M175" i="1" s="1"/>
  <c r="C175" i="1"/>
  <c r="H175" i="1" s="1"/>
  <c r="O174" i="1"/>
  <c r="N174" i="1"/>
  <c r="M174" i="1"/>
  <c r="J174" i="1"/>
  <c r="G174" i="1"/>
  <c r="F174" i="1"/>
  <c r="C174" i="1"/>
  <c r="H174" i="1" s="1"/>
  <c r="O173" i="1"/>
  <c r="N173" i="1"/>
  <c r="J173" i="1"/>
  <c r="M173" i="1" s="1"/>
  <c r="G173" i="1"/>
  <c r="F173" i="1"/>
  <c r="C173" i="1"/>
  <c r="H173" i="1" s="1"/>
  <c r="O172" i="1"/>
  <c r="N172" i="1"/>
  <c r="M172" i="1"/>
  <c r="J172" i="1"/>
  <c r="H172" i="1"/>
  <c r="G172" i="1"/>
  <c r="F172" i="1"/>
  <c r="C172" i="1"/>
  <c r="O171" i="1"/>
  <c r="N171" i="1"/>
  <c r="J171" i="1"/>
  <c r="M171" i="1" s="1"/>
  <c r="G171" i="1"/>
  <c r="F171" i="1"/>
  <c r="C171" i="1"/>
  <c r="H171" i="1" s="1"/>
  <c r="O170" i="1"/>
  <c r="N170" i="1"/>
  <c r="J170" i="1"/>
  <c r="M170" i="1" s="1"/>
  <c r="H170" i="1"/>
  <c r="G170" i="1"/>
  <c r="F170" i="1"/>
  <c r="C170" i="1"/>
  <c r="O169" i="1"/>
  <c r="N169" i="1"/>
  <c r="G169" i="1"/>
  <c r="F169" i="1"/>
  <c r="J169" i="1" s="1"/>
  <c r="M169" i="1" s="1"/>
  <c r="C169" i="1"/>
  <c r="H169" i="1" s="1"/>
  <c r="O168" i="1"/>
  <c r="N168" i="1"/>
  <c r="J168" i="1"/>
  <c r="M168" i="1" s="1"/>
  <c r="G168" i="1"/>
  <c r="F168" i="1"/>
  <c r="C168" i="1"/>
  <c r="H168" i="1" s="1"/>
  <c r="O167" i="1"/>
  <c r="N167" i="1"/>
  <c r="G167" i="1"/>
  <c r="F167" i="1"/>
  <c r="J167" i="1" s="1"/>
  <c r="M167" i="1" s="1"/>
  <c r="C167" i="1"/>
  <c r="H167" i="1" s="1"/>
  <c r="O166" i="1"/>
  <c r="N166" i="1"/>
  <c r="M166" i="1"/>
  <c r="J166" i="1"/>
  <c r="G166" i="1"/>
  <c r="F166" i="1"/>
  <c r="C166" i="1"/>
  <c r="H166" i="1" s="1"/>
  <c r="O165" i="1"/>
  <c r="N165" i="1"/>
  <c r="J165" i="1"/>
  <c r="M165" i="1" s="1"/>
  <c r="G165" i="1"/>
  <c r="K165" i="1" s="1"/>
  <c r="P165" i="1" s="1"/>
  <c r="F165" i="1"/>
  <c r="C165" i="1"/>
  <c r="H165" i="1" s="1"/>
  <c r="O164" i="1"/>
  <c r="N164" i="1"/>
  <c r="H164" i="1"/>
  <c r="G164" i="1"/>
  <c r="F164" i="1"/>
  <c r="J164" i="1" s="1"/>
  <c r="M164" i="1" s="1"/>
  <c r="C164" i="1"/>
  <c r="O163" i="1"/>
  <c r="N163" i="1"/>
  <c r="J163" i="1"/>
  <c r="M163" i="1" s="1"/>
  <c r="G163" i="1"/>
  <c r="F163" i="1"/>
  <c r="C163" i="1"/>
  <c r="H163" i="1" s="1"/>
  <c r="O162" i="1"/>
  <c r="N162" i="1"/>
  <c r="H162" i="1"/>
  <c r="G162" i="1"/>
  <c r="F162" i="1"/>
  <c r="J162" i="1" s="1"/>
  <c r="M162" i="1" s="1"/>
  <c r="C162" i="1"/>
  <c r="O161" i="1"/>
  <c r="N161" i="1"/>
  <c r="J161" i="1"/>
  <c r="M161" i="1" s="1"/>
  <c r="G161" i="1"/>
  <c r="F161" i="1"/>
  <c r="C161" i="1"/>
  <c r="H161" i="1" s="1"/>
  <c r="O160" i="1"/>
  <c r="N160" i="1"/>
  <c r="M160" i="1"/>
  <c r="H160" i="1"/>
  <c r="G160" i="1"/>
  <c r="K160" i="1" s="1"/>
  <c r="P160" i="1" s="1"/>
  <c r="F160" i="1"/>
  <c r="J160" i="1" s="1"/>
  <c r="C160" i="1"/>
  <c r="O159" i="1"/>
  <c r="N159" i="1"/>
  <c r="J159" i="1"/>
  <c r="M159" i="1" s="1"/>
  <c r="G159" i="1"/>
  <c r="F159" i="1"/>
  <c r="C159" i="1"/>
  <c r="H159" i="1" s="1"/>
  <c r="O158" i="1"/>
  <c r="N158" i="1"/>
  <c r="H158" i="1"/>
  <c r="G158" i="1"/>
  <c r="F158" i="1"/>
  <c r="J158" i="1" s="1"/>
  <c r="M158" i="1" s="1"/>
  <c r="C158" i="1"/>
  <c r="O157" i="1"/>
  <c r="N157" i="1"/>
  <c r="J157" i="1"/>
  <c r="M157" i="1" s="1"/>
  <c r="G157" i="1"/>
  <c r="F157" i="1"/>
  <c r="C157" i="1"/>
  <c r="H157" i="1" s="1"/>
  <c r="O156" i="1"/>
  <c r="N156" i="1"/>
  <c r="M156" i="1"/>
  <c r="H156" i="1"/>
  <c r="G156" i="1"/>
  <c r="F156" i="1"/>
  <c r="J156" i="1" s="1"/>
  <c r="C156" i="1"/>
  <c r="O155" i="1"/>
  <c r="N155" i="1"/>
  <c r="J155" i="1"/>
  <c r="M155" i="1" s="1"/>
  <c r="G155" i="1"/>
  <c r="F155" i="1"/>
  <c r="C155" i="1"/>
  <c r="H155" i="1" s="1"/>
  <c r="O154" i="1"/>
  <c r="N154" i="1"/>
  <c r="H154" i="1"/>
  <c r="G154" i="1"/>
  <c r="F154" i="1"/>
  <c r="J154" i="1" s="1"/>
  <c r="M154" i="1" s="1"/>
  <c r="C154" i="1"/>
  <c r="O153" i="1"/>
  <c r="N153" i="1"/>
  <c r="J153" i="1"/>
  <c r="M153" i="1" s="1"/>
  <c r="G153" i="1"/>
  <c r="F153" i="1"/>
  <c r="C153" i="1"/>
  <c r="H153" i="1" s="1"/>
  <c r="O152" i="1"/>
  <c r="N152" i="1"/>
  <c r="M152" i="1"/>
  <c r="H152" i="1"/>
  <c r="G152" i="1"/>
  <c r="K152" i="1" s="1"/>
  <c r="F152" i="1"/>
  <c r="J152" i="1" s="1"/>
  <c r="C152" i="1"/>
  <c r="O151" i="1"/>
  <c r="N151" i="1"/>
  <c r="J151" i="1"/>
  <c r="M151" i="1" s="1"/>
  <c r="G151" i="1"/>
  <c r="F151" i="1"/>
  <c r="C151" i="1"/>
  <c r="H151" i="1" s="1"/>
  <c r="O150" i="1"/>
  <c r="N150" i="1"/>
  <c r="H150" i="1"/>
  <c r="G150" i="1"/>
  <c r="F150" i="1"/>
  <c r="J150" i="1" s="1"/>
  <c r="M150" i="1" s="1"/>
  <c r="C150" i="1"/>
  <c r="O149" i="1"/>
  <c r="N149" i="1"/>
  <c r="J149" i="1"/>
  <c r="M149" i="1" s="1"/>
  <c r="G149" i="1"/>
  <c r="F149" i="1"/>
  <c r="C149" i="1"/>
  <c r="H149" i="1" s="1"/>
  <c r="O148" i="1"/>
  <c r="N148" i="1"/>
  <c r="M148" i="1"/>
  <c r="H148" i="1"/>
  <c r="G148" i="1"/>
  <c r="F148" i="1"/>
  <c r="J148" i="1" s="1"/>
  <c r="C148" i="1"/>
  <c r="O147" i="1"/>
  <c r="N147" i="1"/>
  <c r="J147" i="1"/>
  <c r="M147" i="1" s="1"/>
  <c r="G147" i="1"/>
  <c r="F147" i="1"/>
  <c r="C147" i="1"/>
  <c r="H147" i="1" s="1"/>
  <c r="O146" i="1"/>
  <c r="N146" i="1"/>
  <c r="H146" i="1"/>
  <c r="G146" i="1"/>
  <c r="F146" i="1"/>
  <c r="J146" i="1" s="1"/>
  <c r="M146" i="1" s="1"/>
  <c r="C146" i="1"/>
  <c r="O145" i="1"/>
  <c r="N145" i="1"/>
  <c r="J145" i="1"/>
  <c r="M145" i="1" s="1"/>
  <c r="G145" i="1"/>
  <c r="F145" i="1"/>
  <c r="C145" i="1"/>
  <c r="H145" i="1" s="1"/>
  <c r="O144" i="1"/>
  <c r="N144" i="1"/>
  <c r="M144" i="1"/>
  <c r="H144" i="1"/>
  <c r="G144" i="1"/>
  <c r="K144" i="1" s="1"/>
  <c r="F144" i="1"/>
  <c r="J144" i="1" s="1"/>
  <c r="C144" i="1"/>
  <c r="O143" i="1"/>
  <c r="N143" i="1"/>
  <c r="J143" i="1"/>
  <c r="M143" i="1" s="1"/>
  <c r="G143" i="1"/>
  <c r="F143" i="1"/>
  <c r="C143" i="1"/>
  <c r="H143" i="1" s="1"/>
  <c r="O142" i="1"/>
  <c r="N142" i="1"/>
  <c r="H142" i="1"/>
  <c r="G142" i="1"/>
  <c r="F142" i="1"/>
  <c r="J142" i="1" s="1"/>
  <c r="M142" i="1" s="1"/>
  <c r="C142" i="1"/>
  <c r="O141" i="1"/>
  <c r="N141" i="1"/>
  <c r="J141" i="1"/>
  <c r="M141" i="1" s="1"/>
  <c r="G141" i="1"/>
  <c r="F141" i="1"/>
  <c r="C141" i="1"/>
  <c r="H141" i="1" s="1"/>
  <c r="O140" i="1"/>
  <c r="N140" i="1"/>
  <c r="M140" i="1"/>
  <c r="H140" i="1"/>
  <c r="G140" i="1"/>
  <c r="F140" i="1"/>
  <c r="J140" i="1" s="1"/>
  <c r="C140" i="1"/>
  <c r="W139" i="1"/>
  <c r="O139" i="1"/>
  <c r="N139" i="1"/>
  <c r="G139" i="1"/>
  <c r="F139" i="1"/>
  <c r="J139" i="1" s="1"/>
  <c r="M139" i="1" s="1"/>
  <c r="C139" i="1"/>
  <c r="H139" i="1" s="1"/>
  <c r="W138" i="1"/>
  <c r="O138" i="1"/>
  <c r="N138" i="1"/>
  <c r="J138" i="1"/>
  <c r="M138" i="1" s="1"/>
  <c r="G138" i="1"/>
  <c r="F138" i="1"/>
  <c r="C138" i="1"/>
  <c r="H138" i="1" s="1"/>
  <c r="W137" i="1"/>
  <c r="O137" i="1"/>
  <c r="N137" i="1"/>
  <c r="J137" i="1"/>
  <c r="M137" i="1" s="1"/>
  <c r="H137" i="1"/>
  <c r="G137" i="1"/>
  <c r="F137" i="1"/>
  <c r="C137" i="1"/>
  <c r="W136" i="1"/>
  <c r="O136" i="1"/>
  <c r="N136" i="1"/>
  <c r="H136" i="1"/>
  <c r="G136" i="1"/>
  <c r="F136" i="1"/>
  <c r="J136" i="1" s="1"/>
  <c r="M136" i="1" s="1"/>
  <c r="C136" i="1"/>
  <c r="W135" i="1"/>
  <c r="O135" i="1"/>
  <c r="N135" i="1"/>
  <c r="K135" i="1"/>
  <c r="G135" i="1"/>
  <c r="F135" i="1"/>
  <c r="J135" i="1" s="1"/>
  <c r="M135" i="1" s="1"/>
  <c r="C135" i="1"/>
  <c r="H135" i="1" s="1"/>
  <c r="W134" i="1"/>
  <c r="O134" i="1"/>
  <c r="N134" i="1"/>
  <c r="J134" i="1"/>
  <c r="M134" i="1" s="1"/>
  <c r="G134" i="1"/>
  <c r="F134" i="1"/>
  <c r="C134" i="1"/>
  <c r="H134" i="1" s="1"/>
  <c r="W133" i="1"/>
  <c r="O133" i="1"/>
  <c r="N133" i="1"/>
  <c r="J133" i="1"/>
  <c r="M133" i="1" s="1"/>
  <c r="H133" i="1"/>
  <c r="G133" i="1"/>
  <c r="K133" i="1" s="1"/>
  <c r="F133" i="1"/>
  <c r="C133" i="1"/>
  <c r="W132" i="1"/>
  <c r="O132" i="1"/>
  <c r="N132" i="1"/>
  <c r="M132" i="1"/>
  <c r="H132" i="1"/>
  <c r="G132" i="1"/>
  <c r="K132" i="1" s="1"/>
  <c r="F132" i="1"/>
  <c r="J132" i="1" s="1"/>
  <c r="C132" i="1"/>
  <c r="W131" i="1"/>
  <c r="O131" i="1"/>
  <c r="N131" i="1"/>
  <c r="G131" i="1"/>
  <c r="F131" i="1"/>
  <c r="J131" i="1" s="1"/>
  <c r="M131" i="1" s="1"/>
  <c r="C131" i="1"/>
  <c r="H131" i="1" s="1"/>
  <c r="W130" i="1"/>
  <c r="O130" i="1"/>
  <c r="N130" i="1"/>
  <c r="J130" i="1"/>
  <c r="M130" i="1" s="1"/>
  <c r="G130" i="1"/>
  <c r="F130" i="1"/>
  <c r="C130" i="1"/>
  <c r="H130" i="1" s="1"/>
  <c r="W129" i="1"/>
  <c r="O129" i="1"/>
  <c r="N129" i="1"/>
  <c r="J129" i="1"/>
  <c r="M129" i="1" s="1"/>
  <c r="H129" i="1"/>
  <c r="G129" i="1"/>
  <c r="F129" i="1"/>
  <c r="C129" i="1"/>
  <c r="W128" i="1"/>
  <c r="O128" i="1"/>
  <c r="N128" i="1"/>
  <c r="H128" i="1"/>
  <c r="G128" i="1"/>
  <c r="F128" i="1"/>
  <c r="J128" i="1" s="1"/>
  <c r="M128" i="1" s="1"/>
  <c r="C128" i="1"/>
  <c r="W127" i="1"/>
  <c r="O127" i="1"/>
  <c r="N127" i="1"/>
  <c r="G127" i="1"/>
  <c r="F127" i="1"/>
  <c r="J127" i="1" s="1"/>
  <c r="M127" i="1" s="1"/>
  <c r="C127" i="1"/>
  <c r="H127" i="1" s="1"/>
  <c r="W126" i="1"/>
  <c r="O126" i="1"/>
  <c r="N126" i="1"/>
  <c r="J126" i="1"/>
  <c r="M126" i="1" s="1"/>
  <c r="G126" i="1"/>
  <c r="F126" i="1"/>
  <c r="C126" i="1"/>
  <c r="H126" i="1" s="1"/>
  <c r="W125" i="1"/>
  <c r="O125" i="1"/>
  <c r="N125" i="1"/>
  <c r="J125" i="1"/>
  <c r="M125" i="1" s="1"/>
  <c r="H125" i="1"/>
  <c r="G125" i="1"/>
  <c r="F125" i="1"/>
  <c r="C125" i="1"/>
  <c r="W124" i="1"/>
  <c r="O124" i="1"/>
  <c r="N124" i="1"/>
  <c r="M124" i="1"/>
  <c r="H124" i="1"/>
  <c r="G124" i="1"/>
  <c r="F124" i="1"/>
  <c r="J124" i="1" s="1"/>
  <c r="C124" i="1"/>
  <c r="W123" i="1"/>
  <c r="O123" i="1"/>
  <c r="N123" i="1"/>
  <c r="G123" i="1"/>
  <c r="F123" i="1"/>
  <c r="J123" i="1" s="1"/>
  <c r="M123" i="1" s="1"/>
  <c r="C123" i="1"/>
  <c r="H123" i="1" s="1"/>
  <c r="W122" i="1"/>
  <c r="O122" i="1"/>
  <c r="N122" i="1"/>
  <c r="J122" i="1"/>
  <c r="M122" i="1" s="1"/>
  <c r="G122" i="1"/>
  <c r="F122" i="1"/>
  <c r="C122" i="1"/>
  <c r="H122" i="1" s="1"/>
  <c r="W121" i="1"/>
  <c r="O121" i="1"/>
  <c r="N121" i="1"/>
  <c r="J121" i="1"/>
  <c r="M121" i="1" s="1"/>
  <c r="H121" i="1"/>
  <c r="G121" i="1"/>
  <c r="F121" i="1"/>
  <c r="C121" i="1"/>
  <c r="W120" i="1"/>
  <c r="O120" i="1"/>
  <c r="N120" i="1"/>
  <c r="H120" i="1"/>
  <c r="G120" i="1"/>
  <c r="F120" i="1"/>
  <c r="J120" i="1" s="1"/>
  <c r="M120" i="1" s="1"/>
  <c r="C120" i="1"/>
  <c r="W119" i="1"/>
  <c r="O119" i="1"/>
  <c r="N119" i="1"/>
  <c r="M119" i="1"/>
  <c r="G119" i="1"/>
  <c r="K119" i="1" s="1"/>
  <c r="P119" i="1" s="1"/>
  <c r="F119" i="1"/>
  <c r="J119" i="1" s="1"/>
  <c r="C119" i="1"/>
  <c r="H119" i="1" s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J117" i="1"/>
  <c r="M117" i="1" s="1"/>
  <c r="H117" i="1"/>
  <c r="G117" i="1"/>
  <c r="F117" i="1"/>
  <c r="C117" i="1"/>
  <c r="W116" i="1"/>
  <c r="O116" i="1"/>
  <c r="N116" i="1"/>
  <c r="H116" i="1"/>
  <c r="G116" i="1"/>
  <c r="F116" i="1"/>
  <c r="J116" i="1" s="1"/>
  <c r="M116" i="1" s="1"/>
  <c r="C116" i="1"/>
  <c r="W115" i="1"/>
  <c r="O115" i="1"/>
  <c r="N115" i="1"/>
  <c r="M115" i="1"/>
  <c r="G115" i="1"/>
  <c r="K115" i="1" s="1"/>
  <c r="P115" i="1" s="1"/>
  <c r="F115" i="1"/>
  <c r="J115" i="1" s="1"/>
  <c r="C115" i="1"/>
  <c r="H115" i="1" s="1"/>
  <c r="W114" i="1"/>
  <c r="O114" i="1"/>
  <c r="N114" i="1"/>
  <c r="J114" i="1"/>
  <c r="M114" i="1" s="1"/>
  <c r="G114" i="1"/>
  <c r="F114" i="1"/>
  <c r="C114" i="1"/>
  <c r="H114" i="1" s="1"/>
  <c r="W113" i="1"/>
  <c r="O113" i="1"/>
  <c r="N113" i="1"/>
  <c r="J113" i="1"/>
  <c r="M113" i="1" s="1"/>
  <c r="H113" i="1"/>
  <c r="G113" i="1"/>
  <c r="F113" i="1"/>
  <c r="C113" i="1"/>
  <c r="W112" i="1"/>
  <c r="O112" i="1"/>
  <c r="N112" i="1"/>
  <c r="H112" i="1"/>
  <c r="G112" i="1"/>
  <c r="F112" i="1"/>
  <c r="J112" i="1" s="1"/>
  <c r="M112" i="1" s="1"/>
  <c r="C112" i="1"/>
  <c r="W111" i="1"/>
  <c r="O111" i="1"/>
  <c r="N111" i="1"/>
  <c r="M111" i="1"/>
  <c r="G111" i="1"/>
  <c r="K111" i="1" s="1"/>
  <c r="F111" i="1"/>
  <c r="J111" i="1" s="1"/>
  <c r="C111" i="1"/>
  <c r="H111" i="1" s="1"/>
  <c r="W110" i="1"/>
  <c r="O110" i="1"/>
  <c r="N110" i="1"/>
  <c r="G110" i="1"/>
  <c r="F110" i="1"/>
  <c r="J110" i="1" s="1"/>
  <c r="M110" i="1" s="1"/>
  <c r="C110" i="1"/>
  <c r="H110" i="1" s="1"/>
  <c r="W109" i="1"/>
  <c r="O109" i="1"/>
  <c r="N109" i="1"/>
  <c r="J109" i="1"/>
  <c r="M109" i="1" s="1"/>
  <c r="H109" i="1"/>
  <c r="G109" i="1"/>
  <c r="F109" i="1"/>
  <c r="C109" i="1"/>
  <c r="W108" i="1"/>
  <c r="O108" i="1"/>
  <c r="N108" i="1"/>
  <c r="H108" i="1"/>
  <c r="G108" i="1"/>
  <c r="F108" i="1"/>
  <c r="J108" i="1" s="1"/>
  <c r="M108" i="1" s="1"/>
  <c r="C108" i="1"/>
  <c r="W107" i="1"/>
  <c r="O107" i="1"/>
  <c r="N107" i="1"/>
  <c r="M107" i="1"/>
  <c r="G107" i="1"/>
  <c r="K107" i="1" s="1"/>
  <c r="F107" i="1"/>
  <c r="J107" i="1" s="1"/>
  <c r="C107" i="1"/>
  <c r="H107" i="1" s="1"/>
  <c r="W106" i="1"/>
  <c r="O106" i="1"/>
  <c r="N106" i="1"/>
  <c r="J106" i="1"/>
  <c r="M106" i="1" s="1"/>
  <c r="G106" i="1"/>
  <c r="F106" i="1"/>
  <c r="C106" i="1"/>
  <c r="H106" i="1" s="1"/>
  <c r="W105" i="1"/>
  <c r="O105" i="1"/>
  <c r="N105" i="1"/>
  <c r="J105" i="1"/>
  <c r="M105" i="1" s="1"/>
  <c r="H105" i="1"/>
  <c r="G105" i="1"/>
  <c r="F105" i="1"/>
  <c r="C105" i="1"/>
  <c r="W104" i="1"/>
  <c r="O104" i="1"/>
  <c r="N104" i="1"/>
  <c r="H104" i="1"/>
  <c r="G104" i="1"/>
  <c r="F104" i="1"/>
  <c r="J104" i="1" s="1"/>
  <c r="M104" i="1" s="1"/>
  <c r="C104" i="1"/>
  <c r="W103" i="1"/>
  <c r="O103" i="1"/>
  <c r="N103" i="1"/>
  <c r="M103" i="1"/>
  <c r="G103" i="1"/>
  <c r="K103" i="1" s="1"/>
  <c r="P103" i="1" s="1"/>
  <c r="F103" i="1"/>
  <c r="J103" i="1" s="1"/>
  <c r="C103" i="1"/>
  <c r="H103" i="1" s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J101" i="1"/>
  <c r="M101" i="1" s="1"/>
  <c r="H101" i="1"/>
  <c r="G101" i="1"/>
  <c r="F101" i="1"/>
  <c r="C101" i="1"/>
  <c r="W100" i="1"/>
  <c r="O100" i="1"/>
  <c r="N100" i="1"/>
  <c r="H100" i="1"/>
  <c r="G100" i="1"/>
  <c r="F100" i="1"/>
  <c r="J100" i="1" s="1"/>
  <c r="M100" i="1" s="1"/>
  <c r="C100" i="1"/>
  <c r="W99" i="1"/>
  <c r="O99" i="1"/>
  <c r="N99" i="1"/>
  <c r="M99" i="1"/>
  <c r="G99" i="1"/>
  <c r="K99" i="1" s="1"/>
  <c r="P99" i="1" s="1"/>
  <c r="F99" i="1"/>
  <c r="J99" i="1" s="1"/>
  <c r="C99" i="1"/>
  <c r="H99" i="1" s="1"/>
  <c r="W98" i="1"/>
  <c r="O98" i="1"/>
  <c r="N98" i="1"/>
  <c r="J98" i="1"/>
  <c r="M98" i="1" s="1"/>
  <c r="G98" i="1"/>
  <c r="F98" i="1"/>
  <c r="C98" i="1"/>
  <c r="H98" i="1" s="1"/>
  <c r="W97" i="1"/>
  <c r="O97" i="1"/>
  <c r="N97" i="1"/>
  <c r="J97" i="1"/>
  <c r="M97" i="1" s="1"/>
  <c r="H97" i="1"/>
  <c r="G97" i="1"/>
  <c r="F97" i="1"/>
  <c r="C97" i="1"/>
  <c r="W96" i="1"/>
  <c r="O96" i="1"/>
  <c r="N96" i="1"/>
  <c r="H96" i="1"/>
  <c r="G96" i="1"/>
  <c r="F96" i="1"/>
  <c r="J96" i="1" s="1"/>
  <c r="M96" i="1" s="1"/>
  <c r="C96" i="1"/>
  <c r="W95" i="1"/>
  <c r="O95" i="1"/>
  <c r="N95" i="1"/>
  <c r="M95" i="1"/>
  <c r="G95" i="1"/>
  <c r="K95" i="1" s="1"/>
  <c r="F95" i="1"/>
  <c r="J95" i="1" s="1"/>
  <c r="C95" i="1"/>
  <c r="H95" i="1" s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J93" i="1"/>
  <c r="M93" i="1" s="1"/>
  <c r="H93" i="1"/>
  <c r="G93" i="1"/>
  <c r="F93" i="1"/>
  <c r="C93" i="1"/>
  <c r="W92" i="1"/>
  <c r="O92" i="1"/>
  <c r="N92" i="1"/>
  <c r="H92" i="1"/>
  <c r="G92" i="1"/>
  <c r="F92" i="1"/>
  <c r="J92" i="1" s="1"/>
  <c r="M92" i="1" s="1"/>
  <c r="C92" i="1"/>
  <c r="W91" i="1"/>
  <c r="O91" i="1"/>
  <c r="N91" i="1"/>
  <c r="M91" i="1"/>
  <c r="G91" i="1"/>
  <c r="K91" i="1" s="1"/>
  <c r="F91" i="1"/>
  <c r="J91" i="1" s="1"/>
  <c r="C91" i="1"/>
  <c r="H91" i="1" s="1"/>
  <c r="W90" i="1"/>
  <c r="O90" i="1"/>
  <c r="N90" i="1"/>
  <c r="J90" i="1"/>
  <c r="M90" i="1" s="1"/>
  <c r="G90" i="1"/>
  <c r="F90" i="1"/>
  <c r="C90" i="1"/>
  <c r="H90" i="1" s="1"/>
  <c r="W89" i="1"/>
  <c r="O89" i="1"/>
  <c r="N89" i="1"/>
  <c r="M89" i="1"/>
  <c r="J89" i="1"/>
  <c r="H89" i="1"/>
  <c r="G89" i="1"/>
  <c r="F89" i="1"/>
  <c r="C89" i="1"/>
  <c r="W88" i="1"/>
  <c r="O88" i="1"/>
  <c r="N88" i="1"/>
  <c r="H88" i="1"/>
  <c r="G88" i="1"/>
  <c r="F88" i="1"/>
  <c r="J88" i="1" s="1"/>
  <c r="M88" i="1" s="1"/>
  <c r="C88" i="1"/>
  <c r="W87" i="1"/>
  <c r="O87" i="1"/>
  <c r="N87" i="1"/>
  <c r="G87" i="1"/>
  <c r="K87" i="1" s="1"/>
  <c r="F87" i="1"/>
  <c r="J87" i="1" s="1"/>
  <c r="M87" i="1" s="1"/>
  <c r="C87" i="1"/>
  <c r="H87" i="1" s="1"/>
  <c r="W86" i="1"/>
  <c r="O86" i="1"/>
  <c r="N86" i="1"/>
  <c r="H86" i="1"/>
  <c r="G86" i="1"/>
  <c r="F86" i="1"/>
  <c r="J86" i="1" s="1"/>
  <c r="M86" i="1" s="1"/>
  <c r="C86" i="1"/>
  <c r="W85" i="1"/>
  <c r="O85" i="1"/>
  <c r="N85" i="1"/>
  <c r="J85" i="1"/>
  <c r="M85" i="1" s="1"/>
  <c r="G85" i="1"/>
  <c r="F85" i="1"/>
  <c r="C85" i="1"/>
  <c r="H85" i="1" s="1"/>
  <c r="W84" i="1"/>
  <c r="O84" i="1"/>
  <c r="N84" i="1"/>
  <c r="H84" i="1"/>
  <c r="G84" i="1"/>
  <c r="K84" i="1" s="1"/>
  <c r="F84" i="1"/>
  <c r="J84" i="1" s="1"/>
  <c r="M84" i="1" s="1"/>
  <c r="C84" i="1"/>
  <c r="W83" i="1"/>
  <c r="O83" i="1"/>
  <c r="N83" i="1"/>
  <c r="K83" i="1"/>
  <c r="G83" i="1"/>
  <c r="F83" i="1"/>
  <c r="J83" i="1" s="1"/>
  <c r="M83" i="1" s="1"/>
  <c r="C83" i="1"/>
  <c r="H83" i="1" s="1"/>
  <c r="W82" i="1"/>
  <c r="O82" i="1"/>
  <c r="N82" i="1"/>
  <c r="J82" i="1"/>
  <c r="M82" i="1" s="1"/>
  <c r="G82" i="1"/>
  <c r="F82" i="1"/>
  <c r="C82" i="1"/>
  <c r="H82" i="1" s="1"/>
  <c r="W81" i="1"/>
  <c r="O81" i="1"/>
  <c r="N81" i="1"/>
  <c r="M81" i="1"/>
  <c r="J81" i="1"/>
  <c r="H81" i="1"/>
  <c r="G81" i="1"/>
  <c r="F81" i="1"/>
  <c r="C81" i="1"/>
  <c r="W80" i="1"/>
  <c r="O80" i="1"/>
  <c r="N80" i="1"/>
  <c r="H80" i="1"/>
  <c r="G80" i="1"/>
  <c r="K80" i="1" s="1"/>
  <c r="F80" i="1"/>
  <c r="J80" i="1" s="1"/>
  <c r="M80" i="1" s="1"/>
  <c r="C80" i="1"/>
  <c r="W79" i="1"/>
  <c r="O79" i="1"/>
  <c r="N79" i="1"/>
  <c r="J79" i="1"/>
  <c r="M79" i="1" s="1"/>
  <c r="G79" i="1"/>
  <c r="F79" i="1"/>
  <c r="C79" i="1"/>
  <c r="H79" i="1" s="1"/>
  <c r="W78" i="1"/>
  <c r="O78" i="1"/>
  <c r="N78" i="1"/>
  <c r="K78" i="1"/>
  <c r="H78" i="1"/>
  <c r="G78" i="1"/>
  <c r="F78" i="1"/>
  <c r="J78" i="1" s="1"/>
  <c r="M78" i="1" s="1"/>
  <c r="C78" i="1"/>
  <c r="W77" i="1"/>
  <c r="O77" i="1"/>
  <c r="N77" i="1"/>
  <c r="J77" i="1"/>
  <c r="M77" i="1" s="1"/>
  <c r="G77" i="1"/>
  <c r="K77" i="1" s="1"/>
  <c r="F77" i="1"/>
  <c r="C77" i="1"/>
  <c r="H77" i="1" s="1"/>
  <c r="W76" i="1"/>
  <c r="O76" i="1"/>
  <c r="N76" i="1"/>
  <c r="K76" i="1"/>
  <c r="H76" i="1"/>
  <c r="G76" i="1"/>
  <c r="F76" i="1"/>
  <c r="J76" i="1" s="1"/>
  <c r="M76" i="1" s="1"/>
  <c r="C76" i="1"/>
  <c r="W75" i="1"/>
  <c r="O75" i="1"/>
  <c r="N75" i="1"/>
  <c r="J75" i="1"/>
  <c r="M75" i="1" s="1"/>
  <c r="G75" i="1"/>
  <c r="K75" i="1" s="1"/>
  <c r="P75" i="1" s="1"/>
  <c r="F75" i="1"/>
  <c r="C75" i="1"/>
  <c r="H75" i="1" s="1"/>
  <c r="W74" i="1"/>
  <c r="O74" i="1"/>
  <c r="N74" i="1"/>
  <c r="J74" i="1"/>
  <c r="M74" i="1" s="1"/>
  <c r="G74" i="1"/>
  <c r="F74" i="1"/>
  <c r="C74" i="1"/>
  <c r="H74" i="1" s="1"/>
  <c r="W73" i="1"/>
  <c r="O73" i="1"/>
  <c r="N73" i="1"/>
  <c r="M73" i="1"/>
  <c r="J73" i="1"/>
  <c r="H73" i="1"/>
  <c r="G73" i="1"/>
  <c r="F73" i="1"/>
  <c r="C73" i="1"/>
  <c r="W72" i="1"/>
  <c r="O72" i="1"/>
  <c r="N72" i="1"/>
  <c r="H72" i="1"/>
  <c r="G72" i="1"/>
  <c r="F72" i="1"/>
  <c r="J72" i="1" s="1"/>
  <c r="M72" i="1" s="1"/>
  <c r="C72" i="1"/>
  <c r="W71" i="1"/>
  <c r="O71" i="1"/>
  <c r="N71" i="1"/>
  <c r="G71" i="1"/>
  <c r="K71" i="1" s="1"/>
  <c r="F71" i="1"/>
  <c r="J71" i="1" s="1"/>
  <c r="M71" i="1" s="1"/>
  <c r="C71" i="1"/>
  <c r="H71" i="1" s="1"/>
  <c r="W70" i="1"/>
  <c r="O70" i="1"/>
  <c r="N70" i="1"/>
  <c r="H70" i="1"/>
  <c r="G70" i="1"/>
  <c r="F70" i="1"/>
  <c r="J70" i="1" s="1"/>
  <c r="M70" i="1" s="1"/>
  <c r="C70" i="1"/>
  <c r="W69" i="1"/>
  <c r="O69" i="1"/>
  <c r="N69" i="1"/>
  <c r="J69" i="1"/>
  <c r="M69" i="1" s="1"/>
  <c r="G69" i="1"/>
  <c r="F69" i="1"/>
  <c r="C69" i="1"/>
  <c r="H69" i="1" s="1"/>
  <c r="W68" i="1"/>
  <c r="O68" i="1"/>
  <c r="N68" i="1"/>
  <c r="H68" i="1"/>
  <c r="G68" i="1"/>
  <c r="K68" i="1" s="1"/>
  <c r="F68" i="1"/>
  <c r="J68" i="1" s="1"/>
  <c r="M68" i="1" s="1"/>
  <c r="C68" i="1"/>
  <c r="W67" i="1"/>
  <c r="O67" i="1"/>
  <c r="N67" i="1"/>
  <c r="K67" i="1"/>
  <c r="H67" i="1"/>
  <c r="G67" i="1"/>
  <c r="F67" i="1"/>
  <c r="J67" i="1" s="1"/>
  <c r="M67" i="1" s="1"/>
  <c r="C67" i="1"/>
  <c r="W66" i="1"/>
  <c r="O66" i="1"/>
  <c r="N66" i="1"/>
  <c r="J66" i="1"/>
  <c r="M66" i="1" s="1"/>
  <c r="G66" i="1"/>
  <c r="K66" i="1" s="1"/>
  <c r="F66" i="1"/>
  <c r="C66" i="1"/>
  <c r="H66" i="1" s="1"/>
  <c r="W65" i="1"/>
  <c r="O65" i="1"/>
  <c r="N65" i="1"/>
  <c r="H65" i="1"/>
  <c r="G65" i="1"/>
  <c r="F65" i="1"/>
  <c r="J65" i="1" s="1"/>
  <c r="M65" i="1" s="1"/>
  <c r="C65" i="1"/>
  <c r="W64" i="1"/>
  <c r="O64" i="1"/>
  <c r="N64" i="1"/>
  <c r="M64" i="1"/>
  <c r="J64" i="1"/>
  <c r="G64" i="1"/>
  <c r="K64" i="1" s="1"/>
  <c r="F64" i="1"/>
  <c r="C64" i="1"/>
  <c r="H64" i="1" s="1"/>
  <c r="W63" i="1"/>
  <c r="O63" i="1"/>
  <c r="N63" i="1"/>
  <c r="K63" i="1"/>
  <c r="P63" i="1" s="1"/>
  <c r="H63" i="1"/>
  <c r="G63" i="1"/>
  <c r="F63" i="1"/>
  <c r="J63" i="1" s="1"/>
  <c r="M63" i="1" s="1"/>
  <c r="C63" i="1"/>
  <c r="W62" i="1"/>
  <c r="O62" i="1"/>
  <c r="N62" i="1"/>
  <c r="J62" i="1"/>
  <c r="M62" i="1" s="1"/>
  <c r="G62" i="1"/>
  <c r="K62" i="1" s="1"/>
  <c r="F62" i="1"/>
  <c r="C62" i="1"/>
  <c r="H62" i="1" s="1"/>
  <c r="W61" i="1"/>
  <c r="O61" i="1"/>
  <c r="N61" i="1"/>
  <c r="H61" i="1"/>
  <c r="G61" i="1"/>
  <c r="F61" i="1"/>
  <c r="J61" i="1" s="1"/>
  <c r="M61" i="1" s="1"/>
  <c r="C61" i="1"/>
  <c r="W60" i="1"/>
  <c r="O60" i="1"/>
  <c r="N60" i="1"/>
  <c r="M60" i="1"/>
  <c r="J60" i="1"/>
  <c r="G60" i="1"/>
  <c r="K60" i="1" s="1"/>
  <c r="P60" i="1" s="1"/>
  <c r="F60" i="1"/>
  <c r="C60" i="1"/>
  <c r="H60" i="1" s="1"/>
  <c r="W59" i="1"/>
  <c r="O59" i="1"/>
  <c r="N59" i="1"/>
  <c r="K59" i="1"/>
  <c r="H59" i="1"/>
  <c r="G59" i="1"/>
  <c r="F59" i="1"/>
  <c r="J59" i="1" s="1"/>
  <c r="M59" i="1" s="1"/>
  <c r="C59" i="1"/>
  <c r="W58" i="1"/>
  <c r="O58" i="1"/>
  <c r="N58" i="1"/>
  <c r="J58" i="1"/>
  <c r="M58" i="1" s="1"/>
  <c r="G58" i="1"/>
  <c r="K58" i="1" s="1"/>
  <c r="F58" i="1"/>
  <c r="C58" i="1"/>
  <c r="H58" i="1" s="1"/>
  <c r="W57" i="1"/>
  <c r="O57" i="1"/>
  <c r="N57" i="1"/>
  <c r="H57" i="1"/>
  <c r="G57" i="1"/>
  <c r="F57" i="1"/>
  <c r="J57" i="1" s="1"/>
  <c r="M57" i="1" s="1"/>
  <c r="C57" i="1"/>
  <c r="W56" i="1"/>
  <c r="O56" i="1"/>
  <c r="N56" i="1"/>
  <c r="M56" i="1"/>
  <c r="J56" i="1"/>
  <c r="G56" i="1"/>
  <c r="K56" i="1" s="1"/>
  <c r="F56" i="1"/>
  <c r="C56" i="1"/>
  <c r="H56" i="1" s="1"/>
  <c r="W55" i="1"/>
  <c r="O55" i="1"/>
  <c r="N55" i="1"/>
  <c r="K55" i="1"/>
  <c r="P55" i="1" s="1"/>
  <c r="H55" i="1"/>
  <c r="G55" i="1"/>
  <c r="F55" i="1"/>
  <c r="J55" i="1" s="1"/>
  <c r="M55" i="1" s="1"/>
  <c r="C55" i="1"/>
  <c r="W54" i="1"/>
  <c r="O54" i="1"/>
  <c r="N54" i="1"/>
  <c r="J54" i="1"/>
  <c r="M54" i="1" s="1"/>
  <c r="G54" i="1"/>
  <c r="K54" i="1" s="1"/>
  <c r="F54" i="1"/>
  <c r="C54" i="1"/>
  <c r="H54" i="1" s="1"/>
  <c r="W53" i="1"/>
  <c r="O53" i="1"/>
  <c r="N53" i="1"/>
  <c r="H53" i="1"/>
  <c r="G53" i="1"/>
  <c r="F53" i="1"/>
  <c r="J53" i="1" s="1"/>
  <c r="M53" i="1" s="1"/>
  <c r="C53" i="1"/>
  <c r="W52" i="1"/>
  <c r="O52" i="1"/>
  <c r="N52" i="1"/>
  <c r="M52" i="1"/>
  <c r="J52" i="1"/>
  <c r="G52" i="1"/>
  <c r="K52" i="1" s="1"/>
  <c r="P52" i="1" s="1"/>
  <c r="F52" i="1"/>
  <c r="C52" i="1"/>
  <c r="H52" i="1" s="1"/>
  <c r="W51" i="1"/>
  <c r="O51" i="1"/>
  <c r="N51" i="1"/>
  <c r="K51" i="1"/>
  <c r="H51" i="1"/>
  <c r="G51" i="1"/>
  <c r="F51" i="1"/>
  <c r="J51" i="1" s="1"/>
  <c r="M51" i="1" s="1"/>
  <c r="C51" i="1"/>
  <c r="W50" i="1"/>
  <c r="O50" i="1"/>
  <c r="N50" i="1"/>
  <c r="J50" i="1"/>
  <c r="M50" i="1" s="1"/>
  <c r="G50" i="1"/>
  <c r="K50" i="1" s="1"/>
  <c r="F50" i="1"/>
  <c r="C50" i="1"/>
  <c r="H50" i="1" s="1"/>
  <c r="W49" i="1"/>
  <c r="O49" i="1"/>
  <c r="N49" i="1"/>
  <c r="H49" i="1"/>
  <c r="G49" i="1"/>
  <c r="F49" i="1"/>
  <c r="J49" i="1" s="1"/>
  <c r="M49" i="1" s="1"/>
  <c r="C49" i="1"/>
  <c r="W48" i="1"/>
  <c r="O48" i="1"/>
  <c r="N48" i="1"/>
  <c r="M48" i="1"/>
  <c r="J48" i="1"/>
  <c r="G48" i="1"/>
  <c r="K48" i="1" s="1"/>
  <c r="F48" i="1"/>
  <c r="C48" i="1"/>
  <c r="H48" i="1" s="1"/>
  <c r="W47" i="1"/>
  <c r="O47" i="1"/>
  <c r="N47" i="1"/>
  <c r="K47" i="1"/>
  <c r="P47" i="1" s="1"/>
  <c r="H47" i="1"/>
  <c r="G47" i="1"/>
  <c r="F47" i="1"/>
  <c r="J47" i="1" s="1"/>
  <c r="M47" i="1" s="1"/>
  <c r="C47" i="1"/>
  <c r="W46" i="1"/>
  <c r="O46" i="1"/>
  <c r="N46" i="1"/>
  <c r="J46" i="1"/>
  <c r="M46" i="1" s="1"/>
  <c r="G46" i="1"/>
  <c r="K46" i="1" s="1"/>
  <c r="F46" i="1"/>
  <c r="C46" i="1"/>
  <c r="H46" i="1" s="1"/>
  <c r="W45" i="1"/>
  <c r="O45" i="1"/>
  <c r="N45" i="1"/>
  <c r="H45" i="1"/>
  <c r="G45" i="1"/>
  <c r="F45" i="1"/>
  <c r="J45" i="1" s="1"/>
  <c r="M45" i="1" s="1"/>
  <c r="C45" i="1"/>
  <c r="W44" i="1"/>
  <c r="O44" i="1"/>
  <c r="N44" i="1"/>
  <c r="M44" i="1"/>
  <c r="J44" i="1"/>
  <c r="G44" i="1"/>
  <c r="K44" i="1" s="1"/>
  <c r="P44" i="1" s="1"/>
  <c r="F44" i="1"/>
  <c r="C44" i="1"/>
  <c r="H44" i="1" s="1"/>
  <c r="W43" i="1"/>
  <c r="O43" i="1"/>
  <c r="N43" i="1"/>
  <c r="K43" i="1"/>
  <c r="H43" i="1"/>
  <c r="G43" i="1"/>
  <c r="F43" i="1"/>
  <c r="J43" i="1" s="1"/>
  <c r="M43" i="1" s="1"/>
  <c r="C43" i="1"/>
  <c r="W42" i="1"/>
  <c r="O42" i="1"/>
  <c r="N42" i="1"/>
  <c r="J42" i="1"/>
  <c r="M42" i="1" s="1"/>
  <c r="G42" i="1"/>
  <c r="K42" i="1" s="1"/>
  <c r="F42" i="1"/>
  <c r="C42" i="1"/>
  <c r="H42" i="1" s="1"/>
  <c r="W41" i="1"/>
  <c r="O41" i="1"/>
  <c r="N41" i="1"/>
  <c r="H41" i="1"/>
  <c r="G41" i="1"/>
  <c r="F41" i="1"/>
  <c r="J41" i="1" s="1"/>
  <c r="M41" i="1" s="1"/>
  <c r="C41" i="1"/>
  <c r="W40" i="1"/>
  <c r="O40" i="1"/>
  <c r="N40" i="1"/>
  <c r="M40" i="1"/>
  <c r="J40" i="1"/>
  <c r="G40" i="1"/>
  <c r="K40" i="1" s="1"/>
  <c r="F40" i="1"/>
  <c r="C40" i="1"/>
  <c r="H40" i="1" s="1"/>
  <c r="W39" i="1"/>
  <c r="O39" i="1"/>
  <c r="N39" i="1"/>
  <c r="K39" i="1"/>
  <c r="P39" i="1" s="1"/>
  <c r="H39" i="1"/>
  <c r="G39" i="1"/>
  <c r="F39" i="1"/>
  <c r="J39" i="1" s="1"/>
  <c r="M39" i="1" s="1"/>
  <c r="C39" i="1"/>
  <c r="W38" i="1"/>
  <c r="O38" i="1"/>
  <c r="N38" i="1"/>
  <c r="J38" i="1"/>
  <c r="M38" i="1" s="1"/>
  <c r="G38" i="1"/>
  <c r="K38" i="1" s="1"/>
  <c r="F38" i="1"/>
  <c r="C38" i="1"/>
  <c r="H38" i="1" s="1"/>
  <c r="W37" i="1"/>
  <c r="O37" i="1"/>
  <c r="N37" i="1"/>
  <c r="H37" i="1"/>
  <c r="G37" i="1"/>
  <c r="F37" i="1"/>
  <c r="J37" i="1" s="1"/>
  <c r="M37" i="1" s="1"/>
  <c r="C37" i="1"/>
  <c r="W36" i="1"/>
  <c r="O36" i="1"/>
  <c r="N36" i="1"/>
  <c r="M36" i="1"/>
  <c r="J36" i="1"/>
  <c r="G36" i="1"/>
  <c r="K36" i="1" s="1"/>
  <c r="P36" i="1" s="1"/>
  <c r="F36" i="1"/>
  <c r="C36" i="1"/>
  <c r="H36" i="1" s="1"/>
  <c r="W35" i="1"/>
  <c r="O35" i="1"/>
  <c r="N35" i="1"/>
  <c r="K35" i="1"/>
  <c r="H35" i="1"/>
  <c r="G35" i="1"/>
  <c r="F35" i="1"/>
  <c r="J35" i="1" s="1"/>
  <c r="M35" i="1" s="1"/>
  <c r="C35" i="1"/>
  <c r="W34" i="1"/>
  <c r="O34" i="1"/>
  <c r="N34" i="1"/>
  <c r="J34" i="1"/>
  <c r="M34" i="1" s="1"/>
  <c r="G34" i="1"/>
  <c r="K34" i="1" s="1"/>
  <c r="F34" i="1"/>
  <c r="C34" i="1"/>
  <c r="H34" i="1" s="1"/>
  <c r="W33" i="1"/>
  <c r="O33" i="1"/>
  <c r="N33" i="1"/>
  <c r="H33" i="1"/>
  <c r="G33" i="1"/>
  <c r="F33" i="1"/>
  <c r="J33" i="1" s="1"/>
  <c r="M33" i="1" s="1"/>
  <c r="C33" i="1"/>
  <c r="W32" i="1"/>
  <c r="O32" i="1"/>
  <c r="N32" i="1"/>
  <c r="M32" i="1"/>
  <c r="J32" i="1"/>
  <c r="G32" i="1"/>
  <c r="K32" i="1" s="1"/>
  <c r="F32" i="1"/>
  <c r="C32" i="1"/>
  <c r="H32" i="1" s="1"/>
  <c r="Z31" i="1"/>
  <c r="W31" i="1"/>
  <c r="O31" i="1"/>
  <c r="N31" i="1"/>
  <c r="M31" i="1"/>
  <c r="J31" i="1"/>
  <c r="G31" i="1"/>
  <c r="K31" i="1" s="1"/>
  <c r="F31" i="1"/>
  <c r="C31" i="1"/>
  <c r="H31" i="1" s="1"/>
  <c r="Z30" i="1"/>
  <c r="W30" i="1"/>
  <c r="O30" i="1"/>
  <c r="N30" i="1"/>
  <c r="M30" i="1"/>
  <c r="J30" i="1"/>
  <c r="G30" i="1"/>
  <c r="K30" i="1" s="1"/>
  <c r="P30" i="1" s="1"/>
  <c r="F30" i="1"/>
  <c r="C30" i="1"/>
  <c r="H30" i="1" s="1"/>
  <c r="Z29" i="1"/>
  <c r="W29" i="1"/>
  <c r="O29" i="1"/>
  <c r="N29" i="1"/>
  <c r="M29" i="1"/>
  <c r="J29" i="1"/>
  <c r="G29" i="1"/>
  <c r="K29" i="1" s="1"/>
  <c r="F29" i="1"/>
  <c r="C29" i="1"/>
  <c r="H29" i="1" s="1"/>
  <c r="Z28" i="1"/>
  <c r="W28" i="1"/>
  <c r="O28" i="1"/>
  <c r="N28" i="1"/>
  <c r="M28" i="1"/>
  <c r="J28" i="1"/>
  <c r="G28" i="1"/>
  <c r="K28" i="1" s="1"/>
  <c r="F28" i="1"/>
  <c r="C28" i="1"/>
  <c r="H28" i="1" s="1"/>
  <c r="Z27" i="1"/>
  <c r="W27" i="1"/>
  <c r="O27" i="1"/>
  <c r="N27" i="1"/>
  <c r="M27" i="1"/>
  <c r="J27" i="1"/>
  <c r="G27" i="1"/>
  <c r="K27" i="1" s="1"/>
  <c r="F27" i="1"/>
  <c r="C27" i="1"/>
  <c r="H27" i="1" s="1"/>
  <c r="Z26" i="1"/>
  <c r="W26" i="1"/>
  <c r="O26" i="1"/>
  <c r="N26" i="1"/>
  <c r="M26" i="1"/>
  <c r="J26" i="1"/>
  <c r="G26" i="1"/>
  <c r="K26" i="1" s="1"/>
  <c r="P26" i="1" s="1"/>
  <c r="F26" i="1"/>
  <c r="C26" i="1"/>
  <c r="H26" i="1" s="1"/>
  <c r="Z25" i="1"/>
  <c r="W25" i="1"/>
  <c r="O25" i="1"/>
  <c r="N25" i="1"/>
  <c r="M25" i="1"/>
  <c r="J25" i="1"/>
  <c r="G25" i="1"/>
  <c r="K25" i="1" s="1"/>
  <c r="F25" i="1"/>
  <c r="C25" i="1"/>
  <c r="H25" i="1" s="1"/>
  <c r="Z24" i="1"/>
  <c r="W24" i="1"/>
  <c r="O24" i="1"/>
  <c r="N24" i="1"/>
  <c r="M24" i="1"/>
  <c r="J24" i="1"/>
  <c r="G24" i="1"/>
  <c r="K24" i="1" s="1"/>
  <c r="F24" i="1"/>
  <c r="C24" i="1"/>
  <c r="H24" i="1" s="1"/>
  <c r="Z23" i="1"/>
  <c r="W23" i="1"/>
  <c r="O23" i="1"/>
  <c r="N23" i="1"/>
  <c r="M23" i="1"/>
  <c r="J23" i="1"/>
  <c r="G23" i="1"/>
  <c r="K23" i="1" s="1"/>
  <c r="F23" i="1"/>
  <c r="C23" i="1"/>
  <c r="H23" i="1" s="1"/>
  <c r="Z22" i="1"/>
  <c r="W22" i="1"/>
  <c r="O22" i="1"/>
  <c r="N22" i="1"/>
  <c r="M22" i="1"/>
  <c r="J22" i="1"/>
  <c r="G22" i="1"/>
  <c r="K22" i="1" s="1"/>
  <c r="P22" i="1" s="1"/>
  <c r="F22" i="1"/>
  <c r="C22" i="1"/>
  <c r="H22" i="1" s="1"/>
  <c r="Z21" i="1"/>
  <c r="W21" i="1"/>
  <c r="O21" i="1"/>
  <c r="N21" i="1"/>
  <c r="M21" i="1"/>
  <c r="J21" i="1"/>
  <c r="G21" i="1"/>
  <c r="K21" i="1" s="1"/>
  <c r="F21" i="1"/>
  <c r="C21" i="1"/>
  <c r="H21" i="1" s="1"/>
  <c r="Z20" i="1"/>
  <c r="W20" i="1"/>
  <c r="O20" i="1"/>
  <c r="N20" i="1"/>
  <c r="M20" i="1"/>
  <c r="J20" i="1"/>
  <c r="G20" i="1"/>
  <c r="K20" i="1" s="1"/>
  <c r="F20" i="1"/>
  <c r="C20" i="1"/>
  <c r="H20" i="1" s="1"/>
  <c r="Z19" i="1"/>
  <c r="W19" i="1"/>
  <c r="O19" i="1"/>
  <c r="N19" i="1"/>
  <c r="M19" i="1"/>
  <c r="J19" i="1"/>
  <c r="G19" i="1"/>
  <c r="K19" i="1" s="1"/>
  <c r="F19" i="1"/>
  <c r="C19" i="1"/>
  <c r="H19" i="1" s="1"/>
  <c r="Z18" i="1"/>
  <c r="W18" i="1"/>
  <c r="O18" i="1"/>
  <c r="N18" i="1"/>
  <c r="M18" i="1"/>
  <c r="J18" i="1"/>
  <c r="H18" i="1"/>
  <c r="G18" i="1"/>
  <c r="K18" i="1" s="1"/>
  <c r="P18" i="1" s="1"/>
  <c r="F18" i="1"/>
  <c r="C18" i="1"/>
  <c r="Z17" i="1"/>
  <c r="W17" i="1"/>
  <c r="O17" i="1"/>
  <c r="N17" i="1"/>
  <c r="M17" i="1"/>
  <c r="J17" i="1"/>
  <c r="H17" i="1"/>
  <c r="G17" i="1"/>
  <c r="K17" i="1" s="1"/>
  <c r="F17" i="1"/>
  <c r="C17" i="1"/>
  <c r="Z16" i="1"/>
  <c r="W16" i="1"/>
  <c r="O16" i="1"/>
  <c r="N16" i="1"/>
  <c r="M16" i="1"/>
  <c r="J16" i="1"/>
  <c r="H16" i="1"/>
  <c r="G16" i="1"/>
  <c r="K16" i="1" s="1"/>
  <c r="P16" i="1" s="1"/>
  <c r="F16" i="1"/>
  <c r="C16" i="1"/>
  <c r="Z15" i="1"/>
  <c r="W15" i="1"/>
  <c r="O15" i="1"/>
  <c r="N15" i="1"/>
  <c r="M15" i="1"/>
  <c r="J15" i="1"/>
  <c r="H15" i="1"/>
  <c r="G15" i="1"/>
  <c r="K15" i="1" s="1"/>
  <c r="F15" i="1"/>
  <c r="C15" i="1"/>
  <c r="Z14" i="1"/>
  <c r="W14" i="1"/>
  <c r="O14" i="1"/>
  <c r="N14" i="1"/>
  <c r="M14" i="1"/>
  <c r="J14" i="1"/>
  <c r="H14" i="1"/>
  <c r="G14" i="1"/>
  <c r="K14" i="1" s="1"/>
  <c r="P14" i="1" s="1"/>
  <c r="F14" i="1"/>
  <c r="C14" i="1"/>
  <c r="Z13" i="1"/>
  <c r="W13" i="1"/>
  <c r="O13" i="1"/>
  <c r="N13" i="1"/>
  <c r="M13" i="1"/>
  <c r="J13" i="1"/>
  <c r="H13" i="1"/>
  <c r="G13" i="1"/>
  <c r="K13" i="1" s="1"/>
  <c r="F13" i="1"/>
  <c r="C13" i="1"/>
  <c r="Z12" i="1"/>
  <c r="W12" i="1"/>
  <c r="O12" i="1"/>
  <c r="N12" i="1"/>
  <c r="J12" i="1"/>
  <c r="M12" i="1" s="1"/>
  <c r="H12" i="1"/>
  <c r="G12" i="1"/>
  <c r="F12" i="1"/>
  <c r="C12" i="1"/>
  <c r="AC11" i="1"/>
  <c r="AC12" i="1" s="1"/>
  <c r="Z11" i="1"/>
  <c r="W11" i="1"/>
  <c r="O11" i="1"/>
  <c r="N11" i="1"/>
  <c r="J11" i="1"/>
  <c r="M11" i="1" s="1"/>
  <c r="G11" i="1"/>
  <c r="F11" i="1"/>
  <c r="C11" i="1"/>
  <c r="H11" i="1" s="1"/>
  <c r="Z10" i="1"/>
  <c r="W10" i="1"/>
  <c r="O10" i="1"/>
  <c r="N10" i="1"/>
  <c r="J10" i="1"/>
  <c r="M10" i="1" s="1"/>
  <c r="G10" i="1"/>
  <c r="F10" i="1"/>
  <c r="C10" i="1"/>
  <c r="H10" i="1" s="1"/>
  <c r="Z9" i="1"/>
  <c r="W9" i="1"/>
  <c r="O9" i="1"/>
  <c r="N9" i="1"/>
  <c r="J9" i="1"/>
  <c r="M9" i="1" s="1"/>
  <c r="G9" i="1"/>
  <c r="F9" i="1"/>
  <c r="C9" i="1"/>
  <c r="H9" i="1" s="1"/>
  <c r="Z8" i="1"/>
  <c r="W8" i="1"/>
  <c r="O8" i="1"/>
  <c r="N8" i="1"/>
  <c r="J8" i="1"/>
  <c r="M8" i="1" s="1"/>
  <c r="G8" i="1"/>
  <c r="F8" i="1"/>
  <c r="C8" i="1"/>
  <c r="H8" i="1" s="1"/>
  <c r="AC7" i="1"/>
  <c r="Z7" i="1"/>
  <c r="W7" i="1"/>
  <c r="O7" i="1"/>
  <c r="N7" i="1"/>
  <c r="K7" i="1"/>
  <c r="H7" i="1"/>
  <c r="G7" i="1"/>
  <c r="F7" i="1"/>
  <c r="J7" i="1" s="1"/>
  <c r="M7" i="1" s="1"/>
  <c r="C7" i="1"/>
  <c r="Z6" i="1"/>
  <c r="W6" i="1"/>
  <c r="O6" i="1"/>
  <c r="N6" i="1"/>
  <c r="K6" i="1"/>
  <c r="H6" i="1"/>
  <c r="G6" i="1"/>
  <c r="F6" i="1"/>
  <c r="J6" i="1" s="1"/>
  <c r="M6" i="1" s="1"/>
  <c r="C6" i="1"/>
  <c r="Z5" i="1"/>
  <c r="W5" i="1"/>
  <c r="O5" i="1"/>
  <c r="N5" i="1"/>
  <c r="K5" i="1"/>
  <c r="H5" i="1"/>
  <c r="G5" i="1"/>
  <c r="F5" i="1"/>
  <c r="J5" i="1" s="1"/>
  <c r="M5" i="1" s="1"/>
  <c r="C5" i="1"/>
  <c r="Z4" i="1"/>
  <c r="W4" i="1"/>
  <c r="O4" i="1"/>
  <c r="N4" i="1"/>
  <c r="K4" i="1"/>
  <c r="H4" i="1"/>
  <c r="G4" i="1"/>
  <c r="F4" i="1"/>
  <c r="J4" i="1" s="1"/>
  <c r="M4" i="1" s="1"/>
  <c r="C4" i="1"/>
  <c r="S2" i="1"/>
  <c r="N2" i="1"/>
  <c r="K193" i="1" s="1"/>
  <c r="P193" i="1" s="1"/>
  <c r="P6" i="1" l="1"/>
  <c r="P20" i="1"/>
  <c r="P24" i="1"/>
  <c r="P28" i="1"/>
  <c r="P32" i="1"/>
  <c r="P35" i="1"/>
  <c r="P40" i="1"/>
  <c r="P43" i="1"/>
  <c r="P48" i="1"/>
  <c r="P51" i="1"/>
  <c r="P56" i="1"/>
  <c r="P59" i="1"/>
  <c r="P64" i="1"/>
  <c r="P67" i="1"/>
  <c r="P78" i="1"/>
  <c r="P87" i="1"/>
  <c r="P132" i="1"/>
  <c r="P133" i="1"/>
  <c r="P135" i="1"/>
  <c r="P7" i="1"/>
  <c r="P21" i="1"/>
  <c r="P25" i="1"/>
  <c r="P29" i="1"/>
  <c r="P38" i="1"/>
  <c r="P46" i="1"/>
  <c r="P54" i="1"/>
  <c r="P62" i="1"/>
  <c r="P76" i="1"/>
  <c r="P83" i="1"/>
  <c r="P91" i="1"/>
  <c r="P95" i="1"/>
  <c r="P152" i="1"/>
  <c r="P13" i="1"/>
  <c r="P15" i="1"/>
  <c r="P17" i="1"/>
  <c r="P19" i="1"/>
  <c r="P23" i="1"/>
  <c r="P27" i="1"/>
  <c r="P31" i="1"/>
  <c r="P107" i="1"/>
  <c r="P111" i="1"/>
  <c r="P144" i="1"/>
  <c r="P80" i="1"/>
  <c r="P4" i="1"/>
  <c r="P68" i="1"/>
  <c r="P5" i="1"/>
  <c r="P34" i="1"/>
  <c r="P42" i="1"/>
  <c r="P50" i="1"/>
  <c r="P58" i="1"/>
  <c r="P66" i="1"/>
  <c r="P71" i="1"/>
  <c r="P84" i="1"/>
  <c r="K185" i="1"/>
  <c r="P185" i="1" s="1"/>
  <c r="K191" i="1"/>
  <c r="P191" i="1" s="1"/>
  <c r="K196" i="1"/>
  <c r="P196" i="1" s="1"/>
  <c r="K197" i="1"/>
  <c r="P197" i="1" s="1"/>
  <c r="P77" i="1"/>
  <c r="K8" i="1"/>
  <c r="P8" i="1" s="1"/>
  <c r="K9" i="1"/>
  <c r="P9" i="1" s="1"/>
  <c r="K11" i="1"/>
  <c r="P11" i="1" s="1"/>
  <c r="K72" i="1"/>
  <c r="P72" i="1" s="1"/>
  <c r="K73" i="1"/>
  <c r="P73" i="1" s="1"/>
  <c r="K74" i="1"/>
  <c r="P74" i="1" s="1"/>
  <c r="K79" i="1"/>
  <c r="P79" i="1" s="1"/>
  <c r="K88" i="1"/>
  <c r="P88" i="1" s="1"/>
  <c r="K89" i="1"/>
  <c r="P89" i="1" s="1"/>
  <c r="K90" i="1"/>
  <c r="P90" i="1" s="1"/>
  <c r="K92" i="1"/>
  <c r="P92" i="1" s="1"/>
  <c r="K93" i="1"/>
  <c r="P93" i="1" s="1"/>
  <c r="K98" i="1"/>
  <c r="P98" i="1" s="1"/>
  <c r="K100" i="1"/>
  <c r="P100" i="1" s="1"/>
  <c r="K101" i="1"/>
  <c r="P101" i="1" s="1"/>
  <c r="K106" i="1"/>
  <c r="P106" i="1" s="1"/>
  <c r="K108" i="1"/>
  <c r="P108" i="1" s="1"/>
  <c r="K109" i="1"/>
  <c r="P109" i="1" s="1"/>
  <c r="K114" i="1"/>
  <c r="P114" i="1" s="1"/>
  <c r="K116" i="1"/>
  <c r="P116" i="1" s="1"/>
  <c r="K117" i="1"/>
  <c r="P117" i="1" s="1"/>
  <c r="K128" i="1"/>
  <c r="P128" i="1" s="1"/>
  <c r="K129" i="1"/>
  <c r="P129" i="1" s="1"/>
  <c r="K131" i="1"/>
  <c r="P131" i="1" s="1"/>
  <c r="K146" i="1"/>
  <c r="P146" i="1" s="1"/>
  <c r="K154" i="1"/>
  <c r="P154" i="1" s="1"/>
  <c r="K162" i="1"/>
  <c r="P162" i="1" s="1"/>
  <c r="K167" i="1"/>
  <c r="P167" i="1" s="1"/>
  <c r="K172" i="1"/>
  <c r="P172" i="1" s="1"/>
  <c r="K173" i="1"/>
  <c r="P173" i="1" s="1"/>
  <c r="K199" i="1"/>
  <c r="P199" i="1" s="1"/>
  <c r="K204" i="1"/>
  <c r="P204" i="1" s="1"/>
  <c r="K205" i="1"/>
  <c r="P205" i="1" s="1"/>
  <c r="K226" i="1"/>
  <c r="P226" i="1" s="1"/>
  <c r="K242" i="1"/>
  <c r="P242" i="1" s="1"/>
  <c r="K258" i="1"/>
  <c r="P258" i="1" s="1"/>
  <c r="K274" i="1"/>
  <c r="P274" i="1" s="1"/>
  <c r="I1" i="2"/>
  <c r="L222" i="2" s="1"/>
  <c r="K302" i="1"/>
  <c r="P302" i="1" s="1"/>
  <c r="K294" i="1"/>
  <c r="P294" i="1" s="1"/>
  <c r="K288" i="1"/>
  <c r="P288" i="1" s="1"/>
  <c r="K287" i="1"/>
  <c r="P287" i="1" s="1"/>
  <c r="K286" i="1"/>
  <c r="P286" i="1" s="1"/>
  <c r="K283" i="1"/>
  <c r="P283" i="1" s="1"/>
  <c r="K282" i="1"/>
  <c r="P282" i="1" s="1"/>
  <c r="K300" i="1"/>
  <c r="P300" i="1" s="1"/>
  <c r="K290" i="1"/>
  <c r="P290" i="1" s="1"/>
  <c r="K298" i="1"/>
  <c r="P298" i="1" s="1"/>
  <c r="K292" i="1"/>
  <c r="P292" i="1" s="1"/>
  <c r="K284" i="1"/>
  <c r="P284" i="1" s="1"/>
  <c r="K281" i="1"/>
  <c r="P281" i="1" s="1"/>
  <c r="K279" i="1"/>
  <c r="P279" i="1" s="1"/>
  <c r="K277" i="1"/>
  <c r="P277" i="1" s="1"/>
  <c r="K275" i="1"/>
  <c r="P275" i="1" s="1"/>
  <c r="K273" i="1"/>
  <c r="P273" i="1" s="1"/>
  <c r="K271" i="1"/>
  <c r="P271" i="1" s="1"/>
  <c r="K269" i="1"/>
  <c r="P269" i="1" s="1"/>
  <c r="K267" i="1"/>
  <c r="P267" i="1" s="1"/>
  <c r="K265" i="1"/>
  <c r="P265" i="1" s="1"/>
  <c r="K263" i="1"/>
  <c r="P263" i="1" s="1"/>
  <c r="K261" i="1"/>
  <c r="P261" i="1" s="1"/>
  <c r="K259" i="1"/>
  <c r="P259" i="1" s="1"/>
  <c r="K257" i="1"/>
  <c r="P257" i="1" s="1"/>
  <c r="K255" i="1"/>
  <c r="P255" i="1" s="1"/>
  <c r="K253" i="1"/>
  <c r="P253" i="1" s="1"/>
  <c r="K251" i="1"/>
  <c r="P251" i="1" s="1"/>
  <c r="K249" i="1"/>
  <c r="P249" i="1" s="1"/>
  <c r="K247" i="1"/>
  <c r="P247" i="1" s="1"/>
  <c r="K245" i="1"/>
  <c r="P245" i="1" s="1"/>
  <c r="K243" i="1"/>
  <c r="P243" i="1" s="1"/>
  <c r="K241" i="1"/>
  <c r="P241" i="1" s="1"/>
  <c r="K239" i="1"/>
  <c r="P239" i="1" s="1"/>
  <c r="K237" i="1"/>
  <c r="P237" i="1" s="1"/>
  <c r="K235" i="1"/>
  <c r="P235" i="1" s="1"/>
  <c r="K233" i="1"/>
  <c r="P233" i="1" s="1"/>
  <c r="K231" i="1"/>
  <c r="P231" i="1" s="1"/>
  <c r="K229" i="1"/>
  <c r="P229" i="1" s="1"/>
  <c r="K227" i="1"/>
  <c r="P227" i="1" s="1"/>
  <c r="K296" i="1"/>
  <c r="P296" i="1" s="1"/>
  <c r="K223" i="1"/>
  <c r="P223" i="1" s="1"/>
  <c r="K221" i="1"/>
  <c r="P221" i="1" s="1"/>
  <c r="K219" i="1"/>
  <c r="P219" i="1" s="1"/>
  <c r="K217" i="1"/>
  <c r="P217" i="1" s="1"/>
  <c r="K215" i="1"/>
  <c r="P215" i="1" s="1"/>
  <c r="K225" i="1"/>
  <c r="P225" i="1" s="1"/>
  <c r="K211" i="1"/>
  <c r="P211" i="1" s="1"/>
  <c r="K203" i="1"/>
  <c r="P203" i="1" s="1"/>
  <c r="K195" i="1"/>
  <c r="P195" i="1" s="1"/>
  <c r="K187" i="1"/>
  <c r="P187" i="1" s="1"/>
  <c r="K179" i="1"/>
  <c r="P179" i="1" s="1"/>
  <c r="K171" i="1"/>
  <c r="P171" i="1" s="1"/>
  <c r="K163" i="1"/>
  <c r="P163" i="1" s="1"/>
  <c r="K161" i="1"/>
  <c r="P161" i="1" s="1"/>
  <c r="K159" i="1"/>
  <c r="P159" i="1" s="1"/>
  <c r="K157" i="1"/>
  <c r="P157" i="1" s="1"/>
  <c r="K155" i="1"/>
  <c r="P155" i="1" s="1"/>
  <c r="K153" i="1"/>
  <c r="P153" i="1" s="1"/>
  <c r="K151" i="1"/>
  <c r="P151" i="1" s="1"/>
  <c r="K149" i="1"/>
  <c r="P149" i="1" s="1"/>
  <c r="K147" i="1"/>
  <c r="P147" i="1" s="1"/>
  <c r="K145" i="1"/>
  <c r="P145" i="1" s="1"/>
  <c r="K143" i="1"/>
  <c r="P143" i="1" s="1"/>
  <c r="K141" i="1"/>
  <c r="P141" i="1" s="1"/>
  <c r="K138" i="1"/>
  <c r="P138" i="1" s="1"/>
  <c r="K134" i="1"/>
  <c r="P134" i="1" s="1"/>
  <c r="K130" i="1"/>
  <c r="P130" i="1" s="1"/>
  <c r="K126" i="1"/>
  <c r="P126" i="1" s="1"/>
  <c r="K122" i="1"/>
  <c r="P122" i="1" s="1"/>
  <c r="K10" i="1"/>
  <c r="P10" i="1" s="1"/>
  <c r="K33" i="1"/>
  <c r="P33" i="1" s="1"/>
  <c r="K37" i="1"/>
  <c r="P37" i="1" s="1"/>
  <c r="K41" i="1"/>
  <c r="P41" i="1" s="1"/>
  <c r="K45" i="1"/>
  <c r="P45" i="1" s="1"/>
  <c r="K49" i="1"/>
  <c r="P49" i="1" s="1"/>
  <c r="K53" i="1"/>
  <c r="P53" i="1" s="1"/>
  <c r="K57" i="1"/>
  <c r="P57" i="1" s="1"/>
  <c r="K61" i="1"/>
  <c r="P61" i="1" s="1"/>
  <c r="K65" i="1"/>
  <c r="P65" i="1" s="1"/>
  <c r="K69" i="1"/>
  <c r="P69" i="1" s="1"/>
  <c r="K70" i="1"/>
  <c r="P70" i="1" s="1"/>
  <c r="K85" i="1"/>
  <c r="P85" i="1" s="1"/>
  <c r="K86" i="1"/>
  <c r="P86" i="1" s="1"/>
  <c r="K124" i="1"/>
  <c r="P124" i="1" s="1"/>
  <c r="K125" i="1"/>
  <c r="P125" i="1" s="1"/>
  <c r="K127" i="1"/>
  <c r="P127" i="1" s="1"/>
  <c r="K140" i="1"/>
  <c r="P140" i="1" s="1"/>
  <c r="K148" i="1"/>
  <c r="P148" i="1" s="1"/>
  <c r="K156" i="1"/>
  <c r="P156" i="1" s="1"/>
  <c r="K164" i="1"/>
  <c r="P164" i="1" s="1"/>
  <c r="K169" i="1"/>
  <c r="P169" i="1" s="1"/>
  <c r="K175" i="1"/>
  <c r="P175" i="1" s="1"/>
  <c r="K180" i="1"/>
  <c r="P180" i="1" s="1"/>
  <c r="K181" i="1"/>
  <c r="P181" i="1" s="1"/>
  <c r="K201" i="1"/>
  <c r="P201" i="1" s="1"/>
  <c r="K207" i="1"/>
  <c r="P207" i="1" s="1"/>
  <c r="K212" i="1"/>
  <c r="P212" i="1" s="1"/>
  <c r="K213" i="1"/>
  <c r="P213" i="1" s="1"/>
  <c r="K285" i="1"/>
  <c r="P285" i="1" s="1"/>
  <c r="L91" i="2"/>
  <c r="L92" i="2"/>
  <c r="K12" i="1"/>
  <c r="P12" i="1" s="1"/>
  <c r="K81" i="1"/>
  <c r="P81" i="1" s="1"/>
  <c r="K82" i="1"/>
  <c r="P82" i="1" s="1"/>
  <c r="K94" i="1"/>
  <c r="P94" i="1" s="1"/>
  <c r="K96" i="1"/>
  <c r="P96" i="1" s="1"/>
  <c r="K97" i="1"/>
  <c r="P97" i="1" s="1"/>
  <c r="K102" i="1"/>
  <c r="P102" i="1" s="1"/>
  <c r="K104" i="1"/>
  <c r="P104" i="1" s="1"/>
  <c r="K105" i="1"/>
  <c r="P105" i="1" s="1"/>
  <c r="K110" i="1"/>
  <c r="P110" i="1" s="1"/>
  <c r="K112" i="1"/>
  <c r="P112" i="1" s="1"/>
  <c r="K113" i="1"/>
  <c r="P113" i="1" s="1"/>
  <c r="K118" i="1"/>
  <c r="P118" i="1" s="1"/>
  <c r="K120" i="1"/>
  <c r="P120" i="1" s="1"/>
  <c r="K121" i="1"/>
  <c r="P121" i="1" s="1"/>
  <c r="K123" i="1"/>
  <c r="P123" i="1" s="1"/>
  <c r="K136" i="1"/>
  <c r="P136" i="1" s="1"/>
  <c r="K137" i="1"/>
  <c r="P137" i="1" s="1"/>
  <c r="K139" i="1"/>
  <c r="P139" i="1" s="1"/>
  <c r="K142" i="1"/>
  <c r="P142" i="1" s="1"/>
  <c r="K150" i="1"/>
  <c r="P150" i="1" s="1"/>
  <c r="K158" i="1"/>
  <c r="P158" i="1" s="1"/>
  <c r="K177" i="1"/>
  <c r="P177" i="1" s="1"/>
  <c r="K183" i="1"/>
  <c r="P183" i="1" s="1"/>
  <c r="K188" i="1"/>
  <c r="P188" i="1" s="1"/>
  <c r="K189" i="1"/>
  <c r="P189" i="1" s="1"/>
  <c r="K209" i="1"/>
  <c r="P209" i="1" s="1"/>
  <c r="K234" i="1"/>
  <c r="P234" i="1" s="1"/>
  <c r="K250" i="1"/>
  <c r="P250" i="1" s="1"/>
  <c r="K266" i="1"/>
  <c r="P266" i="1" s="1"/>
  <c r="K166" i="1"/>
  <c r="P166" i="1" s="1"/>
  <c r="K174" i="1"/>
  <c r="P174" i="1" s="1"/>
  <c r="K182" i="1"/>
  <c r="P182" i="1" s="1"/>
  <c r="K190" i="1"/>
  <c r="P190" i="1" s="1"/>
  <c r="K198" i="1"/>
  <c r="P198" i="1" s="1"/>
  <c r="K206" i="1"/>
  <c r="P206" i="1" s="1"/>
  <c r="K214" i="1"/>
  <c r="P214" i="1" s="1"/>
  <c r="K216" i="1"/>
  <c r="P216" i="1" s="1"/>
  <c r="K218" i="1"/>
  <c r="P218" i="1" s="1"/>
  <c r="K220" i="1"/>
  <c r="P220" i="1" s="1"/>
  <c r="K222" i="1"/>
  <c r="P222" i="1" s="1"/>
  <c r="K224" i="1"/>
  <c r="P224" i="1" s="1"/>
  <c r="K228" i="1"/>
  <c r="P228" i="1" s="1"/>
  <c r="K236" i="1"/>
  <c r="P236" i="1" s="1"/>
  <c r="K244" i="1"/>
  <c r="P244" i="1" s="1"/>
  <c r="K252" i="1"/>
  <c r="P252" i="1" s="1"/>
  <c r="K260" i="1"/>
  <c r="P260" i="1" s="1"/>
  <c r="K268" i="1"/>
  <c r="P268" i="1" s="1"/>
  <c r="K276" i="1"/>
  <c r="P276" i="1" s="1"/>
  <c r="L2" i="2"/>
  <c r="L4" i="2"/>
  <c r="L6" i="2"/>
  <c r="L8" i="2"/>
  <c r="L10" i="2"/>
  <c r="L12" i="2"/>
  <c r="L14" i="2"/>
  <c r="L16" i="2"/>
  <c r="L18" i="2"/>
  <c r="L20" i="2"/>
  <c r="L22" i="2"/>
  <c r="L24" i="2"/>
  <c r="L26" i="2"/>
  <c r="L28" i="2"/>
  <c r="L30" i="2"/>
  <c r="L32" i="2"/>
  <c r="L34" i="2"/>
  <c r="L36" i="2"/>
  <c r="L38" i="2"/>
  <c r="L40" i="2"/>
  <c r="L42" i="2"/>
  <c r="L44" i="2"/>
  <c r="L46" i="2"/>
  <c r="L48" i="2"/>
  <c r="L50" i="2"/>
  <c r="L52" i="2"/>
  <c r="L54" i="2"/>
  <c r="L56" i="2"/>
  <c r="L58" i="2"/>
  <c r="L60" i="2"/>
  <c r="L62" i="2"/>
  <c r="L64" i="2"/>
  <c r="L66" i="2"/>
  <c r="L68" i="2"/>
  <c r="L70" i="2"/>
  <c r="L71" i="2"/>
  <c r="L72" i="2"/>
  <c r="L73" i="2"/>
  <c r="L75" i="2"/>
  <c r="L85" i="2"/>
  <c r="K168" i="1"/>
  <c r="P168" i="1" s="1"/>
  <c r="K176" i="1"/>
  <c r="P176" i="1" s="1"/>
  <c r="K184" i="1"/>
  <c r="P184" i="1" s="1"/>
  <c r="K192" i="1"/>
  <c r="P192" i="1" s="1"/>
  <c r="K200" i="1"/>
  <c r="P200" i="1" s="1"/>
  <c r="K208" i="1"/>
  <c r="P208" i="1" s="1"/>
  <c r="K230" i="1"/>
  <c r="P230" i="1" s="1"/>
  <c r="K238" i="1"/>
  <c r="P238" i="1" s="1"/>
  <c r="K246" i="1"/>
  <c r="P246" i="1" s="1"/>
  <c r="K254" i="1"/>
  <c r="P254" i="1" s="1"/>
  <c r="K262" i="1"/>
  <c r="P262" i="1" s="1"/>
  <c r="K270" i="1"/>
  <c r="P270" i="1" s="1"/>
  <c r="K278" i="1"/>
  <c r="P278" i="1" s="1"/>
  <c r="L168" i="2"/>
  <c r="K170" i="1"/>
  <c r="P170" i="1" s="1"/>
  <c r="K178" i="1"/>
  <c r="P178" i="1" s="1"/>
  <c r="K186" i="1"/>
  <c r="P186" i="1" s="1"/>
  <c r="K194" i="1"/>
  <c r="P194" i="1" s="1"/>
  <c r="K202" i="1"/>
  <c r="P202" i="1" s="1"/>
  <c r="K210" i="1"/>
  <c r="P210" i="1" s="1"/>
  <c r="K232" i="1"/>
  <c r="P232" i="1" s="1"/>
  <c r="K240" i="1"/>
  <c r="P240" i="1" s="1"/>
  <c r="K248" i="1"/>
  <c r="P248" i="1" s="1"/>
  <c r="K256" i="1"/>
  <c r="P256" i="1" s="1"/>
  <c r="K264" i="1"/>
  <c r="P264" i="1" s="1"/>
  <c r="K272" i="1"/>
  <c r="P272" i="1" s="1"/>
  <c r="K280" i="1"/>
  <c r="P280" i="1" s="1"/>
  <c r="K291" i="1"/>
  <c r="P291" i="1" s="1"/>
  <c r="K301" i="1"/>
  <c r="P301" i="1" s="1"/>
  <c r="L97" i="2"/>
  <c r="L98" i="2"/>
  <c r="L104" i="2"/>
  <c r="L106" i="2"/>
  <c r="L108" i="2"/>
  <c r="L110" i="2"/>
  <c r="L112" i="2"/>
  <c r="L114" i="2"/>
  <c r="L116" i="2"/>
  <c r="L126" i="2"/>
  <c r="L129" i="2"/>
  <c r="L130" i="2"/>
  <c r="K289" i="1"/>
  <c r="P289" i="1" s="1"/>
  <c r="K295" i="1"/>
  <c r="P295" i="1" s="1"/>
  <c r="K303" i="1"/>
  <c r="P303" i="1" s="1"/>
  <c r="L81" i="2"/>
  <c r="L84" i="2"/>
  <c r="L89" i="2"/>
  <c r="L90" i="2"/>
  <c r="L96" i="2"/>
  <c r="L161" i="2"/>
  <c r="L162" i="2"/>
  <c r="K297" i="1"/>
  <c r="P297" i="1" s="1"/>
  <c r="L77" i="2"/>
  <c r="L80" i="2"/>
  <c r="L83" i="2"/>
  <c r="L88" i="2"/>
  <c r="L206" i="2"/>
  <c r="K293" i="1"/>
  <c r="P293" i="1" s="1"/>
  <c r="K299" i="1"/>
  <c r="P299" i="1" s="1"/>
  <c r="L3" i="2"/>
  <c r="L5" i="2"/>
  <c r="L7" i="2"/>
  <c r="L9" i="2"/>
  <c r="L11" i="2"/>
  <c r="L13" i="2"/>
  <c r="L15" i="2"/>
  <c r="L17" i="2"/>
  <c r="L19" i="2"/>
  <c r="L21" i="2"/>
  <c r="L23" i="2"/>
  <c r="L25" i="2"/>
  <c r="L27" i="2"/>
  <c r="L29" i="2"/>
  <c r="L31" i="2"/>
  <c r="L33" i="2"/>
  <c r="L35" i="2"/>
  <c r="L37" i="2"/>
  <c r="L39" i="2"/>
  <c r="L41" i="2"/>
  <c r="L43" i="2"/>
  <c r="L45" i="2"/>
  <c r="L47" i="2"/>
  <c r="L49" i="2"/>
  <c r="L51" i="2"/>
  <c r="L53" i="2"/>
  <c r="L55" i="2"/>
  <c r="L57" i="2"/>
  <c r="L59" i="2"/>
  <c r="L61" i="2"/>
  <c r="L63" i="2"/>
  <c r="L65" i="2"/>
  <c r="L67" i="2"/>
  <c r="L69" i="2"/>
  <c r="L76" i="2"/>
  <c r="L79" i="2"/>
  <c r="L99" i="2"/>
  <c r="L100" i="2"/>
  <c r="L136" i="2"/>
  <c r="L122" i="2"/>
  <c r="L125" i="2"/>
  <c r="L128" i="2"/>
  <c r="L153" i="2"/>
  <c r="L154" i="2"/>
  <c r="L160" i="2"/>
  <c r="L185" i="2"/>
  <c r="L186" i="2"/>
  <c r="L192" i="2"/>
  <c r="L202" i="2"/>
  <c r="L218" i="2"/>
  <c r="L118" i="2"/>
  <c r="L121" i="2"/>
  <c r="L124" i="2"/>
  <c r="L145" i="2"/>
  <c r="L146" i="2"/>
  <c r="L152" i="2"/>
  <c r="L177" i="2"/>
  <c r="L178" i="2"/>
  <c r="L184" i="2"/>
  <c r="L198" i="2"/>
  <c r="L214" i="2"/>
  <c r="L74" i="2"/>
  <c r="L78" i="2"/>
  <c r="L82" i="2"/>
  <c r="L86" i="2"/>
  <c r="L94" i="2"/>
  <c r="L102" i="2"/>
  <c r="L105" i="2"/>
  <c r="L107" i="2"/>
  <c r="L109" i="2"/>
  <c r="L111" i="2"/>
  <c r="L113" i="2"/>
  <c r="L115" i="2"/>
  <c r="L117" i="2"/>
  <c r="L120" i="2"/>
  <c r="L137" i="2"/>
  <c r="L138" i="2"/>
  <c r="L144" i="2"/>
  <c r="L169" i="2"/>
  <c r="L170" i="2"/>
  <c r="L176" i="2"/>
  <c r="L210" i="2"/>
  <c r="K131" i="2"/>
  <c r="L131" i="2" s="1"/>
  <c r="K139" i="2"/>
  <c r="L139" i="2" s="1"/>
  <c r="K147" i="2"/>
  <c r="L147" i="2" s="1"/>
  <c r="K155" i="2"/>
  <c r="L155" i="2" s="1"/>
  <c r="K163" i="2"/>
  <c r="L163" i="2" s="1"/>
  <c r="K171" i="2"/>
  <c r="L171" i="2" s="1"/>
  <c r="K179" i="2"/>
  <c r="L179" i="2" s="1"/>
  <c r="K187" i="2"/>
  <c r="L187" i="2" s="1"/>
  <c r="K193" i="2"/>
  <c r="L193" i="2" s="1"/>
  <c r="K133" i="2"/>
  <c r="L133" i="2" s="1"/>
  <c r="K141" i="2"/>
  <c r="L141" i="2" s="1"/>
  <c r="K149" i="2"/>
  <c r="L149" i="2" s="1"/>
  <c r="K157" i="2"/>
  <c r="L157" i="2" s="1"/>
  <c r="K165" i="2"/>
  <c r="L165" i="2" s="1"/>
  <c r="K173" i="2"/>
  <c r="L173" i="2" s="1"/>
  <c r="K181" i="2"/>
  <c r="L181" i="2" s="1"/>
  <c r="K189" i="2"/>
  <c r="L189" i="2" s="1"/>
  <c r="L119" i="2"/>
  <c r="L123" i="2"/>
  <c r="L127" i="2"/>
  <c r="L135" i="2"/>
  <c r="L143" i="2"/>
  <c r="L151" i="2"/>
  <c r="L159" i="2"/>
  <c r="L167" i="2"/>
  <c r="L175" i="2"/>
  <c r="L183" i="2"/>
  <c r="L191" i="2"/>
  <c r="L195" i="2"/>
  <c r="L199" i="2"/>
  <c r="L203" i="2"/>
  <c r="L207" i="2"/>
  <c r="L211" i="2"/>
  <c r="L215" i="2"/>
  <c r="L219" i="2"/>
  <c r="L223" i="2"/>
  <c r="L194" i="2" l="1"/>
  <c r="L188" i="2"/>
  <c r="L180" i="2"/>
  <c r="L172" i="2"/>
  <c r="L164" i="2"/>
  <c r="L156" i="2"/>
  <c r="L148" i="2"/>
  <c r="L140" i="2"/>
  <c r="L132" i="2"/>
  <c r="L209" i="2"/>
  <c r="L208" i="2"/>
  <c r="L182" i="2"/>
  <c r="L150" i="2"/>
  <c r="L101" i="2"/>
  <c r="L93" i="2"/>
  <c r="L213" i="2"/>
  <c r="L212" i="2"/>
  <c r="L197" i="2"/>
  <c r="L196" i="2"/>
  <c r="L190" i="2"/>
  <c r="L158" i="2"/>
  <c r="L217" i="2"/>
  <c r="L216" i="2"/>
  <c r="L201" i="2"/>
  <c r="L200" i="2"/>
  <c r="L166" i="2"/>
  <c r="L134" i="2"/>
  <c r="L142" i="2"/>
  <c r="L205" i="2"/>
  <c r="L204" i="2"/>
  <c r="L87" i="2"/>
  <c r="L95" i="2"/>
  <c r="L103" i="2"/>
  <c r="L174" i="2"/>
  <c r="L221" i="2"/>
  <c r="L220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<sst xmlns="http://schemas.openxmlformats.org/spreadsheetml/2006/main" count="40" uniqueCount="33">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</sst>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zoomScale="85" zoomScaleNormal="85" workbookViewId="0">
      <selection activeCell="S4" sqref="S4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-0.54984</v>
      </c>
      <c r="AC3" t="s">
        <v>24</v>
      </c>
    </row>
    <row r="4" spans="1:29" x14ac:dyDescent="0.3">
      <c r="A4">
        <v>5.2385349999999997E-2</v>
      </c>
      <c r="B4">
        <v>0.85346999999999995</v>
      </c>
      <c r="C4">
        <f t="shared" ref="C4:C67" si="0">A4*B4</f>
        <v>4.4709324664499998E-2</v>
      </c>
      <c r="D4">
        <v>1.7299999999999999E-2</v>
      </c>
      <c r="E4">
        <v>1.4760000000000001E-2</v>
      </c>
      <c r="F4">
        <f t="shared" ref="F4:F67" si="1">A4*200</f>
        <v>10.477069999999999</v>
      </c>
      <c r="G4">
        <f t="shared" ref="G4:G67" si="2">-B4</f>
        <v>-0.85346999999999995</v>
      </c>
      <c r="H4">
        <f t="shared" ref="H4:H67" si="3">-C4*200</f>
        <v>-8.9418649328999997</v>
      </c>
      <c r="I4">
        <v>1</v>
      </c>
      <c r="J4">
        <f t="shared" ref="J4:J67" si="4">LN(F4/1000)</f>
        <v>-4.5585662193317296</v>
      </c>
      <c r="K4">
        <f t="shared" ref="K4:K67" si="5">((-G4)-$N$2)</f>
        <v>-0.3682551517752175</v>
      </c>
      <c r="L4">
        <v>1</v>
      </c>
      <c r="M4">
        <f t="shared" ref="M4:M67" si="6">-1*($S$4+($S$5*J4))</f>
        <v>0.33099002681029649</v>
      </c>
      <c r="N4">
        <f t="shared" ref="N4:N67" si="7">D4*A4</f>
        <v>9.0626655499999992E-4</v>
      </c>
      <c r="O4">
        <f t="shared" ref="O4:O67" si="8">E4*A4</f>
        <v>7.7320776600000001E-4</v>
      </c>
      <c r="P4">
        <f t="shared" ref="P4:P67" si="9">-K4-M4-N4-O4</f>
        <v>3.5585650643921017E-2</v>
      </c>
      <c r="R4" s="2" t="s">
        <v>25</v>
      </c>
      <c r="S4">
        <v>-0.52947</v>
      </c>
      <c r="V4">
        <v>-6</v>
      </c>
      <c r="W4">
        <f t="shared" ref="W4:W35" si="10">V4*$S$5+$S$4</f>
        <v>-0.26822999999999997</v>
      </c>
      <c r="Y4">
        <v>0</v>
      </c>
      <c r="Z4">
        <f t="shared" ref="Z4:Z31" si="11">$AB$4*Y4+$AB$3</f>
        <v>-0.54984</v>
      </c>
      <c r="AB4">
        <v>14.18899</v>
      </c>
      <c r="AC4" t="s">
        <v>26</v>
      </c>
    </row>
    <row r="5" spans="1:29" x14ac:dyDescent="0.3">
      <c r="A5">
        <v>0.1109414</v>
      </c>
      <c r="B5">
        <v>0.84530000000000005</v>
      </c>
      <c r="C5">
        <f t="shared" si="0"/>
        <v>9.3778765420000007E-2</v>
      </c>
      <c r="D5">
        <v>1.7299999999999999E-2</v>
      </c>
      <c r="E5">
        <v>1.4760000000000001E-2</v>
      </c>
      <c r="F5">
        <f t="shared" si="1"/>
        <v>22.188279999999999</v>
      </c>
      <c r="G5">
        <f t="shared" si="2"/>
        <v>-0.84530000000000005</v>
      </c>
      <c r="H5">
        <f t="shared" si="3"/>
        <v>-18.755753084000002</v>
      </c>
      <c r="I5">
        <v>1</v>
      </c>
      <c r="J5">
        <f t="shared" si="4"/>
        <v>-3.8081910574348452</v>
      </c>
      <c r="K5">
        <f t="shared" si="5"/>
        <v>-0.3764251517752174</v>
      </c>
      <c r="L5">
        <v>1</v>
      </c>
      <c r="M5">
        <f t="shared" si="6"/>
        <v>0.36366136135928684</v>
      </c>
      <c r="N5">
        <f t="shared" si="7"/>
        <v>1.9192862199999999E-3</v>
      </c>
      <c r="O5">
        <f t="shared" si="8"/>
        <v>1.6374950640000001E-3</v>
      </c>
      <c r="P5">
        <f t="shared" si="9"/>
        <v>9.2070091319305641E-3</v>
      </c>
      <c r="R5" s="2" t="s">
        <v>27</v>
      </c>
      <c r="S5">
        <v>-4.3540000000000002E-2</v>
      </c>
      <c r="V5">
        <v>-5.9</v>
      </c>
      <c r="W5">
        <f t="shared" si="10"/>
        <v>-0.27258399999999999</v>
      </c>
      <c r="Y5">
        <v>0.01</v>
      </c>
      <c r="Z5">
        <f t="shared" si="11"/>
        <v>-0.40795009999999998</v>
      </c>
    </row>
    <row r="6" spans="1:29" x14ac:dyDescent="0.3">
      <c r="A6">
        <v>0.16593325</v>
      </c>
      <c r="B6">
        <v>0.83486000000000005</v>
      </c>
      <c r="C6">
        <f t="shared" si="0"/>
        <v>0.13853103309500001</v>
      </c>
      <c r="D6">
        <v>1.7299999999999999E-2</v>
      </c>
      <c r="E6">
        <v>1.4760000000000001E-2</v>
      </c>
      <c r="F6">
        <f t="shared" si="1"/>
        <v>33.18665</v>
      </c>
      <c r="G6">
        <f t="shared" si="2"/>
        <v>-0.83486000000000005</v>
      </c>
      <c r="H6">
        <f t="shared" si="3"/>
        <v>-27.706206619</v>
      </c>
      <c r="I6">
        <v>1</v>
      </c>
      <c r="J6">
        <f t="shared" si="4"/>
        <v>-3.4056075923607043</v>
      </c>
      <c r="K6">
        <f t="shared" si="5"/>
        <v>-0.38686515177521741</v>
      </c>
      <c r="L6">
        <v>1</v>
      </c>
      <c r="M6">
        <f t="shared" si="6"/>
        <v>0.38118984542861489</v>
      </c>
      <c r="N6">
        <f t="shared" si="7"/>
        <v>2.8706452249999998E-3</v>
      </c>
      <c r="O6">
        <f t="shared" si="8"/>
        <v>2.4491747700000001E-3</v>
      </c>
      <c r="P6">
        <f t="shared" si="9"/>
        <v>3.5548635160251568E-4</v>
      </c>
      <c r="V6">
        <v>-5.8</v>
      </c>
      <c r="W6">
        <f t="shared" si="10"/>
        <v>-0.27693800000000002</v>
      </c>
      <c r="Y6">
        <v>0.02</v>
      </c>
      <c r="Z6">
        <f t="shared" si="11"/>
        <v>-0.26606019999999997</v>
      </c>
      <c r="AB6" t="s">
        <v>28</v>
      </c>
    </row>
    <row r="7" spans="1:29" x14ac:dyDescent="0.3">
      <c r="A7">
        <v>0.21837909999999999</v>
      </c>
      <c r="B7">
        <v>0.82687999999999995</v>
      </c>
      <c r="C7">
        <f t="shared" si="0"/>
        <v>0.18057331020799999</v>
      </c>
      <c r="D7">
        <v>1.7299999999999999E-2</v>
      </c>
      <c r="E7">
        <v>1.4760000000000001E-2</v>
      </c>
      <c r="F7">
        <f t="shared" si="1"/>
        <v>43.675820000000002</v>
      </c>
      <c r="G7">
        <f t="shared" si="2"/>
        <v>-0.82687999999999995</v>
      </c>
      <c r="H7">
        <f t="shared" si="3"/>
        <v>-36.114662041599999</v>
      </c>
      <c r="I7">
        <v>1</v>
      </c>
      <c r="J7">
        <f t="shared" si="4"/>
        <v>-3.1309606480953347</v>
      </c>
      <c r="K7">
        <f t="shared" si="5"/>
        <v>-0.39484515177521751</v>
      </c>
      <c r="L7">
        <v>1</v>
      </c>
      <c r="M7">
        <f t="shared" si="6"/>
        <v>0.39314797338192908</v>
      </c>
      <c r="N7">
        <f t="shared" si="7"/>
        <v>3.7779584299999997E-3</v>
      </c>
      <c r="O7">
        <f t="shared" si="8"/>
        <v>3.2232755159999999E-3</v>
      </c>
      <c r="P7">
        <f t="shared" si="9"/>
        <v>-5.3040555527115764E-3</v>
      </c>
      <c r="V7">
        <v>-5.7</v>
      </c>
      <c r="W7">
        <f t="shared" si="10"/>
        <v>-0.28129199999999999</v>
      </c>
      <c r="Y7">
        <v>0.03</v>
      </c>
      <c r="Z7">
        <f t="shared" si="11"/>
        <v>-0.12417030000000001</v>
      </c>
      <c r="AB7" t="s">
        <v>29</v>
      </c>
      <c r="AC7">
        <f>-AB3/AB4</f>
        <v>3.875117256407961E-2</v>
      </c>
    </row>
    <row r="8" spans="1:29" x14ac:dyDescent="0.3">
      <c r="A8">
        <v>0.27133415</v>
      </c>
      <c r="B8">
        <v>0.81901000000000002</v>
      </c>
      <c r="C8">
        <f t="shared" si="0"/>
        <v>0.22222538219150001</v>
      </c>
      <c r="D8">
        <v>1.7299999999999999E-2</v>
      </c>
      <c r="E8">
        <v>1.4760000000000001E-2</v>
      </c>
      <c r="F8">
        <f t="shared" si="1"/>
        <v>54.266829999999999</v>
      </c>
      <c r="G8">
        <f t="shared" si="2"/>
        <v>-0.81901000000000002</v>
      </c>
      <c r="H8">
        <f t="shared" si="3"/>
        <v>-44.445076438299999</v>
      </c>
      <c r="I8">
        <v>1</v>
      </c>
      <c r="J8">
        <f t="shared" si="4"/>
        <v>-2.9138421042583267</v>
      </c>
      <c r="K8">
        <f t="shared" si="5"/>
        <v>-0.40271515177521744</v>
      </c>
      <c r="L8">
        <v>1</v>
      </c>
      <c r="M8">
        <f t="shared" si="6"/>
        <v>0.40260131478059247</v>
      </c>
      <c r="N8">
        <f t="shared" si="7"/>
        <v>4.6940807949999996E-3</v>
      </c>
      <c r="O8">
        <f t="shared" si="8"/>
        <v>4.0048920540000001E-3</v>
      </c>
      <c r="P8">
        <f t="shared" si="9"/>
        <v>-8.585135854375028E-3</v>
      </c>
      <c r="V8">
        <v>-5.6</v>
      </c>
      <c r="W8">
        <f t="shared" si="10"/>
        <v>-0.28564600000000001</v>
      </c>
      <c r="Y8">
        <v>0.04</v>
      </c>
      <c r="Z8">
        <f t="shared" si="11"/>
        <v>1.7719600000000058E-2</v>
      </c>
    </row>
    <row r="9" spans="1:29" x14ac:dyDescent="0.3">
      <c r="A9">
        <v>0.3222525</v>
      </c>
      <c r="B9">
        <v>0.81245999999999996</v>
      </c>
      <c r="C9">
        <f t="shared" si="0"/>
        <v>0.26181726615000001</v>
      </c>
      <c r="D9">
        <v>1.7299999999999999E-2</v>
      </c>
      <c r="E9">
        <v>1.4760000000000001E-2</v>
      </c>
      <c r="F9">
        <f t="shared" si="1"/>
        <v>64.450500000000005</v>
      </c>
      <c r="G9">
        <f t="shared" si="2"/>
        <v>-0.81245999999999996</v>
      </c>
      <c r="H9">
        <f t="shared" si="3"/>
        <v>-52.363453230000005</v>
      </c>
      <c r="I9">
        <v>1</v>
      </c>
      <c r="J9">
        <f t="shared" si="4"/>
        <v>-2.7418577916751325</v>
      </c>
      <c r="K9">
        <f t="shared" si="5"/>
        <v>-0.4092651517752175</v>
      </c>
      <c r="L9">
        <v>1</v>
      </c>
      <c r="M9">
        <f t="shared" si="6"/>
        <v>0.41008951175046471</v>
      </c>
      <c r="N9">
        <f t="shared" si="7"/>
        <v>5.5749682499999995E-3</v>
      </c>
      <c r="O9">
        <f t="shared" si="8"/>
        <v>4.7564469E-3</v>
      </c>
      <c r="P9">
        <f t="shared" si="9"/>
        <v>-1.1155775125247212E-2</v>
      </c>
      <c r="V9">
        <v>-5.5</v>
      </c>
      <c r="W9">
        <f t="shared" si="10"/>
        <v>-0.28999999999999998</v>
      </c>
      <c r="Y9">
        <v>0.05</v>
      </c>
      <c r="Z9">
        <f t="shared" si="11"/>
        <v>0.15960950000000007</v>
      </c>
      <c r="AB9" t="s">
        <v>30</v>
      </c>
      <c r="AC9">
        <v>3.2829999999999998E-2</v>
      </c>
    </row>
    <row r="10" spans="1:29" x14ac:dyDescent="0.3">
      <c r="A10">
        <v>0.37571674999999999</v>
      </c>
      <c r="B10">
        <v>0.80647000000000002</v>
      </c>
      <c r="C10">
        <f t="shared" si="0"/>
        <v>0.30300428737250001</v>
      </c>
      <c r="D10">
        <v>1.7299999999999999E-2</v>
      </c>
      <c r="E10">
        <v>1.4760000000000001E-2</v>
      </c>
      <c r="F10">
        <f t="shared" si="1"/>
        <v>75.143349999999998</v>
      </c>
      <c r="G10">
        <f t="shared" si="2"/>
        <v>-0.80647000000000002</v>
      </c>
      <c r="H10">
        <f t="shared" si="3"/>
        <v>-60.600857474500003</v>
      </c>
      <c r="I10">
        <v>1</v>
      </c>
      <c r="J10">
        <f t="shared" si="4"/>
        <v>-2.588357656385889</v>
      </c>
      <c r="K10">
        <f t="shared" si="5"/>
        <v>-0.41525515177521743</v>
      </c>
      <c r="L10">
        <v>1</v>
      </c>
      <c r="M10">
        <f t="shared" si="6"/>
        <v>0.41677290764095837</v>
      </c>
      <c r="N10">
        <f t="shared" si="7"/>
        <v>6.4998997749999999E-3</v>
      </c>
      <c r="O10">
        <f t="shared" si="8"/>
        <v>5.5455792300000001E-3</v>
      </c>
      <c r="P10">
        <f t="shared" si="9"/>
        <v>-1.3563234870740933E-2</v>
      </c>
      <c r="V10">
        <v>-5.4</v>
      </c>
      <c r="W10">
        <f t="shared" si="10"/>
        <v>-0.294354</v>
      </c>
      <c r="Y10">
        <v>0.06</v>
      </c>
      <c r="Z10">
        <f t="shared" si="11"/>
        <v>0.30149939999999997</v>
      </c>
    </row>
    <row r="11" spans="1:29" x14ac:dyDescent="0.3">
      <c r="A11">
        <v>0.43019934999999998</v>
      </c>
      <c r="B11">
        <v>0.8004</v>
      </c>
      <c r="C11">
        <f t="shared" si="0"/>
        <v>0.34433155973999996</v>
      </c>
      <c r="D11">
        <v>1.7299999999999999E-2</v>
      </c>
      <c r="E11">
        <v>1.4760000000000001E-2</v>
      </c>
      <c r="F11">
        <f t="shared" si="1"/>
        <v>86.039869999999993</v>
      </c>
      <c r="G11">
        <f t="shared" si="2"/>
        <v>-0.8004</v>
      </c>
      <c r="H11">
        <f t="shared" si="3"/>
        <v>-68.866311947999989</v>
      </c>
      <c r="I11">
        <v>1</v>
      </c>
      <c r="J11">
        <f t="shared" si="4"/>
        <v>-2.4529444855089002</v>
      </c>
      <c r="K11">
        <f t="shared" si="5"/>
        <v>-0.42132515177521745</v>
      </c>
      <c r="L11">
        <v>1</v>
      </c>
      <c r="M11">
        <f t="shared" si="6"/>
        <v>0.42266879710094246</v>
      </c>
      <c r="N11">
        <f t="shared" si="7"/>
        <v>7.4424487549999991E-3</v>
      </c>
      <c r="O11">
        <f t="shared" si="8"/>
        <v>6.3497424060000003E-3</v>
      </c>
      <c r="P11">
        <f t="shared" si="9"/>
        <v>-1.5135836486725007E-2</v>
      </c>
      <c r="V11">
        <v>-5.3</v>
      </c>
      <c r="W11">
        <f t="shared" si="10"/>
        <v>-0.29870799999999997</v>
      </c>
      <c r="Y11">
        <v>7.0000000000000007E-2</v>
      </c>
      <c r="Z11">
        <f t="shared" si="11"/>
        <v>0.4433893000000001</v>
      </c>
      <c r="AB11" t="s">
        <v>31</v>
      </c>
      <c r="AC11">
        <f>AC7-AC9</f>
        <v>5.9211725640796117E-3</v>
      </c>
    </row>
    <row r="12" spans="1:29" x14ac:dyDescent="0.3">
      <c r="A12">
        <v>0.48060845000000002</v>
      </c>
      <c r="B12">
        <v>0.79478000000000004</v>
      </c>
      <c r="C12">
        <f t="shared" si="0"/>
        <v>0.38197798389100002</v>
      </c>
      <c r="D12">
        <v>1.7299999999999999E-2</v>
      </c>
      <c r="E12">
        <v>1.4760000000000001E-2</v>
      </c>
      <c r="F12">
        <f t="shared" si="1"/>
        <v>96.121690000000001</v>
      </c>
      <c r="G12">
        <f t="shared" si="2"/>
        <v>-0.79478000000000004</v>
      </c>
      <c r="H12">
        <f t="shared" si="3"/>
        <v>-76.395596778200002</v>
      </c>
      <c r="I12">
        <v>1</v>
      </c>
      <c r="J12">
        <f t="shared" si="4"/>
        <v>-2.3421402860795033</v>
      </c>
      <c r="K12">
        <f t="shared" si="5"/>
        <v>-0.42694515177521741</v>
      </c>
      <c r="L12">
        <v>1</v>
      </c>
      <c r="M12">
        <f t="shared" si="6"/>
        <v>0.42749321194409839</v>
      </c>
      <c r="N12">
        <f t="shared" si="7"/>
        <v>8.3145261850000006E-3</v>
      </c>
      <c r="O12">
        <f t="shared" si="8"/>
        <v>7.0937807220000006E-3</v>
      </c>
      <c r="P12">
        <f t="shared" si="9"/>
        <v>-1.5956367075880981E-2</v>
      </c>
      <c r="V12">
        <v>-5.2</v>
      </c>
      <c r="W12">
        <f t="shared" si="10"/>
        <v>-0.30306199999999994</v>
      </c>
      <c r="Y12">
        <v>0.08</v>
      </c>
      <c r="Z12">
        <f t="shared" si="11"/>
        <v>0.58527920000000011</v>
      </c>
      <c r="AC12">
        <f>AC11*3</f>
        <v>1.7763517692238835E-2</v>
      </c>
    </row>
    <row r="13" spans="1:29" x14ac:dyDescent="0.3">
      <c r="A13">
        <v>0.53152685</v>
      </c>
      <c r="B13">
        <v>0.78961000000000003</v>
      </c>
      <c r="C13">
        <f t="shared" si="0"/>
        <v>0.41969891602850001</v>
      </c>
      <c r="D13">
        <v>1.7299999999999999E-2</v>
      </c>
      <c r="E13">
        <v>1.4760000000000001E-2</v>
      </c>
      <c r="F13">
        <f t="shared" si="1"/>
        <v>106.30537</v>
      </c>
      <c r="G13">
        <f t="shared" si="2"/>
        <v>-0.78961000000000003</v>
      </c>
      <c r="H13">
        <f t="shared" si="3"/>
        <v>-83.939783205699996</v>
      </c>
      <c r="I13">
        <v>1</v>
      </c>
      <c r="J13">
        <f t="shared" si="4"/>
        <v>-2.2414394775066211</v>
      </c>
      <c r="K13">
        <f t="shared" si="5"/>
        <v>-0.43211515177521742</v>
      </c>
      <c r="L13">
        <v>1</v>
      </c>
      <c r="M13">
        <f t="shared" si="6"/>
        <v>0.43187772514936174</v>
      </c>
      <c r="N13">
        <f t="shared" si="7"/>
        <v>9.1954145049999991E-3</v>
      </c>
      <c r="O13">
        <f t="shared" si="8"/>
        <v>7.845336306000001E-3</v>
      </c>
      <c r="P13">
        <f t="shared" si="9"/>
        <v>-1.6803324185144315E-2</v>
      </c>
      <c r="V13">
        <v>-5.0999999999999996</v>
      </c>
      <c r="W13">
        <f t="shared" si="10"/>
        <v>-0.30741600000000002</v>
      </c>
      <c r="Y13">
        <v>0.09</v>
      </c>
      <c r="Z13">
        <f t="shared" si="11"/>
        <v>0.7271690999999999</v>
      </c>
    </row>
    <row r="14" spans="1:29" x14ac:dyDescent="0.3">
      <c r="A14">
        <v>0.58193594999999998</v>
      </c>
      <c r="B14">
        <v>0.78524000000000005</v>
      </c>
      <c r="C14">
        <f t="shared" si="0"/>
        <v>0.45695938537800002</v>
      </c>
      <c r="D14">
        <v>1.7299999999999999E-2</v>
      </c>
      <c r="E14">
        <v>1.4760000000000001E-2</v>
      </c>
      <c r="F14">
        <f t="shared" si="1"/>
        <v>116.38718999999999</v>
      </c>
      <c r="G14">
        <f t="shared" si="2"/>
        <v>-0.78524000000000005</v>
      </c>
      <c r="H14">
        <f t="shared" si="3"/>
        <v>-91.391877075600007</v>
      </c>
      <c r="I14">
        <v>1</v>
      </c>
      <c r="J14">
        <f t="shared" si="4"/>
        <v>-2.150832801287307</v>
      </c>
      <c r="K14">
        <f t="shared" si="5"/>
        <v>-0.43648515177521741</v>
      </c>
      <c r="L14">
        <v>1</v>
      </c>
      <c r="M14">
        <f t="shared" si="6"/>
        <v>0.43582273983195063</v>
      </c>
      <c r="N14">
        <f t="shared" si="7"/>
        <v>1.0067491934999999E-2</v>
      </c>
      <c r="O14">
        <f t="shared" si="8"/>
        <v>8.5893746220000004E-3</v>
      </c>
      <c r="P14">
        <f t="shared" si="9"/>
        <v>-1.7994454613733227E-2</v>
      </c>
      <c r="V14">
        <v>-5</v>
      </c>
      <c r="W14">
        <f t="shared" si="10"/>
        <v>-0.31176999999999999</v>
      </c>
      <c r="Y14">
        <v>0.1</v>
      </c>
      <c r="Z14">
        <f t="shared" si="11"/>
        <v>0.86905900000000014</v>
      </c>
    </row>
    <row r="15" spans="1:29" x14ac:dyDescent="0.3">
      <c r="A15">
        <v>0.63540019999999997</v>
      </c>
      <c r="B15">
        <v>0.78059999999999996</v>
      </c>
      <c r="C15">
        <f t="shared" si="0"/>
        <v>0.49599339611999993</v>
      </c>
      <c r="D15">
        <v>1.7299999999999999E-2</v>
      </c>
      <c r="E15">
        <v>1.4760000000000001E-2</v>
      </c>
      <c r="F15">
        <f t="shared" si="1"/>
        <v>127.08004</v>
      </c>
      <c r="G15">
        <f t="shared" si="2"/>
        <v>-0.78059999999999996</v>
      </c>
      <c r="H15">
        <f t="shared" si="3"/>
        <v>-99.198679223999989</v>
      </c>
      <c r="I15">
        <v>1</v>
      </c>
      <c r="J15">
        <f t="shared" si="4"/>
        <v>-2.0629381548185166</v>
      </c>
      <c r="K15">
        <f t="shared" si="5"/>
        <v>-0.44112515177521749</v>
      </c>
      <c r="L15">
        <v>1</v>
      </c>
      <c r="M15">
        <f t="shared" si="6"/>
        <v>0.43964967273920175</v>
      </c>
      <c r="N15">
        <f t="shared" si="7"/>
        <v>1.0992423459999999E-2</v>
      </c>
      <c r="O15">
        <f t="shared" si="8"/>
        <v>9.3785069519999997E-3</v>
      </c>
      <c r="P15">
        <f t="shared" si="9"/>
        <v>-1.8895451375984251E-2</v>
      </c>
      <c r="V15">
        <v>-4.9000000000000004</v>
      </c>
      <c r="W15">
        <f t="shared" si="10"/>
        <v>-0.31612399999999996</v>
      </c>
      <c r="Y15">
        <v>0.11</v>
      </c>
      <c r="Z15">
        <f t="shared" si="11"/>
        <v>1.0109489000000003</v>
      </c>
    </row>
    <row r="16" spans="1:29" x14ac:dyDescent="0.3">
      <c r="A16">
        <v>0.68784615000000005</v>
      </c>
      <c r="B16">
        <v>0.77583999999999997</v>
      </c>
      <c r="C16">
        <f t="shared" si="0"/>
        <v>0.53365855701600007</v>
      </c>
      <c r="D16">
        <v>1.7299999999999999E-2</v>
      </c>
      <c r="E16">
        <v>1.4760000000000001E-2</v>
      </c>
      <c r="F16">
        <f t="shared" si="1"/>
        <v>137.56923</v>
      </c>
      <c r="G16">
        <f t="shared" si="2"/>
        <v>-0.77583999999999997</v>
      </c>
      <c r="H16">
        <f t="shared" si="3"/>
        <v>-106.73171140320001</v>
      </c>
      <c r="I16">
        <v>1</v>
      </c>
      <c r="J16">
        <f t="shared" si="4"/>
        <v>-1.9836279976754383</v>
      </c>
      <c r="K16">
        <f t="shared" si="5"/>
        <v>-0.44588515177521748</v>
      </c>
      <c r="L16">
        <v>1</v>
      </c>
      <c r="M16">
        <f t="shared" si="6"/>
        <v>0.44310283698121139</v>
      </c>
      <c r="N16">
        <f t="shared" si="7"/>
        <v>1.1899738395E-2</v>
      </c>
      <c r="O16">
        <f t="shared" si="8"/>
        <v>1.0152609174000002E-2</v>
      </c>
      <c r="P16">
        <f t="shared" si="9"/>
        <v>-1.9270032774993909E-2</v>
      </c>
      <c r="V16">
        <v>-4.8</v>
      </c>
      <c r="W16">
        <f t="shared" si="10"/>
        <v>-0.32047799999999999</v>
      </c>
      <c r="Y16">
        <v>0.12</v>
      </c>
      <c r="Z16">
        <f t="shared" si="11"/>
        <v>1.1528388000000001</v>
      </c>
    </row>
    <row r="17" spans="1:26" x14ac:dyDescent="0.3">
      <c r="A17">
        <v>0.73825525000000003</v>
      </c>
      <c r="B17">
        <v>0.77151000000000003</v>
      </c>
      <c r="C17">
        <f t="shared" si="0"/>
        <v>0.56957130792749999</v>
      </c>
      <c r="D17">
        <v>1.7299999999999999E-2</v>
      </c>
      <c r="E17">
        <v>1.4760000000000001E-2</v>
      </c>
      <c r="F17">
        <f t="shared" si="1"/>
        <v>147.65105</v>
      </c>
      <c r="G17">
        <f t="shared" si="2"/>
        <v>-0.77151000000000003</v>
      </c>
      <c r="H17">
        <f t="shared" si="3"/>
        <v>-113.9142615855</v>
      </c>
      <c r="I17">
        <v>1</v>
      </c>
      <c r="J17">
        <f t="shared" si="4"/>
        <v>-1.912903559405368</v>
      </c>
      <c r="K17">
        <f t="shared" si="5"/>
        <v>-0.45021515177521743</v>
      </c>
      <c r="L17">
        <v>1</v>
      </c>
      <c r="M17">
        <f t="shared" si="6"/>
        <v>0.44618217902349028</v>
      </c>
      <c r="N17">
        <f t="shared" si="7"/>
        <v>1.2771815824999999E-2</v>
      </c>
      <c r="O17">
        <f t="shared" si="8"/>
        <v>1.0896647490000001E-2</v>
      </c>
      <c r="P17">
        <f t="shared" si="9"/>
        <v>-1.963549056327285E-2</v>
      </c>
      <c r="V17">
        <v>-4.7</v>
      </c>
      <c r="W17">
        <f t="shared" si="10"/>
        <v>-0.32483200000000001</v>
      </c>
      <c r="Y17">
        <v>0.13</v>
      </c>
      <c r="Z17">
        <f t="shared" si="11"/>
        <v>1.2947287000000003</v>
      </c>
    </row>
    <row r="18" spans="1:26" x14ac:dyDescent="0.3">
      <c r="A18">
        <v>0.78968269999999996</v>
      </c>
      <c r="B18">
        <v>0.76751999999999998</v>
      </c>
      <c r="C18">
        <f t="shared" si="0"/>
        <v>0.60609726590399993</v>
      </c>
      <c r="D18">
        <v>1.7299999999999999E-2</v>
      </c>
      <c r="E18">
        <v>1.4760000000000001E-2</v>
      </c>
      <c r="F18">
        <f t="shared" si="1"/>
        <v>157.93653999999998</v>
      </c>
      <c r="G18">
        <f t="shared" si="2"/>
        <v>-0.76751999999999998</v>
      </c>
      <c r="H18">
        <f t="shared" si="3"/>
        <v>-121.21945318079999</v>
      </c>
      <c r="I18">
        <v>1</v>
      </c>
      <c r="J18">
        <f t="shared" si="4"/>
        <v>-1.8455619722059766</v>
      </c>
      <c r="K18">
        <f t="shared" si="5"/>
        <v>-0.45420515177521747</v>
      </c>
      <c r="L18">
        <v>1</v>
      </c>
      <c r="M18">
        <f t="shared" si="6"/>
        <v>0.44911423173015175</v>
      </c>
      <c r="N18">
        <f t="shared" si="7"/>
        <v>1.3661510709999998E-2</v>
      </c>
      <c r="O18">
        <f t="shared" si="8"/>
        <v>1.1655716651999999E-2</v>
      </c>
      <c r="P18">
        <f t="shared" si="9"/>
        <v>-2.0226307316934269E-2</v>
      </c>
      <c r="V18">
        <v>-4.5999999999999996</v>
      </c>
      <c r="W18">
        <f t="shared" si="10"/>
        <v>-0.32918599999999998</v>
      </c>
      <c r="Y18">
        <v>0.14000000000000001</v>
      </c>
      <c r="Z18">
        <f t="shared" si="11"/>
        <v>1.4366186000000001</v>
      </c>
    </row>
    <row r="19" spans="1:26" x14ac:dyDescent="0.3">
      <c r="A19">
        <v>0.84263779999999999</v>
      </c>
      <c r="B19">
        <v>0.76310999999999996</v>
      </c>
      <c r="C19">
        <f t="shared" si="0"/>
        <v>0.6430253315579999</v>
      </c>
      <c r="D19">
        <v>1.7299999999999999E-2</v>
      </c>
      <c r="E19">
        <v>1.4760000000000001E-2</v>
      </c>
      <c r="F19">
        <f t="shared" si="1"/>
        <v>168.52755999999999</v>
      </c>
      <c r="G19">
        <f t="shared" si="2"/>
        <v>-0.76310999999999996</v>
      </c>
      <c r="H19">
        <f t="shared" si="3"/>
        <v>-128.60506631159998</v>
      </c>
      <c r="I19">
        <v>1</v>
      </c>
      <c r="J19">
        <f t="shared" si="4"/>
        <v>-1.7806559817334744</v>
      </c>
      <c r="K19">
        <f t="shared" si="5"/>
        <v>-0.4586151517752175</v>
      </c>
      <c r="L19">
        <v>1</v>
      </c>
      <c r="M19">
        <f t="shared" si="6"/>
        <v>0.4519402385553245</v>
      </c>
      <c r="N19">
        <f t="shared" si="7"/>
        <v>1.4577633939999999E-2</v>
      </c>
      <c r="O19">
        <f t="shared" si="8"/>
        <v>1.2437333928E-2</v>
      </c>
      <c r="P19">
        <f t="shared" si="9"/>
        <v>-2.0340054648107002E-2</v>
      </c>
      <c r="V19">
        <v>-4.5000000000000098</v>
      </c>
      <c r="W19">
        <f t="shared" si="10"/>
        <v>-0.33353999999999956</v>
      </c>
      <c r="Y19">
        <v>0.15</v>
      </c>
      <c r="Z19">
        <f t="shared" si="11"/>
        <v>1.5785084999999999</v>
      </c>
    </row>
    <row r="20" spans="1:26" x14ac:dyDescent="0.3">
      <c r="A20">
        <v>0.89355614999999999</v>
      </c>
      <c r="B20">
        <v>0.75932999999999995</v>
      </c>
      <c r="C20">
        <f t="shared" si="0"/>
        <v>0.6785039913794999</v>
      </c>
      <c r="D20">
        <v>1.7299999999999999E-2</v>
      </c>
      <c r="E20">
        <v>1.4760000000000001E-2</v>
      </c>
      <c r="F20">
        <f t="shared" si="1"/>
        <v>178.71123</v>
      </c>
      <c r="G20">
        <f t="shared" si="2"/>
        <v>-0.75932999999999995</v>
      </c>
      <c r="H20">
        <f t="shared" si="3"/>
        <v>-135.70079827589998</v>
      </c>
      <c r="I20">
        <v>1</v>
      </c>
      <c r="J20">
        <f t="shared" si="4"/>
        <v>-1.7219840160380602</v>
      </c>
      <c r="K20">
        <f t="shared" si="5"/>
        <v>-0.46239515177521751</v>
      </c>
      <c r="L20">
        <v>1</v>
      </c>
      <c r="M20">
        <f t="shared" si="6"/>
        <v>0.45449481594170282</v>
      </c>
      <c r="N20">
        <f t="shared" si="7"/>
        <v>1.5458521394999999E-2</v>
      </c>
      <c r="O20">
        <f t="shared" si="8"/>
        <v>1.3188888774000001E-2</v>
      </c>
      <c r="P20">
        <f t="shared" si="9"/>
        <v>-2.0747074335485317E-2</v>
      </c>
      <c r="V20">
        <v>-4.4000000000000101</v>
      </c>
      <c r="W20">
        <f t="shared" si="10"/>
        <v>-0.33789399999999958</v>
      </c>
      <c r="Y20">
        <v>0.16</v>
      </c>
      <c r="Z20">
        <f t="shared" si="11"/>
        <v>1.7203984000000001</v>
      </c>
    </row>
    <row r="21" spans="1:26" x14ac:dyDescent="0.3">
      <c r="A21">
        <v>0.94549280000000002</v>
      </c>
      <c r="B21">
        <v>0.75548999999999999</v>
      </c>
      <c r="C21">
        <f t="shared" si="0"/>
        <v>0.71431035547200006</v>
      </c>
      <c r="D21">
        <v>1.7299999999999999E-2</v>
      </c>
      <c r="E21">
        <v>1.4760000000000001E-2</v>
      </c>
      <c r="F21">
        <f t="shared" si="1"/>
        <v>189.09855999999999</v>
      </c>
      <c r="G21">
        <f t="shared" si="2"/>
        <v>-0.75548999999999999</v>
      </c>
      <c r="H21">
        <f t="shared" si="3"/>
        <v>-142.86207109440002</v>
      </c>
      <c r="I21">
        <v>1</v>
      </c>
      <c r="J21">
        <f t="shared" si="4"/>
        <v>-1.6654869183652283</v>
      </c>
      <c r="K21">
        <f t="shared" si="5"/>
        <v>-0.46623515177521746</v>
      </c>
      <c r="L21">
        <v>1</v>
      </c>
      <c r="M21">
        <f t="shared" si="6"/>
        <v>0.45695469957437795</v>
      </c>
      <c r="N21">
        <f t="shared" si="7"/>
        <v>1.6357025439999999E-2</v>
      </c>
      <c r="O21">
        <f t="shared" si="8"/>
        <v>1.3955473728E-2</v>
      </c>
      <c r="P21">
        <f t="shared" si="9"/>
        <v>-2.1032046967160493E-2</v>
      </c>
      <c r="V21">
        <v>-4.3000000000000096</v>
      </c>
      <c r="W21">
        <f t="shared" si="10"/>
        <v>-0.34224799999999955</v>
      </c>
      <c r="Y21">
        <v>0.17</v>
      </c>
      <c r="Z21">
        <f t="shared" si="11"/>
        <v>1.8622883000000003</v>
      </c>
    </row>
    <row r="22" spans="1:26" x14ac:dyDescent="0.3">
      <c r="A22">
        <v>0.99895705000000001</v>
      </c>
      <c r="B22">
        <v>0.75161</v>
      </c>
      <c r="C22">
        <f t="shared" si="0"/>
        <v>0.75082610835050001</v>
      </c>
      <c r="D22">
        <v>1.7299999999999999E-2</v>
      </c>
      <c r="E22">
        <v>1.4760000000000001E-2</v>
      </c>
      <c r="F22">
        <f t="shared" si="1"/>
        <v>199.79141000000001</v>
      </c>
      <c r="G22">
        <f t="shared" si="2"/>
        <v>-0.75161</v>
      </c>
      <c r="H22">
        <f t="shared" si="3"/>
        <v>-150.16522167010001</v>
      </c>
      <c r="I22">
        <v>1</v>
      </c>
      <c r="J22">
        <f t="shared" si="4"/>
        <v>-1.610481406684902</v>
      </c>
      <c r="K22">
        <f t="shared" si="5"/>
        <v>-0.47011515177521745</v>
      </c>
      <c r="L22">
        <v>1</v>
      </c>
      <c r="M22">
        <f t="shared" si="6"/>
        <v>0.45934963955293939</v>
      </c>
      <c r="N22">
        <f t="shared" si="7"/>
        <v>1.7281956965000001E-2</v>
      </c>
      <c r="O22">
        <f t="shared" si="8"/>
        <v>1.4744606058000001E-2</v>
      </c>
      <c r="P22">
        <f t="shared" si="9"/>
        <v>-2.126105080072194E-2</v>
      </c>
      <c r="V22">
        <v>-4.2000000000000099</v>
      </c>
      <c r="W22">
        <f t="shared" si="10"/>
        <v>-0.34660199999999952</v>
      </c>
      <c r="Y22">
        <v>0.18</v>
      </c>
      <c r="Z22">
        <f t="shared" si="11"/>
        <v>2.0041781999999997</v>
      </c>
    </row>
    <row r="23" spans="1:26" x14ac:dyDescent="0.3">
      <c r="A23">
        <v>1.0493663</v>
      </c>
      <c r="B23">
        <v>0.74795</v>
      </c>
      <c r="C23">
        <f t="shared" si="0"/>
        <v>0.784873524085</v>
      </c>
      <c r="D23">
        <v>1.7299999999999999E-2</v>
      </c>
      <c r="E23">
        <v>1.4760000000000001E-2</v>
      </c>
      <c r="F23">
        <f t="shared" si="1"/>
        <v>209.87325999999999</v>
      </c>
      <c r="G23">
        <f t="shared" si="2"/>
        <v>-0.74795</v>
      </c>
      <c r="H23">
        <f t="shared" si="3"/>
        <v>-156.974704817</v>
      </c>
      <c r="I23">
        <v>1</v>
      </c>
      <c r="J23">
        <f t="shared" si="4"/>
        <v>-1.5612514542679958</v>
      </c>
      <c r="K23">
        <f t="shared" si="5"/>
        <v>-0.47377515177521745</v>
      </c>
      <c r="L23">
        <v>1</v>
      </c>
      <c r="M23">
        <f t="shared" si="6"/>
        <v>0.46149311168117146</v>
      </c>
      <c r="N23">
        <f t="shared" si="7"/>
        <v>1.8154036990000001E-2</v>
      </c>
      <c r="O23">
        <f t="shared" si="8"/>
        <v>1.5488646587999999E-2</v>
      </c>
      <c r="P23">
        <f t="shared" si="9"/>
        <v>-2.1360643483954014E-2</v>
      </c>
      <c r="V23">
        <v>-4.1000000000000103</v>
      </c>
      <c r="W23">
        <f t="shared" si="10"/>
        <v>-0.35095599999999955</v>
      </c>
      <c r="Y23">
        <v>0.19</v>
      </c>
      <c r="Z23">
        <f t="shared" si="11"/>
        <v>2.1460680999999999</v>
      </c>
    </row>
    <row r="24" spans="1:26" x14ac:dyDescent="0.3">
      <c r="A24">
        <v>1.1002845000000001</v>
      </c>
      <c r="B24">
        <v>0.74448999999999999</v>
      </c>
      <c r="C24">
        <f t="shared" si="0"/>
        <v>0.81915080740500001</v>
      </c>
      <c r="D24">
        <v>1.7299999999999999E-2</v>
      </c>
      <c r="E24">
        <v>1.4760000000000001E-2</v>
      </c>
      <c r="F24">
        <f t="shared" si="1"/>
        <v>220.05690000000001</v>
      </c>
      <c r="G24">
        <f t="shared" si="2"/>
        <v>-0.74448999999999999</v>
      </c>
      <c r="H24">
        <f t="shared" si="3"/>
        <v>-163.830161481</v>
      </c>
      <c r="I24">
        <v>1</v>
      </c>
      <c r="J24">
        <f t="shared" si="4"/>
        <v>-1.5138691297067577</v>
      </c>
      <c r="K24">
        <f t="shared" si="5"/>
        <v>-0.47723515177521747</v>
      </c>
      <c r="L24">
        <v>1</v>
      </c>
      <c r="M24">
        <f t="shared" si="6"/>
        <v>0.46355613809256779</v>
      </c>
      <c r="N24">
        <f t="shared" si="7"/>
        <v>1.9034921850000001E-2</v>
      </c>
      <c r="O24">
        <f t="shared" si="8"/>
        <v>1.6240199220000001E-2</v>
      </c>
      <c r="P24">
        <f t="shared" si="9"/>
        <v>-2.1596107387350325E-2</v>
      </c>
      <c r="V24">
        <v>-4.0000000000000098</v>
      </c>
      <c r="W24">
        <f t="shared" si="10"/>
        <v>-0.35530999999999957</v>
      </c>
      <c r="Y24">
        <v>0.2</v>
      </c>
      <c r="Z24">
        <f t="shared" si="11"/>
        <v>2.2879580000000002</v>
      </c>
    </row>
    <row r="25" spans="1:26" x14ac:dyDescent="0.3">
      <c r="A25">
        <v>1.1532396</v>
      </c>
      <c r="B25">
        <v>0.74106000000000005</v>
      </c>
      <c r="C25">
        <f t="shared" si="0"/>
        <v>0.8546197379760001</v>
      </c>
      <c r="D25">
        <v>1.7299999999999999E-2</v>
      </c>
      <c r="E25">
        <v>1.4760000000000001E-2</v>
      </c>
      <c r="F25">
        <f t="shared" si="1"/>
        <v>230.64792</v>
      </c>
      <c r="G25">
        <f t="shared" si="2"/>
        <v>-0.74106000000000005</v>
      </c>
      <c r="H25">
        <f t="shared" si="3"/>
        <v>-170.92394759520002</v>
      </c>
      <c r="I25">
        <v>1</v>
      </c>
      <c r="J25">
        <f t="shared" si="4"/>
        <v>-1.4668628870115994</v>
      </c>
      <c r="K25">
        <f t="shared" si="5"/>
        <v>-0.4806651517752174</v>
      </c>
      <c r="L25">
        <v>1</v>
      </c>
      <c r="M25">
        <f t="shared" si="6"/>
        <v>0.46560278989951498</v>
      </c>
      <c r="N25">
        <f t="shared" si="7"/>
        <v>1.995104508E-2</v>
      </c>
      <c r="O25">
        <f t="shared" si="8"/>
        <v>1.7021816496E-2</v>
      </c>
      <c r="P25">
        <f t="shared" si="9"/>
        <v>-2.1910499700297577E-2</v>
      </c>
      <c r="V25">
        <v>-3.9000000000000101</v>
      </c>
      <c r="W25">
        <f t="shared" si="10"/>
        <v>-0.35966399999999954</v>
      </c>
      <c r="Y25">
        <v>0.21</v>
      </c>
      <c r="Z25">
        <f t="shared" si="11"/>
        <v>2.4298478999999999</v>
      </c>
    </row>
    <row r="26" spans="1:26" x14ac:dyDescent="0.3">
      <c r="A26">
        <v>1.2072130999999999</v>
      </c>
      <c r="B26">
        <v>0.73734999999999995</v>
      </c>
      <c r="C26">
        <f t="shared" si="0"/>
        <v>0.89013857928499984</v>
      </c>
      <c r="D26">
        <v>1.7299999999999999E-2</v>
      </c>
      <c r="E26">
        <v>1.4760000000000001E-2</v>
      </c>
      <c r="F26">
        <f t="shared" si="1"/>
        <v>241.44261999999998</v>
      </c>
      <c r="G26">
        <f t="shared" si="2"/>
        <v>-0.73734999999999995</v>
      </c>
      <c r="H26">
        <f t="shared" si="3"/>
        <v>-178.02771585699998</v>
      </c>
      <c r="I26">
        <v>1</v>
      </c>
      <c r="J26">
        <f t="shared" si="4"/>
        <v>-1.4211234324641535</v>
      </c>
      <c r="K26">
        <f t="shared" si="5"/>
        <v>-0.48437515177521751</v>
      </c>
      <c r="L26">
        <v>1</v>
      </c>
      <c r="M26">
        <f t="shared" si="6"/>
        <v>0.46759428575051076</v>
      </c>
      <c r="N26">
        <f t="shared" si="7"/>
        <v>2.0884786629999999E-2</v>
      </c>
      <c r="O26">
        <f t="shared" si="8"/>
        <v>1.7818465355999999E-2</v>
      </c>
      <c r="P26">
        <f t="shared" si="9"/>
        <v>-2.1922385961293256E-2</v>
      </c>
      <c r="V26">
        <v>-3.80000000000001</v>
      </c>
      <c r="W26">
        <f t="shared" si="10"/>
        <v>-0.36401799999999956</v>
      </c>
      <c r="Y26">
        <v>0.22</v>
      </c>
      <c r="Z26">
        <f t="shared" si="11"/>
        <v>2.5717378000000002</v>
      </c>
    </row>
    <row r="27" spans="1:26" x14ac:dyDescent="0.3">
      <c r="A27">
        <v>1.2596588</v>
      </c>
      <c r="B27">
        <v>0.7339</v>
      </c>
      <c r="C27">
        <f t="shared" si="0"/>
        <v>0.92446359331999994</v>
      </c>
      <c r="D27">
        <v>1.7299999999999999E-2</v>
      </c>
      <c r="E27">
        <v>1.4760000000000001E-2</v>
      </c>
      <c r="F27">
        <f t="shared" si="1"/>
        <v>251.93176</v>
      </c>
      <c r="G27">
        <f t="shared" si="2"/>
        <v>-0.7339</v>
      </c>
      <c r="H27">
        <f t="shared" si="3"/>
        <v>-184.892718664</v>
      </c>
      <c r="I27">
        <v>1</v>
      </c>
      <c r="J27">
        <f t="shared" si="4"/>
        <v>-1.3785970217927284</v>
      </c>
      <c r="K27">
        <f t="shared" si="5"/>
        <v>-0.48782515177521746</v>
      </c>
      <c r="L27">
        <v>1</v>
      </c>
      <c r="M27">
        <f t="shared" si="6"/>
        <v>0.46944588567114459</v>
      </c>
      <c r="N27">
        <f t="shared" si="7"/>
        <v>2.1792097239999999E-2</v>
      </c>
      <c r="O27">
        <f t="shared" si="8"/>
        <v>1.8592563887999999E-2</v>
      </c>
      <c r="P27">
        <f t="shared" si="9"/>
        <v>-2.2005395023927132E-2</v>
      </c>
      <c r="V27">
        <v>-3.7000000000000099</v>
      </c>
      <c r="W27">
        <f t="shared" si="10"/>
        <v>-0.36837199999999959</v>
      </c>
      <c r="Y27">
        <v>0.23</v>
      </c>
      <c r="Z27">
        <f t="shared" si="11"/>
        <v>2.7136277</v>
      </c>
    </row>
    <row r="28" spans="1:26" x14ac:dyDescent="0.3">
      <c r="A28">
        <v>1.3131231999999999</v>
      </c>
      <c r="B28">
        <v>0.73058999999999996</v>
      </c>
      <c r="C28">
        <f t="shared" si="0"/>
        <v>0.95935467868799995</v>
      </c>
      <c r="D28">
        <v>1.7299999999999999E-2</v>
      </c>
      <c r="E28">
        <v>1.4760000000000001E-2</v>
      </c>
      <c r="F28">
        <f t="shared" si="1"/>
        <v>262.62464</v>
      </c>
      <c r="G28">
        <f t="shared" si="2"/>
        <v>-0.73058999999999996</v>
      </c>
      <c r="H28">
        <f t="shared" si="3"/>
        <v>-191.87093573759998</v>
      </c>
      <c r="I28">
        <v>1</v>
      </c>
      <c r="J28">
        <f t="shared" si="4"/>
        <v>-1.337029490593733</v>
      </c>
      <c r="K28">
        <f t="shared" si="5"/>
        <v>-0.49113515177521749</v>
      </c>
      <c r="L28">
        <v>1</v>
      </c>
      <c r="M28">
        <f t="shared" si="6"/>
        <v>0.47125573597954884</v>
      </c>
      <c r="N28">
        <f t="shared" si="7"/>
        <v>2.2717031359999997E-2</v>
      </c>
      <c r="O28">
        <f t="shared" si="8"/>
        <v>1.9381698432000001E-2</v>
      </c>
      <c r="P28">
        <f t="shared" si="9"/>
        <v>-2.2219313996331345E-2</v>
      </c>
      <c r="V28">
        <v>-3.6000000000000099</v>
      </c>
      <c r="W28">
        <f t="shared" si="10"/>
        <v>-0.37272599999999956</v>
      </c>
      <c r="Y28">
        <v>0.24</v>
      </c>
      <c r="Z28">
        <f t="shared" si="11"/>
        <v>2.8555175999999998</v>
      </c>
    </row>
    <row r="29" spans="1:26" x14ac:dyDescent="0.3">
      <c r="A29">
        <v>1.3665874</v>
      </c>
      <c r="B29">
        <v>0.72719</v>
      </c>
      <c r="C29">
        <f t="shared" si="0"/>
        <v>0.99376869140599999</v>
      </c>
      <c r="D29">
        <v>1.7299999999999999E-2</v>
      </c>
      <c r="E29">
        <v>1.4760000000000001E-2</v>
      </c>
      <c r="F29">
        <f t="shared" si="1"/>
        <v>273.31747999999999</v>
      </c>
      <c r="G29">
        <f t="shared" si="2"/>
        <v>-0.72719</v>
      </c>
      <c r="H29">
        <f t="shared" si="3"/>
        <v>-198.75373828119999</v>
      </c>
      <c r="I29">
        <v>1</v>
      </c>
      <c r="J29">
        <f t="shared" si="4"/>
        <v>-1.2971212290740131</v>
      </c>
      <c r="K29">
        <f t="shared" si="5"/>
        <v>-0.49453515177521745</v>
      </c>
      <c r="L29">
        <v>1</v>
      </c>
      <c r="M29">
        <f t="shared" si="6"/>
        <v>0.47299334168611745</v>
      </c>
      <c r="N29">
        <f t="shared" si="7"/>
        <v>2.3641962020000001E-2</v>
      </c>
      <c r="O29">
        <f t="shared" si="8"/>
        <v>2.0170830024000001E-2</v>
      </c>
      <c r="P29">
        <f t="shared" si="9"/>
        <v>-2.2270981954900002E-2</v>
      </c>
      <c r="V29">
        <v>-3.5000000000000102</v>
      </c>
      <c r="W29">
        <f t="shared" si="10"/>
        <v>-0.37707999999999953</v>
      </c>
      <c r="Y29">
        <v>0.25</v>
      </c>
      <c r="Z29">
        <f t="shared" si="11"/>
        <v>2.9974075</v>
      </c>
    </row>
    <row r="30" spans="1:26" x14ac:dyDescent="0.3">
      <c r="A30">
        <v>1.4175059000000001</v>
      </c>
      <c r="B30">
        <v>0.72372000000000003</v>
      </c>
      <c r="C30">
        <f t="shared" si="0"/>
        <v>1.0258773699480002</v>
      </c>
      <c r="D30">
        <v>1.7299999999999999E-2</v>
      </c>
      <c r="E30">
        <v>1.4760000000000001E-2</v>
      </c>
      <c r="F30">
        <f t="shared" si="1"/>
        <v>283.50118000000003</v>
      </c>
      <c r="G30">
        <f t="shared" si="2"/>
        <v>-0.72372000000000003</v>
      </c>
      <c r="H30">
        <f t="shared" si="3"/>
        <v>-205.17547398960002</v>
      </c>
      <c r="I30">
        <v>1</v>
      </c>
      <c r="J30">
        <f t="shared" si="4"/>
        <v>-1.2605389935654967</v>
      </c>
      <c r="K30">
        <f t="shared" si="5"/>
        <v>-0.49800515177521743</v>
      </c>
      <c r="L30">
        <v>1</v>
      </c>
      <c r="M30">
        <f t="shared" si="6"/>
        <v>0.47458613222015827</v>
      </c>
      <c r="N30">
        <f t="shared" si="7"/>
        <v>2.452285207E-2</v>
      </c>
      <c r="O30">
        <f t="shared" si="8"/>
        <v>2.0922387084000002E-2</v>
      </c>
      <c r="P30">
        <f t="shared" si="9"/>
        <v>-2.2026219598940851E-2</v>
      </c>
      <c r="V30">
        <v>-3.4000000000000101</v>
      </c>
      <c r="W30">
        <f t="shared" si="10"/>
        <v>-0.38143399999999955</v>
      </c>
      <c r="Y30">
        <v>0.26</v>
      </c>
      <c r="Z30">
        <f t="shared" si="11"/>
        <v>3.1392974000000002</v>
      </c>
    </row>
    <row r="31" spans="1:26" x14ac:dyDescent="0.3">
      <c r="A31">
        <v>1.4684241</v>
      </c>
      <c r="B31">
        <v>0.72077999999999998</v>
      </c>
      <c r="C31">
        <f t="shared" si="0"/>
        <v>1.058410722798</v>
      </c>
      <c r="D31">
        <v>1.7299999999999999E-2</v>
      </c>
      <c r="E31">
        <v>1.4760000000000001E-2</v>
      </c>
      <c r="F31">
        <f t="shared" si="1"/>
        <v>293.68482</v>
      </c>
      <c r="G31">
        <f t="shared" si="2"/>
        <v>-0.72077999999999998</v>
      </c>
      <c r="H31">
        <f t="shared" si="3"/>
        <v>-211.6821445596</v>
      </c>
      <c r="I31">
        <v>1</v>
      </c>
      <c r="J31">
        <f t="shared" si="4"/>
        <v>-1.225248127506557</v>
      </c>
      <c r="K31">
        <f t="shared" si="5"/>
        <v>-0.50094515177521748</v>
      </c>
      <c r="L31">
        <v>1</v>
      </c>
      <c r="M31">
        <f t="shared" si="6"/>
        <v>0.47612269652836448</v>
      </c>
      <c r="N31">
        <f t="shared" si="7"/>
        <v>2.540373693E-2</v>
      </c>
      <c r="O31">
        <f t="shared" si="8"/>
        <v>2.1673939716000002E-2</v>
      </c>
      <c r="P31">
        <f t="shared" si="9"/>
        <v>-2.2255221399146999E-2</v>
      </c>
      <c r="V31">
        <v>-3.30000000000001</v>
      </c>
      <c r="W31">
        <f t="shared" si="10"/>
        <v>-0.38578799999999958</v>
      </c>
      <c r="Y31">
        <v>0.27</v>
      </c>
      <c r="Z31">
        <f t="shared" si="11"/>
        <v>3.2811873000000005</v>
      </c>
    </row>
    <row r="32" spans="1:26" x14ac:dyDescent="0.3">
      <c r="A32">
        <v>1.5193424</v>
      </c>
      <c r="B32">
        <v>0.71767000000000003</v>
      </c>
      <c r="C32">
        <f t="shared" si="0"/>
        <v>1.090386460208</v>
      </c>
      <c r="D32">
        <v>1.7299999999999999E-2</v>
      </c>
      <c r="E32">
        <v>1.4760000000000001E-2</v>
      </c>
      <c r="F32">
        <f t="shared" si="1"/>
        <v>303.86847999999998</v>
      </c>
      <c r="G32">
        <f t="shared" si="2"/>
        <v>-0.71767000000000003</v>
      </c>
      <c r="H32">
        <f t="shared" si="3"/>
        <v>-218.0772920416</v>
      </c>
      <c r="I32">
        <v>1</v>
      </c>
      <c r="J32">
        <f t="shared" si="4"/>
        <v>-1.1911603027669049</v>
      </c>
      <c r="K32">
        <f t="shared" si="5"/>
        <v>-0.50405515177521742</v>
      </c>
      <c r="L32">
        <v>1</v>
      </c>
      <c r="M32">
        <f t="shared" si="6"/>
        <v>0.47760688041752897</v>
      </c>
      <c r="N32">
        <f t="shared" si="7"/>
        <v>2.6284623519999998E-2</v>
      </c>
      <c r="O32">
        <f t="shared" si="8"/>
        <v>2.2425493824000001E-2</v>
      </c>
      <c r="P32">
        <f t="shared" si="9"/>
        <v>-2.2261845986311542E-2</v>
      </c>
      <c r="V32">
        <v>-3.2000000000000099</v>
      </c>
      <c r="W32">
        <f t="shared" si="10"/>
        <v>-0.39014199999999954</v>
      </c>
    </row>
    <row r="33" spans="1:23" x14ac:dyDescent="0.3">
      <c r="A33">
        <v>1.5697515</v>
      </c>
      <c r="B33">
        <v>0.71440000000000003</v>
      </c>
      <c r="C33">
        <f t="shared" si="0"/>
        <v>1.1214304716000001</v>
      </c>
      <c r="D33">
        <v>1.7299999999999999E-2</v>
      </c>
      <c r="E33">
        <v>1.4760000000000001E-2</v>
      </c>
      <c r="F33">
        <f t="shared" si="1"/>
        <v>313.95029999999997</v>
      </c>
      <c r="G33">
        <f t="shared" si="2"/>
        <v>-0.71440000000000003</v>
      </c>
      <c r="H33">
        <f t="shared" si="3"/>
        <v>-224.28609432000002</v>
      </c>
      <c r="I33">
        <v>1</v>
      </c>
      <c r="J33">
        <f t="shared" si="4"/>
        <v>-1.1585205858563024</v>
      </c>
      <c r="K33">
        <f t="shared" si="5"/>
        <v>-0.50732515177521742</v>
      </c>
      <c r="L33">
        <v>1</v>
      </c>
      <c r="M33">
        <f t="shared" si="6"/>
        <v>0.47902801369181658</v>
      </c>
      <c r="N33">
        <f t="shared" si="7"/>
        <v>2.7156700949999998E-2</v>
      </c>
      <c r="O33">
        <f t="shared" si="8"/>
        <v>2.3169532140000001E-2</v>
      </c>
      <c r="P33">
        <f t="shared" si="9"/>
        <v>-2.2029095006599157E-2</v>
      </c>
      <c r="V33">
        <v>-3.1000000000000099</v>
      </c>
      <c r="W33">
        <f t="shared" si="10"/>
        <v>-0.39449599999999957</v>
      </c>
    </row>
    <row r="34" spans="1:23" x14ac:dyDescent="0.3">
      <c r="A34">
        <v>1.6211791</v>
      </c>
      <c r="B34">
        <v>0.71153999999999995</v>
      </c>
      <c r="C34">
        <f t="shared" si="0"/>
        <v>1.1535337768139999</v>
      </c>
      <c r="D34">
        <v>1.7299999999999999E-2</v>
      </c>
      <c r="E34">
        <v>1.4760000000000001E-2</v>
      </c>
      <c r="F34">
        <f t="shared" si="1"/>
        <v>324.23581999999999</v>
      </c>
      <c r="G34">
        <f t="shared" si="2"/>
        <v>-0.71153999999999995</v>
      </c>
      <c r="H34">
        <f t="shared" si="3"/>
        <v>-230.70675536279998</v>
      </c>
      <c r="I34">
        <v>1</v>
      </c>
      <c r="J34">
        <f t="shared" si="4"/>
        <v>-1.1262841884303538</v>
      </c>
      <c r="K34">
        <f t="shared" si="5"/>
        <v>-0.5101851517752175</v>
      </c>
      <c r="L34">
        <v>1</v>
      </c>
      <c r="M34">
        <f t="shared" si="6"/>
        <v>0.48043158643574241</v>
      </c>
      <c r="N34">
        <f t="shared" si="7"/>
        <v>2.8046398429999998E-2</v>
      </c>
      <c r="O34">
        <f t="shared" si="8"/>
        <v>2.3928603515999999E-2</v>
      </c>
      <c r="P34">
        <f t="shared" si="9"/>
        <v>-2.22214366065249E-2</v>
      </c>
      <c r="V34">
        <v>-3.0000000000000102</v>
      </c>
      <c r="W34">
        <f t="shared" si="10"/>
        <v>-0.39884999999999954</v>
      </c>
    </row>
    <row r="35" spans="1:23" x14ac:dyDescent="0.3">
      <c r="A35">
        <v>1.6715880999999999</v>
      </c>
      <c r="B35">
        <v>0.70852000000000004</v>
      </c>
      <c r="C35">
        <f t="shared" si="0"/>
        <v>1.1843536006119999</v>
      </c>
      <c r="D35">
        <v>1.7299999999999999E-2</v>
      </c>
      <c r="E35">
        <v>1.4760000000000001E-2</v>
      </c>
      <c r="F35">
        <f t="shared" si="1"/>
        <v>334.31761999999998</v>
      </c>
      <c r="G35">
        <f t="shared" si="2"/>
        <v>-0.70852000000000004</v>
      </c>
      <c r="H35">
        <f t="shared" si="3"/>
        <v>-236.87072012239997</v>
      </c>
      <c r="I35">
        <v>1</v>
      </c>
      <c r="J35">
        <f t="shared" si="4"/>
        <v>-1.09566377979579</v>
      </c>
      <c r="K35">
        <f t="shared" si="5"/>
        <v>-0.51320515177521742</v>
      </c>
      <c r="L35">
        <v>1</v>
      </c>
      <c r="M35">
        <f t="shared" si="6"/>
        <v>0.48176479902769132</v>
      </c>
      <c r="N35">
        <f t="shared" si="7"/>
        <v>2.8918474129999996E-2</v>
      </c>
      <c r="O35">
        <f t="shared" si="8"/>
        <v>2.4672640355999999E-2</v>
      </c>
      <c r="P35">
        <f t="shared" si="9"/>
        <v>-2.2150761738473895E-2</v>
      </c>
      <c r="V35">
        <v>-2.9000000000000101</v>
      </c>
      <c r="W35">
        <f t="shared" si="10"/>
        <v>-0.40320399999999956</v>
      </c>
    </row>
    <row r="36" spans="1:23" x14ac:dyDescent="0.3">
      <c r="A36">
        <v>1.7230156000000001</v>
      </c>
      <c r="B36">
        <v>0.70528000000000002</v>
      </c>
      <c r="C36">
        <f t="shared" si="0"/>
        <v>1.2152084423680001</v>
      </c>
      <c r="D36">
        <v>1.7299999999999999E-2</v>
      </c>
      <c r="E36">
        <v>1.4760000000000001E-2</v>
      </c>
      <c r="F36">
        <f t="shared" si="1"/>
        <v>344.60311999999999</v>
      </c>
      <c r="G36">
        <f t="shared" si="2"/>
        <v>-0.70528000000000002</v>
      </c>
      <c r="H36">
        <f t="shared" si="3"/>
        <v>-243.0416884736</v>
      </c>
      <c r="I36">
        <v>1</v>
      </c>
      <c r="J36">
        <f t="shared" si="4"/>
        <v>-1.065361900953671</v>
      </c>
      <c r="K36">
        <f t="shared" si="5"/>
        <v>-0.51644515177521744</v>
      </c>
      <c r="L36">
        <v>1</v>
      </c>
      <c r="M36">
        <f t="shared" si="6"/>
        <v>0.48308414283247714</v>
      </c>
      <c r="N36">
        <f t="shared" si="7"/>
        <v>2.9808169879999999E-2</v>
      </c>
      <c r="O36">
        <f t="shared" si="8"/>
        <v>2.5431710256000002E-2</v>
      </c>
      <c r="P36">
        <f t="shared" si="9"/>
        <v>-2.1878871193259701E-2</v>
      </c>
      <c r="V36">
        <v>-2.80000000000001</v>
      </c>
      <c r="W36">
        <f t="shared" ref="W36:W67" si="12">V36*$S$5+$S$4</f>
        <v>-0.40755799999999953</v>
      </c>
    </row>
    <row r="37" spans="1:23" x14ac:dyDescent="0.3">
      <c r="A37">
        <v>1.7744431000000001</v>
      </c>
      <c r="B37">
        <v>0.70228000000000002</v>
      </c>
      <c r="C37">
        <f t="shared" si="0"/>
        <v>1.246155900268</v>
      </c>
      <c r="D37">
        <v>1.7299999999999999E-2</v>
      </c>
      <c r="E37">
        <v>1.4760000000000001E-2</v>
      </c>
      <c r="F37">
        <f t="shared" si="1"/>
        <v>354.88862</v>
      </c>
      <c r="G37">
        <f t="shared" si="2"/>
        <v>-0.70228000000000002</v>
      </c>
      <c r="H37">
        <f t="shared" si="3"/>
        <v>-249.23118005360001</v>
      </c>
      <c r="I37">
        <v>1</v>
      </c>
      <c r="J37">
        <f t="shared" si="4"/>
        <v>-1.0359512852143182</v>
      </c>
      <c r="K37">
        <f t="shared" si="5"/>
        <v>-0.51944515177521744</v>
      </c>
      <c r="L37">
        <v>1</v>
      </c>
      <c r="M37">
        <f t="shared" si="6"/>
        <v>0.48436468104176855</v>
      </c>
      <c r="N37">
        <f t="shared" si="7"/>
        <v>3.0697865630000001E-2</v>
      </c>
      <c r="O37">
        <f t="shared" si="8"/>
        <v>2.6190780156000001E-2</v>
      </c>
      <c r="P37">
        <f t="shared" si="9"/>
        <v>-2.1808175052551115E-2</v>
      </c>
      <c r="V37">
        <v>-2.7000000000000099</v>
      </c>
      <c r="W37">
        <f t="shared" si="12"/>
        <v>-0.41191199999999956</v>
      </c>
    </row>
    <row r="38" spans="1:23" x14ac:dyDescent="0.3">
      <c r="A38">
        <v>1.8253615000000001</v>
      </c>
      <c r="B38">
        <v>0.69923999999999997</v>
      </c>
      <c r="C38">
        <f t="shared" si="0"/>
        <v>1.2763657752599999</v>
      </c>
      <c r="D38">
        <v>1.7299999999999999E-2</v>
      </c>
      <c r="E38">
        <v>1.4760000000000001E-2</v>
      </c>
      <c r="F38">
        <f t="shared" si="1"/>
        <v>365.07230000000004</v>
      </c>
      <c r="G38">
        <f t="shared" si="2"/>
        <v>-0.69923999999999997</v>
      </c>
      <c r="H38">
        <f t="shared" si="3"/>
        <v>-255.27315505199999</v>
      </c>
      <c r="I38">
        <v>1</v>
      </c>
      <c r="J38">
        <f t="shared" si="4"/>
        <v>-1.0076598628235518</v>
      </c>
      <c r="K38">
        <f t="shared" si="5"/>
        <v>-0.52248515177521748</v>
      </c>
      <c r="L38">
        <v>1</v>
      </c>
      <c r="M38">
        <f t="shared" si="6"/>
        <v>0.48559648957266255</v>
      </c>
      <c r="N38">
        <f t="shared" si="7"/>
        <v>3.1578753950000003E-2</v>
      </c>
      <c r="O38">
        <f t="shared" si="8"/>
        <v>2.6942335740000004E-2</v>
      </c>
      <c r="P38">
        <f t="shared" si="9"/>
        <v>-2.1632427487445073E-2</v>
      </c>
      <c r="V38">
        <v>-2.6000000000000099</v>
      </c>
      <c r="W38">
        <f t="shared" si="12"/>
        <v>-0.41626599999999958</v>
      </c>
    </row>
    <row r="39" spans="1:23" x14ac:dyDescent="0.3">
      <c r="A39">
        <v>1.8778075000000001</v>
      </c>
      <c r="B39">
        <v>0.69652999999999998</v>
      </c>
      <c r="C39">
        <f t="shared" si="0"/>
        <v>1.3079492579750001</v>
      </c>
      <c r="D39">
        <v>1.7299999999999999E-2</v>
      </c>
      <c r="E39">
        <v>1.4760000000000001E-2</v>
      </c>
      <c r="F39">
        <f t="shared" si="1"/>
        <v>375.56150000000002</v>
      </c>
      <c r="G39">
        <f t="shared" si="2"/>
        <v>-0.69652999999999998</v>
      </c>
      <c r="H39">
        <f t="shared" si="3"/>
        <v>-261.58985159500003</v>
      </c>
      <c r="I39">
        <v>1</v>
      </c>
      <c r="J39">
        <f t="shared" si="4"/>
        <v>-0.97933303956419282</v>
      </c>
      <c r="K39">
        <f t="shared" si="5"/>
        <v>-0.52519515177521747</v>
      </c>
      <c r="L39">
        <v>1</v>
      </c>
      <c r="M39">
        <f t="shared" si="6"/>
        <v>0.48682983945737501</v>
      </c>
      <c r="N39">
        <f t="shared" si="7"/>
        <v>3.2486069749999999E-2</v>
      </c>
      <c r="O39">
        <f t="shared" si="8"/>
        <v>2.7716438700000002E-2</v>
      </c>
      <c r="P39">
        <f t="shared" si="9"/>
        <v>-2.1837196132157542E-2</v>
      </c>
      <c r="V39">
        <v>-2.5000000000000102</v>
      </c>
      <c r="W39">
        <f t="shared" si="12"/>
        <v>-0.42061999999999955</v>
      </c>
    </row>
    <row r="40" spans="1:23" x14ac:dyDescent="0.3">
      <c r="A40">
        <v>1.9287257</v>
      </c>
      <c r="B40">
        <v>0.69379999999999997</v>
      </c>
      <c r="C40">
        <f t="shared" si="0"/>
        <v>1.33814989066</v>
      </c>
      <c r="D40">
        <v>1.7299999999999999E-2</v>
      </c>
      <c r="E40">
        <v>1.4760000000000001E-2</v>
      </c>
      <c r="F40">
        <f t="shared" si="1"/>
        <v>385.74513999999999</v>
      </c>
      <c r="G40">
        <f t="shared" si="2"/>
        <v>-0.69379999999999997</v>
      </c>
      <c r="H40">
        <f t="shared" si="3"/>
        <v>-267.62997813200002</v>
      </c>
      <c r="I40">
        <v>1</v>
      </c>
      <c r="J40">
        <f t="shared" si="4"/>
        <v>-0.95257838665167416</v>
      </c>
      <c r="K40">
        <f t="shared" si="5"/>
        <v>-0.52792515177521748</v>
      </c>
      <c r="L40">
        <v>1</v>
      </c>
      <c r="M40">
        <f t="shared" si="6"/>
        <v>0.48799473704518609</v>
      </c>
      <c r="N40">
        <f t="shared" si="7"/>
        <v>3.3366954609999999E-2</v>
      </c>
      <c r="O40">
        <f t="shared" si="8"/>
        <v>2.8467991332000002E-2</v>
      </c>
      <c r="P40">
        <f t="shared" si="9"/>
        <v>-2.1904531211968607E-2</v>
      </c>
      <c r="V40">
        <v>-2.4000000000000101</v>
      </c>
      <c r="W40">
        <f t="shared" si="12"/>
        <v>-0.42497399999999952</v>
      </c>
    </row>
    <row r="41" spans="1:23" x14ac:dyDescent="0.3">
      <c r="A41">
        <v>1.9791349</v>
      </c>
      <c r="B41">
        <v>0.69067000000000001</v>
      </c>
      <c r="C41">
        <f t="shared" si="0"/>
        <v>1.3669291013830001</v>
      </c>
      <c r="D41">
        <v>1.7299999999999999E-2</v>
      </c>
      <c r="E41">
        <v>1.4760000000000001E-2</v>
      </c>
      <c r="F41">
        <f t="shared" si="1"/>
        <v>395.82697999999999</v>
      </c>
      <c r="G41">
        <f t="shared" si="2"/>
        <v>-0.69067000000000001</v>
      </c>
      <c r="H41">
        <f t="shared" si="3"/>
        <v>-273.38582027659999</v>
      </c>
      <c r="I41">
        <v>1</v>
      </c>
      <c r="J41">
        <f t="shared" si="4"/>
        <v>-0.92677808239657733</v>
      </c>
      <c r="K41">
        <f t="shared" si="5"/>
        <v>-0.53105515177521745</v>
      </c>
      <c r="L41">
        <v>1</v>
      </c>
      <c r="M41">
        <f t="shared" si="6"/>
        <v>0.48911808229245302</v>
      </c>
      <c r="N41">
        <f t="shared" si="7"/>
        <v>3.4239033769999996E-2</v>
      </c>
      <c r="O41">
        <f t="shared" si="8"/>
        <v>2.9212031124000001E-2</v>
      </c>
      <c r="P41">
        <f t="shared" si="9"/>
        <v>-2.1513995411235564E-2</v>
      </c>
      <c r="V41">
        <v>-2.30000000000001</v>
      </c>
      <c r="W41">
        <f t="shared" si="12"/>
        <v>-0.42932799999999954</v>
      </c>
    </row>
    <row r="42" spans="1:23" x14ac:dyDescent="0.3">
      <c r="A42">
        <v>2.0295440999999999</v>
      </c>
      <c r="B42">
        <v>0.68798000000000004</v>
      </c>
      <c r="C42">
        <f t="shared" si="0"/>
        <v>1.3962857499179999</v>
      </c>
      <c r="D42">
        <v>1.7299999999999999E-2</v>
      </c>
      <c r="E42">
        <v>1.4760000000000001E-2</v>
      </c>
      <c r="F42">
        <f t="shared" si="1"/>
        <v>405.90881999999999</v>
      </c>
      <c r="G42">
        <f t="shared" si="2"/>
        <v>-0.68798000000000004</v>
      </c>
      <c r="H42">
        <f t="shared" si="3"/>
        <v>-279.25714998359996</v>
      </c>
      <c r="I42">
        <v>1</v>
      </c>
      <c r="J42">
        <f t="shared" si="4"/>
        <v>-0.9016267258833448</v>
      </c>
      <c r="K42">
        <f t="shared" si="5"/>
        <v>-0.53374515177521742</v>
      </c>
      <c r="L42">
        <v>1</v>
      </c>
      <c r="M42">
        <f t="shared" si="6"/>
        <v>0.49021317235503914</v>
      </c>
      <c r="N42">
        <f t="shared" si="7"/>
        <v>3.5111112929999994E-2</v>
      </c>
      <c r="O42">
        <f t="shared" si="8"/>
        <v>2.9956070915999999E-2</v>
      </c>
      <c r="P42">
        <f t="shared" si="9"/>
        <v>-2.1535204425821713E-2</v>
      </c>
      <c r="V42">
        <v>-2.2000000000000099</v>
      </c>
      <c r="W42">
        <f t="shared" si="12"/>
        <v>-0.43368199999999957</v>
      </c>
    </row>
    <row r="43" spans="1:23" x14ac:dyDescent="0.3">
      <c r="A43">
        <v>2.0799534</v>
      </c>
      <c r="B43">
        <v>0.68508999999999998</v>
      </c>
      <c r="C43">
        <f t="shared" si="0"/>
        <v>1.4249552748059999</v>
      </c>
      <c r="D43">
        <v>1.7299999999999999E-2</v>
      </c>
      <c r="E43">
        <v>1.4760000000000001E-2</v>
      </c>
      <c r="F43">
        <f t="shared" si="1"/>
        <v>415.99068</v>
      </c>
      <c r="G43">
        <f t="shared" si="2"/>
        <v>-0.68508999999999998</v>
      </c>
      <c r="H43">
        <f t="shared" si="3"/>
        <v>-284.99105496120001</v>
      </c>
      <c r="I43">
        <v>1</v>
      </c>
      <c r="J43">
        <f t="shared" si="4"/>
        <v>-0.87709242281799749</v>
      </c>
      <c r="K43">
        <f t="shared" si="5"/>
        <v>-0.53663515177521748</v>
      </c>
      <c r="L43">
        <v>1</v>
      </c>
      <c r="M43">
        <f t="shared" si="6"/>
        <v>0.4912813959105044</v>
      </c>
      <c r="N43">
        <f t="shared" si="7"/>
        <v>3.5983193819999995E-2</v>
      </c>
      <c r="O43">
        <f t="shared" si="8"/>
        <v>3.0700112184000001E-2</v>
      </c>
      <c r="P43">
        <f t="shared" si="9"/>
        <v>-2.1329550139286921E-2</v>
      </c>
      <c r="V43">
        <v>-2.1000000000000099</v>
      </c>
      <c r="W43">
        <f t="shared" si="12"/>
        <v>-0.43803599999999954</v>
      </c>
    </row>
    <row r="44" spans="1:23" x14ac:dyDescent="0.3">
      <c r="A44">
        <v>2.1339267999999998</v>
      </c>
      <c r="B44">
        <v>0.68220999999999998</v>
      </c>
      <c r="C44">
        <f t="shared" si="0"/>
        <v>1.4557862022279999</v>
      </c>
      <c r="D44">
        <v>1.7299999999999999E-2</v>
      </c>
      <c r="E44">
        <v>1.4760000000000001E-2</v>
      </c>
      <c r="F44">
        <f t="shared" si="1"/>
        <v>426.78535999999997</v>
      </c>
      <c r="G44">
        <f t="shared" si="2"/>
        <v>-0.68220999999999998</v>
      </c>
      <c r="H44">
        <f t="shared" si="3"/>
        <v>-291.1572404456</v>
      </c>
      <c r="I44">
        <v>1</v>
      </c>
      <c r="J44">
        <f t="shared" si="4"/>
        <v>-0.85147406192355191</v>
      </c>
      <c r="K44">
        <f t="shared" si="5"/>
        <v>-0.53951515177521747</v>
      </c>
      <c r="L44">
        <v>1</v>
      </c>
      <c r="M44">
        <f t="shared" si="6"/>
        <v>0.49239681934384855</v>
      </c>
      <c r="N44">
        <f t="shared" si="7"/>
        <v>3.6916933639999996E-2</v>
      </c>
      <c r="O44">
        <f t="shared" si="8"/>
        <v>3.1496759568E-2</v>
      </c>
      <c r="P44">
        <f t="shared" si="9"/>
        <v>-2.1295360776631071E-2</v>
      </c>
      <c r="V44">
        <v>-2.0000000000000102</v>
      </c>
      <c r="W44">
        <f t="shared" si="12"/>
        <v>-0.44238999999999956</v>
      </c>
    </row>
    <row r="45" spans="1:23" x14ac:dyDescent="0.3">
      <c r="A45">
        <v>2.1853541999999999</v>
      </c>
      <c r="B45">
        <v>0.67918999999999996</v>
      </c>
      <c r="C45">
        <f t="shared" si="0"/>
        <v>1.4842707190979998</v>
      </c>
      <c r="D45">
        <v>1.7299999999999999E-2</v>
      </c>
      <c r="E45">
        <v>1.4760000000000001E-2</v>
      </c>
      <c r="F45">
        <f t="shared" si="1"/>
        <v>437.07083999999998</v>
      </c>
      <c r="G45">
        <f t="shared" si="2"/>
        <v>-0.67918999999999996</v>
      </c>
      <c r="H45">
        <f t="shared" si="3"/>
        <v>-296.85414381959998</v>
      </c>
      <c r="I45">
        <v>1</v>
      </c>
      <c r="J45">
        <f t="shared" si="4"/>
        <v>-0.82765999176102745</v>
      </c>
      <c r="K45">
        <f t="shared" si="5"/>
        <v>-0.54253515177521749</v>
      </c>
      <c r="L45">
        <v>1</v>
      </c>
      <c r="M45">
        <f t="shared" si="6"/>
        <v>0.49343368395872489</v>
      </c>
      <c r="N45">
        <f t="shared" si="7"/>
        <v>3.7806627659999995E-2</v>
      </c>
      <c r="O45">
        <f t="shared" si="8"/>
        <v>3.2255827991999997E-2</v>
      </c>
      <c r="P45">
        <f t="shared" si="9"/>
        <v>-2.0960987835507386E-2</v>
      </c>
      <c r="V45">
        <v>-1.9000000000000099</v>
      </c>
      <c r="W45">
        <f t="shared" si="12"/>
        <v>-0.44674399999999959</v>
      </c>
    </row>
    <row r="46" spans="1:23" x14ac:dyDescent="0.3">
      <c r="A46">
        <v>2.2362725000000001</v>
      </c>
      <c r="B46">
        <v>0.67684999999999995</v>
      </c>
      <c r="C46">
        <f t="shared" si="0"/>
        <v>1.513621041625</v>
      </c>
      <c r="D46">
        <v>1.7299999999999999E-2</v>
      </c>
      <c r="E46">
        <v>1.4760000000000001E-2</v>
      </c>
      <c r="F46">
        <f t="shared" si="1"/>
        <v>447.25450000000001</v>
      </c>
      <c r="G46">
        <f t="shared" si="2"/>
        <v>-0.67684999999999995</v>
      </c>
      <c r="H46">
        <f t="shared" si="3"/>
        <v>-302.72420832500001</v>
      </c>
      <c r="I46">
        <v>1</v>
      </c>
      <c r="J46">
        <f t="shared" si="4"/>
        <v>-0.80462749515706078</v>
      </c>
      <c r="K46">
        <f t="shared" si="5"/>
        <v>-0.5448751517752175</v>
      </c>
      <c r="L46">
        <v>1</v>
      </c>
      <c r="M46">
        <f t="shared" si="6"/>
        <v>0.4944365188608616</v>
      </c>
      <c r="N46">
        <f t="shared" si="7"/>
        <v>3.8687514249999999E-2</v>
      </c>
      <c r="O46">
        <f t="shared" si="8"/>
        <v>3.3007382100000003E-2</v>
      </c>
      <c r="P46">
        <f t="shared" si="9"/>
        <v>-2.1256263435644095E-2</v>
      </c>
      <c r="V46">
        <v>-1.80000000000001</v>
      </c>
      <c r="W46">
        <f t="shared" si="12"/>
        <v>-0.45109799999999955</v>
      </c>
    </row>
    <row r="47" spans="1:23" x14ac:dyDescent="0.3">
      <c r="A47">
        <v>2.2897365999999999</v>
      </c>
      <c r="B47">
        <v>0.67400000000000004</v>
      </c>
      <c r="C47">
        <f t="shared" si="0"/>
        <v>1.5432824683999999</v>
      </c>
      <c r="D47">
        <v>1.7299999999999999E-2</v>
      </c>
      <c r="E47">
        <v>1.4760000000000001E-2</v>
      </c>
      <c r="F47">
        <f t="shared" si="1"/>
        <v>457.94731999999999</v>
      </c>
      <c r="G47">
        <f t="shared" si="2"/>
        <v>-0.67400000000000004</v>
      </c>
      <c r="H47">
        <f t="shared" si="3"/>
        <v>-308.65649367999998</v>
      </c>
      <c r="I47">
        <v>1</v>
      </c>
      <c r="J47">
        <f t="shared" si="4"/>
        <v>-0.78100112331753169</v>
      </c>
      <c r="K47">
        <f t="shared" si="5"/>
        <v>-0.54772515177521741</v>
      </c>
      <c r="L47">
        <v>1</v>
      </c>
      <c r="M47">
        <f t="shared" si="6"/>
        <v>0.49546521109075464</v>
      </c>
      <c r="N47">
        <f t="shared" si="7"/>
        <v>3.9612443179999998E-2</v>
      </c>
      <c r="O47">
        <f t="shared" si="8"/>
        <v>3.3796512215999996E-2</v>
      </c>
      <c r="P47">
        <f t="shared" si="9"/>
        <v>-2.1149014711537226E-2</v>
      </c>
      <c r="V47">
        <v>-1.7000000000000199</v>
      </c>
      <c r="W47">
        <f t="shared" si="12"/>
        <v>-0.45545199999999914</v>
      </c>
    </row>
    <row r="48" spans="1:23" x14ac:dyDescent="0.3">
      <c r="A48">
        <v>2.3401459999999998</v>
      </c>
      <c r="B48">
        <v>0.67130999999999996</v>
      </c>
      <c r="C48">
        <f t="shared" si="0"/>
        <v>1.5709634112599997</v>
      </c>
      <c r="D48">
        <v>1.7299999999999999E-2</v>
      </c>
      <c r="E48">
        <v>1.4760000000000001E-2</v>
      </c>
      <c r="F48">
        <f t="shared" si="1"/>
        <v>468.02919999999995</v>
      </c>
      <c r="G48">
        <f t="shared" si="2"/>
        <v>-0.67130999999999996</v>
      </c>
      <c r="H48">
        <f t="shared" si="3"/>
        <v>-314.19268225199994</v>
      </c>
      <c r="I48">
        <v>1</v>
      </c>
      <c r="J48">
        <f t="shared" si="4"/>
        <v>-0.75922459184846969</v>
      </c>
      <c r="K48">
        <f t="shared" si="5"/>
        <v>-0.55041515177521749</v>
      </c>
      <c r="L48">
        <v>1</v>
      </c>
      <c r="M48">
        <f t="shared" si="6"/>
        <v>0.49641336127091762</v>
      </c>
      <c r="N48">
        <f t="shared" si="7"/>
        <v>4.0484525799999997E-2</v>
      </c>
      <c r="O48">
        <f t="shared" si="8"/>
        <v>3.4540554959999997E-2</v>
      </c>
      <c r="P48">
        <f t="shared" si="9"/>
        <v>-2.1023290255700121E-2</v>
      </c>
      <c r="V48">
        <v>-1.6000000000000201</v>
      </c>
      <c r="W48">
        <f t="shared" si="12"/>
        <v>-0.4598059999999991</v>
      </c>
    </row>
    <row r="49" spans="1:23" x14ac:dyDescent="0.3">
      <c r="A49">
        <v>2.3905552000000001</v>
      </c>
      <c r="B49">
        <v>0.66846000000000005</v>
      </c>
      <c r="C49">
        <f t="shared" si="0"/>
        <v>1.5979905289920002</v>
      </c>
      <c r="D49">
        <v>1.7299999999999999E-2</v>
      </c>
      <c r="E49">
        <v>1.4760000000000001E-2</v>
      </c>
      <c r="F49">
        <f t="shared" si="1"/>
        <v>478.11104</v>
      </c>
      <c r="G49">
        <f t="shared" si="2"/>
        <v>-0.66846000000000005</v>
      </c>
      <c r="H49">
        <f t="shared" si="3"/>
        <v>-319.59810579840007</v>
      </c>
      <c r="I49">
        <v>1</v>
      </c>
      <c r="J49">
        <f t="shared" si="4"/>
        <v>-0.73791227221320965</v>
      </c>
      <c r="K49">
        <f t="shared" si="5"/>
        <v>-0.5532651517752174</v>
      </c>
      <c r="L49">
        <v>1</v>
      </c>
      <c r="M49">
        <f t="shared" si="6"/>
        <v>0.49734129966783686</v>
      </c>
      <c r="N49">
        <f t="shared" si="7"/>
        <v>4.1356604960000001E-2</v>
      </c>
      <c r="O49">
        <f t="shared" si="8"/>
        <v>3.5284594751999999E-2</v>
      </c>
      <c r="P49">
        <f t="shared" si="9"/>
        <v>-2.0717347604619456E-2</v>
      </c>
      <c r="V49">
        <v>-1.50000000000002</v>
      </c>
      <c r="W49">
        <f t="shared" si="12"/>
        <v>-0.46415999999999913</v>
      </c>
    </row>
    <row r="50" spans="1:23" x14ac:dyDescent="0.3">
      <c r="A50">
        <v>2.4414734</v>
      </c>
      <c r="B50">
        <v>0.66578999999999999</v>
      </c>
      <c r="C50">
        <f t="shared" si="0"/>
        <v>1.6255085749860001</v>
      </c>
      <c r="D50">
        <v>1.7299999999999999E-2</v>
      </c>
      <c r="E50">
        <v>1.4760000000000001E-2</v>
      </c>
      <c r="F50">
        <f t="shared" si="1"/>
        <v>488.29468000000003</v>
      </c>
      <c r="G50">
        <f t="shared" si="2"/>
        <v>-0.66578999999999999</v>
      </c>
      <c r="H50">
        <f t="shared" si="3"/>
        <v>-325.10171499720002</v>
      </c>
      <c r="I50">
        <v>1</v>
      </c>
      <c r="J50">
        <f t="shared" si="4"/>
        <v>-0.71683620291550698</v>
      </c>
      <c r="K50">
        <f t="shared" si="5"/>
        <v>-0.55593515177521746</v>
      </c>
      <c r="L50">
        <v>1</v>
      </c>
      <c r="M50">
        <f t="shared" si="6"/>
        <v>0.4982589517250588</v>
      </c>
      <c r="N50">
        <f t="shared" si="7"/>
        <v>4.2237489820000002E-2</v>
      </c>
      <c r="O50">
        <f t="shared" si="8"/>
        <v>3.6036147384000003E-2</v>
      </c>
      <c r="P50">
        <f t="shared" si="9"/>
        <v>-2.0597437153841339E-2</v>
      </c>
      <c r="V50">
        <v>-1.4000000000000199</v>
      </c>
      <c r="W50">
        <f t="shared" si="12"/>
        <v>-0.4685139999999991</v>
      </c>
    </row>
    <row r="51" spans="1:23" x14ac:dyDescent="0.3">
      <c r="A51">
        <v>2.4918825999999998</v>
      </c>
      <c r="B51">
        <v>0.66318999999999995</v>
      </c>
      <c r="C51">
        <f t="shared" si="0"/>
        <v>1.6525916214939997</v>
      </c>
      <c r="D51">
        <v>1.7299999999999999E-2</v>
      </c>
      <c r="E51">
        <v>1.4760000000000001E-2</v>
      </c>
      <c r="F51">
        <f t="shared" si="1"/>
        <v>498.37651999999997</v>
      </c>
      <c r="G51">
        <f t="shared" si="2"/>
        <v>-0.66318999999999995</v>
      </c>
      <c r="H51">
        <f t="shared" si="3"/>
        <v>-330.51832429879994</v>
      </c>
      <c r="I51">
        <v>1</v>
      </c>
      <c r="J51">
        <f t="shared" si="4"/>
        <v>-0.69639942337305427</v>
      </c>
      <c r="K51">
        <f t="shared" si="5"/>
        <v>-0.55853515177521751</v>
      </c>
      <c r="L51">
        <v>1</v>
      </c>
      <c r="M51">
        <f t="shared" si="6"/>
        <v>0.49914876910633721</v>
      </c>
      <c r="N51">
        <f t="shared" si="7"/>
        <v>4.3109568979999999E-2</v>
      </c>
      <c r="O51">
        <f t="shared" si="8"/>
        <v>3.6780187175999998E-2</v>
      </c>
      <c r="P51">
        <f t="shared" si="9"/>
        <v>-2.0503373487119697E-2</v>
      </c>
      <c r="V51">
        <v>-1.30000000000002</v>
      </c>
      <c r="W51">
        <f t="shared" si="12"/>
        <v>-0.47286799999999912</v>
      </c>
    </row>
    <row r="52" spans="1:23" x14ac:dyDescent="0.3">
      <c r="A52">
        <v>2.5428009999999999</v>
      </c>
      <c r="B52">
        <v>0.66044999999999998</v>
      </c>
      <c r="C52">
        <f t="shared" si="0"/>
        <v>1.6793929204499998</v>
      </c>
      <c r="D52">
        <v>1.7299999999999999E-2</v>
      </c>
      <c r="E52">
        <v>1.4760000000000001E-2</v>
      </c>
      <c r="F52">
        <f t="shared" si="1"/>
        <v>508.56019999999995</v>
      </c>
      <c r="G52">
        <f t="shared" si="2"/>
        <v>-0.66044999999999998</v>
      </c>
      <c r="H52">
        <f t="shared" si="3"/>
        <v>-335.87858408999995</v>
      </c>
      <c r="I52">
        <v>1</v>
      </c>
      <c r="J52">
        <f t="shared" si="4"/>
        <v>-0.67617168308679676</v>
      </c>
      <c r="K52">
        <f t="shared" si="5"/>
        <v>-0.56127515177521747</v>
      </c>
      <c r="L52">
        <v>1</v>
      </c>
      <c r="M52">
        <f t="shared" si="6"/>
        <v>0.50002948491840082</v>
      </c>
      <c r="N52">
        <f t="shared" si="7"/>
        <v>4.3990457299999994E-2</v>
      </c>
      <c r="O52">
        <f t="shared" si="8"/>
        <v>3.753174276E-2</v>
      </c>
      <c r="P52">
        <f t="shared" si="9"/>
        <v>-2.0276533203183345E-2</v>
      </c>
      <c r="V52">
        <v>-1.2000000000000199</v>
      </c>
      <c r="W52">
        <f t="shared" si="12"/>
        <v>-0.47722199999999915</v>
      </c>
    </row>
    <row r="53" spans="1:23" x14ac:dyDescent="0.3">
      <c r="A53">
        <v>2.5932102000000001</v>
      </c>
      <c r="B53">
        <v>0.65786999999999995</v>
      </c>
      <c r="C53">
        <f t="shared" si="0"/>
        <v>1.7059951942739999</v>
      </c>
      <c r="D53">
        <v>1.7299999999999999E-2</v>
      </c>
      <c r="E53">
        <v>1.4760000000000001E-2</v>
      </c>
      <c r="F53">
        <f t="shared" si="1"/>
        <v>518.64204000000007</v>
      </c>
      <c r="G53">
        <f t="shared" si="2"/>
        <v>-0.65786999999999995</v>
      </c>
      <c r="H53">
        <f t="shared" si="3"/>
        <v>-341.19903885479999</v>
      </c>
      <c r="I53">
        <v>1</v>
      </c>
      <c r="J53">
        <f t="shared" si="4"/>
        <v>-0.65654134475894921</v>
      </c>
      <c r="K53">
        <f t="shared" si="5"/>
        <v>-0.5638551517752175</v>
      </c>
      <c r="L53">
        <v>1</v>
      </c>
      <c r="M53">
        <f t="shared" si="6"/>
        <v>0.50088418984919536</v>
      </c>
      <c r="N53">
        <f t="shared" si="7"/>
        <v>4.4862536459999998E-2</v>
      </c>
      <c r="O53">
        <f t="shared" si="8"/>
        <v>3.8275782552000003E-2</v>
      </c>
      <c r="P53">
        <f t="shared" si="9"/>
        <v>-2.0167357085977861E-2</v>
      </c>
      <c r="V53">
        <v>-1.1000000000000201</v>
      </c>
      <c r="W53">
        <f t="shared" si="12"/>
        <v>-0.48157599999999912</v>
      </c>
    </row>
    <row r="54" spans="1:23" x14ac:dyDescent="0.3">
      <c r="A54">
        <v>2.6461649999999999</v>
      </c>
      <c r="B54">
        <v>0.65525</v>
      </c>
      <c r="C54">
        <f t="shared" si="0"/>
        <v>1.73389961625</v>
      </c>
      <c r="D54">
        <v>1.7299999999999999E-2</v>
      </c>
      <c r="E54">
        <v>1.4760000000000001E-2</v>
      </c>
      <c r="F54">
        <f t="shared" si="1"/>
        <v>529.23299999999995</v>
      </c>
      <c r="G54">
        <f t="shared" si="2"/>
        <v>-0.65525</v>
      </c>
      <c r="H54">
        <f t="shared" si="3"/>
        <v>-346.77992325000002</v>
      </c>
      <c r="I54">
        <v>1</v>
      </c>
      <c r="J54">
        <f t="shared" si="4"/>
        <v>-0.636326490408889</v>
      </c>
      <c r="K54">
        <f t="shared" si="5"/>
        <v>-0.56647515177521746</v>
      </c>
      <c r="L54">
        <v>1</v>
      </c>
      <c r="M54">
        <f t="shared" si="6"/>
        <v>0.501764344607597</v>
      </c>
      <c r="N54">
        <f t="shared" si="7"/>
        <v>4.5778654499999995E-2</v>
      </c>
      <c r="O54">
        <f t="shared" si="8"/>
        <v>3.90573954E-2</v>
      </c>
      <c r="P54">
        <f t="shared" si="9"/>
        <v>-2.012524273237954E-2</v>
      </c>
      <c r="V54">
        <v>-1.00000000000002</v>
      </c>
      <c r="W54">
        <f t="shared" si="12"/>
        <v>-0.48592999999999914</v>
      </c>
    </row>
    <row r="55" spans="1:23" x14ac:dyDescent="0.3">
      <c r="A55">
        <v>2.6970835000000002</v>
      </c>
      <c r="B55">
        <v>0.65286999999999995</v>
      </c>
      <c r="C55">
        <f t="shared" si="0"/>
        <v>1.7608449046450001</v>
      </c>
      <c r="D55">
        <v>1.7299999999999999E-2</v>
      </c>
      <c r="E55">
        <v>1.4760000000000001E-2</v>
      </c>
      <c r="F55">
        <f t="shared" si="1"/>
        <v>539.41669999999999</v>
      </c>
      <c r="G55">
        <f t="shared" si="2"/>
        <v>-0.65286999999999995</v>
      </c>
      <c r="H55">
        <f t="shared" si="3"/>
        <v>-352.16898092900004</v>
      </c>
      <c r="I55">
        <v>1</v>
      </c>
      <c r="J55">
        <f t="shared" si="4"/>
        <v>-0.61726690842948007</v>
      </c>
      <c r="K55">
        <f t="shared" si="5"/>
        <v>-0.5688551517752175</v>
      </c>
      <c r="L55">
        <v>1</v>
      </c>
      <c r="M55">
        <f t="shared" si="6"/>
        <v>0.50259419880698042</v>
      </c>
      <c r="N55">
        <f t="shared" si="7"/>
        <v>4.6659544550000001E-2</v>
      </c>
      <c r="O55">
        <f t="shared" si="8"/>
        <v>3.9808952460000005E-2</v>
      </c>
      <c r="P55">
        <f t="shared" si="9"/>
        <v>-2.020754404176292E-2</v>
      </c>
      <c r="V55">
        <v>-0.90000000000002001</v>
      </c>
      <c r="W55">
        <f t="shared" si="12"/>
        <v>-0.49028399999999911</v>
      </c>
    </row>
    <row r="56" spans="1:23" x14ac:dyDescent="0.3">
      <c r="A56">
        <v>2.7474927</v>
      </c>
      <c r="B56">
        <v>0.65002000000000004</v>
      </c>
      <c r="C56">
        <f t="shared" si="0"/>
        <v>1.7859252048540002</v>
      </c>
      <c r="D56">
        <v>1.7299999999999999E-2</v>
      </c>
      <c r="E56">
        <v>1.4760000000000001E-2</v>
      </c>
      <c r="F56">
        <f t="shared" si="1"/>
        <v>549.49854000000005</v>
      </c>
      <c r="G56">
        <f t="shared" si="2"/>
        <v>-0.65002000000000004</v>
      </c>
      <c r="H56">
        <f t="shared" si="3"/>
        <v>-357.18504097080006</v>
      </c>
      <c r="I56">
        <v>1</v>
      </c>
      <c r="J56">
        <f t="shared" si="4"/>
        <v>-0.59874916210286411</v>
      </c>
      <c r="K56">
        <f t="shared" si="5"/>
        <v>-0.57170515177521741</v>
      </c>
      <c r="L56">
        <v>1</v>
      </c>
      <c r="M56">
        <f t="shared" si="6"/>
        <v>0.50340046148204132</v>
      </c>
      <c r="N56">
        <f t="shared" si="7"/>
        <v>4.7531623709999998E-2</v>
      </c>
      <c r="O56">
        <f t="shared" si="8"/>
        <v>4.0552992252E-2</v>
      </c>
      <c r="P56">
        <f t="shared" si="9"/>
        <v>-1.9779925668823903E-2</v>
      </c>
      <c r="V56">
        <v>-0.80000000000002003</v>
      </c>
      <c r="W56">
        <f t="shared" si="12"/>
        <v>-0.49463799999999913</v>
      </c>
    </row>
    <row r="57" spans="1:23" x14ac:dyDescent="0.3">
      <c r="A57">
        <v>2.7999385000000001</v>
      </c>
      <c r="B57">
        <v>0.64724999999999999</v>
      </c>
      <c r="C57">
        <f t="shared" si="0"/>
        <v>1.8122601941250001</v>
      </c>
      <c r="D57">
        <v>1.7299999999999999E-2</v>
      </c>
      <c r="E57">
        <v>1.4760000000000001E-2</v>
      </c>
      <c r="F57">
        <f t="shared" si="1"/>
        <v>559.98770000000002</v>
      </c>
      <c r="G57">
        <f t="shared" si="2"/>
        <v>-0.64724999999999999</v>
      </c>
      <c r="H57">
        <f t="shared" si="3"/>
        <v>-362.45203882499999</v>
      </c>
      <c r="I57">
        <v>1</v>
      </c>
      <c r="J57">
        <f t="shared" si="4"/>
        <v>-0.57984045977987486</v>
      </c>
      <c r="K57">
        <f t="shared" si="5"/>
        <v>-0.57447515177521746</v>
      </c>
      <c r="L57">
        <v>1</v>
      </c>
      <c r="M57">
        <f t="shared" si="6"/>
        <v>0.50422374638118428</v>
      </c>
      <c r="N57">
        <f t="shared" si="7"/>
        <v>4.8438936049999999E-2</v>
      </c>
      <c r="O57">
        <f t="shared" si="8"/>
        <v>4.1327092260000003E-2</v>
      </c>
      <c r="P57">
        <f t="shared" si="9"/>
        <v>-1.9514622915966819E-2</v>
      </c>
      <c r="V57">
        <v>-0.70000000000002005</v>
      </c>
      <c r="W57">
        <f t="shared" si="12"/>
        <v>-0.4989919999999991</v>
      </c>
    </row>
    <row r="58" spans="1:23" x14ac:dyDescent="0.3">
      <c r="A58">
        <v>2.8508567</v>
      </c>
      <c r="B58">
        <v>0.64493999999999996</v>
      </c>
      <c r="C58">
        <f t="shared" si="0"/>
        <v>1.8386315200979999</v>
      </c>
      <c r="D58">
        <v>1.7299999999999999E-2</v>
      </c>
      <c r="E58">
        <v>1.4760000000000001E-2</v>
      </c>
      <c r="F58">
        <f t="shared" si="1"/>
        <v>570.17133999999999</v>
      </c>
      <c r="G58">
        <f t="shared" si="2"/>
        <v>-0.64493999999999996</v>
      </c>
      <c r="H58">
        <f t="shared" si="3"/>
        <v>-367.72630401959998</v>
      </c>
      <c r="I58">
        <v>1</v>
      </c>
      <c r="J58">
        <f t="shared" si="4"/>
        <v>-0.56181836683238662</v>
      </c>
      <c r="K58">
        <f t="shared" si="5"/>
        <v>-0.5767851517752175</v>
      </c>
      <c r="L58">
        <v>1</v>
      </c>
      <c r="M58">
        <f t="shared" si="6"/>
        <v>0.50500842830811787</v>
      </c>
      <c r="N58">
        <f t="shared" si="7"/>
        <v>4.9319820909999999E-2</v>
      </c>
      <c r="O58">
        <f t="shared" si="8"/>
        <v>4.2078644892E-2</v>
      </c>
      <c r="P58">
        <f t="shared" si="9"/>
        <v>-1.9621742334900376E-2</v>
      </c>
      <c r="V58">
        <v>-0.60000000000001996</v>
      </c>
      <c r="W58">
        <f t="shared" si="12"/>
        <v>-0.50334599999999907</v>
      </c>
    </row>
    <row r="59" spans="1:23" x14ac:dyDescent="0.3">
      <c r="A59">
        <v>2.9043209999999999</v>
      </c>
      <c r="B59">
        <v>0.64215</v>
      </c>
      <c r="C59">
        <f t="shared" si="0"/>
        <v>1.8650097301499999</v>
      </c>
      <c r="D59">
        <v>1.7299999999999999E-2</v>
      </c>
      <c r="E59">
        <v>1.4760000000000001E-2</v>
      </c>
      <c r="F59">
        <f t="shared" si="1"/>
        <v>580.86419999999998</v>
      </c>
      <c r="G59">
        <f t="shared" si="2"/>
        <v>-0.64215</v>
      </c>
      <c r="H59">
        <f t="shared" si="3"/>
        <v>-373.00194603</v>
      </c>
      <c r="I59">
        <v>1</v>
      </c>
      <c r="J59">
        <f t="shared" si="4"/>
        <v>-0.54323828439025323</v>
      </c>
      <c r="K59">
        <f t="shared" si="5"/>
        <v>-0.57957515177521746</v>
      </c>
      <c r="L59">
        <v>1</v>
      </c>
      <c r="M59">
        <f t="shared" si="6"/>
        <v>0.50581740509764839</v>
      </c>
      <c r="N59">
        <f t="shared" si="7"/>
        <v>5.02447533E-2</v>
      </c>
      <c r="O59">
        <f t="shared" si="8"/>
        <v>4.2867777959999999E-2</v>
      </c>
      <c r="P59">
        <f t="shared" si="9"/>
        <v>-1.935478458243093E-2</v>
      </c>
      <c r="V59">
        <v>-0.50000000000001998</v>
      </c>
      <c r="W59">
        <f t="shared" si="12"/>
        <v>-0.50769999999999915</v>
      </c>
    </row>
    <row r="60" spans="1:23" x14ac:dyDescent="0.3">
      <c r="A60">
        <v>2.9567668</v>
      </c>
      <c r="B60">
        <v>0.63941999999999999</v>
      </c>
      <c r="C60">
        <f t="shared" si="0"/>
        <v>1.8906158272560001</v>
      </c>
      <c r="D60">
        <v>1.7299999999999999E-2</v>
      </c>
      <c r="E60">
        <v>1.4760000000000001E-2</v>
      </c>
      <c r="F60">
        <f t="shared" si="1"/>
        <v>591.35335999999995</v>
      </c>
      <c r="G60">
        <f t="shared" si="2"/>
        <v>-0.63941999999999999</v>
      </c>
      <c r="H60">
        <f t="shared" si="3"/>
        <v>-378.12316545120001</v>
      </c>
      <c r="I60">
        <v>1</v>
      </c>
      <c r="J60">
        <f t="shared" si="4"/>
        <v>-0.52534153838688935</v>
      </c>
      <c r="K60">
        <f t="shared" si="5"/>
        <v>-0.58230515177521747</v>
      </c>
      <c r="L60">
        <v>1</v>
      </c>
      <c r="M60">
        <f t="shared" si="6"/>
        <v>0.50659662941863481</v>
      </c>
      <c r="N60">
        <f t="shared" si="7"/>
        <v>5.1152065640000001E-2</v>
      </c>
      <c r="O60">
        <f t="shared" si="8"/>
        <v>4.3641877968000002E-2</v>
      </c>
      <c r="P60">
        <f t="shared" si="9"/>
        <v>-1.908542125141735E-2</v>
      </c>
      <c r="V60">
        <v>-0.40000000000002001</v>
      </c>
      <c r="W60">
        <f t="shared" si="12"/>
        <v>-0.51205399999999912</v>
      </c>
    </row>
    <row r="61" spans="1:23" x14ac:dyDescent="0.3">
      <c r="A61">
        <v>3.0076850999999998</v>
      </c>
      <c r="B61">
        <v>0.63690000000000002</v>
      </c>
      <c r="C61">
        <f t="shared" si="0"/>
        <v>1.9155946401899999</v>
      </c>
      <c r="D61">
        <v>1.7299999999999999E-2</v>
      </c>
      <c r="E61">
        <v>1.4760000000000001E-2</v>
      </c>
      <c r="F61">
        <f t="shared" si="1"/>
        <v>601.53701999999998</v>
      </c>
      <c r="G61">
        <f t="shared" si="2"/>
        <v>-0.63690000000000002</v>
      </c>
      <c r="H61">
        <f t="shared" si="3"/>
        <v>-383.11892803799998</v>
      </c>
      <c r="I61">
        <v>1</v>
      </c>
      <c r="J61">
        <f t="shared" si="4"/>
        <v>-0.50826719932662578</v>
      </c>
      <c r="K61">
        <f t="shared" si="5"/>
        <v>-0.58482515177521743</v>
      </c>
      <c r="L61">
        <v>1</v>
      </c>
      <c r="M61">
        <f t="shared" si="6"/>
        <v>0.50734004614131867</v>
      </c>
      <c r="N61">
        <f t="shared" si="7"/>
        <v>5.2032952229999992E-2</v>
      </c>
      <c r="O61">
        <f t="shared" si="8"/>
        <v>4.4393432076000001E-2</v>
      </c>
      <c r="P61">
        <f t="shared" si="9"/>
        <v>-1.8941278672101228E-2</v>
      </c>
      <c r="V61">
        <v>-0.30000000000001997</v>
      </c>
      <c r="W61">
        <f t="shared" si="12"/>
        <v>-0.51640799999999909</v>
      </c>
    </row>
    <row r="62" spans="1:23" x14ac:dyDescent="0.3">
      <c r="A62">
        <v>3.0611492</v>
      </c>
      <c r="B62">
        <v>0.63448000000000004</v>
      </c>
      <c r="C62">
        <f t="shared" si="0"/>
        <v>1.9422379444160001</v>
      </c>
      <c r="D62">
        <v>1.7299999999999999E-2</v>
      </c>
      <c r="E62">
        <v>1.4760000000000001E-2</v>
      </c>
      <c r="F62">
        <f t="shared" si="1"/>
        <v>612.22983999999997</v>
      </c>
      <c r="G62">
        <f t="shared" si="2"/>
        <v>-0.63448000000000004</v>
      </c>
      <c r="H62">
        <f t="shared" si="3"/>
        <v>-388.44758888320001</v>
      </c>
      <c r="I62">
        <v>1</v>
      </c>
      <c r="J62">
        <f t="shared" si="4"/>
        <v>-0.49064751141759183</v>
      </c>
      <c r="K62">
        <f t="shared" si="5"/>
        <v>-0.58724515177521741</v>
      </c>
      <c r="L62">
        <v>1</v>
      </c>
      <c r="M62">
        <f t="shared" si="6"/>
        <v>0.50810720735287807</v>
      </c>
      <c r="N62">
        <f t="shared" si="7"/>
        <v>5.2957881159999998E-2</v>
      </c>
      <c r="O62">
        <f t="shared" si="8"/>
        <v>4.5182562192000002E-2</v>
      </c>
      <c r="P62">
        <f t="shared" si="9"/>
        <v>-1.9002498929660654E-2</v>
      </c>
      <c r="V62">
        <v>-0.20000000000002</v>
      </c>
      <c r="W62">
        <f t="shared" si="12"/>
        <v>-0.52076199999999917</v>
      </c>
    </row>
    <row r="63" spans="1:23" x14ac:dyDescent="0.3">
      <c r="A63">
        <v>3.1115586</v>
      </c>
      <c r="B63">
        <v>0.63177000000000005</v>
      </c>
      <c r="C63">
        <f t="shared" si="0"/>
        <v>1.965789376722</v>
      </c>
      <c r="D63">
        <v>1.7299999999999999E-2</v>
      </c>
      <c r="E63">
        <v>1.4760000000000001E-2</v>
      </c>
      <c r="F63">
        <f t="shared" si="1"/>
        <v>622.31172000000004</v>
      </c>
      <c r="G63">
        <f t="shared" si="2"/>
        <v>-0.63177000000000005</v>
      </c>
      <c r="H63">
        <f t="shared" si="3"/>
        <v>-393.1578753444</v>
      </c>
      <c r="I63">
        <v>1</v>
      </c>
      <c r="J63">
        <f t="shared" si="4"/>
        <v>-0.47431415422419465</v>
      </c>
      <c r="K63">
        <f t="shared" si="5"/>
        <v>-0.5899551517752174</v>
      </c>
      <c r="L63">
        <v>1</v>
      </c>
      <c r="M63">
        <f t="shared" si="6"/>
        <v>0.50881836172507855</v>
      </c>
      <c r="N63">
        <f t="shared" si="7"/>
        <v>5.3829963779999997E-2</v>
      </c>
      <c r="O63">
        <f t="shared" si="8"/>
        <v>4.5926604936000003E-2</v>
      </c>
      <c r="P63">
        <f t="shared" si="9"/>
        <v>-1.8619778665861147E-2</v>
      </c>
      <c r="V63">
        <v>-0.10000000000002</v>
      </c>
      <c r="W63">
        <f t="shared" si="12"/>
        <v>-0.52511599999999914</v>
      </c>
    </row>
    <row r="64" spans="1:23" x14ac:dyDescent="0.3">
      <c r="A64">
        <v>3.1665502999999999</v>
      </c>
      <c r="B64">
        <v>0.62897999999999998</v>
      </c>
      <c r="C64">
        <f t="shared" si="0"/>
        <v>1.9916968076939998</v>
      </c>
      <c r="D64">
        <v>1.7299999999999999E-2</v>
      </c>
      <c r="E64">
        <v>1.4760000000000001E-2</v>
      </c>
      <c r="F64">
        <f t="shared" si="1"/>
        <v>633.31006000000002</v>
      </c>
      <c r="G64">
        <f t="shared" si="2"/>
        <v>-0.62897999999999998</v>
      </c>
      <c r="H64">
        <f t="shared" si="3"/>
        <v>-398.33936153879995</v>
      </c>
      <c r="I64">
        <v>1</v>
      </c>
      <c r="J64">
        <f t="shared" si="4"/>
        <v>-0.45679515053933706</v>
      </c>
      <c r="K64">
        <f t="shared" si="5"/>
        <v>-0.59274515177521747</v>
      </c>
      <c r="L64">
        <v>1</v>
      </c>
      <c r="M64">
        <f t="shared" si="6"/>
        <v>0.50958113914551728</v>
      </c>
      <c r="N64">
        <f t="shared" si="7"/>
        <v>5.4781320189999996E-2</v>
      </c>
      <c r="O64">
        <f t="shared" si="8"/>
        <v>4.6738282428000003E-2</v>
      </c>
      <c r="P64">
        <f t="shared" si="9"/>
        <v>-1.8355589988299809E-2</v>
      </c>
      <c r="V64">
        <v>-2.0428103653102899E-14</v>
      </c>
      <c r="W64">
        <f t="shared" si="12"/>
        <v>-0.52946999999999911</v>
      </c>
    </row>
    <row r="65" spans="1:23" x14ac:dyDescent="0.3">
      <c r="A65">
        <v>3.2184868</v>
      </c>
      <c r="B65">
        <v>0.62649999999999995</v>
      </c>
      <c r="C65">
        <f t="shared" si="0"/>
        <v>2.0163819801999998</v>
      </c>
      <c r="D65">
        <v>1.7299999999999999E-2</v>
      </c>
      <c r="E65">
        <v>1.4760000000000001E-2</v>
      </c>
      <c r="F65">
        <f t="shared" si="1"/>
        <v>643.69736</v>
      </c>
      <c r="G65">
        <f t="shared" si="2"/>
        <v>-0.62649999999999995</v>
      </c>
      <c r="H65">
        <f t="shared" si="3"/>
        <v>-403.27639603999995</v>
      </c>
      <c r="I65">
        <v>1</v>
      </c>
      <c r="J65">
        <f t="shared" si="4"/>
        <v>-0.44052660122139775</v>
      </c>
      <c r="K65">
        <f t="shared" si="5"/>
        <v>-0.59522515177521751</v>
      </c>
      <c r="L65">
        <v>1</v>
      </c>
      <c r="M65">
        <f t="shared" si="6"/>
        <v>0.51028947178282036</v>
      </c>
      <c r="N65">
        <f t="shared" si="7"/>
        <v>5.5679821639999995E-2</v>
      </c>
      <c r="O65">
        <f t="shared" si="8"/>
        <v>4.7504865168000003E-2</v>
      </c>
      <c r="P65">
        <f t="shared" si="9"/>
        <v>-1.8249006815602847E-2</v>
      </c>
      <c r="V65">
        <v>9.9999999999980105E-2</v>
      </c>
      <c r="W65">
        <f t="shared" si="12"/>
        <v>-0.53382399999999908</v>
      </c>
    </row>
    <row r="66" spans="1:23" x14ac:dyDescent="0.3">
      <c r="A66">
        <v>3.2724603999999999</v>
      </c>
      <c r="B66">
        <v>0.624</v>
      </c>
      <c r="C66">
        <f t="shared" si="0"/>
        <v>2.0420152896000001</v>
      </c>
      <c r="D66">
        <v>1.7299999999999999E-2</v>
      </c>
      <c r="E66">
        <v>1.4760000000000001E-2</v>
      </c>
      <c r="F66">
        <f t="shared" si="1"/>
        <v>654.49207999999999</v>
      </c>
      <c r="G66">
        <f t="shared" si="2"/>
        <v>-0.624</v>
      </c>
      <c r="H66">
        <f t="shared" si="3"/>
        <v>-408.40305792000004</v>
      </c>
      <c r="I66">
        <v>1</v>
      </c>
      <c r="J66">
        <f t="shared" si="4"/>
        <v>-0.42389579454573428</v>
      </c>
      <c r="K66">
        <f t="shared" si="5"/>
        <v>-0.59772515177521746</v>
      </c>
      <c r="L66">
        <v>1</v>
      </c>
      <c r="M66">
        <f t="shared" si="6"/>
        <v>0.51101357710547868</v>
      </c>
      <c r="N66">
        <f t="shared" si="7"/>
        <v>5.6613564919999998E-2</v>
      </c>
      <c r="O66">
        <f t="shared" si="8"/>
        <v>4.8301515503999998E-2</v>
      </c>
      <c r="P66">
        <f t="shared" si="9"/>
        <v>-1.8203505754261218E-2</v>
      </c>
      <c r="V66">
        <v>0.19999999999998</v>
      </c>
      <c r="W66">
        <f t="shared" si="12"/>
        <v>-0.53817799999999916</v>
      </c>
    </row>
    <row r="67" spans="1:23" x14ac:dyDescent="0.3">
      <c r="A67">
        <v>3.3238876999999998</v>
      </c>
      <c r="B67">
        <v>0.62155000000000005</v>
      </c>
      <c r="C67">
        <f t="shared" si="0"/>
        <v>2.0659623999350001</v>
      </c>
      <c r="D67">
        <v>1.7299999999999999E-2</v>
      </c>
      <c r="E67">
        <v>1.4760000000000001E-2</v>
      </c>
      <c r="F67">
        <f t="shared" si="1"/>
        <v>664.77753999999993</v>
      </c>
      <c r="G67">
        <f t="shared" si="2"/>
        <v>-0.62155000000000005</v>
      </c>
      <c r="H67">
        <f t="shared" si="3"/>
        <v>-413.19247998700001</v>
      </c>
      <c r="I67">
        <v>1</v>
      </c>
      <c r="J67">
        <f t="shared" si="4"/>
        <v>-0.40830282060848239</v>
      </c>
      <c r="K67">
        <f t="shared" si="5"/>
        <v>-0.60017515177521741</v>
      </c>
      <c r="L67">
        <v>1</v>
      </c>
      <c r="M67">
        <f t="shared" si="6"/>
        <v>0.5116924951907067</v>
      </c>
      <c r="N67">
        <f t="shared" si="7"/>
        <v>5.7503257209999992E-2</v>
      </c>
      <c r="O67">
        <f t="shared" si="8"/>
        <v>4.9060582451999998E-2</v>
      </c>
      <c r="P67">
        <f t="shared" si="9"/>
        <v>-1.808118307748928E-2</v>
      </c>
      <c r="V67">
        <v>0.29999999999998</v>
      </c>
      <c r="W67">
        <f t="shared" si="12"/>
        <v>-0.54253199999999913</v>
      </c>
    </row>
    <row r="68" spans="1:23" x14ac:dyDescent="0.3">
      <c r="A68">
        <v>3.3742969</v>
      </c>
      <c r="B68">
        <v>0.61867000000000005</v>
      </c>
      <c r="C68">
        <f t="shared" ref="C68:C131" si="13">A68*B68</f>
        <v>2.0875762631230002</v>
      </c>
      <c r="D68">
        <v>1.7299999999999999E-2</v>
      </c>
      <c r="E68">
        <v>1.4760000000000001E-2</v>
      </c>
      <c r="F68">
        <f t="shared" ref="F68:F131" si="14">A68*200</f>
        <v>674.85937999999999</v>
      </c>
      <c r="G68">
        <f t="shared" ref="G68:G131" si="15">-B68</f>
        <v>-0.61867000000000005</v>
      </c>
      <c r="H68">
        <f t="shared" ref="H68:H131" si="16">-C68*200</f>
        <v>-417.51525262460001</v>
      </c>
      <c r="I68">
        <v>1</v>
      </c>
      <c r="J68">
        <f t="shared" ref="J68:J131" si="17">LN(F68/1000)</f>
        <v>-0.39325093573839309</v>
      </c>
      <c r="K68">
        <f t="shared" ref="K68:K131" si="18">((-G68)-$N$2)</f>
        <v>-0.6030551517752174</v>
      </c>
      <c r="L68">
        <v>1</v>
      </c>
      <c r="M68">
        <f t="shared" ref="M68:M131" si="19">-1*($S$4+($S$5*J68))</f>
        <v>0.51234785425795037</v>
      </c>
      <c r="N68">
        <f t="shared" ref="N68:N131" si="20">D68*A68</f>
        <v>5.8375336369999996E-2</v>
      </c>
      <c r="O68">
        <f t="shared" ref="O68:O131" si="21">E68*A68</f>
        <v>4.9804622244000001E-2</v>
      </c>
      <c r="P68">
        <f t="shared" ref="P68:P131" si="22">-K68-M68-N68-O68</f>
        <v>-1.7472661096732969E-2</v>
      </c>
      <c r="V68">
        <v>0.39999999999997998</v>
      </c>
      <c r="W68">
        <f t="shared" ref="W68:W99" si="23">V68*$S$5+$S$4</f>
        <v>-0.5468859999999991</v>
      </c>
    </row>
    <row r="69" spans="1:23" x14ac:dyDescent="0.3">
      <c r="A69">
        <v>3.4252156</v>
      </c>
      <c r="B69">
        <v>0.61639999999999995</v>
      </c>
      <c r="C69">
        <f t="shared" si="13"/>
        <v>2.1113028958399997</v>
      </c>
      <c r="D69">
        <v>1.7299999999999999E-2</v>
      </c>
      <c r="E69">
        <v>1.4760000000000001E-2</v>
      </c>
      <c r="F69">
        <f t="shared" si="14"/>
        <v>685.04312000000004</v>
      </c>
      <c r="G69">
        <f t="shared" si="15"/>
        <v>-0.61639999999999995</v>
      </c>
      <c r="H69">
        <f t="shared" si="16"/>
        <v>-422.26057916799994</v>
      </c>
      <c r="I69">
        <v>1</v>
      </c>
      <c r="J69">
        <f t="shared" si="17"/>
        <v>-0.37827349379600145</v>
      </c>
      <c r="K69">
        <f t="shared" si="18"/>
        <v>-0.60532515177521751</v>
      </c>
      <c r="L69">
        <v>1</v>
      </c>
      <c r="M69">
        <f t="shared" si="19"/>
        <v>0.51299997208012205</v>
      </c>
      <c r="N69">
        <f t="shared" si="20"/>
        <v>5.9256229879999997E-2</v>
      </c>
      <c r="O69">
        <f t="shared" si="21"/>
        <v>5.0556182256000004E-2</v>
      </c>
      <c r="P69">
        <f t="shared" si="22"/>
        <v>-1.748723244090454E-2</v>
      </c>
      <c r="V69">
        <v>0.49999999999998002</v>
      </c>
      <c r="W69">
        <f t="shared" si="23"/>
        <v>-0.55123999999999918</v>
      </c>
    </row>
    <row r="70" spans="1:23" x14ac:dyDescent="0.3">
      <c r="A70">
        <v>3.4766428</v>
      </c>
      <c r="B70">
        <v>0.61399000000000004</v>
      </c>
      <c r="C70">
        <f t="shared" si="13"/>
        <v>2.1346239127720001</v>
      </c>
      <c r="D70">
        <v>1.7299999999999999E-2</v>
      </c>
      <c r="E70">
        <v>1.4760000000000001E-2</v>
      </c>
      <c r="F70">
        <f t="shared" si="14"/>
        <v>695.32856000000004</v>
      </c>
      <c r="G70">
        <f t="shared" si="15"/>
        <v>-0.61399000000000004</v>
      </c>
      <c r="H70">
        <f t="shared" si="16"/>
        <v>-426.92478255440005</v>
      </c>
      <c r="I70">
        <v>1</v>
      </c>
      <c r="J70">
        <f t="shared" si="17"/>
        <v>-0.36337079692613128</v>
      </c>
      <c r="K70">
        <f t="shared" si="18"/>
        <v>-0.60773515177521742</v>
      </c>
      <c r="L70">
        <v>1</v>
      </c>
      <c r="M70">
        <f t="shared" si="19"/>
        <v>0.51364883550183627</v>
      </c>
      <c r="N70">
        <f t="shared" si="20"/>
        <v>6.014592044E-2</v>
      </c>
      <c r="O70">
        <f t="shared" si="21"/>
        <v>5.1315247728000002E-2</v>
      </c>
      <c r="P70">
        <f t="shared" si="22"/>
        <v>-1.7374851894618848E-2</v>
      </c>
      <c r="V70">
        <v>0.59999999999997999</v>
      </c>
      <c r="W70">
        <f t="shared" si="23"/>
        <v>-0.55559399999999914</v>
      </c>
    </row>
    <row r="71" spans="1:23" x14ac:dyDescent="0.3">
      <c r="A71">
        <v>3.5275612999999999</v>
      </c>
      <c r="B71">
        <v>0.61119999999999997</v>
      </c>
      <c r="C71">
        <f t="shared" si="13"/>
        <v>2.1560454665599997</v>
      </c>
      <c r="D71">
        <v>1.7299999999999999E-2</v>
      </c>
      <c r="E71">
        <v>1.4760000000000001E-2</v>
      </c>
      <c r="F71">
        <f t="shared" si="14"/>
        <v>705.51225999999997</v>
      </c>
      <c r="G71">
        <f t="shared" si="15"/>
        <v>-0.61119999999999997</v>
      </c>
      <c r="H71">
        <f t="shared" si="16"/>
        <v>-431.20909331199994</v>
      </c>
      <c r="I71">
        <v>1</v>
      </c>
      <c r="J71">
        <f t="shared" si="17"/>
        <v>-0.34883113009398042</v>
      </c>
      <c r="K71">
        <f t="shared" si="18"/>
        <v>-0.61052515177521749</v>
      </c>
      <c r="L71">
        <v>1</v>
      </c>
      <c r="M71">
        <f t="shared" si="19"/>
        <v>0.51428189259570811</v>
      </c>
      <c r="N71">
        <f t="shared" si="20"/>
        <v>6.1026810489999993E-2</v>
      </c>
      <c r="O71">
        <f t="shared" si="21"/>
        <v>5.2066804788E-2</v>
      </c>
      <c r="P71">
        <f t="shared" si="22"/>
        <v>-1.6850356098490615E-2</v>
      </c>
      <c r="V71">
        <v>0.69999999999997997</v>
      </c>
      <c r="W71">
        <f t="shared" si="23"/>
        <v>-0.55994799999999911</v>
      </c>
    </row>
    <row r="72" spans="1:23" x14ac:dyDescent="0.3">
      <c r="A72">
        <v>3.5784796999999999</v>
      </c>
      <c r="B72">
        <v>0.60889000000000004</v>
      </c>
      <c r="C72">
        <f t="shared" si="13"/>
        <v>2.1789005045330003</v>
      </c>
      <c r="D72">
        <v>1.7299999999999999E-2</v>
      </c>
      <c r="E72">
        <v>1.4760000000000001E-2</v>
      </c>
      <c r="F72">
        <f t="shared" si="14"/>
        <v>715.69593999999995</v>
      </c>
      <c r="G72">
        <f t="shared" si="15"/>
        <v>-0.60889000000000004</v>
      </c>
      <c r="H72">
        <f t="shared" si="16"/>
        <v>-435.78010090660007</v>
      </c>
      <c r="I72">
        <v>1</v>
      </c>
      <c r="J72">
        <f t="shared" si="17"/>
        <v>-0.33449986702159507</v>
      </c>
      <c r="K72">
        <f t="shared" si="18"/>
        <v>-0.61283515177521741</v>
      </c>
      <c r="L72">
        <v>1</v>
      </c>
      <c r="M72">
        <f t="shared" si="19"/>
        <v>0.51490587578987979</v>
      </c>
      <c r="N72">
        <f t="shared" si="20"/>
        <v>6.1907698809999995E-2</v>
      </c>
      <c r="O72">
        <f t="shared" si="21"/>
        <v>5.2818360372000002E-2</v>
      </c>
      <c r="P72">
        <f t="shared" si="22"/>
        <v>-1.679678319666237E-2</v>
      </c>
      <c r="V72">
        <v>0.79999999999997995</v>
      </c>
      <c r="W72">
        <f t="shared" si="23"/>
        <v>-0.56430199999999908</v>
      </c>
    </row>
    <row r="73" spans="1:23" x14ac:dyDescent="0.3">
      <c r="A73">
        <v>3.6293978999999998</v>
      </c>
      <c r="B73">
        <v>0.60646999999999995</v>
      </c>
      <c r="C73">
        <f t="shared" si="13"/>
        <v>2.2011209444129998</v>
      </c>
      <c r="D73">
        <v>1.7299999999999999E-2</v>
      </c>
      <c r="E73">
        <v>1.4760000000000001E-2</v>
      </c>
      <c r="F73">
        <f t="shared" si="14"/>
        <v>725.87957999999992</v>
      </c>
      <c r="G73">
        <f t="shared" si="15"/>
        <v>-0.60646999999999995</v>
      </c>
      <c r="H73">
        <f t="shared" si="16"/>
        <v>-440.22418888259995</v>
      </c>
      <c r="I73">
        <v>1</v>
      </c>
      <c r="J73">
        <f t="shared" si="17"/>
        <v>-0.32037114568351571</v>
      </c>
      <c r="K73">
        <f t="shared" si="18"/>
        <v>-0.6152551517752175</v>
      </c>
      <c r="L73">
        <v>1</v>
      </c>
      <c r="M73">
        <f t="shared" si="19"/>
        <v>0.51552104031693968</v>
      </c>
      <c r="N73">
        <f t="shared" si="20"/>
        <v>6.2788583669999995E-2</v>
      </c>
      <c r="O73">
        <f t="shared" si="21"/>
        <v>5.3569913003999999E-2</v>
      </c>
      <c r="P73">
        <f t="shared" si="22"/>
        <v>-1.6624385215722175E-2</v>
      </c>
      <c r="V73">
        <v>0.89999999999998004</v>
      </c>
      <c r="W73">
        <f t="shared" si="23"/>
        <v>-0.56865599999999916</v>
      </c>
    </row>
    <row r="74" spans="1:23" x14ac:dyDescent="0.3">
      <c r="A74">
        <v>3.6843895999999998</v>
      </c>
      <c r="B74">
        <v>0.60397000000000001</v>
      </c>
      <c r="C74">
        <f t="shared" si="13"/>
        <v>2.225260786712</v>
      </c>
      <c r="D74">
        <v>1.7299999999999999E-2</v>
      </c>
      <c r="E74">
        <v>1.4760000000000001E-2</v>
      </c>
      <c r="F74">
        <f t="shared" si="14"/>
        <v>736.87792000000002</v>
      </c>
      <c r="G74">
        <f t="shared" si="15"/>
        <v>-0.60397000000000001</v>
      </c>
      <c r="H74">
        <f t="shared" si="16"/>
        <v>-445.05215734239999</v>
      </c>
      <c r="I74">
        <v>1</v>
      </c>
      <c r="J74">
        <f t="shared" si="17"/>
        <v>-0.30533304501811565</v>
      </c>
      <c r="K74">
        <f t="shared" si="18"/>
        <v>-0.61775515177521745</v>
      </c>
      <c r="L74">
        <v>1</v>
      </c>
      <c r="M74">
        <f t="shared" si="19"/>
        <v>0.51617579921991119</v>
      </c>
      <c r="N74">
        <f t="shared" si="20"/>
        <v>6.3739940080000002E-2</v>
      </c>
      <c r="O74">
        <f t="shared" si="21"/>
        <v>5.4381590495999999E-2</v>
      </c>
      <c r="P74">
        <f t="shared" si="22"/>
        <v>-1.6542178020693743E-2</v>
      </c>
      <c r="V74">
        <v>0.99999999999998002</v>
      </c>
      <c r="W74">
        <f t="shared" si="23"/>
        <v>-0.57300999999999913</v>
      </c>
    </row>
    <row r="75" spans="1:23" x14ac:dyDescent="0.3">
      <c r="A75">
        <v>3.737854</v>
      </c>
      <c r="B75">
        <v>0.60138999999999998</v>
      </c>
      <c r="C75">
        <f t="shared" si="13"/>
        <v>2.2479080170599999</v>
      </c>
      <c r="D75">
        <v>1.7299999999999999E-2</v>
      </c>
      <c r="E75">
        <v>1.4760000000000001E-2</v>
      </c>
      <c r="F75">
        <f t="shared" si="14"/>
        <v>747.57079999999996</v>
      </c>
      <c r="G75">
        <f t="shared" si="15"/>
        <v>-0.60138999999999998</v>
      </c>
      <c r="H75">
        <f t="shared" si="16"/>
        <v>-449.58160341199999</v>
      </c>
      <c r="I75">
        <v>1</v>
      </c>
      <c r="J75">
        <f t="shared" si="17"/>
        <v>-0.29092626248348252</v>
      </c>
      <c r="K75">
        <f t="shared" si="18"/>
        <v>-0.62033515177521747</v>
      </c>
      <c r="L75">
        <v>1</v>
      </c>
      <c r="M75">
        <f t="shared" si="19"/>
        <v>0.51680307053146912</v>
      </c>
      <c r="N75">
        <f t="shared" si="20"/>
        <v>6.46648742E-2</v>
      </c>
      <c r="O75">
        <f t="shared" si="21"/>
        <v>5.517072504E-2</v>
      </c>
      <c r="P75">
        <f t="shared" si="22"/>
        <v>-1.6303517996251647E-2</v>
      </c>
      <c r="V75">
        <v>1.0999999999999699</v>
      </c>
      <c r="W75">
        <f t="shared" si="23"/>
        <v>-0.57736399999999866</v>
      </c>
    </row>
    <row r="76" spans="1:23" x14ac:dyDescent="0.3">
      <c r="A76">
        <v>3.7923363999999999</v>
      </c>
      <c r="B76">
        <v>0.59884999999999999</v>
      </c>
      <c r="C76">
        <f t="shared" si="13"/>
        <v>2.27104065314</v>
      </c>
      <c r="D76">
        <v>1.7299999999999999E-2</v>
      </c>
      <c r="E76">
        <v>1.4760000000000001E-2</v>
      </c>
      <c r="F76">
        <f t="shared" si="14"/>
        <v>758.46727999999996</v>
      </c>
      <c r="G76">
        <f t="shared" si="15"/>
        <v>-0.59884999999999999</v>
      </c>
      <c r="H76">
        <f t="shared" si="16"/>
        <v>-454.20813062799999</v>
      </c>
      <c r="I76">
        <v>1</v>
      </c>
      <c r="J76">
        <f t="shared" si="17"/>
        <v>-0.27645561889592885</v>
      </c>
      <c r="K76">
        <f t="shared" si="18"/>
        <v>-0.62287515177521746</v>
      </c>
      <c r="L76">
        <v>1</v>
      </c>
      <c r="M76">
        <f t="shared" si="19"/>
        <v>0.51743312235327121</v>
      </c>
      <c r="N76">
        <f t="shared" si="20"/>
        <v>6.560741971999999E-2</v>
      </c>
      <c r="O76">
        <f t="shared" si="21"/>
        <v>5.5974885264000004E-2</v>
      </c>
      <c r="P76">
        <f t="shared" si="22"/>
        <v>-1.6140275562053746E-2</v>
      </c>
      <c r="V76">
        <v>1.19999999999997</v>
      </c>
      <c r="W76">
        <f t="shared" si="23"/>
        <v>-0.58171799999999874</v>
      </c>
    </row>
    <row r="77" spans="1:23" x14ac:dyDescent="0.3">
      <c r="A77">
        <v>3.8427457999999999</v>
      </c>
      <c r="B77">
        <v>0.59628999999999999</v>
      </c>
      <c r="C77">
        <f t="shared" si="13"/>
        <v>2.2913908930819997</v>
      </c>
      <c r="D77">
        <v>1.7299999999999999E-2</v>
      </c>
      <c r="E77">
        <v>1.4760000000000001E-2</v>
      </c>
      <c r="F77">
        <f t="shared" si="14"/>
        <v>768.54916000000003</v>
      </c>
      <c r="G77">
        <f t="shared" si="15"/>
        <v>-0.59628999999999999</v>
      </c>
      <c r="H77">
        <f t="shared" si="16"/>
        <v>-458.27817861639994</v>
      </c>
      <c r="I77">
        <v>1</v>
      </c>
      <c r="J77">
        <f t="shared" si="17"/>
        <v>-0.26325074927906916</v>
      </c>
      <c r="K77">
        <f t="shared" si="18"/>
        <v>-0.62543515177521747</v>
      </c>
      <c r="L77">
        <v>1</v>
      </c>
      <c r="M77">
        <f t="shared" si="19"/>
        <v>0.5180080623763893</v>
      </c>
      <c r="N77">
        <f t="shared" si="20"/>
        <v>6.6479502339999996E-2</v>
      </c>
      <c r="O77">
        <f t="shared" si="21"/>
        <v>5.6718928007999998E-2</v>
      </c>
      <c r="P77">
        <f t="shared" si="22"/>
        <v>-1.5771340949171826E-2</v>
      </c>
      <c r="V77">
        <v>1.2999999999999701</v>
      </c>
      <c r="W77">
        <f t="shared" si="23"/>
        <v>-0.58607199999999871</v>
      </c>
    </row>
    <row r="78" spans="1:23" x14ac:dyDescent="0.3">
      <c r="A78">
        <v>3.89621</v>
      </c>
      <c r="B78">
        <v>0.59394000000000002</v>
      </c>
      <c r="C78">
        <f t="shared" si="13"/>
        <v>2.3141149674000001</v>
      </c>
      <c r="D78">
        <v>1.7299999999999999E-2</v>
      </c>
      <c r="E78">
        <v>1.4760000000000001E-2</v>
      </c>
      <c r="F78">
        <f t="shared" si="14"/>
        <v>779.24199999999996</v>
      </c>
      <c r="G78">
        <f t="shared" si="15"/>
        <v>-0.59394000000000002</v>
      </c>
      <c r="H78">
        <f t="shared" si="16"/>
        <v>-462.82299348000004</v>
      </c>
      <c r="I78">
        <v>1</v>
      </c>
      <c r="J78">
        <f t="shared" si="17"/>
        <v>-0.24943362666907035</v>
      </c>
      <c r="K78">
        <f t="shared" si="18"/>
        <v>-0.62778515177521743</v>
      </c>
      <c r="L78">
        <v>1</v>
      </c>
      <c r="M78">
        <f t="shared" si="19"/>
        <v>0.51860965989482866</v>
      </c>
      <c r="N78">
        <f t="shared" si="20"/>
        <v>6.7404433E-2</v>
      </c>
      <c r="O78">
        <f t="shared" si="21"/>
        <v>5.7508059600000001E-2</v>
      </c>
      <c r="P78">
        <f t="shared" si="22"/>
        <v>-1.5737000719611226E-2</v>
      </c>
      <c r="V78">
        <v>1.3999999999999699</v>
      </c>
      <c r="W78">
        <f t="shared" si="23"/>
        <v>-0.59042599999999867</v>
      </c>
    </row>
    <row r="79" spans="1:23" x14ac:dyDescent="0.3">
      <c r="A79">
        <v>3.9476374999999999</v>
      </c>
      <c r="B79">
        <v>0.59150000000000003</v>
      </c>
      <c r="C79">
        <f t="shared" si="13"/>
        <v>2.3350275812499999</v>
      </c>
      <c r="D79">
        <v>1.7299999999999999E-2</v>
      </c>
      <c r="E79">
        <v>1.4760000000000001E-2</v>
      </c>
      <c r="F79">
        <f t="shared" si="14"/>
        <v>789.52750000000003</v>
      </c>
      <c r="G79">
        <f t="shared" si="15"/>
        <v>-0.59150000000000003</v>
      </c>
      <c r="H79">
        <f t="shared" si="16"/>
        <v>-467.00551624999997</v>
      </c>
      <c r="I79">
        <v>1</v>
      </c>
      <c r="J79">
        <f t="shared" si="17"/>
        <v>-0.23632061372080532</v>
      </c>
      <c r="K79">
        <f t="shared" si="18"/>
        <v>-0.63022515177521743</v>
      </c>
      <c r="L79">
        <v>1</v>
      </c>
      <c r="M79">
        <f t="shared" si="19"/>
        <v>0.51918060047859615</v>
      </c>
      <c r="N79">
        <f t="shared" si="20"/>
        <v>6.8294128750000002E-2</v>
      </c>
      <c r="O79">
        <f t="shared" si="21"/>
        <v>5.8267129500000001E-2</v>
      </c>
      <c r="P79">
        <f t="shared" si="22"/>
        <v>-1.5516706953378728E-2</v>
      </c>
      <c r="V79">
        <v>1.49999999999997</v>
      </c>
      <c r="W79">
        <f t="shared" si="23"/>
        <v>-0.59477999999999875</v>
      </c>
    </row>
    <row r="80" spans="1:23" x14ac:dyDescent="0.3">
      <c r="A80">
        <v>4.0005923000000001</v>
      </c>
      <c r="B80">
        <v>0.58908000000000005</v>
      </c>
      <c r="C80">
        <f t="shared" si="13"/>
        <v>2.3566689120840003</v>
      </c>
      <c r="D80">
        <v>1.7299999999999999E-2</v>
      </c>
      <c r="E80">
        <v>1.4760000000000001E-2</v>
      </c>
      <c r="F80">
        <f t="shared" si="14"/>
        <v>800.11846000000003</v>
      </c>
      <c r="G80">
        <f t="shared" si="15"/>
        <v>-0.58908000000000005</v>
      </c>
      <c r="H80">
        <f t="shared" si="16"/>
        <v>-471.33378241680009</v>
      </c>
      <c r="I80">
        <v>1</v>
      </c>
      <c r="J80">
        <f t="shared" si="17"/>
        <v>-0.22299548727623048</v>
      </c>
      <c r="K80">
        <f t="shared" si="18"/>
        <v>-0.63264515177521741</v>
      </c>
      <c r="L80">
        <v>1</v>
      </c>
      <c r="M80">
        <f t="shared" si="19"/>
        <v>0.51976077648399288</v>
      </c>
      <c r="N80">
        <f t="shared" si="20"/>
        <v>6.9210246789999999E-2</v>
      </c>
      <c r="O80">
        <f t="shared" si="21"/>
        <v>5.9048742348000005E-2</v>
      </c>
      <c r="P80">
        <f t="shared" si="22"/>
        <v>-1.5374613846775478E-2</v>
      </c>
      <c r="V80">
        <v>1.5999999999999699</v>
      </c>
      <c r="W80">
        <f t="shared" si="23"/>
        <v>-0.59913399999999872</v>
      </c>
    </row>
    <row r="81" spans="1:23" x14ac:dyDescent="0.3">
      <c r="A81">
        <v>4.0540566</v>
      </c>
      <c r="B81">
        <v>0.58652000000000004</v>
      </c>
      <c r="C81">
        <f t="shared" si="13"/>
        <v>2.3777852770320003</v>
      </c>
      <c r="D81">
        <v>1.7299999999999999E-2</v>
      </c>
      <c r="E81">
        <v>1.4760000000000001E-2</v>
      </c>
      <c r="F81">
        <f t="shared" si="14"/>
        <v>810.81132000000002</v>
      </c>
      <c r="G81">
        <f t="shared" si="15"/>
        <v>-0.58652000000000004</v>
      </c>
      <c r="H81">
        <f t="shared" si="16"/>
        <v>-475.55705540640008</v>
      </c>
      <c r="I81">
        <v>1</v>
      </c>
      <c r="J81">
        <f t="shared" si="17"/>
        <v>-0.20971990298226625</v>
      </c>
      <c r="K81">
        <f t="shared" si="18"/>
        <v>-0.63520515177521741</v>
      </c>
      <c r="L81">
        <v>1</v>
      </c>
      <c r="M81">
        <f t="shared" si="19"/>
        <v>0.52033879542415207</v>
      </c>
      <c r="N81">
        <f t="shared" si="20"/>
        <v>7.0135179179999993E-2</v>
      </c>
      <c r="O81">
        <f t="shared" si="21"/>
        <v>5.9837875416000004E-2</v>
      </c>
      <c r="P81">
        <f t="shared" si="22"/>
        <v>-1.5106698244934651E-2</v>
      </c>
      <c r="V81">
        <v>1.69999999999997</v>
      </c>
      <c r="W81">
        <f t="shared" si="23"/>
        <v>-0.60348799999999869</v>
      </c>
    </row>
    <row r="82" spans="1:23" x14ac:dyDescent="0.3">
      <c r="A82">
        <v>4.1059937</v>
      </c>
      <c r="B82">
        <v>0.58396000000000003</v>
      </c>
      <c r="C82">
        <f t="shared" si="13"/>
        <v>2.3977360810520003</v>
      </c>
      <c r="D82">
        <v>1.7299999999999999E-2</v>
      </c>
      <c r="E82">
        <v>1.4760000000000001E-2</v>
      </c>
      <c r="F82">
        <f t="shared" si="14"/>
        <v>821.19874000000004</v>
      </c>
      <c r="G82">
        <f t="shared" si="15"/>
        <v>-0.58396000000000003</v>
      </c>
      <c r="H82">
        <f t="shared" si="16"/>
        <v>-479.54721621040005</v>
      </c>
      <c r="I82">
        <v>1</v>
      </c>
      <c r="J82">
        <f t="shared" si="17"/>
        <v>-0.19699012817852585</v>
      </c>
      <c r="K82">
        <f t="shared" si="18"/>
        <v>-0.63776515177521742</v>
      </c>
      <c r="L82">
        <v>1</v>
      </c>
      <c r="M82">
        <f t="shared" si="19"/>
        <v>0.520893049819107</v>
      </c>
      <c r="N82">
        <f t="shared" si="20"/>
        <v>7.1033691009999997E-2</v>
      </c>
      <c r="O82">
        <f t="shared" si="21"/>
        <v>6.0604467012E-2</v>
      </c>
      <c r="P82">
        <f t="shared" si="22"/>
        <v>-1.4766056065889578E-2</v>
      </c>
      <c r="V82">
        <v>1.7999999999999701</v>
      </c>
      <c r="W82">
        <f t="shared" si="23"/>
        <v>-0.60784199999999866</v>
      </c>
    </row>
    <row r="83" spans="1:23" x14ac:dyDescent="0.3">
      <c r="A83">
        <v>4.1584395000000001</v>
      </c>
      <c r="B83">
        <v>0.58150000000000002</v>
      </c>
      <c r="C83">
        <f t="shared" si="13"/>
        <v>2.41813256925</v>
      </c>
      <c r="D83">
        <v>1.7299999999999999E-2</v>
      </c>
      <c r="E83">
        <v>1.4760000000000001E-2</v>
      </c>
      <c r="F83">
        <f t="shared" si="14"/>
        <v>831.68790000000001</v>
      </c>
      <c r="G83">
        <f t="shared" si="15"/>
        <v>-0.58150000000000002</v>
      </c>
      <c r="H83">
        <f t="shared" si="16"/>
        <v>-483.62651384999998</v>
      </c>
      <c r="I83">
        <v>1</v>
      </c>
      <c r="J83">
        <f t="shared" si="17"/>
        <v>-0.18429802872841544</v>
      </c>
      <c r="K83">
        <f t="shared" si="18"/>
        <v>-0.64022515177521744</v>
      </c>
      <c r="L83">
        <v>1</v>
      </c>
      <c r="M83">
        <f t="shared" si="19"/>
        <v>0.5214456638291648</v>
      </c>
      <c r="N83">
        <f t="shared" si="20"/>
        <v>7.1941003350000005E-2</v>
      </c>
      <c r="O83">
        <f t="shared" si="21"/>
        <v>6.1378567020000004E-2</v>
      </c>
      <c r="P83">
        <f t="shared" si="22"/>
        <v>-1.4540082423947366E-2</v>
      </c>
      <c r="V83">
        <v>1.8999999999999699</v>
      </c>
      <c r="W83">
        <f t="shared" si="23"/>
        <v>-0.61219599999999863</v>
      </c>
    </row>
    <row r="84" spans="1:23" x14ac:dyDescent="0.3">
      <c r="A84">
        <v>4.2113944999999999</v>
      </c>
      <c r="B84">
        <v>0.57903000000000004</v>
      </c>
      <c r="C84">
        <f t="shared" si="13"/>
        <v>2.438523757335</v>
      </c>
      <c r="D84">
        <v>1.7299999999999999E-2</v>
      </c>
      <c r="E84">
        <v>1.4760000000000001E-2</v>
      </c>
      <c r="F84">
        <f t="shared" si="14"/>
        <v>842.27890000000002</v>
      </c>
      <c r="G84">
        <f t="shared" si="15"/>
        <v>-0.57903000000000004</v>
      </c>
      <c r="H84">
        <f t="shared" si="16"/>
        <v>-487.70475146699999</v>
      </c>
      <c r="I84">
        <v>1</v>
      </c>
      <c r="J84">
        <f t="shared" si="17"/>
        <v>-0.1716440844316687</v>
      </c>
      <c r="K84">
        <f t="shared" si="18"/>
        <v>-0.64269515177521741</v>
      </c>
      <c r="L84">
        <v>1</v>
      </c>
      <c r="M84">
        <f t="shared" si="19"/>
        <v>0.52199661656384511</v>
      </c>
      <c r="N84">
        <f t="shared" si="20"/>
        <v>7.2857124849999996E-2</v>
      </c>
      <c r="O84">
        <f t="shared" si="21"/>
        <v>6.216018282E-2</v>
      </c>
      <c r="P84">
        <f t="shared" si="22"/>
        <v>-1.4318772458627692E-2</v>
      </c>
      <c r="V84">
        <v>1.99999999999997</v>
      </c>
      <c r="W84">
        <f t="shared" si="23"/>
        <v>-0.61654999999999871</v>
      </c>
    </row>
    <row r="85" spans="1:23" x14ac:dyDescent="0.3">
      <c r="A85">
        <v>4.2628218000000002</v>
      </c>
      <c r="B85">
        <v>0.57655000000000001</v>
      </c>
      <c r="C85">
        <f t="shared" si="13"/>
        <v>2.4577299087900002</v>
      </c>
      <c r="D85">
        <v>1.7299999999999999E-2</v>
      </c>
      <c r="E85">
        <v>1.4760000000000001E-2</v>
      </c>
      <c r="F85">
        <f t="shared" si="14"/>
        <v>852.56436000000008</v>
      </c>
      <c r="G85">
        <f t="shared" si="15"/>
        <v>-0.57655000000000001</v>
      </c>
      <c r="H85">
        <f t="shared" si="16"/>
        <v>-491.54598175800004</v>
      </c>
      <c r="I85">
        <v>1</v>
      </c>
      <c r="J85">
        <f t="shared" si="17"/>
        <v>-0.1595065770729415</v>
      </c>
      <c r="K85">
        <f t="shared" si="18"/>
        <v>-0.64517515177521745</v>
      </c>
      <c r="L85">
        <v>1</v>
      </c>
      <c r="M85">
        <f t="shared" si="19"/>
        <v>0.5225250836342441</v>
      </c>
      <c r="N85">
        <f t="shared" si="20"/>
        <v>7.3746817140000004E-2</v>
      </c>
      <c r="O85">
        <f t="shared" si="21"/>
        <v>6.2919249768000007E-2</v>
      </c>
      <c r="P85">
        <f t="shared" si="22"/>
        <v>-1.4015998767026666E-2</v>
      </c>
      <c r="V85">
        <v>2.0999999999999699</v>
      </c>
      <c r="W85">
        <f t="shared" si="23"/>
        <v>-0.62090399999999868</v>
      </c>
    </row>
    <row r="86" spans="1:23" x14ac:dyDescent="0.3">
      <c r="A86">
        <v>4.313231</v>
      </c>
      <c r="B86">
        <v>0.57440999999999998</v>
      </c>
      <c r="C86">
        <f t="shared" si="13"/>
        <v>2.4775630187099997</v>
      </c>
      <c r="D86">
        <v>1.7299999999999999E-2</v>
      </c>
      <c r="E86">
        <v>1.4760000000000001E-2</v>
      </c>
      <c r="F86">
        <f t="shared" si="14"/>
        <v>862.64620000000002</v>
      </c>
      <c r="G86">
        <f t="shared" si="15"/>
        <v>-0.57440999999999998</v>
      </c>
      <c r="H86">
        <f t="shared" si="16"/>
        <v>-495.51260374199995</v>
      </c>
      <c r="I86">
        <v>1</v>
      </c>
      <c r="J86">
        <f t="shared" si="17"/>
        <v>-0.14775063719497541</v>
      </c>
      <c r="K86">
        <f t="shared" si="18"/>
        <v>-0.64731515177521748</v>
      </c>
      <c r="L86">
        <v>1</v>
      </c>
      <c r="M86">
        <f t="shared" si="19"/>
        <v>0.52303693725653078</v>
      </c>
      <c r="N86">
        <f t="shared" si="20"/>
        <v>7.4618896300000001E-2</v>
      </c>
      <c r="O86">
        <f t="shared" si="21"/>
        <v>6.3663289560000003E-2</v>
      </c>
      <c r="P86">
        <f t="shared" si="22"/>
        <v>-1.4003971341313301E-2</v>
      </c>
      <c r="V86">
        <v>2.19999999999997</v>
      </c>
      <c r="W86">
        <f t="shared" si="23"/>
        <v>-0.62525799999999865</v>
      </c>
    </row>
    <row r="87" spans="1:23" x14ac:dyDescent="0.3">
      <c r="A87">
        <v>4.3656772000000004</v>
      </c>
      <c r="B87">
        <v>0.57211999999999996</v>
      </c>
      <c r="C87">
        <f t="shared" si="13"/>
        <v>2.4976912396639999</v>
      </c>
      <c r="D87">
        <v>1.7299999999999999E-2</v>
      </c>
      <c r="E87">
        <v>1.4760000000000001E-2</v>
      </c>
      <c r="F87">
        <f t="shared" si="14"/>
        <v>873.13544000000002</v>
      </c>
      <c r="G87">
        <f t="shared" si="15"/>
        <v>-0.57211999999999996</v>
      </c>
      <c r="H87">
        <f t="shared" si="16"/>
        <v>-499.53824793279995</v>
      </c>
      <c r="I87">
        <v>1</v>
      </c>
      <c r="J87">
        <f t="shared" si="17"/>
        <v>-0.13566459199157258</v>
      </c>
      <c r="K87">
        <f t="shared" si="18"/>
        <v>-0.64960515177521749</v>
      </c>
      <c r="L87">
        <v>1</v>
      </c>
      <c r="M87">
        <f t="shared" si="19"/>
        <v>0.52356316366468691</v>
      </c>
      <c r="N87">
        <f t="shared" si="20"/>
        <v>7.5526215559999998E-2</v>
      </c>
      <c r="O87">
        <f t="shared" si="21"/>
        <v>6.4437395472000003E-2</v>
      </c>
      <c r="P87">
        <f t="shared" si="22"/>
        <v>-1.3921622921469423E-2</v>
      </c>
      <c r="V87">
        <v>2.2999999999999701</v>
      </c>
      <c r="W87">
        <f t="shared" si="23"/>
        <v>-0.62961199999999873</v>
      </c>
    </row>
    <row r="88" spans="1:23" x14ac:dyDescent="0.3">
      <c r="A88">
        <v>4.4171044999999998</v>
      </c>
      <c r="B88">
        <v>0.56962000000000002</v>
      </c>
      <c r="C88">
        <f t="shared" si="13"/>
        <v>2.5160710652899998</v>
      </c>
      <c r="D88">
        <v>1.7299999999999999E-2</v>
      </c>
      <c r="E88">
        <v>1.4760000000000001E-2</v>
      </c>
      <c r="F88">
        <f t="shared" si="14"/>
        <v>883.42089999999996</v>
      </c>
      <c r="G88">
        <f t="shared" si="15"/>
        <v>-0.56962000000000002</v>
      </c>
      <c r="H88">
        <f t="shared" si="16"/>
        <v>-503.21421305799998</v>
      </c>
      <c r="I88">
        <v>1</v>
      </c>
      <c r="J88">
        <f t="shared" si="17"/>
        <v>-0.1239535215077667</v>
      </c>
      <c r="K88">
        <f t="shared" si="18"/>
        <v>-0.65210515177521744</v>
      </c>
      <c r="L88">
        <v>1</v>
      </c>
      <c r="M88">
        <f t="shared" si="19"/>
        <v>0.52407306367355189</v>
      </c>
      <c r="N88">
        <f t="shared" si="20"/>
        <v>7.6415907849999992E-2</v>
      </c>
      <c r="O88">
        <f t="shared" si="21"/>
        <v>6.5196462420000004E-2</v>
      </c>
      <c r="P88">
        <f t="shared" si="22"/>
        <v>-1.3580282168334443E-2</v>
      </c>
      <c r="V88">
        <v>2.3999999999999702</v>
      </c>
      <c r="W88">
        <f t="shared" si="23"/>
        <v>-0.6339659999999987</v>
      </c>
    </row>
    <row r="89" spans="1:23" x14ac:dyDescent="0.3">
      <c r="A89">
        <v>4.4690409999999998</v>
      </c>
      <c r="B89">
        <v>0.56716</v>
      </c>
      <c r="C89">
        <f t="shared" si="13"/>
        <v>2.5346612935599997</v>
      </c>
      <c r="D89">
        <v>1.7299999999999999E-2</v>
      </c>
      <c r="E89">
        <v>1.4760000000000001E-2</v>
      </c>
      <c r="F89">
        <f t="shared" si="14"/>
        <v>893.80819999999994</v>
      </c>
      <c r="G89">
        <f t="shared" si="15"/>
        <v>-0.56716</v>
      </c>
      <c r="H89">
        <f t="shared" si="16"/>
        <v>-506.93225871199996</v>
      </c>
      <c r="I89">
        <v>1</v>
      </c>
      <c r="J89">
        <f t="shared" si="17"/>
        <v>-0.11226406821294313</v>
      </c>
      <c r="K89">
        <f t="shared" si="18"/>
        <v>-0.65456515177521746</v>
      </c>
      <c r="L89">
        <v>1</v>
      </c>
      <c r="M89">
        <f t="shared" si="19"/>
        <v>0.5245820224700084</v>
      </c>
      <c r="N89">
        <f t="shared" si="20"/>
        <v>7.7314409299999998E-2</v>
      </c>
      <c r="O89">
        <f t="shared" si="21"/>
        <v>6.5963045159999997E-2</v>
      </c>
      <c r="P89">
        <f t="shared" si="22"/>
        <v>-1.329432515479094E-2</v>
      </c>
      <c r="V89">
        <v>2.4999999999999698</v>
      </c>
      <c r="W89">
        <f t="shared" si="23"/>
        <v>-0.63831999999999867</v>
      </c>
    </row>
    <row r="90" spans="1:23" x14ac:dyDescent="0.3">
      <c r="A90">
        <v>4.5214873000000004</v>
      </c>
      <c r="B90">
        <v>0.56486999999999998</v>
      </c>
      <c r="C90">
        <f t="shared" si="13"/>
        <v>2.5540525311510001</v>
      </c>
      <c r="D90">
        <v>1.7299999999999999E-2</v>
      </c>
      <c r="E90">
        <v>1.4760000000000001E-2</v>
      </c>
      <c r="F90">
        <f t="shared" si="14"/>
        <v>904.29746000000011</v>
      </c>
      <c r="G90">
        <f t="shared" si="15"/>
        <v>-0.56486999999999998</v>
      </c>
      <c r="H90">
        <f t="shared" si="16"/>
        <v>-510.81050623020002</v>
      </c>
      <c r="I90">
        <v>1</v>
      </c>
      <c r="J90">
        <f t="shared" si="17"/>
        <v>-0.10059692404203575</v>
      </c>
      <c r="K90">
        <f t="shared" si="18"/>
        <v>-0.65685515177521747</v>
      </c>
      <c r="L90">
        <v>1</v>
      </c>
      <c r="M90">
        <f t="shared" si="19"/>
        <v>0.52509000992720978</v>
      </c>
      <c r="N90">
        <f t="shared" si="20"/>
        <v>7.8221730289999999E-2</v>
      </c>
      <c r="O90">
        <f t="shared" si="21"/>
        <v>6.6737152548000014E-2</v>
      </c>
      <c r="P90">
        <f t="shared" si="22"/>
        <v>-1.319374098999232E-2</v>
      </c>
      <c r="V90">
        <v>2.5999999999999699</v>
      </c>
      <c r="W90">
        <f t="shared" si="23"/>
        <v>-0.64267399999999864</v>
      </c>
    </row>
    <row r="91" spans="1:23" x14ac:dyDescent="0.3">
      <c r="A91">
        <v>4.5718965000000003</v>
      </c>
      <c r="B91">
        <v>0.56247999999999998</v>
      </c>
      <c r="C91">
        <f t="shared" si="13"/>
        <v>2.5716003433200001</v>
      </c>
      <c r="D91">
        <v>1.7299999999999999E-2</v>
      </c>
      <c r="E91">
        <v>1.4760000000000001E-2</v>
      </c>
      <c r="F91">
        <f t="shared" si="14"/>
        <v>914.37930000000006</v>
      </c>
      <c r="G91">
        <f t="shared" si="15"/>
        <v>-0.56247999999999998</v>
      </c>
      <c r="H91">
        <f t="shared" si="16"/>
        <v>-514.32006866400002</v>
      </c>
      <c r="I91">
        <v>1</v>
      </c>
      <c r="J91">
        <f t="shared" si="17"/>
        <v>-8.9509804553050493E-2</v>
      </c>
      <c r="K91">
        <f t="shared" si="18"/>
        <v>-0.65924515177521747</v>
      </c>
      <c r="L91">
        <v>1</v>
      </c>
      <c r="M91">
        <f t="shared" si="19"/>
        <v>0.52557274310976021</v>
      </c>
      <c r="N91">
        <f t="shared" si="20"/>
        <v>7.9093809449999997E-2</v>
      </c>
      <c r="O91">
        <f t="shared" si="21"/>
        <v>6.748119234000001E-2</v>
      </c>
      <c r="P91">
        <f t="shared" si="22"/>
        <v>-1.2902593124542741E-2</v>
      </c>
      <c r="V91">
        <v>2.69999999999997</v>
      </c>
      <c r="W91">
        <f t="shared" si="23"/>
        <v>-0.64702799999999872</v>
      </c>
    </row>
    <row r="92" spans="1:23" x14ac:dyDescent="0.3">
      <c r="A92">
        <v>4.6233237000000003</v>
      </c>
      <c r="B92">
        <v>0.56005000000000005</v>
      </c>
      <c r="C92">
        <f t="shared" si="13"/>
        <v>2.5892924381850002</v>
      </c>
      <c r="D92">
        <v>1.7299999999999999E-2</v>
      </c>
      <c r="E92">
        <v>1.4760000000000001E-2</v>
      </c>
      <c r="F92">
        <f t="shared" si="14"/>
        <v>924.66474000000005</v>
      </c>
      <c r="G92">
        <f t="shared" si="15"/>
        <v>-0.56005000000000005</v>
      </c>
      <c r="H92">
        <f t="shared" si="16"/>
        <v>-517.85848763700005</v>
      </c>
      <c r="I92">
        <v>1</v>
      </c>
      <c r="J92">
        <f t="shared" si="17"/>
        <v>-7.8324050411382393E-2</v>
      </c>
      <c r="K92">
        <f t="shared" si="18"/>
        <v>-0.66167515177521741</v>
      </c>
      <c r="L92">
        <v>1</v>
      </c>
      <c r="M92">
        <f t="shared" si="19"/>
        <v>0.52605977084508837</v>
      </c>
      <c r="N92">
        <f t="shared" si="20"/>
        <v>7.998350001E-2</v>
      </c>
      <c r="O92">
        <f t="shared" si="21"/>
        <v>6.8240257812000008E-2</v>
      </c>
      <c r="P92">
        <f t="shared" si="22"/>
        <v>-1.260837689187097E-2</v>
      </c>
      <c r="V92">
        <v>2.7999999999999701</v>
      </c>
      <c r="W92">
        <f t="shared" si="23"/>
        <v>-0.65138199999999868</v>
      </c>
    </row>
    <row r="93" spans="1:23" x14ac:dyDescent="0.3">
      <c r="A93">
        <v>4.6737329000000001</v>
      </c>
      <c r="B93">
        <v>0.55794999999999995</v>
      </c>
      <c r="C93">
        <f t="shared" si="13"/>
        <v>2.6077092715549997</v>
      </c>
      <c r="D93">
        <v>1.7299999999999999E-2</v>
      </c>
      <c r="E93">
        <v>1.4760000000000001E-2</v>
      </c>
      <c r="F93">
        <f t="shared" si="14"/>
        <v>934.74657999999999</v>
      </c>
      <c r="G93">
        <f t="shared" si="15"/>
        <v>-0.55794999999999995</v>
      </c>
      <c r="H93">
        <f t="shared" si="16"/>
        <v>-521.54185431099995</v>
      </c>
      <c r="I93">
        <v>1</v>
      </c>
      <c r="J93">
        <f t="shared" si="17"/>
        <v>-6.7479823863888497E-2</v>
      </c>
      <c r="K93">
        <f t="shared" si="18"/>
        <v>-0.66377515177521751</v>
      </c>
      <c r="L93">
        <v>1</v>
      </c>
      <c r="M93">
        <f t="shared" si="19"/>
        <v>0.52653192846896624</v>
      </c>
      <c r="N93">
        <f t="shared" si="20"/>
        <v>8.0855579169999997E-2</v>
      </c>
      <c r="O93">
        <f t="shared" si="21"/>
        <v>6.8984297604000003E-2</v>
      </c>
      <c r="P93">
        <f t="shared" si="22"/>
        <v>-1.2596653467748728E-2</v>
      </c>
      <c r="V93">
        <v>2.8999999999999702</v>
      </c>
      <c r="W93">
        <f t="shared" si="23"/>
        <v>-0.65573599999999876</v>
      </c>
    </row>
    <row r="94" spans="1:23" x14ac:dyDescent="0.3">
      <c r="A94">
        <v>4.7287251000000001</v>
      </c>
      <c r="B94">
        <v>0.55537999999999998</v>
      </c>
      <c r="C94">
        <f t="shared" si="13"/>
        <v>2.626239346038</v>
      </c>
      <c r="D94">
        <v>1.7299999999999999E-2</v>
      </c>
      <c r="E94">
        <v>1.4760000000000001E-2</v>
      </c>
      <c r="F94">
        <f t="shared" si="14"/>
        <v>945.74502000000007</v>
      </c>
      <c r="G94">
        <f t="shared" si="15"/>
        <v>-0.55537999999999998</v>
      </c>
      <c r="H94">
        <f t="shared" si="16"/>
        <v>-525.24786920760005</v>
      </c>
      <c r="I94">
        <v>1</v>
      </c>
      <c r="J94">
        <f t="shared" si="17"/>
        <v>-5.5782281145034897E-2</v>
      </c>
      <c r="K94">
        <f t="shared" si="18"/>
        <v>-0.66634515177521747</v>
      </c>
      <c r="L94">
        <v>1</v>
      </c>
      <c r="M94">
        <f t="shared" si="19"/>
        <v>0.52704123947894521</v>
      </c>
      <c r="N94">
        <f t="shared" si="20"/>
        <v>8.1806944229999998E-2</v>
      </c>
      <c r="O94">
        <f t="shared" si="21"/>
        <v>6.979598247600001E-2</v>
      </c>
      <c r="P94">
        <f t="shared" si="22"/>
        <v>-1.2299014409727749E-2</v>
      </c>
      <c r="V94">
        <v>2.9999999999999698</v>
      </c>
      <c r="W94">
        <f t="shared" si="23"/>
        <v>-0.66008999999999873</v>
      </c>
    </row>
    <row r="95" spans="1:23" x14ac:dyDescent="0.3">
      <c r="A95">
        <v>4.7791342999999999</v>
      </c>
      <c r="B95">
        <v>0.55305000000000004</v>
      </c>
      <c r="C95">
        <f t="shared" si="13"/>
        <v>2.6431002246150004</v>
      </c>
      <c r="D95">
        <v>1.7299999999999999E-2</v>
      </c>
      <c r="E95">
        <v>1.4760000000000001E-2</v>
      </c>
      <c r="F95">
        <f t="shared" si="14"/>
        <v>955.82686000000001</v>
      </c>
      <c r="G95">
        <f t="shared" si="15"/>
        <v>-0.55305000000000004</v>
      </c>
      <c r="H95">
        <f t="shared" si="16"/>
        <v>-528.62004492300002</v>
      </c>
      <c r="I95">
        <v>1</v>
      </c>
      <c r="J95">
        <f t="shared" si="17"/>
        <v>-4.5178491119523295E-2</v>
      </c>
      <c r="K95">
        <f t="shared" si="18"/>
        <v>-0.66867515177521741</v>
      </c>
      <c r="L95">
        <v>1</v>
      </c>
      <c r="M95">
        <f t="shared" si="19"/>
        <v>0.52750292849665592</v>
      </c>
      <c r="N95">
        <f t="shared" si="20"/>
        <v>8.2679023389999995E-2</v>
      </c>
      <c r="O95">
        <f t="shared" si="21"/>
        <v>7.0540022268000005E-2</v>
      </c>
      <c r="P95">
        <f t="shared" si="22"/>
        <v>-1.2046822379438507E-2</v>
      </c>
      <c r="V95">
        <v>3.0999999999999699</v>
      </c>
      <c r="W95">
        <f t="shared" si="23"/>
        <v>-0.6644439999999987</v>
      </c>
    </row>
    <row r="96" spans="1:23" x14ac:dyDescent="0.3">
      <c r="A96">
        <v>4.8295430000000001</v>
      </c>
      <c r="B96">
        <v>0.55069999999999997</v>
      </c>
      <c r="C96">
        <f t="shared" si="13"/>
        <v>2.6596293301</v>
      </c>
      <c r="D96">
        <v>1.7299999999999999E-2</v>
      </c>
      <c r="E96">
        <v>1.4760000000000001E-2</v>
      </c>
      <c r="F96">
        <f t="shared" si="14"/>
        <v>965.90859999999998</v>
      </c>
      <c r="G96">
        <f t="shared" si="15"/>
        <v>-0.55069999999999997</v>
      </c>
      <c r="H96">
        <f t="shared" si="16"/>
        <v>-531.92586602000006</v>
      </c>
      <c r="I96">
        <v>1</v>
      </c>
      <c r="J96">
        <f t="shared" si="17"/>
        <v>-3.4686066223313279E-2</v>
      </c>
      <c r="K96">
        <f t="shared" si="18"/>
        <v>-0.67102515177521749</v>
      </c>
      <c r="L96">
        <v>1</v>
      </c>
      <c r="M96">
        <f t="shared" si="19"/>
        <v>0.52795976867663696</v>
      </c>
      <c r="N96">
        <f t="shared" si="20"/>
        <v>8.3551093899999998E-2</v>
      </c>
      <c r="O96">
        <f t="shared" si="21"/>
        <v>7.128405468E-2</v>
      </c>
      <c r="P96">
        <f t="shared" si="22"/>
        <v>-1.1769765481419475E-2</v>
      </c>
      <c r="V96">
        <v>3.19999999999997</v>
      </c>
      <c r="W96">
        <f t="shared" si="23"/>
        <v>-0.66879799999999867</v>
      </c>
    </row>
    <row r="97" spans="1:23" x14ac:dyDescent="0.3">
      <c r="A97">
        <v>4.8799520999999997</v>
      </c>
      <c r="B97">
        <v>0.54842999999999997</v>
      </c>
      <c r="C97">
        <f t="shared" si="13"/>
        <v>2.6763121302029997</v>
      </c>
      <c r="D97">
        <v>1.7299999999999999E-2</v>
      </c>
      <c r="E97">
        <v>1.4760000000000001E-2</v>
      </c>
      <c r="F97">
        <f t="shared" si="14"/>
        <v>975.99041999999997</v>
      </c>
      <c r="G97">
        <f t="shared" si="15"/>
        <v>-0.54842999999999997</v>
      </c>
      <c r="H97">
        <f t="shared" si="16"/>
        <v>-535.26242604059996</v>
      </c>
      <c r="I97">
        <v>1</v>
      </c>
      <c r="J97">
        <f t="shared" si="17"/>
        <v>-2.430250819098809E-2</v>
      </c>
      <c r="K97">
        <f t="shared" si="18"/>
        <v>-0.67329515177521748</v>
      </c>
      <c r="L97">
        <v>1</v>
      </c>
      <c r="M97">
        <f t="shared" si="19"/>
        <v>0.52841186879336433</v>
      </c>
      <c r="N97">
        <f t="shared" si="20"/>
        <v>8.4423171329999991E-2</v>
      </c>
      <c r="O97">
        <f t="shared" si="21"/>
        <v>7.2028092995999993E-2</v>
      </c>
      <c r="P97">
        <f t="shared" si="22"/>
        <v>-1.1567981344146827E-2</v>
      </c>
      <c r="V97">
        <v>3.2999999999999701</v>
      </c>
      <c r="W97">
        <f t="shared" si="23"/>
        <v>-0.67315199999999864</v>
      </c>
    </row>
    <row r="98" spans="1:23" x14ac:dyDescent="0.3">
      <c r="A98">
        <v>4.9313798999999996</v>
      </c>
      <c r="B98">
        <v>0.54605999999999999</v>
      </c>
      <c r="C98">
        <f t="shared" si="13"/>
        <v>2.6928293081939998</v>
      </c>
      <c r="D98">
        <v>1.7299999999999999E-2</v>
      </c>
      <c r="E98">
        <v>1.4760000000000001E-2</v>
      </c>
      <c r="F98">
        <f t="shared" si="14"/>
        <v>986.27597999999989</v>
      </c>
      <c r="G98">
        <f t="shared" si="15"/>
        <v>-0.54605999999999999</v>
      </c>
      <c r="H98">
        <f t="shared" si="16"/>
        <v>-538.56586163880002</v>
      </c>
      <c r="I98">
        <v>1</v>
      </c>
      <c r="J98">
        <f t="shared" si="17"/>
        <v>-1.3819064963679717E-2</v>
      </c>
      <c r="K98">
        <f t="shared" si="18"/>
        <v>-0.67566515177521747</v>
      </c>
      <c r="L98">
        <v>1</v>
      </c>
      <c r="M98">
        <f t="shared" si="19"/>
        <v>0.52886831791148137</v>
      </c>
      <c r="N98">
        <f t="shared" si="20"/>
        <v>8.5312872269999993E-2</v>
      </c>
      <c r="O98">
        <f t="shared" si="21"/>
        <v>7.2787167323999993E-2</v>
      </c>
      <c r="P98">
        <f t="shared" si="22"/>
        <v>-1.1303205730263888E-2</v>
      </c>
      <c r="V98">
        <v>3.3999999999999702</v>
      </c>
      <c r="W98">
        <f t="shared" si="23"/>
        <v>-0.67750599999999872</v>
      </c>
    </row>
    <row r="99" spans="1:23" x14ac:dyDescent="0.3">
      <c r="A99">
        <v>4.9817891000000003</v>
      </c>
      <c r="B99">
        <v>0.54391999999999996</v>
      </c>
      <c r="C99">
        <f t="shared" si="13"/>
        <v>2.7096947272719998</v>
      </c>
      <c r="D99">
        <v>1.7299999999999999E-2</v>
      </c>
      <c r="E99">
        <v>1.4760000000000001E-2</v>
      </c>
      <c r="F99">
        <f t="shared" si="14"/>
        <v>996.35782000000006</v>
      </c>
      <c r="G99">
        <f t="shared" si="15"/>
        <v>-0.54391999999999996</v>
      </c>
      <c r="H99">
        <f t="shared" si="16"/>
        <v>-541.93894545439991</v>
      </c>
      <c r="I99">
        <v>1</v>
      </c>
      <c r="J99">
        <f t="shared" si="17"/>
        <v>-3.6488288867806856E-3</v>
      </c>
      <c r="K99">
        <f t="shared" si="18"/>
        <v>-0.6778051517752175</v>
      </c>
      <c r="L99">
        <v>1</v>
      </c>
      <c r="M99">
        <f t="shared" si="19"/>
        <v>0.52931112999026952</v>
      </c>
      <c r="N99">
        <f t="shared" si="20"/>
        <v>8.6184951430000004E-2</v>
      </c>
      <c r="O99">
        <f t="shared" si="21"/>
        <v>7.3531207116000002E-2</v>
      </c>
      <c r="P99">
        <f t="shared" si="22"/>
        <v>-1.1222136761052035E-2</v>
      </c>
      <c r="V99">
        <v>3.4999999999999698</v>
      </c>
      <c r="W99">
        <f t="shared" si="23"/>
        <v>-0.68185999999999869</v>
      </c>
    </row>
    <row r="100" spans="1:23" x14ac:dyDescent="0.3">
      <c r="A100">
        <v>5.0372896000000003</v>
      </c>
      <c r="B100">
        <v>0.54142000000000001</v>
      </c>
      <c r="C100">
        <f t="shared" si="13"/>
        <v>2.7272893352320002</v>
      </c>
      <c r="D100">
        <v>1.7299999999999999E-2</v>
      </c>
      <c r="E100">
        <v>1.4760000000000001E-2</v>
      </c>
      <c r="F100">
        <f t="shared" si="14"/>
        <v>1007.4579200000001</v>
      </c>
      <c r="G100">
        <f t="shared" si="15"/>
        <v>-0.54142000000000001</v>
      </c>
      <c r="H100">
        <f t="shared" si="16"/>
        <v>-545.4578670464</v>
      </c>
      <c r="I100">
        <v>1</v>
      </c>
      <c r="J100">
        <f t="shared" si="17"/>
        <v>7.4302472170663849E-3</v>
      </c>
      <c r="K100">
        <f t="shared" si="18"/>
        <v>-0.68030515177521744</v>
      </c>
      <c r="L100">
        <v>1</v>
      </c>
      <c r="M100">
        <f t="shared" si="19"/>
        <v>0.52979351296383104</v>
      </c>
      <c r="N100">
        <f t="shared" si="20"/>
        <v>8.7145110080000004E-2</v>
      </c>
      <c r="O100">
        <f t="shared" si="21"/>
        <v>7.4350394496000005E-2</v>
      </c>
      <c r="P100">
        <f t="shared" si="22"/>
        <v>-1.0983865764613604E-2</v>
      </c>
      <c r="V100">
        <v>3.5999999999999699</v>
      </c>
      <c r="W100">
        <f t="shared" ref="W100:W131" si="24">V100*$S$5+$S$4</f>
        <v>-0.68621399999999866</v>
      </c>
    </row>
    <row r="101" spans="1:23" x14ac:dyDescent="0.3">
      <c r="A101">
        <v>5.0897357999999997</v>
      </c>
      <c r="B101">
        <v>0.53893999999999997</v>
      </c>
      <c r="C101">
        <f t="shared" si="13"/>
        <v>2.7430622120519996</v>
      </c>
      <c r="D101">
        <v>1.7299999999999999E-2</v>
      </c>
      <c r="E101">
        <v>1.4760000000000001E-2</v>
      </c>
      <c r="F101">
        <f t="shared" si="14"/>
        <v>1017.9471599999999</v>
      </c>
      <c r="G101">
        <f t="shared" si="15"/>
        <v>-0.53893999999999997</v>
      </c>
      <c r="H101">
        <f t="shared" si="16"/>
        <v>-548.61244241039992</v>
      </c>
      <c r="I101">
        <v>1</v>
      </c>
      <c r="J101">
        <f t="shared" si="17"/>
        <v>1.7788011083737551E-2</v>
      </c>
      <c r="K101">
        <f t="shared" si="18"/>
        <v>-0.68278515177521748</v>
      </c>
      <c r="L101">
        <v>1</v>
      </c>
      <c r="M101">
        <f t="shared" si="19"/>
        <v>0.53024449000258589</v>
      </c>
      <c r="N101">
        <f t="shared" si="20"/>
        <v>8.8052429339999988E-2</v>
      </c>
      <c r="O101">
        <f t="shared" si="21"/>
        <v>7.5124500407999992E-2</v>
      </c>
      <c r="P101">
        <f t="shared" si="22"/>
        <v>-1.0636267975368388E-2</v>
      </c>
      <c r="V101">
        <v>3.69999999999997</v>
      </c>
      <c r="W101">
        <f t="shared" si="24"/>
        <v>-0.69056799999999874</v>
      </c>
    </row>
    <row r="102" spans="1:23" x14ac:dyDescent="0.3">
      <c r="A102">
        <v>5.1411631</v>
      </c>
      <c r="B102">
        <v>0.53678000000000003</v>
      </c>
      <c r="C102">
        <f t="shared" si="13"/>
        <v>2.7596735288180003</v>
      </c>
      <c r="D102">
        <v>1.7299999999999999E-2</v>
      </c>
      <c r="E102">
        <v>1.4760000000000001E-2</v>
      </c>
      <c r="F102">
        <f t="shared" si="14"/>
        <v>1028.23262</v>
      </c>
      <c r="G102">
        <f t="shared" si="15"/>
        <v>-0.53678000000000003</v>
      </c>
      <c r="H102">
        <f t="shared" si="16"/>
        <v>-551.93470576360005</v>
      </c>
      <c r="I102">
        <v>1</v>
      </c>
      <c r="J102">
        <f t="shared" si="17"/>
        <v>2.7841425481292714E-2</v>
      </c>
      <c r="K102">
        <f t="shared" si="18"/>
        <v>-0.68494515177521742</v>
      </c>
      <c r="L102">
        <v>1</v>
      </c>
      <c r="M102">
        <f t="shared" si="19"/>
        <v>0.53068221566545548</v>
      </c>
      <c r="N102">
        <f t="shared" si="20"/>
        <v>8.8942121629999996E-2</v>
      </c>
      <c r="O102">
        <f t="shared" si="21"/>
        <v>7.5883567356000006E-2</v>
      </c>
      <c r="P102">
        <f t="shared" si="22"/>
        <v>-1.0562752876238063E-2</v>
      </c>
      <c r="V102">
        <v>3.7999999999999701</v>
      </c>
      <c r="W102">
        <f t="shared" si="24"/>
        <v>-0.69492199999999871</v>
      </c>
    </row>
    <row r="103" spans="1:23" x14ac:dyDescent="0.3">
      <c r="A103">
        <v>5.1920814999999996</v>
      </c>
      <c r="B103">
        <v>0.53444999999999998</v>
      </c>
      <c r="C103">
        <f t="shared" si="13"/>
        <v>2.7749079576749995</v>
      </c>
      <c r="D103">
        <v>1.7299999999999999E-2</v>
      </c>
      <c r="E103">
        <v>1.4760000000000001E-2</v>
      </c>
      <c r="F103">
        <f t="shared" si="14"/>
        <v>1038.4162999999999</v>
      </c>
      <c r="G103">
        <f t="shared" si="15"/>
        <v>-0.53444999999999998</v>
      </c>
      <c r="H103">
        <f t="shared" si="16"/>
        <v>-554.98159153499989</v>
      </c>
      <c r="I103">
        <v>1</v>
      </c>
      <c r="J103">
        <f t="shared" si="17"/>
        <v>3.7696764070990596E-2</v>
      </c>
      <c r="K103">
        <f t="shared" si="18"/>
        <v>-0.68727515177521747</v>
      </c>
      <c r="L103">
        <v>1</v>
      </c>
      <c r="M103">
        <f t="shared" si="19"/>
        <v>0.53111131710765092</v>
      </c>
      <c r="N103">
        <f t="shared" si="20"/>
        <v>8.9823009949999991E-2</v>
      </c>
      <c r="O103">
        <f t="shared" si="21"/>
        <v>7.6635122939999994E-2</v>
      </c>
      <c r="P103">
        <f t="shared" si="22"/>
        <v>-1.0294298222433426E-2</v>
      </c>
      <c r="V103">
        <v>3.8999999999999599</v>
      </c>
      <c r="W103">
        <f t="shared" si="24"/>
        <v>-0.69927599999999823</v>
      </c>
    </row>
    <row r="104" spans="1:23" x14ac:dyDescent="0.3">
      <c r="A104">
        <v>5.2435093000000004</v>
      </c>
      <c r="B104">
        <v>0.53229000000000004</v>
      </c>
      <c r="C104">
        <f t="shared" si="13"/>
        <v>2.7910675652970003</v>
      </c>
      <c r="D104">
        <v>1.7299999999999999E-2</v>
      </c>
      <c r="E104">
        <v>1.4760000000000001E-2</v>
      </c>
      <c r="F104">
        <f t="shared" si="14"/>
        <v>1048.7018600000001</v>
      </c>
      <c r="G104">
        <f t="shared" si="15"/>
        <v>-0.53229000000000004</v>
      </c>
      <c r="H104">
        <f t="shared" si="16"/>
        <v>-558.21351305940004</v>
      </c>
      <c r="I104">
        <v>1</v>
      </c>
      <c r="J104">
        <f t="shared" si="17"/>
        <v>4.7553075481137179E-2</v>
      </c>
      <c r="K104">
        <f t="shared" si="18"/>
        <v>-0.68943515177521741</v>
      </c>
      <c r="L104">
        <v>1</v>
      </c>
      <c r="M104">
        <f t="shared" si="19"/>
        <v>0.53154046090644869</v>
      </c>
      <c r="N104">
        <f t="shared" si="20"/>
        <v>9.0712710890000006E-2</v>
      </c>
      <c r="O104">
        <f t="shared" si="21"/>
        <v>7.7394197268000009E-2</v>
      </c>
      <c r="P104">
        <f t="shared" si="22"/>
        <v>-1.0212217289231287E-2</v>
      </c>
      <c r="V104">
        <v>3.99999999999996</v>
      </c>
      <c r="W104">
        <f t="shared" si="24"/>
        <v>-0.7036299999999982</v>
      </c>
    </row>
    <row r="105" spans="1:23" x14ac:dyDescent="0.3">
      <c r="A105">
        <v>5.2990098000000003</v>
      </c>
      <c r="B105">
        <v>0.52983000000000002</v>
      </c>
      <c r="C105">
        <f t="shared" si="13"/>
        <v>2.8075743623340004</v>
      </c>
      <c r="D105">
        <v>1.7299999999999999E-2</v>
      </c>
      <c r="E105">
        <v>1.4760000000000001E-2</v>
      </c>
      <c r="F105">
        <f t="shared" si="14"/>
        <v>1059.80196</v>
      </c>
      <c r="G105">
        <f t="shared" si="15"/>
        <v>-0.52983000000000002</v>
      </c>
      <c r="H105">
        <f t="shared" si="16"/>
        <v>-561.51487246680006</v>
      </c>
      <c r="I105">
        <v>1</v>
      </c>
      <c r="J105">
        <f t="shared" si="17"/>
        <v>5.8082060480362657E-2</v>
      </c>
      <c r="K105">
        <f t="shared" si="18"/>
        <v>-0.69189515177521743</v>
      </c>
      <c r="L105">
        <v>1</v>
      </c>
      <c r="M105">
        <f t="shared" si="19"/>
        <v>0.53199889291331504</v>
      </c>
      <c r="N105">
        <f t="shared" si="20"/>
        <v>9.1672869540000007E-2</v>
      </c>
      <c r="O105">
        <f t="shared" si="21"/>
        <v>7.8213384648000012E-2</v>
      </c>
      <c r="P105">
        <f t="shared" si="22"/>
        <v>-9.9899953260976226E-3</v>
      </c>
      <c r="V105">
        <v>4.0999999999999996</v>
      </c>
      <c r="W105">
        <f t="shared" si="24"/>
        <v>-0.70798399999999995</v>
      </c>
    </row>
    <row r="106" spans="1:23" x14ac:dyDescent="0.3">
      <c r="A106">
        <v>5.3509472999999996</v>
      </c>
      <c r="B106">
        <v>0.52732999999999997</v>
      </c>
      <c r="C106">
        <f t="shared" si="13"/>
        <v>2.8217150397089998</v>
      </c>
      <c r="D106">
        <v>1.7299999999999999E-2</v>
      </c>
      <c r="E106">
        <v>1.4760000000000001E-2</v>
      </c>
      <c r="F106">
        <f t="shared" si="14"/>
        <v>1070.1894599999998</v>
      </c>
      <c r="G106">
        <f t="shared" si="15"/>
        <v>-0.52732999999999997</v>
      </c>
      <c r="H106">
        <f t="shared" si="16"/>
        <v>-564.34300794180001</v>
      </c>
      <c r="I106">
        <v>1</v>
      </c>
      <c r="J106">
        <f t="shared" si="17"/>
        <v>6.7835698220144125E-2</v>
      </c>
      <c r="K106">
        <f t="shared" si="18"/>
        <v>-0.69439515177521749</v>
      </c>
      <c r="L106">
        <v>1</v>
      </c>
      <c r="M106">
        <f t="shared" si="19"/>
        <v>0.53242356630050502</v>
      </c>
      <c r="N106">
        <f t="shared" si="20"/>
        <v>9.2571388289999987E-2</v>
      </c>
      <c r="O106">
        <f t="shared" si="21"/>
        <v>7.8979982147999991E-2</v>
      </c>
      <c r="P106">
        <f t="shared" si="22"/>
        <v>-9.5797849632875132E-3</v>
      </c>
      <c r="V106">
        <v>4.2</v>
      </c>
      <c r="W106">
        <f t="shared" si="24"/>
        <v>-0.71233800000000003</v>
      </c>
    </row>
    <row r="107" spans="1:23" x14ac:dyDescent="0.3">
      <c r="A107">
        <v>5.402374</v>
      </c>
      <c r="B107">
        <v>0.52488999999999997</v>
      </c>
      <c r="C107">
        <f t="shared" si="13"/>
        <v>2.8356520888599999</v>
      </c>
      <c r="D107">
        <v>1.7299999999999999E-2</v>
      </c>
      <c r="E107">
        <v>1.4760000000000001E-2</v>
      </c>
      <c r="F107">
        <f t="shared" si="14"/>
        <v>1080.4748</v>
      </c>
      <c r="G107">
        <f t="shared" si="15"/>
        <v>-0.52488999999999997</v>
      </c>
      <c r="H107">
        <f t="shared" si="16"/>
        <v>-567.13041777199999</v>
      </c>
      <c r="I107">
        <v>1</v>
      </c>
      <c r="J107">
        <f t="shared" si="17"/>
        <v>7.7400574156965982E-2</v>
      </c>
      <c r="K107">
        <f t="shared" si="18"/>
        <v>-0.69683515177521749</v>
      </c>
      <c r="L107">
        <v>1</v>
      </c>
      <c r="M107">
        <f t="shared" si="19"/>
        <v>0.53284002099879435</v>
      </c>
      <c r="N107">
        <f t="shared" si="20"/>
        <v>9.3461070199999996E-2</v>
      </c>
      <c r="O107">
        <f t="shared" si="21"/>
        <v>7.9739040240000003E-2</v>
      </c>
      <c r="P107">
        <f t="shared" si="22"/>
        <v>-9.2049796635768621E-3</v>
      </c>
      <c r="V107">
        <v>4.3</v>
      </c>
      <c r="W107">
        <f t="shared" si="24"/>
        <v>-0.716692</v>
      </c>
    </row>
    <row r="108" spans="1:23" x14ac:dyDescent="0.3">
      <c r="A108">
        <v>5.4548198000000001</v>
      </c>
      <c r="B108">
        <v>0.52271000000000001</v>
      </c>
      <c r="C108">
        <f t="shared" si="13"/>
        <v>2.851288857658</v>
      </c>
      <c r="D108">
        <v>1.7299999999999999E-2</v>
      </c>
      <c r="E108">
        <v>1.4760000000000001E-2</v>
      </c>
      <c r="F108">
        <f t="shared" si="14"/>
        <v>1090.96396</v>
      </c>
      <c r="G108">
        <f t="shared" si="15"/>
        <v>-0.52271000000000001</v>
      </c>
      <c r="H108">
        <f t="shared" si="16"/>
        <v>-570.25777153160004</v>
      </c>
      <c r="I108">
        <v>1</v>
      </c>
      <c r="J108">
        <f t="shared" si="17"/>
        <v>8.7061672391461564E-2</v>
      </c>
      <c r="K108">
        <f t="shared" si="18"/>
        <v>-0.69901515177521745</v>
      </c>
      <c r="L108">
        <v>1</v>
      </c>
      <c r="M108">
        <f t="shared" si="19"/>
        <v>0.53326066521592419</v>
      </c>
      <c r="N108">
        <f t="shared" si="20"/>
        <v>9.4368382540000004E-2</v>
      </c>
      <c r="O108">
        <f t="shared" si="21"/>
        <v>8.0513140248000006E-2</v>
      </c>
      <c r="P108">
        <f t="shared" si="22"/>
        <v>-9.127036228706753E-3</v>
      </c>
      <c r="V108">
        <v>4.4000000000000004</v>
      </c>
      <c r="W108">
        <f t="shared" si="24"/>
        <v>-0.72104600000000008</v>
      </c>
    </row>
    <row r="109" spans="1:23" x14ac:dyDescent="0.3">
      <c r="A109">
        <v>5.5062476</v>
      </c>
      <c r="B109">
        <v>0.52059</v>
      </c>
      <c r="C109">
        <f t="shared" si="13"/>
        <v>2.866497438084</v>
      </c>
      <c r="D109">
        <v>1.7299999999999999E-2</v>
      </c>
      <c r="E109">
        <v>1.4760000000000001E-2</v>
      </c>
      <c r="F109">
        <f t="shared" si="14"/>
        <v>1101.2495200000001</v>
      </c>
      <c r="G109">
        <f t="shared" si="15"/>
        <v>-0.52059</v>
      </c>
      <c r="H109">
        <f t="shared" si="16"/>
        <v>-573.29948761679998</v>
      </c>
      <c r="I109">
        <v>1</v>
      </c>
      <c r="J109">
        <f t="shared" si="17"/>
        <v>9.6445462399825863E-2</v>
      </c>
      <c r="K109">
        <f t="shared" si="18"/>
        <v>-0.70113515177521746</v>
      </c>
      <c r="L109">
        <v>1</v>
      </c>
      <c r="M109">
        <f t="shared" si="19"/>
        <v>0.53366923543288847</v>
      </c>
      <c r="N109">
        <f t="shared" si="20"/>
        <v>9.5258083479999991E-2</v>
      </c>
      <c r="O109">
        <f t="shared" si="21"/>
        <v>8.1272214576000007E-2</v>
      </c>
      <c r="P109">
        <f t="shared" si="22"/>
        <v>-9.0643817136710075E-3</v>
      </c>
      <c r="V109">
        <v>4.5</v>
      </c>
      <c r="W109">
        <f t="shared" si="24"/>
        <v>-0.72540000000000004</v>
      </c>
    </row>
    <row r="110" spans="1:23" x14ac:dyDescent="0.3">
      <c r="A110">
        <v>5.5586938000000004</v>
      </c>
      <c r="B110">
        <v>0.51817999999999997</v>
      </c>
      <c r="C110">
        <f t="shared" si="13"/>
        <v>2.880403953284</v>
      </c>
      <c r="D110">
        <v>1.7299999999999999E-2</v>
      </c>
      <c r="E110">
        <v>1.4760000000000001E-2</v>
      </c>
      <c r="F110">
        <f t="shared" si="14"/>
        <v>1111.7387600000002</v>
      </c>
      <c r="G110">
        <f t="shared" si="15"/>
        <v>-0.51817999999999997</v>
      </c>
      <c r="H110">
        <f t="shared" si="16"/>
        <v>-576.08079065679999</v>
      </c>
      <c r="I110">
        <v>1</v>
      </c>
      <c r="J110">
        <f t="shared" si="17"/>
        <v>0.10592524017091796</v>
      </c>
      <c r="K110">
        <f t="shared" si="18"/>
        <v>-0.70354515177521748</v>
      </c>
      <c r="L110">
        <v>1</v>
      </c>
      <c r="M110">
        <f t="shared" si="19"/>
        <v>0.53408198495704173</v>
      </c>
      <c r="N110">
        <f t="shared" si="20"/>
        <v>9.6165402740000003E-2</v>
      </c>
      <c r="O110">
        <f t="shared" si="21"/>
        <v>8.2046320488000007E-2</v>
      </c>
      <c r="P110">
        <f t="shared" si="22"/>
        <v>-8.7485564098242624E-3</v>
      </c>
      <c r="V110">
        <v>4.5999999999999996</v>
      </c>
      <c r="W110">
        <f t="shared" si="24"/>
        <v>-0.72975400000000001</v>
      </c>
    </row>
    <row r="111" spans="1:23" x14ac:dyDescent="0.3">
      <c r="A111">
        <v>5.6091024999999997</v>
      </c>
      <c r="B111">
        <v>0.51597000000000004</v>
      </c>
      <c r="C111">
        <f t="shared" si="13"/>
        <v>2.8941286169250002</v>
      </c>
      <c r="D111">
        <v>1.7299999999999999E-2</v>
      </c>
      <c r="E111">
        <v>1.4760000000000001E-2</v>
      </c>
      <c r="F111">
        <f t="shared" si="14"/>
        <v>1121.8205</v>
      </c>
      <c r="G111">
        <f t="shared" si="15"/>
        <v>-0.51597000000000004</v>
      </c>
      <c r="H111">
        <f t="shared" si="16"/>
        <v>-578.82572338500006</v>
      </c>
      <c r="I111">
        <v>1</v>
      </c>
      <c r="J111">
        <f t="shared" si="17"/>
        <v>0.11495281212730346</v>
      </c>
      <c r="K111">
        <f t="shared" si="18"/>
        <v>-0.70575515177521742</v>
      </c>
      <c r="L111">
        <v>1</v>
      </c>
      <c r="M111">
        <f t="shared" si="19"/>
        <v>0.53447504544002278</v>
      </c>
      <c r="N111">
        <f t="shared" si="20"/>
        <v>9.7037473249999992E-2</v>
      </c>
      <c r="O111">
        <f t="shared" si="21"/>
        <v>8.2790352900000003E-2</v>
      </c>
      <c r="P111">
        <f t="shared" si="22"/>
        <v>-8.5477198148053574E-3</v>
      </c>
      <c r="V111">
        <v>4.7</v>
      </c>
      <c r="W111">
        <f t="shared" si="24"/>
        <v>-0.73410799999999998</v>
      </c>
    </row>
    <row r="112" spans="1:23" x14ac:dyDescent="0.3">
      <c r="A112">
        <v>5.6610395999999996</v>
      </c>
      <c r="B112">
        <v>0.51361999999999997</v>
      </c>
      <c r="C112">
        <f t="shared" si="13"/>
        <v>2.9076231593519997</v>
      </c>
      <c r="D112">
        <v>1.7299999999999999E-2</v>
      </c>
      <c r="E112">
        <v>1.4760000000000001E-2</v>
      </c>
      <c r="F112">
        <f t="shared" si="14"/>
        <v>1132.2079199999998</v>
      </c>
      <c r="G112">
        <f t="shared" si="15"/>
        <v>-0.51361999999999997</v>
      </c>
      <c r="H112">
        <f t="shared" si="16"/>
        <v>-581.52463187039996</v>
      </c>
      <c r="I112">
        <v>1</v>
      </c>
      <c r="J112">
        <f t="shared" si="17"/>
        <v>0.12416963782648055</v>
      </c>
      <c r="K112">
        <f t="shared" si="18"/>
        <v>-0.70810515177521749</v>
      </c>
      <c r="L112">
        <v>1</v>
      </c>
      <c r="M112">
        <f t="shared" si="19"/>
        <v>0.53487634603096501</v>
      </c>
      <c r="N112">
        <f t="shared" si="20"/>
        <v>9.7935985079999996E-2</v>
      </c>
      <c r="O112">
        <f t="shared" si="21"/>
        <v>8.3556944495999999E-2</v>
      </c>
      <c r="P112">
        <f t="shared" si="22"/>
        <v>-8.2641238317475163E-3</v>
      </c>
      <c r="V112">
        <v>4.8</v>
      </c>
      <c r="W112">
        <f t="shared" si="24"/>
        <v>-0.73846199999999995</v>
      </c>
    </row>
    <row r="113" spans="1:23" x14ac:dyDescent="0.3">
      <c r="A113">
        <v>5.7129760999999997</v>
      </c>
      <c r="B113">
        <v>0.51129000000000002</v>
      </c>
      <c r="C113">
        <f t="shared" si="13"/>
        <v>2.9209875501689999</v>
      </c>
      <c r="D113">
        <v>1.7299999999999999E-2</v>
      </c>
      <c r="E113">
        <v>1.4760000000000001E-2</v>
      </c>
      <c r="F113">
        <f t="shared" si="14"/>
        <v>1142.5952199999999</v>
      </c>
      <c r="G113">
        <f t="shared" si="15"/>
        <v>-0.51129000000000002</v>
      </c>
      <c r="H113">
        <f t="shared" si="16"/>
        <v>-584.19751003379997</v>
      </c>
      <c r="I113">
        <v>1</v>
      </c>
      <c r="J113">
        <f t="shared" si="17"/>
        <v>0.13330218385820022</v>
      </c>
      <c r="K113">
        <f t="shared" si="18"/>
        <v>-0.71043515177521743</v>
      </c>
      <c r="L113">
        <v>1</v>
      </c>
      <c r="M113">
        <f t="shared" si="19"/>
        <v>0.53527397708518598</v>
      </c>
      <c r="N113">
        <f t="shared" si="20"/>
        <v>9.8834486529999988E-2</v>
      </c>
      <c r="O113">
        <f t="shared" si="21"/>
        <v>8.4323527235999993E-2</v>
      </c>
      <c r="P113">
        <f t="shared" si="22"/>
        <v>-7.9968390759685287E-3</v>
      </c>
      <c r="V113">
        <v>4.9000000000000004</v>
      </c>
      <c r="W113">
        <f t="shared" si="24"/>
        <v>-0.74281600000000003</v>
      </c>
    </row>
    <row r="114" spans="1:23" x14ac:dyDescent="0.3">
      <c r="A114">
        <v>5.7674585</v>
      </c>
      <c r="B114">
        <v>0.50893999999999995</v>
      </c>
      <c r="C114">
        <f t="shared" si="13"/>
        <v>2.9352903289899999</v>
      </c>
      <c r="D114">
        <v>1.7299999999999999E-2</v>
      </c>
      <c r="E114">
        <v>1.4760000000000001E-2</v>
      </c>
      <c r="F114">
        <f t="shared" si="14"/>
        <v>1153.4917</v>
      </c>
      <c r="G114">
        <f t="shared" si="15"/>
        <v>-0.50893999999999995</v>
      </c>
      <c r="H114">
        <f t="shared" si="16"/>
        <v>-587.05806579799992</v>
      </c>
      <c r="I114">
        <v>1</v>
      </c>
      <c r="J114">
        <f t="shared" si="17"/>
        <v>0.14279360311380271</v>
      </c>
      <c r="K114">
        <f t="shared" si="18"/>
        <v>-0.71278515177521751</v>
      </c>
      <c r="L114">
        <v>1</v>
      </c>
      <c r="M114">
        <f t="shared" si="19"/>
        <v>0.53568723347957492</v>
      </c>
      <c r="N114">
        <f t="shared" si="20"/>
        <v>9.9777032049999992E-2</v>
      </c>
      <c r="O114">
        <f t="shared" si="21"/>
        <v>8.5127687460000004E-2</v>
      </c>
      <c r="P114">
        <f t="shared" si="22"/>
        <v>-7.8068012143574089E-3</v>
      </c>
      <c r="V114">
        <v>5</v>
      </c>
      <c r="W114">
        <f t="shared" si="24"/>
        <v>-0.74717</v>
      </c>
    </row>
    <row r="115" spans="1:23" x14ac:dyDescent="0.3">
      <c r="A115">
        <v>5.8183774000000001</v>
      </c>
      <c r="B115">
        <v>0.50653999999999999</v>
      </c>
      <c r="C115">
        <f t="shared" si="13"/>
        <v>2.9472408881960002</v>
      </c>
      <c r="D115">
        <v>1.7299999999999999E-2</v>
      </c>
      <c r="E115">
        <v>1.4760000000000001E-2</v>
      </c>
      <c r="F115">
        <f t="shared" si="14"/>
        <v>1163.6754800000001</v>
      </c>
      <c r="G115">
        <f t="shared" si="15"/>
        <v>-0.50653999999999999</v>
      </c>
      <c r="H115">
        <f t="shared" si="16"/>
        <v>-589.44817763920003</v>
      </c>
      <c r="I115">
        <v>1</v>
      </c>
      <c r="J115">
        <f t="shared" si="17"/>
        <v>0.15158351318720867</v>
      </c>
      <c r="K115">
        <f t="shared" si="18"/>
        <v>-0.71518515177521746</v>
      </c>
      <c r="L115">
        <v>1</v>
      </c>
      <c r="M115">
        <f t="shared" si="19"/>
        <v>0.53606994616417103</v>
      </c>
      <c r="N115">
        <f t="shared" si="20"/>
        <v>0.10065792901999999</v>
      </c>
      <c r="O115">
        <f t="shared" si="21"/>
        <v>8.5879250424000006E-2</v>
      </c>
      <c r="P115">
        <f t="shared" si="22"/>
        <v>-7.4219738329535656E-3</v>
      </c>
      <c r="V115">
        <v>5.0999999999999996</v>
      </c>
      <c r="W115">
        <f t="shared" si="24"/>
        <v>-0.75152399999999997</v>
      </c>
    </row>
    <row r="116" spans="1:23" x14ac:dyDescent="0.3">
      <c r="A116">
        <v>5.8698041999999999</v>
      </c>
      <c r="B116">
        <v>0.50470000000000004</v>
      </c>
      <c r="C116">
        <f t="shared" si="13"/>
        <v>2.9624901797400001</v>
      </c>
      <c r="D116">
        <v>1.7299999999999999E-2</v>
      </c>
      <c r="E116">
        <v>1.4760000000000001E-2</v>
      </c>
      <c r="F116">
        <f t="shared" si="14"/>
        <v>1173.96084</v>
      </c>
      <c r="G116">
        <f t="shared" si="15"/>
        <v>-0.50470000000000004</v>
      </c>
      <c r="H116">
        <f t="shared" si="16"/>
        <v>-592.49803594800005</v>
      </c>
      <c r="I116">
        <v>1</v>
      </c>
      <c r="J116">
        <f t="shared" si="17"/>
        <v>0.16038336480187912</v>
      </c>
      <c r="K116">
        <f t="shared" si="18"/>
        <v>-0.71702515177521742</v>
      </c>
      <c r="L116">
        <v>1</v>
      </c>
      <c r="M116">
        <f t="shared" si="19"/>
        <v>0.53645309170347377</v>
      </c>
      <c r="N116">
        <f t="shared" si="20"/>
        <v>0.10154761265999999</v>
      </c>
      <c r="O116">
        <f t="shared" si="21"/>
        <v>8.6638309992000007E-2</v>
      </c>
      <c r="P116">
        <f t="shared" si="22"/>
        <v>-7.6138625802563559E-3</v>
      </c>
      <c r="V116">
        <v>5.2</v>
      </c>
      <c r="W116">
        <f t="shared" si="24"/>
        <v>-0.75587800000000005</v>
      </c>
    </row>
    <row r="117" spans="1:23" x14ac:dyDescent="0.3">
      <c r="A117">
        <v>5.9202139000000003</v>
      </c>
      <c r="B117">
        <v>0.50207000000000002</v>
      </c>
      <c r="C117">
        <f t="shared" si="13"/>
        <v>2.9723617927730004</v>
      </c>
      <c r="D117">
        <v>1.7299999999999999E-2</v>
      </c>
      <c r="E117">
        <v>1.4760000000000001E-2</v>
      </c>
      <c r="F117">
        <f t="shared" si="14"/>
        <v>1184.04278</v>
      </c>
      <c r="G117">
        <f t="shared" si="15"/>
        <v>-0.50207000000000002</v>
      </c>
      <c r="H117">
        <f t="shared" si="16"/>
        <v>-594.47235855460008</v>
      </c>
      <c r="I117">
        <v>1</v>
      </c>
      <c r="J117">
        <f t="shared" si="17"/>
        <v>0.16893466756583447</v>
      </c>
      <c r="K117">
        <f t="shared" si="18"/>
        <v>-0.71965515177521744</v>
      </c>
      <c r="L117">
        <v>1</v>
      </c>
      <c r="M117">
        <f t="shared" si="19"/>
        <v>0.53682541542581641</v>
      </c>
      <c r="N117">
        <f t="shared" si="20"/>
        <v>0.10241970047</v>
      </c>
      <c r="O117">
        <f t="shared" si="21"/>
        <v>8.7382357164000002E-2</v>
      </c>
      <c r="P117">
        <f t="shared" si="22"/>
        <v>-6.9723212845989729E-3</v>
      </c>
      <c r="V117">
        <v>5.3</v>
      </c>
      <c r="W117">
        <f t="shared" si="24"/>
        <v>-0.76023200000000002</v>
      </c>
    </row>
    <row r="118" spans="1:23" x14ac:dyDescent="0.3">
      <c r="A118">
        <v>5.9706225999999996</v>
      </c>
      <c r="B118">
        <v>0.49995000000000001</v>
      </c>
      <c r="C118">
        <f t="shared" si="13"/>
        <v>2.9850127688699999</v>
      </c>
      <c r="D118">
        <v>1.7299999999999999E-2</v>
      </c>
      <c r="E118">
        <v>1.4760000000000001E-2</v>
      </c>
      <c r="F118">
        <f t="shared" si="14"/>
        <v>1194.1245199999998</v>
      </c>
      <c r="G118">
        <f t="shared" si="15"/>
        <v>-0.49995000000000001</v>
      </c>
      <c r="H118">
        <f t="shared" si="16"/>
        <v>-597.00255377400003</v>
      </c>
      <c r="I118">
        <v>1</v>
      </c>
      <c r="J118">
        <f t="shared" si="17"/>
        <v>0.17741329763998634</v>
      </c>
      <c r="K118">
        <f t="shared" si="18"/>
        <v>-0.72177515177521745</v>
      </c>
      <c r="L118">
        <v>1</v>
      </c>
      <c r="M118">
        <f t="shared" si="19"/>
        <v>0.53719457497924505</v>
      </c>
      <c r="N118">
        <f t="shared" si="20"/>
        <v>0.10329177097999999</v>
      </c>
      <c r="O118">
        <f t="shared" si="21"/>
        <v>8.8126389575999997E-2</v>
      </c>
      <c r="P118">
        <f t="shared" si="22"/>
        <v>-6.8375837600275907E-3</v>
      </c>
      <c r="V118">
        <v>5.4</v>
      </c>
      <c r="W118">
        <f t="shared" si="24"/>
        <v>-0.76458599999999999</v>
      </c>
    </row>
    <row r="119" spans="1:23" x14ac:dyDescent="0.3">
      <c r="A119">
        <v>6.0225596000000001</v>
      </c>
      <c r="B119">
        <v>0.49758000000000002</v>
      </c>
      <c r="C119">
        <f t="shared" si="13"/>
        <v>2.9967052057680004</v>
      </c>
      <c r="D119">
        <v>1.7299999999999999E-2</v>
      </c>
      <c r="E119">
        <v>1.4760000000000001E-2</v>
      </c>
      <c r="F119">
        <f t="shared" si="14"/>
        <v>1204.5119199999999</v>
      </c>
      <c r="G119">
        <f t="shared" si="15"/>
        <v>-0.49758000000000002</v>
      </c>
      <c r="H119">
        <f t="shared" si="16"/>
        <v>-599.34104115360003</v>
      </c>
      <c r="I119">
        <v>1</v>
      </c>
      <c r="J119">
        <f t="shared" si="17"/>
        <v>0.18607443924632056</v>
      </c>
      <c r="K119">
        <f t="shared" si="18"/>
        <v>-0.72414515177521743</v>
      </c>
      <c r="L119">
        <v>1</v>
      </c>
      <c r="M119">
        <f t="shared" si="19"/>
        <v>0.53757168108478481</v>
      </c>
      <c r="N119">
        <f t="shared" si="20"/>
        <v>0.10419028108</v>
      </c>
      <c r="O119">
        <f t="shared" si="21"/>
        <v>8.8892979696000005E-2</v>
      </c>
      <c r="P119">
        <f t="shared" si="22"/>
        <v>-6.5097900855673879E-3</v>
      </c>
      <c r="V119">
        <v>5.5</v>
      </c>
      <c r="W119">
        <f t="shared" si="24"/>
        <v>-0.76893999999999996</v>
      </c>
    </row>
    <row r="120" spans="1:23" x14ac:dyDescent="0.3">
      <c r="A120">
        <v>6.0760239</v>
      </c>
      <c r="B120">
        <v>0.49529000000000001</v>
      </c>
      <c r="C120">
        <f t="shared" si="13"/>
        <v>3.0093938774310001</v>
      </c>
      <c r="D120">
        <v>1.7299999999999999E-2</v>
      </c>
      <c r="E120">
        <v>1.4760000000000001E-2</v>
      </c>
      <c r="F120">
        <f t="shared" si="14"/>
        <v>1215.20478</v>
      </c>
      <c r="G120">
        <f t="shared" si="15"/>
        <v>-0.49529000000000001</v>
      </c>
      <c r="H120">
        <f t="shared" si="16"/>
        <v>-601.87877548619997</v>
      </c>
      <c r="I120">
        <v>1</v>
      </c>
      <c r="J120">
        <f t="shared" si="17"/>
        <v>0.19491260580057732</v>
      </c>
      <c r="K120">
        <f t="shared" si="18"/>
        <v>-0.72643515177521745</v>
      </c>
      <c r="L120">
        <v>1</v>
      </c>
      <c r="M120">
        <f t="shared" si="19"/>
        <v>0.53795649485655717</v>
      </c>
      <c r="N120">
        <f t="shared" si="20"/>
        <v>0.10511521347</v>
      </c>
      <c r="O120">
        <f t="shared" si="21"/>
        <v>8.968211276400001E-2</v>
      </c>
      <c r="P120">
        <f t="shared" si="22"/>
        <v>-6.3186693153397255E-3</v>
      </c>
      <c r="V120">
        <v>5.6</v>
      </c>
      <c r="W120">
        <f t="shared" si="24"/>
        <v>-0.77329399999999993</v>
      </c>
    </row>
    <row r="121" spans="1:23" x14ac:dyDescent="0.3">
      <c r="A121">
        <v>6.1264326000000002</v>
      </c>
      <c r="B121">
        <v>0.49296000000000001</v>
      </c>
      <c r="C121">
        <f t="shared" si="13"/>
        <v>3.0200862144960001</v>
      </c>
      <c r="D121">
        <v>1.7299999999999999E-2</v>
      </c>
      <c r="E121">
        <v>1.4760000000000001E-2</v>
      </c>
      <c r="F121">
        <f t="shared" si="14"/>
        <v>1225.2865200000001</v>
      </c>
      <c r="G121">
        <f t="shared" si="15"/>
        <v>-0.49296000000000001</v>
      </c>
      <c r="H121">
        <f t="shared" si="16"/>
        <v>-604.01724289920003</v>
      </c>
      <c r="I121">
        <v>1</v>
      </c>
      <c r="J121">
        <f t="shared" si="17"/>
        <v>0.20317471052533279</v>
      </c>
      <c r="K121">
        <f t="shared" si="18"/>
        <v>-0.72876515177521739</v>
      </c>
      <c r="L121">
        <v>1</v>
      </c>
      <c r="M121">
        <f t="shared" si="19"/>
        <v>0.53831622689627301</v>
      </c>
      <c r="N121">
        <f t="shared" si="20"/>
        <v>0.10598728398</v>
      </c>
      <c r="O121">
        <f t="shared" si="21"/>
        <v>9.0426145176000006E-2</v>
      </c>
      <c r="P121">
        <f t="shared" si="22"/>
        <v>-5.9645042770556239E-3</v>
      </c>
      <c r="V121">
        <v>5.7</v>
      </c>
      <c r="W121">
        <f t="shared" si="24"/>
        <v>-0.77764800000000001</v>
      </c>
    </row>
    <row r="122" spans="1:23" x14ac:dyDescent="0.3">
      <c r="A122">
        <v>6.1793877000000004</v>
      </c>
      <c r="B122">
        <v>0.49052000000000001</v>
      </c>
      <c r="C122">
        <f t="shared" si="13"/>
        <v>3.0311132546040001</v>
      </c>
      <c r="D122">
        <v>1.7299999999999999E-2</v>
      </c>
      <c r="E122">
        <v>1.4760000000000001E-2</v>
      </c>
      <c r="F122">
        <f t="shared" si="14"/>
        <v>1235.8775400000002</v>
      </c>
      <c r="G122">
        <f t="shared" si="15"/>
        <v>-0.49052000000000001</v>
      </c>
      <c r="H122">
        <f t="shared" si="16"/>
        <v>-606.22265092079999</v>
      </c>
      <c r="I122">
        <v>1</v>
      </c>
      <c r="J122">
        <f t="shared" si="17"/>
        <v>0.2117812764570797</v>
      </c>
      <c r="K122">
        <f t="shared" si="18"/>
        <v>-0.73120515177521739</v>
      </c>
      <c r="L122">
        <v>1</v>
      </c>
      <c r="M122">
        <f t="shared" si="19"/>
        <v>0.53869095677694123</v>
      </c>
      <c r="N122">
        <f t="shared" si="20"/>
        <v>0.10690340721000001</v>
      </c>
      <c r="O122">
        <f t="shared" si="21"/>
        <v>9.1207762452000005E-2</v>
      </c>
      <c r="P122">
        <f t="shared" si="22"/>
        <v>-5.5969746637238582E-3</v>
      </c>
      <c r="V122">
        <v>5.8</v>
      </c>
      <c r="W122">
        <f t="shared" si="24"/>
        <v>-0.78200199999999997</v>
      </c>
    </row>
    <row r="123" spans="1:23" x14ac:dyDescent="0.3">
      <c r="A123">
        <v>6.2318340000000001</v>
      </c>
      <c r="B123">
        <v>0.48857</v>
      </c>
      <c r="C123">
        <f t="shared" si="13"/>
        <v>3.04468713738</v>
      </c>
      <c r="D123">
        <v>1.7299999999999999E-2</v>
      </c>
      <c r="E123">
        <v>1.4760000000000001E-2</v>
      </c>
      <c r="F123">
        <f t="shared" si="14"/>
        <v>1246.3668</v>
      </c>
      <c r="G123">
        <f t="shared" si="15"/>
        <v>-0.48857</v>
      </c>
      <c r="H123">
        <f t="shared" si="16"/>
        <v>-608.93742747600004</v>
      </c>
      <c r="I123">
        <v>1</v>
      </c>
      <c r="J123">
        <f t="shared" si="17"/>
        <v>0.22023275906584774</v>
      </c>
      <c r="K123">
        <f t="shared" si="18"/>
        <v>-0.73315515177521751</v>
      </c>
      <c r="L123">
        <v>1</v>
      </c>
      <c r="M123">
        <f t="shared" si="19"/>
        <v>0.53905893432972696</v>
      </c>
      <c r="N123">
        <f t="shared" si="20"/>
        <v>0.1078107282</v>
      </c>
      <c r="O123">
        <f t="shared" si="21"/>
        <v>9.1981869840000008E-2</v>
      </c>
      <c r="P123">
        <f t="shared" si="22"/>
        <v>-5.6963805945094564E-3</v>
      </c>
      <c r="V123">
        <v>5.9</v>
      </c>
      <c r="W123">
        <f t="shared" si="24"/>
        <v>-0.78635600000000005</v>
      </c>
    </row>
    <row r="124" spans="1:23" x14ac:dyDescent="0.3">
      <c r="A124">
        <v>6.2832612000000001</v>
      </c>
      <c r="B124">
        <v>0.48598999999999998</v>
      </c>
      <c r="C124">
        <f t="shared" si="13"/>
        <v>3.0536021105879998</v>
      </c>
      <c r="D124">
        <v>1.7299999999999999E-2</v>
      </c>
      <c r="E124">
        <v>1.4760000000000001E-2</v>
      </c>
      <c r="F124">
        <f t="shared" si="14"/>
        <v>1256.6522400000001</v>
      </c>
      <c r="G124">
        <f t="shared" si="15"/>
        <v>-0.48598999999999998</v>
      </c>
      <c r="H124">
        <f t="shared" si="16"/>
        <v>-610.72042211759992</v>
      </c>
      <c r="I124">
        <v>1</v>
      </c>
      <c r="J124">
        <f t="shared" si="17"/>
        <v>0.22845123261981215</v>
      </c>
      <c r="K124">
        <f t="shared" si="18"/>
        <v>-0.73573515177521753</v>
      </c>
      <c r="L124">
        <v>1</v>
      </c>
      <c r="M124">
        <f t="shared" si="19"/>
        <v>0.53941676666826666</v>
      </c>
      <c r="N124">
        <f t="shared" si="20"/>
        <v>0.10870041876</v>
      </c>
      <c r="O124">
        <f t="shared" si="21"/>
        <v>9.2740935312000006E-2</v>
      </c>
      <c r="P124">
        <f t="shared" si="22"/>
        <v>-5.1229689650491295E-3</v>
      </c>
      <c r="V124">
        <v>6</v>
      </c>
      <c r="W124">
        <f t="shared" si="24"/>
        <v>-0.79071000000000002</v>
      </c>
    </row>
    <row r="125" spans="1:23" x14ac:dyDescent="0.3">
      <c r="A125">
        <v>6.3372339000000002</v>
      </c>
      <c r="B125">
        <v>0.48376000000000002</v>
      </c>
      <c r="C125">
        <f t="shared" si="13"/>
        <v>3.0657002714640003</v>
      </c>
      <c r="D125">
        <v>1.7299999999999999E-2</v>
      </c>
      <c r="E125">
        <v>1.4760000000000001E-2</v>
      </c>
      <c r="F125">
        <f t="shared" si="14"/>
        <v>1267.44678</v>
      </c>
      <c r="G125">
        <f t="shared" si="15"/>
        <v>-0.48376000000000002</v>
      </c>
      <c r="H125">
        <f t="shared" si="16"/>
        <v>-613.14005429280007</v>
      </c>
      <c r="I125">
        <v>1</v>
      </c>
      <c r="J125">
        <f t="shared" si="17"/>
        <v>0.23700446743599299</v>
      </c>
      <c r="K125">
        <f t="shared" si="18"/>
        <v>-0.73796515177521749</v>
      </c>
      <c r="L125">
        <v>1</v>
      </c>
      <c r="M125">
        <f t="shared" si="19"/>
        <v>0.53978917451216313</v>
      </c>
      <c r="N125">
        <f t="shared" si="20"/>
        <v>0.10963414647</v>
      </c>
      <c r="O125">
        <f t="shared" si="21"/>
        <v>9.353757236400001E-2</v>
      </c>
      <c r="P125">
        <f t="shared" si="22"/>
        <v>-4.9957415709456499E-3</v>
      </c>
      <c r="V125">
        <v>6.1</v>
      </c>
      <c r="W125">
        <f t="shared" si="24"/>
        <v>-0.79506399999999999</v>
      </c>
    </row>
    <row r="126" spans="1:23" x14ac:dyDescent="0.3">
      <c r="A126">
        <v>6.3876435999999996</v>
      </c>
      <c r="B126">
        <v>0.48148999999999997</v>
      </c>
      <c r="C126">
        <f t="shared" si="13"/>
        <v>3.0755865169639995</v>
      </c>
      <c r="D126">
        <v>1.7299999999999999E-2</v>
      </c>
      <c r="E126">
        <v>1.4760000000000001E-2</v>
      </c>
      <c r="F126">
        <f t="shared" si="14"/>
        <v>1277.52872</v>
      </c>
      <c r="G126">
        <f t="shared" si="15"/>
        <v>-0.48148999999999997</v>
      </c>
      <c r="H126">
        <f t="shared" si="16"/>
        <v>-615.11730339279995</v>
      </c>
      <c r="I126">
        <v>1</v>
      </c>
      <c r="J126">
        <f t="shared" si="17"/>
        <v>0.24492752425202136</v>
      </c>
      <c r="K126">
        <f t="shared" si="18"/>
        <v>-0.74023515177521748</v>
      </c>
      <c r="L126">
        <v>1</v>
      </c>
      <c r="M126">
        <f t="shared" si="19"/>
        <v>0.54013414440593299</v>
      </c>
      <c r="N126">
        <f t="shared" si="20"/>
        <v>0.11050623427999999</v>
      </c>
      <c r="O126">
        <f t="shared" si="21"/>
        <v>9.4281619535999991E-2</v>
      </c>
      <c r="P126">
        <f t="shared" si="22"/>
        <v>-4.6868464467154924E-3</v>
      </c>
      <c r="V126">
        <v>6.2</v>
      </c>
      <c r="W126">
        <f t="shared" si="24"/>
        <v>-0.79941799999999996</v>
      </c>
    </row>
    <row r="127" spans="1:23" x14ac:dyDescent="0.3">
      <c r="A127">
        <v>6.4385620000000001</v>
      </c>
      <c r="B127">
        <v>0.47932999999999998</v>
      </c>
      <c r="C127">
        <f t="shared" si="13"/>
        <v>3.08619592346</v>
      </c>
      <c r="D127">
        <v>1.7299999999999999E-2</v>
      </c>
      <c r="E127">
        <v>1.4760000000000001E-2</v>
      </c>
      <c r="F127">
        <f t="shared" si="14"/>
        <v>1287.7124000000001</v>
      </c>
      <c r="G127">
        <f t="shared" si="15"/>
        <v>-0.47932999999999998</v>
      </c>
      <c r="H127">
        <f t="shared" si="16"/>
        <v>-617.23918469199998</v>
      </c>
      <c r="I127">
        <v>1</v>
      </c>
      <c r="J127">
        <f t="shared" si="17"/>
        <v>0.25286731082334252</v>
      </c>
      <c r="K127">
        <f t="shared" si="18"/>
        <v>-0.74239515177521742</v>
      </c>
      <c r="L127">
        <v>1</v>
      </c>
      <c r="M127">
        <f t="shared" si="19"/>
        <v>0.54047984271324834</v>
      </c>
      <c r="N127">
        <f t="shared" si="20"/>
        <v>0.1113871226</v>
      </c>
      <c r="O127">
        <f t="shared" si="21"/>
        <v>9.5033175120000007E-2</v>
      </c>
      <c r="P127">
        <f t="shared" si="22"/>
        <v>-4.5049886580309229E-3</v>
      </c>
      <c r="V127">
        <v>6.3</v>
      </c>
      <c r="W127">
        <f t="shared" si="24"/>
        <v>-0.80377199999999993</v>
      </c>
    </row>
    <row r="128" spans="1:23" x14ac:dyDescent="0.3">
      <c r="A128">
        <v>6.4889711999999999</v>
      </c>
      <c r="B128">
        <v>0.47688999999999998</v>
      </c>
      <c r="C128">
        <f t="shared" si="13"/>
        <v>3.0945254755680001</v>
      </c>
      <c r="D128">
        <v>1.7299999999999999E-2</v>
      </c>
      <c r="E128">
        <v>1.4760000000000001E-2</v>
      </c>
      <c r="F128">
        <f t="shared" si="14"/>
        <v>1297.7942399999999</v>
      </c>
      <c r="G128">
        <f t="shared" si="15"/>
        <v>-0.47688999999999998</v>
      </c>
      <c r="H128">
        <f t="shared" si="16"/>
        <v>-618.90509511360005</v>
      </c>
      <c r="I128">
        <v>1</v>
      </c>
      <c r="J128">
        <f t="shared" si="17"/>
        <v>0.26066608491491539</v>
      </c>
      <c r="K128">
        <f t="shared" si="18"/>
        <v>-0.74483515177521742</v>
      </c>
      <c r="L128">
        <v>1</v>
      </c>
      <c r="M128">
        <f t="shared" si="19"/>
        <v>0.54081940133719542</v>
      </c>
      <c r="N128">
        <f t="shared" si="20"/>
        <v>0.11225920176</v>
      </c>
      <c r="O128">
        <f t="shared" si="21"/>
        <v>9.5777214912000003E-2</v>
      </c>
      <c r="P128">
        <f t="shared" si="22"/>
        <v>-4.0206662339779958E-3</v>
      </c>
      <c r="V128">
        <v>6.4</v>
      </c>
      <c r="W128">
        <f t="shared" si="24"/>
        <v>-0.80812600000000001</v>
      </c>
    </row>
    <row r="129" spans="1:23" x14ac:dyDescent="0.3">
      <c r="A129">
        <v>6.5424354999999998</v>
      </c>
      <c r="B129">
        <v>0.47483999999999998</v>
      </c>
      <c r="C129">
        <f t="shared" si="13"/>
        <v>3.1066100728199997</v>
      </c>
      <c r="D129">
        <v>1.7299999999999999E-2</v>
      </c>
      <c r="E129">
        <v>1.4760000000000001E-2</v>
      </c>
      <c r="F129">
        <f t="shared" si="14"/>
        <v>1308.4871000000001</v>
      </c>
      <c r="G129">
        <f t="shared" si="15"/>
        <v>-0.47483999999999998</v>
      </c>
      <c r="H129">
        <f t="shared" si="16"/>
        <v>-621.32201456399991</v>
      </c>
      <c r="I129">
        <v>1</v>
      </c>
      <c r="J129">
        <f t="shared" si="17"/>
        <v>0.26887158432273028</v>
      </c>
      <c r="K129">
        <f t="shared" si="18"/>
        <v>-0.74688515177521753</v>
      </c>
      <c r="L129">
        <v>1</v>
      </c>
      <c r="M129">
        <f t="shared" si="19"/>
        <v>0.54117666878141168</v>
      </c>
      <c r="N129">
        <f t="shared" si="20"/>
        <v>0.11318413414999999</v>
      </c>
      <c r="O129">
        <f t="shared" si="21"/>
        <v>9.6566347979999995E-2</v>
      </c>
      <c r="P129">
        <f t="shared" si="22"/>
        <v>-4.0419991361941437E-3</v>
      </c>
      <c r="V129">
        <v>6.5</v>
      </c>
      <c r="W129">
        <f t="shared" si="24"/>
        <v>-0.81248000000000009</v>
      </c>
    </row>
    <row r="130" spans="1:23" x14ac:dyDescent="0.3">
      <c r="A130">
        <v>6.5948817999999996</v>
      </c>
      <c r="B130">
        <v>0.47238000000000002</v>
      </c>
      <c r="C130">
        <f t="shared" si="13"/>
        <v>3.1152902646839999</v>
      </c>
      <c r="D130">
        <v>1.7299999999999999E-2</v>
      </c>
      <c r="E130">
        <v>1.4760000000000001E-2</v>
      </c>
      <c r="F130">
        <f t="shared" si="14"/>
        <v>1318.9763599999999</v>
      </c>
      <c r="G130">
        <f t="shared" si="15"/>
        <v>-0.47238000000000002</v>
      </c>
      <c r="H130">
        <f t="shared" si="16"/>
        <v>-623.05805293679998</v>
      </c>
      <c r="I130">
        <v>1</v>
      </c>
      <c r="J130">
        <f t="shared" si="17"/>
        <v>0.27685595090587617</v>
      </c>
      <c r="K130">
        <f t="shared" si="18"/>
        <v>-0.74934515177521743</v>
      </c>
      <c r="L130">
        <v>1</v>
      </c>
      <c r="M130">
        <f t="shared" si="19"/>
        <v>0.5415243081024419</v>
      </c>
      <c r="N130">
        <f t="shared" si="20"/>
        <v>0.11409145513999999</v>
      </c>
      <c r="O130">
        <f t="shared" si="21"/>
        <v>9.7340455367999998E-2</v>
      </c>
      <c r="P130">
        <f t="shared" si="22"/>
        <v>-3.6110668352244552E-3</v>
      </c>
      <c r="V130">
        <v>6.6</v>
      </c>
      <c r="W130">
        <f t="shared" si="24"/>
        <v>-0.81683400000000006</v>
      </c>
    </row>
    <row r="131" spans="1:23" x14ac:dyDescent="0.3">
      <c r="A131">
        <v>6.6478364000000001</v>
      </c>
      <c r="B131">
        <v>0.47000999999999998</v>
      </c>
      <c r="C131">
        <f t="shared" si="13"/>
        <v>3.124549586364</v>
      </c>
      <c r="D131">
        <v>1.7299999999999999E-2</v>
      </c>
      <c r="E131">
        <v>1.4760000000000001E-2</v>
      </c>
      <c r="F131">
        <f t="shared" si="14"/>
        <v>1329.56728</v>
      </c>
      <c r="G131">
        <f t="shared" si="15"/>
        <v>-0.47000999999999998</v>
      </c>
      <c r="H131">
        <f t="shared" si="16"/>
        <v>-624.90991727280004</v>
      </c>
      <c r="I131">
        <v>1</v>
      </c>
      <c r="J131">
        <f t="shared" si="17"/>
        <v>0.2848535359113088</v>
      </c>
      <c r="K131">
        <f t="shared" si="18"/>
        <v>-0.75171515177521742</v>
      </c>
      <c r="L131">
        <v>1</v>
      </c>
      <c r="M131">
        <f t="shared" si="19"/>
        <v>0.54187252295357835</v>
      </c>
      <c r="N131">
        <f t="shared" si="20"/>
        <v>0.11500756971999999</v>
      </c>
      <c r="O131">
        <f t="shared" si="21"/>
        <v>9.8122065264000011E-2</v>
      </c>
      <c r="P131">
        <f t="shared" si="22"/>
        <v>-3.2870061623609392E-3</v>
      </c>
      <c r="V131">
        <v>6.7</v>
      </c>
      <c r="W131">
        <f t="shared" si="24"/>
        <v>-0.82118800000000003</v>
      </c>
    </row>
    <row r="132" spans="1:23" x14ac:dyDescent="0.3">
      <c r="A132">
        <v>6.6997733999999998</v>
      </c>
      <c r="B132">
        <v>0.46777999999999997</v>
      </c>
      <c r="C132">
        <f t="shared" ref="C132:C195" si="25">A132*B132</f>
        <v>3.1340200010519998</v>
      </c>
      <c r="D132">
        <v>1.7299999999999999E-2</v>
      </c>
      <c r="E132">
        <v>1.4760000000000001E-2</v>
      </c>
      <c r="F132">
        <f t="shared" ref="F132:F195" si="26">A132*200</f>
        <v>1339.9546800000001</v>
      </c>
      <c r="G132">
        <f t="shared" ref="G132:G195" si="27">-B132</f>
        <v>-0.46777999999999997</v>
      </c>
      <c r="H132">
        <f t="shared" ref="H132:H195" si="28">-C132*200</f>
        <v>-626.80400021039998</v>
      </c>
      <c r="I132">
        <v>1</v>
      </c>
      <c r="J132">
        <f t="shared" ref="J132:J195" si="29">LN(F132/1000)</f>
        <v>0.2926357924953582</v>
      </c>
      <c r="K132">
        <f t="shared" ref="K132:K195" si="30">((-G132)-$N$2)</f>
        <v>-0.75394515177521748</v>
      </c>
      <c r="L132">
        <v>1</v>
      </c>
      <c r="M132">
        <f t="shared" ref="M132:M195" si="31">-1*($S$4+($S$5*J132))</f>
        <v>0.54221136240524792</v>
      </c>
      <c r="N132">
        <f t="shared" ref="N132:N195" si="32">D132*A132</f>
        <v>0.11590607981999999</v>
      </c>
      <c r="O132">
        <f t="shared" ref="O132:O195" si="33">E132*A132</f>
        <v>9.8888655384000004E-2</v>
      </c>
      <c r="P132">
        <f t="shared" ref="P132:P195" si="34">-K132-M132-N132-O132</f>
        <v>-3.0609458340304374E-3</v>
      </c>
      <c r="V132">
        <v>6.8</v>
      </c>
      <c r="W132">
        <f t="shared" ref="W132:W139" si="35">V132*$S$5+$S$4</f>
        <v>-0.825542</v>
      </c>
    </row>
    <row r="133" spans="1:23" x14ac:dyDescent="0.3">
      <c r="A133">
        <v>6.7527280000000003</v>
      </c>
      <c r="B133">
        <v>0.46523999999999999</v>
      </c>
      <c r="C133">
        <f t="shared" si="25"/>
        <v>3.1416391747199999</v>
      </c>
      <c r="D133">
        <v>1.7299999999999999E-2</v>
      </c>
      <c r="E133">
        <v>1.4760000000000001E-2</v>
      </c>
      <c r="F133">
        <f t="shared" si="26"/>
        <v>1350.5456000000001</v>
      </c>
      <c r="G133">
        <f t="shared" si="27"/>
        <v>-0.46523999999999999</v>
      </c>
      <c r="H133">
        <f t="shared" si="28"/>
        <v>-628.32783494399996</v>
      </c>
      <c r="I133">
        <v>1</v>
      </c>
      <c r="J133">
        <f t="shared" si="29"/>
        <v>0.30050865895262086</v>
      </c>
      <c r="K133">
        <f t="shared" si="30"/>
        <v>-0.75648515177521747</v>
      </c>
      <c r="L133">
        <v>1</v>
      </c>
      <c r="M133">
        <f t="shared" si="31"/>
        <v>0.54255414701079707</v>
      </c>
      <c r="N133">
        <f t="shared" si="32"/>
        <v>0.1168221944</v>
      </c>
      <c r="O133">
        <f t="shared" si="33"/>
        <v>9.9670265280000003E-2</v>
      </c>
      <c r="P133">
        <f t="shared" si="34"/>
        <v>-2.5614549155796029E-3</v>
      </c>
      <c r="V133">
        <v>6.9</v>
      </c>
      <c r="W133">
        <f t="shared" si="35"/>
        <v>-0.82989599999999997</v>
      </c>
    </row>
    <row r="134" spans="1:23" x14ac:dyDescent="0.3">
      <c r="A134">
        <v>6.8107749000000002</v>
      </c>
      <c r="B134">
        <v>0.46294999999999997</v>
      </c>
      <c r="C134">
        <f t="shared" si="25"/>
        <v>3.1530482399549999</v>
      </c>
      <c r="D134">
        <v>1.7299999999999999E-2</v>
      </c>
      <c r="E134">
        <v>1.4760000000000001E-2</v>
      </c>
      <c r="F134">
        <f t="shared" si="26"/>
        <v>1362.15498</v>
      </c>
      <c r="G134">
        <f t="shared" si="27"/>
        <v>-0.46294999999999997</v>
      </c>
      <c r="H134">
        <f t="shared" si="28"/>
        <v>-630.60964799099997</v>
      </c>
      <c r="I134">
        <v>1</v>
      </c>
      <c r="J134">
        <f t="shared" si="29"/>
        <v>0.30906798980015066</v>
      </c>
      <c r="K134">
        <f t="shared" si="30"/>
        <v>-0.75877515177521748</v>
      </c>
      <c r="L134">
        <v>1</v>
      </c>
      <c r="M134">
        <f t="shared" si="31"/>
        <v>0.54292682027589856</v>
      </c>
      <c r="N134">
        <f t="shared" si="32"/>
        <v>0.11782640577</v>
      </c>
      <c r="O134">
        <f t="shared" si="33"/>
        <v>0.10052703752400001</v>
      </c>
      <c r="P134">
        <f t="shared" si="34"/>
        <v>-2.5051117946810891E-3</v>
      </c>
      <c r="V134">
        <v>7</v>
      </c>
      <c r="W134">
        <f t="shared" si="35"/>
        <v>-0.83424999999999994</v>
      </c>
    </row>
    <row r="135" spans="1:23" x14ac:dyDescent="0.3">
      <c r="A135">
        <v>6.8616934000000001</v>
      </c>
      <c r="B135">
        <v>0.46067999999999998</v>
      </c>
      <c r="C135">
        <f t="shared" si="25"/>
        <v>3.161044915512</v>
      </c>
      <c r="D135">
        <v>1.7299999999999999E-2</v>
      </c>
      <c r="E135">
        <v>1.4760000000000001E-2</v>
      </c>
      <c r="F135">
        <f t="shared" si="26"/>
        <v>1372.3386800000001</v>
      </c>
      <c r="G135">
        <f t="shared" si="27"/>
        <v>-0.46067999999999998</v>
      </c>
      <c r="H135">
        <f t="shared" si="28"/>
        <v>-632.2089831024</v>
      </c>
      <c r="I135">
        <v>1</v>
      </c>
      <c r="J135">
        <f t="shared" si="29"/>
        <v>0.31651635015287494</v>
      </c>
      <c r="K135">
        <f t="shared" si="30"/>
        <v>-0.76104515177521748</v>
      </c>
      <c r="L135">
        <v>1</v>
      </c>
      <c r="M135">
        <f t="shared" si="31"/>
        <v>0.54325112188565616</v>
      </c>
      <c r="N135">
        <f t="shared" si="32"/>
        <v>0.11870729582</v>
      </c>
      <c r="O135">
        <f t="shared" si="33"/>
        <v>0.101278594584</v>
      </c>
      <c r="P135">
        <f t="shared" si="34"/>
        <v>-2.1918605144386899E-3</v>
      </c>
      <c r="V135">
        <v>7.1</v>
      </c>
      <c r="W135">
        <f t="shared" si="35"/>
        <v>-0.83860400000000002</v>
      </c>
    </row>
    <row r="136" spans="1:23" x14ac:dyDescent="0.3">
      <c r="A136">
        <v>6.9126117999999996</v>
      </c>
      <c r="B136">
        <v>0.45833000000000002</v>
      </c>
      <c r="C136">
        <f t="shared" si="25"/>
        <v>3.1682573662940001</v>
      </c>
      <c r="D136">
        <v>1.7299999999999999E-2</v>
      </c>
      <c r="E136">
        <v>1.4760000000000001E-2</v>
      </c>
      <c r="F136">
        <f t="shared" si="26"/>
        <v>1382.5223599999999</v>
      </c>
      <c r="G136">
        <f t="shared" si="27"/>
        <v>-0.45833000000000002</v>
      </c>
      <c r="H136">
        <f t="shared" si="28"/>
        <v>-633.65147325880002</v>
      </c>
      <c r="I136">
        <v>1</v>
      </c>
      <c r="J136">
        <f t="shared" si="29"/>
        <v>0.3239096278821148</v>
      </c>
      <c r="K136">
        <f t="shared" si="30"/>
        <v>-0.76339515177521744</v>
      </c>
      <c r="L136">
        <v>1</v>
      </c>
      <c r="M136">
        <f t="shared" si="31"/>
        <v>0.54357302519798723</v>
      </c>
      <c r="N136">
        <f t="shared" si="32"/>
        <v>0.11958818413999998</v>
      </c>
      <c r="O136">
        <f t="shared" si="33"/>
        <v>0.102030150168</v>
      </c>
      <c r="P136">
        <f t="shared" si="34"/>
        <v>-1.7962077307697721E-3</v>
      </c>
      <c r="V136">
        <v>7.2</v>
      </c>
      <c r="W136">
        <f t="shared" si="35"/>
        <v>-0.8429580000000001</v>
      </c>
    </row>
    <row r="137" spans="1:23" x14ac:dyDescent="0.3">
      <c r="A137">
        <v>6.9635297999999999</v>
      </c>
      <c r="B137">
        <v>0.45617000000000002</v>
      </c>
      <c r="C137">
        <f t="shared" si="25"/>
        <v>3.176553388866</v>
      </c>
      <c r="D137">
        <v>1.7299999999999999E-2</v>
      </c>
      <c r="E137">
        <v>1.4760000000000001E-2</v>
      </c>
      <c r="F137">
        <f t="shared" si="26"/>
        <v>1392.70596</v>
      </c>
      <c r="G137">
        <f t="shared" si="27"/>
        <v>-0.45617000000000002</v>
      </c>
      <c r="H137">
        <f t="shared" si="28"/>
        <v>-635.31067777320004</v>
      </c>
      <c r="I137">
        <v>1</v>
      </c>
      <c r="J137">
        <f t="shared" si="29"/>
        <v>0.33124858852492189</v>
      </c>
      <c r="K137">
        <f t="shared" si="30"/>
        <v>-0.76555515177521749</v>
      </c>
      <c r="L137">
        <v>1</v>
      </c>
      <c r="M137">
        <f t="shared" si="31"/>
        <v>0.5438925635443751</v>
      </c>
      <c r="N137">
        <f t="shared" si="32"/>
        <v>0.12046906553999999</v>
      </c>
      <c r="O137">
        <f t="shared" si="33"/>
        <v>0.10278169984800001</v>
      </c>
      <c r="P137">
        <f t="shared" si="34"/>
        <v>-1.5881771571576025E-3</v>
      </c>
      <c r="V137">
        <v>7.3</v>
      </c>
      <c r="W137">
        <f t="shared" si="35"/>
        <v>-0.84731200000000007</v>
      </c>
    </row>
    <row r="138" spans="1:23" x14ac:dyDescent="0.3">
      <c r="A138">
        <v>7.0154662999999999</v>
      </c>
      <c r="B138">
        <v>0.45408999999999999</v>
      </c>
      <c r="C138">
        <f t="shared" si="25"/>
        <v>3.1856530921670001</v>
      </c>
      <c r="D138">
        <v>1.7299999999999999E-2</v>
      </c>
      <c r="E138">
        <v>1.4760000000000001E-2</v>
      </c>
      <c r="F138">
        <f t="shared" si="26"/>
        <v>1403.0932600000001</v>
      </c>
      <c r="G138">
        <f t="shared" si="27"/>
        <v>-0.45408999999999999</v>
      </c>
      <c r="H138">
        <f t="shared" si="28"/>
        <v>-637.13061843340006</v>
      </c>
      <c r="I138">
        <v>1</v>
      </c>
      <c r="J138">
        <f t="shared" si="29"/>
        <v>0.33867927075721288</v>
      </c>
      <c r="K138">
        <f t="shared" si="30"/>
        <v>-0.76763515177521746</v>
      </c>
      <c r="L138">
        <v>1</v>
      </c>
      <c r="M138">
        <f t="shared" si="31"/>
        <v>0.54421609544876903</v>
      </c>
      <c r="N138">
        <f t="shared" si="32"/>
        <v>0.12136756698999999</v>
      </c>
      <c r="O138">
        <f t="shared" si="33"/>
        <v>0.103548282588</v>
      </c>
      <c r="P138">
        <f t="shared" si="34"/>
        <v>-1.4967932515515675E-3</v>
      </c>
      <c r="V138">
        <v>7.4</v>
      </c>
      <c r="W138">
        <f t="shared" si="35"/>
        <v>-0.85166600000000003</v>
      </c>
    </row>
    <row r="139" spans="1:23" x14ac:dyDescent="0.3">
      <c r="A139">
        <v>7.0674028</v>
      </c>
      <c r="B139">
        <v>0.45134000000000002</v>
      </c>
      <c r="C139">
        <f t="shared" si="25"/>
        <v>3.1898015797520003</v>
      </c>
      <c r="D139">
        <v>1.7299999999999999E-2</v>
      </c>
      <c r="E139">
        <v>1.4760000000000001E-2</v>
      </c>
      <c r="F139">
        <f t="shared" si="26"/>
        <v>1413.48056</v>
      </c>
      <c r="G139">
        <f t="shared" si="27"/>
        <v>-0.45134000000000002</v>
      </c>
      <c r="H139">
        <f t="shared" si="28"/>
        <v>-637.96031595040006</v>
      </c>
      <c r="I139">
        <v>1</v>
      </c>
      <c r="J139">
        <f t="shared" si="29"/>
        <v>0.34605514496177942</v>
      </c>
      <c r="K139">
        <f t="shared" si="30"/>
        <v>-0.77038515177521738</v>
      </c>
      <c r="L139">
        <v>1</v>
      </c>
      <c r="M139">
        <f t="shared" si="31"/>
        <v>0.54453724101163592</v>
      </c>
      <c r="N139">
        <f t="shared" si="32"/>
        <v>0.12226606844</v>
      </c>
      <c r="O139">
        <f t="shared" si="33"/>
        <v>0.10431486532800001</v>
      </c>
      <c r="P139">
        <f t="shared" si="34"/>
        <v>-7.3302300441854817E-4</v>
      </c>
      <c r="V139">
        <v>7.5</v>
      </c>
      <c r="W139">
        <f t="shared" si="35"/>
        <v>-0.85602</v>
      </c>
    </row>
    <row r="140" spans="1:23" x14ac:dyDescent="0.3">
      <c r="A140">
        <v>7.1223945000000004</v>
      </c>
      <c r="B140">
        <v>0.44945000000000002</v>
      </c>
      <c r="C140">
        <f t="shared" si="25"/>
        <v>3.2011602080250001</v>
      </c>
      <c r="D140">
        <v>1.7299999999999999E-2</v>
      </c>
      <c r="E140">
        <v>1.4760000000000001E-2</v>
      </c>
      <c r="F140">
        <f t="shared" si="26"/>
        <v>1424.4789000000001</v>
      </c>
      <c r="G140">
        <f t="shared" si="27"/>
        <v>-0.44945000000000002</v>
      </c>
      <c r="H140">
        <f t="shared" si="28"/>
        <v>-640.23204160500006</v>
      </c>
      <c r="I140">
        <v>1</v>
      </c>
      <c r="J140">
        <f t="shared" si="29"/>
        <v>0.35380606263131176</v>
      </c>
      <c r="K140">
        <f t="shared" si="30"/>
        <v>-0.77227515177521744</v>
      </c>
      <c r="L140">
        <v>1</v>
      </c>
      <c r="M140">
        <f t="shared" si="31"/>
        <v>0.54487471596696735</v>
      </c>
      <c r="N140">
        <f t="shared" si="32"/>
        <v>0.12321742485000001</v>
      </c>
      <c r="O140">
        <f t="shared" si="33"/>
        <v>0.10512654282000002</v>
      </c>
      <c r="P140">
        <f t="shared" si="34"/>
        <v>-9.4353186174993275E-4</v>
      </c>
    </row>
    <row r="141" spans="1:23" x14ac:dyDescent="0.3">
      <c r="A141">
        <v>7.1738227999999999</v>
      </c>
      <c r="B141">
        <v>0.44689000000000001</v>
      </c>
      <c r="C141">
        <f t="shared" si="25"/>
        <v>3.2059096710919999</v>
      </c>
      <c r="D141">
        <v>1.7299999999999999E-2</v>
      </c>
      <c r="E141">
        <v>1.4760000000000001E-2</v>
      </c>
      <c r="F141">
        <f t="shared" si="26"/>
        <v>1434.7645600000001</v>
      </c>
      <c r="G141">
        <f t="shared" si="27"/>
        <v>-0.44689000000000001</v>
      </c>
      <c r="H141">
        <f t="shared" si="28"/>
        <v>-641.18193421839999</v>
      </c>
      <c r="I141">
        <v>1</v>
      </c>
      <c r="J141">
        <f t="shared" si="29"/>
        <v>0.36100076606426995</v>
      </c>
      <c r="K141">
        <f t="shared" si="30"/>
        <v>-0.77483515177521745</v>
      </c>
      <c r="L141">
        <v>1</v>
      </c>
      <c r="M141">
        <f t="shared" si="31"/>
        <v>0.54518797335443836</v>
      </c>
      <c r="N141">
        <f t="shared" si="32"/>
        <v>0.12410713443999999</v>
      </c>
      <c r="O141">
        <f t="shared" si="33"/>
        <v>0.105885624528</v>
      </c>
      <c r="P141">
        <f t="shared" si="34"/>
        <v>-3.4558054722090559E-4</v>
      </c>
    </row>
    <row r="142" spans="1:23" x14ac:dyDescent="0.3">
      <c r="A142">
        <v>7.2252504999999996</v>
      </c>
      <c r="B142">
        <v>0.44480999999999998</v>
      </c>
      <c r="C142">
        <f t="shared" si="25"/>
        <v>3.2138636749049998</v>
      </c>
      <c r="D142">
        <v>1.7299999999999999E-2</v>
      </c>
      <c r="E142">
        <v>1.4760000000000001E-2</v>
      </c>
      <c r="F142">
        <f t="shared" si="26"/>
        <v>1445.0500999999999</v>
      </c>
      <c r="G142">
        <f t="shared" si="27"/>
        <v>-0.44480999999999998</v>
      </c>
      <c r="H142">
        <f t="shared" si="28"/>
        <v>-642.77273498099999</v>
      </c>
      <c r="I142">
        <v>1</v>
      </c>
      <c r="J142">
        <f t="shared" si="29"/>
        <v>0.36814399224363736</v>
      </c>
      <c r="K142">
        <f t="shared" si="30"/>
        <v>-0.77691515177521753</v>
      </c>
      <c r="L142">
        <v>1</v>
      </c>
      <c r="M142">
        <f t="shared" si="31"/>
        <v>0.54549898942228792</v>
      </c>
      <c r="N142">
        <f t="shared" si="32"/>
        <v>0.12499683364999999</v>
      </c>
      <c r="O142">
        <f t="shared" si="33"/>
        <v>0.10664469738</v>
      </c>
      <c r="P142">
        <f t="shared" si="34"/>
        <v>-2.2536867707037556E-4</v>
      </c>
    </row>
    <row r="143" spans="1:23" x14ac:dyDescent="0.3">
      <c r="A143">
        <v>7.2817695000000002</v>
      </c>
      <c r="B143">
        <v>0.44219000000000003</v>
      </c>
      <c r="C143">
        <f t="shared" si="25"/>
        <v>3.2199256552050004</v>
      </c>
      <c r="D143">
        <v>1.7299999999999999E-2</v>
      </c>
      <c r="E143">
        <v>1.4760000000000001E-2</v>
      </c>
      <c r="F143">
        <f t="shared" si="26"/>
        <v>1456.3539000000001</v>
      </c>
      <c r="G143">
        <f t="shared" si="27"/>
        <v>-0.44219000000000003</v>
      </c>
      <c r="H143">
        <f t="shared" si="28"/>
        <v>-643.98513104100005</v>
      </c>
      <c r="I143">
        <v>1</v>
      </c>
      <c r="J143">
        <f t="shared" si="29"/>
        <v>0.37593598342623691</v>
      </c>
      <c r="K143">
        <f t="shared" si="30"/>
        <v>-0.77953515177521737</v>
      </c>
      <c r="L143">
        <v>1</v>
      </c>
      <c r="M143">
        <f t="shared" si="31"/>
        <v>0.54583825271837838</v>
      </c>
      <c r="N143">
        <f t="shared" si="32"/>
        <v>0.12597461234999999</v>
      </c>
      <c r="O143">
        <f t="shared" si="33"/>
        <v>0.10747891782000001</v>
      </c>
      <c r="P143">
        <f t="shared" si="34"/>
        <v>2.4336888683899882E-4</v>
      </c>
    </row>
    <row r="144" spans="1:23" x14ac:dyDescent="0.3">
      <c r="A144">
        <v>7.3342158</v>
      </c>
      <c r="B144">
        <v>0.43985000000000002</v>
      </c>
      <c r="C144">
        <f t="shared" si="25"/>
        <v>3.2259548196300001</v>
      </c>
      <c r="D144">
        <v>1.7299999999999999E-2</v>
      </c>
      <c r="E144">
        <v>1.4760000000000001E-2</v>
      </c>
      <c r="F144">
        <f t="shared" si="26"/>
        <v>1466.8431599999999</v>
      </c>
      <c r="G144">
        <f t="shared" si="27"/>
        <v>-0.43985000000000002</v>
      </c>
      <c r="H144">
        <f t="shared" si="28"/>
        <v>-645.19096392599999</v>
      </c>
      <c r="I144">
        <v>1</v>
      </c>
      <c r="J144">
        <f t="shared" si="29"/>
        <v>0.38311258137990262</v>
      </c>
      <c r="K144">
        <f t="shared" si="30"/>
        <v>-0.78187515177521738</v>
      </c>
      <c r="L144">
        <v>1</v>
      </c>
      <c r="M144">
        <f t="shared" si="31"/>
        <v>0.54615072179328095</v>
      </c>
      <c r="N144">
        <f t="shared" si="32"/>
        <v>0.12688193334</v>
      </c>
      <c r="O144">
        <f t="shared" si="33"/>
        <v>0.10825302520800001</v>
      </c>
      <c r="P144">
        <f t="shared" si="34"/>
        <v>5.8947143393642265E-4</v>
      </c>
    </row>
    <row r="145" spans="1:16" x14ac:dyDescent="0.3">
      <c r="A145">
        <v>7.3846245000000001</v>
      </c>
      <c r="B145">
        <v>0.43752000000000002</v>
      </c>
      <c r="C145">
        <f t="shared" si="25"/>
        <v>3.2309209112400001</v>
      </c>
      <c r="D145">
        <v>1.7299999999999999E-2</v>
      </c>
      <c r="E145">
        <v>1.4760000000000001E-2</v>
      </c>
      <c r="F145">
        <f t="shared" si="26"/>
        <v>1476.9249</v>
      </c>
      <c r="G145">
        <f t="shared" si="27"/>
        <v>-0.43752000000000002</v>
      </c>
      <c r="H145">
        <f t="shared" si="28"/>
        <v>-646.18418224800007</v>
      </c>
      <c r="I145">
        <v>1</v>
      </c>
      <c r="J145">
        <f t="shared" si="29"/>
        <v>0.38996215594643729</v>
      </c>
      <c r="K145">
        <f t="shared" si="30"/>
        <v>-0.78420515177521743</v>
      </c>
      <c r="L145">
        <v>1</v>
      </c>
      <c r="M145">
        <f t="shared" si="31"/>
        <v>0.54644895226990786</v>
      </c>
      <c r="N145">
        <f t="shared" si="32"/>
        <v>0.12775400384999999</v>
      </c>
      <c r="O145">
        <f t="shared" si="33"/>
        <v>0.10899705762</v>
      </c>
      <c r="P145">
        <f t="shared" si="34"/>
        <v>1.0051380353095773E-3</v>
      </c>
    </row>
    <row r="146" spans="1:16" x14ac:dyDescent="0.3">
      <c r="A146">
        <v>7.4360521999999998</v>
      </c>
      <c r="B146">
        <v>0.43552999999999997</v>
      </c>
      <c r="C146">
        <f t="shared" si="25"/>
        <v>3.2386238146659996</v>
      </c>
      <c r="D146">
        <v>1.7299999999999999E-2</v>
      </c>
      <c r="E146">
        <v>1.4760000000000001E-2</v>
      </c>
      <c r="F146">
        <f t="shared" si="26"/>
        <v>1487.2104400000001</v>
      </c>
      <c r="G146">
        <f t="shared" si="27"/>
        <v>-0.43552999999999997</v>
      </c>
      <c r="H146">
        <f t="shared" si="28"/>
        <v>-647.72476293319994</v>
      </c>
      <c r="I146">
        <v>1</v>
      </c>
      <c r="J146">
        <f t="shared" si="29"/>
        <v>0.39690217730363164</v>
      </c>
      <c r="K146">
        <f t="shared" si="30"/>
        <v>-0.78619515177521748</v>
      </c>
      <c r="L146">
        <v>1</v>
      </c>
      <c r="M146">
        <f t="shared" si="31"/>
        <v>0.54675112079980015</v>
      </c>
      <c r="N146">
        <f t="shared" si="32"/>
        <v>0.12864370306</v>
      </c>
      <c r="O146">
        <f t="shared" si="33"/>
        <v>0.109756130472</v>
      </c>
      <c r="P146">
        <f t="shared" si="34"/>
        <v>1.0441974434173273E-3</v>
      </c>
    </row>
    <row r="147" spans="1:16" x14ac:dyDescent="0.3">
      <c r="A147">
        <v>7.4874790000000004</v>
      </c>
      <c r="B147">
        <v>0.43297000000000002</v>
      </c>
      <c r="C147">
        <f t="shared" si="25"/>
        <v>3.2418537826300002</v>
      </c>
      <c r="D147">
        <v>1.7299999999999999E-2</v>
      </c>
      <c r="E147">
        <v>1.4760000000000001E-2</v>
      </c>
      <c r="F147">
        <f t="shared" si="26"/>
        <v>1497.4958000000001</v>
      </c>
      <c r="G147">
        <f t="shared" si="27"/>
        <v>-0.43297000000000002</v>
      </c>
      <c r="H147">
        <f t="shared" si="28"/>
        <v>-648.37075652600004</v>
      </c>
      <c r="I147">
        <v>1</v>
      </c>
      <c r="J147">
        <f t="shared" si="29"/>
        <v>0.40379424632907684</v>
      </c>
      <c r="K147">
        <f t="shared" si="30"/>
        <v>-0.78875515177521738</v>
      </c>
      <c r="L147">
        <v>1</v>
      </c>
      <c r="M147">
        <f t="shared" si="31"/>
        <v>0.54705120148516806</v>
      </c>
      <c r="N147">
        <f t="shared" si="32"/>
        <v>0.1295333867</v>
      </c>
      <c r="O147">
        <f t="shared" si="33"/>
        <v>0.11051519004000002</v>
      </c>
      <c r="P147">
        <f t="shared" si="34"/>
        <v>1.6553735500492994E-3</v>
      </c>
    </row>
    <row r="148" spans="1:16" x14ac:dyDescent="0.3">
      <c r="A148">
        <v>7.5389071999999997</v>
      </c>
      <c r="B148">
        <v>0.43064000000000002</v>
      </c>
      <c r="C148">
        <f t="shared" si="25"/>
        <v>3.2465549966079998</v>
      </c>
      <c r="D148">
        <v>1.7299999999999999E-2</v>
      </c>
      <c r="E148">
        <v>1.4760000000000001E-2</v>
      </c>
      <c r="F148">
        <f t="shared" si="26"/>
        <v>1507.78144</v>
      </c>
      <c r="G148">
        <f t="shared" si="27"/>
        <v>-0.43064000000000002</v>
      </c>
      <c r="H148">
        <f t="shared" si="28"/>
        <v>-649.31099932159998</v>
      </c>
      <c r="I148">
        <v>1</v>
      </c>
      <c r="J148">
        <f t="shared" si="29"/>
        <v>0.41063932539485998</v>
      </c>
      <c r="K148">
        <f t="shared" si="30"/>
        <v>-0.79108515177521743</v>
      </c>
      <c r="L148">
        <v>1</v>
      </c>
      <c r="M148">
        <f t="shared" si="31"/>
        <v>0.54734923622769216</v>
      </c>
      <c r="N148">
        <f t="shared" si="32"/>
        <v>0.13042309455999998</v>
      </c>
      <c r="O148">
        <f t="shared" si="33"/>
        <v>0.111274270272</v>
      </c>
      <c r="P148">
        <f t="shared" si="34"/>
        <v>2.0385507155252919E-3</v>
      </c>
    </row>
    <row r="149" spans="1:16" x14ac:dyDescent="0.3">
      <c r="A149">
        <v>7.5913525000000002</v>
      </c>
      <c r="B149">
        <v>0.42821999999999999</v>
      </c>
      <c r="C149">
        <f t="shared" si="25"/>
        <v>3.25076896755</v>
      </c>
      <c r="D149">
        <v>1.7299999999999999E-2</v>
      </c>
      <c r="E149">
        <v>1.4760000000000001E-2</v>
      </c>
      <c r="F149">
        <f t="shared" si="26"/>
        <v>1518.2705000000001</v>
      </c>
      <c r="G149">
        <f t="shared" si="27"/>
        <v>-0.42821999999999999</v>
      </c>
      <c r="H149">
        <f t="shared" si="28"/>
        <v>-650.15379351000001</v>
      </c>
      <c r="I149">
        <v>1</v>
      </c>
      <c r="J149">
        <f t="shared" si="29"/>
        <v>0.41757185809200864</v>
      </c>
      <c r="K149">
        <f t="shared" si="30"/>
        <v>-0.79350515177521741</v>
      </c>
      <c r="L149">
        <v>1</v>
      </c>
      <c r="M149">
        <f t="shared" si="31"/>
        <v>0.54765107870132601</v>
      </c>
      <c r="N149">
        <f t="shared" si="32"/>
        <v>0.13133039825000001</v>
      </c>
      <c r="O149">
        <f t="shared" si="33"/>
        <v>0.1120483629</v>
      </c>
      <c r="P149">
        <f t="shared" si="34"/>
        <v>2.4753119238913879E-3</v>
      </c>
    </row>
    <row r="150" spans="1:16" x14ac:dyDescent="0.3">
      <c r="A150">
        <v>7.6453267</v>
      </c>
      <c r="B150">
        <v>0.42579</v>
      </c>
      <c r="C150">
        <f t="shared" si="25"/>
        <v>3.2553036555929999</v>
      </c>
      <c r="D150">
        <v>1.7299999999999999E-2</v>
      </c>
      <c r="E150">
        <v>1.4760000000000001E-2</v>
      </c>
      <c r="F150">
        <f t="shared" si="26"/>
        <v>1529.0653400000001</v>
      </c>
      <c r="G150">
        <f t="shared" si="27"/>
        <v>-0.42579</v>
      </c>
      <c r="H150">
        <f t="shared" si="28"/>
        <v>-651.06073111859996</v>
      </c>
      <c r="I150">
        <v>1</v>
      </c>
      <c r="J150">
        <f t="shared" si="29"/>
        <v>0.42465665984681156</v>
      </c>
      <c r="K150">
        <f t="shared" si="30"/>
        <v>-0.79593515177521745</v>
      </c>
      <c r="L150">
        <v>1</v>
      </c>
      <c r="M150">
        <f t="shared" si="31"/>
        <v>0.54795955096973015</v>
      </c>
      <c r="N150">
        <f t="shared" si="32"/>
        <v>0.13226415190999999</v>
      </c>
      <c r="O150">
        <f t="shared" si="33"/>
        <v>0.11284502209200001</v>
      </c>
      <c r="P150">
        <f t="shared" si="34"/>
        <v>2.8664268034873097E-3</v>
      </c>
    </row>
    <row r="151" spans="1:16" x14ac:dyDescent="0.3">
      <c r="A151">
        <v>7.6977725000000001</v>
      </c>
      <c r="B151">
        <v>0.42370999999999998</v>
      </c>
      <c r="C151">
        <f t="shared" si="25"/>
        <v>3.261623185975</v>
      </c>
      <c r="D151">
        <v>1.7299999999999999E-2</v>
      </c>
      <c r="E151">
        <v>1.4760000000000001E-2</v>
      </c>
      <c r="F151">
        <f t="shared" si="26"/>
        <v>1539.5545</v>
      </c>
      <c r="G151">
        <f t="shared" si="27"/>
        <v>-0.42370999999999998</v>
      </c>
      <c r="H151">
        <f t="shared" si="28"/>
        <v>-652.32463719500004</v>
      </c>
      <c r="I151">
        <v>1</v>
      </c>
      <c r="J151">
        <f t="shared" si="29"/>
        <v>0.43149308886006832</v>
      </c>
      <c r="K151">
        <f t="shared" si="30"/>
        <v>-0.79801515177521742</v>
      </c>
      <c r="L151">
        <v>1</v>
      </c>
      <c r="M151">
        <f t="shared" si="31"/>
        <v>0.54825720908896736</v>
      </c>
      <c r="N151">
        <f t="shared" si="32"/>
        <v>0.13317146425000001</v>
      </c>
      <c r="O151">
        <f t="shared" si="33"/>
        <v>0.11361912210000001</v>
      </c>
      <c r="P151">
        <f t="shared" si="34"/>
        <v>2.967356336250046E-3</v>
      </c>
    </row>
    <row r="152" spans="1:16" x14ac:dyDescent="0.3">
      <c r="A152">
        <v>7.7492001999999998</v>
      </c>
      <c r="B152">
        <v>0.42142000000000002</v>
      </c>
      <c r="C152">
        <f t="shared" si="25"/>
        <v>3.2656679482839999</v>
      </c>
      <c r="D152">
        <v>1.7299999999999999E-2</v>
      </c>
      <c r="E152">
        <v>1.4760000000000001E-2</v>
      </c>
      <c r="F152">
        <f t="shared" si="26"/>
        <v>1549.84004</v>
      </c>
      <c r="G152">
        <f t="shared" si="27"/>
        <v>-0.42142000000000002</v>
      </c>
      <c r="H152">
        <f t="shared" si="28"/>
        <v>-653.13358965679993</v>
      </c>
      <c r="I152">
        <v>1</v>
      </c>
      <c r="J152">
        <f t="shared" si="29"/>
        <v>0.4381517256056689</v>
      </c>
      <c r="K152">
        <f t="shared" si="30"/>
        <v>-0.80030515177521744</v>
      </c>
      <c r="L152">
        <v>1</v>
      </c>
      <c r="M152">
        <f t="shared" si="31"/>
        <v>0.54854712613287082</v>
      </c>
      <c r="N152">
        <f t="shared" si="32"/>
        <v>0.13406116345999999</v>
      </c>
      <c r="O152">
        <f t="shared" si="33"/>
        <v>0.114378194952</v>
      </c>
      <c r="P152">
        <f t="shared" si="34"/>
        <v>3.318667230346628E-3</v>
      </c>
    </row>
    <row r="153" spans="1:16" x14ac:dyDescent="0.3">
      <c r="A153">
        <v>7.8006270000000004</v>
      </c>
      <c r="B153">
        <v>0.41927999999999999</v>
      </c>
      <c r="C153">
        <f t="shared" si="25"/>
        <v>3.27064688856</v>
      </c>
      <c r="D153">
        <v>1.7299999999999999E-2</v>
      </c>
      <c r="E153">
        <v>1.4760000000000001E-2</v>
      </c>
      <c r="F153">
        <f t="shared" si="26"/>
        <v>1560.1254000000001</v>
      </c>
      <c r="G153">
        <f t="shared" si="27"/>
        <v>-0.41927999999999999</v>
      </c>
      <c r="H153">
        <f t="shared" si="28"/>
        <v>-654.12937771199995</v>
      </c>
      <c r="I153">
        <v>1</v>
      </c>
      <c r="J153">
        <f t="shared" si="29"/>
        <v>0.44476620264616035</v>
      </c>
      <c r="K153">
        <f t="shared" si="30"/>
        <v>-0.80244515177521747</v>
      </c>
      <c r="L153">
        <v>1</v>
      </c>
      <c r="M153">
        <f t="shared" si="31"/>
        <v>0.54883512046321381</v>
      </c>
      <c r="N153">
        <f t="shared" si="32"/>
        <v>0.13495084709999999</v>
      </c>
      <c r="O153">
        <f t="shared" si="33"/>
        <v>0.11513725452000001</v>
      </c>
      <c r="P153">
        <f t="shared" si="34"/>
        <v>3.5219296920036558E-3</v>
      </c>
    </row>
    <row r="154" spans="1:16" x14ac:dyDescent="0.3">
      <c r="A154">
        <v>7.8525634999999996</v>
      </c>
      <c r="B154">
        <v>0.41643999999999998</v>
      </c>
      <c r="C154">
        <f t="shared" si="25"/>
        <v>3.2701215439399998</v>
      </c>
      <c r="D154">
        <v>1.7299999999999999E-2</v>
      </c>
      <c r="E154">
        <v>1.4760000000000001E-2</v>
      </c>
      <c r="F154">
        <f t="shared" si="26"/>
        <v>1570.5127</v>
      </c>
      <c r="G154">
        <f t="shared" si="27"/>
        <v>-0.41643999999999998</v>
      </c>
      <c r="H154">
        <f t="shared" si="28"/>
        <v>-654.02430878799998</v>
      </c>
      <c r="I154">
        <v>1</v>
      </c>
      <c r="J154">
        <f t="shared" si="29"/>
        <v>0.45140212656049317</v>
      </c>
      <c r="K154">
        <f t="shared" si="30"/>
        <v>-0.80528515177521753</v>
      </c>
      <c r="L154">
        <v>1</v>
      </c>
      <c r="M154">
        <f t="shared" si="31"/>
        <v>0.54912404859044384</v>
      </c>
      <c r="N154">
        <f t="shared" si="32"/>
        <v>0.13584934855</v>
      </c>
      <c r="O154">
        <f t="shared" si="33"/>
        <v>0.11590383726</v>
      </c>
      <c r="P154">
        <f t="shared" si="34"/>
        <v>4.4079173747736955E-3</v>
      </c>
    </row>
    <row r="155" spans="1:16" x14ac:dyDescent="0.3">
      <c r="A155">
        <v>7.9039916999999997</v>
      </c>
      <c r="B155">
        <v>0.41433999999999999</v>
      </c>
      <c r="C155">
        <f t="shared" si="25"/>
        <v>3.2749399209779999</v>
      </c>
      <c r="D155">
        <v>1.7299999999999999E-2</v>
      </c>
      <c r="E155">
        <v>1.4760000000000001E-2</v>
      </c>
      <c r="F155">
        <f t="shared" si="26"/>
        <v>1580.7983400000001</v>
      </c>
      <c r="G155">
        <f t="shared" si="27"/>
        <v>-0.41433999999999999</v>
      </c>
      <c r="H155">
        <f t="shared" si="28"/>
        <v>-654.98798419560001</v>
      </c>
      <c r="I155">
        <v>1</v>
      </c>
      <c r="J155">
        <f t="shared" si="29"/>
        <v>0.45792999790970046</v>
      </c>
      <c r="K155">
        <f t="shared" si="30"/>
        <v>-0.80738515177521752</v>
      </c>
      <c r="L155">
        <v>1</v>
      </c>
      <c r="M155">
        <f t="shared" si="31"/>
        <v>0.54940827210898835</v>
      </c>
      <c r="N155">
        <f t="shared" si="32"/>
        <v>0.13673905641</v>
      </c>
      <c r="O155">
        <f t="shared" si="33"/>
        <v>0.116662917492</v>
      </c>
      <c r="P155">
        <f t="shared" si="34"/>
        <v>4.5749057642291702E-3</v>
      </c>
    </row>
    <row r="156" spans="1:16" x14ac:dyDescent="0.3">
      <c r="A156">
        <v>7.9564370000000002</v>
      </c>
      <c r="B156">
        <v>0.41209000000000001</v>
      </c>
      <c r="C156">
        <f t="shared" si="25"/>
        <v>3.2787681233300003</v>
      </c>
      <c r="D156">
        <v>1.7299999999999999E-2</v>
      </c>
      <c r="E156">
        <v>1.4760000000000001E-2</v>
      </c>
      <c r="F156">
        <f t="shared" si="26"/>
        <v>1591.2873999999999</v>
      </c>
      <c r="G156">
        <f t="shared" si="27"/>
        <v>-0.41209000000000001</v>
      </c>
      <c r="H156">
        <f t="shared" si="28"/>
        <v>-655.75362466600006</v>
      </c>
      <c r="I156">
        <v>1</v>
      </c>
      <c r="J156">
        <f t="shared" si="29"/>
        <v>0.46454337414823221</v>
      </c>
      <c r="K156">
        <f t="shared" si="30"/>
        <v>-0.80963515177521739</v>
      </c>
      <c r="L156">
        <v>1</v>
      </c>
      <c r="M156">
        <f t="shared" si="31"/>
        <v>0.54969621851041406</v>
      </c>
      <c r="N156">
        <f t="shared" si="32"/>
        <v>0.1376463601</v>
      </c>
      <c r="O156">
        <f t="shared" si="33"/>
        <v>0.11743701012</v>
      </c>
      <c r="P156">
        <f t="shared" si="34"/>
        <v>4.855563044803321E-3</v>
      </c>
    </row>
    <row r="157" spans="1:16" x14ac:dyDescent="0.3">
      <c r="A157">
        <v>8.0073554999999992</v>
      </c>
      <c r="B157">
        <v>0.40966000000000002</v>
      </c>
      <c r="C157">
        <f t="shared" si="25"/>
        <v>3.2802932541300001</v>
      </c>
      <c r="D157">
        <v>1.7299999999999999E-2</v>
      </c>
      <c r="E157">
        <v>1.4760000000000001E-2</v>
      </c>
      <c r="F157">
        <f t="shared" si="26"/>
        <v>1601.4710999999998</v>
      </c>
      <c r="G157">
        <f t="shared" si="27"/>
        <v>-0.40966000000000002</v>
      </c>
      <c r="H157">
        <f t="shared" si="28"/>
        <v>-656.05865082599996</v>
      </c>
      <c r="I157">
        <v>1</v>
      </c>
      <c r="J157">
        <f t="shared" si="29"/>
        <v>0.4709226443219855</v>
      </c>
      <c r="K157">
        <f t="shared" si="30"/>
        <v>-0.81206515177521743</v>
      </c>
      <c r="L157">
        <v>1</v>
      </c>
      <c r="M157">
        <f t="shared" si="31"/>
        <v>0.54997397193377928</v>
      </c>
      <c r="N157">
        <f t="shared" si="32"/>
        <v>0.13852725014999998</v>
      </c>
      <c r="O157">
        <f t="shared" si="33"/>
        <v>0.11818856718</v>
      </c>
      <c r="P157">
        <f t="shared" si="34"/>
        <v>5.3753625114381781E-3</v>
      </c>
    </row>
    <row r="158" spans="1:16" x14ac:dyDescent="0.3">
      <c r="A158">
        <v>8.0598018000000007</v>
      </c>
      <c r="B158">
        <v>0.40745999999999999</v>
      </c>
      <c r="C158">
        <f t="shared" si="25"/>
        <v>3.2840468414280002</v>
      </c>
      <c r="D158">
        <v>1.7299999999999999E-2</v>
      </c>
      <c r="E158">
        <v>1.4760000000000001E-2</v>
      </c>
      <c r="F158">
        <f t="shared" si="26"/>
        <v>1611.96036</v>
      </c>
      <c r="G158">
        <f t="shared" si="27"/>
        <v>-0.40745999999999999</v>
      </c>
      <c r="H158">
        <f t="shared" si="28"/>
        <v>-656.80936828560004</v>
      </c>
      <c r="I158">
        <v>1</v>
      </c>
      <c r="J158">
        <f t="shared" si="29"/>
        <v>0.47745105321136394</v>
      </c>
      <c r="K158">
        <f t="shared" si="30"/>
        <v>-0.81426515177521752</v>
      </c>
      <c r="L158">
        <v>1</v>
      </c>
      <c r="M158">
        <f t="shared" si="31"/>
        <v>0.5502582188568228</v>
      </c>
      <c r="N158">
        <f t="shared" si="32"/>
        <v>0.13943457114000002</v>
      </c>
      <c r="O158">
        <f t="shared" si="33"/>
        <v>0.11896267456800001</v>
      </c>
      <c r="P158">
        <f t="shared" si="34"/>
        <v>5.6096872103946899E-3</v>
      </c>
    </row>
    <row r="159" spans="1:16" x14ac:dyDescent="0.3">
      <c r="A159">
        <v>8.1112289999999998</v>
      </c>
      <c r="B159">
        <v>0.40518999999999999</v>
      </c>
      <c r="C159">
        <f t="shared" si="25"/>
        <v>3.2865888785099999</v>
      </c>
      <c r="D159">
        <v>1.7299999999999999E-2</v>
      </c>
      <c r="E159">
        <v>1.4760000000000001E-2</v>
      </c>
      <c r="F159">
        <f t="shared" si="26"/>
        <v>1622.2457999999999</v>
      </c>
      <c r="G159">
        <f t="shared" si="27"/>
        <v>-0.40518999999999999</v>
      </c>
      <c r="H159">
        <f t="shared" si="28"/>
        <v>-657.31777570199995</v>
      </c>
      <c r="I159">
        <v>1</v>
      </c>
      <c r="J159">
        <f t="shared" si="29"/>
        <v>0.48381148551902553</v>
      </c>
      <c r="K159">
        <f t="shared" si="30"/>
        <v>-0.81653515177521752</v>
      </c>
      <c r="L159">
        <v>1</v>
      </c>
      <c r="M159">
        <f t="shared" si="31"/>
        <v>0.55053515207949832</v>
      </c>
      <c r="N159">
        <f t="shared" si="32"/>
        <v>0.14032426169999998</v>
      </c>
      <c r="O159">
        <f t="shared" si="33"/>
        <v>0.11972174004</v>
      </c>
      <c r="P159">
        <f t="shared" si="34"/>
        <v>5.9539979557192146E-3</v>
      </c>
    </row>
    <row r="160" spans="1:16" x14ac:dyDescent="0.3">
      <c r="A160">
        <v>8.1631654999999999</v>
      </c>
      <c r="B160">
        <v>0.40286</v>
      </c>
      <c r="C160">
        <f t="shared" si="25"/>
        <v>3.2886128533300001</v>
      </c>
      <c r="D160">
        <v>1.7299999999999999E-2</v>
      </c>
      <c r="E160">
        <v>1.4760000000000001E-2</v>
      </c>
      <c r="F160">
        <f t="shared" si="26"/>
        <v>1632.6331</v>
      </c>
      <c r="G160">
        <f t="shared" si="27"/>
        <v>-0.40286</v>
      </c>
      <c r="H160">
        <f t="shared" si="28"/>
        <v>-657.72257066600002</v>
      </c>
      <c r="I160">
        <v>1</v>
      </c>
      <c r="J160">
        <f t="shared" si="29"/>
        <v>0.49019411023851384</v>
      </c>
      <c r="K160">
        <f t="shared" si="30"/>
        <v>-0.81886515177521746</v>
      </c>
      <c r="L160">
        <v>1</v>
      </c>
      <c r="M160">
        <f t="shared" si="31"/>
        <v>0.55081305155978488</v>
      </c>
      <c r="N160">
        <f t="shared" si="32"/>
        <v>0.14122276314999999</v>
      </c>
      <c r="O160">
        <f t="shared" si="33"/>
        <v>0.12048832278</v>
      </c>
      <c r="P160">
        <f t="shared" si="34"/>
        <v>6.3410142854325863E-3</v>
      </c>
    </row>
    <row r="161" spans="1:16" x14ac:dyDescent="0.3">
      <c r="A161">
        <v>8.2135751999999993</v>
      </c>
      <c r="B161">
        <v>0.40055000000000002</v>
      </c>
      <c r="C161">
        <f t="shared" si="25"/>
        <v>3.2899475463599996</v>
      </c>
      <c r="D161">
        <v>1.7299999999999999E-2</v>
      </c>
      <c r="E161">
        <v>1.4760000000000001E-2</v>
      </c>
      <c r="F161">
        <f t="shared" si="26"/>
        <v>1642.7150399999998</v>
      </c>
      <c r="G161">
        <f t="shared" si="27"/>
        <v>-0.40055000000000002</v>
      </c>
      <c r="H161">
        <f t="shared" si="28"/>
        <v>-657.98950927199996</v>
      </c>
      <c r="I161">
        <v>1</v>
      </c>
      <c r="J161">
        <f t="shared" si="29"/>
        <v>0.49635038518147157</v>
      </c>
      <c r="K161">
        <f t="shared" si="30"/>
        <v>-0.82117515177521749</v>
      </c>
      <c r="L161">
        <v>1</v>
      </c>
      <c r="M161">
        <f t="shared" si="31"/>
        <v>0.55108109577080122</v>
      </c>
      <c r="N161">
        <f t="shared" si="32"/>
        <v>0.14209485095999999</v>
      </c>
      <c r="O161">
        <f t="shared" si="33"/>
        <v>0.121232369952</v>
      </c>
      <c r="P161">
        <f t="shared" si="34"/>
        <v>6.7668350924162818E-3</v>
      </c>
    </row>
    <row r="162" spans="1:16" x14ac:dyDescent="0.3">
      <c r="A162">
        <v>8.2639844</v>
      </c>
      <c r="B162">
        <v>0.39802999999999999</v>
      </c>
      <c r="C162">
        <f t="shared" si="25"/>
        <v>3.2893137107319999</v>
      </c>
      <c r="D162">
        <v>1.7299999999999999E-2</v>
      </c>
      <c r="E162">
        <v>1.4760000000000001E-2</v>
      </c>
      <c r="F162">
        <f t="shared" si="26"/>
        <v>1652.7968800000001</v>
      </c>
      <c r="G162">
        <f t="shared" si="27"/>
        <v>-0.39802999999999999</v>
      </c>
      <c r="H162">
        <f t="shared" si="28"/>
        <v>-657.86274214640002</v>
      </c>
      <c r="I162">
        <v>1</v>
      </c>
      <c r="J162">
        <f t="shared" si="29"/>
        <v>0.50246893167574391</v>
      </c>
      <c r="K162">
        <f t="shared" si="30"/>
        <v>-0.82369515177521746</v>
      </c>
      <c r="L162">
        <v>1</v>
      </c>
      <c r="M162">
        <f t="shared" si="31"/>
        <v>0.55134749728516186</v>
      </c>
      <c r="N162">
        <f t="shared" si="32"/>
        <v>0.14296693012</v>
      </c>
      <c r="O162">
        <f t="shared" si="33"/>
        <v>0.12197640974400001</v>
      </c>
      <c r="P162">
        <f t="shared" si="34"/>
        <v>7.4043146260555914E-3</v>
      </c>
    </row>
    <row r="163" spans="1:16" x14ac:dyDescent="0.3">
      <c r="A163">
        <v>8.3149023</v>
      </c>
      <c r="B163">
        <v>0.39585999999999999</v>
      </c>
      <c r="C163">
        <f t="shared" si="25"/>
        <v>3.2915372244780001</v>
      </c>
      <c r="D163">
        <v>1.7299999999999999E-2</v>
      </c>
      <c r="E163">
        <v>1.4760000000000001E-2</v>
      </c>
      <c r="F163">
        <f t="shared" si="26"/>
        <v>1662.98046</v>
      </c>
      <c r="G163">
        <f t="shared" si="27"/>
        <v>-0.39585999999999999</v>
      </c>
      <c r="H163">
        <f t="shared" si="28"/>
        <v>-658.30744489560004</v>
      </c>
      <c r="I163">
        <v>1</v>
      </c>
      <c r="J163">
        <f t="shared" si="29"/>
        <v>0.50861145029209132</v>
      </c>
      <c r="K163">
        <f t="shared" si="30"/>
        <v>-0.82586515177521747</v>
      </c>
      <c r="L163">
        <v>1</v>
      </c>
      <c r="M163">
        <f t="shared" si="31"/>
        <v>0.55161494254571763</v>
      </c>
      <c r="N163">
        <f t="shared" si="32"/>
        <v>0.14384780979</v>
      </c>
      <c r="O163">
        <f t="shared" si="33"/>
        <v>0.12272795794800001</v>
      </c>
      <c r="P163">
        <f t="shared" si="34"/>
        <v>7.6744414914998171E-3</v>
      </c>
    </row>
    <row r="164" spans="1:16" x14ac:dyDescent="0.3">
      <c r="A164">
        <v>8.3673485999999997</v>
      </c>
      <c r="B164">
        <v>0.39363999999999999</v>
      </c>
      <c r="C164">
        <f t="shared" si="25"/>
        <v>3.2937231029039999</v>
      </c>
      <c r="D164">
        <v>1.7299999999999999E-2</v>
      </c>
      <c r="E164">
        <v>1.4760000000000001E-2</v>
      </c>
      <c r="F164">
        <f t="shared" si="26"/>
        <v>1673.4697200000001</v>
      </c>
      <c r="G164">
        <f t="shared" si="27"/>
        <v>-0.39363999999999999</v>
      </c>
      <c r="H164">
        <f t="shared" si="28"/>
        <v>-658.74462058079996</v>
      </c>
      <c r="I164">
        <v>1</v>
      </c>
      <c r="J164">
        <f t="shared" si="29"/>
        <v>0.51489914769019229</v>
      </c>
      <c r="K164">
        <f t="shared" si="30"/>
        <v>-0.82808515177521747</v>
      </c>
      <c r="L164">
        <v>1</v>
      </c>
      <c r="M164">
        <f t="shared" si="31"/>
        <v>0.55188870889043096</v>
      </c>
      <c r="N164">
        <f t="shared" si="32"/>
        <v>0.14475513077999999</v>
      </c>
      <c r="O164">
        <f t="shared" si="33"/>
        <v>0.123502065336</v>
      </c>
      <c r="P164">
        <f t="shared" si="34"/>
        <v>7.9392467687865176E-3</v>
      </c>
    </row>
    <row r="165" spans="1:16" x14ac:dyDescent="0.3">
      <c r="A165">
        <v>8.4177578000000004</v>
      </c>
      <c r="B165">
        <v>0.39113999999999999</v>
      </c>
      <c r="C165">
        <f t="shared" si="25"/>
        <v>3.2925217858920002</v>
      </c>
      <c r="D165">
        <v>1.7299999999999999E-2</v>
      </c>
      <c r="E165">
        <v>1.4760000000000001E-2</v>
      </c>
      <c r="F165">
        <f t="shared" si="26"/>
        <v>1683.5515600000001</v>
      </c>
      <c r="G165">
        <f t="shared" si="27"/>
        <v>-0.39113999999999999</v>
      </c>
      <c r="H165">
        <f t="shared" si="28"/>
        <v>-658.50435717840003</v>
      </c>
      <c r="I165">
        <v>1</v>
      </c>
      <c r="J165">
        <f t="shared" si="29"/>
        <v>0.52090558582063196</v>
      </c>
      <c r="K165">
        <f t="shared" si="30"/>
        <v>-0.83058515177521741</v>
      </c>
      <c r="L165">
        <v>1</v>
      </c>
      <c r="M165">
        <f t="shared" si="31"/>
        <v>0.55215022920663026</v>
      </c>
      <c r="N165">
        <f t="shared" si="32"/>
        <v>0.14562720994</v>
      </c>
      <c r="O165">
        <f t="shared" si="33"/>
        <v>0.12424610512800001</v>
      </c>
      <c r="P165">
        <f t="shared" si="34"/>
        <v>8.56160750058714E-3</v>
      </c>
    </row>
    <row r="166" spans="1:16" x14ac:dyDescent="0.3">
      <c r="A166">
        <v>8.4712227000000002</v>
      </c>
      <c r="B166">
        <v>0.38894000000000001</v>
      </c>
      <c r="C166">
        <f t="shared" si="25"/>
        <v>3.294797356938</v>
      </c>
      <c r="D166">
        <v>1.7299999999999999E-2</v>
      </c>
      <c r="E166">
        <v>1.4760000000000001E-2</v>
      </c>
      <c r="F166">
        <f t="shared" si="26"/>
        <v>1694.2445400000001</v>
      </c>
      <c r="G166">
        <f t="shared" si="27"/>
        <v>-0.38894000000000001</v>
      </c>
      <c r="H166">
        <f t="shared" si="28"/>
        <v>-658.95947138760005</v>
      </c>
      <c r="I166">
        <v>1</v>
      </c>
      <c r="J166">
        <f t="shared" si="29"/>
        <v>0.52723694236399665</v>
      </c>
      <c r="K166">
        <f t="shared" si="30"/>
        <v>-0.83278515177521739</v>
      </c>
      <c r="L166">
        <v>1</v>
      </c>
      <c r="M166">
        <f t="shared" si="31"/>
        <v>0.55242589647052842</v>
      </c>
      <c r="N166">
        <f t="shared" si="32"/>
        <v>0.14655215270999999</v>
      </c>
      <c r="O166">
        <f t="shared" si="33"/>
        <v>0.125035247052</v>
      </c>
      <c r="P166">
        <f t="shared" si="34"/>
        <v>8.7718555426889722E-3</v>
      </c>
    </row>
    <row r="167" spans="1:16" x14ac:dyDescent="0.3">
      <c r="A167">
        <v>8.5221406000000002</v>
      </c>
      <c r="B167">
        <v>0.38651999999999997</v>
      </c>
      <c r="C167">
        <f t="shared" si="25"/>
        <v>3.2939777847119998</v>
      </c>
      <c r="D167">
        <v>1.7299999999999999E-2</v>
      </c>
      <c r="E167">
        <v>1.4760000000000001E-2</v>
      </c>
      <c r="F167">
        <f t="shared" si="26"/>
        <v>1704.42812</v>
      </c>
      <c r="G167">
        <f t="shared" si="27"/>
        <v>-0.38651999999999997</v>
      </c>
      <c r="H167">
        <f t="shared" si="28"/>
        <v>-658.79555694239991</v>
      </c>
      <c r="I167">
        <v>1</v>
      </c>
      <c r="J167">
        <f t="shared" si="29"/>
        <v>0.53322964098205805</v>
      </c>
      <c r="K167">
        <f t="shared" si="30"/>
        <v>-0.83520515177521748</v>
      </c>
      <c r="L167">
        <v>1</v>
      </c>
      <c r="M167">
        <f t="shared" si="31"/>
        <v>0.55268681856835877</v>
      </c>
      <c r="N167">
        <f t="shared" si="32"/>
        <v>0.14743303238</v>
      </c>
      <c r="O167">
        <f t="shared" si="33"/>
        <v>0.12578679525600001</v>
      </c>
      <c r="P167">
        <f t="shared" si="34"/>
        <v>9.2985055708587061E-3</v>
      </c>
    </row>
    <row r="168" spans="1:16" x14ac:dyDescent="0.3">
      <c r="A168">
        <v>8.5761143000000004</v>
      </c>
      <c r="B168">
        <v>0.38429000000000002</v>
      </c>
      <c r="C168">
        <f t="shared" si="25"/>
        <v>3.2957149643470003</v>
      </c>
      <c r="D168">
        <v>1.7299999999999999E-2</v>
      </c>
      <c r="E168">
        <v>1.4760000000000001E-2</v>
      </c>
      <c r="F168">
        <f t="shared" si="26"/>
        <v>1715.2228600000001</v>
      </c>
      <c r="G168">
        <f t="shared" si="27"/>
        <v>-0.38429000000000002</v>
      </c>
      <c r="H168">
        <f t="shared" si="28"/>
        <v>-659.14299286940002</v>
      </c>
      <c r="I168">
        <v>1</v>
      </c>
      <c r="J168">
        <f t="shared" si="29"/>
        <v>0.53954301969732132</v>
      </c>
      <c r="K168">
        <f t="shared" si="30"/>
        <v>-0.83743515177521743</v>
      </c>
      <c r="L168">
        <v>1</v>
      </c>
      <c r="M168">
        <f t="shared" si="31"/>
        <v>0.55296170307762138</v>
      </c>
      <c r="N168">
        <f t="shared" si="32"/>
        <v>0.14836677739000001</v>
      </c>
      <c r="O168">
        <f t="shared" si="33"/>
        <v>0.12658344706800001</v>
      </c>
      <c r="P168">
        <f t="shared" si="34"/>
        <v>9.5232242395960343E-3</v>
      </c>
    </row>
    <row r="169" spans="1:16" x14ac:dyDescent="0.3">
      <c r="A169">
        <v>8.6270322000000004</v>
      </c>
      <c r="B169">
        <v>0.38168999999999997</v>
      </c>
      <c r="C169">
        <f t="shared" si="25"/>
        <v>3.2928519204179998</v>
      </c>
      <c r="D169">
        <v>1.7299999999999999E-2</v>
      </c>
      <c r="E169">
        <v>1.4760000000000001E-2</v>
      </c>
      <c r="F169">
        <f t="shared" si="26"/>
        <v>1725.40644</v>
      </c>
      <c r="G169">
        <f t="shared" si="27"/>
        <v>-0.38168999999999997</v>
      </c>
      <c r="H169">
        <f t="shared" si="28"/>
        <v>-658.57038408359995</v>
      </c>
      <c r="I169">
        <v>1</v>
      </c>
      <c r="J169">
        <f t="shared" si="29"/>
        <v>0.54546264012120926</v>
      </c>
      <c r="K169">
        <f t="shared" si="30"/>
        <v>-0.84003515177521748</v>
      </c>
      <c r="L169">
        <v>1</v>
      </c>
      <c r="M169">
        <f t="shared" si="31"/>
        <v>0.55321944335087747</v>
      </c>
      <c r="N169">
        <f t="shared" si="32"/>
        <v>0.14924765706000001</v>
      </c>
      <c r="O169">
        <f t="shared" si="33"/>
        <v>0.12733499527200001</v>
      </c>
      <c r="P169">
        <f t="shared" si="34"/>
        <v>1.0233056092339987E-2</v>
      </c>
    </row>
    <row r="170" spans="1:16" x14ac:dyDescent="0.3">
      <c r="A170">
        <v>8.6794785000000001</v>
      </c>
      <c r="B170">
        <v>0.37955</v>
      </c>
      <c r="C170">
        <f t="shared" si="25"/>
        <v>3.2942960646750001</v>
      </c>
      <c r="D170">
        <v>1.7299999999999999E-2</v>
      </c>
      <c r="E170">
        <v>1.4760000000000001E-2</v>
      </c>
      <c r="F170">
        <f t="shared" si="26"/>
        <v>1735.8957</v>
      </c>
      <c r="G170">
        <f t="shared" si="27"/>
        <v>-0.37955</v>
      </c>
      <c r="H170">
        <f t="shared" si="28"/>
        <v>-658.85921293500007</v>
      </c>
      <c r="I170">
        <v>1</v>
      </c>
      <c r="J170">
        <f t="shared" si="29"/>
        <v>0.55152353378808283</v>
      </c>
      <c r="K170">
        <f t="shared" si="30"/>
        <v>-0.8421751517752174</v>
      </c>
      <c r="L170">
        <v>1</v>
      </c>
      <c r="M170">
        <f t="shared" si="31"/>
        <v>0.55348333466113309</v>
      </c>
      <c r="N170">
        <f t="shared" si="32"/>
        <v>0.15015497805</v>
      </c>
      <c r="O170">
        <f t="shared" si="33"/>
        <v>0.12810910266</v>
      </c>
      <c r="P170">
        <f t="shared" si="34"/>
        <v>1.0427736404084315E-2</v>
      </c>
    </row>
    <row r="171" spans="1:16" x14ac:dyDescent="0.3">
      <c r="A171">
        <v>8.7319238000000006</v>
      </c>
      <c r="B171">
        <v>0.37701000000000001</v>
      </c>
      <c r="C171">
        <f t="shared" si="25"/>
        <v>3.2920225918380002</v>
      </c>
      <c r="D171">
        <v>1.7299999999999999E-2</v>
      </c>
      <c r="E171">
        <v>1.4760000000000001E-2</v>
      </c>
      <c r="F171">
        <f t="shared" si="26"/>
        <v>1746.3847600000001</v>
      </c>
      <c r="G171">
        <f t="shared" si="27"/>
        <v>-0.37701000000000001</v>
      </c>
      <c r="H171">
        <f t="shared" si="28"/>
        <v>-658.40451836760008</v>
      </c>
      <c r="I171">
        <v>1</v>
      </c>
      <c r="J171">
        <f t="shared" si="29"/>
        <v>0.55754779969238755</v>
      </c>
      <c r="K171">
        <f t="shared" si="30"/>
        <v>-0.84471515177521739</v>
      </c>
      <c r="L171">
        <v>1</v>
      </c>
      <c r="M171">
        <f t="shared" si="31"/>
        <v>0.55374563119860654</v>
      </c>
      <c r="N171">
        <f t="shared" si="32"/>
        <v>0.15106228174</v>
      </c>
      <c r="O171">
        <f t="shared" si="33"/>
        <v>0.12888319528800002</v>
      </c>
      <c r="P171">
        <f t="shared" si="34"/>
        <v>1.1024043548610835E-2</v>
      </c>
    </row>
    <row r="172" spans="1:16" x14ac:dyDescent="0.3">
      <c r="A172">
        <v>8.7869159999999997</v>
      </c>
      <c r="B172">
        <v>0.37451000000000001</v>
      </c>
      <c r="C172">
        <f t="shared" si="25"/>
        <v>3.2907879111599998</v>
      </c>
      <c r="D172">
        <v>1.7299999999999999E-2</v>
      </c>
      <c r="E172">
        <v>1.4760000000000001E-2</v>
      </c>
      <c r="F172">
        <f t="shared" si="26"/>
        <v>1757.3832</v>
      </c>
      <c r="G172">
        <f t="shared" si="27"/>
        <v>-0.37451000000000001</v>
      </c>
      <c r="H172">
        <f t="shared" si="28"/>
        <v>-658.15758223199998</v>
      </c>
      <c r="I172">
        <v>1</v>
      </c>
      <c r="J172">
        <f t="shared" si="29"/>
        <v>0.56382588445726545</v>
      </c>
      <c r="K172">
        <f t="shared" si="30"/>
        <v>-0.84721515177521745</v>
      </c>
      <c r="L172">
        <v>1</v>
      </c>
      <c r="M172">
        <f t="shared" si="31"/>
        <v>0.55401897900926933</v>
      </c>
      <c r="N172">
        <f t="shared" si="32"/>
        <v>0.15201364679999999</v>
      </c>
      <c r="O172">
        <f t="shared" si="33"/>
        <v>0.12969488016</v>
      </c>
      <c r="P172">
        <f t="shared" si="34"/>
        <v>1.1487645805948132E-2</v>
      </c>
    </row>
    <row r="173" spans="1:16" x14ac:dyDescent="0.3">
      <c r="A173">
        <v>8.8378350000000001</v>
      </c>
      <c r="B173">
        <v>0.37228</v>
      </c>
      <c r="C173">
        <f t="shared" si="25"/>
        <v>3.2901492137999999</v>
      </c>
      <c r="D173">
        <v>1.7299999999999999E-2</v>
      </c>
      <c r="E173">
        <v>1.4760000000000001E-2</v>
      </c>
      <c r="F173">
        <f t="shared" si="26"/>
        <v>1767.567</v>
      </c>
      <c r="G173">
        <f t="shared" si="27"/>
        <v>-0.37228</v>
      </c>
      <c r="H173">
        <f t="shared" si="28"/>
        <v>-658.02984275999995</v>
      </c>
      <c r="I173">
        <v>1</v>
      </c>
      <c r="J173">
        <f t="shared" si="29"/>
        <v>0.56960402471795968</v>
      </c>
      <c r="K173">
        <f t="shared" si="30"/>
        <v>-0.84944515177521751</v>
      </c>
      <c r="L173">
        <v>1</v>
      </c>
      <c r="M173">
        <f t="shared" si="31"/>
        <v>0.55427055923621993</v>
      </c>
      <c r="N173">
        <f t="shared" si="32"/>
        <v>0.15289454550000001</v>
      </c>
      <c r="O173">
        <f t="shared" si="33"/>
        <v>0.13044644460000002</v>
      </c>
      <c r="P173">
        <f t="shared" si="34"/>
        <v>1.1833602438997559E-2</v>
      </c>
    </row>
    <row r="174" spans="1:16" x14ac:dyDescent="0.3">
      <c r="A174">
        <v>8.8902803000000006</v>
      </c>
      <c r="B174">
        <v>0.36995</v>
      </c>
      <c r="C174">
        <f t="shared" si="25"/>
        <v>3.2889591969850001</v>
      </c>
      <c r="D174">
        <v>1.7299999999999999E-2</v>
      </c>
      <c r="E174">
        <v>1.4760000000000001E-2</v>
      </c>
      <c r="F174">
        <f t="shared" si="26"/>
        <v>1778.0560600000001</v>
      </c>
      <c r="G174">
        <f t="shared" si="27"/>
        <v>-0.36995</v>
      </c>
      <c r="H174">
        <f t="shared" si="28"/>
        <v>-657.79183939699999</v>
      </c>
      <c r="I174">
        <v>1</v>
      </c>
      <c r="J174">
        <f t="shared" si="29"/>
        <v>0.5755206664034328</v>
      </c>
      <c r="K174">
        <f t="shared" si="30"/>
        <v>-0.85177515177521745</v>
      </c>
      <c r="L174">
        <v>1</v>
      </c>
      <c r="M174">
        <f t="shared" si="31"/>
        <v>0.55452816981520547</v>
      </c>
      <c r="N174">
        <f t="shared" si="32"/>
        <v>0.15380184919000001</v>
      </c>
      <c r="O174">
        <f t="shared" si="33"/>
        <v>0.13122053722800001</v>
      </c>
      <c r="P174">
        <f t="shared" si="34"/>
        <v>1.2224595542011968E-2</v>
      </c>
    </row>
    <row r="175" spans="1:16" x14ac:dyDescent="0.3">
      <c r="A175">
        <v>8.9406885000000003</v>
      </c>
      <c r="B175">
        <v>0.36747000000000002</v>
      </c>
      <c r="C175">
        <f t="shared" si="25"/>
        <v>3.2854348030950002</v>
      </c>
      <c r="D175">
        <v>1.7299999999999999E-2</v>
      </c>
      <c r="E175">
        <v>1.4760000000000001E-2</v>
      </c>
      <c r="F175">
        <f t="shared" si="26"/>
        <v>1788.1377</v>
      </c>
      <c r="G175">
        <f t="shared" si="27"/>
        <v>-0.36747000000000002</v>
      </c>
      <c r="H175">
        <f t="shared" si="28"/>
        <v>-657.08696061900002</v>
      </c>
      <c r="I175">
        <v>1</v>
      </c>
      <c r="J175">
        <f t="shared" si="29"/>
        <v>0.58117468720875987</v>
      </c>
      <c r="K175">
        <f t="shared" si="30"/>
        <v>-0.85425515177521749</v>
      </c>
      <c r="L175">
        <v>1</v>
      </c>
      <c r="M175">
        <f t="shared" si="31"/>
        <v>0.55477434588106944</v>
      </c>
      <c r="N175">
        <f t="shared" si="32"/>
        <v>0.15467391105</v>
      </c>
      <c r="O175">
        <f t="shared" si="33"/>
        <v>0.13196456226</v>
      </c>
      <c r="P175">
        <f t="shared" si="34"/>
        <v>1.2842332584148047E-2</v>
      </c>
    </row>
    <row r="176" spans="1:16" x14ac:dyDescent="0.3">
      <c r="A176">
        <v>8.9946631000000004</v>
      </c>
      <c r="B176">
        <v>0.36519000000000001</v>
      </c>
      <c r="C176">
        <f t="shared" si="25"/>
        <v>3.2847610174890001</v>
      </c>
      <c r="D176">
        <v>1.7299999999999999E-2</v>
      </c>
      <c r="E176">
        <v>1.4760000000000001E-2</v>
      </c>
      <c r="F176">
        <f t="shared" si="26"/>
        <v>1798.93262</v>
      </c>
      <c r="G176">
        <f t="shared" si="27"/>
        <v>-0.36519000000000001</v>
      </c>
      <c r="H176">
        <f t="shared" si="28"/>
        <v>-656.95220349780004</v>
      </c>
      <c r="I176">
        <v>1</v>
      </c>
      <c r="J176">
        <f t="shared" si="29"/>
        <v>0.58719350012578264</v>
      </c>
      <c r="K176">
        <f t="shared" si="30"/>
        <v>-0.85653515177521744</v>
      </c>
      <c r="L176">
        <v>1</v>
      </c>
      <c r="M176">
        <f t="shared" si="31"/>
        <v>0.55503640499547657</v>
      </c>
      <c r="N176">
        <f t="shared" si="32"/>
        <v>0.15560767163</v>
      </c>
      <c r="O176">
        <f t="shared" si="33"/>
        <v>0.13276122735600002</v>
      </c>
      <c r="P176">
        <f t="shared" si="34"/>
        <v>1.3129847793740851E-2</v>
      </c>
    </row>
    <row r="177" spans="1:16" x14ac:dyDescent="0.3">
      <c r="A177">
        <v>9.0506729000000004</v>
      </c>
      <c r="B177">
        <v>0.36246</v>
      </c>
      <c r="C177">
        <f t="shared" si="25"/>
        <v>3.2805068993340001</v>
      </c>
      <c r="D177">
        <v>1.7299999999999999E-2</v>
      </c>
      <c r="E177">
        <v>1.4760000000000001E-2</v>
      </c>
      <c r="F177">
        <f t="shared" si="26"/>
        <v>1810.1345800000001</v>
      </c>
      <c r="G177">
        <f t="shared" si="27"/>
        <v>-0.36246</v>
      </c>
      <c r="H177">
        <f t="shared" si="28"/>
        <v>-656.10137986680002</v>
      </c>
      <c r="I177">
        <v>1</v>
      </c>
      <c r="J177">
        <f t="shared" si="29"/>
        <v>0.59340119610480346</v>
      </c>
      <c r="K177">
        <f t="shared" si="30"/>
        <v>-0.85926515177521745</v>
      </c>
      <c r="L177">
        <v>1</v>
      </c>
      <c r="M177">
        <f t="shared" si="31"/>
        <v>0.55530668807840311</v>
      </c>
      <c r="N177">
        <f t="shared" si="32"/>
        <v>0.15657664117</v>
      </c>
      <c r="O177">
        <f t="shared" si="33"/>
        <v>0.13358793200400002</v>
      </c>
      <c r="P177">
        <f t="shared" si="34"/>
        <v>1.3793890522814323E-2</v>
      </c>
    </row>
    <row r="178" spans="1:16" x14ac:dyDescent="0.3">
      <c r="A178">
        <v>9.1010819999999999</v>
      </c>
      <c r="B178">
        <v>0.36</v>
      </c>
      <c r="C178">
        <f t="shared" si="25"/>
        <v>3.2763895199999999</v>
      </c>
      <c r="D178">
        <v>1.7299999999999999E-2</v>
      </c>
      <c r="E178">
        <v>1.4760000000000001E-2</v>
      </c>
      <c r="F178">
        <f t="shared" si="26"/>
        <v>1820.2164</v>
      </c>
      <c r="G178">
        <f t="shared" si="27"/>
        <v>-0.36</v>
      </c>
      <c r="H178">
        <f t="shared" si="28"/>
        <v>-655.27790400000004</v>
      </c>
      <c r="I178">
        <v>1</v>
      </c>
      <c r="J178">
        <f t="shared" si="29"/>
        <v>0.59895539511942975</v>
      </c>
      <c r="K178">
        <f t="shared" si="30"/>
        <v>-0.86172515177521747</v>
      </c>
      <c r="L178">
        <v>1</v>
      </c>
      <c r="M178">
        <f t="shared" si="31"/>
        <v>0.55554851790350002</v>
      </c>
      <c r="N178">
        <f t="shared" si="32"/>
        <v>0.15744871859999998</v>
      </c>
      <c r="O178">
        <f t="shared" si="33"/>
        <v>0.13433197031999999</v>
      </c>
      <c r="P178">
        <f t="shared" si="34"/>
        <v>1.4395944951717476E-2</v>
      </c>
    </row>
    <row r="179" spans="1:16" x14ac:dyDescent="0.3">
      <c r="A179">
        <v>9.1530185999999993</v>
      </c>
      <c r="B179">
        <v>0.35780000000000001</v>
      </c>
      <c r="C179">
        <f t="shared" si="25"/>
        <v>3.2749500550799997</v>
      </c>
      <c r="D179">
        <v>1.7299999999999999E-2</v>
      </c>
      <c r="E179">
        <v>1.4760000000000001E-2</v>
      </c>
      <c r="F179">
        <f t="shared" si="26"/>
        <v>1830.6037199999998</v>
      </c>
      <c r="G179">
        <f t="shared" si="27"/>
        <v>-0.35780000000000001</v>
      </c>
      <c r="H179">
        <f t="shared" si="28"/>
        <v>-654.99001101599993</v>
      </c>
      <c r="I179">
        <v>1</v>
      </c>
      <c r="J179">
        <f t="shared" si="29"/>
        <v>0.60464581408709328</v>
      </c>
      <c r="K179">
        <f t="shared" si="30"/>
        <v>-0.86392515177521745</v>
      </c>
      <c r="L179">
        <v>1</v>
      </c>
      <c r="M179">
        <f t="shared" si="31"/>
        <v>0.55579627874535209</v>
      </c>
      <c r="N179">
        <f t="shared" si="32"/>
        <v>0.15834722177999999</v>
      </c>
      <c r="O179">
        <f t="shared" si="33"/>
        <v>0.135098554536</v>
      </c>
      <c r="P179">
        <f t="shared" si="34"/>
        <v>1.4683096713865362E-2</v>
      </c>
    </row>
    <row r="180" spans="1:16" x14ac:dyDescent="0.3">
      <c r="A180">
        <v>9.2075010000000006</v>
      </c>
      <c r="B180">
        <v>0.35542000000000001</v>
      </c>
      <c r="C180">
        <f t="shared" si="25"/>
        <v>3.2725300054200002</v>
      </c>
      <c r="D180">
        <v>1.7299999999999999E-2</v>
      </c>
      <c r="E180">
        <v>1.4760000000000001E-2</v>
      </c>
      <c r="F180">
        <f t="shared" si="26"/>
        <v>1841.5002000000002</v>
      </c>
      <c r="G180">
        <f t="shared" si="27"/>
        <v>-0.35542000000000001</v>
      </c>
      <c r="H180">
        <f t="shared" si="28"/>
        <v>-654.50600108399999</v>
      </c>
      <c r="I180">
        <v>1</v>
      </c>
      <c r="J180">
        <f t="shared" si="29"/>
        <v>0.61058056551009099</v>
      </c>
      <c r="K180">
        <f t="shared" si="30"/>
        <v>-0.86630515177521739</v>
      </c>
      <c r="L180">
        <v>1</v>
      </c>
      <c r="M180">
        <f t="shared" si="31"/>
        <v>0.55605467782230933</v>
      </c>
      <c r="N180">
        <f t="shared" si="32"/>
        <v>0.1592897673</v>
      </c>
      <c r="O180">
        <f t="shared" si="33"/>
        <v>0.13590271476000002</v>
      </c>
      <c r="P180">
        <f t="shared" si="34"/>
        <v>1.5057991892908046E-2</v>
      </c>
    </row>
    <row r="181" spans="1:16" x14ac:dyDescent="0.3">
      <c r="A181">
        <v>9.2624931999999998</v>
      </c>
      <c r="B181">
        <v>0.35272999999999999</v>
      </c>
      <c r="C181">
        <f t="shared" si="25"/>
        <v>3.2671592264359997</v>
      </c>
      <c r="D181">
        <v>1.7299999999999999E-2</v>
      </c>
      <c r="E181">
        <v>1.4760000000000001E-2</v>
      </c>
      <c r="F181">
        <f t="shared" si="26"/>
        <v>1852.49864</v>
      </c>
      <c r="G181">
        <f t="shared" si="27"/>
        <v>-0.35272999999999999</v>
      </c>
      <c r="H181">
        <f t="shared" si="28"/>
        <v>-653.43184528719996</v>
      </c>
      <c r="I181">
        <v>1</v>
      </c>
      <c r="J181">
        <f t="shared" si="29"/>
        <v>0.61653534404478549</v>
      </c>
      <c r="K181">
        <f t="shared" si="30"/>
        <v>-0.86899515177521747</v>
      </c>
      <c r="L181">
        <v>1</v>
      </c>
      <c r="M181">
        <f t="shared" si="31"/>
        <v>0.55631394887970997</v>
      </c>
      <c r="N181">
        <f t="shared" si="32"/>
        <v>0.16024113235999998</v>
      </c>
      <c r="O181">
        <f t="shared" si="33"/>
        <v>0.13671439963199999</v>
      </c>
      <c r="P181">
        <f t="shared" si="34"/>
        <v>1.5725670903507516E-2</v>
      </c>
    </row>
    <row r="182" spans="1:16" x14ac:dyDescent="0.3">
      <c r="A182">
        <v>9.3185029000000004</v>
      </c>
      <c r="B182">
        <v>0.35042000000000001</v>
      </c>
      <c r="C182">
        <f t="shared" si="25"/>
        <v>3.2653897862180004</v>
      </c>
      <c r="D182">
        <v>1.7299999999999999E-2</v>
      </c>
      <c r="E182">
        <v>1.4760000000000001E-2</v>
      </c>
      <c r="F182">
        <f t="shared" si="26"/>
        <v>1863.7005800000002</v>
      </c>
      <c r="G182">
        <f t="shared" si="27"/>
        <v>-0.35042000000000001</v>
      </c>
      <c r="H182">
        <f t="shared" si="28"/>
        <v>-653.07795724360005</v>
      </c>
      <c r="I182">
        <v>1</v>
      </c>
      <c r="J182">
        <f t="shared" si="29"/>
        <v>0.62256407031331951</v>
      </c>
      <c r="K182">
        <f t="shared" si="30"/>
        <v>-0.8713051517752175</v>
      </c>
      <c r="L182">
        <v>1</v>
      </c>
      <c r="M182">
        <f t="shared" si="31"/>
        <v>0.55657643962144188</v>
      </c>
      <c r="N182">
        <f t="shared" si="32"/>
        <v>0.16121010017000001</v>
      </c>
      <c r="O182">
        <f t="shared" si="33"/>
        <v>0.137541102804</v>
      </c>
      <c r="P182">
        <f t="shared" si="34"/>
        <v>1.5977509179775612E-2</v>
      </c>
    </row>
    <row r="183" spans="1:16" x14ac:dyDescent="0.3">
      <c r="A183">
        <v>9.3704403999999997</v>
      </c>
      <c r="B183">
        <v>0.34788999999999998</v>
      </c>
      <c r="C183">
        <f t="shared" si="25"/>
        <v>3.2598825107559999</v>
      </c>
      <c r="D183">
        <v>1.7299999999999999E-2</v>
      </c>
      <c r="E183">
        <v>1.4760000000000001E-2</v>
      </c>
      <c r="F183">
        <f t="shared" si="26"/>
        <v>1874.08808</v>
      </c>
      <c r="G183">
        <f t="shared" si="27"/>
        <v>-0.34788999999999998</v>
      </c>
      <c r="H183">
        <f t="shared" si="28"/>
        <v>-651.97650215119995</v>
      </c>
      <c r="I183">
        <v>1</v>
      </c>
      <c r="J183">
        <f t="shared" si="29"/>
        <v>0.62812218377895068</v>
      </c>
      <c r="K183">
        <f t="shared" si="30"/>
        <v>-0.87383515177521742</v>
      </c>
      <c r="L183">
        <v>1</v>
      </c>
      <c r="M183">
        <f t="shared" si="31"/>
        <v>0.55681843988173552</v>
      </c>
      <c r="N183">
        <f t="shared" si="32"/>
        <v>0.16210861891999997</v>
      </c>
      <c r="O183">
        <f t="shared" si="33"/>
        <v>0.138307700304</v>
      </c>
      <c r="P183">
        <f t="shared" si="34"/>
        <v>1.6600392669481934E-2</v>
      </c>
    </row>
    <row r="184" spans="1:16" x14ac:dyDescent="0.3">
      <c r="A184">
        <v>9.4213584000000008</v>
      </c>
      <c r="B184">
        <v>0.34533999999999998</v>
      </c>
      <c r="C184">
        <f t="shared" si="25"/>
        <v>3.2535719098560003</v>
      </c>
      <c r="D184">
        <v>1.7299999999999999E-2</v>
      </c>
      <c r="E184">
        <v>1.4760000000000001E-2</v>
      </c>
      <c r="F184">
        <f t="shared" si="26"/>
        <v>1884.2716800000001</v>
      </c>
      <c r="G184">
        <f t="shared" si="27"/>
        <v>-0.34533999999999998</v>
      </c>
      <c r="H184">
        <f t="shared" si="28"/>
        <v>-650.71438197120005</v>
      </c>
      <c r="I184">
        <v>1</v>
      </c>
      <c r="J184">
        <f t="shared" si="29"/>
        <v>0.63354136957945584</v>
      </c>
      <c r="K184">
        <f t="shared" si="30"/>
        <v>-0.87638515177521747</v>
      </c>
      <c r="L184">
        <v>1</v>
      </c>
      <c r="M184">
        <f t="shared" si="31"/>
        <v>0.55705439123148948</v>
      </c>
      <c r="N184">
        <f t="shared" si="32"/>
        <v>0.16298950032000001</v>
      </c>
      <c r="O184">
        <f t="shared" si="33"/>
        <v>0.13905924998400002</v>
      </c>
      <c r="P184">
        <f t="shared" si="34"/>
        <v>1.7282010239727974E-2</v>
      </c>
    </row>
    <row r="185" spans="1:16" x14ac:dyDescent="0.3">
      <c r="A185">
        <v>9.4727861000000004</v>
      </c>
      <c r="B185">
        <v>0.34331</v>
      </c>
      <c r="C185">
        <f t="shared" si="25"/>
        <v>3.2521021959910001</v>
      </c>
      <c r="D185">
        <v>1.7299999999999999E-2</v>
      </c>
      <c r="E185">
        <v>1.4760000000000001E-2</v>
      </c>
      <c r="F185">
        <f t="shared" si="26"/>
        <v>1894.5572200000001</v>
      </c>
      <c r="G185">
        <f t="shared" si="27"/>
        <v>-0.34331</v>
      </c>
      <c r="H185">
        <f t="shared" si="28"/>
        <v>-650.42043919820003</v>
      </c>
      <c r="I185">
        <v>1</v>
      </c>
      <c r="J185">
        <f t="shared" si="29"/>
        <v>0.63898515424025737</v>
      </c>
      <c r="K185">
        <f t="shared" si="30"/>
        <v>-0.87841515177521745</v>
      </c>
      <c r="L185">
        <v>1</v>
      </c>
      <c r="M185">
        <f t="shared" si="31"/>
        <v>0.55729141361562085</v>
      </c>
      <c r="N185">
        <f t="shared" si="32"/>
        <v>0.16387919952999999</v>
      </c>
      <c r="O185">
        <f t="shared" si="33"/>
        <v>0.13981832283600001</v>
      </c>
      <c r="P185">
        <f t="shared" si="34"/>
        <v>1.74262157935966E-2</v>
      </c>
    </row>
    <row r="186" spans="1:16" x14ac:dyDescent="0.3">
      <c r="A186">
        <v>9.5237040999999998</v>
      </c>
      <c r="B186">
        <v>0.34064</v>
      </c>
      <c r="C186">
        <f t="shared" si="25"/>
        <v>3.244154564624</v>
      </c>
      <c r="D186">
        <v>1.7299999999999999E-2</v>
      </c>
      <c r="E186">
        <v>1.4760000000000001E-2</v>
      </c>
      <c r="F186">
        <f t="shared" si="26"/>
        <v>1904.74082</v>
      </c>
      <c r="G186">
        <f t="shared" si="27"/>
        <v>-0.34064</v>
      </c>
      <c r="H186">
        <f t="shared" si="28"/>
        <v>-648.83091292480003</v>
      </c>
      <c r="I186">
        <v>1</v>
      </c>
      <c r="J186">
        <f t="shared" si="29"/>
        <v>0.64434594682924595</v>
      </c>
      <c r="K186">
        <f t="shared" si="30"/>
        <v>-0.8810851517752174</v>
      </c>
      <c r="L186">
        <v>1</v>
      </c>
      <c r="M186">
        <f t="shared" si="31"/>
        <v>0.5575248225249454</v>
      </c>
      <c r="N186">
        <f t="shared" si="32"/>
        <v>0.16476008093</v>
      </c>
      <c r="O186">
        <f t="shared" si="33"/>
        <v>0.14056987251600001</v>
      </c>
      <c r="P186">
        <f t="shared" si="34"/>
        <v>1.8230375804272003E-2</v>
      </c>
    </row>
    <row r="187" spans="1:16" x14ac:dyDescent="0.3">
      <c r="A187">
        <v>9.5776768000000008</v>
      </c>
      <c r="B187">
        <v>0.33816000000000002</v>
      </c>
      <c r="C187">
        <f t="shared" si="25"/>
        <v>3.2387871866880005</v>
      </c>
      <c r="D187">
        <v>1.7299999999999999E-2</v>
      </c>
      <c r="E187">
        <v>1.4760000000000001E-2</v>
      </c>
      <c r="F187">
        <f t="shared" si="26"/>
        <v>1915.5353600000001</v>
      </c>
      <c r="G187">
        <f t="shared" si="27"/>
        <v>-0.33816000000000002</v>
      </c>
      <c r="H187">
        <f t="shared" si="28"/>
        <v>-647.75743733760009</v>
      </c>
      <c r="I187">
        <v>1</v>
      </c>
      <c r="J187">
        <f t="shared" si="29"/>
        <v>0.64999714492031679</v>
      </c>
      <c r="K187">
        <f t="shared" si="30"/>
        <v>-0.88356515177521744</v>
      </c>
      <c r="L187">
        <v>1</v>
      </c>
      <c r="M187">
        <f t="shared" si="31"/>
        <v>0.55777087568983064</v>
      </c>
      <c r="N187">
        <f t="shared" si="32"/>
        <v>0.16569380864</v>
      </c>
      <c r="O187">
        <f t="shared" si="33"/>
        <v>0.14136650956800001</v>
      </c>
      <c r="P187">
        <f t="shared" si="34"/>
        <v>1.8733957877386798E-2</v>
      </c>
    </row>
    <row r="188" spans="1:16" x14ac:dyDescent="0.3">
      <c r="A188">
        <v>9.6296143000000001</v>
      </c>
      <c r="B188">
        <v>0.33584999999999998</v>
      </c>
      <c r="C188">
        <f t="shared" si="25"/>
        <v>3.2341059626549997</v>
      </c>
      <c r="D188">
        <v>1.7299999999999999E-2</v>
      </c>
      <c r="E188">
        <v>1.4760000000000001E-2</v>
      </c>
      <c r="F188">
        <f t="shared" si="26"/>
        <v>1925.9228600000001</v>
      </c>
      <c r="G188">
        <f t="shared" si="27"/>
        <v>-0.33584999999999998</v>
      </c>
      <c r="H188">
        <f t="shared" si="28"/>
        <v>-646.82119253099995</v>
      </c>
      <c r="I188">
        <v>1</v>
      </c>
      <c r="J188">
        <f t="shared" si="29"/>
        <v>0.6554052606527544</v>
      </c>
      <c r="K188">
        <f t="shared" si="30"/>
        <v>-0.88587515177521747</v>
      </c>
      <c r="L188">
        <v>1</v>
      </c>
      <c r="M188">
        <f t="shared" si="31"/>
        <v>0.55800634504882096</v>
      </c>
      <c r="N188">
        <f t="shared" si="32"/>
        <v>0.16659232738999999</v>
      </c>
      <c r="O188">
        <f t="shared" si="33"/>
        <v>0.142133107068</v>
      </c>
      <c r="P188">
        <f t="shared" si="34"/>
        <v>1.9143372268396519E-2</v>
      </c>
    </row>
    <row r="189" spans="1:16" x14ac:dyDescent="0.3">
      <c r="A189">
        <v>9.6861327999999993</v>
      </c>
      <c r="B189">
        <v>0.33324999999999999</v>
      </c>
      <c r="C189">
        <f t="shared" si="25"/>
        <v>3.2279037555999999</v>
      </c>
      <c r="D189">
        <v>1.7299999999999999E-2</v>
      </c>
      <c r="E189">
        <v>1.4760000000000001E-2</v>
      </c>
      <c r="F189">
        <f t="shared" si="26"/>
        <v>1937.2265599999998</v>
      </c>
      <c r="G189">
        <f t="shared" si="27"/>
        <v>-0.33324999999999999</v>
      </c>
      <c r="H189">
        <f t="shared" si="28"/>
        <v>-645.58075111999995</v>
      </c>
      <c r="I189">
        <v>1</v>
      </c>
      <c r="J189">
        <f t="shared" si="29"/>
        <v>0.66125734196296315</v>
      </c>
      <c r="K189">
        <f t="shared" si="30"/>
        <v>-0.88847515177521741</v>
      </c>
      <c r="L189">
        <v>1</v>
      </c>
      <c r="M189">
        <f t="shared" si="31"/>
        <v>0.5582611446690674</v>
      </c>
      <c r="N189">
        <f t="shared" si="32"/>
        <v>0.16757009743999998</v>
      </c>
      <c r="O189">
        <f t="shared" si="33"/>
        <v>0.14296732012800001</v>
      </c>
      <c r="P189">
        <f t="shared" si="34"/>
        <v>1.9676589538150019E-2</v>
      </c>
    </row>
    <row r="190" spans="1:16" x14ac:dyDescent="0.3">
      <c r="A190">
        <v>9.7365429999999993</v>
      </c>
      <c r="B190">
        <v>0.33065</v>
      </c>
      <c r="C190">
        <f t="shared" si="25"/>
        <v>3.2193879429499996</v>
      </c>
      <c r="D190">
        <v>1.7299999999999999E-2</v>
      </c>
      <c r="E190">
        <v>1.4760000000000001E-2</v>
      </c>
      <c r="F190">
        <f t="shared" si="26"/>
        <v>1947.3085999999998</v>
      </c>
      <c r="G190">
        <f t="shared" si="27"/>
        <v>-0.33065</v>
      </c>
      <c r="H190">
        <f t="shared" si="28"/>
        <v>-643.87758858999996</v>
      </c>
      <c r="I190">
        <v>1</v>
      </c>
      <c r="J190">
        <f t="shared" si="29"/>
        <v>0.66644821408702937</v>
      </c>
      <c r="K190">
        <f t="shared" si="30"/>
        <v>-0.89107515177521746</v>
      </c>
      <c r="L190">
        <v>1</v>
      </c>
      <c r="M190">
        <f t="shared" si="31"/>
        <v>0.55848715524134929</v>
      </c>
      <c r="N190">
        <f t="shared" si="32"/>
        <v>0.16844219389999998</v>
      </c>
      <c r="O190">
        <f t="shared" si="33"/>
        <v>0.14371137468</v>
      </c>
      <c r="P190">
        <f t="shared" si="34"/>
        <v>2.0434427953868184E-2</v>
      </c>
    </row>
    <row r="191" spans="1:16" x14ac:dyDescent="0.3">
      <c r="A191">
        <v>9.7900068000000005</v>
      </c>
      <c r="B191">
        <v>0.32858999999999999</v>
      </c>
      <c r="C191">
        <f t="shared" si="25"/>
        <v>3.2168983344119999</v>
      </c>
      <c r="D191">
        <v>1.7299999999999999E-2</v>
      </c>
      <c r="E191">
        <v>1.4760000000000001E-2</v>
      </c>
      <c r="F191">
        <f t="shared" si="26"/>
        <v>1958.0013600000002</v>
      </c>
      <c r="G191">
        <f t="shared" si="27"/>
        <v>-0.32858999999999999</v>
      </c>
      <c r="H191">
        <f t="shared" si="28"/>
        <v>-643.37966688239999</v>
      </c>
      <c r="I191">
        <v>1</v>
      </c>
      <c r="J191">
        <f t="shared" si="29"/>
        <v>0.67192423869439</v>
      </c>
      <c r="K191">
        <f t="shared" si="30"/>
        <v>-0.89313515177521752</v>
      </c>
      <c r="L191">
        <v>1</v>
      </c>
      <c r="M191">
        <f t="shared" si="31"/>
        <v>0.55872558135275374</v>
      </c>
      <c r="N191">
        <f t="shared" si="32"/>
        <v>0.16936711764000001</v>
      </c>
      <c r="O191">
        <f t="shared" si="33"/>
        <v>0.14450050036800002</v>
      </c>
      <c r="P191">
        <f t="shared" si="34"/>
        <v>2.0541952414463743E-2</v>
      </c>
    </row>
    <row r="192" spans="1:16" x14ac:dyDescent="0.3">
      <c r="A192">
        <v>9.8429628999999998</v>
      </c>
      <c r="B192">
        <v>0.32591999999999999</v>
      </c>
      <c r="C192">
        <f t="shared" si="25"/>
        <v>3.208018468368</v>
      </c>
      <c r="D192">
        <v>1.7299999999999999E-2</v>
      </c>
      <c r="E192">
        <v>1.4760000000000001E-2</v>
      </c>
      <c r="F192">
        <f t="shared" si="26"/>
        <v>1968.59258</v>
      </c>
      <c r="G192">
        <f t="shared" si="27"/>
        <v>-0.32591999999999999</v>
      </c>
      <c r="H192">
        <f t="shared" si="28"/>
        <v>-641.60369367359999</v>
      </c>
      <c r="I192">
        <v>1</v>
      </c>
      <c r="J192">
        <f t="shared" si="29"/>
        <v>0.67731886102980632</v>
      </c>
      <c r="K192">
        <f t="shared" si="30"/>
        <v>-0.89580515177521747</v>
      </c>
      <c r="L192">
        <v>1</v>
      </c>
      <c r="M192">
        <f t="shared" si="31"/>
        <v>0.55896046320923776</v>
      </c>
      <c r="N192">
        <f t="shared" si="32"/>
        <v>0.17028325816999998</v>
      </c>
      <c r="O192">
        <f t="shared" si="33"/>
        <v>0.14528213240400001</v>
      </c>
      <c r="P192">
        <f t="shared" si="34"/>
        <v>2.1279297991979723E-2</v>
      </c>
    </row>
    <row r="193" spans="1:16" x14ac:dyDescent="0.3">
      <c r="A193">
        <v>9.8964268000000004</v>
      </c>
      <c r="B193">
        <v>0.32328000000000001</v>
      </c>
      <c r="C193">
        <f t="shared" si="25"/>
        <v>3.1993168559040002</v>
      </c>
      <c r="D193">
        <v>1.7299999999999999E-2</v>
      </c>
      <c r="E193">
        <v>1.4760000000000001E-2</v>
      </c>
      <c r="F193">
        <f t="shared" si="26"/>
        <v>1979.2853600000001</v>
      </c>
      <c r="G193">
        <f t="shared" si="27"/>
        <v>-0.32328000000000001</v>
      </c>
      <c r="H193">
        <f t="shared" si="28"/>
        <v>-639.86337118080007</v>
      </c>
      <c r="I193">
        <v>1</v>
      </c>
      <c r="J193">
        <f t="shared" si="29"/>
        <v>0.68273585026286032</v>
      </c>
      <c r="K193">
        <f t="shared" si="30"/>
        <v>-0.89844515177521744</v>
      </c>
      <c r="L193">
        <v>1</v>
      </c>
      <c r="M193">
        <f t="shared" si="31"/>
        <v>0.55919631892044497</v>
      </c>
      <c r="N193">
        <f t="shared" si="32"/>
        <v>0.17120818364000001</v>
      </c>
      <c r="O193">
        <f t="shared" si="33"/>
        <v>0.14607125956800002</v>
      </c>
      <c r="P193">
        <f t="shared" si="34"/>
        <v>2.1969389646772447E-2</v>
      </c>
    </row>
    <row r="194" spans="1:16" x14ac:dyDescent="0.3">
      <c r="A194">
        <v>9.9468359</v>
      </c>
      <c r="B194">
        <v>0.32071</v>
      </c>
      <c r="C194">
        <f t="shared" si="25"/>
        <v>3.1900497414890001</v>
      </c>
      <c r="D194">
        <v>1.7299999999999999E-2</v>
      </c>
      <c r="E194">
        <v>1.4760000000000001E-2</v>
      </c>
      <c r="F194">
        <f t="shared" si="26"/>
        <v>1989.36718</v>
      </c>
      <c r="G194">
        <f t="shared" si="27"/>
        <v>-0.32071</v>
      </c>
      <c r="H194">
        <f t="shared" si="28"/>
        <v>-638.00994829780007</v>
      </c>
      <c r="I194">
        <v>1</v>
      </c>
      <c r="J194">
        <f t="shared" si="29"/>
        <v>0.6878165881636793</v>
      </c>
      <c r="K194">
        <f t="shared" si="30"/>
        <v>-0.9010151517752174</v>
      </c>
      <c r="L194">
        <v>1</v>
      </c>
      <c r="M194">
        <f t="shared" si="31"/>
        <v>0.5594175342486466</v>
      </c>
      <c r="N194">
        <f t="shared" si="32"/>
        <v>0.17208026106999999</v>
      </c>
      <c r="O194">
        <f t="shared" si="33"/>
        <v>0.146815297884</v>
      </c>
      <c r="P194">
        <f t="shared" si="34"/>
        <v>2.2702058572570821E-2</v>
      </c>
    </row>
    <row r="195" spans="1:16" x14ac:dyDescent="0.3">
      <c r="A195">
        <v>9.9992812999999998</v>
      </c>
      <c r="B195">
        <v>0.31834000000000001</v>
      </c>
      <c r="C195">
        <f t="shared" si="25"/>
        <v>3.1831712090419999</v>
      </c>
      <c r="D195">
        <v>1.7299999999999999E-2</v>
      </c>
      <c r="E195">
        <v>1.4760000000000001E-2</v>
      </c>
      <c r="F195">
        <f t="shared" si="26"/>
        <v>1999.85626</v>
      </c>
      <c r="G195">
        <f t="shared" si="27"/>
        <v>-0.31834000000000001</v>
      </c>
      <c r="H195">
        <f t="shared" si="28"/>
        <v>-636.63424180840002</v>
      </c>
      <c r="I195">
        <v>1</v>
      </c>
      <c r="J195">
        <f t="shared" si="29"/>
        <v>0.69307530797717309</v>
      </c>
      <c r="K195">
        <f t="shared" si="30"/>
        <v>-0.90338515177521739</v>
      </c>
      <c r="L195">
        <v>1</v>
      </c>
      <c r="M195">
        <f t="shared" si="31"/>
        <v>0.55964649890932616</v>
      </c>
      <c r="N195">
        <f t="shared" si="32"/>
        <v>0.17298756648999999</v>
      </c>
      <c r="O195">
        <f t="shared" si="33"/>
        <v>0.147589391988</v>
      </c>
      <c r="P195">
        <f t="shared" si="34"/>
        <v>2.316169438789123E-2</v>
      </c>
    </row>
    <row r="196" spans="1:16" x14ac:dyDescent="0.3">
      <c r="A196">
        <v>10.050198999999999</v>
      </c>
      <c r="B196">
        <v>0.31630000000000003</v>
      </c>
      <c r="C196">
        <f t="shared" ref="C196:C259" si="36">A196*B196</f>
        <v>3.1788779436999999</v>
      </c>
      <c r="D196">
        <v>1.7299999999999999E-2</v>
      </c>
      <c r="E196">
        <v>1.4760000000000001E-2</v>
      </c>
      <c r="F196">
        <f t="shared" ref="F196:F259" si="37">A196*200</f>
        <v>2010.0397999999998</v>
      </c>
      <c r="G196">
        <f t="shared" ref="G196:G259" si="38">-B196</f>
        <v>-0.31630000000000003</v>
      </c>
      <c r="H196">
        <f t="shared" ref="H196:H259" si="39">-C196*200</f>
        <v>-635.77558873999999</v>
      </c>
      <c r="I196">
        <v>1</v>
      </c>
      <c r="J196">
        <f t="shared" ref="J196:J259" si="40">LN(F196/1000)</f>
        <v>0.69815452286997215</v>
      </c>
      <c r="K196">
        <f t="shared" ref="K196:K259" si="41">((-G196)-$N$2)</f>
        <v>-0.90542515177521743</v>
      </c>
      <c r="L196">
        <v>1</v>
      </c>
      <c r="M196">
        <f t="shared" ref="M196:M259" si="42">-1*($S$4+($S$5*J196))</f>
        <v>0.5598676479257586</v>
      </c>
      <c r="N196">
        <f t="shared" ref="N196:N259" si="43">D196*A196</f>
        <v>0.17386844269999999</v>
      </c>
      <c r="O196">
        <f t="shared" ref="O196:O259" si="44">E196*A196</f>
        <v>0.14834093724</v>
      </c>
      <c r="P196">
        <f t="shared" ref="P196:P259" si="45">-K196-M196-N196-O196</f>
        <v>2.334812390945884E-2</v>
      </c>
    </row>
    <row r="197" spans="1:16" x14ac:dyDescent="0.3">
      <c r="A197">
        <v>10.100607999999999</v>
      </c>
      <c r="B197">
        <v>0.31383</v>
      </c>
      <c r="C197">
        <f t="shared" si="36"/>
        <v>3.1698738086399998</v>
      </c>
      <c r="D197">
        <v>1.7299999999999999E-2</v>
      </c>
      <c r="E197">
        <v>1.4760000000000001E-2</v>
      </c>
      <c r="F197">
        <f t="shared" si="37"/>
        <v>2020.1215999999999</v>
      </c>
      <c r="G197">
        <f t="shared" si="38"/>
        <v>-0.31383</v>
      </c>
      <c r="H197">
        <f t="shared" si="39"/>
        <v>-633.97476172799998</v>
      </c>
      <c r="I197">
        <v>1</v>
      </c>
      <c r="J197">
        <f t="shared" si="40"/>
        <v>0.70315770762108731</v>
      </c>
      <c r="K197">
        <f t="shared" si="41"/>
        <v>-0.9078951517752174</v>
      </c>
      <c r="L197">
        <v>1</v>
      </c>
      <c r="M197">
        <f t="shared" si="42"/>
        <v>0.56008548658982216</v>
      </c>
      <c r="N197">
        <f t="shared" si="43"/>
        <v>0.17474051839999999</v>
      </c>
      <c r="O197">
        <f t="shared" si="44"/>
        <v>0.14908497407999999</v>
      </c>
      <c r="P197">
        <f t="shared" si="45"/>
        <v>2.3984172705395268E-2</v>
      </c>
    </row>
    <row r="198" spans="1:16" x14ac:dyDescent="0.3">
      <c r="A198">
        <v>10.152545999999999</v>
      </c>
      <c r="B198">
        <v>0.31152000000000002</v>
      </c>
      <c r="C198">
        <f t="shared" si="36"/>
        <v>3.16272112992</v>
      </c>
      <c r="D198">
        <v>1.7299999999999999E-2</v>
      </c>
      <c r="E198">
        <v>1.4760000000000001E-2</v>
      </c>
      <c r="F198">
        <f t="shared" si="37"/>
        <v>2030.5091999999997</v>
      </c>
      <c r="G198">
        <f t="shared" si="38"/>
        <v>-0.31152000000000002</v>
      </c>
      <c r="H198">
        <f t="shared" si="39"/>
        <v>-632.54422598400004</v>
      </c>
      <c r="I198">
        <v>1</v>
      </c>
      <c r="J198">
        <f t="shared" si="40"/>
        <v>0.708286599037669</v>
      </c>
      <c r="K198">
        <f t="shared" si="41"/>
        <v>-0.91020515177521744</v>
      </c>
      <c r="L198">
        <v>1</v>
      </c>
      <c r="M198">
        <f t="shared" si="42"/>
        <v>0.56030879852210014</v>
      </c>
      <c r="N198">
        <f t="shared" si="43"/>
        <v>0.17563904579999998</v>
      </c>
      <c r="O198">
        <f t="shared" si="44"/>
        <v>0.14985157895999998</v>
      </c>
      <c r="P198">
        <f t="shared" si="45"/>
        <v>2.440572849311734E-2</v>
      </c>
    </row>
    <row r="199" spans="1:16" x14ac:dyDescent="0.3">
      <c r="A199">
        <v>10.203462999999999</v>
      </c>
      <c r="B199">
        <v>0.30886999999999998</v>
      </c>
      <c r="C199">
        <f t="shared" si="36"/>
        <v>3.1515436168099997</v>
      </c>
      <c r="D199">
        <v>1.7299999999999999E-2</v>
      </c>
      <c r="E199">
        <v>1.4760000000000001E-2</v>
      </c>
      <c r="F199">
        <f t="shared" si="37"/>
        <v>2040.6925999999999</v>
      </c>
      <c r="G199">
        <f t="shared" si="38"/>
        <v>-0.30886999999999998</v>
      </c>
      <c r="H199">
        <f t="shared" si="39"/>
        <v>-630.30872336199991</v>
      </c>
      <c r="I199">
        <v>1</v>
      </c>
      <c r="J199">
        <f t="shared" si="40"/>
        <v>0.71328926003963444</v>
      </c>
      <c r="K199">
        <f t="shared" si="41"/>
        <v>-0.91285515177521748</v>
      </c>
      <c r="L199">
        <v>1</v>
      </c>
      <c r="M199">
        <f t="shared" si="42"/>
        <v>0.5605266143821257</v>
      </c>
      <c r="N199">
        <f t="shared" si="43"/>
        <v>0.17651990989999999</v>
      </c>
      <c r="O199">
        <f t="shared" si="44"/>
        <v>0.15060311388</v>
      </c>
      <c r="P199">
        <f t="shared" si="45"/>
        <v>2.5205513613091785E-2</v>
      </c>
    </row>
    <row r="200" spans="1:16" x14ac:dyDescent="0.3">
      <c r="A200">
        <v>10.257436999999999</v>
      </c>
      <c r="B200">
        <v>0.30653999999999998</v>
      </c>
      <c r="C200">
        <f t="shared" si="36"/>
        <v>3.1443147379799998</v>
      </c>
      <c r="D200">
        <v>1.7299999999999999E-2</v>
      </c>
      <c r="E200">
        <v>1.4760000000000001E-2</v>
      </c>
      <c r="F200">
        <f t="shared" si="37"/>
        <v>2051.4874</v>
      </c>
      <c r="G200">
        <f t="shared" si="38"/>
        <v>-0.30653999999999998</v>
      </c>
      <c r="H200">
        <f t="shared" si="39"/>
        <v>-628.86294759599991</v>
      </c>
      <c r="I200">
        <v>1</v>
      </c>
      <c r="J200">
        <f t="shared" si="40"/>
        <v>0.71856509103381383</v>
      </c>
      <c r="K200">
        <f t="shared" si="41"/>
        <v>-0.91518515177521742</v>
      </c>
      <c r="L200">
        <v>1</v>
      </c>
      <c r="M200">
        <f t="shared" si="42"/>
        <v>0.5607563240636122</v>
      </c>
      <c r="N200">
        <f t="shared" si="43"/>
        <v>0.17745366009999999</v>
      </c>
      <c r="O200">
        <f t="shared" si="44"/>
        <v>0.15139977012</v>
      </c>
      <c r="P200">
        <f t="shared" si="45"/>
        <v>2.5575397491605228E-2</v>
      </c>
    </row>
    <row r="201" spans="1:16" x14ac:dyDescent="0.3">
      <c r="A201">
        <v>10.3109</v>
      </c>
      <c r="B201">
        <v>0.30393999999999999</v>
      </c>
      <c r="C201">
        <f t="shared" si="36"/>
        <v>3.1338949459999998</v>
      </c>
      <c r="D201">
        <v>1.7299999999999999E-2</v>
      </c>
      <c r="E201">
        <v>1.4760000000000001E-2</v>
      </c>
      <c r="F201">
        <f t="shared" si="37"/>
        <v>2062.1799999999998</v>
      </c>
      <c r="G201">
        <f t="shared" si="38"/>
        <v>-0.30393999999999999</v>
      </c>
      <c r="H201">
        <f t="shared" si="39"/>
        <v>-626.77898919999996</v>
      </c>
      <c r="I201">
        <v>1</v>
      </c>
      <c r="J201">
        <f t="shared" si="40"/>
        <v>0.72376367567430588</v>
      </c>
      <c r="K201">
        <f t="shared" si="41"/>
        <v>-0.91778515177521747</v>
      </c>
      <c r="L201">
        <v>1</v>
      </c>
      <c r="M201">
        <f t="shared" si="42"/>
        <v>0.5609826704388593</v>
      </c>
      <c r="N201">
        <f t="shared" si="43"/>
        <v>0.17837856999999999</v>
      </c>
      <c r="O201">
        <f t="shared" si="44"/>
        <v>0.152188884</v>
      </c>
      <c r="P201">
        <f t="shared" si="45"/>
        <v>2.6235027336358185E-2</v>
      </c>
    </row>
    <row r="202" spans="1:16" x14ac:dyDescent="0.3">
      <c r="A202">
        <v>10.365894000000001</v>
      </c>
      <c r="B202">
        <v>0.30125000000000002</v>
      </c>
      <c r="C202">
        <f t="shared" si="36"/>
        <v>3.1227255675000003</v>
      </c>
      <c r="D202">
        <v>1.7299999999999999E-2</v>
      </c>
      <c r="E202">
        <v>1.4760000000000001E-2</v>
      </c>
      <c r="F202">
        <f t="shared" si="37"/>
        <v>2073.1788000000001</v>
      </c>
      <c r="G202">
        <f t="shared" si="38"/>
        <v>-0.30125000000000002</v>
      </c>
      <c r="H202">
        <f t="shared" si="39"/>
        <v>-624.54511350000007</v>
      </c>
      <c r="I202">
        <v>1</v>
      </c>
      <c r="J202">
        <f t="shared" si="40"/>
        <v>0.72908308154314161</v>
      </c>
      <c r="K202">
        <f t="shared" si="41"/>
        <v>-0.92047515177521744</v>
      </c>
      <c r="L202">
        <v>1</v>
      </c>
      <c r="M202">
        <f t="shared" si="42"/>
        <v>0.56121427737038843</v>
      </c>
      <c r="N202">
        <f t="shared" si="43"/>
        <v>0.1793299662</v>
      </c>
      <c r="O202">
        <f t="shared" si="44"/>
        <v>0.15300059544000003</v>
      </c>
      <c r="P202">
        <f t="shared" si="45"/>
        <v>2.693031276482899E-2</v>
      </c>
    </row>
    <row r="203" spans="1:16" x14ac:dyDescent="0.3">
      <c r="A203">
        <v>10.418339</v>
      </c>
      <c r="B203">
        <v>0.29892000000000002</v>
      </c>
      <c r="C203">
        <f t="shared" si="36"/>
        <v>3.1142498938800003</v>
      </c>
      <c r="D203">
        <v>1.7299999999999999E-2</v>
      </c>
      <c r="E203">
        <v>1.4760000000000001E-2</v>
      </c>
      <c r="F203">
        <f t="shared" si="37"/>
        <v>2083.6677999999997</v>
      </c>
      <c r="G203">
        <f t="shared" si="38"/>
        <v>-0.29892000000000002</v>
      </c>
      <c r="H203">
        <f t="shared" si="39"/>
        <v>-622.84997877600006</v>
      </c>
      <c r="I203">
        <v>1</v>
      </c>
      <c r="J203">
        <f t="shared" si="40"/>
        <v>0.73412970619439144</v>
      </c>
      <c r="K203">
        <f t="shared" si="41"/>
        <v>-0.92280515177521738</v>
      </c>
      <c r="L203">
        <v>1</v>
      </c>
      <c r="M203">
        <f t="shared" si="42"/>
        <v>0.56143400740770377</v>
      </c>
      <c r="N203">
        <f t="shared" si="43"/>
        <v>0.18023726469999998</v>
      </c>
      <c r="O203">
        <f t="shared" si="44"/>
        <v>0.15377468363999999</v>
      </c>
      <c r="P203">
        <f t="shared" si="45"/>
        <v>2.7359196027513633E-2</v>
      </c>
    </row>
    <row r="204" spans="1:16" x14ac:dyDescent="0.3">
      <c r="A204">
        <v>10.469257000000001</v>
      </c>
      <c r="B204">
        <v>0.29631000000000002</v>
      </c>
      <c r="C204">
        <f t="shared" si="36"/>
        <v>3.1021455416700006</v>
      </c>
      <c r="D204">
        <v>1.7299999999999999E-2</v>
      </c>
      <c r="E204">
        <v>1.4760000000000001E-2</v>
      </c>
      <c r="F204">
        <f t="shared" si="37"/>
        <v>2093.8514</v>
      </c>
      <c r="G204">
        <f t="shared" si="38"/>
        <v>-0.29631000000000002</v>
      </c>
      <c r="H204">
        <f t="shared" si="39"/>
        <v>-620.42910833400015</v>
      </c>
      <c r="I204">
        <v>1</v>
      </c>
      <c r="J204">
        <f t="shared" si="40"/>
        <v>0.7390051452692985</v>
      </c>
      <c r="K204">
        <f t="shared" si="41"/>
        <v>-0.92541515177521738</v>
      </c>
      <c r="L204">
        <v>1</v>
      </c>
      <c r="M204">
        <f t="shared" si="42"/>
        <v>0.56164628402502526</v>
      </c>
      <c r="N204">
        <f t="shared" si="43"/>
        <v>0.18111814610000002</v>
      </c>
      <c r="O204">
        <f t="shared" si="44"/>
        <v>0.15452623332000001</v>
      </c>
      <c r="P204">
        <f t="shared" si="45"/>
        <v>2.8124488330192099E-2</v>
      </c>
    </row>
    <row r="205" spans="1:16" x14ac:dyDescent="0.3">
      <c r="A205">
        <v>10.520175</v>
      </c>
      <c r="B205">
        <v>0.29396</v>
      </c>
      <c r="C205">
        <f t="shared" si="36"/>
        <v>3.0925106430000002</v>
      </c>
      <c r="D205">
        <v>1.7299999999999999E-2</v>
      </c>
      <c r="E205">
        <v>1.4760000000000001E-2</v>
      </c>
      <c r="F205">
        <f t="shared" si="37"/>
        <v>2104.0349999999999</v>
      </c>
      <c r="G205">
        <f t="shared" si="38"/>
        <v>-0.29396</v>
      </c>
      <c r="H205">
        <f t="shared" si="39"/>
        <v>-618.50212859999999</v>
      </c>
      <c r="I205">
        <v>1</v>
      </c>
      <c r="J205">
        <f t="shared" si="40"/>
        <v>0.74385692971809214</v>
      </c>
      <c r="K205">
        <f t="shared" si="41"/>
        <v>-0.92776515177521746</v>
      </c>
      <c r="L205">
        <v>1</v>
      </c>
      <c r="M205">
        <f t="shared" si="42"/>
        <v>0.56185753071992572</v>
      </c>
      <c r="N205">
        <f t="shared" si="43"/>
        <v>0.18199902749999999</v>
      </c>
      <c r="O205">
        <f t="shared" si="44"/>
        <v>0.155277783</v>
      </c>
      <c r="P205">
        <f t="shared" si="45"/>
        <v>2.8630810555291736E-2</v>
      </c>
    </row>
    <row r="206" spans="1:16" x14ac:dyDescent="0.3">
      <c r="A206">
        <v>10.570584999999999</v>
      </c>
      <c r="B206">
        <v>0.29174</v>
      </c>
      <c r="C206">
        <f t="shared" si="36"/>
        <v>3.0838624679</v>
      </c>
      <c r="D206">
        <v>1.7299999999999999E-2</v>
      </c>
      <c r="E206">
        <v>1.4760000000000001E-2</v>
      </c>
      <c r="F206">
        <f t="shared" si="37"/>
        <v>2114.1169999999997</v>
      </c>
      <c r="G206">
        <f t="shared" si="38"/>
        <v>-0.29174</v>
      </c>
      <c r="H206">
        <f t="shared" si="39"/>
        <v>-616.77249357999995</v>
      </c>
      <c r="I206">
        <v>1</v>
      </c>
      <c r="J206">
        <f t="shared" si="40"/>
        <v>0.74863723123348502</v>
      </c>
      <c r="K206">
        <f t="shared" si="41"/>
        <v>-0.92998515177521746</v>
      </c>
      <c r="L206">
        <v>1</v>
      </c>
      <c r="M206">
        <f t="shared" si="42"/>
        <v>0.56206566504790589</v>
      </c>
      <c r="N206">
        <f t="shared" si="43"/>
        <v>0.18287112049999998</v>
      </c>
      <c r="O206">
        <f t="shared" si="44"/>
        <v>0.15602183459999999</v>
      </c>
      <c r="P206">
        <f t="shared" si="45"/>
        <v>2.9026531627311586E-2</v>
      </c>
    </row>
    <row r="207" spans="1:16" x14ac:dyDescent="0.3">
      <c r="A207">
        <v>10.622521000000001</v>
      </c>
      <c r="B207">
        <v>0.28916999999999998</v>
      </c>
      <c r="C207">
        <f t="shared" si="36"/>
        <v>3.0717143975700001</v>
      </c>
      <c r="D207">
        <v>1.7299999999999999E-2</v>
      </c>
      <c r="E207">
        <v>1.4760000000000001E-2</v>
      </c>
      <c r="F207">
        <f t="shared" si="37"/>
        <v>2124.5042000000003</v>
      </c>
      <c r="G207">
        <f t="shared" si="38"/>
        <v>-0.28916999999999998</v>
      </c>
      <c r="H207">
        <f t="shared" si="39"/>
        <v>-614.34287951400006</v>
      </c>
      <c r="I207">
        <v>1</v>
      </c>
      <c r="J207">
        <f t="shared" si="40"/>
        <v>0.75353845750652493</v>
      </c>
      <c r="K207">
        <f t="shared" si="41"/>
        <v>-0.93255515177521753</v>
      </c>
      <c r="L207">
        <v>1</v>
      </c>
      <c r="M207">
        <f t="shared" si="42"/>
        <v>0.56227906443983411</v>
      </c>
      <c r="N207">
        <f t="shared" si="43"/>
        <v>0.1837696133</v>
      </c>
      <c r="O207">
        <f t="shared" si="44"/>
        <v>0.15678840996000001</v>
      </c>
      <c r="P207">
        <f t="shared" si="45"/>
        <v>2.971806407538341E-2</v>
      </c>
    </row>
    <row r="208" spans="1:16" x14ac:dyDescent="0.3">
      <c r="A208">
        <v>10.674967000000001</v>
      </c>
      <c r="B208">
        <v>0.28671999999999997</v>
      </c>
      <c r="C208">
        <f t="shared" si="36"/>
        <v>3.06072653824</v>
      </c>
      <c r="D208">
        <v>1.7299999999999999E-2</v>
      </c>
      <c r="E208">
        <v>1.4760000000000001E-2</v>
      </c>
      <c r="F208">
        <f t="shared" si="37"/>
        <v>2134.9934000000003</v>
      </c>
      <c r="G208">
        <f t="shared" si="38"/>
        <v>-0.28671999999999997</v>
      </c>
      <c r="H208">
        <f t="shared" si="39"/>
        <v>-612.14530764799997</v>
      </c>
      <c r="I208">
        <v>1</v>
      </c>
      <c r="J208">
        <f t="shared" si="40"/>
        <v>0.75846355534091525</v>
      </c>
      <c r="K208">
        <f t="shared" si="41"/>
        <v>-0.93500515177521748</v>
      </c>
      <c r="L208">
        <v>1</v>
      </c>
      <c r="M208">
        <f t="shared" si="42"/>
        <v>0.5624935031995435</v>
      </c>
      <c r="N208">
        <f t="shared" si="43"/>
        <v>0.1846769291</v>
      </c>
      <c r="O208">
        <f t="shared" si="44"/>
        <v>0.15756251292000001</v>
      </c>
      <c r="P208">
        <f t="shared" si="45"/>
        <v>3.0272206555673975E-2</v>
      </c>
    </row>
    <row r="209" spans="1:16" x14ac:dyDescent="0.3">
      <c r="A209">
        <v>10.726394000000001</v>
      </c>
      <c r="B209">
        <v>0.28414</v>
      </c>
      <c r="C209">
        <f t="shared" si="36"/>
        <v>3.0477975911600002</v>
      </c>
      <c r="D209">
        <v>1.7299999999999999E-2</v>
      </c>
      <c r="E209">
        <v>1.4760000000000001E-2</v>
      </c>
      <c r="F209">
        <f t="shared" si="37"/>
        <v>2145.2788</v>
      </c>
      <c r="G209">
        <f t="shared" si="38"/>
        <v>-0.28414</v>
      </c>
      <c r="H209">
        <f t="shared" si="39"/>
        <v>-609.55951823200007</v>
      </c>
      <c r="I209">
        <v>1</v>
      </c>
      <c r="J209">
        <f t="shared" si="40"/>
        <v>0.763269520623719</v>
      </c>
      <c r="K209">
        <f t="shared" si="41"/>
        <v>-0.9375851517752174</v>
      </c>
      <c r="L209">
        <v>1</v>
      </c>
      <c r="M209">
        <f t="shared" si="42"/>
        <v>0.56270275492795674</v>
      </c>
      <c r="N209">
        <f t="shared" si="43"/>
        <v>0.18556661620000001</v>
      </c>
      <c r="O209">
        <f t="shared" si="44"/>
        <v>0.15832157544000003</v>
      </c>
      <c r="P209">
        <f t="shared" si="45"/>
        <v>3.0994205207260622E-2</v>
      </c>
    </row>
    <row r="210" spans="1:16" x14ac:dyDescent="0.3">
      <c r="A210">
        <v>10.779859</v>
      </c>
      <c r="B210">
        <v>0.28164</v>
      </c>
      <c r="C210">
        <f t="shared" si="36"/>
        <v>3.0360394887600002</v>
      </c>
      <c r="D210">
        <v>1.7299999999999999E-2</v>
      </c>
      <c r="E210">
        <v>1.4760000000000001E-2</v>
      </c>
      <c r="F210">
        <f t="shared" si="37"/>
        <v>2155.9717999999998</v>
      </c>
      <c r="G210">
        <f t="shared" si="38"/>
        <v>-0.28164</v>
      </c>
      <c r="H210">
        <f t="shared" si="39"/>
        <v>-607.20789775200001</v>
      </c>
      <c r="I210">
        <v>1</v>
      </c>
      <c r="J210">
        <f t="shared" si="40"/>
        <v>0.76824157318384401</v>
      </c>
      <c r="K210">
        <f t="shared" si="41"/>
        <v>-0.94008515177521745</v>
      </c>
      <c r="L210">
        <v>1</v>
      </c>
      <c r="M210">
        <f t="shared" si="42"/>
        <v>0.56291923809642452</v>
      </c>
      <c r="N210">
        <f t="shared" si="43"/>
        <v>0.1864915607</v>
      </c>
      <c r="O210">
        <f t="shared" si="44"/>
        <v>0.15911071884</v>
      </c>
      <c r="P210">
        <f t="shared" si="45"/>
        <v>3.1563634138792929E-2</v>
      </c>
    </row>
    <row r="211" spans="1:16" x14ac:dyDescent="0.3">
      <c r="A211">
        <v>10.831795</v>
      </c>
      <c r="B211">
        <v>0.27905000000000002</v>
      </c>
      <c r="C211">
        <f t="shared" si="36"/>
        <v>3.0226123947500003</v>
      </c>
      <c r="D211">
        <v>1.7299999999999999E-2</v>
      </c>
      <c r="E211">
        <v>1.4760000000000001E-2</v>
      </c>
      <c r="F211">
        <f t="shared" si="37"/>
        <v>2166.3589999999999</v>
      </c>
      <c r="G211">
        <f t="shared" si="38"/>
        <v>-0.27905000000000002</v>
      </c>
      <c r="H211">
        <f t="shared" si="39"/>
        <v>-604.52247895000005</v>
      </c>
      <c r="I211">
        <v>1</v>
      </c>
      <c r="J211">
        <f t="shared" si="40"/>
        <v>0.77304787815052722</v>
      </c>
      <c r="K211">
        <f t="shared" si="41"/>
        <v>-0.94267515177521743</v>
      </c>
      <c r="L211">
        <v>1</v>
      </c>
      <c r="M211">
        <f t="shared" si="42"/>
        <v>0.5631285046146739</v>
      </c>
      <c r="N211">
        <f t="shared" si="43"/>
        <v>0.18739005349999999</v>
      </c>
      <c r="O211">
        <f t="shared" si="44"/>
        <v>0.15987729419999999</v>
      </c>
      <c r="P211">
        <f t="shared" si="45"/>
        <v>3.2279299460543559E-2</v>
      </c>
    </row>
    <row r="212" spans="1:16" x14ac:dyDescent="0.3">
      <c r="A212">
        <v>10.884240999999999</v>
      </c>
      <c r="B212">
        <v>0.27653</v>
      </c>
      <c r="C212">
        <f t="shared" si="36"/>
        <v>3.00981916373</v>
      </c>
      <c r="D212">
        <v>1.7299999999999999E-2</v>
      </c>
      <c r="E212">
        <v>1.4760000000000001E-2</v>
      </c>
      <c r="F212">
        <f t="shared" si="37"/>
        <v>2176.8481999999999</v>
      </c>
      <c r="G212">
        <f t="shared" si="38"/>
        <v>-0.27653</v>
      </c>
      <c r="H212">
        <f t="shared" si="39"/>
        <v>-601.96383274599998</v>
      </c>
      <c r="I212">
        <v>1</v>
      </c>
      <c r="J212">
        <f t="shared" si="40"/>
        <v>0.77787805083639006</v>
      </c>
      <c r="K212">
        <f t="shared" si="41"/>
        <v>-0.94519515177521751</v>
      </c>
      <c r="L212">
        <v>1</v>
      </c>
      <c r="M212">
        <f t="shared" si="42"/>
        <v>0.56333881033341637</v>
      </c>
      <c r="N212">
        <f t="shared" si="43"/>
        <v>0.18829736929999999</v>
      </c>
      <c r="O212">
        <f t="shared" si="44"/>
        <v>0.16065139715999999</v>
      </c>
      <c r="P212">
        <f t="shared" si="45"/>
        <v>3.2907574981801163E-2</v>
      </c>
    </row>
    <row r="213" spans="1:16" x14ac:dyDescent="0.3">
      <c r="A213">
        <v>10.937704999999999</v>
      </c>
      <c r="B213">
        <v>0.2742</v>
      </c>
      <c r="C213">
        <f t="shared" si="36"/>
        <v>2.9991187109999999</v>
      </c>
      <c r="D213">
        <v>1.7299999999999999E-2</v>
      </c>
      <c r="E213">
        <v>1.4760000000000001E-2</v>
      </c>
      <c r="F213">
        <f t="shared" si="37"/>
        <v>2187.5409999999997</v>
      </c>
      <c r="G213">
        <f t="shared" si="38"/>
        <v>-0.2742</v>
      </c>
      <c r="H213">
        <f t="shared" si="39"/>
        <v>-599.82374219999997</v>
      </c>
      <c r="I213">
        <v>1</v>
      </c>
      <c r="J213">
        <f t="shared" si="40"/>
        <v>0.78277808193112997</v>
      </c>
      <c r="K213">
        <f t="shared" si="41"/>
        <v>-0.94752515177521746</v>
      </c>
      <c r="L213">
        <v>1</v>
      </c>
      <c r="M213">
        <f t="shared" si="42"/>
        <v>0.5635521576872814</v>
      </c>
      <c r="N213">
        <f t="shared" si="43"/>
        <v>0.18922229649999997</v>
      </c>
      <c r="O213">
        <f t="shared" si="44"/>
        <v>0.16144052579999998</v>
      </c>
      <c r="P213">
        <f t="shared" si="45"/>
        <v>3.3310171787936105E-2</v>
      </c>
    </row>
    <row r="214" spans="1:16" x14ac:dyDescent="0.3">
      <c r="A214">
        <v>10.988115000000001</v>
      </c>
      <c r="B214">
        <v>0.27160000000000001</v>
      </c>
      <c r="C214">
        <f t="shared" si="36"/>
        <v>2.9843720340000002</v>
      </c>
      <c r="D214">
        <v>1.7299999999999999E-2</v>
      </c>
      <c r="E214">
        <v>1.4760000000000001E-2</v>
      </c>
      <c r="F214">
        <f t="shared" si="37"/>
        <v>2197.623</v>
      </c>
      <c r="G214">
        <f t="shared" si="38"/>
        <v>-0.27160000000000001</v>
      </c>
      <c r="H214">
        <f t="shared" si="39"/>
        <v>-596.87440680000009</v>
      </c>
      <c r="I214">
        <v>1</v>
      </c>
      <c r="J214">
        <f t="shared" si="40"/>
        <v>0.78737632170702787</v>
      </c>
      <c r="K214">
        <f t="shared" si="41"/>
        <v>-0.95012515177521739</v>
      </c>
      <c r="L214">
        <v>1</v>
      </c>
      <c r="M214">
        <f t="shared" si="42"/>
        <v>0.563752365047124</v>
      </c>
      <c r="N214">
        <f t="shared" si="43"/>
        <v>0.19009438950000002</v>
      </c>
      <c r="O214">
        <f t="shared" si="44"/>
        <v>0.1621845774</v>
      </c>
      <c r="P214">
        <f t="shared" si="45"/>
        <v>3.4093819828093369E-2</v>
      </c>
    </row>
    <row r="215" spans="1:16" x14ac:dyDescent="0.3">
      <c r="A215">
        <v>11.039542000000001</v>
      </c>
      <c r="B215">
        <v>0.26912000000000003</v>
      </c>
      <c r="C215">
        <f t="shared" si="36"/>
        <v>2.9709615430400005</v>
      </c>
      <c r="D215">
        <v>1.7299999999999999E-2</v>
      </c>
      <c r="E215">
        <v>1.4760000000000001E-2</v>
      </c>
      <c r="F215">
        <f t="shared" si="37"/>
        <v>2207.9084000000003</v>
      </c>
      <c r="G215">
        <f t="shared" si="38"/>
        <v>-0.26912000000000003</v>
      </c>
      <c r="H215">
        <f t="shared" si="39"/>
        <v>-594.19230860800008</v>
      </c>
      <c r="I215">
        <v>1</v>
      </c>
      <c r="J215">
        <f t="shared" si="40"/>
        <v>0.79204564204705519</v>
      </c>
      <c r="K215">
        <f t="shared" si="41"/>
        <v>-0.95260515177521743</v>
      </c>
      <c r="L215">
        <v>1</v>
      </c>
      <c r="M215">
        <f t="shared" si="42"/>
        <v>0.56395566725472879</v>
      </c>
      <c r="N215">
        <f t="shared" si="43"/>
        <v>0.1909840766</v>
      </c>
      <c r="O215">
        <f t="shared" si="44"/>
        <v>0.16294363992000002</v>
      </c>
      <c r="P215">
        <f t="shared" si="45"/>
        <v>3.4721768000488623E-2</v>
      </c>
    </row>
    <row r="216" spans="1:16" x14ac:dyDescent="0.3">
      <c r="A216">
        <v>11.090971</v>
      </c>
      <c r="B216">
        <v>0.26685999999999999</v>
      </c>
      <c r="C216">
        <f t="shared" si="36"/>
        <v>2.95973652106</v>
      </c>
      <c r="D216">
        <v>1.7299999999999999E-2</v>
      </c>
      <c r="E216">
        <v>1.4760000000000001E-2</v>
      </c>
      <c r="F216">
        <f t="shared" si="37"/>
        <v>2218.1941999999999</v>
      </c>
      <c r="G216">
        <f t="shared" si="38"/>
        <v>-0.26685999999999999</v>
      </c>
      <c r="H216">
        <f t="shared" si="39"/>
        <v>-591.94730421199995</v>
      </c>
      <c r="I216">
        <v>1</v>
      </c>
      <c r="J216">
        <f t="shared" si="40"/>
        <v>0.79669344145241971</v>
      </c>
      <c r="K216">
        <f t="shared" si="41"/>
        <v>-0.95486515177521747</v>
      </c>
      <c r="L216">
        <v>1</v>
      </c>
      <c r="M216">
        <f t="shared" si="42"/>
        <v>0.5641580324408384</v>
      </c>
      <c r="N216">
        <f t="shared" si="43"/>
        <v>0.19187379829999998</v>
      </c>
      <c r="O216">
        <f t="shared" si="44"/>
        <v>0.16370273196000001</v>
      </c>
      <c r="P216">
        <f t="shared" si="45"/>
        <v>3.5130589074379076E-2</v>
      </c>
    </row>
    <row r="217" spans="1:16" x14ac:dyDescent="0.3">
      <c r="A217">
        <v>11.141889000000001</v>
      </c>
      <c r="B217">
        <v>0.26444000000000001</v>
      </c>
      <c r="C217">
        <f t="shared" si="36"/>
        <v>2.9463611271600003</v>
      </c>
      <c r="D217">
        <v>1.7299999999999999E-2</v>
      </c>
      <c r="E217">
        <v>1.4760000000000001E-2</v>
      </c>
      <c r="F217">
        <f t="shared" si="37"/>
        <v>2228.3778000000002</v>
      </c>
      <c r="G217">
        <f t="shared" si="38"/>
        <v>-0.26444000000000001</v>
      </c>
      <c r="H217">
        <f t="shared" si="39"/>
        <v>-589.27222543200003</v>
      </c>
      <c r="I217">
        <v>1</v>
      </c>
      <c r="J217">
        <f t="shared" si="40"/>
        <v>0.80127387681010664</v>
      </c>
      <c r="K217">
        <f t="shared" si="41"/>
        <v>-0.95728515177521745</v>
      </c>
      <c r="L217">
        <v>1</v>
      </c>
      <c r="M217">
        <f t="shared" si="42"/>
        <v>0.56435746459631209</v>
      </c>
      <c r="N217">
        <f t="shared" si="43"/>
        <v>0.19275467970000001</v>
      </c>
      <c r="O217">
        <f t="shared" si="44"/>
        <v>0.16445428164000001</v>
      </c>
      <c r="P217">
        <f t="shared" si="45"/>
        <v>3.5718725838905341E-2</v>
      </c>
    </row>
    <row r="218" spans="1:16" x14ac:dyDescent="0.3">
      <c r="A218">
        <v>11.194335000000001</v>
      </c>
      <c r="B218">
        <v>0.26196000000000003</v>
      </c>
      <c r="C218">
        <f t="shared" si="36"/>
        <v>2.9324679966000002</v>
      </c>
      <c r="D218">
        <v>1.7299999999999999E-2</v>
      </c>
      <c r="E218">
        <v>1.4760000000000001E-2</v>
      </c>
      <c r="F218">
        <f t="shared" si="37"/>
        <v>2238.8670000000002</v>
      </c>
      <c r="G218">
        <f t="shared" si="38"/>
        <v>-0.26196000000000003</v>
      </c>
      <c r="H218">
        <f t="shared" si="39"/>
        <v>-586.49359932000004</v>
      </c>
      <c r="I218">
        <v>1</v>
      </c>
      <c r="J218">
        <f t="shared" si="40"/>
        <v>0.80596993433374287</v>
      </c>
      <c r="K218">
        <f t="shared" si="41"/>
        <v>-0.95976515177521748</v>
      </c>
      <c r="L218">
        <v>1</v>
      </c>
      <c r="M218">
        <f t="shared" si="42"/>
        <v>0.56456193094089113</v>
      </c>
      <c r="N218">
        <f t="shared" si="43"/>
        <v>0.19366199550000002</v>
      </c>
      <c r="O218">
        <f t="shared" si="44"/>
        <v>0.16522838460000003</v>
      </c>
      <c r="P218">
        <f t="shared" si="45"/>
        <v>3.6312840734326307E-2</v>
      </c>
    </row>
    <row r="219" spans="1:16" x14ac:dyDescent="0.3">
      <c r="A219">
        <v>11.247287999999999</v>
      </c>
      <c r="B219">
        <v>0.25903999999999999</v>
      </c>
      <c r="C219">
        <f t="shared" si="36"/>
        <v>2.9134974835199996</v>
      </c>
      <c r="D219">
        <v>1.7299999999999999E-2</v>
      </c>
      <c r="E219">
        <v>1.4760000000000001E-2</v>
      </c>
      <c r="F219">
        <f t="shared" si="37"/>
        <v>2249.4575999999997</v>
      </c>
      <c r="G219">
        <f t="shared" si="38"/>
        <v>-0.25903999999999999</v>
      </c>
      <c r="H219">
        <f t="shared" si="39"/>
        <v>-582.6994967039999</v>
      </c>
      <c r="I219">
        <v>1</v>
      </c>
      <c r="J219">
        <f t="shared" si="40"/>
        <v>0.81068912048842268</v>
      </c>
      <c r="K219">
        <f t="shared" si="41"/>
        <v>-0.96268515177521752</v>
      </c>
      <c r="L219">
        <v>1</v>
      </c>
      <c r="M219">
        <f t="shared" si="42"/>
        <v>0.56476740430606598</v>
      </c>
      <c r="N219">
        <f t="shared" si="43"/>
        <v>0.19457808239999999</v>
      </c>
      <c r="O219">
        <f t="shared" si="44"/>
        <v>0.16600997088</v>
      </c>
      <c r="P219">
        <f t="shared" si="45"/>
        <v>3.7329694189151552E-2</v>
      </c>
    </row>
    <row r="220" spans="1:16" x14ac:dyDescent="0.3">
      <c r="A220">
        <v>11.297698</v>
      </c>
      <c r="B220">
        <v>0.25675999999999999</v>
      </c>
      <c r="C220">
        <f t="shared" si="36"/>
        <v>2.9007969384800001</v>
      </c>
      <c r="D220">
        <v>1.7299999999999999E-2</v>
      </c>
      <c r="E220">
        <v>1.4760000000000001E-2</v>
      </c>
      <c r="F220">
        <f t="shared" si="37"/>
        <v>2259.5396000000001</v>
      </c>
      <c r="G220">
        <f t="shared" si="38"/>
        <v>-0.25675999999999999</v>
      </c>
      <c r="H220">
        <f t="shared" si="39"/>
        <v>-580.15938769600007</v>
      </c>
      <c r="I220">
        <v>1</v>
      </c>
      <c r="J220">
        <f t="shared" si="40"/>
        <v>0.81516107571694651</v>
      </c>
      <c r="K220">
        <f t="shared" si="41"/>
        <v>-0.96496515177521747</v>
      </c>
      <c r="L220">
        <v>1</v>
      </c>
      <c r="M220">
        <f t="shared" si="42"/>
        <v>0.56496211323671586</v>
      </c>
      <c r="N220">
        <f t="shared" si="43"/>
        <v>0.19545017540000001</v>
      </c>
      <c r="O220">
        <f t="shared" si="44"/>
        <v>0.16675402248000001</v>
      </c>
      <c r="P220">
        <f t="shared" si="45"/>
        <v>3.7798840658501587E-2</v>
      </c>
    </row>
    <row r="221" spans="1:16" x14ac:dyDescent="0.3">
      <c r="A221">
        <v>11.350144999999999</v>
      </c>
      <c r="B221">
        <v>0.25425999999999999</v>
      </c>
      <c r="C221">
        <f t="shared" si="36"/>
        <v>2.8858878676999997</v>
      </c>
      <c r="D221">
        <v>1.7299999999999999E-2</v>
      </c>
      <c r="E221">
        <v>1.4760000000000001E-2</v>
      </c>
      <c r="F221">
        <f t="shared" si="37"/>
        <v>2270.029</v>
      </c>
      <c r="G221">
        <f t="shared" si="38"/>
        <v>-0.25425999999999999</v>
      </c>
      <c r="H221">
        <f t="shared" si="39"/>
        <v>-577.17757353999991</v>
      </c>
      <c r="I221">
        <v>1</v>
      </c>
      <c r="J221">
        <f t="shared" si="40"/>
        <v>0.81979260674210397</v>
      </c>
      <c r="K221">
        <f t="shared" si="41"/>
        <v>-0.96746515177521752</v>
      </c>
      <c r="L221">
        <v>1</v>
      </c>
      <c r="M221">
        <f t="shared" si="42"/>
        <v>0.56516377009755125</v>
      </c>
      <c r="N221">
        <f t="shared" si="43"/>
        <v>0.19635750849999997</v>
      </c>
      <c r="O221">
        <f t="shared" si="44"/>
        <v>0.16752814020000001</v>
      </c>
      <c r="P221">
        <f t="shared" si="45"/>
        <v>3.8415732977666289E-2</v>
      </c>
    </row>
    <row r="222" spans="1:16" x14ac:dyDescent="0.3">
      <c r="A222">
        <v>11.400554</v>
      </c>
      <c r="B222">
        <v>0.25180000000000002</v>
      </c>
      <c r="C222">
        <f t="shared" si="36"/>
        <v>2.8706594972000001</v>
      </c>
      <c r="D222">
        <v>1.7299999999999999E-2</v>
      </c>
      <c r="E222">
        <v>1.4760000000000001E-2</v>
      </c>
      <c r="F222">
        <f t="shared" si="37"/>
        <v>2280.1107999999999</v>
      </c>
      <c r="G222">
        <f t="shared" si="38"/>
        <v>-0.25180000000000002</v>
      </c>
      <c r="H222">
        <f t="shared" si="39"/>
        <v>-574.13189943999998</v>
      </c>
      <c r="I222">
        <v>1</v>
      </c>
      <c r="J222">
        <f t="shared" si="40"/>
        <v>0.82422403827680624</v>
      </c>
      <c r="K222">
        <f t="shared" si="41"/>
        <v>-0.96992515177521743</v>
      </c>
      <c r="L222">
        <v>1</v>
      </c>
      <c r="M222">
        <f t="shared" si="42"/>
        <v>0.56535671462657211</v>
      </c>
      <c r="N222">
        <f t="shared" si="43"/>
        <v>0.19722958419999997</v>
      </c>
      <c r="O222">
        <f t="shared" si="44"/>
        <v>0.16827217704</v>
      </c>
      <c r="P222">
        <f t="shared" si="45"/>
        <v>3.9066675908645349E-2</v>
      </c>
    </row>
    <row r="223" spans="1:16" x14ac:dyDescent="0.3">
      <c r="A223">
        <v>11.395970999999999</v>
      </c>
      <c r="B223">
        <v>0.25147999999999998</v>
      </c>
      <c r="C223">
        <f t="shared" si="36"/>
        <v>2.8658587870799996</v>
      </c>
      <c r="D223">
        <v>1.7299999999999999E-2</v>
      </c>
      <c r="E223">
        <v>1.4760000000000001E-2</v>
      </c>
      <c r="F223">
        <f t="shared" si="37"/>
        <v>2279.1941999999999</v>
      </c>
      <c r="G223">
        <f t="shared" si="38"/>
        <v>-0.25147999999999998</v>
      </c>
      <c r="H223">
        <f t="shared" si="39"/>
        <v>-573.17175741599988</v>
      </c>
      <c r="I223">
        <v>1</v>
      </c>
      <c r="J223">
        <f t="shared" si="40"/>
        <v>0.82382195944577885</v>
      </c>
      <c r="K223">
        <f t="shared" si="41"/>
        <v>-0.97024515177521753</v>
      </c>
      <c r="L223">
        <v>1</v>
      </c>
      <c r="M223">
        <f t="shared" si="42"/>
        <v>0.56533920811426919</v>
      </c>
      <c r="N223">
        <f t="shared" si="43"/>
        <v>0.19715029829999997</v>
      </c>
      <c r="O223">
        <f t="shared" si="44"/>
        <v>0.16820453195999999</v>
      </c>
      <c r="P223">
        <f t="shared" si="45"/>
        <v>3.9551113400948384E-2</v>
      </c>
    </row>
    <row r="224" spans="1:16" x14ac:dyDescent="0.3">
      <c r="C224">
        <f t="shared" si="36"/>
        <v>0</v>
      </c>
      <c r="D224">
        <v>1.7299999999999999E-2</v>
      </c>
      <c r="E224">
        <v>1.4999999999999999E-2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1.7299999999999999E-2</v>
      </c>
      <c r="E225">
        <v>1.4999999999999999E-2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1.7299999999999999E-2</v>
      </c>
      <c r="E226">
        <v>1.4999999999999999E-2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1.7299999999999999E-2</v>
      </c>
      <c r="E227">
        <v>1.4999999999999999E-2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1.7299999999999999E-2</v>
      </c>
      <c r="E228">
        <v>1.4999999999999999E-2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1.7299999999999999E-2</v>
      </c>
      <c r="E229">
        <v>1.4999999999999999E-2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1.7299999999999999E-2</v>
      </c>
      <c r="E230">
        <v>1.4999999999999999E-2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1.7299999999999999E-2</v>
      </c>
      <c r="E231">
        <v>1.4999999999999999E-2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1.7299999999999999E-2</v>
      </c>
      <c r="E232">
        <v>1.4999999999999999E-2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1.7299999999999999E-2</v>
      </c>
      <c r="E233">
        <v>1.4999999999999999E-2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1.7299999999999999E-2</v>
      </c>
      <c r="E234">
        <v>1.4999999999999999E-2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1.7299999999999999E-2</v>
      </c>
      <c r="E235">
        <v>1.4999999999999999E-2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1.7299999999999999E-2</v>
      </c>
      <c r="E236">
        <v>1.4999999999999999E-2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1.7299999999999999E-2</v>
      </c>
      <c r="E237">
        <v>1.4999999999999999E-2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1.7299999999999999E-2</v>
      </c>
      <c r="E238">
        <v>1.4999999999999999E-2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1.7299999999999999E-2</v>
      </c>
      <c r="E239">
        <v>1.4999999999999999E-2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1.7299999999999999E-2</v>
      </c>
      <c r="E240">
        <v>1.4999999999999999E-2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1.7299999999999999E-2</v>
      </c>
      <c r="E241">
        <v>1.4999999999999999E-2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1.7299999999999999E-2</v>
      </c>
      <c r="E242">
        <v>1.4999999999999999E-2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1.7299999999999999E-2</v>
      </c>
      <c r="E243">
        <v>1.4999999999999999E-2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1.7299999999999999E-2</v>
      </c>
      <c r="E244">
        <v>1.4999999999999999E-2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1.7299999999999999E-2</v>
      </c>
      <c r="E245">
        <v>1.4999999999999999E-2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1.7299999999999999E-2</v>
      </c>
      <c r="E246">
        <v>1.4999999999999999E-2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1.7299999999999999E-2</v>
      </c>
      <c r="E247">
        <v>1.4999999999999999E-2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1.7299999999999999E-2</v>
      </c>
      <c r="E248">
        <v>1.4999999999999999E-2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1.7299999999999999E-2</v>
      </c>
      <c r="E249">
        <v>1.4999999999999999E-2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1.7299999999999999E-2</v>
      </c>
      <c r="E250">
        <v>1.4999999999999999E-2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1.7299999999999999E-2</v>
      </c>
      <c r="E251">
        <v>1.4999999999999999E-2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1.7299999999999999E-2</v>
      </c>
      <c r="E252">
        <v>1.4999999999999999E-2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1.7299999999999999E-2</v>
      </c>
      <c r="E253">
        <v>1.4999999999999999E-2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1.7299999999999999E-2</v>
      </c>
      <c r="E254">
        <v>1.4999999999999999E-2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1.7299999999999999E-2</v>
      </c>
      <c r="E255">
        <v>1.4999999999999999E-2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1.7299999999999999E-2</v>
      </c>
      <c r="E256">
        <v>1.4999999999999999E-2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1.7299999999999999E-2</v>
      </c>
      <c r="E257">
        <v>1.4999999999999999E-2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1.7299999999999999E-2</v>
      </c>
      <c r="E258">
        <v>1.4999999999999999E-2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1.7299999999999999E-2</v>
      </c>
      <c r="E259">
        <v>1.4999999999999999E-2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1.7299999999999999E-2</v>
      </c>
      <c r="E260">
        <v>1.4999999999999999E-2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1.7299999999999999E-2</v>
      </c>
      <c r="E261">
        <v>1.4999999999999999E-2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1.7299999999999999E-2</v>
      </c>
      <c r="E262">
        <v>1.4999999999999999E-2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1.7299999999999999E-2</v>
      </c>
      <c r="E263">
        <v>1.4999999999999999E-2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1.7299999999999999E-2</v>
      </c>
      <c r="E264">
        <v>1.4999999999999999E-2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1.7299999999999999E-2</v>
      </c>
      <c r="E265">
        <v>1.4999999999999999E-2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1.7299999999999999E-2</v>
      </c>
      <c r="E266">
        <v>1.4999999999999999E-2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1.7299999999999999E-2</v>
      </c>
      <c r="E267">
        <v>1.4999999999999999E-2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1.7299999999999999E-2</v>
      </c>
      <c r="E268">
        <v>1.4999999999999999E-2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1.7299999999999999E-2</v>
      </c>
      <c r="E269">
        <v>1.4999999999999999E-2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1.7299999999999999E-2</v>
      </c>
      <c r="E270">
        <v>1.4999999999999999E-2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1.7299999999999999E-2</v>
      </c>
      <c r="E271">
        <v>1.4999999999999999E-2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1.7299999999999999E-2</v>
      </c>
      <c r="E272">
        <v>1.4999999999999999E-2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1.7299999999999999E-2</v>
      </c>
      <c r="E273">
        <v>1.4999999999999999E-2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1.7299999999999999E-2</v>
      </c>
      <c r="E274">
        <v>1.4999999999999999E-2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1.7299999999999999E-2</v>
      </c>
      <c r="E275">
        <v>1.4999999999999999E-2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1.7299999999999999E-2</v>
      </c>
      <c r="E276">
        <v>1.4999999999999999E-2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1.7299999999999999E-2</v>
      </c>
      <c r="E277">
        <v>1.4999999999999999E-2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1.7299999999999999E-2</v>
      </c>
      <c r="E278">
        <v>1.4999999999999999E-2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1.7299999999999999E-2</v>
      </c>
      <c r="E279">
        <v>1.4999999999999999E-2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1.7299999999999999E-2</v>
      </c>
      <c r="E280">
        <v>1.4999999999999999E-2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1.7299999999999999E-2</v>
      </c>
      <c r="E281">
        <v>1.4999999999999999E-2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1.7299999999999999E-2</v>
      </c>
      <c r="E282">
        <v>1.4999999999999999E-2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1.7299999999999999E-2</v>
      </c>
      <c r="E283">
        <v>1.4999999999999999E-2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1.7299999999999999E-2</v>
      </c>
      <c r="E284">
        <v>1.4999999999999999E-2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1.7299999999999999E-2</v>
      </c>
      <c r="E285">
        <v>1.4999999999999999E-2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1.7299999999999999E-2</v>
      </c>
      <c r="E286">
        <v>1.4999999999999999E-2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1.7299999999999999E-2</v>
      </c>
      <c r="E287">
        <v>1.4999999999999999E-2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1.7299999999999999E-2</v>
      </c>
      <c r="E288">
        <v>1.4999999999999999E-2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1.7299999999999999E-2</v>
      </c>
      <c r="E289">
        <v>1.4999999999999999E-2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1.7299999999999999E-2</v>
      </c>
      <c r="E290">
        <v>1.4999999999999999E-2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1.7299999999999999E-2</v>
      </c>
      <c r="E291">
        <v>1.4999999999999999E-2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1.7299999999999999E-2</v>
      </c>
      <c r="E292">
        <v>1.4999999999999999E-2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1.7299999999999999E-2</v>
      </c>
      <c r="E293">
        <v>1.4999999999999999E-2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1.7299999999999999E-2</v>
      </c>
      <c r="E294">
        <v>1.4999999999999999E-2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1.7299999999999999E-2</v>
      </c>
      <c r="E295">
        <v>1.4999999999999999E-2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1.7299999999999999E-2</v>
      </c>
      <c r="E296">
        <v>1.4999999999999999E-2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1.7299999999999999E-2</v>
      </c>
      <c r="E297">
        <v>1.4999999999999999E-2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1.7299999999999999E-2</v>
      </c>
      <c r="E298">
        <v>1.4999999999999999E-2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1.7299999999999999E-2</v>
      </c>
      <c r="E299">
        <v>1.4999999999999999E-2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1.7299999999999999E-2</v>
      </c>
      <c r="E300">
        <v>1.4999999999999999E-2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1.7299999999999999E-2</v>
      </c>
      <c r="E301">
        <v>1.4999999999999999E-2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1.7299999999999999E-2</v>
      </c>
      <c r="E302">
        <v>1.4999999999999999E-2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1.7299999999999999E-2</v>
      </c>
      <c r="E303">
        <v>1.4999999999999999E-2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2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</row>
    <row r="3" spans="1:12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</row>
    <row r="4" spans="1:12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</row>
    <row r="5" spans="1:12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</row>
    <row r="6" spans="1:12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</row>
    <row r="7" spans="1:12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</row>
    <row r="8" spans="1:12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</row>
    <row r="9" spans="1:12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</row>
    <row r="10" spans="1:12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</row>
    <row r="11" spans="1:12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</row>
    <row r="14" spans="1:12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</row>
    <row r="15" spans="1:12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</row>
    <row r="18" spans="1:12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6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6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6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6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</row>
    <row r="38" spans="1:12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6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6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</row>
    <row r="40" spans="1:12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6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6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6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6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</row>
    <row r="44" spans="1:12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6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6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6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6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6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</row>
    <row r="49" spans="1:12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6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</row>
    <row r="50" spans="1:12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6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6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</row>
    <row r="52" spans="1:12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6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6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</row>
    <row r="54" spans="1:12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6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6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</row>
    <row r="56" spans="1:12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6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6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6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</row>
    <row r="59" spans="1:12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6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6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</row>
    <row r="61" spans="1:12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6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6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6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</row>
    <row r="64" spans="1:12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6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6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 x14ac:dyDescent="0.3">
      <c r="A66">
        <v>3.38</v>
      </c>
      <c r="B66">
        <f t="shared" ref="B66:B129" si="7">A66*200</f>
        <v>676</v>
      </c>
      <c r="C66">
        <v>0.59699999999999998</v>
      </c>
      <c r="D66">
        <v>2.0899359136819839E-2</v>
      </c>
      <c r="E66">
        <f t="shared" ref="E66:E129" si="8">B66</f>
        <v>676</v>
      </c>
      <c r="F66">
        <f t="shared" ref="F66:F97" si="9">D66-0.0045</f>
        <v>1.6399359136819839E-2</v>
      </c>
      <c r="I66">
        <f t="shared" ref="I66:I129" si="10">C66+(D66*A66)</f>
        <v>0.66763983388245107</v>
      </c>
      <c r="K66">
        <f t="shared" ref="K66:K129" si="11">I66+(F66*C66)</f>
        <v>0.67743025128713252</v>
      </c>
      <c r="L66">
        <f t="shared" ref="L66:L129" si="12">K66-$I$1</f>
        <v>-0.54429490048808493</v>
      </c>
    </row>
    <row r="67" spans="1:12" x14ac:dyDescent="0.3">
      <c r="A67">
        <v>3.43</v>
      </c>
      <c r="B67">
        <f t="shared" si="7"/>
        <v>686</v>
      </c>
      <c r="C67">
        <v>0.59499999999999997</v>
      </c>
      <c r="D67">
        <v>2.1236933767795559E-2</v>
      </c>
      <c r="E67">
        <f t="shared" si="8"/>
        <v>686</v>
      </c>
      <c r="F67">
        <f t="shared" si="9"/>
        <v>1.6736933767795559E-2</v>
      </c>
      <c r="I67">
        <f t="shared" si="10"/>
        <v>0.66784268282353876</v>
      </c>
      <c r="K67">
        <f t="shared" si="11"/>
        <v>0.67780115841537714</v>
      </c>
      <c r="L67">
        <f t="shared" si="12"/>
        <v>-0.54392399335984032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>
        <v>2.121633850038052E-2</v>
      </c>
      <c r="E68">
        <f t="shared" si="8"/>
        <v>698</v>
      </c>
      <c r="F68">
        <f t="shared" si="9"/>
        <v>1.6716338500380519E-2</v>
      </c>
      <c r="I68">
        <f t="shared" si="10"/>
        <v>0.66604502136632804</v>
      </c>
      <c r="K68">
        <f t="shared" si="11"/>
        <v>0.67594109375855327</v>
      </c>
      <c r="L68">
        <f t="shared" si="12"/>
        <v>-0.54578405801666419</v>
      </c>
    </row>
    <row r="69" spans="1:12" x14ac:dyDescent="0.3">
      <c r="A69">
        <v>3.54</v>
      </c>
      <c r="B69">
        <f t="shared" si="7"/>
        <v>708</v>
      </c>
      <c r="C69">
        <v>0.59</v>
      </c>
      <c r="D69">
        <v>2.1920887753367421E-2</v>
      </c>
      <c r="E69">
        <f t="shared" si="8"/>
        <v>708</v>
      </c>
      <c r="F69">
        <f t="shared" si="9"/>
        <v>1.742088775336742E-2</v>
      </c>
      <c r="I69">
        <f t="shared" si="10"/>
        <v>0.66759994264692069</v>
      </c>
      <c r="K69">
        <f t="shared" si="11"/>
        <v>0.67787826642140747</v>
      </c>
      <c r="L69">
        <f t="shared" si="12"/>
        <v>-0.54384688535380998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>
        <v>2.134180627763271E-2</v>
      </c>
      <c r="E70">
        <f t="shared" si="8"/>
        <v>718</v>
      </c>
      <c r="F70">
        <f t="shared" si="9"/>
        <v>1.6841806277632709E-2</v>
      </c>
      <c r="I70">
        <f t="shared" si="10"/>
        <v>0.66361708453670143</v>
      </c>
      <c r="K70">
        <f t="shared" si="11"/>
        <v>0.6735032248216718</v>
      </c>
      <c r="L70">
        <f t="shared" si="12"/>
        <v>-0.54822192695354566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>
        <v>2.1182570606470112E-2</v>
      </c>
      <c r="E71">
        <f t="shared" si="8"/>
        <v>728</v>
      </c>
      <c r="F71">
        <f t="shared" si="9"/>
        <v>1.6682570606470111E-2</v>
      </c>
      <c r="I71">
        <f t="shared" si="10"/>
        <v>0.66210455700755122</v>
      </c>
      <c r="K71">
        <f t="shared" si="11"/>
        <v>0.67186386081233629</v>
      </c>
      <c r="L71">
        <f t="shared" si="12"/>
        <v>-0.54986129096288117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>
        <v>2.0709231495857239E-2</v>
      </c>
      <c r="E72">
        <f t="shared" si="8"/>
        <v>738</v>
      </c>
      <c r="F72">
        <f t="shared" si="9"/>
        <v>1.6209231495857238E-2</v>
      </c>
      <c r="I72">
        <f t="shared" si="10"/>
        <v>0.65841706421971313</v>
      </c>
      <c r="K72">
        <f t="shared" si="11"/>
        <v>0.66785083695030201</v>
      </c>
      <c r="L72">
        <f t="shared" si="12"/>
        <v>-0.55387431482491545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>
        <v>2.084982767701149E-2</v>
      </c>
      <c r="E73">
        <f t="shared" si="8"/>
        <v>748</v>
      </c>
      <c r="F73">
        <f t="shared" si="9"/>
        <v>1.6349827677011489E-2</v>
      </c>
      <c r="I73">
        <f t="shared" si="10"/>
        <v>0.65797835551202288</v>
      </c>
      <c r="K73">
        <f t="shared" si="11"/>
        <v>0.66746125556468949</v>
      </c>
      <c r="L73">
        <f t="shared" si="12"/>
        <v>-0.55426389621052796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>
        <v>2.1780027076601979E-2</v>
      </c>
      <c r="E74">
        <f t="shared" si="8"/>
        <v>760</v>
      </c>
      <c r="F74">
        <f t="shared" si="9"/>
        <v>1.7280027076601978E-2</v>
      </c>
      <c r="I74">
        <f t="shared" si="10"/>
        <v>0.66076410289108745</v>
      </c>
      <c r="K74">
        <f t="shared" si="11"/>
        <v>0.67075195854136338</v>
      </c>
      <c r="L74">
        <f t="shared" si="12"/>
        <v>-0.55097319323385407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>
        <v>2.16306746006012E-2</v>
      </c>
      <c r="E75">
        <f t="shared" si="8"/>
        <v>770</v>
      </c>
      <c r="F75">
        <f t="shared" si="9"/>
        <v>1.7130674600601199E-2</v>
      </c>
      <c r="I75">
        <f t="shared" si="10"/>
        <v>0.65827809721231456</v>
      </c>
      <c r="K75">
        <f t="shared" si="11"/>
        <v>0.66812823510766028</v>
      </c>
      <c r="L75">
        <f t="shared" si="12"/>
        <v>-0.55359691666755717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>
        <v>2.1522887051105499E-2</v>
      </c>
      <c r="E76">
        <f t="shared" si="8"/>
        <v>780</v>
      </c>
      <c r="F76">
        <f t="shared" si="9"/>
        <v>1.7022887051105499E-2</v>
      </c>
      <c r="I76">
        <f t="shared" si="10"/>
        <v>0.65693925949931142</v>
      </c>
      <c r="K76">
        <f t="shared" si="11"/>
        <v>0.66669337377959492</v>
      </c>
      <c r="L76">
        <f t="shared" si="12"/>
        <v>-0.55503177799562253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>
        <v>2.099636942148209E-2</v>
      </c>
      <c r="E77">
        <f t="shared" si="8"/>
        <v>790</v>
      </c>
      <c r="F77">
        <f t="shared" si="9"/>
        <v>1.6496369421482089E-2</v>
      </c>
      <c r="I77">
        <f t="shared" si="10"/>
        <v>0.65293565921485419</v>
      </c>
      <c r="K77">
        <f t="shared" si="11"/>
        <v>0.66233858978509896</v>
      </c>
      <c r="L77">
        <f t="shared" si="12"/>
        <v>-0.55938656199011849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>
        <v>2.120652794837952E-2</v>
      </c>
      <c r="E78">
        <f t="shared" si="8"/>
        <v>800</v>
      </c>
      <c r="F78">
        <f t="shared" si="9"/>
        <v>1.670652794837952E-2</v>
      </c>
      <c r="I78">
        <f t="shared" si="10"/>
        <v>0.65282611179351802</v>
      </c>
      <c r="K78">
        <f t="shared" si="11"/>
        <v>0.66231541966819762</v>
      </c>
      <c r="L78">
        <f t="shared" si="12"/>
        <v>-0.55940973210701983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>
        <v>2.128704264760017E-2</v>
      </c>
      <c r="E79">
        <f t="shared" si="8"/>
        <v>810</v>
      </c>
      <c r="F79">
        <f t="shared" si="9"/>
        <v>1.678704264760017E-2</v>
      </c>
      <c r="I79">
        <f t="shared" si="10"/>
        <v>0.65121252272278063</v>
      </c>
      <c r="K79">
        <f t="shared" si="11"/>
        <v>0.66069720181867475</v>
      </c>
      <c r="L79">
        <f t="shared" si="12"/>
        <v>-0.5610279499565427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10"/>
        <v>0.65143646869063376</v>
      </c>
      <c r="K80">
        <f t="shared" si="11"/>
        <v>0.66104680573278662</v>
      </c>
      <c r="L80">
        <f t="shared" si="12"/>
        <v>-0.56067834604243083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>
        <v>2.1351464092731479E-2</v>
      </c>
      <c r="E81">
        <f t="shared" si="8"/>
        <v>832</v>
      </c>
      <c r="F81">
        <f t="shared" si="9"/>
        <v>1.6851464092731479E-2</v>
      </c>
      <c r="I81">
        <f t="shared" si="10"/>
        <v>0.64982209062576302</v>
      </c>
      <c r="K81">
        <f t="shared" si="11"/>
        <v>0.65927576198178539</v>
      </c>
      <c r="L81">
        <f t="shared" si="12"/>
        <v>-0.56244938979343206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>
        <v>2.2199295461177829E-2</v>
      </c>
      <c r="E82">
        <f t="shared" si="8"/>
        <v>842</v>
      </c>
      <c r="F82">
        <f t="shared" si="9"/>
        <v>1.7699295461177829E-2</v>
      </c>
      <c r="I82">
        <f t="shared" si="10"/>
        <v>0.65145903389155868</v>
      </c>
      <c r="K82">
        <f t="shared" si="11"/>
        <v>0.66133524075889594</v>
      </c>
      <c r="L82">
        <f t="shared" si="12"/>
        <v>-0.56038991101632152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>
        <v>2.134930714964867E-2</v>
      </c>
      <c r="E83">
        <f t="shared" si="8"/>
        <v>852</v>
      </c>
      <c r="F83">
        <f t="shared" si="9"/>
        <v>1.6849307149648669E-2</v>
      </c>
      <c r="I83">
        <f t="shared" si="10"/>
        <v>0.64694804845750342</v>
      </c>
      <c r="K83">
        <f t="shared" si="11"/>
        <v>0.65631626323270809</v>
      </c>
      <c r="L83">
        <f t="shared" si="12"/>
        <v>-0.56540888854250937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>
        <v>2.12129782885313E-2</v>
      </c>
      <c r="E84">
        <f t="shared" si="8"/>
        <v>861.99999999999989</v>
      </c>
      <c r="F84">
        <f t="shared" si="9"/>
        <v>1.6712978288531299E-2</v>
      </c>
      <c r="I84">
        <f t="shared" si="10"/>
        <v>0.64542793642356999</v>
      </c>
      <c r="K84">
        <f t="shared" si="11"/>
        <v>0.65468692639541637</v>
      </c>
      <c r="L84">
        <f t="shared" si="12"/>
        <v>-0.56703822537980109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>
        <v>2.2336233407258991E-2</v>
      </c>
      <c r="E85">
        <f t="shared" si="8"/>
        <v>874</v>
      </c>
      <c r="F85">
        <f t="shared" si="9"/>
        <v>1.783623340725899E-2</v>
      </c>
      <c r="I85">
        <f t="shared" si="10"/>
        <v>0.64860933998972181</v>
      </c>
      <c r="K85">
        <f t="shared" si="11"/>
        <v>0.65843710459712157</v>
      </c>
      <c r="L85">
        <f t="shared" si="12"/>
        <v>-0.56328804717809589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>
        <v>2.0953355357050899E-2</v>
      </c>
      <c r="E86">
        <f t="shared" si="8"/>
        <v>884</v>
      </c>
      <c r="F86">
        <f t="shared" si="9"/>
        <v>1.6453355357050899E-2</v>
      </c>
      <c r="I86">
        <f t="shared" si="10"/>
        <v>0.64161383067816502</v>
      </c>
      <c r="K86">
        <f t="shared" si="11"/>
        <v>0.650646722769186</v>
      </c>
      <c r="L86">
        <f t="shared" si="12"/>
        <v>-0.57107842900603145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>
        <v>2.2049251943826679E-2</v>
      </c>
      <c r="E87">
        <f t="shared" si="8"/>
        <v>894</v>
      </c>
      <c r="F87">
        <f t="shared" si="9"/>
        <v>1.7549251943826678E-2</v>
      </c>
      <c r="I87">
        <f t="shared" si="10"/>
        <v>0.64456015618890528</v>
      </c>
      <c r="K87">
        <f t="shared" si="11"/>
        <v>0.65414204775023466</v>
      </c>
      <c r="L87">
        <f t="shared" si="12"/>
        <v>-0.5675831040249828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>
        <v>2.1715734153985981E-2</v>
      </c>
      <c r="E88">
        <f t="shared" si="8"/>
        <v>906</v>
      </c>
      <c r="F88">
        <f t="shared" si="9"/>
        <v>1.721573415398598E-2</v>
      </c>
      <c r="I88">
        <f t="shared" si="10"/>
        <v>0.64237227571755651</v>
      </c>
      <c r="K88">
        <f t="shared" si="11"/>
        <v>0.65173763509732485</v>
      </c>
      <c r="L88">
        <f t="shared" si="12"/>
        <v>-0.5699875166778926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>
        <v>2.1696174517273899E-2</v>
      </c>
      <c r="E89">
        <f t="shared" si="8"/>
        <v>916</v>
      </c>
      <c r="F89">
        <f t="shared" si="9"/>
        <v>1.7196174517273899E-2</v>
      </c>
      <c r="I89">
        <f t="shared" si="10"/>
        <v>0.64136847928911456</v>
      </c>
      <c r="K89">
        <f t="shared" si="11"/>
        <v>0.65068880587747702</v>
      </c>
      <c r="L89">
        <f t="shared" si="12"/>
        <v>-0.57103634589774044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>
        <v>2.1906765177845951E-2</v>
      </c>
      <c r="E90">
        <f t="shared" si="8"/>
        <v>926</v>
      </c>
      <c r="F90">
        <f t="shared" si="9"/>
        <v>1.7406765177845951E-2</v>
      </c>
      <c r="I90">
        <f t="shared" si="10"/>
        <v>0.64042832277342676</v>
      </c>
      <c r="K90">
        <f t="shared" si="11"/>
        <v>0.6498105692042857</v>
      </c>
      <c r="L90">
        <f t="shared" si="12"/>
        <v>-0.57191458257093175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>
        <v>2.1756090223789219E-2</v>
      </c>
      <c r="E91">
        <f t="shared" si="8"/>
        <v>936</v>
      </c>
      <c r="F91">
        <f t="shared" si="9"/>
        <v>1.7256090223789218E-2</v>
      </c>
      <c r="I91">
        <f t="shared" si="10"/>
        <v>0.63881850224733361</v>
      </c>
      <c r="K91">
        <f t="shared" si="11"/>
        <v>0.64808502269750845</v>
      </c>
      <c r="L91">
        <f t="shared" si="12"/>
        <v>-0.573640129077709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>
        <v>2.2429488599300381E-2</v>
      </c>
      <c r="E92">
        <f t="shared" si="8"/>
        <v>946.00000000000011</v>
      </c>
      <c r="F92">
        <f t="shared" si="9"/>
        <v>1.7929488599300381E-2</v>
      </c>
      <c r="I92">
        <f t="shared" si="10"/>
        <v>0.64009148107469083</v>
      </c>
      <c r="K92">
        <f t="shared" si="11"/>
        <v>0.64966582798671724</v>
      </c>
      <c r="L92">
        <f t="shared" si="12"/>
        <v>-0.57205932378850022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>
        <v>2.15414147824049E-2</v>
      </c>
      <c r="E93">
        <f t="shared" si="8"/>
        <v>958</v>
      </c>
      <c r="F93">
        <f t="shared" si="9"/>
        <v>1.7041414782404899E-2</v>
      </c>
      <c r="I93">
        <f t="shared" si="10"/>
        <v>0.63618337680771953</v>
      </c>
      <c r="K93">
        <f t="shared" si="11"/>
        <v>0.64526645088674128</v>
      </c>
      <c r="L93">
        <f t="shared" si="12"/>
        <v>-0.57645870088847617</v>
      </c>
    </row>
    <row r="94" spans="1:12" x14ac:dyDescent="0.3">
      <c r="A94">
        <v>4.84</v>
      </c>
      <c r="B94">
        <f t="shared" si="7"/>
        <v>968</v>
      </c>
      <c r="C94">
        <v>0.53</v>
      </c>
      <c r="D94">
        <v>2.2523378953337669E-2</v>
      </c>
      <c r="E94">
        <f t="shared" si="8"/>
        <v>968</v>
      </c>
      <c r="F94">
        <f t="shared" si="9"/>
        <v>1.8023378953337669E-2</v>
      </c>
      <c r="I94">
        <f t="shared" si="10"/>
        <v>0.63901315413415438</v>
      </c>
      <c r="K94">
        <f t="shared" si="11"/>
        <v>0.64856554497942331</v>
      </c>
      <c r="L94">
        <f t="shared" si="12"/>
        <v>-0.57315960679579414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>
        <v>2.1605027839541439E-2</v>
      </c>
      <c r="E95">
        <f t="shared" si="8"/>
        <v>977.99999999999989</v>
      </c>
      <c r="F95">
        <f t="shared" si="9"/>
        <v>1.7105027839541438E-2</v>
      </c>
      <c r="I95">
        <f t="shared" si="10"/>
        <v>0.63364858613535768</v>
      </c>
      <c r="K95">
        <f t="shared" si="11"/>
        <v>0.64268004083463559</v>
      </c>
      <c r="L95">
        <f t="shared" si="12"/>
        <v>-0.57904511094058186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10"/>
        <v>0.63645377541333437</v>
      </c>
      <c r="K96">
        <f t="shared" si="11"/>
        <v>0.64584764299783115</v>
      </c>
      <c r="L96">
        <f t="shared" si="12"/>
        <v>-0.5758775087773863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>
        <v>2.1708402782678601E-2</v>
      </c>
      <c r="E97">
        <f t="shared" si="8"/>
        <v>998</v>
      </c>
      <c r="F97">
        <f t="shared" si="9"/>
        <v>1.72084027826786E-2</v>
      </c>
      <c r="I97">
        <f t="shared" si="10"/>
        <v>0.63232492988556621</v>
      </c>
      <c r="K97">
        <f t="shared" si="11"/>
        <v>0.6413421329436898</v>
      </c>
      <c r="L97">
        <f t="shared" si="12"/>
        <v>-0.58038301883152765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>
        <v>2.2254021838307381E-2</v>
      </c>
      <c r="E98">
        <f t="shared" si="8"/>
        <v>1010</v>
      </c>
      <c r="F98">
        <f t="shared" ref="F98:F129" si="13">D98-0.0045</f>
        <v>1.775402183830738E-2</v>
      </c>
      <c r="I98">
        <f t="shared" si="10"/>
        <v>0.63338281028345234</v>
      </c>
      <c r="K98">
        <f t="shared" si="11"/>
        <v>0.64263265566121053</v>
      </c>
      <c r="L98">
        <f t="shared" si="12"/>
        <v>-0.57909249611400693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>
        <v>2.2036757320165631E-2</v>
      </c>
      <c r="E99">
        <f t="shared" si="8"/>
        <v>1019.9999999999999</v>
      </c>
      <c r="F99">
        <f t="shared" si="13"/>
        <v>1.753675732016563E-2</v>
      </c>
      <c r="I99">
        <f t="shared" si="10"/>
        <v>0.63138746233284471</v>
      </c>
      <c r="K99">
        <f t="shared" si="11"/>
        <v>0.64048903938201063</v>
      </c>
      <c r="L99">
        <f t="shared" si="12"/>
        <v>-0.58123611239320683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>
        <v>2.2387169301509861E-2</v>
      </c>
      <c r="E100">
        <f t="shared" si="8"/>
        <v>1030</v>
      </c>
      <c r="F100">
        <f t="shared" si="13"/>
        <v>1.788716930150986E-2</v>
      </c>
      <c r="I100">
        <f t="shared" si="10"/>
        <v>0.63229392190277578</v>
      </c>
      <c r="K100">
        <f t="shared" si="11"/>
        <v>0.64154158843165643</v>
      </c>
      <c r="L100">
        <f t="shared" si="12"/>
        <v>-0.58018356334356103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>
        <v>2.200327999889851E-2</v>
      </c>
      <c r="E101">
        <f t="shared" si="8"/>
        <v>1042</v>
      </c>
      <c r="F101">
        <f t="shared" si="13"/>
        <v>1.7503279998898509E-2</v>
      </c>
      <c r="I101">
        <f t="shared" si="10"/>
        <v>0.62863708879426128</v>
      </c>
      <c r="K101">
        <f t="shared" si="11"/>
        <v>0.63763377471369509</v>
      </c>
      <c r="L101">
        <f t="shared" si="12"/>
        <v>-0.58409137706152237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>
        <v>2.2290784865617749E-2</v>
      </c>
      <c r="E102">
        <f t="shared" si="8"/>
        <v>1052</v>
      </c>
      <c r="F102">
        <f t="shared" si="13"/>
        <v>1.7790784865617748E-2</v>
      </c>
      <c r="I102">
        <f t="shared" si="10"/>
        <v>0.6292495283931494</v>
      </c>
      <c r="K102">
        <f t="shared" si="11"/>
        <v>0.6383584102443457</v>
      </c>
      <c r="L102">
        <f t="shared" si="12"/>
        <v>-0.58336674153087176</v>
      </c>
    </row>
    <row r="103" spans="1:12" x14ac:dyDescent="0.3">
      <c r="A103">
        <v>5.31</v>
      </c>
      <c r="B103">
        <f t="shared" si="7"/>
        <v>1062</v>
      </c>
      <c r="C103">
        <v>0.51</v>
      </c>
      <c r="D103">
        <v>2.204912714660168E-2</v>
      </c>
      <c r="E103">
        <f t="shared" si="8"/>
        <v>1062</v>
      </c>
      <c r="F103">
        <f t="shared" si="13"/>
        <v>1.754912714660168E-2</v>
      </c>
      <c r="I103">
        <f t="shared" si="10"/>
        <v>0.62708086514845496</v>
      </c>
      <c r="K103">
        <f t="shared" si="11"/>
        <v>0.63603091999322181</v>
      </c>
      <c r="L103">
        <f t="shared" si="12"/>
        <v>-0.58569423178199564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>
        <v>2.2027615457773209E-2</v>
      </c>
      <c r="E104">
        <f t="shared" si="8"/>
        <v>1072</v>
      </c>
      <c r="F104">
        <f t="shared" si="13"/>
        <v>1.7527615457773208E-2</v>
      </c>
      <c r="I104">
        <f t="shared" si="10"/>
        <v>0.62606801885366437</v>
      </c>
      <c r="K104">
        <f t="shared" si="11"/>
        <v>0.63497204750621317</v>
      </c>
      <c r="L104">
        <f t="shared" si="12"/>
        <v>-0.58675310426900429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>
        <v>2.1767960861325261E-2</v>
      </c>
      <c r="E105">
        <f t="shared" si="8"/>
        <v>1082</v>
      </c>
      <c r="F105">
        <f t="shared" si="13"/>
        <v>1.726796086132526E-2</v>
      </c>
      <c r="I105">
        <f t="shared" si="10"/>
        <v>0.62376466825976973</v>
      </c>
      <c r="K105">
        <f t="shared" si="11"/>
        <v>0.63250225645560032</v>
      </c>
      <c r="L105">
        <f t="shared" si="12"/>
        <v>-0.58922289531961713</v>
      </c>
    </row>
    <row r="106" spans="1:12" x14ac:dyDescent="0.3">
      <c r="A106">
        <v>5.48</v>
      </c>
      <c r="B106">
        <f t="shared" si="7"/>
        <v>1096</v>
      </c>
      <c r="C106">
        <v>0.503</v>
      </c>
      <c r="D106">
        <v>2.218662574887276E-2</v>
      </c>
      <c r="E106">
        <f t="shared" si="8"/>
        <v>1096</v>
      </c>
      <c r="F106">
        <f t="shared" si="13"/>
        <v>1.768662574887276E-2</v>
      </c>
      <c r="I106">
        <f t="shared" si="10"/>
        <v>0.62458270910382274</v>
      </c>
      <c r="K106">
        <f t="shared" si="11"/>
        <v>0.63347908185550572</v>
      </c>
      <c r="L106">
        <f t="shared" si="12"/>
        <v>-0.58824606991971173</v>
      </c>
    </row>
    <row r="107" spans="1:12" x14ac:dyDescent="0.3">
      <c r="A107">
        <v>5.53</v>
      </c>
      <c r="B107">
        <f t="shared" si="7"/>
        <v>1106</v>
      </c>
      <c r="C107">
        <v>0.501</v>
      </c>
      <c r="D107">
        <v>2.234361320734024E-2</v>
      </c>
      <c r="E107">
        <f t="shared" si="8"/>
        <v>1106</v>
      </c>
      <c r="F107">
        <f t="shared" si="13"/>
        <v>1.784361320734024E-2</v>
      </c>
      <c r="I107">
        <f t="shared" si="10"/>
        <v>0.6245601810365915</v>
      </c>
      <c r="K107">
        <f t="shared" si="11"/>
        <v>0.63349983125346898</v>
      </c>
      <c r="L107">
        <f t="shared" si="12"/>
        <v>-0.58822532052174847</v>
      </c>
    </row>
    <row r="108" spans="1:12" x14ac:dyDescent="0.3">
      <c r="A108">
        <v>5.58</v>
      </c>
      <c r="B108">
        <f t="shared" si="7"/>
        <v>1116</v>
      </c>
      <c r="C108">
        <v>0.499</v>
      </c>
      <c r="D108">
        <v>2.194085530936718E-2</v>
      </c>
      <c r="E108">
        <f t="shared" si="8"/>
        <v>1116</v>
      </c>
      <c r="F108">
        <f t="shared" si="13"/>
        <v>1.7440855309367179E-2</v>
      </c>
      <c r="I108">
        <f t="shared" si="10"/>
        <v>0.62142997262626887</v>
      </c>
      <c r="K108">
        <f t="shared" si="11"/>
        <v>0.63013295942564307</v>
      </c>
      <c r="L108">
        <f t="shared" si="12"/>
        <v>-0.59159219234957439</v>
      </c>
    </row>
    <row r="109" spans="1:12" x14ac:dyDescent="0.3">
      <c r="A109">
        <v>5.63</v>
      </c>
      <c r="B109">
        <f t="shared" si="7"/>
        <v>1126</v>
      </c>
      <c r="C109">
        <v>0.496</v>
      </c>
      <c r="D109">
        <v>2.266308106482029E-2</v>
      </c>
      <c r="E109">
        <f t="shared" si="8"/>
        <v>1126</v>
      </c>
      <c r="F109">
        <f t="shared" si="13"/>
        <v>1.8163081064820289E-2</v>
      </c>
      <c r="I109">
        <f t="shared" si="10"/>
        <v>0.62359314639493824</v>
      </c>
      <c r="K109">
        <f t="shared" si="11"/>
        <v>0.63260203460308906</v>
      </c>
      <c r="L109">
        <f t="shared" si="12"/>
        <v>-0.5891231171721284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>
        <v>2.2642260417342189E-2</v>
      </c>
      <c r="E110">
        <f t="shared" si="8"/>
        <v>1138</v>
      </c>
      <c r="F110">
        <f t="shared" si="13"/>
        <v>1.8142260417342189E-2</v>
      </c>
      <c r="I110">
        <f t="shared" si="10"/>
        <v>0.62283446177467705</v>
      </c>
      <c r="K110">
        <f t="shared" si="11"/>
        <v>0.63179673842084405</v>
      </c>
      <c r="L110">
        <f t="shared" si="12"/>
        <v>-0.5899284133543734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>
        <v>2.145604602992535E-2</v>
      </c>
      <c r="E111">
        <f t="shared" si="8"/>
        <v>1148</v>
      </c>
      <c r="F111">
        <f t="shared" si="13"/>
        <v>1.6956046029925349E-2</v>
      </c>
      <c r="I111">
        <f t="shared" si="10"/>
        <v>0.61515770421177152</v>
      </c>
      <c r="K111">
        <f t="shared" si="11"/>
        <v>0.62350007885849479</v>
      </c>
      <c r="L111">
        <f t="shared" si="12"/>
        <v>-0.59822507291672267</v>
      </c>
    </row>
    <row r="112" spans="1:12" x14ac:dyDescent="0.3">
      <c r="A112">
        <v>5.79</v>
      </c>
      <c r="B112">
        <f t="shared" si="7"/>
        <v>1158</v>
      </c>
      <c r="C112">
        <v>0.49</v>
      </c>
      <c r="D112">
        <v>2.2721694782376289E-2</v>
      </c>
      <c r="E112">
        <f t="shared" si="8"/>
        <v>1158</v>
      </c>
      <c r="F112">
        <f t="shared" si="13"/>
        <v>1.8221694782376289E-2</v>
      </c>
      <c r="I112">
        <f t="shared" si="10"/>
        <v>0.62155861278995872</v>
      </c>
      <c r="K112">
        <f t="shared" si="11"/>
        <v>0.63048724323332306</v>
      </c>
      <c r="L112">
        <f t="shared" si="12"/>
        <v>-0.5912379085418944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>
        <v>2.283627167344093E-2</v>
      </c>
      <c r="E113">
        <f t="shared" si="8"/>
        <v>1168</v>
      </c>
      <c r="F113">
        <f t="shared" si="13"/>
        <v>1.8336271673440929E-2</v>
      </c>
      <c r="I113">
        <f t="shared" si="10"/>
        <v>0.62136382657289502</v>
      </c>
      <c r="K113">
        <f t="shared" si="11"/>
        <v>0.63031192714953421</v>
      </c>
      <c r="L113">
        <f t="shared" si="12"/>
        <v>-0.59141322462568324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>
        <v>2.2560978308320049E-2</v>
      </c>
      <c r="E114">
        <f t="shared" si="8"/>
        <v>1180</v>
      </c>
      <c r="F114">
        <f t="shared" si="13"/>
        <v>1.8060978308320048E-2</v>
      </c>
      <c r="I114">
        <f t="shared" si="10"/>
        <v>0.61810977201908823</v>
      </c>
      <c r="K114">
        <f t="shared" si="11"/>
        <v>0.62686934649862347</v>
      </c>
      <c r="L114">
        <f t="shared" si="12"/>
        <v>-0.59485580527659399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>
        <v>2.2831900045275692E-2</v>
      </c>
      <c r="E115">
        <f t="shared" si="8"/>
        <v>1190</v>
      </c>
      <c r="F115">
        <f t="shared" si="13"/>
        <v>1.8331900045275691E-2</v>
      </c>
      <c r="I115">
        <f t="shared" si="10"/>
        <v>0.61884980526939037</v>
      </c>
      <c r="K115">
        <f t="shared" si="11"/>
        <v>0.6277041129912585</v>
      </c>
      <c r="L115">
        <f t="shared" si="12"/>
        <v>-0.59402103878395895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>
        <v>2.2245129570364949E-2</v>
      </c>
      <c r="E116">
        <f t="shared" si="8"/>
        <v>1200</v>
      </c>
      <c r="F116">
        <f t="shared" si="13"/>
        <v>1.7745129570364948E-2</v>
      </c>
      <c r="I116">
        <f t="shared" si="10"/>
        <v>0.6144707774221897</v>
      </c>
      <c r="K116">
        <f t="shared" si="11"/>
        <v>0.62300618474553526</v>
      </c>
      <c r="L116">
        <f t="shared" si="12"/>
        <v>-0.59871896702968219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>
        <v>2.2771291434764859E-2</v>
      </c>
      <c r="E117">
        <f t="shared" si="8"/>
        <v>1210</v>
      </c>
      <c r="F117">
        <f t="shared" si="13"/>
        <v>1.8271291434764858E-2</v>
      </c>
      <c r="I117">
        <f t="shared" si="10"/>
        <v>0.61676631318032737</v>
      </c>
      <c r="K117">
        <f t="shared" si="11"/>
        <v>0.62551826177757974</v>
      </c>
      <c r="L117">
        <f t="shared" si="12"/>
        <v>-0.59620688999763771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>
        <v>2.282169088721275E-2</v>
      </c>
      <c r="E118">
        <f t="shared" si="8"/>
        <v>1222</v>
      </c>
      <c r="F118">
        <f t="shared" si="13"/>
        <v>1.8321690887212749E-2</v>
      </c>
      <c r="I118">
        <f t="shared" si="10"/>
        <v>0.61644053132086984</v>
      </c>
      <c r="K118">
        <f t="shared" si="11"/>
        <v>0.62517997787407031</v>
      </c>
      <c r="L118">
        <f t="shared" si="12"/>
        <v>-0.59654517390114714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>
        <v>2.2332519292831421E-2</v>
      </c>
      <c r="E119">
        <f t="shared" si="8"/>
        <v>1232</v>
      </c>
      <c r="F119">
        <f t="shared" si="13"/>
        <v>1.783251929283142E-2</v>
      </c>
      <c r="I119">
        <f t="shared" si="10"/>
        <v>0.61156831884384155</v>
      </c>
      <c r="K119">
        <f t="shared" si="11"/>
        <v>0.62002093298864369</v>
      </c>
      <c r="L119">
        <f t="shared" si="12"/>
        <v>-0.60170421878657376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>
        <v>2.3083848878741261E-2</v>
      </c>
      <c r="E120">
        <f t="shared" si="8"/>
        <v>1242</v>
      </c>
      <c r="F120">
        <f t="shared" si="13"/>
        <v>1.858384887874126E-2</v>
      </c>
      <c r="I120">
        <f t="shared" si="10"/>
        <v>0.61635070153698324</v>
      </c>
      <c r="K120">
        <f t="shared" si="11"/>
        <v>0.62514086205662789</v>
      </c>
      <c r="L120">
        <f t="shared" si="12"/>
        <v>-0.59658428971858957</v>
      </c>
    </row>
    <row r="121" spans="1:12" x14ac:dyDescent="0.3">
      <c r="A121">
        <v>6.27</v>
      </c>
      <c r="B121">
        <f t="shared" si="7"/>
        <v>1254</v>
      </c>
      <c r="C121">
        <v>0.47</v>
      </c>
      <c r="D121">
        <v>2.2485846653580669E-2</v>
      </c>
      <c r="E121">
        <f t="shared" si="8"/>
        <v>1254</v>
      </c>
      <c r="F121">
        <f t="shared" si="13"/>
        <v>1.7985846653580669E-2</v>
      </c>
      <c r="I121">
        <f t="shared" si="10"/>
        <v>0.61098625851795074</v>
      </c>
      <c r="K121">
        <f t="shared" si="11"/>
        <v>0.61943960644513363</v>
      </c>
      <c r="L121">
        <f t="shared" si="12"/>
        <v>-0.60228554533008383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>
        <v>2.3159187287092209E-2</v>
      </c>
      <c r="E122">
        <f t="shared" si="8"/>
        <v>1264</v>
      </c>
      <c r="F122">
        <f t="shared" si="13"/>
        <v>1.8659187287092208E-2</v>
      </c>
      <c r="I122">
        <f t="shared" si="10"/>
        <v>0.61436606365442281</v>
      </c>
      <c r="K122">
        <f t="shared" si="11"/>
        <v>0.62309856330478197</v>
      </c>
      <c r="L122">
        <f t="shared" si="12"/>
        <v>-0.59862658847043548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>
        <v>2.308138087391853E-2</v>
      </c>
      <c r="E123">
        <f t="shared" si="8"/>
        <v>1274</v>
      </c>
      <c r="F123">
        <f t="shared" si="13"/>
        <v>1.8581380873918529E-2</v>
      </c>
      <c r="I123">
        <f t="shared" si="10"/>
        <v>0.613028396166861</v>
      </c>
      <c r="K123">
        <f t="shared" si="11"/>
        <v>0.62168731965410706</v>
      </c>
      <c r="L123">
        <f t="shared" si="12"/>
        <v>-0.60003783212111039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>
        <v>2.2287413477897641E-2</v>
      </c>
      <c r="E124">
        <f t="shared" si="8"/>
        <v>1284</v>
      </c>
      <c r="F124">
        <f t="shared" si="13"/>
        <v>1.778741347789764E-2</v>
      </c>
      <c r="I124">
        <f t="shared" si="10"/>
        <v>0.60708519452810283</v>
      </c>
      <c r="K124">
        <f t="shared" si="11"/>
        <v>0.61533855438184737</v>
      </c>
      <c r="L124">
        <f t="shared" si="12"/>
        <v>-0.60638659739337009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>
        <v>2.303110808134079E-2</v>
      </c>
      <c r="E125">
        <f t="shared" si="8"/>
        <v>1294</v>
      </c>
      <c r="F125">
        <f t="shared" si="13"/>
        <v>1.8531108081340789E-2</v>
      </c>
      <c r="I125">
        <f t="shared" si="10"/>
        <v>0.61101126928627492</v>
      </c>
      <c r="K125">
        <f t="shared" si="11"/>
        <v>0.61957264121985434</v>
      </c>
      <c r="L125">
        <f t="shared" si="12"/>
        <v>-0.60215251055536312</v>
      </c>
    </row>
    <row r="126" spans="1:12" x14ac:dyDescent="0.3">
      <c r="A126">
        <v>6.53</v>
      </c>
      <c r="B126">
        <f t="shared" si="7"/>
        <v>1306</v>
      </c>
      <c r="C126">
        <v>0.46</v>
      </c>
      <c r="D126">
        <v>2.348831482231617E-2</v>
      </c>
      <c r="E126">
        <f t="shared" si="8"/>
        <v>1306</v>
      </c>
      <c r="F126">
        <f t="shared" si="13"/>
        <v>1.8988314822316169E-2</v>
      </c>
      <c r="I126">
        <f t="shared" si="10"/>
        <v>0.61337869578972459</v>
      </c>
      <c r="K126">
        <f t="shared" si="11"/>
        <v>0.62211332060799007</v>
      </c>
      <c r="L126">
        <f t="shared" si="12"/>
        <v>-0.59961183116722738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>
        <v>2.2629233077168461E-2</v>
      </c>
      <c r="E127">
        <f t="shared" si="8"/>
        <v>1316</v>
      </c>
      <c r="F127">
        <f t="shared" si="13"/>
        <v>1.8129233077168461E-2</v>
      </c>
      <c r="I127">
        <f t="shared" si="10"/>
        <v>0.60690035364776851</v>
      </c>
      <c r="K127">
        <f t="shared" si="11"/>
        <v>0.61520354239711161</v>
      </c>
      <c r="L127">
        <f t="shared" si="12"/>
        <v>-0.60652160937810584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>
        <v>2.3756466805934909E-2</v>
      </c>
      <c r="E128">
        <f t="shared" si="8"/>
        <v>1326</v>
      </c>
      <c r="F128">
        <f t="shared" si="13"/>
        <v>1.9256466805934909E-2</v>
      </c>
      <c r="I128">
        <f t="shared" si="10"/>
        <v>0.61250537492334844</v>
      </c>
      <c r="K128">
        <f t="shared" si="11"/>
        <v>0.62126706732004888</v>
      </c>
      <c r="L128">
        <f t="shared" si="12"/>
        <v>-0.60045808445516857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>
        <v>2.2980403155088421E-2</v>
      </c>
      <c r="E129">
        <f t="shared" si="8"/>
        <v>1336</v>
      </c>
      <c r="F129">
        <f t="shared" si="13"/>
        <v>1.8480403155088421E-2</v>
      </c>
      <c r="I129">
        <f t="shared" si="10"/>
        <v>0.60650909307599066</v>
      </c>
      <c r="K129">
        <f t="shared" si="11"/>
        <v>0.61488071570524572</v>
      </c>
      <c r="L129">
        <f t="shared" si="12"/>
        <v>-0.60684443606997174</v>
      </c>
    </row>
    <row r="130" spans="1:12" x14ac:dyDescent="0.3">
      <c r="A130">
        <v>6.73</v>
      </c>
      <c r="B130">
        <f t="shared" ref="B130:B193" si="14">A130*200</f>
        <v>1346</v>
      </c>
      <c r="C130">
        <v>0.45100000000000001</v>
      </c>
      <c r="D130">
        <v>2.28426568210125E-2</v>
      </c>
      <c r="E130">
        <f t="shared" ref="E130:E193" si="15">B130</f>
        <v>1346</v>
      </c>
      <c r="F130">
        <f t="shared" ref="F130:F161" si="16">D130-0.0045</f>
        <v>1.83426568210125E-2</v>
      </c>
      <c r="I130">
        <f t="shared" ref="I130:I193" si="17">C130+(D130*A130)</f>
        <v>0.60473108040541412</v>
      </c>
      <c r="K130">
        <f t="shared" ref="K130:K193" si="18">I130+(F130*C130)</f>
        <v>0.61300361863169073</v>
      </c>
      <c r="L130">
        <f t="shared" ref="L130:L193" si="19">K130-$I$1</f>
        <v>-0.60872153314352673</v>
      </c>
    </row>
    <row r="131" spans="1:12" x14ac:dyDescent="0.3">
      <c r="A131">
        <v>6.78</v>
      </c>
      <c r="B131">
        <f t="shared" si="14"/>
        <v>1356</v>
      </c>
      <c r="C131">
        <v>0.44900000000000001</v>
      </c>
      <c r="D131">
        <v>2.3348214104771611E-2</v>
      </c>
      <c r="E131">
        <f t="shared" si="15"/>
        <v>1356</v>
      </c>
      <c r="F131">
        <f t="shared" si="16"/>
        <v>1.884821410477161E-2</v>
      </c>
      <c r="I131">
        <f t="shared" si="17"/>
        <v>0.6073008916303515</v>
      </c>
      <c r="K131">
        <f t="shared" si="18"/>
        <v>0.61576373976339394</v>
      </c>
      <c r="L131">
        <f t="shared" si="19"/>
        <v>-0.60596141201182352</v>
      </c>
    </row>
    <row r="132" spans="1:12" x14ac:dyDescent="0.3">
      <c r="A132">
        <v>6.83</v>
      </c>
      <c r="B132">
        <f t="shared" si="14"/>
        <v>1366</v>
      </c>
      <c r="C132">
        <v>0.44700000000000001</v>
      </c>
      <c r="D132">
        <v>2.255835197865963E-2</v>
      </c>
      <c r="E132">
        <f t="shared" si="15"/>
        <v>1366</v>
      </c>
      <c r="F132">
        <f t="shared" si="16"/>
        <v>1.8058351978659629E-2</v>
      </c>
      <c r="I132">
        <f t="shared" si="17"/>
        <v>0.60107354401424529</v>
      </c>
      <c r="K132">
        <f t="shared" si="18"/>
        <v>0.60914562734870614</v>
      </c>
      <c r="L132">
        <f t="shared" si="19"/>
        <v>-0.61257952442651131</v>
      </c>
    </row>
    <row r="133" spans="1:12" x14ac:dyDescent="0.3">
      <c r="A133">
        <v>6.88</v>
      </c>
      <c r="B133">
        <f t="shared" si="14"/>
        <v>1376</v>
      </c>
      <c r="C133">
        <v>0.44500000000000001</v>
      </c>
      <c r="D133">
        <v>2.312240190804005E-2</v>
      </c>
      <c r="E133">
        <f t="shared" si="15"/>
        <v>1376</v>
      </c>
      <c r="F133">
        <f t="shared" si="16"/>
        <v>1.862240190804005E-2</v>
      </c>
      <c r="I133">
        <f t="shared" si="17"/>
        <v>0.60408212512731552</v>
      </c>
      <c r="K133">
        <f t="shared" si="18"/>
        <v>0.61236909397639339</v>
      </c>
      <c r="L133">
        <f t="shared" si="19"/>
        <v>-0.60935605779882407</v>
      </c>
    </row>
    <row r="134" spans="1:12" x14ac:dyDescent="0.3">
      <c r="A134">
        <v>6.94</v>
      </c>
      <c r="B134">
        <f t="shared" si="14"/>
        <v>1388</v>
      </c>
      <c r="C134">
        <v>0.443</v>
      </c>
      <c r="D134">
        <v>2.2912666201591492E-2</v>
      </c>
      <c r="E134">
        <f t="shared" si="15"/>
        <v>1388</v>
      </c>
      <c r="F134">
        <f t="shared" si="16"/>
        <v>1.8412666201591491E-2</v>
      </c>
      <c r="I134">
        <f t="shared" si="17"/>
        <v>0.60201390343904493</v>
      </c>
      <c r="K134">
        <f t="shared" si="18"/>
        <v>0.61017071456634997</v>
      </c>
      <c r="L134">
        <f t="shared" si="19"/>
        <v>-0.61155443720886749</v>
      </c>
    </row>
    <row r="135" spans="1:12" x14ac:dyDescent="0.3">
      <c r="A135">
        <v>6.99</v>
      </c>
      <c r="B135">
        <f t="shared" si="14"/>
        <v>1398</v>
      </c>
      <c r="C135">
        <v>0.441</v>
      </c>
      <c r="D135">
        <v>2.3176034912466999E-2</v>
      </c>
      <c r="E135">
        <f t="shared" si="15"/>
        <v>1398</v>
      </c>
      <c r="F135">
        <f t="shared" si="16"/>
        <v>1.8676034912466999E-2</v>
      </c>
      <c r="I135">
        <f t="shared" si="17"/>
        <v>0.60300048403814432</v>
      </c>
      <c r="K135">
        <f t="shared" si="18"/>
        <v>0.61123661543454222</v>
      </c>
      <c r="L135">
        <f t="shared" si="19"/>
        <v>-0.61048853634067524</v>
      </c>
    </row>
    <row r="136" spans="1:12" x14ac:dyDescent="0.3">
      <c r="A136">
        <v>7.04</v>
      </c>
      <c r="B136">
        <f t="shared" si="14"/>
        <v>1408</v>
      </c>
      <c r="C136">
        <v>0.439</v>
      </c>
      <c r="D136">
        <v>2.292532101273537E-2</v>
      </c>
      <c r="E136">
        <f t="shared" si="15"/>
        <v>1408</v>
      </c>
      <c r="F136">
        <f t="shared" si="16"/>
        <v>1.842532101273537E-2</v>
      </c>
      <c r="I136">
        <f t="shared" si="17"/>
        <v>0.600394259929657</v>
      </c>
      <c r="K136">
        <f t="shared" si="18"/>
        <v>0.60848297585424782</v>
      </c>
      <c r="L136">
        <f t="shared" si="19"/>
        <v>-0.61324217592096963</v>
      </c>
    </row>
    <row r="137" spans="1:12" x14ac:dyDescent="0.3">
      <c r="A137">
        <v>7.09</v>
      </c>
      <c r="B137">
        <f t="shared" si="14"/>
        <v>1418</v>
      </c>
      <c r="C137">
        <v>0.437</v>
      </c>
      <c r="D137">
        <v>2.3279450833797451E-2</v>
      </c>
      <c r="E137">
        <f t="shared" si="15"/>
        <v>1418</v>
      </c>
      <c r="F137">
        <f t="shared" si="16"/>
        <v>1.8779450833797451E-2</v>
      </c>
      <c r="I137">
        <f t="shared" si="17"/>
        <v>0.60205130641162397</v>
      </c>
      <c r="K137">
        <f t="shared" si="18"/>
        <v>0.61025792642599341</v>
      </c>
      <c r="L137">
        <f t="shared" si="19"/>
        <v>-0.61146722534922404</v>
      </c>
    </row>
    <row r="138" spans="1:12" x14ac:dyDescent="0.3">
      <c r="A138">
        <v>7.15</v>
      </c>
      <c r="B138">
        <f t="shared" si="14"/>
        <v>1430</v>
      </c>
      <c r="C138">
        <v>0.434</v>
      </c>
      <c r="D138">
        <v>2.3136518895626072E-2</v>
      </c>
      <c r="E138">
        <f t="shared" si="15"/>
        <v>1430</v>
      </c>
      <c r="F138">
        <f t="shared" si="16"/>
        <v>1.8636518895626071E-2</v>
      </c>
      <c r="I138">
        <f t="shared" si="17"/>
        <v>0.59942611010372637</v>
      </c>
      <c r="K138">
        <f t="shared" si="18"/>
        <v>0.6075143593044281</v>
      </c>
      <c r="L138">
        <f t="shared" si="19"/>
        <v>-0.61421079247078936</v>
      </c>
    </row>
    <row r="139" spans="1:12" x14ac:dyDescent="0.3">
      <c r="A139">
        <v>7.2</v>
      </c>
      <c r="B139">
        <f t="shared" si="14"/>
        <v>1440</v>
      </c>
      <c r="C139">
        <v>0.432</v>
      </c>
      <c r="D139">
        <v>2.3596091195940971E-2</v>
      </c>
      <c r="E139">
        <f t="shared" si="15"/>
        <v>1440</v>
      </c>
      <c r="F139">
        <f t="shared" si="16"/>
        <v>1.9096091195940971E-2</v>
      </c>
      <c r="I139">
        <f t="shared" si="17"/>
        <v>0.60189185661077493</v>
      </c>
      <c r="K139">
        <f t="shared" si="18"/>
        <v>0.61014136800742147</v>
      </c>
      <c r="L139">
        <f t="shared" si="19"/>
        <v>-0.61158378376779599</v>
      </c>
    </row>
    <row r="140" spans="1:12" x14ac:dyDescent="0.3">
      <c r="A140">
        <v>7.25</v>
      </c>
      <c r="B140">
        <f t="shared" si="14"/>
        <v>1450</v>
      </c>
      <c r="C140">
        <v>0.43</v>
      </c>
      <c r="D140">
        <v>2.316553890705109E-2</v>
      </c>
      <c r="E140">
        <f t="shared" si="15"/>
        <v>1450</v>
      </c>
      <c r="F140">
        <f t="shared" si="16"/>
        <v>1.8665538907051089E-2</v>
      </c>
      <c r="I140">
        <f t="shared" si="17"/>
        <v>0.59795015707612043</v>
      </c>
      <c r="K140">
        <f t="shared" si="18"/>
        <v>0.60597633880615243</v>
      </c>
      <c r="L140">
        <f t="shared" si="19"/>
        <v>-0.61574881296906503</v>
      </c>
    </row>
    <row r="141" spans="1:12" x14ac:dyDescent="0.3">
      <c r="A141">
        <v>7.31</v>
      </c>
      <c r="B141">
        <f t="shared" si="14"/>
        <v>1462</v>
      </c>
      <c r="C141">
        <v>0.42799999999999999</v>
      </c>
      <c r="D141">
        <v>2.4038000032305721E-2</v>
      </c>
      <c r="E141">
        <f t="shared" si="15"/>
        <v>1462</v>
      </c>
      <c r="F141">
        <f t="shared" si="16"/>
        <v>1.953800003230572E-2</v>
      </c>
      <c r="I141">
        <f t="shared" si="17"/>
        <v>0.60371778023615486</v>
      </c>
      <c r="K141">
        <f t="shared" si="18"/>
        <v>0.61208004424998175</v>
      </c>
      <c r="L141">
        <f t="shared" si="19"/>
        <v>-0.60964510752523571</v>
      </c>
    </row>
    <row r="142" spans="1:12" x14ac:dyDescent="0.3">
      <c r="A142">
        <v>7.36</v>
      </c>
      <c r="B142">
        <f t="shared" si="14"/>
        <v>1472</v>
      </c>
      <c r="C142">
        <v>0.42599999999999999</v>
      </c>
      <c r="D142">
        <v>2.2874869406223301E-2</v>
      </c>
      <c r="E142">
        <f t="shared" si="15"/>
        <v>1472</v>
      </c>
      <c r="F142">
        <f t="shared" si="16"/>
        <v>1.83748694062233E-2</v>
      </c>
      <c r="I142">
        <f t="shared" si="17"/>
        <v>0.59435903882980345</v>
      </c>
      <c r="K142">
        <f t="shared" si="18"/>
        <v>0.60218673319685456</v>
      </c>
      <c r="L142">
        <f t="shared" si="19"/>
        <v>-0.61953841857836289</v>
      </c>
    </row>
    <row r="143" spans="1:12" x14ac:dyDescent="0.3">
      <c r="A143">
        <v>7.41</v>
      </c>
      <c r="B143">
        <f t="shared" si="14"/>
        <v>1482</v>
      </c>
      <c r="C143">
        <v>0.42399999999999999</v>
      </c>
      <c r="D143">
        <v>2.321753092110157E-2</v>
      </c>
      <c r="E143">
        <f t="shared" si="15"/>
        <v>1482</v>
      </c>
      <c r="F143">
        <f t="shared" si="16"/>
        <v>1.871753092110157E-2</v>
      </c>
      <c r="I143">
        <f t="shared" si="17"/>
        <v>0.59604190412536262</v>
      </c>
      <c r="K143">
        <f t="shared" si="18"/>
        <v>0.60397813723590965</v>
      </c>
      <c r="L143">
        <f t="shared" si="19"/>
        <v>-0.6177470145393078</v>
      </c>
    </row>
    <row r="144" spans="1:12" x14ac:dyDescent="0.3">
      <c r="A144">
        <v>7.46</v>
      </c>
      <c r="B144">
        <f t="shared" si="14"/>
        <v>1492</v>
      </c>
      <c r="C144">
        <v>0.42199999999999999</v>
      </c>
      <c r="D144">
        <v>2.334983088076115E-2</v>
      </c>
      <c r="E144">
        <f t="shared" si="15"/>
        <v>1492</v>
      </c>
      <c r="F144">
        <f t="shared" si="16"/>
        <v>1.8849830880761149E-2</v>
      </c>
      <c r="I144">
        <f t="shared" si="17"/>
        <v>0.59618973837047817</v>
      </c>
      <c r="K144">
        <f t="shared" si="18"/>
        <v>0.60414436700215934</v>
      </c>
      <c r="L144">
        <f t="shared" si="19"/>
        <v>-0.61758078477305811</v>
      </c>
    </row>
    <row r="145" spans="1:12" x14ac:dyDescent="0.3">
      <c r="A145">
        <v>7.52</v>
      </c>
      <c r="B145">
        <f t="shared" si="14"/>
        <v>1504</v>
      </c>
      <c r="C145">
        <v>0.42</v>
      </c>
      <c r="D145">
        <v>2.3089613765478131E-2</v>
      </c>
      <c r="E145">
        <f t="shared" si="15"/>
        <v>1504</v>
      </c>
      <c r="F145">
        <f t="shared" si="16"/>
        <v>1.858961376547813E-2</v>
      </c>
      <c r="I145">
        <f t="shared" si="17"/>
        <v>0.59363389551639556</v>
      </c>
      <c r="K145">
        <f t="shared" si="18"/>
        <v>0.6014415332978964</v>
      </c>
      <c r="L145">
        <f t="shared" si="19"/>
        <v>-0.62028361847732105</v>
      </c>
    </row>
    <row r="146" spans="1:12" x14ac:dyDescent="0.3">
      <c r="A146">
        <v>7.57</v>
      </c>
      <c r="B146">
        <f t="shared" si="14"/>
        <v>1514</v>
      </c>
      <c r="C146">
        <v>0.41799999999999998</v>
      </c>
      <c r="D146">
        <v>2.4445373564958569E-2</v>
      </c>
      <c r="E146">
        <f t="shared" si="15"/>
        <v>1514</v>
      </c>
      <c r="F146">
        <f t="shared" si="16"/>
        <v>1.9945373564958568E-2</v>
      </c>
      <c r="I146">
        <f t="shared" si="17"/>
        <v>0.60305147788673641</v>
      </c>
      <c r="K146">
        <f t="shared" si="18"/>
        <v>0.61138864403688908</v>
      </c>
      <c r="L146">
        <f t="shared" si="19"/>
        <v>-0.61033650773832837</v>
      </c>
    </row>
    <row r="147" spans="1:12" x14ac:dyDescent="0.3">
      <c r="A147">
        <v>7.62</v>
      </c>
      <c r="B147">
        <f t="shared" si="14"/>
        <v>1524</v>
      </c>
      <c r="C147">
        <v>0.41599999999999998</v>
      </c>
      <c r="D147">
        <v>2.307135425508022E-2</v>
      </c>
      <c r="E147">
        <f t="shared" si="15"/>
        <v>1524</v>
      </c>
      <c r="F147">
        <f t="shared" si="16"/>
        <v>1.8571354255080219E-2</v>
      </c>
      <c r="I147">
        <f t="shared" si="17"/>
        <v>0.59180371942371124</v>
      </c>
      <c r="K147">
        <f t="shared" si="18"/>
        <v>0.59952940279382461</v>
      </c>
      <c r="L147">
        <f t="shared" si="19"/>
        <v>-0.62219574898139285</v>
      </c>
    </row>
    <row r="148" spans="1:12" x14ac:dyDescent="0.3">
      <c r="A148">
        <v>7.67</v>
      </c>
      <c r="B148">
        <f t="shared" si="14"/>
        <v>1534</v>
      </c>
      <c r="C148">
        <v>0.41299999999999998</v>
      </c>
      <c r="D148">
        <v>2.379290014505386E-2</v>
      </c>
      <c r="E148">
        <f t="shared" si="15"/>
        <v>1534</v>
      </c>
      <c r="F148">
        <f t="shared" si="16"/>
        <v>1.929290014505386E-2</v>
      </c>
      <c r="I148">
        <f t="shared" si="17"/>
        <v>0.59549154411256311</v>
      </c>
      <c r="K148">
        <f t="shared" si="18"/>
        <v>0.60345951187247038</v>
      </c>
      <c r="L148">
        <f t="shared" si="19"/>
        <v>-0.61826563990274708</v>
      </c>
    </row>
    <row r="149" spans="1:12" x14ac:dyDescent="0.3">
      <c r="A149">
        <v>7.72</v>
      </c>
      <c r="B149">
        <f t="shared" si="14"/>
        <v>1544</v>
      </c>
      <c r="C149">
        <v>0.41099999999999998</v>
      </c>
      <c r="D149">
        <v>2.3416850715875629E-2</v>
      </c>
      <c r="E149">
        <f t="shared" si="15"/>
        <v>1544</v>
      </c>
      <c r="F149">
        <f t="shared" si="16"/>
        <v>1.8916850715875629E-2</v>
      </c>
      <c r="I149">
        <f t="shared" si="17"/>
        <v>0.5917780875265598</v>
      </c>
      <c r="K149">
        <f t="shared" si="18"/>
        <v>0.59955291317078474</v>
      </c>
      <c r="L149">
        <f t="shared" si="19"/>
        <v>-0.62217223860443271</v>
      </c>
    </row>
    <row r="150" spans="1:12" x14ac:dyDescent="0.3">
      <c r="A150">
        <v>7.77</v>
      </c>
      <c r="B150">
        <f t="shared" si="14"/>
        <v>1554</v>
      </c>
      <c r="C150">
        <v>0.40899999999999997</v>
      </c>
      <c r="D150">
        <v>2.3439330980181691E-2</v>
      </c>
      <c r="E150">
        <f t="shared" si="15"/>
        <v>1554</v>
      </c>
      <c r="F150">
        <f t="shared" si="16"/>
        <v>1.893933098018169E-2</v>
      </c>
      <c r="I150">
        <f t="shared" si="17"/>
        <v>0.59112360171601175</v>
      </c>
      <c r="K150">
        <f t="shared" si="18"/>
        <v>0.59886978808690605</v>
      </c>
      <c r="L150">
        <f t="shared" si="19"/>
        <v>-0.6228553636883114</v>
      </c>
    </row>
    <row r="151" spans="1:12" x14ac:dyDescent="0.3">
      <c r="A151">
        <v>7.82</v>
      </c>
      <c r="B151">
        <f t="shared" si="14"/>
        <v>1564</v>
      </c>
      <c r="C151">
        <v>0.40699999999999997</v>
      </c>
      <c r="D151">
        <v>2.3617656901478771E-2</v>
      </c>
      <c r="E151">
        <f t="shared" si="15"/>
        <v>1564</v>
      </c>
      <c r="F151">
        <f t="shared" si="16"/>
        <v>1.911765690147877E-2</v>
      </c>
      <c r="I151">
        <f t="shared" si="17"/>
        <v>0.59169007696956399</v>
      </c>
      <c r="K151">
        <f t="shared" si="18"/>
        <v>0.59947096332846583</v>
      </c>
      <c r="L151">
        <f t="shared" si="19"/>
        <v>-0.62225418844675162</v>
      </c>
    </row>
    <row r="152" spans="1:12" x14ac:dyDescent="0.3">
      <c r="A152">
        <v>7.87</v>
      </c>
      <c r="B152">
        <f t="shared" si="14"/>
        <v>1574</v>
      </c>
      <c r="C152">
        <v>0.40500000000000003</v>
      </c>
      <c r="D152">
        <v>2.4122841656208038E-2</v>
      </c>
      <c r="E152">
        <f t="shared" si="15"/>
        <v>1574</v>
      </c>
      <c r="F152">
        <f t="shared" si="16"/>
        <v>1.9622841656208038E-2</v>
      </c>
      <c r="I152">
        <f t="shared" si="17"/>
        <v>0.59484676383435731</v>
      </c>
      <c r="K152">
        <f t="shared" si="18"/>
        <v>0.60279401470512162</v>
      </c>
      <c r="L152">
        <f t="shared" si="19"/>
        <v>-0.61893113707009584</v>
      </c>
    </row>
    <row r="153" spans="1:12" x14ac:dyDescent="0.3">
      <c r="A153">
        <v>7.92</v>
      </c>
      <c r="B153">
        <f t="shared" si="14"/>
        <v>1584</v>
      </c>
      <c r="C153">
        <v>0.40300000000000002</v>
      </c>
      <c r="D153">
        <v>2.3679986596107479E-2</v>
      </c>
      <c r="E153">
        <f t="shared" si="15"/>
        <v>1584</v>
      </c>
      <c r="F153">
        <f t="shared" si="16"/>
        <v>1.9179986596107479E-2</v>
      </c>
      <c r="I153">
        <f t="shared" si="17"/>
        <v>0.59054549384117128</v>
      </c>
      <c r="K153">
        <f t="shared" si="18"/>
        <v>0.59827502843940261</v>
      </c>
      <c r="L153">
        <f t="shared" si="19"/>
        <v>-0.62345012333581484</v>
      </c>
    </row>
    <row r="154" spans="1:12" x14ac:dyDescent="0.3">
      <c r="A154">
        <v>7.98</v>
      </c>
      <c r="B154">
        <f t="shared" si="14"/>
        <v>1596</v>
      </c>
      <c r="C154">
        <v>0.40100000000000002</v>
      </c>
      <c r="D154">
        <v>2.3782368749380112E-2</v>
      </c>
      <c r="E154">
        <f t="shared" si="15"/>
        <v>1596</v>
      </c>
      <c r="F154">
        <f t="shared" si="16"/>
        <v>1.9282368749380111E-2</v>
      </c>
      <c r="I154">
        <f t="shared" si="17"/>
        <v>0.5907833026200533</v>
      </c>
      <c r="K154">
        <f t="shared" si="18"/>
        <v>0.59851553248855471</v>
      </c>
      <c r="L154">
        <f t="shared" si="19"/>
        <v>-0.62320961928666274</v>
      </c>
    </row>
    <row r="155" spans="1:12" x14ac:dyDescent="0.3">
      <c r="A155">
        <v>8.0299999999999994</v>
      </c>
      <c r="B155">
        <f t="shared" si="14"/>
        <v>1605.9999999999998</v>
      </c>
      <c r="C155">
        <v>0.39900000000000002</v>
      </c>
      <c r="D155">
        <v>2.3811902850866321E-2</v>
      </c>
      <c r="E155">
        <f t="shared" si="15"/>
        <v>1605.9999999999998</v>
      </c>
      <c r="F155">
        <f t="shared" si="16"/>
        <v>1.9311902850866321E-2</v>
      </c>
      <c r="I155">
        <f t="shared" si="17"/>
        <v>0.59020957989245659</v>
      </c>
      <c r="K155">
        <f t="shared" si="18"/>
        <v>0.5979150291299522</v>
      </c>
      <c r="L155">
        <f t="shared" si="19"/>
        <v>-0.62381012264526525</v>
      </c>
    </row>
    <row r="156" spans="1:12" x14ac:dyDescent="0.3">
      <c r="A156">
        <v>8.08</v>
      </c>
      <c r="B156">
        <f t="shared" si="14"/>
        <v>1616</v>
      </c>
      <c r="C156">
        <v>0.39700000000000002</v>
      </c>
      <c r="D156">
        <v>2.3356638848781589E-2</v>
      </c>
      <c r="E156">
        <f t="shared" si="15"/>
        <v>1616</v>
      </c>
      <c r="F156">
        <f t="shared" si="16"/>
        <v>1.8856638848781589E-2</v>
      </c>
      <c r="I156">
        <f t="shared" si="17"/>
        <v>0.58572164189815523</v>
      </c>
      <c r="K156">
        <f t="shared" si="18"/>
        <v>0.5932077275211215</v>
      </c>
      <c r="L156">
        <f t="shared" si="19"/>
        <v>-0.62851742425409596</v>
      </c>
    </row>
    <row r="157" spans="1:12" x14ac:dyDescent="0.3">
      <c r="A157">
        <v>8.1300000000000008</v>
      </c>
      <c r="B157">
        <f t="shared" si="14"/>
        <v>1626.0000000000002</v>
      </c>
      <c r="C157">
        <v>0.39500000000000002</v>
      </c>
      <c r="D157">
        <v>2.376625686883926E-2</v>
      </c>
      <c r="E157">
        <f t="shared" si="15"/>
        <v>1626.0000000000002</v>
      </c>
      <c r="F157">
        <f t="shared" si="16"/>
        <v>1.926625686883926E-2</v>
      </c>
      <c r="I157">
        <f t="shared" si="17"/>
        <v>0.58821966834366324</v>
      </c>
      <c r="K157">
        <f t="shared" si="18"/>
        <v>0.59582983980685478</v>
      </c>
      <c r="L157">
        <f t="shared" si="19"/>
        <v>-0.62589531196836268</v>
      </c>
    </row>
    <row r="158" spans="1:12" x14ac:dyDescent="0.3">
      <c r="A158">
        <v>8.18</v>
      </c>
      <c r="B158">
        <f t="shared" si="14"/>
        <v>1636</v>
      </c>
      <c r="C158">
        <v>0.39300000000000002</v>
      </c>
      <c r="D158">
        <v>2.3481503129005429E-2</v>
      </c>
      <c r="E158">
        <f t="shared" si="15"/>
        <v>1636</v>
      </c>
      <c r="F158">
        <f t="shared" si="16"/>
        <v>1.8981503129005428E-2</v>
      </c>
      <c r="I158">
        <f t="shared" si="17"/>
        <v>0.58507869559526438</v>
      </c>
      <c r="K158">
        <f t="shared" si="18"/>
        <v>0.59253842632496356</v>
      </c>
      <c r="L158">
        <f t="shared" si="19"/>
        <v>-0.62918672545025389</v>
      </c>
    </row>
    <row r="159" spans="1:12" x14ac:dyDescent="0.3">
      <c r="A159">
        <v>8.23</v>
      </c>
      <c r="B159">
        <f t="shared" si="14"/>
        <v>1646</v>
      </c>
      <c r="C159">
        <v>0.39</v>
      </c>
      <c r="D159">
        <v>2.421257458627224E-2</v>
      </c>
      <c r="E159">
        <f t="shared" si="15"/>
        <v>1646</v>
      </c>
      <c r="F159">
        <f t="shared" si="16"/>
        <v>1.9712574586272239E-2</v>
      </c>
      <c r="I159">
        <f t="shared" si="17"/>
        <v>0.58926948884502051</v>
      </c>
      <c r="K159">
        <f t="shared" si="18"/>
        <v>0.59695739293366668</v>
      </c>
      <c r="L159">
        <f t="shared" si="19"/>
        <v>-0.62476775884155078</v>
      </c>
    </row>
    <row r="160" spans="1:12" x14ac:dyDescent="0.3">
      <c r="A160">
        <v>8.2799999999999994</v>
      </c>
      <c r="B160">
        <f t="shared" si="14"/>
        <v>1655.9999999999998</v>
      </c>
      <c r="C160">
        <v>0.38800000000000001</v>
      </c>
      <c r="D160">
        <v>2.3381641134619709E-2</v>
      </c>
      <c r="E160">
        <f t="shared" si="15"/>
        <v>1655.9999999999998</v>
      </c>
      <c r="F160">
        <f t="shared" si="16"/>
        <v>1.8881641134619709E-2</v>
      </c>
      <c r="I160">
        <f t="shared" si="17"/>
        <v>0.58159998859465123</v>
      </c>
      <c r="K160">
        <f t="shared" si="18"/>
        <v>0.58892606535488368</v>
      </c>
      <c r="L160">
        <f t="shared" si="19"/>
        <v>-0.63279908642033378</v>
      </c>
    </row>
    <row r="161" spans="1:12" x14ac:dyDescent="0.3">
      <c r="A161">
        <v>8.34</v>
      </c>
      <c r="B161">
        <f t="shared" si="14"/>
        <v>1668</v>
      </c>
      <c r="C161">
        <v>0.38600000000000001</v>
      </c>
      <c r="D161">
        <v>2.4179680272936821E-2</v>
      </c>
      <c r="E161">
        <f t="shared" si="15"/>
        <v>1668</v>
      </c>
      <c r="F161">
        <f t="shared" si="16"/>
        <v>1.967968027293682E-2</v>
      </c>
      <c r="I161">
        <f t="shared" si="17"/>
        <v>0.58765853347629315</v>
      </c>
      <c r="K161">
        <f t="shared" si="18"/>
        <v>0.59525489006164678</v>
      </c>
      <c r="L161">
        <f t="shared" si="19"/>
        <v>-0.62647026171357068</v>
      </c>
    </row>
    <row r="162" spans="1:12" x14ac:dyDescent="0.3">
      <c r="A162">
        <v>8.39</v>
      </c>
      <c r="B162">
        <f t="shared" si="14"/>
        <v>1678</v>
      </c>
      <c r="C162">
        <v>0.38400000000000001</v>
      </c>
      <c r="D162">
        <v>2.3598005995154381E-2</v>
      </c>
      <c r="E162">
        <f t="shared" si="15"/>
        <v>1678</v>
      </c>
      <c r="F162">
        <f t="shared" ref="F162:F195" si="20">D162-0.0045</f>
        <v>1.909800599515438E-2</v>
      </c>
      <c r="I162">
        <f t="shared" si="17"/>
        <v>0.58198727029934527</v>
      </c>
      <c r="K162">
        <f t="shared" si="18"/>
        <v>0.58932090460148456</v>
      </c>
      <c r="L162">
        <f t="shared" si="19"/>
        <v>-0.63240424717373289</v>
      </c>
    </row>
    <row r="163" spans="1:12" x14ac:dyDescent="0.3">
      <c r="A163">
        <v>8.44</v>
      </c>
      <c r="B163">
        <f t="shared" si="14"/>
        <v>1688</v>
      </c>
      <c r="C163">
        <v>0.38200000000000001</v>
      </c>
      <c r="D163">
        <v>2.405710332095623E-2</v>
      </c>
      <c r="E163">
        <f t="shared" si="15"/>
        <v>1688</v>
      </c>
      <c r="F163">
        <f t="shared" si="20"/>
        <v>1.955710332095623E-2</v>
      </c>
      <c r="I163">
        <f t="shared" si="17"/>
        <v>0.58504195202887055</v>
      </c>
      <c r="K163">
        <f t="shared" si="18"/>
        <v>0.59251276549747578</v>
      </c>
      <c r="L163">
        <f t="shared" si="19"/>
        <v>-0.62921238627774168</v>
      </c>
    </row>
    <row r="164" spans="1:12" x14ac:dyDescent="0.3">
      <c r="A164">
        <v>8.49</v>
      </c>
      <c r="B164">
        <f t="shared" si="14"/>
        <v>1698</v>
      </c>
      <c r="C164">
        <v>0.38</v>
      </c>
      <c r="D164">
        <v>2.362007275223732E-2</v>
      </c>
      <c r="E164">
        <f t="shared" si="15"/>
        <v>1698</v>
      </c>
      <c r="F164">
        <f t="shared" si="20"/>
        <v>1.9120072752237319E-2</v>
      </c>
      <c r="I164">
        <f t="shared" si="17"/>
        <v>0.58053441766649483</v>
      </c>
      <c r="K164">
        <f t="shared" si="18"/>
        <v>0.58780004531234498</v>
      </c>
      <c r="L164">
        <f t="shared" si="19"/>
        <v>-0.63392510646287248</v>
      </c>
    </row>
    <row r="165" spans="1:12" x14ac:dyDescent="0.3">
      <c r="A165">
        <v>8.5500000000000007</v>
      </c>
      <c r="B165">
        <f t="shared" si="14"/>
        <v>1710.0000000000002</v>
      </c>
      <c r="C165">
        <v>0.378</v>
      </c>
      <c r="D165">
        <v>2.441132627427578E-2</v>
      </c>
      <c r="E165">
        <f t="shared" si="15"/>
        <v>1710.0000000000002</v>
      </c>
      <c r="F165">
        <f t="shared" si="20"/>
        <v>1.9911326274275779E-2</v>
      </c>
      <c r="I165">
        <f t="shared" si="17"/>
        <v>0.58671683964505794</v>
      </c>
      <c r="K165">
        <f t="shared" si="18"/>
        <v>0.59424332097673416</v>
      </c>
      <c r="L165">
        <f t="shared" si="19"/>
        <v>-0.6274818307984833</v>
      </c>
    </row>
    <row r="166" spans="1:12" x14ac:dyDescent="0.3">
      <c r="A166">
        <v>8.6</v>
      </c>
      <c r="B166">
        <f t="shared" si="14"/>
        <v>1720</v>
      </c>
      <c r="C166">
        <v>0.375</v>
      </c>
      <c r="D166">
        <v>2.3775476962327961E-2</v>
      </c>
      <c r="E166">
        <f t="shared" si="15"/>
        <v>1720</v>
      </c>
      <c r="F166">
        <f t="shared" si="20"/>
        <v>1.927547696232796E-2</v>
      </c>
      <c r="I166">
        <f t="shared" si="17"/>
        <v>0.57946910187602052</v>
      </c>
      <c r="K166">
        <f t="shared" si="18"/>
        <v>0.58669740573689355</v>
      </c>
      <c r="L166">
        <f t="shared" si="19"/>
        <v>-0.6350277460383239</v>
      </c>
    </row>
    <row r="167" spans="1:12" x14ac:dyDescent="0.3">
      <c r="A167">
        <v>8.65</v>
      </c>
      <c r="B167">
        <f t="shared" si="14"/>
        <v>1730</v>
      </c>
      <c r="C167">
        <v>0.373</v>
      </c>
      <c r="D167">
        <v>2.4246145039796829E-2</v>
      </c>
      <c r="E167">
        <f t="shared" si="15"/>
        <v>1730</v>
      </c>
      <c r="F167">
        <f t="shared" si="20"/>
        <v>1.9746145039796829E-2</v>
      </c>
      <c r="I167">
        <f t="shared" si="17"/>
        <v>0.58272915459424257</v>
      </c>
      <c r="K167">
        <f t="shared" si="18"/>
        <v>0.59009446669408683</v>
      </c>
      <c r="L167">
        <f t="shared" si="19"/>
        <v>-0.63163068508113063</v>
      </c>
    </row>
    <row r="168" spans="1:12" x14ac:dyDescent="0.3">
      <c r="A168">
        <v>8.7100000000000009</v>
      </c>
      <c r="B168">
        <f t="shared" si="14"/>
        <v>1742.0000000000002</v>
      </c>
      <c r="C168">
        <v>0.371</v>
      </c>
      <c r="D168">
        <v>2.3945005610585209E-2</v>
      </c>
      <c r="E168">
        <f t="shared" si="15"/>
        <v>1742.0000000000002</v>
      </c>
      <c r="F168">
        <f t="shared" si="20"/>
        <v>1.9445005610585209E-2</v>
      </c>
      <c r="I168">
        <f t="shared" si="17"/>
        <v>0.57956099886819723</v>
      </c>
      <c r="K168">
        <f t="shared" si="18"/>
        <v>0.58677509594972432</v>
      </c>
      <c r="L168">
        <f t="shared" si="19"/>
        <v>-0.63495005582549313</v>
      </c>
    </row>
    <row r="169" spans="1:12" x14ac:dyDescent="0.3">
      <c r="A169">
        <v>8.76</v>
      </c>
      <c r="B169">
        <f t="shared" si="14"/>
        <v>1752</v>
      </c>
      <c r="C169">
        <v>0.36899999999999999</v>
      </c>
      <c r="D169">
        <v>2.4068757891654972E-2</v>
      </c>
      <c r="E169">
        <f t="shared" si="15"/>
        <v>1752</v>
      </c>
      <c r="F169">
        <f t="shared" si="20"/>
        <v>1.9568757891654971E-2</v>
      </c>
      <c r="I169">
        <f t="shared" si="17"/>
        <v>0.57984231913089757</v>
      </c>
      <c r="K169">
        <f t="shared" si="18"/>
        <v>0.58706319079291824</v>
      </c>
      <c r="L169">
        <f t="shared" si="19"/>
        <v>-0.63466196098229921</v>
      </c>
    </row>
    <row r="170" spans="1:12" x14ac:dyDescent="0.3">
      <c r="A170">
        <v>8.81</v>
      </c>
      <c r="B170">
        <f t="shared" si="14"/>
        <v>1762</v>
      </c>
      <c r="C170">
        <v>0.36699999999999999</v>
      </c>
      <c r="D170">
        <v>2.440095134079456E-2</v>
      </c>
      <c r="E170">
        <f t="shared" si="15"/>
        <v>1762</v>
      </c>
      <c r="F170">
        <f t="shared" si="20"/>
        <v>1.9900951340794559E-2</v>
      </c>
      <c r="I170">
        <f t="shared" si="17"/>
        <v>0.58197238131240003</v>
      </c>
      <c r="K170">
        <f t="shared" si="18"/>
        <v>0.58927603045447163</v>
      </c>
      <c r="L170">
        <f t="shared" si="19"/>
        <v>-0.63244912132074582</v>
      </c>
    </row>
    <row r="171" spans="1:12" x14ac:dyDescent="0.3">
      <c r="A171">
        <v>8.8699999999999992</v>
      </c>
      <c r="B171">
        <f t="shared" si="14"/>
        <v>1773.9999999999998</v>
      </c>
      <c r="C171">
        <v>0.36499999999999999</v>
      </c>
      <c r="D171">
        <v>2.4340275675058361E-2</v>
      </c>
      <c r="E171">
        <f t="shared" si="15"/>
        <v>1773.9999999999998</v>
      </c>
      <c r="F171">
        <f t="shared" si="20"/>
        <v>1.9840275675058361E-2</v>
      </c>
      <c r="I171">
        <f t="shared" si="17"/>
        <v>0.58089824523776767</v>
      </c>
      <c r="K171">
        <f t="shared" si="18"/>
        <v>0.58813994585916396</v>
      </c>
      <c r="L171">
        <f t="shared" si="19"/>
        <v>-0.6335852059160535</v>
      </c>
    </row>
    <row r="172" spans="1:12" x14ac:dyDescent="0.3">
      <c r="A172">
        <v>8.92</v>
      </c>
      <c r="B172">
        <f t="shared" si="14"/>
        <v>1784</v>
      </c>
      <c r="C172">
        <v>0.36199999999999999</v>
      </c>
      <c r="D172">
        <v>2.376594208180904E-2</v>
      </c>
      <c r="E172">
        <f t="shared" si="15"/>
        <v>1784</v>
      </c>
      <c r="F172">
        <f t="shared" si="20"/>
        <v>1.926594208180904E-2</v>
      </c>
      <c r="I172">
        <f t="shared" si="17"/>
        <v>0.57399220336973666</v>
      </c>
      <c r="K172">
        <f t="shared" si="18"/>
        <v>0.58096647440335158</v>
      </c>
      <c r="L172">
        <f t="shared" si="19"/>
        <v>-0.64075867737186587</v>
      </c>
    </row>
    <row r="173" spans="1:12" x14ac:dyDescent="0.3">
      <c r="A173">
        <v>8.9700000000000006</v>
      </c>
      <c r="B173">
        <f t="shared" si="14"/>
        <v>1794.0000000000002</v>
      </c>
      <c r="C173">
        <v>0.36099999999999999</v>
      </c>
      <c r="D173">
        <v>2.4312430992722511E-2</v>
      </c>
      <c r="E173">
        <f t="shared" si="15"/>
        <v>1794.0000000000002</v>
      </c>
      <c r="F173">
        <f t="shared" si="20"/>
        <v>1.9812430992722511E-2</v>
      </c>
      <c r="I173">
        <f t="shared" si="17"/>
        <v>0.57908250600472089</v>
      </c>
      <c r="K173">
        <f t="shared" si="18"/>
        <v>0.58623479359309372</v>
      </c>
      <c r="L173">
        <f t="shared" si="19"/>
        <v>-0.63549035818212374</v>
      </c>
    </row>
    <row r="174" spans="1:12" x14ac:dyDescent="0.3">
      <c r="A174">
        <v>9.02</v>
      </c>
      <c r="B174">
        <f t="shared" si="14"/>
        <v>1804</v>
      </c>
      <c r="C174">
        <v>0.35799999999999998</v>
      </c>
      <c r="D174">
        <v>2.424491569399834E-2</v>
      </c>
      <c r="E174">
        <f t="shared" si="15"/>
        <v>1804</v>
      </c>
      <c r="F174">
        <f t="shared" si="20"/>
        <v>1.974491569399834E-2</v>
      </c>
      <c r="I174">
        <f t="shared" si="17"/>
        <v>0.576689139559865</v>
      </c>
      <c r="K174">
        <f t="shared" si="18"/>
        <v>0.58375781937831639</v>
      </c>
      <c r="L174">
        <f t="shared" si="19"/>
        <v>-0.63796733239690107</v>
      </c>
    </row>
    <row r="175" spans="1:12" x14ac:dyDescent="0.3">
      <c r="A175">
        <v>9.07</v>
      </c>
      <c r="B175">
        <f t="shared" si="14"/>
        <v>1814</v>
      </c>
      <c r="C175">
        <v>0.35599999999999998</v>
      </c>
      <c r="D175">
        <v>2.4329442530870441E-2</v>
      </c>
      <c r="E175">
        <f t="shared" si="15"/>
        <v>1814</v>
      </c>
      <c r="F175">
        <f t="shared" si="20"/>
        <v>1.9829442530870441E-2</v>
      </c>
      <c r="I175">
        <f t="shared" si="17"/>
        <v>0.57666804375499492</v>
      </c>
      <c r="K175">
        <f t="shared" si="18"/>
        <v>0.58372732529598481</v>
      </c>
      <c r="L175">
        <f t="shared" si="19"/>
        <v>-0.63799782647923264</v>
      </c>
    </row>
    <row r="176" spans="1:12" x14ac:dyDescent="0.3">
      <c r="A176">
        <v>9.1199999999999992</v>
      </c>
      <c r="B176">
        <f t="shared" si="14"/>
        <v>1823.9999999999998</v>
      </c>
      <c r="C176">
        <v>0.35399999999999998</v>
      </c>
      <c r="D176">
        <v>2.473657205700874E-2</v>
      </c>
      <c r="E176">
        <f t="shared" si="15"/>
        <v>1823.9999999999998</v>
      </c>
      <c r="F176">
        <f t="shared" si="20"/>
        <v>2.0236572057008739E-2</v>
      </c>
      <c r="I176">
        <f t="shared" si="17"/>
        <v>0.57959753715991968</v>
      </c>
      <c r="K176">
        <f t="shared" si="18"/>
        <v>0.58676128366810076</v>
      </c>
      <c r="L176">
        <f t="shared" si="19"/>
        <v>-0.63496386810711669</v>
      </c>
    </row>
    <row r="177" spans="1:12" x14ac:dyDescent="0.3">
      <c r="A177">
        <v>9.17</v>
      </c>
      <c r="B177">
        <f t="shared" si="14"/>
        <v>1834</v>
      </c>
      <c r="C177">
        <v>0.35199999999999998</v>
      </c>
      <c r="D177">
        <v>2.427547425031662E-2</v>
      </c>
      <c r="E177">
        <f t="shared" si="15"/>
        <v>1834</v>
      </c>
      <c r="F177">
        <f t="shared" si="20"/>
        <v>1.9775474250316619E-2</v>
      </c>
      <c r="I177">
        <f t="shared" si="17"/>
        <v>0.57460609887540337</v>
      </c>
      <c r="K177">
        <f t="shared" si="18"/>
        <v>0.58156706581151485</v>
      </c>
      <c r="L177">
        <f t="shared" si="19"/>
        <v>-0.64015808596370261</v>
      </c>
    </row>
    <row r="178" spans="1:12" x14ac:dyDescent="0.3">
      <c r="A178">
        <v>9.2200000000000006</v>
      </c>
      <c r="B178">
        <f t="shared" si="14"/>
        <v>1844.0000000000002</v>
      </c>
      <c r="C178">
        <v>0.35</v>
      </c>
      <c r="D178">
        <v>2.4188827723264691E-2</v>
      </c>
      <c r="E178">
        <f t="shared" si="15"/>
        <v>1844.0000000000002</v>
      </c>
      <c r="F178">
        <f t="shared" si="20"/>
        <v>1.968882772326469E-2</v>
      </c>
      <c r="I178">
        <f t="shared" si="17"/>
        <v>0.57302099160850051</v>
      </c>
      <c r="K178">
        <f t="shared" si="18"/>
        <v>0.57991208131164318</v>
      </c>
      <c r="L178">
        <f t="shared" si="19"/>
        <v>-0.64181307046357428</v>
      </c>
    </row>
    <row r="179" spans="1:12" x14ac:dyDescent="0.3">
      <c r="A179">
        <v>9.2799999999999994</v>
      </c>
      <c r="B179">
        <f t="shared" si="14"/>
        <v>1855.9999999999998</v>
      </c>
      <c r="C179">
        <v>0.34799999999999998</v>
      </c>
      <c r="D179">
        <v>2.4591587483882901E-2</v>
      </c>
      <c r="E179">
        <f t="shared" si="15"/>
        <v>1855.9999999999998</v>
      </c>
      <c r="F179">
        <f t="shared" si="20"/>
        <v>2.00915874838829E-2</v>
      </c>
      <c r="I179">
        <f t="shared" si="17"/>
        <v>0.57620993185043323</v>
      </c>
      <c r="K179">
        <f t="shared" si="18"/>
        <v>0.58320180429482449</v>
      </c>
      <c r="L179">
        <f t="shared" si="19"/>
        <v>-0.63852334748039297</v>
      </c>
    </row>
    <row r="180" spans="1:12" x14ac:dyDescent="0.3">
      <c r="A180">
        <v>9.33</v>
      </c>
      <c r="B180">
        <f t="shared" si="14"/>
        <v>1866</v>
      </c>
      <c r="C180">
        <v>0.34599999999999997</v>
      </c>
      <c r="D180">
        <v>2.4872282519936562E-2</v>
      </c>
      <c r="E180">
        <f t="shared" si="15"/>
        <v>1866</v>
      </c>
      <c r="F180">
        <f t="shared" si="20"/>
        <v>2.0372282519936561E-2</v>
      </c>
      <c r="I180">
        <f t="shared" si="17"/>
        <v>0.57805839591100816</v>
      </c>
      <c r="K180">
        <f t="shared" si="18"/>
        <v>0.58510720566290619</v>
      </c>
      <c r="L180">
        <f t="shared" si="19"/>
        <v>-0.63661794611231126</v>
      </c>
    </row>
    <row r="181" spans="1:12" x14ac:dyDescent="0.3">
      <c r="A181">
        <v>9.3800000000000008</v>
      </c>
      <c r="B181">
        <f t="shared" si="14"/>
        <v>1876.0000000000002</v>
      </c>
      <c r="C181">
        <v>0.34300000000000003</v>
      </c>
      <c r="D181">
        <v>2.4994742125272751E-2</v>
      </c>
      <c r="E181">
        <f t="shared" si="15"/>
        <v>1876.0000000000002</v>
      </c>
      <c r="F181">
        <f t="shared" si="20"/>
        <v>2.049474212527275E-2</v>
      </c>
      <c r="I181">
        <f t="shared" si="17"/>
        <v>0.57745068113505849</v>
      </c>
      <c r="K181">
        <f t="shared" si="18"/>
        <v>0.58448037768402705</v>
      </c>
      <c r="L181">
        <f t="shared" si="19"/>
        <v>-0.6372447740911904</v>
      </c>
    </row>
    <row r="182" spans="1:12" x14ac:dyDescent="0.3">
      <c r="A182">
        <v>9.43</v>
      </c>
      <c r="B182">
        <f t="shared" si="14"/>
        <v>1886</v>
      </c>
      <c r="C182">
        <v>0.34100000000000003</v>
      </c>
      <c r="D182">
        <v>2.505173347890377E-2</v>
      </c>
      <c r="E182">
        <f t="shared" si="15"/>
        <v>1886</v>
      </c>
      <c r="F182">
        <f t="shared" si="20"/>
        <v>2.055173347890377E-2</v>
      </c>
      <c r="I182">
        <f t="shared" si="17"/>
        <v>0.5772378467060626</v>
      </c>
      <c r="K182">
        <f t="shared" si="18"/>
        <v>0.58424598782236881</v>
      </c>
      <c r="L182">
        <f t="shared" si="19"/>
        <v>-0.63747916395284865</v>
      </c>
    </row>
    <row r="183" spans="1:12" x14ac:dyDescent="0.3">
      <c r="A183">
        <v>9.48</v>
      </c>
      <c r="B183">
        <f t="shared" si="14"/>
        <v>1896</v>
      </c>
      <c r="C183">
        <v>0.33900000000000002</v>
      </c>
      <c r="D183">
        <v>2.4565804749727249E-2</v>
      </c>
      <c r="E183">
        <f t="shared" si="15"/>
        <v>1896</v>
      </c>
      <c r="F183">
        <f t="shared" si="20"/>
        <v>2.0065804749727249E-2</v>
      </c>
      <c r="I183">
        <f t="shared" si="17"/>
        <v>0.57188382902741441</v>
      </c>
      <c r="K183">
        <f t="shared" si="18"/>
        <v>0.57868613683757197</v>
      </c>
      <c r="L183">
        <f t="shared" si="19"/>
        <v>-0.64303901493764548</v>
      </c>
    </row>
    <row r="184" spans="1:12" x14ac:dyDescent="0.3">
      <c r="A184">
        <v>9.5299999999999994</v>
      </c>
      <c r="B184">
        <f t="shared" si="14"/>
        <v>1905.9999999999998</v>
      </c>
      <c r="C184">
        <v>0.33700000000000002</v>
      </c>
      <c r="D184">
        <v>2.4296250194311138E-2</v>
      </c>
      <c r="E184">
        <f t="shared" si="15"/>
        <v>1905.9999999999998</v>
      </c>
      <c r="F184">
        <f t="shared" si="20"/>
        <v>1.9796250194311138E-2</v>
      </c>
      <c r="I184">
        <f t="shared" si="17"/>
        <v>0.56854326435178515</v>
      </c>
      <c r="K184">
        <f t="shared" si="18"/>
        <v>0.57521460066726804</v>
      </c>
      <c r="L184">
        <f t="shared" si="19"/>
        <v>-0.64651055110794942</v>
      </c>
    </row>
    <row r="185" spans="1:12" x14ac:dyDescent="0.3">
      <c r="A185">
        <v>9.58</v>
      </c>
      <c r="B185">
        <f t="shared" si="14"/>
        <v>1916</v>
      </c>
      <c r="C185">
        <v>0.33500000000000002</v>
      </c>
      <c r="D185">
        <v>2.4016488343477249E-2</v>
      </c>
      <c r="E185">
        <f t="shared" si="15"/>
        <v>1916</v>
      </c>
      <c r="F185">
        <f t="shared" si="20"/>
        <v>1.9516488343477249E-2</v>
      </c>
      <c r="I185">
        <f t="shared" si="17"/>
        <v>0.56507795833051211</v>
      </c>
      <c r="K185">
        <f t="shared" si="18"/>
        <v>0.57161598192557694</v>
      </c>
      <c r="L185">
        <f t="shared" si="19"/>
        <v>-0.65010916984964051</v>
      </c>
    </row>
    <row r="186" spans="1:12" x14ac:dyDescent="0.3">
      <c r="A186">
        <v>9.6300000000000008</v>
      </c>
      <c r="B186">
        <f t="shared" si="14"/>
        <v>1926.0000000000002</v>
      </c>
      <c r="C186">
        <v>0.33300000000000002</v>
      </c>
      <c r="D186">
        <v>2.4950046092271801E-2</v>
      </c>
      <c r="E186">
        <f t="shared" si="15"/>
        <v>1926.0000000000002</v>
      </c>
      <c r="F186">
        <f t="shared" si="20"/>
        <v>2.0450046092271801E-2</v>
      </c>
      <c r="I186">
        <f t="shared" si="17"/>
        <v>0.57326894386857752</v>
      </c>
      <c r="K186">
        <f t="shared" si="18"/>
        <v>0.58007880921730404</v>
      </c>
      <c r="L186">
        <f t="shared" si="19"/>
        <v>-0.64164634255791342</v>
      </c>
    </row>
    <row r="187" spans="1:12" x14ac:dyDescent="0.3">
      <c r="A187">
        <v>9.69</v>
      </c>
      <c r="B187">
        <f t="shared" si="14"/>
        <v>1938</v>
      </c>
      <c r="C187">
        <v>0.33</v>
      </c>
      <c r="D187">
        <v>2.4746935814619061E-2</v>
      </c>
      <c r="E187">
        <f t="shared" si="15"/>
        <v>1938</v>
      </c>
      <c r="F187">
        <f t="shared" si="20"/>
        <v>2.024693581461906E-2</v>
      </c>
      <c r="I187">
        <f t="shared" si="17"/>
        <v>0.56979780804365876</v>
      </c>
      <c r="K187">
        <f t="shared" si="18"/>
        <v>0.576479296862483</v>
      </c>
      <c r="L187">
        <f t="shared" si="19"/>
        <v>-0.64524585491273445</v>
      </c>
    </row>
    <row r="188" spans="1:12" x14ac:dyDescent="0.3">
      <c r="A188">
        <v>9.74</v>
      </c>
      <c r="B188">
        <f t="shared" si="14"/>
        <v>1948</v>
      </c>
      <c r="C188">
        <v>0.32800000000000001</v>
      </c>
      <c r="D188">
        <v>2.47977115213871E-2</v>
      </c>
      <c r="E188">
        <f t="shared" si="15"/>
        <v>1948</v>
      </c>
      <c r="F188">
        <f t="shared" si="20"/>
        <v>2.02977115213871E-2</v>
      </c>
      <c r="I188">
        <f t="shared" si="17"/>
        <v>0.56952971021831034</v>
      </c>
      <c r="K188">
        <f t="shared" si="18"/>
        <v>0.57618735959732525</v>
      </c>
      <c r="L188">
        <f t="shared" si="19"/>
        <v>-0.6455377921778922</v>
      </c>
    </row>
    <row r="189" spans="1:12" x14ac:dyDescent="0.3">
      <c r="A189">
        <v>9.7899999999999991</v>
      </c>
      <c r="B189">
        <f t="shared" si="14"/>
        <v>1957.9999999999998</v>
      </c>
      <c r="C189">
        <v>0.32700000000000001</v>
      </c>
      <c r="D189">
        <v>2.4553913623094559E-2</v>
      </c>
      <c r="E189">
        <f t="shared" si="15"/>
        <v>1957.9999999999998</v>
      </c>
      <c r="F189">
        <f t="shared" si="20"/>
        <v>2.0053913623094558E-2</v>
      </c>
      <c r="I189">
        <f t="shared" si="17"/>
        <v>0.56738281437009574</v>
      </c>
      <c r="K189">
        <f t="shared" si="18"/>
        <v>0.57394044412484768</v>
      </c>
      <c r="L189">
        <f t="shared" si="19"/>
        <v>-0.64778470765036977</v>
      </c>
    </row>
    <row r="190" spans="1:12" x14ac:dyDescent="0.3">
      <c r="A190">
        <v>9.84</v>
      </c>
      <c r="B190">
        <f t="shared" si="14"/>
        <v>1968</v>
      </c>
      <c r="C190">
        <v>0.32400000000000001</v>
      </c>
      <c r="D190">
        <v>2.4869997054338459E-2</v>
      </c>
      <c r="E190">
        <f t="shared" si="15"/>
        <v>1968</v>
      </c>
      <c r="F190">
        <f t="shared" si="20"/>
        <v>2.0369997054338458E-2</v>
      </c>
      <c r="I190">
        <f t="shared" si="17"/>
        <v>0.56872077101469043</v>
      </c>
      <c r="K190">
        <f t="shared" si="18"/>
        <v>0.57532065006029609</v>
      </c>
      <c r="L190">
        <f t="shared" si="19"/>
        <v>-0.64640450171492136</v>
      </c>
    </row>
    <row r="191" spans="1:12" x14ac:dyDescent="0.3">
      <c r="A191">
        <v>9.9</v>
      </c>
      <c r="B191">
        <f t="shared" si="14"/>
        <v>1980</v>
      </c>
      <c r="C191">
        <v>0.32200000000000001</v>
      </c>
      <c r="D191">
        <v>2.4348245933651921E-2</v>
      </c>
      <c r="E191">
        <f t="shared" si="15"/>
        <v>1980</v>
      </c>
      <c r="F191">
        <f t="shared" si="20"/>
        <v>1.984824593365192E-2</v>
      </c>
      <c r="I191">
        <f t="shared" si="17"/>
        <v>0.563047634743154</v>
      </c>
      <c r="K191">
        <f t="shared" si="18"/>
        <v>0.56943876993378995</v>
      </c>
      <c r="L191">
        <f t="shared" si="19"/>
        <v>-0.65228638184142751</v>
      </c>
    </row>
    <row r="192" spans="1:12" x14ac:dyDescent="0.3">
      <c r="A192">
        <v>9.9499999999999993</v>
      </c>
      <c r="B192">
        <f t="shared" si="14"/>
        <v>1989.9999999999998</v>
      </c>
      <c r="C192">
        <v>0.32</v>
      </c>
      <c r="D192">
        <v>2.544496022164822E-2</v>
      </c>
      <c r="E192">
        <f t="shared" si="15"/>
        <v>1989.9999999999998</v>
      </c>
      <c r="F192">
        <f t="shared" si="20"/>
        <v>2.0944960221648219E-2</v>
      </c>
      <c r="I192">
        <f t="shared" si="17"/>
        <v>0.57317735420539973</v>
      </c>
      <c r="K192">
        <f t="shared" si="18"/>
        <v>0.57987974147632715</v>
      </c>
      <c r="L192">
        <f t="shared" si="19"/>
        <v>-0.64184541029889031</v>
      </c>
    </row>
    <row r="193" spans="1:12" x14ac:dyDescent="0.3">
      <c r="A193">
        <v>10</v>
      </c>
      <c r="B193">
        <f t="shared" si="14"/>
        <v>2000</v>
      </c>
      <c r="C193">
        <v>0.317</v>
      </c>
      <c r="D193">
        <v>2.464304119348526E-2</v>
      </c>
      <c r="E193">
        <f t="shared" si="15"/>
        <v>2000</v>
      </c>
      <c r="F193">
        <f t="shared" si="20"/>
        <v>2.0143041193485259E-2</v>
      </c>
      <c r="I193">
        <f t="shared" si="17"/>
        <v>0.56343041193485255</v>
      </c>
      <c r="K193">
        <f t="shared" si="18"/>
        <v>0.56981575599318735</v>
      </c>
      <c r="L193">
        <f t="shared" si="19"/>
        <v>-0.65190939578203011</v>
      </c>
    </row>
    <row r="194" spans="1:12" x14ac:dyDescent="0.3">
      <c r="A194">
        <v>10</v>
      </c>
      <c r="B194">
        <f t="shared" ref="B194:B223" si="21">A194*200</f>
        <v>2000</v>
      </c>
      <c r="C194">
        <v>0.315</v>
      </c>
      <c r="D194">
        <v>2.476061508059502E-2</v>
      </c>
      <c r="E194">
        <f t="shared" ref="E194:E223" si="22">B194</f>
        <v>2000</v>
      </c>
      <c r="F194">
        <f t="shared" si="20"/>
        <v>2.0260615080595019E-2</v>
      </c>
      <c r="I194">
        <f t="shared" ref="I194:I223" si="23">C194+(D194*A194)</f>
        <v>0.56260615080595022</v>
      </c>
      <c r="K194">
        <f t="shared" ref="K194:K223" si="24">I194+(F194*C194)</f>
        <v>0.56898824455633767</v>
      </c>
      <c r="L194">
        <f t="shared" ref="L194:L223" si="25">K194-$I$1</f>
        <v>-0.65273690721887978</v>
      </c>
    </row>
    <row r="195" spans="1:12" x14ac:dyDescent="0.3">
      <c r="A195">
        <v>10.1</v>
      </c>
      <c r="B195">
        <f t="shared" si="21"/>
        <v>2020</v>
      </c>
      <c r="C195">
        <v>0.313</v>
      </c>
      <c r="D195">
        <v>2.476061508059502E-2</v>
      </c>
      <c r="E195">
        <f t="shared" si="22"/>
        <v>2020</v>
      </c>
      <c r="F195">
        <f t="shared" si="20"/>
        <v>2.0260615080595019E-2</v>
      </c>
      <c r="I195">
        <f t="shared" si="23"/>
        <v>0.56308221231400968</v>
      </c>
      <c r="K195">
        <f t="shared" si="24"/>
        <v>0.56942378483423595</v>
      </c>
      <c r="L195">
        <f t="shared" si="25"/>
        <v>-0.65230136694098151</v>
      </c>
    </row>
    <row r="196" spans="1:12" x14ac:dyDescent="0.3">
      <c r="A196">
        <v>10.199999999999999</v>
      </c>
      <c r="B196">
        <f t="shared" si="21"/>
        <v>2039.9999999999998</v>
      </c>
      <c r="C196">
        <v>0.311</v>
      </c>
      <c r="D196">
        <v>2.4E-2</v>
      </c>
      <c r="E196">
        <f t="shared" si="22"/>
        <v>2039.9999999999998</v>
      </c>
      <c r="F196">
        <v>2.0369997054338451E-2</v>
      </c>
      <c r="I196">
        <f t="shared" si="23"/>
        <v>0.55579999999999996</v>
      </c>
      <c r="K196">
        <f t="shared" si="24"/>
        <v>0.56213506908389921</v>
      </c>
      <c r="L196">
        <f t="shared" si="25"/>
        <v>-0.65959008269131825</v>
      </c>
    </row>
    <row r="197" spans="1:12" x14ac:dyDescent="0.3">
      <c r="A197">
        <v>10.199999999999999</v>
      </c>
      <c r="B197">
        <f t="shared" si="21"/>
        <v>2039.9999999999998</v>
      </c>
      <c r="C197">
        <v>0.309</v>
      </c>
      <c r="D197">
        <v>2.4E-2</v>
      </c>
      <c r="E197">
        <f t="shared" si="22"/>
        <v>2039.9999999999998</v>
      </c>
      <c r="F197">
        <v>1.984824593365192E-2</v>
      </c>
      <c r="I197">
        <f t="shared" si="23"/>
        <v>0.55379999999999996</v>
      </c>
      <c r="K197">
        <f t="shared" si="24"/>
        <v>0.55993310799349838</v>
      </c>
      <c r="L197">
        <f t="shared" si="25"/>
        <v>-0.66179204378171907</v>
      </c>
    </row>
    <row r="198" spans="1:12" x14ac:dyDescent="0.3">
      <c r="A198">
        <v>10.3</v>
      </c>
      <c r="B198">
        <f t="shared" si="21"/>
        <v>2060</v>
      </c>
      <c r="C198">
        <v>0.30599999999999999</v>
      </c>
      <c r="D198">
        <v>2.4E-2</v>
      </c>
      <c r="E198">
        <f t="shared" si="22"/>
        <v>2060</v>
      </c>
      <c r="F198">
        <v>2.0944960221648219E-2</v>
      </c>
      <c r="I198">
        <f t="shared" si="23"/>
        <v>0.55320000000000003</v>
      </c>
      <c r="K198">
        <f t="shared" si="24"/>
        <v>0.55960915782782439</v>
      </c>
      <c r="L198">
        <f t="shared" si="25"/>
        <v>-0.66211599394739307</v>
      </c>
    </row>
    <row r="199" spans="1:12" x14ac:dyDescent="0.3">
      <c r="A199">
        <v>10.3</v>
      </c>
      <c r="B199">
        <f t="shared" si="21"/>
        <v>2060</v>
      </c>
      <c r="C199">
        <v>0.30399999999999999</v>
      </c>
      <c r="D199">
        <v>2.4E-2</v>
      </c>
      <c r="E199">
        <f t="shared" si="22"/>
        <v>2060</v>
      </c>
      <c r="F199">
        <v>2.0143041193485259E-2</v>
      </c>
      <c r="I199">
        <f t="shared" si="23"/>
        <v>0.55120000000000002</v>
      </c>
      <c r="K199">
        <f t="shared" si="24"/>
        <v>0.55732348452281955</v>
      </c>
      <c r="L199">
        <f t="shared" si="25"/>
        <v>-0.66440166725239791</v>
      </c>
    </row>
    <row r="200" spans="1:12" x14ac:dyDescent="0.3">
      <c r="A200">
        <v>10.4</v>
      </c>
      <c r="B200">
        <f t="shared" si="21"/>
        <v>2080</v>
      </c>
      <c r="C200">
        <v>0.30099999999999999</v>
      </c>
      <c r="D200">
        <v>2.4E-2</v>
      </c>
      <c r="E200">
        <f t="shared" si="22"/>
        <v>2080</v>
      </c>
      <c r="F200">
        <v>1.974491569399834E-2</v>
      </c>
      <c r="I200">
        <f t="shared" si="23"/>
        <v>0.55059999999999998</v>
      </c>
      <c r="K200">
        <f t="shared" si="24"/>
        <v>0.55654321962389353</v>
      </c>
      <c r="L200">
        <f t="shared" si="25"/>
        <v>-0.66518193215132393</v>
      </c>
    </row>
    <row r="201" spans="1:12" x14ac:dyDescent="0.3">
      <c r="A201">
        <v>10.4</v>
      </c>
      <c r="B201">
        <f t="shared" si="21"/>
        <v>2080</v>
      </c>
      <c r="C201">
        <v>0.29899999999999999</v>
      </c>
      <c r="D201">
        <v>2.4E-2</v>
      </c>
      <c r="E201">
        <f t="shared" si="22"/>
        <v>2080</v>
      </c>
      <c r="F201">
        <v>1.9829442530870441E-2</v>
      </c>
      <c r="I201">
        <f t="shared" si="23"/>
        <v>0.54859999999999998</v>
      </c>
      <c r="K201">
        <f t="shared" si="24"/>
        <v>0.55452900331673027</v>
      </c>
      <c r="L201">
        <f t="shared" si="25"/>
        <v>-0.66719614845848718</v>
      </c>
    </row>
    <row r="202" spans="1:12" x14ac:dyDescent="0.3">
      <c r="A202">
        <v>10.5</v>
      </c>
      <c r="B202">
        <f t="shared" si="21"/>
        <v>2100</v>
      </c>
      <c r="C202">
        <v>0.29699999999999999</v>
      </c>
      <c r="D202">
        <v>2.4E-2</v>
      </c>
      <c r="E202">
        <f t="shared" si="22"/>
        <v>2100</v>
      </c>
      <c r="F202">
        <v>2.0236572057008739E-2</v>
      </c>
      <c r="I202">
        <f t="shared" si="23"/>
        <v>0.54899999999999993</v>
      </c>
      <c r="K202">
        <f t="shared" si="24"/>
        <v>0.5550102619009315</v>
      </c>
      <c r="L202">
        <f t="shared" si="25"/>
        <v>-0.66671488987428595</v>
      </c>
    </row>
    <row r="203" spans="1:12" x14ac:dyDescent="0.3">
      <c r="A203">
        <v>10.5</v>
      </c>
      <c r="B203">
        <f t="shared" si="21"/>
        <v>2100</v>
      </c>
      <c r="C203">
        <v>0.29499999999999998</v>
      </c>
      <c r="D203">
        <v>2.4E-2</v>
      </c>
      <c r="E203">
        <f t="shared" si="22"/>
        <v>2100</v>
      </c>
      <c r="F203">
        <v>1.9775474250316619E-2</v>
      </c>
      <c r="I203">
        <f t="shared" si="23"/>
        <v>0.54699999999999993</v>
      </c>
      <c r="K203">
        <f t="shared" si="24"/>
        <v>0.55283376490384328</v>
      </c>
      <c r="L203">
        <f t="shared" si="25"/>
        <v>-0.66889138687137417</v>
      </c>
    </row>
    <row r="204" spans="1:12" x14ac:dyDescent="0.3">
      <c r="A204">
        <v>10.6</v>
      </c>
      <c r="B204">
        <f t="shared" si="21"/>
        <v>2120</v>
      </c>
      <c r="C204">
        <v>0.29299999999999998</v>
      </c>
      <c r="D204">
        <v>2.4E-2</v>
      </c>
      <c r="E204">
        <f t="shared" si="22"/>
        <v>2120</v>
      </c>
      <c r="F204">
        <v>1.968882772326469E-2</v>
      </c>
      <c r="I204">
        <f t="shared" si="23"/>
        <v>0.5474</v>
      </c>
      <c r="K204">
        <f t="shared" si="24"/>
        <v>0.55316882652291655</v>
      </c>
      <c r="L204">
        <f t="shared" si="25"/>
        <v>-0.66855632525230091</v>
      </c>
    </row>
    <row r="205" spans="1:12" x14ac:dyDescent="0.3">
      <c r="A205">
        <v>10.6</v>
      </c>
      <c r="B205">
        <f t="shared" si="21"/>
        <v>2120</v>
      </c>
      <c r="C205">
        <v>0.29099999999999998</v>
      </c>
      <c r="D205">
        <v>2.4E-2</v>
      </c>
      <c r="E205">
        <f t="shared" si="22"/>
        <v>2120</v>
      </c>
      <c r="F205">
        <v>2.00915874838829E-2</v>
      </c>
      <c r="I205">
        <f t="shared" si="23"/>
        <v>0.5454</v>
      </c>
      <c r="K205">
        <f t="shared" si="24"/>
        <v>0.55124665195780997</v>
      </c>
      <c r="L205">
        <f t="shared" si="25"/>
        <v>-0.67047849981740748</v>
      </c>
    </row>
    <row r="206" spans="1:12" x14ac:dyDescent="0.3">
      <c r="A206">
        <v>10.7</v>
      </c>
      <c r="B206">
        <f t="shared" si="21"/>
        <v>2140</v>
      </c>
      <c r="C206">
        <v>0.28799999999999998</v>
      </c>
      <c r="D206">
        <v>2.4E-2</v>
      </c>
      <c r="E206">
        <f t="shared" si="22"/>
        <v>2140</v>
      </c>
      <c r="F206">
        <v>2.0372282519936561E-2</v>
      </c>
      <c r="I206">
        <f t="shared" si="23"/>
        <v>0.54479999999999995</v>
      </c>
      <c r="K206">
        <f t="shared" si="24"/>
        <v>0.55066721736574165</v>
      </c>
      <c r="L206">
        <f t="shared" si="25"/>
        <v>-0.67105793440947581</v>
      </c>
    </row>
    <row r="207" spans="1:12" x14ac:dyDescent="0.3">
      <c r="A207">
        <v>10.7</v>
      </c>
      <c r="B207">
        <f t="shared" si="21"/>
        <v>2140</v>
      </c>
      <c r="C207">
        <v>0.28599999999999998</v>
      </c>
      <c r="D207">
        <v>2.4E-2</v>
      </c>
      <c r="E207">
        <f t="shared" si="22"/>
        <v>2140</v>
      </c>
      <c r="F207">
        <v>2.0065804749727249E-2</v>
      </c>
      <c r="I207">
        <f t="shared" si="23"/>
        <v>0.54279999999999995</v>
      </c>
      <c r="K207">
        <f t="shared" si="24"/>
        <v>0.54853882015842192</v>
      </c>
      <c r="L207">
        <f t="shared" si="25"/>
        <v>-0.67318633161679553</v>
      </c>
    </row>
    <row r="208" spans="1:12" x14ac:dyDescent="0.3">
      <c r="A208">
        <v>10.8</v>
      </c>
      <c r="B208">
        <f t="shared" si="21"/>
        <v>2160</v>
      </c>
      <c r="C208">
        <v>0.28399999999999997</v>
      </c>
      <c r="D208">
        <v>2.4E-2</v>
      </c>
      <c r="E208">
        <f t="shared" si="22"/>
        <v>2160</v>
      </c>
      <c r="F208">
        <v>1.9796250194311141E-2</v>
      </c>
      <c r="I208">
        <f t="shared" si="23"/>
        <v>0.54320000000000002</v>
      </c>
      <c r="K208">
        <f t="shared" si="24"/>
        <v>0.5488221350551844</v>
      </c>
      <c r="L208">
        <f t="shared" si="25"/>
        <v>-0.67290301672003305</v>
      </c>
    </row>
    <row r="209" spans="1:12" x14ac:dyDescent="0.3">
      <c r="A209">
        <v>10.8</v>
      </c>
      <c r="B209">
        <f t="shared" si="21"/>
        <v>2160</v>
      </c>
      <c r="C209">
        <v>0.28199999999999997</v>
      </c>
      <c r="D209">
        <v>2.4E-2</v>
      </c>
      <c r="E209">
        <f t="shared" si="22"/>
        <v>2160</v>
      </c>
      <c r="F209">
        <v>1.9516488343477249E-2</v>
      </c>
      <c r="I209">
        <f t="shared" si="23"/>
        <v>0.54120000000000001</v>
      </c>
      <c r="K209">
        <f t="shared" si="24"/>
        <v>0.54670364971286056</v>
      </c>
      <c r="L209">
        <f t="shared" si="25"/>
        <v>-0.67502150206235689</v>
      </c>
    </row>
    <row r="210" spans="1:12" x14ac:dyDescent="0.3">
      <c r="A210">
        <v>10.9</v>
      </c>
      <c r="B210">
        <f t="shared" si="21"/>
        <v>2180</v>
      </c>
      <c r="C210">
        <v>0.27900000000000003</v>
      </c>
      <c r="D210">
        <v>2.4E-2</v>
      </c>
      <c r="E210">
        <f t="shared" si="22"/>
        <v>2180</v>
      </c>
      <c r="F210">
        <v>2.0450046092271801E-2</v>
      </c>
      <c r="I210">
        <f t="shared" si="23"/>
        <v>0.54059999999999997</v>
      </c>
      <c r="K210">
        <f t="shared" si="24"/>
        <v>0.54630556285974385</v>
      </c>
      <c r="L210">
        <f t="shared" si="25"/>
        <v>-0.6754195889154736</v>
      </c>
    </row>
    <row r="211" spans="1:12" x14ac:dyDescent="0.3">
      <c r="A211">
        <v>10.9</v>
      </c>
      <c r="B211">
        <f t="shared" si="21"/>
        <v>2180</v>
      </c>
      <c r="C211">
        <v>0.27700000000000002</v>
      </c>
      <c r="D211">
        <v>2.4E-2</v>
      </c>
      <c r="E211">
        <f t="shared" si="22"/>
        <v>2180</v>
      </c>
      <c r="F211">
        <v>2.024693581461906E-2</v>
      </c>
      <c r="I211">
        <f t="shared" si="23"/>
        <v>0.53859999999999997</v>
      </c>
      <c r="K211">
        <f t="shared" si="24"/>
        <v>0.5442084012206494</v>
      </c>
      <c r="L211">
        <f t="shared" si="25"/>
        <v>-0.67751675055456806</v>
      </c>
    </row>
    <row r="212" spans="1:12" x14ac:dyDescent="0.3">
      <c r="A212">
        <v>11</v>
      </c>
      <c r="B212">
        <f t="shared" si="21"/>
        <v>2200</v>
      </c>
      <c r="C212">
        <v>0.27500000000000002</v>
      </c>
      <c r="D212">
        <v>2.4E-2</v>
      </c>
      <c r="E212">
        <f t="shared" si="22"/>
        <v>2200</v>
      </c>
      <c r="F212">
        <v>2.02977115213871E-2</v>
      </c>
      <c r="I212">
        <f t="shared" si="23"/>
        <v>0.53900000000000003</v>
      </c>
      <c r="K212">
        <f t="shared" si="24"/>
        <v>0.54458187066838148</v>
      </c>
      <c r="L212">
        <f t="shared" si="25"/>
        <v>-0.67714328110683597</v>
      </c>
    </row>
    <row r="213" spans="1:12" x14ac:dyDescent="0.3">
      <c r="A213">
        <v>11</v>
      </c>
      <c r="B213">
        <f t="shared" si="21"/>
        <v>2200</v>
      </c>
      <c r="C213">
        <v>0.27200000000000002</v>
      </c>
      <c r="D213">
        <v>2.4E-2</v>
      </c>
      <c r="E213">
        <f t="shared" si="22"/>
        <v>2200</v>
      </c>
      <c r="F213">
        <v>2.0944960221648219E-2</v>
      </c>
      <c r="I213">
        <f t="shared" si="23"/>
        <v>0.53600000000000003</v>
      </c>
      <c r="K213">
        <f t="shared" si="24"/>
        <v>0.54169702918028839</v>
      </c>
      <c r="L213">
        <f t="shared" si="25"/>
        <v>-0.68002812259492906</v>
      </c>
    </row>
    <row r="214" spans="1:12" x14ac:dyDescent="0.3">
      <c r="A214">
        <v>11.1</v>
      </c>
      <c r="B214">
        <f t="shared" si="21"/>
        <v>2220</v>
      </c>
      <c r="C214">
        <v>0.27</v>
      </c>
      <c r="D214">
        <v>2.4E-2</v>
      </c>
      <c r="E214">
        <f t="shared" si="22"/>
        <v>2220</v>
      </c>
      <c r="F214">
        <v>2.0143041193485259E-2</v>
      </c>
      <c r="I214">
        <f t="shared" si="23"/>
        <v>0.53639999999999999</v>
      </c>
      <c r="K214">
        <f t="shared" si="24"/>
        <v>0.54183862112224102</v>
      </c>
      <c r="L214">
        <f t="shared" si="25"/>
        <v>-0.67988653065297644</v>
      </c>
    </row>
    <row r="215" spans="1:12" x14ac:dyDescent="0.3">
      <c r="A215">
        <v>11.1</v>
      </c>
      <c r="B215">
        <f t="shared" si="21"/>
        <v>2220</v>
      </c>
      <c r="C215">
        <v>0.26800000000000002</v>
      </c>
      <c r="D215">
        <v>2.4E-2</v>
      </c>
      <c r="E215">
        <f t="shared" si="22"/>
        <v>2220</v>
      </c>
      <c r="F215">
        <v>1.974491569399834E-2</v>
      </c>
      <c r="I215">
        <f t="shared" si="23"/>
        <v>0.53439999999999999</v>
      </c>
      <c r="K215">
        <f t="shared" si="24"/>
        <v>0.53969163740599158</v>
      </c>
      <c r="L215">
        <f t="shared" si="25"/>
        <v>-0.68203351436922588</v>
      </c>
    </row>
    <row r="216" spans="1:12" x14ac:dyDescent="0.3">
      <c r="A216">
        <v>11.2</v>
      </c>
      <c r="B216">
        <f t="shared" si="21"/>
        <v>2240</v>
      </c>
      <c r="C216">
        <v>0.26500000000000001</v>
      </c>
      <c r="D216">
        <v>2.4E-2</v>
      </c>
      <c r="E216">
        <f t="shared" si="22"/>
        <v>2240</v>
      </c>
      <c r="F216">
        <v>1.9829442530870441E-2</v>
      </c>
      <c r="I216">
        <f t="shared" si="23"/>
        <v>0.53380000000000005</v>
      </c>
      <c r="K216">
        <f t="shared" si="24"/>
        <v>0.5390548022706807</v>
      </c>
      <c r="L216">
        <f t="shared" si="25"/>
        <v>-0.68267034950453676</v>
      </c>
    </row>
    <row r="217" spans="1:12" x14ac:dyDescent="0.3">
      <c r="A217">
        <v>11.2</v>
      </c>
      <c r="B217">
        <f t="shared" si="21"/>
        <v>2240</v>
      </c>
      <c r="C217">
        <v>0.26300000000000001</v>
      </c>
      <c r="D217">
        <v>2.4E-2</v>
      </c>
      <c r="E217">
        <f t="shared" si="22"/>
        <v>2240</v>
      </c>
      <c r="F217">
        <v>2.0236572057008739E-2</v>
      </c>
      <c r="I217">
        <f t="shared" si="23"/>
        <v>0.53180000000000005</v>
      </c>
      <c r="K217">
        <f t="shared" si="24"/>
        <v>0.53712221845099339</v>
      </c>
      <c r="L217">
        <f t="shared" si="25"/>
        <v>-0.68460293332422406</v>
      </c>
    </row>
    <row r="218" spans="1:12" x14ac:dyDescent="0.3">
      <c r="A218">
        <v>11.3</v>
      </c>
      <c r="B218">
        <f t="shared" si="21"/>
        <v>2260</v>
      </c>
      <c r="C218">
        <v>0.26100000000000001</v>
      </c>
      <c r="D218">
        <v>2.4E-2</v>
      </c>
      <c r="E218">
        <f t="shared" si="22"/>
        <v>2260</v>
      </c>
      <c r="F218">
        <v>1.9775474250316619E-2</v>
      </c>
      <c r="I218">
        <f t="shared" si="23"/>
        <v>0.53220000000000001</v>
      </c>
      <c r="K218">
        <f t="shared" si="24"/>
        <v>0.53736139877933264</v>
      </c>
      <c r="L218">
        <f t="shared" si="25"/>
        <v>-0.68436375299588481</v>
      </c>
    </row>
    <row r="219" spans="1:12" x14ac:dyDescent="0.3">
      <c r="A219">
        <v>11.4</v>
      </c>
      <c r="B219">
        <f t="shared" si="21"/>
        <v>2280</v>
      </c>
      <c r="C219">
        <v>0.25900000000000001</v>
      </c>
      <c r="D219">
        <v>2.4E-2</v>
      </c>
      <c r="E219">
        <f t="shared" si="22"/>
        <v>2280</v>
      </c>
      <c r="F219">
        <v>1.968882772326469E-2</v>
      </c>
      <c r="I219">
        <f t="shared" si="23"/>
        <v>0.53259999999999996</v>
      </c>
      <c r="K219">
        <f t="shared" si="24"/>
        <v>0.53769940638032554</v>
      </c>
      <c r="L219">
        <f t="shared" si="25"/>
        <v>-0.68402574539489192</v>
      </c>
    </row>
    <row r="220" spans="1:12" x14ac:dyDescent="0.3">
      <c r="A220">
        <v>11.4</v>
      </c>
      <c r="B220">
        <f t="shared" si="21"/>
        <v>2280</v>
      </c>
      <c r="C220">
        <v>0.25600000000000001</v>
      </c>
      <c r="D220">
        <v>2.4E-2</v>
      </c>
      <c r="E220">
        <f t="shared" si="22"/>
        <v>2280</v>
      </c>
      <c r="F220">
        <v>2.00915874838829E-2</v>
      </c>
      <c r="I220">
        <f t="shared" si="23"/>
        <v>0.52960000000000007</v>
      </c>
      <c r="K220">
        <f t="shared" si="24"/>
        <v>0.53474344639587412</v>
      </c>
      <c r="L220">
        <f t="shared" si="25"/>
        <v>-0.68698170537934333</v>
      </c>
    </row>
    <row r="221" spans="1:12" x14ac:dyDescent="0.3">
      <c r="A221">
        <v>11.5</v>
      </c>
      <c r="B221">
        <f t="shared" si="21"/>
        <v>2300</v>
      </c>
      <c r="C221">
        <v>0.254</v>
      </c>
      <c r="D221">
        <v>2.4E-2</v>
      </c>
      <c r="E221">
        <f t="shared" si="22"/>
        <v>2300</v>
      </c>
      <c r="F221">
        <v>2.0944960221648219E-2</v>
      </c>
      <c r="I221">
        <f t="shared" si="23"/>
        <v>0.53</v>
      </c>
      <c r="K221">
        <f t="shared" si="24"/>
        <v>0.53532001989629863</v>
      </c>
      <c r="L221">
        <f t="shared" si="25"/>
        <v>-0.68640513187891883</v>
      </c>
    </row>
    <row r="222" spans="1:12" x14ac:dyDescent="0.3">
      <c r="A222">
        <v>11.5</v>
      </c>
      <c r="B222">
        <f t="shared" si="21"/>
        <v>2300</v>
      </c>
      <c r="C222">
        <v>0.252</v>
      </c>
      <c r="D222">
        <v>2.4E-2</v>
      </c>
      <c r="E222">
        <f t="shared" si="22"/>
        <v>2300</v>
      </c>
      <c r="F222">
        <v>2.0143041193485259E-2</v>
      </c>
      <c r="I222">
        <f t="shared" si="23"/>
        <v>0.52800000000000002</v>
      </c>
      <c r="K222">
        <f t="shared" si="24"/>
        <v>0.53307604638075834</v>
      </c>
      <c r="L222">
        <f t="shared" si="25"/>
        <v>-0.68864910539445912</v>
      </c>
    </row>
    <row r="223" spans="1:12" x14ac:dyDescent="0.3">
      <c r="A223">
        <v>11.5</v>
      </c>
      <c r="B223">
        <f t="shared" si="21"/>
        <v>2300</v>
      </c>
      <c r="C223">
        <v>0.252</v>
      </c>
      <c r="D223">
        <v>2.4E-2</v>
      </c>
      <c r="E223">
        <f t="shared" si="22"/>
        <v>2300</v>
      </c>
      <c r="F223">
        <v>1.974491569399834E-2</v>
      </c>
      <c r="I223">
        <f t="shared" si="23"/>
        <v>0.52800000000000002</v>
      </c>
      <c r="K223">
        <f t="shared" si="24"/>
        <v>0.53297571875488758</v>
      </c>
      <c r="L223">
        <f t="shared" si="25"/>
        <v>-0.68874943302032987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2026-06-15T02:30:02Z</dcterms:modified>
</cp:coreProperties>
</file>