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CN BM\30K\"/>
    </mc:Choice>
  </mc:AlternateContent>
  <xr:revisionPtr revIDLastSave="0" documentId="13_ncr:1_{CE4483E2-E20B-464B-A0E7-87BCBABBDD6A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I223" i="2" l="1"/>
  <c r="K223" i="2" s="1"/>
  <c r="E223" i="2"/>
  <c r="B223" i="2"/>
  <c r="I222" i="2"/>
  <c r="K222" i="2" s="1"/>
  <c r="E222" i="2"/>
  <c r="B222" i="2"/>
  <c r="K221" i="2"/>
  <c r="I221" i="2"/>
  <c r="B221" i="2"/>
  <c r="E221" i="2" s="1"/>
  <c r="K220" i="2"/>
  <c r="I220" i="2"/>
  <c r="B220" i="2"/>
  <c r="E220" i="2" s="1"/>
  <c r="I219" i="2"/>
  <c r="K219" i="2" s="1"/>
  <c r="E219" i="2"/>
  <c r="B219" i="2"/>
  <c r="I218" i="2"/>
  <c r="K218" i="2" s="1"/>
  <c r="E218" i="2"/>
  <c r="B218" i="2"/>
  <c r="K217" i="2"/>
  <c r="I217" i="2"/>
  <c r="B217" i="2"/>
  <c r="E217" i="2" s="1"/>
  <c r="K216" i="2"/>
  <c r="I216" i="2"/>
  <c r="B216" i="2"/>
  <c r="E216" i="2" s="1"/>
  <c r="I215" i="2"/>
  <c r="K215" i="2" s="1"/>
  <c r="E215" i="2"/>
  <c r="B215" i="2"/>
  <c r="I214" i="2"/>
  <c r="K214" i="2" s="1"/>
  <c r="E214" i="2"/>
  <c r="B214" i="2"/>
  <c r="K213" i="2"/>
  <c r="I213" i="2"/>
  <c r="B213" i="2"/>
  <c r="E213" i="2" s="1"/>
  <c r="K212" i="2"/>
  <c r="I212" i="2"/>
  <c r="B212" i="2"/>
  <c r="E212" i="2" s="1"/>
  <c r="I211" i="2"/>
  <c r="K211" i="2" s="1"/>
  <c r="E211" i="2"/>
  <c r="B211" i="2"/>
  <c r="I210" i="2"/>
  <c r="K210" i="2" s="1"/>
  <c r="E210" i="2"/>
  <c r="B210" i="2"/>
  <c r="K209" i="2"/>
  <c r="I209" i="2"/>
  <c r="B209" i="2"/>
  <c r="E209" i="2" s="1"/>
  <c r="K208" i="2"/>
  <c r="I208" i="2"/>
  <c r="B208" i="2"/>
  <c r="E208" i="2" s="1"/>
  <c r="I207" i="2"/>
  <c r="K207" i="2" s="1"/>
  <c r="E207" i="2"/>
  <c r="B207" i="2"/>
  <c r="I206" i="2"/>
  <c r="K206" i="2" s="1"/>
  <c r="E206" i="2"/>
  <c r="B206" i="2"/>
  <c r="K205" i="2"/>
  <c r="I205" i="2"/>
  <c r="B205" i="2"/>
  <c r="E205" i="2" s="1"/>
  <c r="K204" i="2"/>
  <c r="I204" i="2"/>
  <c r="B204" i="2"/>
  <c r="E204" i="2" s="1"/>
  <c r="I203" i="2"/>
  <c r="K203" i="2" s="1"/>
  <c r="E203" i="2"/>
  <c r="B203" i="2"/>
  <c r="I202" i="2"/>
  <c r="K202" i="2" s="1"/>
  <c r="E202" i="2"/>
  <c r="B202" i="2"/>
  <c r="K201" i="2"/>
  <c r="I201" i="2"/>
  <c r="B201" i="2"/>
  <c r="E201" i="2" s="1"/>
  <c r="K200" i="2"/>
  <c r="I200" i="2"/>
  <c r="B200" i="2"/>
  <c r="E200" i="2" s="1"/>
  <c r="I199" i="2"/>
  <c r="K199" i="2" s="1"/>
  <c r="E199" i="2"/>
  <c r="B199" i="2"/>
  <c r="I198" i="2"/>
  <c r="K198" i="2" s="1"/>
  <c r="E198" i="2"/>
  <c r="B198" i="2"/>
  <c r="K197" i="2"/>
  <c r="I197" i="2"/>
  <c r="B197" i="2"/>
  <c r="E197" i="2" s="1"/>
  <c r="K196" i="2"/>
  <c r="I196" i="2"/>
  <c r="B196" i="2"/>
  <c r="E196" i="2" s="1"/>
  <c r="I195" i="2"/>
  <c r="K195" i="2" s="1"/>
  <c r="F195" i="2"/>
  <c r="E195" i="2"/>
  <c r="B195" i="2"/>
  <c r="K194" i="2"/>
  <c r="I194" i="2"/>
  <c r="F194" i="2"/>
  <c r="B194" i="2"/>
  <c r="E194" i="2" s="1"/>
  <c r="I193" i="2"/>
  <c r="K193" i="2" s="1"/>
  <c r="F193" i="2"/>
  <c r="B193" i="2"/>
  <c r="E193" i="2" s="1"/>
  <c r="K192" i="2"/>
  <c r="I192" i="2"/>
  <c r="F192" i="2"/>
  <c r="B192" i="2"/>
  <c r="E192" i="2" s="1"/>
  <c r="I191" i="2"/>
  <c r="F191" i="2"/>
  <c r="B191" i="2"/>
  <c r="E191" i="2" s="1"/>
  <c r="K190" i="2"/>
  <c r="I190" i="2"/>
  <c r="F190" i="2"/>
  <c r="B190" i="2"/>
  <c r="E190" i="2" s="1"/>
  <c r="I189" i="2"/>
  <c r="F189" i="2"/>
  <c r="E189" i="2"/>
  <c r="B189" i="2"/>
  <c r="K188" i="2"/>
  <c r="I188" i="2"/>
  <c r="F188" i="2"/>
  <c r="B188" i="2"/>
  <c r="E188" i="2" s="1"/>
  <c r="I187" i="2"/>
  <c r="F187" i="2"/>
  <c r="E187" i="2"/>
  <c r="B187" i="2"/>
  <c r="K186" i="2"/>
  <c r="I186" i="2"/>
  <c r="F186" i="2"/>
  <c r="B186" i="2"/>
  <c r="E186" i="2" s="1"/>
  <c r="I185" i="2"/>
  <c r="F185" i="2"/>
  <c r="B185" i="2"/>
  <c r="E185" i="2" s="1"/>
  <c r="K184" i="2"/>
  <c r="I184" i="2"/>
  <c r="F184" i="2"/>
  <c r="B184" i="2"/>
  <c r="E184" i="2" s="1"/>
  <c r="I183" i="2"/>
  <c r="F183" i="2"/>
  <c r="B183" i="2"/>
  <c r="E183" i="2" s="1"/>
  <c r="K182" i="2"/>
  <c r="I182" i="2"/>
  <c r="F182" i="2"/>
  <c r="B182" i="2"/>
  <c r="E182" i="2" s="1"/>
  <c r="I181" i="2"/>
  <c r="K181" i="2" s="1"/>
  <c r="F181" i="2"/>
  <c r="B181" i="2"/>
  <c r="E181" i="2" s="1"/>
  <c r="K180" i="2"/>
  <c r="I180" i="2"/>
  <c r="F180" i="2"/>
  <c r="B180" i="2"/>
  <c r="E180" i="2" s="1"/>
  <c r="I179" i="2"/>
  <c r="F179" i="2"/>
  <c r="B179" i="2"/>
  <c r="E179" i="2" s="1"/>
  <c r="K178" i="2"/>
  <c r="I178" i="2"/>
  <c r="F178" i="2"/>
  <c r="B178" i="2"/>
  <c r="E178" i="2" s="1"/>
  <c r="I177" i="2"/>
  <c r="F177" i="2"/>
  <c r="B177" i="2"/>
  <c r="E177" i="2" s="1"/>
  <c r="K176" i="2"/>
  <c r="I176" i="2"/>
  <c r="F176" i="2"/>
  <c r="B176" i="2"/>
  <c r="E176" i="2" s="1"/>
  <c r="I175" i="2"/>
  <c r="F175" i="2"/>
  <c r="B175" i="2"/>
  <c r="E175" i="2" s="1"/>
  <c r="K174" i="2"/>
  <c r="I174" i="2"/>
  <c r="F174" i="2"/>
  <c r="B174" i="2"/>
  <c r="E174" i="2" s="1"/>
  <c r="I173" i="2"/>
  <c r="K173" i="2" s="1"/>
  <c r="F173" i="2"/>
  <c r="B173" i="2"/>
  <c r="E173" i="2" s="1"/>
  <c r="K172" i="2"/>
  <c r="I172" i="2"/>
  <c r="F172" i="2"/>
  <c r="B172" i="2"/>
  <c r="E172" i="2" s="1"/>
  <c r="I171" i="2"/>
  <c r="F171" i="2"/>
  <c r="B171" i="2"/>
  <c r="E171" i="2" s="1"/>
  <c r="K170" i="2"/>
  <c r="I170" i="2"/>
  <c r="F170" i="2"/>
  <c r="B170" i="2"/>
  <c r="E170" i="2" s="1"/>
  <c r="I169" i="2"/>
  <c r="F169" i="2"/>
  <c r="B169" i="2"/>
  <c r="E169" i="2" s="1"/>
  <c r="K168" i="2"/>
  <c r="I168" i="2"/>
  <c r="F168" i="2"/>
  <c r="B168" i="2"/>
  <c r="E168" i="2" s="1"/>
  <c r="I167" i="2"/>
  <c r="F167" i="2"/>
  <c r="B167" i="2"/>
  <c r="E167" i="2" s="1"/>
  <c r="K166" i="2"/>
  <c r="I166" i="2"/>
  <c r="F166" i="2"/>
  <c r="B166" i="2"/>
  <c r="E166" i="2" s="1"/>
  <c r="I165" i="2"/>
  <c r="K165" i="2" s="1"/>
  <c r="F165" i="2"/>
  <c r="B165" i="2"/>
  <c r="E165" i="2" s="1"/>
  <c r="K164" i="2"/>
  <c r="I164" i="2"/>
  <c r="F164" i="2"/>
  <c r="B164" i="2"/>
  <c r="E164" i="2" s="1"/>
  <c r="I163" i="2"/>
  <c r="F163" i="2"/>
  <c r="B163" i="2"/>
  <c r="E163" i="2" s="1"/>
  <c r="K162" i="2"/>
  <c r="I162" i="2"/>
  <c r="F162" i="2"/>
  <c r="B162" i="2"/>
  <c r="E162" i="2" s="1"/>
  <c r="I161" i="2"/>
  <c r="F161" i="2"/>
  <c r="B161" i="2"/>
  <c r="E161" i="2" s="1"/>
  <c r="K160" i="2"/>
  <c r="I160" i="2"/>
  <c r="F160" i="2"/>
  <c r="B160" i="2"/>
  <c r="E160" i="2" s="1"/>
  <c r="I159" i="2"/>
  <c r="F159" i="2"/>
  <c r="B159" i="2"/>
  <c r="E159" i="2" s="1"/>
  <c r="K158" i="2"/>
  <c r="I158" i="2"/>
  <c r="F158" i="2"/>
  <c r="B158" i="2"/>
  <c r="E158" i="2" s="1"/>
  <c r="I157" i="2"/>
  <c r="F157" i="2"/>
  <c r="B157" i="2"/>
  <c r="E157" i="2" s="1"/>
  <c r="K156" i="2"/>
  <c r="I156" i="2"/>
  <c r="F156" i="2"/>
  <c r="E156" i="2"/>
  <c r="B156" i="2"/>
  <c r="I155" i="2"/>
  <c r="F155" i="2"/>
  <c r="B155" i="2"/>
  <c r="E155" i="2" s="1"/>
  <c r="K154" i="2"/>
  <c r="I154" i="2"/>
  <c r="F154" i="2"/>
  <c r="B154" i="2"/>
  <c r="E154" i="2" s="1"/>
  <c r="I153" i="2"/>
  <c r="F153" i="2"/>
  <c r="B153" i="2"/>
  <c r="E153" i="2" s="1"/>
  <c r="K152" i="2"/>
  <c r="I152" i="2"/>
  <c r="F152" i="2"/>
  <c r="B152" i="2"/>
  <c r="E152" i="2" s="1"/>
  <c r="I151" i="2"/>
  <c r="K151" i="2" s="1"/>
  <c r="F151" i="2"/>
  <c r="B151" i="2"/>
  <c r="E151" i="2" s="1"/>
  <c r="K150" i="2"/>
  <c r="I150" i="2"/>
  <c r="F150" i="2"/>
  <c r="B150" i="2"/>
  <c r="E150" i="2" s="1"/>
  <c r="I149" i="2"/>
  <c r="F149" i="2"/>
  <c r="B149" i="2"/>
  <c r="E149" i="2" s="1"/>
  <c r="K148" i="2"/>
  <c r="I148" i="2"/>
  <c r="F148" i="2"/>
  <c r="E148" i="2"/>
  <c r="B148" i="2"/>
  <c r="I147" i="2"/>
  <c r="F147" i="2"/>
  <c r="B147" i="2"/>
  <c r="E147" i="2" s="1"/>
  <c r="K146" i="2"/>
  <c r="I146" i="2"/>
  <c r="F146" i="2"/>
  <c r="B146" i="2"/>
  <c r="E146" i="2" s="1"/>
  <c r="I145" i="2"/>
  <c r="F145" i="2"/>
  <c r="B145" i="2"/>
  <c r="E145" i="2" s="1"/>
  <c r="K144" i="2"/>
  <c r="I144" i="2"/>
  <c r="F144" i="2"/>
  <c r="B144" i="2"/>
  <c r="E144" i="2" s="1"/>
  <c r="I143" i="2"/>
  <c r="K143" i="2" s="1"/>
  <c r="F143" i="2"/>
  <c r="B143" i="2"/>
  <c r="E143" i="2" s="1"/>
  <c r="K142" i="2"/>
  <c r="I142" i="2"/>
  <c r="F142" i="2"/>
  <c r="B142" i="2"/>
  <c r="E142" i="2" s="1"/>
  <c r="I141" i="2"/>
  <c r="F141" i="2"/>
  <c r="B141" i="2"/>
  <c r="E141" i="2" s="1"/>
  <c r="K140" i="2"/>
  <c r="I140" i="2"/>
  <c r="F140" i="2"/>
  <c r="E140" i="2"/>
  <c r="B140" i="2"/>
  <c r="I139" i="2"/>
  <c r="F139" i="2"/>
  <c r="B139" i="2"/>
  <c r="E139" i="2" s="1"/>
  <c r="K138" i="2"/>
  <c r="I138" i="2"/>
  <c r="F138" i="2"/>
  <c r="B138" i="2"/>
  <c r="E138" i="2" s="1"/>
  <c r="I137" i="2"/>
  <c r="F137" i="2"/>
  <c r="B137" i="2"/>
  <c r="E137" i="2" s="1"/>
  <c r="K136" i="2"/>
  <c r="I136" i="2"/>
  <c r="F136" i="2"/>
  <c r="B136" i="2"/>
  <c r="E136" i="2" s="1"/>
  <c r="I135" i="2"/>
  <c r="K135" i="2" s="1"/>
  <c r="F135" i="2"/>
  <c r="B135" i="2"/>
  <c r="E135" i="2" s="1"/>
  <c r="K134" i="2"/>
  <c r="I134" i="2"/>
  <c r="F134" i="2"/>
  <c r="B134" i="2"/>
  <c r="E134" i="2" s="1"/>
  <c r="I133" i="2"/>
  <c r="F133" i="2"/>
  <c r="B133" i="2"/>
  <c r="E133" i="2" s="1"/>
  <c r="K132" i="2"/>
  <c r="I132" i="2"/>
  <c r="F132" i="2"/>
  <c r="E132" i="2"/>
  <c r="B132" i="2"/>
  <c r="I131" i="2"/>
  <c r="F131" i="2"/>
  <c r="B131" i="2"/>
  <c r="E131" i="2" s="1"/>
  <c r="K130" i="2"/>
  <c r="I130" i="2"/>
  <c r="F130" i="2"/>
  <c r="B130" i="2"/>
  <c r="E130" i="2" s="1"/>
  <c r="I129" i="2"/>
  <c r="F129" i="2"/>
  <c r="B129" i="2"/>
  <c r="E129" i="2" s="1"/>
  <c r="K128" i="2"/>
  <c r="I128" i="2"/>
  <c r="F128" i="2"/>
  <c r="B128" i="2"/>
  <c r="E128" i="2" s="1"/>
  <c r="K127" i="2"/>
  <c r="I127" i="2"/>
  <c r="F127" i="2"/>
  <c r="B127" i="2"/>
  <c r="E127" i="2" s="1"/>
  <c r="I126" i="2"/>
  <c r="F126" i="2"/>
  <c r="K126" i="2" s="1"/>
  <c r="E126" i="2"/>
  <c r="B126" i="2"/>
  <c r="I125" i="2"/>
  <c r="F125" i="2"/>
  <c r="B125" i="2"/>
  <c r="E125" i="2" s="1"/>
  <c r="K124" i="2"/>
  <c r="I124" i="2"/>
  <c r="F124" i="2"/>
  <c r="B124" i="2"/>
  <c r="E124" i="2" s="1"/>
  <c r="K123" i="2"/>
  <c r="I123" i="2"/>
  <c r="F123" i="2"/>
  <c r="B123" i="2"/>
  <c r="E123" i="2" s="1"/>
  <c r="I122" i="2"/>
  <c r="F122" i="2"/>
  <c r="K122" i="2" s="1"/>
  <c r="E122" i="2"/>
  <c r="B122" i="2"/>
  <c r="I121" i="2"/>
  <c r="F121" i="2"/>
  <c r="B121" i="2"/>
  <c r="E121" i="2" s="1"/>
  <c r="K120" i="2"/>
  <c r="I120" i="2"/>
  <c r="F120" i="2"/>
  <c r="B120" i="2"/>
  <c r="E120" i="2" s="1"/>
  <c r="K119" i="2"/>
  <c r="I119" i="2"/>
  <c r="F119" i="2"/>
  <c r="B119" i="2"/>
  <c r="E119" i="2" s="1"/>
  <c r="I118" i="2"/>
  <c r="F118" i="2"/>
  <c r="K118" i="2" s="1"/>
  <c r="E118" i="2"/>
  <c r="B118" i="2"/>
  <c r="I117" i="2"/>
  <c r="F117" i="2"/>
  <c r="B117" i="2"/>
  <c r="E117" i="2" s="1"/>
  <c r="K116" i="2"/>
  <c r="I116" i="2"/>
  <c r="F116" i="2"/>
  <c r="B116" i="2"/>
  <c r="E116" i="2" s="1"/>
  <c r="K115" i="2"/>
  <c r="I115" i="2"/>
  <c r="F115" i="2"/>
  <c r="E115" i="2"/>
  <c r="B115" i="2"/>
  <c r="I114" i="2"/>
  <c r="F114" i="2"/>
  <c r="B114" i="2"/>
  <c r="E114" i="2" s="1"/>
  <c r="K113" i="2"/>
  <c r="I113" i="2"/>
  <c r="F113" i="2"/>
  <c r="E113" i="2"/>
  <c r="B113" i="2"/>
  <c r="I112" i="2"/>
  <c r="F112" i="2"/>
  <c r="B112" i="2"/>
  <c r="E112" i="2" s="1"/>
  <c r="K111" i="2"/>
  <c r="I111" i="2"/>
  <c r="F111" i="2"/>
  <c r="B111" i="2"/>
  <c r="E111" i="2" s="1"/>
  <c r="I110" i="2"/>
  <c r="F110" i="2"/>
  <c r="B110" i="2"/>
  <c r="E110" i="2" s="1"/>
  <c r="K109" i="2"/>
  <c r="I109" i="2"/>
  <c r="F109" i="2"/>
  <c r="B109" i="2"/>
  <c r="E109" i="2" s="1"/>
  <c r="I108" i="2"/>
  <c r="K108" i="2" s="1"/>
  <c r="F108" i="2"/>
  <c r="B108" i="2"/>
  <c r="E108" i="2" s="1"/>
  <c r="K107" i="2"/>
  <c r="I107" i="2"/>
  <c r="F107" i="2"/>
  <c r="E107" i="2"/>
  <c r="B107" i="2"/>
  <c r="I106" i="2"/>
  <c r="F106" i="2"/>
  <c r="B106" i="2"/>
  <c r="E106" i="2" s="1"/>
  <c r="K105" i="2"/>
  <c r="I105" i="2"/>
  <c r="F105" i="2"/>
  <c r="E105" i="2"/>
  <c r="B105" i="2"/>
  <c r="I104" i="2"/>
  <c r="F104" i="2"/>
  <c r="B104" i="2"/>
  <c r="E104" i="2" s="1"/>
  <c r="K103" i="2"/>
  <c r="I103" i="2"/>
  <c r="F103" i="2"/>
  <c r="B103" i="2"/>
  <c r="E103" i="2" s="1"/>
  <c r="I102" i="2"/>
  <c r="F102" i="2"/>
  <c r="B102" i="2"/>
  <c r="E102" i="2" s="1"/>
  <c r="K101" i="2"/>
  <c r="I101" i="2"/>
  <c r="F101" i="2"/>
  <c r="B101" i="2"/>
  <c r="E101" i="2" s="1"/>
  <c r="I100" i="2"/>
  <c r="K100" i="2" s="1"/>
  <c r="F100" i="2"/>
  <c r="B100" i="2"/>
  <c r="E100" i="2" s="1"/>
  <c r="K99" i="2"/>
  <c r="I99" i="2"/>
  <c r="F99" i="2"/>
  <c r="E99" i="2"/>
  <c r="B99" i="2"/>
  <c r="I98" i="2"/>
  <c r="F98" i="2"/>
  <c r="B98" i="2"/>
  <c r="E98" i="2" s="1"/>
  <c r="K97" i="2"/>
  <c r="I97" i="2"/>
  <c r="F97" i="2"/>
  <c r="E97" i="2"/>
  <c r="B97" i="2"/>
  <c r="I96" i="2"/>
  <c r="F96" i="2"/>
  <c r="B96" i="2"/>
  <c r="E96" i="2" s="1"/>
  <c r="K95" i="2"/>
  <c r="I95" i="2"/>
  <c r="F95" i="2"/>
  <c r="B95" i="2"/>
  <c r="E95" i="2" s="1"/>
  <c r="I94" i="2"/>
  <c r="F94" i="2"/>
  <c r="B94" i="2"/>
  <c r="E94" i="2" s="1"/>
  <c r="K93" i="2"/>
  <c r="I93" i="2"/>
  <c r="F93" i="2"/>
  <c r="B93" i="2"/>
  <c r="E93" i="2" s="1"/>
  <c r="I92" i="2"/>
  <c r="K92" i="2" s="1"/>
  <c r="F92" i="2"/>
  <c r="B92" i="2"/>
  <c r="E92" i="2" s="1"/>
  <c r="K91" i="2"/>
  <c r="I91" i="2"/>
  <c r="F91" i="2"/>
  <c r="E91" i="2"/>
  <c r="B91" i="2"/>
  <c r="I90" i="2"/>
  <c r="F90" i="2"/>
  <c r="B90" i="2"/>
  <c r="E90" i="2" s="1"/>
  <c r="K89" i="2"/>
  <c r="I89" i="2"/>
  <c r="F89" i="2"/>
  <c r="E89" i="2"/>
  <c r="B89" i="2"/>
  <c r="I88" i="2"/>
  <c r="F88" i="2"/>
  <c r="B88" i="2"/>
  <c r="E88" i="2" s="1"/>
  <c r="K87" i="2"/>
  <c r="I87" i="2"/>
  <c r="F87" i="2"/>
  <c r="B87" i="2"/>
  <c r="E87" i="2" s="1"/>
  <c r="I86" i="2"/>
  <c r="F86" i="2"/>
  <c r="B86" i="2"/>
  <c r="E86" i="2" s="1"/>
  <c r="K85" i="2"/>
  <c r="I85" i="2"/>
  <c r="F85" i="2"/>
  <c r="B85" i="2"/>
  <c r="E85" i="2" s="1"/>
  <c r="I84" i="2"/>
  <c r="K84" i="2" s="1"/>
  <c r="F84" i="2"/>
  <c r="B84" i="2"/>
  <c r="E84" i="2" s="1"/>
  <c r="K83" i="2"/>
  <c r="I83" i="2"/>
  <c r="F83" i="2"/>
  <c r="E83" i="2"/>
  <c r="B83" i="2"/>
  <c r="I82" i="2"/>
  <c r="F82" i="2"/>
  <c r="B82" i="2"/>
  <c r="E82" i="2" s="1"/>
  <c r="K81" i="2"/>
  <c r="I81" i="2"/>
  <c r="F81" i="2"/>
  <c r="E81" i="2"/>
  <c r="B81" i="2"/>
  <c r="I80" i="2"/>
  <c r="F80" i="2"/>
  <c r="B80" i="2"/>
  <c r="E80" i="2" s="1"/>
  <c r="K79" i="2"/>
  <c r="I79" i="2"/>
  <c r="F79" i="2"/>
  <c r="B79" i="2"/>
  <c r="E79" i="2" s="1"/>
  <c r="I78" i="2"/>
  <c r="F78" i="2"/>
  <c r="B78" i="2"/>
  <c r="E78" i="2" s="1"/>
  <c r="K77" i="2"/>
  <c r="I77" i="2"/>
  <c r="F77" i="2"/>
  <c r="B77" i="2"/>
  <c r="E77" i="2" s="1"/>
  <c r="I76" i="2"/>
  <c r="K76" i="2" s="1"/>
  <c r="F76" i="2"/>
  <c r="B76" i="2"/>
  <c r="E76" i="2" s="1"/>
  <c r="K75" i="2"/>
  <c r="I75" i="2"/>
  <c r="F75" i="2"/>
  <c r="E75" i="2"/>
  <c r="B75" i="2"/>
  <c r="I74" i="2"/>
  <c r="F74" i="2"/>
  <c r="B74" i="2"/>
  <c r="E74" i="2" s="1"/>
  <c r="K73" i="2"/>
  <c r="I73" i="2"/>
  <c r="F73" i="2"/>
  <c r="E73" i="2"/>
  <c r="B73" i="2"/>
  <c r="I72" i="2"/>
  <c r="F72" i="2"/>
  <c r="B72" i="2"/>
  <c r="E72" i="2" s="1"/>
  <c r="K71" i="2"/>
  <c r="I71" i="2"/>
  <c r="F71" i="2"/>
  <c r="B71" i="2"/>
  <c r="E71" i="2" s="1"/>
  <c r="I70" i="2"/>
  <c r="F70" i="2"/>
  <c r="B70" i="2"/>
  <c r="E70" i="2" s="1"/>
  <c r="K69" i="2"/>
  <c r="I69" i="2"/>
  <c r="F69" i="2"/>
  <c r="B69" i="2"/>
  <c r="E69" i="2" s="1"/>
  <c r="I68" i="2"/>
  <c r="K68" i="2" s="1"/>
  <c r="F68" i="2"/>
  <c r="B68" i="2"/>
  <c r="E68" i="2" s="1"/>
  <c r="K67" i="2"/>
  <c r="I67" i="2"/>
  <c r="F67" i="2"/>
  <c r="E67" i="2"/>
  <c r="B67" i="2"/>
  <c r="I66" i="2"/>
  <c r="F66" i="2"/>
  <c r="B66" i="2"/>
  <c r="E66" i="2" s="1"/>
  <c r="K65" i="2"/>
  <c r="I65" i="2"/>
  <c r="F65" i="2"/>
  <c r="E65" i="2"/>
  <c r="B65" i="2"/>
  <c r="I64" i="2"/>
  <c r="F64" i="2"/>
  <c r="B64" i="2"/>
  <c r="E64" i="2" s="1"/>
  <c r="I63" i="2"/>
  <c r="F63" i="2"/>
  <c r="K63" i="2" s="1"/>
  <c r="B63" i="2"/>
  <c r="E63" i="2" s="1"/>
  <c r="I62" i="2"/>
  <c r="K62" i="2" s="1"/>
  <c r="F62" i="2"/>
  <c r="B62" i="2"/>
  <c r="E62" i="2" s="1"/>
  <c r="K61" i="2"/>
  <c r="I61" i="2"/>
  <c r="F61" i="2"/>
  <c r="B61" i="2"/>
  <c r="E61" i="2" s="1"/>
  <c r="I60" i="2"/>
  <c r="F60" i="2"/>
  <c r="B60" i="2"/>
  <c r="E60" i="2" s="1"/>
  <c r="I59" i="2"/>
  <c r="F59" i="2"/>
  <c r="K59" i="2" s="1"/>
  <c r="B59" i="2"/>
  <c r="E59" i="2" s="1"/>
  <c r="I58" i="2"/>
  <c r="K58" i="2" s="1"/>
  <c r="F58" i="2"/>
  <c r="B58" i="2"/>
  <c r="E58" i="2" s="1"/>
  <c r="K57" i="2"/>
  <c r="I57" i="2"/>
  <c r="F57" i="2"/>
  <c r="B57" i="2"/>
  <c r="E57" i="2" s="1"/>
  <c r="I56" i="2"/>
  <c r="F56" i="2"/>
  <c r="B56" i="2"/>
  <c r="E56" i="2" s="1"/>
  <c r="I55" i="2"/>
  <c r="F55" i="2"/>
  <c r="K55" i="2" s="1"/>
  <c r="B55" i="2"/>
  <c r="E55" i="2" s="1"/>
  <c r="I54" i="2"/>
  <c r="K54" i="2" s="1"/>
  <c r="F54" i="2"/>
  <c r="B54" i="2"/>
  <c r="E54" i="2" s="1"/>
  <c r="K53" i="2"/>
  <c r="I53" i="2"/>
  <c r="F53" i="2"/>
  <c r="B53" i="2"/>
  <c r="E53" i="2" s="1"/>
  <c r="I52" i="2"/>
  <c r="F52" i="2"/>
  <c r="B52" i="2"/>
  <c r="E52" i="2" s="1"/>
  <c r="I51" i="2"/>
  <c r="F51" i="2"/>
  <c r="K51" i="2" s="1"/>
  <c r="B51" i="2"/>
  <c r="E51" i="2" s="1"/>
  <c r="I50" i="2"/>
  <c r="K50" i="2" s="1"/>
  <c r="F50" i="2"/>
  <c r="B50" i="2"/>
  <c r="E50" i="2" s="1"/>
  <c r="K49" i="2"/>
  <c r="I49" i="2"/>
  <c r="F49" i="2"/>
  <c r="B49" i="2"/>
  <c r="E49" i="2" s="1"/>
  <c r="I48" i="2"/>
  <c r="F48" i="2"/>
  <c r="B48" i="2"/>
  <c r="E48" i="2" s="1"/>
  <c r="I47" i="2"/>
  <c r="F47" i="2"/>
  <c r="K47" i="2" s="1"/>
  <c r="B47" i="2"/>
  <c r="E47" i="2" s="1"/>
  <c r="I46" i="2"/>
  <c r="K46" i="2" s="1"/>
  <c r="F46" i="2"/>
  <c r="B46" i="2"/>
  <c r="E46" i="2" s="1"/>
  <c r="K45" i="2"/>
  <c r="I45" i="2"/>
  <c r="F45" i="2"/>
  <c r="B45" i="2"/>
  <c r="E45" i="2" s="1"/>
  <c r="I44" i="2"/>
  <c r="F44" i="2"/>
  <c r="B44" i="2"/>
  <c r="E44" i="2" s="1"/>
  <c r="I43" i="2"/>
  <c r="F43" i="2"/>
  <c r="K43" i="2" s="1"/>
  <c r="B43" i="2"/>
  <c r="E43" i="2" s="1"/>
  <c r="I42" i="2"/>
  <c r="K42" i="2" s="1"/>
  <c r="F42" i="2"/>
  <c r="B42" i="2"/>
  <c r="E42" i="2" s="1"/>
  <c r="K41" i="2"/>
  <c r="I41" i="2"/>
  <c r="F41" i="2"/>
  <c r="B41" i="2"/>
  <c r="E41" i="2" s="1"/>
  <c r="I40" i="2"/>
  <c r="F40" i="2"/>
  <c r="B40" i="2"/>
  <c r="E40" i="2" s="1"/>
  <c r="I39" i="2"/>
  <c r="F39" i="2"/>
  <c r="K39" i="2" s="1"/>
  <c r="B39" i="2"/>
  <c r="E39" i="2" s="1"/>
  <c r="I38" i="2"/>
  <c r="K38" i="2" s="1"/>
  <c r="F38" i="2"/>
  <c r="B38" i="2"/>
  <c r="E38" i="2" s="1"/>
  <c r="K37" i="2"/>
  <c r="I37" i="2"/>
  <c r="F37" i="2"/>
  <c r="B37" i="2"/>
  <c r="E37" i="2" s="1"/>
  <c r="I36" i="2"/>
  <c r="F36" i="2"/>
  <c r="B36" i="2"/>
  <c r="E36" i="2" s="1"/>
  <c r="I35" i="2"/>
  <c r="F35" i="2"/>
  <c r="K35" i="2" s="1"/>
  <c r="B35" i="2"/>
  <c r="E35" i="2" s="1"/>
  <c r="I34" i="2"/>
  <c r="K34" i="2" s="1"/>
  <c r="F34" i="2"/>
  <c r="B34" i="2"/>
  <c r="E34" i="2" s="1"/>
  <c r="K33" i="2"/>
  <c r="I33" i="2"/>
  <c r="F33" i="2"/>
  <c r="B33" i="2"/>
  <c r="E33" i="2" s="1"/>
  <c r="I32" i="2"/>
  <c r="F32" i="2"/>
  <c r="B32" i="2"/>
  <c r="E32" i="2" s="1"/>
  <c r="I31" i="2"/>
  <c r="F31" i="2"/>
  <c r="K31" i="2" s="1"/>
  <c r="B31" i="2"/>
  <c r="E31" i="2" s="1"/>
  <c r="I30" i="2"/>
  <c r="K30" i="2" s="1"/>
  <c r="F30" i="2"/>
  <c r="B30" i="2"/>
  <c r="E30" i="2" s="1"/>
  <c r="K29" i="2"/>
  <c r="I29" i="2"/>
  <c r="F29" i="2"/>
  <c r="B29" i="2"/>
  <c r="E29" i="2" s="1"/>
  <c r="I28" i="2"/>
  <c r="F28" i="2"/>
  <c r="B28" i="2"/>
  <c r="E28" i="2" s="1"/>
  <c r="I27" i="2"/>
  <c r="F27" i="2"/>
  <c r="K27" i="2" s="1"/>
  <c r="B27" i="2"/>
  <c r="E27" i="2" s="1"/>
  <c r="I26" i="2"/>
  <c r="K26" i="2" s="1"/>
  <c r="F26" i="2"/>
  <c r="B26" i="2"/>
  <c r="E26" i="2" s="1"/>
  <c r="K25" i="2"/>
  <c r="I25" i="2"/>
  <c r="F25" i="2"/>
  <c r="B25" i="2"/>
  <c r="E25" i="2" s="1"/>
  <c r="I24" i="2"/>
  <c r="F24" i="2"/>
  <c r="B24" i="2"/>
  <c r="E24" i="2" s="1"/>
  <c r="I23" i="2"/>
  <c r="F23" i="2"/>
  <c r="K23" i="2" s="1"/>
  <c r="B23" i="2"/>
  <c r="E23" i="2" s="1"/>
  <c r="I22" i="2"/>
  <c r="K22" i="2" s="1"/>
  <c r="F22" i="2"/>
  <c r="B22" i="2"/>
  <c r="E22" i="2" s="1"/>
  <c r="K21" i="2"/>
  <c r="I21" i="2"/>
  <c r="F21" i="2"/>
  <c r="B21" i="2"/>
  <c r="E21" i="2" s="1"/>
  <c r="I20" i="2"/>
  <c r="F20" i="2"/>
  <c r="B20" i="2"/>
  <c r="E20" i="2" s="1"/>
  <c r="I19" i="2"/>
  <c r="F19" i="2"/>
  <c r="K19" i="2" s="1"/>
  <c r="B19" i="2"/>
  <c r="E19" i="2" s="1"/>
  <c r="I18" i="2"/>
  <c r="K18" i="2" s="1"/>
  <c r="F18" i="2"/>
  <c r="B18" i="2"/>
  <c r="E18" i="2" s="1"/>
  <c r="K17" i="2"/>
  <c r="I17" i="2"/>
  <c r="F17" i="2"/>
  <c r="B17" i="2"/>
  <c r="E17" i="2" s="1"/>
  <c r="I16" i="2"/>
  <c r="F16" i="2"/>
  <c r="B16" i="2"/>
  <c r="E16" i="2" s="1"/>
  <c r="I15" i="2"/>
  <c r="F15" i="2"/>
  <c r="K15" i="2" s="1"/>
  <c r="B15" i="2"/>
  <c r="E15" i="2" s="1"/>
  <c r="I14" i="2"/>
  <c r="K14" i="2" s="1"/>
  <c r="F14" i="2"/>
  <c r="B14" i="2"/>
  <c r="E14" i="2" s="1"/>
  <c r="K13" i="2"/>
  <c r="I13" i="2"/>
  <c r="F13" i="2"/>
  <c r="B13" i="2"/>
  <c r="E13" i="2" s="1"/>
  <c r="I12" i="2"/>
  <c r="F12" i="2"/>
  <c r="B12" i="2"/>
  <c r="E12" i="2" s="1"/>
  <c r="I11" i="2"/>
  <c r="F11" i="2"/>
  <c r="K11" i="2" s="1"/>
  <c r="B11" i="2"/>
  <c r="E11" i="2" s="1"/>
  <c r="I10" i="2"/>
  <c r="K10" i="2" s="1"/>
  <c r="F10" i="2"/>
  <c r="B10" i="2"/>
  <c r="E10" i="2" s="1"/>
  <c r="K9" i="2"/>
  <c r="I9" i="2"/>
  <c r="F9" i="2"/>
  <c r="B9" i="2"/>
  <c r="E9" i="2" s="1"/>
  <c r="I8" i="2"/>
  <c r="F8" i="2"/>
  <c r="B8" i="2"/>
  <c r="E8" i="2" s="1"/>
  <c r="I7" i="2"/>
  <c r="F7" i="2"/>
  <c r="K7" i="2" s="1"/>
  <c r="B7" i="2"/>
  <c r="E7" i="2" s="1"/>
  <c r="I6" i="2"/>
  <c r="K6" i="2" s="1"/>
  <c r="F6" i="2"/>
  <c r="B6" i="2"/>
  <c r="E6" i="2" s="1"/>
  <c r="K5" i="2"/>
  <c r="I5" i="2"/>
  <c r="F5" i="2"/>
  <c r="B5" i="2"/>
  <c r="E5" i="2" s="1"/>
  <c r="I4" i="2"/>
  <c r="F4" i="2"/>
  <c r="B4" i="2"/>
  <c r="E4" i="2" s="1"/>
  <c r="I3" i="2"/>
  <c r="F3" i="2"/>
  <c r="K3" i="2" s="1"/>
  <c r="B3" i="2"/>
  <c r="E3" i="2" s="1"/>
  <c r="I2" i="2"/>
  <c r="K2" i="2" s="1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H302" i="1"/>
  <c r="G302" i="1"/>
  <c r="F302" i="1"/>
  <c r="J302" i="1" s="1"/>
  <c r="M302" i="1" s="1"/>
  <c r="C302" i="1"/>
  <c r="O301" i="1"/>
  <c r="N301" i="1"/>
  <c r="H301" i="1"/>
  <c r="G301" i="1"/>
  <c r="F301" i="1"/>
  <c r="J301" i="1" s="1"/>
  <c r="M301" i="1" s="1"/>
  <c r="C301" i="1"/>
  <c r="O300" i="1"/>
  <c r="N300" i="1"/>
  <c r="J300" i="1"/>
  <c r="M300" i="1" s="1"/>
  <c r="H300" i="1"/>
  <c r="G300" i="1"/>
  <c r="F300" i="1"/>
  <c r="C300" i="1"/>
  <c r="O299" i="1"/>
  <c r="N299" i="1"/>
  <c r="H299" i="1"/>
  <c r="G299" i="1"/>
  <c r="F299" i="1"/>
  <c r="J299" i="1" s="1"/>
  <c r="M299" i="1" s="1"/>
  <c r="C299" i="1"/>
  <c r="O298" i="1"/>
  <c r="N298" i="1"/>
  <c r="H298" i="1"/>
  <c r="G298" i="1"/>
  <c r="F298" i="1"/>
  <c r="J298" i="1" s="1"/>
  <c r="M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J296" i="1"/>
  <c r="M296" i="1" s="1"/>
  <c r="H296" i="1"/>
  <c r="G296" i="1"/>
  <c r="F296" i="1"/>
  <c r="C296" i="1"/>
  <c r="O295" i="1"/>
  <c r="N295" i="1"/>
  <c r="H295" i="1"/>
  <c r="G295" i="1"/>
  <c r="F295" i="1"/>
  <c r="J295" i="1" s="1"/>
  <c r="M295" i="1" s="1"/>
  <c r="C295" i="1"/>
  <c r="O294" i="1"/>
  <c r="N294" i="1"/>
  <c r="H294" i="1"/>
  <c r="G294" i="1"/>
  <c r="F294" i="1"/>
  <c r="J294" i="1" s="1"/>
  <c r="M294" i="1" s="1"/>
  <c r="C294" i="1"/>
  <c r="O293" i="1"/>
  <c r="N293" i="1"/>
  <c r="H293" i="1"/>
  <c r="G293" i="1"/>
  <c r="F293" i="1"/>
  <c r="J293" i="1" s="1"/>
  <c r="M293" i="1" s="1"/>
  <c r="C293" i="1"/>
  <c r="O292" i="1"/>
  <c r="N292" i="1"/>
  <c r="J292" i="1"/>
  <c r="M292" i="1" s="1"/>
  <c r="H292" i="1"/>
  <c r="G292" i="1"/>
  <c r="F292" i="1"/>
  <c r="C292" i="1"/>
  <c r="O291" i="1"/>
  <c r="N291" i="1"/>
  <c r="H291" i="1"/>
  <c r="G291" i="1"/>
  <c r="F291" i="1"/>
  <c r="J291" i="1" s="1"/>
  <c r="M291" i="1" s="1"/>
  <c r="C291" i="1"/>
  <c r="O290" i="1"/>
  <c r="N290" i="1"/>
  <c r="H290" i="1"/>
  <c r="G290" i="1"/>
  <c r="F290" i="1"/>
  <c r="J290" i="1" s="1"/>
  <c r="M290" i="1" s="1"/>
  <c r="C290" i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H288" i="1"/>
  <c r="G288" i="1"/>
  <c r="F288" i="1"/>
  <c r="C288" i="1"/>
  <c r="O287" i="1"/>
  <c r="N287" i="1"/>
  <c r="H287" i="1"/>
  <c r="G287" i="1"/>
  <c r="F287" i="1"/>
  <c r="J287" i="1" s="1"/>
  <c r="M287" i="1" s="1"/>
  <c r="C287" i="1"/>
  <c r="O286" i="1"/>
  <c r="N286" i="1"/>
  <c r="H286" i="1"/>
  <c r="G286" i="1"/>
  <c r="F286" i="1"/>
  <c r="J286" i="1" s="1"/>
  <c r="M286" i="1" s="1"/>
  <c r="C286" i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G284" i="1"/>
  <c r="F284" i="1"/>
  <c r="C284" i="1"/>
  <c r="H284" i="1" s="1"/>
  <c r="O283" i="1"/>
  <c r="N283" i="1"/>
  <c r="H283" i="1"/>
  <c r="G283" i="1"/>
  <c r="F283" i="1"/>
  <c r="J283" i="1" s="1"/>
  <c r="M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H280" i="1"/>
  <c r="G280" i="1"/>
  <c r="F280" i="1"/>
  <c r="C280" i="1"/>
  <c r="O279" i="1"/>
  <c r="N279" i="1"/>
  <c r="H279" i="1"/>
  <c r="G279" i="1"/>
  <c r="F279" i="1"/>
  <c r="J279" i="1" s="1"/>
  <c r="M279" i="1" s="1"/>
  <c r="C279" i="1"/>
  <c r="O278" i="1"/>
  <c r="N278" i="1"/>
  <c r="H278" i="1"/>
  <c r="G278" i="1"/>
  <c r="F278" i="1"/>
  <c r="J278" i="1" s="1"/>
  <c r="M278" i="1" s="1"/>
  <c r="C278" i="1"/>
  <c r="O277" i="1"/>
  <c r="N277" i="1"/>
  <c r="J277" i="1"/>
  <c r="M277" i="1" s="1"/>
  <c r="G277" i="1"/>
  <c r="F277" i="1"/>
  <c r="C277" i="1"/>
  <c r="H277" i="1" s="1"/>
  <c r="O276" i="1"/>
  <c r="N276" i="1"/>
  <c r="M276" i="1"/>
  <c r="H276" i="1"/>
  <c r="G276" i="1"/>
  <c r="F276" i="1"/>
  <c r="J276" i="1" s="1"/>
  <c r="C276" i="1"/>
  <c r="O275" i="1"/>
  <c r="N275" i="1"/>
  <c r="J275" i="1"/>
  <c r="M275" i="1" s="1"/>
  <c r="G275" i="1"/>
  <c r="F275" i="1"/>
  <c r="C275" i="1"/>
  <c r="H275" i="1" s="1"/>
  <c r="O274" i="1"/>
  <c r="N274" i="1"/>
  <c r="M274" i="1"/>
  <c r="H274" i="1"/>
  <c r="G274" i="1"/>
  <c r="F274" i="1"/>
  <c r="J274" i="1" s="1"/>
  <c r="C274" i="1"/>
  <c r="O273" i="1"/>
  <c r="N273" i="1"/>
  <c r="J273" i="1"/>
  <c r="M273" i="1" s="1"/>
  <c r="G273" i="1"/>
  <c r="F273" i="1"/>
  <c r="C273" i="1"/>
  <c r="H273" i="1" s="1"/>
  <c r="O272" i="1"/>
  <c r="N272" i="1"/>
  <c r="H272" i="1"/>
  <c r="G272" i="1"/>
  <c r="F272" i="1"/>
  <c r="J272" i="1" s="1"/>
  <c r="M272" i="1" s="1"/>
  <c r="C272" i="1"/>
  <c r="O271" i="1"/>
  <c r="N271" i="1"/>
  <c r="J271" i="1"/>
  <c r="M271" i="1" s="1"/>
  <c r="G271" i="1"/>
  <c r="F271" i="1"/>
  <c r="C271" i="1"/>
  <c r="H271" i="1" s="1"/>
  <c r="O270" i="1"/>
  <c r="N270" i="1"/>
  <c r="H270" i="1"/>
  <c r="G270" i="1"/>
  <c r="F270" i="1"/>
  <c r="J270" i="1" s="1"/>
  <c r="M270" i="1" s="1"/>
  <c r="C270" i="1"/>
  <c r="O269" i="1"/>
  <c r="N269" i="1"/>
  <c r="J269" i="1"/>
  <c r="M269" i="1" s="1"/>
  <c r="G269" i="1"/>
  <c r="F269" i="1"/>
  <c r="C269" i="1"/>
  <c r="H269" i="1" s="1"/>
  <c r="O268" i="1"/>
  <c r="N268" i="1"/>
  <c r="M268" i="1"/>
  <c r="H268" i="1"/>
  <c r="G268" i="1"/>
  <c r="F268" i="1"/>
  <c r="J268" i="1" s="1"/>
  <c r="C268" i="1"/>
  <c r="O267" i="1"/>
  <c r="N267" i="1"/>
  <c r="J267" i="1"/>
  <c r="M267" i="1" s="1"/>
  <c r="G267" i="1"/>
  <c r="F267" i="1"/>
  <c r="C267" i="1"/>
  <c r="H267" i="1" s="1"/>
  <c r="O266" i="1"/>
  <c r="N266" i="1"/>
  <c r="M266" i="1"/>
  <c r="H266" i="1"/>
  <c r="G266" i="1"/>
  <c r="F266" i="1"/>
  <c r="J266" i="1" s="1"/>
  <c r="C266" i="1"/>
  <c r="O265" i="1"/>
  <c r="N265" i="1"/>
  <c r="J265" i="1"/>
  <c r="M265" i="1" s="1"/>
  <c r="G265" i="1"/>
  <c r="F265" i="1"/>
  <c r="C265" i="1"/>
  <c r="H265" i="1" s="1"/>
  <c r="O264" i="1"/>
  <c r="N264" i="1"/>
  <c r="H264" i="1"/>
  <c r="G264" i="1"/>
  <c r="F264" i="1"/>
  <c r="J264" i="1" s="1"/>
  <c r="M264" i="1" s="1"/>
  <c r="C264" i="1"/>
  <c r="O263" i="1"/>
  <c r="N263" i="1"/>
  <c r="J263" i="1"/>
  <c r="M263" i="1" s="1"/>
  <c r="G263" i="1"/>
  <c r="F263" i="1"/>
  <c r="C263" i="1"/>
  <c r="H263" i="1" s="1"/>
  <c r="O262" i="1"/>
  <c r="N262" i="1"/>
  <c r="H262" i="1"/>
  <c r="G262" i="1"/>
  <c r="F262" i="1"/>
  <c r="J262" i="1" s="1"/>
  <c r="M262" i="1" s="1"/>
  <c r="C262" i="1"/>
  <c r="O261" i="1"/>
  <c r="N261" i="1"/>
  <c r="J261" i="1"/>
  <c r="M261" i="1" s="1"/>
  <c r="G261" i="1"/>
  <c r="F261" i="1"/>
  <c r="C261" i="1"/>
  <c r="H261" i="1" s="1"/>
  <c r="O260" i="1"/>
  <c r="N260" i="1"/>
  <c r="M260" i="1"/>
  <c r="H260" i="1"/>
  <c r="G260" i="1"/>
  <c r="F260" i="1"/>
  <c r="J260" i="1" s="1"/>
  <c r="C260" i="1"/>
  <c r="O259" i="1"/>
  <c r="N259" i="1"/>
  <c r="J259" i="1"/>
  <c r="M259" i="1" s="1"/>
  <c r="G259" i="1"/>
  <c r="F259" i="1"/>
  <c r="C259" i="1"/>
  <c r="H259" i="1" s="1"/>
  <c r="O258" i="1"/>
  <c r="N258" i="1"/>
  <c r="M258" i="1"/>
  <c r="H258" i="1"/>
  <c r="G258" i="1"/>
  <c r="F258" i="1"/>
  <c r="J258" i="1" s="1"/>
  <c r="C258" i="1"/>
  <c r="O257" i="1"/>
  <c r="N257" i="1"/>
  <c r="J257" i="1"/>
  <c r="M257" i="1" s="1"/>
  <c r="G257" i="1"/>
  <c r="F257" i="1"/>
  <c r="C257" i="1"/>
  <c r="H257" i="1" s="1"/>
  <c r="O256" i="1"/>
  <c r="N256" i="1"/>
  <c r="H256" i="1"/>
  <c r="G256" i="1"/>
  <c r="F256" i="1"/>
  <c r="J256" i="1" s="1"/>
  <c r="M256" i="1" s="1"/>
  <c r="C256" i="1"/>
  <c r="O255" i="1"/>
  <c r="N255" i="1"/>
  <c r="J255" i="1"/>
  <c r="M255" i="1" s="1"/>
  <c r="G255" i="1"/>
  <c r="F255" i="1"/>
  <c r="C255" i="1"/>
  <c r="H255" i="1" s="1"/>
  <c r="O254" i="1"/>
  <c r="N254" i="1"/>
  <c r="H254" i="1"/>
  <c r="G254" i="1"/>
  <c r="F254" i="1"/>
  <c r="J254" i="1" s="1"/>
  <c r="M254" i="1" s="1"/>
  <c r="C254" i="1"/>
  <c r="O253" i="1"/>
  <c r="N253" i="1"/>
  <c r="J253" i="1"/>
  <c r="M253" i="1" s="1"/>
  <c r="H253" i="1"/>
  <c r="G253" i="1"/>
  <c r="F253" i="1"/>
  <c r="C253" i="1"/>
  <c r="O252" i="1"/>
  <c r="N252" i="1"/>
  <c r="H252" i="1"/>
  <c r="G252" i="1"/>
  <c r="F252" i="1"/>
  <c r="J252" i="1" s="1"/>
  <c r="M252" i="1" s="1"/>
  <c r="C252" i="1"/>
  <c r="O251" i="1"/>
  <c r="N251" i="1"/>
  <c r="G251" i="1"/>
  <c r="F251" i="1"/>
  <c r="J251" i="1" s="1"/>
  <c r="M251" i="1" s="1"/>
  <c r="C251" i="1"/>
  <c r="H251" i="1" s="1"/>
  <c r="O250" i="1"/>
  <c r="N250" i="1"/>
  <c r="M250" i="1"/>
  <c r="H250" i="1"/>
  <c r="G250" i="1"/>
  <c r="F250" i="1"/>
  <c r="J250" i="1" s="1"/>
  <c r="C250" i="1"/>
  <c r="O249" i="1"/>
  <c r="N249" i="1"/>
  <c r="J249" i="1"/>
  <c r="M249" i="1" s="1"/>
  <c r="H249" i="1"/>
  <c r="G249" i="1"/>
  <c r="F249" i="1"/>
  <c r="C249" i="1"/>
  <c r="O248" i="1"/>
  <c r="N248" i="1"/>
  <c r="H248" i="1"/>
  <c r="G248" i="1"/>
  <c r="F248" i="1"/>
  <c r="J248" i="1" s="1"/>
  <c r="M248" i="1" s="1"/>
  <c r="C248" i="1"/>
  <c r="O247" i="1"/>
  <c r="N247" i="1"/>
  <c r="J247" i="1"/>
  <c r="M247" i="1" s="1"/>
  <c r="G247" i="1"/>
  <c r="F247" i="1"/>
  <c r="C247" i="1"/>
  <c r="H247" i="1" s="1"/>
  <c r="O246" i="1"/>
  <c r="N246" i="1"/>
  <c r="H246" i="1"/>
  <c r="G246" i="1"/>
  <c r="F246" i="1"/>
  <c r="J246" i="1" s="1"/>
  <c r="M246" i="1" s="1"/>
  <c r="C246" i="1"/>
  <c r="O245" i="1"/>
  <c r="N245" i="1"/>
  <c r="J245" i="1"/>
  <c r="M245" i="1" s="1"/>
  <c r="H245" i="1"/>
  <c r="G245" i="1"/>
  <c r="F245" i="1"/>
  <c r="C245" i="1"/>
  <c r="O244" i="1"/>
  <c r="N244" i="1"/>
  <c r="H244" i="1"/>
  <c r="G244" i="1"/>
  <c r="F244" i="1"/>
  <c r="J244" i="1" s="1"/>
  <c r="M244" i="1" s="1"/>
  <c r="C244" i="1"/>
  <c r="O243" i="1"/>
  <c r="N243" i="1"/>
  <c r="G243" i="1"/>
  <c r="F243" i="1"/>
  <c r="J243" i="1" s="1"/>
  <c r="M243" i="1" s="1"/>
  <c r="C243" i="1"/>
  <c r="H243" i="1" s="1"/>
  <c r="O242" i="1"/>
  <c r="N242" i="1"/>
  <c r="M242" i="1"/>
  <c r="H242" i="1"/>
  <c r="G242" i="1"/>
  <c r="F242" i="1"/>
  <c r="J242" i="1" s="1"/>
  <c r="C242" i="1"/>
  <c r="O241" i="1"/>
  <c r="N241" i="1"/>
  <c r="J241" i="1"/>
  <c r="M241" i="1" s="1"/>
  <c r="H241" i="1"/>
  <c r="G241" i="1"/>
  <c r="F241" i="1"/>
  <c r="C241" i="1"/>
  <c r="O240" i="1"/>
  <c r="N240" i="1"/>
  <c r="H240" i="1"/>
  <c r="G240" i="1"/>
  <c r="F240" i="1"/>
  <c r="J240" i="1" s="1"/>
  <c r="M240" i="1" s="1"/>
  <c r="C240" i="1"/>
  <c r="O239" i="1"/>
  <c r="N239" i="1"/>
  <c r="J239" i="1"/>
  <c r="M239" i="1" s="1"/>
  <c r="G239" i="1"/>
  <c r="F239" i="1"/>
  <c r="C239" i="1"/>
  <c r="H239" i="1" s="1"/>
  <c r="O238" i="1"/>
  <c r="N238" i="1"/>
  <c r="H238" i="1"/>
  <c r="G238" i="1"/>
  <c r="F238" i="1"/>
  <c r="J238" i="1" s="1"/>
  <c r="M238" i="1" s="1"/>
  <c r="C238" i="1"/>
  <c r="O237" i="1"/>
  <c r="N237" i="1"/>
  <c r="J237" i="1"/>
  <c r="M237" i="1" s="1"/>
  <c r="H237" i="1"/>
  <c r="G237" i="1"/>
  <c r="F237" i="1"/>
  <c r="C237" i="1"/>
  <c r="O236" i="1"/>
  <c r="N236" i="1"/>
  <c r="H236" i="1"/>
  <c r="G236" i="1"/>
  <c r="F236" i="1"/>
  <c r="J236" i="1" s="1"/>
  <c r="M236" i="1" s="1"/>
  <c r="C236" i="1"/>
  <c r="O235" i="1"/>
  <c r="N235" i="1"/>
  <c r="G235" i="1"/>
  <c r="F235" i="1"/>
  <c r="J235" i="1" s="1"/>
  <c r="M235" i="1" s="1"/>
  <c r="C235" i="1"/>
  <c r="H235" i="1" s="1"/>
  <c r="O234" i="1"/>
  <c r="N234" i="1"/>
  <c r="M234" i="1"/>
  <c r="H234" i="1"/>
  <c r="G234" i="1"/>
  <c r="F234" i="1"/>
  <c r="J234" i="1" s="1"/>
  <c r="C234" i="1"/>
  <c r="O233" i="1"/>
  <c r="N233" i="1"/>
  <c r="J233" i="1"/>
  <c r="M233" i="1" s="1"/>
  <c r="H233" i="1"/>
  <c r="G233" i="1"/>
  <c r="F233" i="1"/>
  <c r="C233" i="1"/>
  <c r="O232" i="1"/>
  <c r="N232" i="1"/>
  <c r="H232" i="1"/>
  <c r="G232" i="1"/>
  <c r="F232" i="1"/>
  <c r="J232" i="1" s="1"/>
  <c r="M232" i="1" s="1"/>
  <c r="C232" i="1"/>
  <c r="O231" i="1"/>
  <c r="N231" i="1"/>
  <c r="J231" i="1"/>
  <c r="M231" i="1" s="1"/>
  <c r="G231" i="1"/>
  <c r="F231" i="1"/>
  <c r="C231" i="1"/>
  <c r="H231" i="1" s="1"/>
  <c r="O230" i="1"/>
  <c r="N230" i="1"/>
  <c r="H230" i="1"/>
  <c r="G230" i="1"/>
  <c r="F230" i="1"/>
  <c r="J230" i="1" s="1"/>
  <c r="M230" i="1" s="1"/>
  <c r="C230" i="1"/>
  <c r="O229" i="1"/>
  <c r="N229" i="1"/>
  <c r="J229" i="1"/>
  <c r="M229" i="1" s="1"/>
  <c r="H229" i="1"/>
  <c r="G229" i="1"/>
  <c r="F229" i="1"/>
  <c r="C229" i="1"/>
  <c r="O228" i="1"/>
  <c r="N228" i="1"/>
  <c r="H228" i="1"/>
  <c r="G228" i="1"/>
  <c r="F228" i="1"/>
  <c r="J228" i="1" s="1"/>
  <c r="M228" i="1" s="1"/>
  <c r="C228" i="1"/>
  <c r="O227" i="1"/>
  <c r="N227" i="1"/>
  <c r="G227" i="1"/>
  <c r="F227" i="1"/>
  <c r="J227" i="1" s="1"/>
  <c r="M227" i="1" s="1"/>
  <c r="C227" i="1"/>
  <c r="H227" i="1" s="1"/>
  <c r="O226" i="1"/>
  <c r="N226" i="1"/>
  <c r="M226" i="1"/>
  <c r="H226" i="1"/>
  <c r="G226" i="1"/>
  <c r="F226" i="1"/>
  <c r="J226" i="1" s="1"/>
  <c r="C226" i="1"/>
  <c r="O225" i="1"/>
  <c r="N225" i="1"/>
  <c r="J225" i="1"/>
  <c r="M225" i="1" s="1"/>
  <c r="G225" i="1"/>
  <c r="F225" i="1"/>
  <c r="C225" i="1"/>
  <c r="H225" i="1" s="1"/>
  <c r="O224" i="1"/>
  <c r="N224" i="1"/>
  <c r="J224" i="1"/>
  <c r="M224" i="1" s="1"/>
  <c r="H224" i="1"/>
  <c r="G224" i="1"/>
  <c r="F224" i="1"/>
  <c r="C224" i="1"/>
  <c r="O223" i="1"/>
  <c r="N223" i="1"/>
  <c r="M223" i="1"/>
  <c r="G223" i="1"/>
  <c r="F223" i="1"/>
  <c r="J223" i="1" s="1"/>
  <c r="C223" i="1"/>
  <c r="H223" i="1" s="1"/>
  <c r="O222" i="1"/>
  <c r="N222" i="1"/>
  <c r="J222" i="1"/>
  <c r="M222" i="1" s="1"/>
  <c r="G222" i="1"/>
  <c r="F222" i="1"/>
  <c r="C222" i="1"/>
  <c r="H222" i="1" s="1"/>
  <c r="O221" i="1"/>
  <c r="N221" i="1"/>
  <c r="G221" i="1"/>
  <c r="F221" i="1"/>
  <c r="J221" i="1" s="1"/>
  <c r="M221" i="1" s="1"/>
  <c r="C221" i="1"/>
  <c r="H221" i="1" s="1"/>
  <c r="O220" i="1"/>
  <c r="N220" i="1"/>
  <c r="M220" i="1"/>
  <c r="J220" i="1"/>
  <c r="H220" i="1"/>
  <c r="G220" i="1"/>
  <c r="F220" i="1"/>
  <c r="C220" i="1"/>
  <c r="O219" i="1"/>
  <c r="N219" i="1"/>
  <c r="J219" i="1"/>
  <c r="M219" i="1" s="1"/>
  <c r="G219" i="1"/>
  <c r="F219" i="1"/>
  <c r="C219" i="1"/>
  <c r="H219" i="1" s="1"/>
  <c r="O218" i="1"/>
  <c r="N218" i="1"/>
  <c r="J218" i="1"/>
  <c r="M218" i="1" s="1"/>
  <c r="H218" i="1"/>
  <c r="G218" i="1"/>
  <c r="F218" i="1"/>
  <c r="C218" i="1"/>
  <c r="O217" i="1"/>
  <c r="N217" i="1"/>
  <c r="J217" i="1"/>
  <c r="M217" i="1" s="1"/>
  <c r="G217" i="1"/>
  <c r="F217" i="1"/>
  <c r="C217" i="1"/>
  <c r="H217" i="1" s="1"/>
  <c r="O216" i="1"/>
  <c r="N216" i="1"/>
  <c r="J216" i="1"/>
  <c r="M216" i="1" s="1"/>
  <c r="G216" i="1"/>
  <c r="F216" i="1"/>
  <c r="C216" i="1"/>
  <c r="H216" i="1" s="1"/>
  <c r="O215" i="1"/>
  <c r="N215" i="1"/>
  <c r="M215" i="1"/>
  <c r="G215" i="1"/>
  <c r="F215" i="1"/>
  <c r="J215" i="1" s="1"/>
  <c r="C215" i="1"/>
  <c r="H215" i="1" s="1"/>
  <c r="O214" i="1"/>
  <c r="N214" i="1"/>
  <c r="J214" i="1"/>
  <c r="M214" i="1" s="1"/>
  <c r="G214" i="1"/>
  <c r="F214" i="1"/>
  <c r="C214" i="1"/>
  <c r="H214" i="1" s="1"/>
  <c r="O213" i="1"/>
  <c r="N213" i="1"/>
  <c r="G213" i="1"/>
  <c r="F213" i="1"/>
  <c r="J213" i="1" s="1"/>
  <c r="M213" i="1" s="1"/>
  <c r="C213" i="1"/>
  <c r="H213" i="1" s="1"/>
  <c r="O212" i="1"/>
  <c r="N212" i="1"/>
  <c r="M212" i="1"/>
  <c r="J212" i="1"/>
  <c r="H212" i="1"/>
  <c r="G212" i="1"/>
  <c r="F212" i="1"/>
  <c r="C212" i="1"/>
  <c r="O211" i="1"/>
  <c r="N211" i="1"/>
  <c r="J211" i="1"/>
  <c r="M211" i="1" s="1"/>
  <c r="G211" i="1"/>
  <c r="F211" i="1"/>
  <c r="C211" i="1"/>
  <c r="H211" i="1" s="1"/>
  <c r="O210" i="1"/>
  <c r="N210" i="1"/>
  <c r="J210" i="1"/>
  <c r="M210" i="1" s="1"/>
  <c r="H210" i="1"/>
  <c r="G210" i="1"/>
  <c r="F210" i="1"/>
  <c r="C210" i="1"/>
  <c r="O209" i="1"/>
  <c r="N209" i="1"/>
  <c r="J209" i="1"/>
  <c r="M209" i="1" s="1"/>
  <c r="G209" i="1"/>
  <c r="F209" i="1"/>
  <c r="C209" i="1"/>
  <c r="H209" i="1" s="1"/>
  <c r="O208" i="1"/>
  <c r="N208" i="1"/>
  <c r="J208" i="1"/>
  <c r="M208" i="1" s="1"/>
  <c r="G208" i="1"/>
  <c r="F208" i="1"/>
  <c r="C208" i="1"/>
  <c r="H208" i="1" s="1"/>
  <c r="O207" i="1"/>
  <c r="N207" i="1"/>
  <c r="G207" i="1"/>
  <c r="F207" i="1"/>
  <c r="J207" i="1" s="1"/>
  <c r="M207" i="1" s="1"/>
  <c r="C207" i="1"/>
  <c r="H207" i="1" s="1"/>
  <c r="O206" i="1"/>
  <c r="N206" i="1"/>
  <c r="M206" i="1"/>
  <c r="J206" i="1"/>
  <c r="G206" i="1"/>
  <c r="F206" i="1"/>
  <c r="C206" i="1"/>
  <c r="H206" i="1" s="1"/>
  <c r="O205" i="1"/>
  <c r="N205" i="1"/>
  <c r="M205" i="1"/>
  <c r="G205" i="1"/>
  <c r="K205" i="1" s="1"/>
  <c r="F205" i="1"/>
  <c r="J205" i="1" s="1"/>
  <c r="C205" i="1"/>
  <c r="H205" i="1" s="1"/>
  <c r="O204" i="1"/>
  <c r="N204" i="1"/>
  <c r="M204" i="1"/>
  <c r="J204" i="1"/>
  <c r="H204" i="1"/>
  <c r="G204" i="1"/>
  <c r="K204" i="1" s="1"/>
  <c r="F204" i="1"/>
  <c r="C204" i="1"/>
  <c r="O203" i="1"/>
  <c r="N203" i="1"/>
  <c r="J203" i="1"/>
  <c r="M203" i="1" s="1"/>
  <c r="G203" i="1"/>
  <c r="F203" i="1"/>
  <c r="C203" i="1"/>
  <c r="H203" i="1" s="1"/>
  <c r="O202" i="1"/>
  <c r="N202" i="1"/>
  <c r="J202" i="1"/>
  <c r="M202" i="1" s="1"/>
  <c r="H202" i="1"/>
  <c r="G202" i="1"/>
  <c r="F202" i="1"/>
  <c r="C202" i="1"/>
  <c r="O201" i="1"/>
  <c r="N201" i="1"/>
  <c r="J201" i="1"/>
  <c r="M201" i="1" s="1"/>
  <c r="G201" i="1"/>
  <c r="F201" i="1"/>
  <c r="C201" i="1"/>
  <c r="H201" i="1" s="1"/>
  <c r="O200" i="1"/>
  <c r="N200" i="1"/>
  <c r="J200" i="1"/>
  <c r="M200" i="1" s="1"/>
  <c r="H200" i="1"/>
  <c r="G200" i="1"/>
  <c r="F200" i="1"/>
  <c r="C200" i="1"/>
  <c r="O199" i="1"/>
  <c r="N199" i="1"/>
  <c r="G199" i="1"/>
  <c r="F199" i="1"/>
  <c r="J199" i="1" s="1"/>
  <c r="M199" i="1" s="1"/>
  <c r="C199" i="1"/>
  <c r="H199" i="1" s="1"/>
  <c r="O198" i="1"/>
  <c r="N198" i="1"/>
  <c r="M198" i="1"/>
  <c r="J198" i="1"/>
  <c r="G198" i="1"/>
  <c r="F198" i="1"/>
  <c r="C198" i="1"/>
  <c r="H198" i="1" s="1"/>
  <c r="O197" i="1"/>
  <c r="N197" i="1"/>
  <c r="M197" i="1"/>
  <c r="G197" i="1"/>
  <c r="F197" i="1"/>
  <c r="J197" i="1" s="1"/>
  <c r="C197" i="1"/>
  <c r="H197" i="1" s="1"/>
  <c r="O196" i="1"/>
  <c r="N196" i="1"/>
  <c r="M196" i="1"/>
  <c r="J196" i="1"/>
  <c r="H196" i="1"/>
  <c r="G196" i="1"/>
  <c r="F196" i="1"/>
  <c r="C196" i="1"/>
  <c r="O195" i="1"/>
  <c r="N195" i="1"/>
  <c r="J195" i="1"/>
  <c r="M195" i="1" s="1"/>
  <c r="G195" i="1"/>
  <c r="F195" i="1"/>
  <c r="C195" i="1"/>
  <c r="H195" i="1" s="1"/>
  <c r="O194" i="1"/>
  <c r="N194" i="1"/>
  <c r="J194" i="1"/>
  <c r="M194" i="1" s="1"/>
  <c r="H194" i="1"/>
  <c r="G194" i="1"/>
  <c r="F194" i="1"/>
  <c r="C194" i="1"/>
  <c r="O193" i="1"/>
  <c r="N193" i="1"/>
  <c r="J193" i="1"/>
  <c r="M193" i="1" s="1"/>
  <c r="G193" i="1"/>
  <c r="F193" i="1"/>
  <c r="C193" i="1"/>
  <c r="H193" i="1" s="1"/>
  <c r="O192" i="1"/>
  <c r="N192" i="1"/>
  <c r="J192" i="1"/>
  <c r="M192" i="1" s="1"/>
  <c r="H192" i="1"/>
  <c r="G192" i="1"/>
  <c r="F192" i="1"/>
  <c r="C192" i="1"/>
  <c r="O191" i="1"/>
  <c r="N191" i="1"/>
  <c r="M191" i="1"/>
  <c r="G191" i="1"/>
  <c r="F191" i="1"/>
  <c r="J191" i="1" s="1"/>
  <c r="C191" i="1"/>
  <c r="H191" i="1" s="1"/>
  <c r="O190" i="1"/>
  <c r="N190" i="1"/>
  <c r="J190" i="1"/>
  <c r="M190" i="1" s="1"/>
  <c r="G190" i="1"/>
  <c r="F190" i="1"/>
  <c r="C190" i="1"/>
  <c r="H190" i="1" s="1"/>
  <c r="O189" i="1"/>
  <c r="N189" i="1"/>
  <c r="G189" i="1"/>
  <c r="F189" i="1"/>
  <c r="J189" i="1" s="1"/>
  <c r="M189" i="1" s="1"/>
  <c r="C189" i="1"/>
  <c r="H189" i="1" s="1"/>
  <c r="O188" i="1"/>
  <c r="N188" i="1"/>
  <c r="M188" i="1"/>
  <c r="J188" i="1"/>
  <c r="H188" i="1"/>
  <c r="G188" i="1"/>
  <c r="F188" i="1"/>
  <c r="C188" i="1"/>
  <c r="O187" i="1"/>
  <c r="N187" i="1"/>
  <c r="J187" i="1"/>
  <c r="M187" i="1" s="1"/>
  <c r="G187" i="1"/>
  <c r="F187" i="1"/>
  <c r="C187" i="1"/>
  <c r="H187" i="1" s="1"/>
  <c r="O186" i="1"/>
  <c r="N186" i="1"/>
  <c r="J186" i="1"/>
  <c r="M186" i="1" s="1"/>
  <c r="H186" i="1"/>
  <c r="G186" i="1"/>
  <c r="F186" i="1"/>
  <c r="C186" i="1"/>
  <c r="O185" i="1"/>
  <c r="N185" i="1"/>
  <c r="J185" i="1"/>
  <c r="M185" i="1" s="1"/>
  <c r="G185" i="1"/>
  <c r="F185" i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G183" i="1"/>
  <c r="F183" i="1"/>
  <c r="J183" i="1" s="1"/>
  <c r="C183" i="1"/>
  <c r="H183" i="1" s="1"/>
  <c r="O182" i="1"/>
  <c r="N182" i="1"/>
  <c r="J182" i="1"/>
  <c r="M182" i="1" s="1"/>
  <c r="G182" i="1"/>
  <c r="F182" i="1"/>
  <c r="C182" i="1"/>
  <c r="H182" i="1" s="1"/>
  <c r="O181" i="1"/>
  <c r="N181" i="1"/>
  <c r="G181" i="1"/>
  <c r="F181" i="1"/>
  <c r="J181" i="1" s="1"/>
  <c r="M181" i="1" s="1"/>
  <c r="C181" i="1"/>
  <c r="H181" i="1" s="1"/>
  <c r="O180" i="1"/>
  <c r="N180" i="1"/>
  <c r="M180" i="1"/>
  <c r="J180" i="1"/>
  <c r="H180" i="1"/>
  <c r="G180" i="1"/>
  <c r="F180" i="1"/>
  <c r="C180" i="1"/>
  <c r="O179" i="1"/>
  <c r="N179" i="1"/>
  <c r="J179" i="1"/>
  <c r="M179" i="1" s="1"/>
  <c r="G179" i="1"/>
  <c r="F179" i="1"/>
  <c r="C179" i="1"/>
  <c r="H179" i="1" s="1"/>
  <c r="O178" i="1"/>
  <c r="N178" i="1"/>
  <c r="J178" i="1"/>
  <c r="M178" i="1" s="1"/>
  <c r="H178" i="1"/>
  <c r="G178" i="1"/>
  <c r="F178" i="1"/>
  <c r="C178" i="1"/>
  <c r="O177" i="1"/>
  <c r="N177" i="1"/>
  <c r="J177" i="1"/>
  <c r="M177" i="1" s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G175" i="1"/>
  <c r="F175" i="1"/>
  <c r="J175" i="1" s="1"/>
  <c r="M175" i="1" s="1"/>
  <c r="C175" i="1"/>
  <c r="H175" i="1" s="1"/>
  <c r="O174" i="1"/>
  <c r="N174" i="1"/>
  <c r="M174" i="1"/>
  <c r="J174" i="1"/>
  <c r="G174" i="1"/>
  <c r="F174" i="1"/>
  <c r="C174" i="1"/>
  <c r="H174" i="1" s="1"/>
  <c r="O173" i="1"/>
  <c r="N173" i="1"/>
  <c r="M173" i="1"/>
  <c r="G173" i="1"/>
  <c r="K173" i="1" s="1"/>
  <c r="F173" i="1"/>
  <c r="J173" i="1" s="1"/>
  <c r="C173" i="1"/>
  <c r="H173" i="1" s="1"/>
  <c r="O172" i="1"/>
  <c r="N172" i="1"/>
  <c r="M172" i="1"/>
  <c r="J172" i="1"/>
  <c r="H172" i="1"/>
  <c r="G172" i="1"/>
  <c r="K172" i="1" s="1"/>
  <c r="F172" i="1"/>
  <c r="C172" i="1"/>
  <c r="O171" i="1"/>
  <c r="N171" i="1"/>
  <c r="J171" i="1"/>
  <c r="M171" i="1" s="1"/>
  <c r="G171" i="1"/>
  <c r="F171" i="1"/>
  <c r="C171" i="1"/>
  <c r="H171" i="1" s="1"/>
  <c r="O170" i="1"/>
  <c r="N170" i="1"/>
  <c r="J170" i="1"/>
  <c r="M170" i="1" s="1"/>
  <c r="H170" i="1"/>
  <c r="G170" i="1"/>
  <c r="F170" i="1"/>
  <c r="C170" i="1"/>
  <c r="O169" i="1"/>
  <c r="N169" i="1"/>
  <c r="J169" i="1"/>
  <c r="M169" i="1" s="1"/>
  <c r="G169" i="1"/>
  <c r="F169" i="1"/>
  <c r="C169" i="1"/>
  <c r="H169" i="1" s="1"/>
  <c r="O168" i="1"/>
  <c r="N168" i="1"/>
  <c r="J168" i="1"/>
  <c r="M168" i="1" s="1"/>
  <c r="H168" i="1"/>
  <c r="G168" i="1"/>
  <c r="F168" i="1"/>
  <c r="C168" i="1"/>
  <c r="O167" i="1"/>
  <c r="N167" i="1"/>
  <c r="G167" i="1"/>
  <c r="F167" i="1"/>
  <c r="J167" i="1" s="1"/>
  <c r="M167" i="1" s="1"/>
  <c r="C167" i="1"/>
  <c r="H167" i="1" s="1"/>
  <c r="O166" i="1"/>
  <c r="N166" i="1"/>
  <c r="M166" i="1"/>
  <c r="J166" i="1"/>
  <c r="G166" i="1"/>
  <c r="F166" i="1"/>
  <c r="C166" i="1"/>
  <c r="H166" i="1" s="1"/>
  <c r="O165" i="1"/>
  <c r="N165" i="1"/>
  <c r="M165" i="1"/>
  <c r="G165" i="1"/>
  <c r="F165" i="1"/>
  <c r="J165" i="1" s="1"/>
  <c r="C165" i="1"/>
  <c r="H165" i="1" s="1"/>
  <c r="O164" i="1"/>
  <c r="N164" i="1"/>
  <c r="M164" i="1"/>
  <c r="J164" i="1"/>
  <c r="H164" i="1"/>
  <c r="G164" i="1"/>
  <c r="F164" i="1"/>
  <c r="C164" i="1"/>
  <c r="O163" i="1"/>
  <c r="N163" i="1"/>
  <c r="J163" i="1"/>
  <c r="M163" i="1" s="1"/>
  <c r="G163" i="1"/>
  <c r="F163" i="1"/>
  <c r="C163" i="1"/>
  <c r="H163" i="1" s="1"/>
  <c r="O162" i="1"/>
  <c r="N162" i="1"/>
  <c r="J162" i="1"/>
  <c r="M162" i="1" s="1"/>
  <c r="H162" i="1"/>
  <c r="G162" i="1"/>
  <c r="F162" i="1"/>
  <c r="C162" i="1"/>
  <c r="O161" i="1"/>
  <c r="N161" i="1"/>
  <c r="J161" i="1"/>
  <c r="M161" i="1" s="1"/>
  <c r="G161" i="1"/>
  <c r="F161" i="1"/>
  <c r="C161" i="1"/>
  <c r="H161" i="1" s="1"/>
  <c r="O160" i="1"/>
  <c r="N160" i="1"/>
  <c r="J160" i="1"/>
  <c r="M160" i="1" s="1"/>
  <c r="H160" i="1"/>
  <c r="G160" i="1"/>
  <c r="F160" i="1"/>
  <c r="C160" i="1"/>
  <c r="O159" i="1"/>
  <c r="N159" i="1"/>
  <c r="M159" i="1"/>
  <c r="G159" i="1"/>
  <c r="F159" i="1"/>
  <c r="J159" i="1" s="1"/>
  <c r="C159" i="1"/>
  <c r="H159" i="1" s="1"/>
  <c r="O158" i="1"/>
  <c r="N158" i="1"/>
  <c r="J158" i="1"/>
  <c r="M158" i="1" s="1"/>
  <c r="G158" i="1"/>
  <c r="F158" i="1"/>
  <c r="C158" i="1"/>
  <c r="H158" i="1" s="1"/>
  <c r="O157" i="1"/>
  <c r="N157" i="1"/>
  <c r="G157" i="1"/>
  <c r="F157" i="1"/>
  <c r="J157" i="1" s="1"/>
  <c r="M157" i="1" s="1"/>
  <c r="C157" i="1"/>
  <c r="H157" i="1" s="1"/>
  <c r="O156" i="1"/>
  <c r="N156" i="1"/>
  <c r="M156" i="1"/>
  <c r="J156" i="1"/>
  <c r="H156" i="1"/>
  <c r="G156" i="1"/>
  <c r="F156" i="1"/>
  <c r="C156" i="1"/>
  <c r="O155" i="1"/>
  <c r="N155" i="1"/>
  <c r="J155" i="1"/>
  <c r="M155" i="1" s="1"/>
  <c r="G155" i="1"/>
  <c r="F155" i="1"/>
  <c r="C155" i="1"/>
  <c r="H155" i="1" s="1"/>
  <c r="O154" i="1"/>
  <c r="N154" i="1"/>
  <c r="J154" i="1"/>
  <c r="M154" i="1" s="1"/>
  <c r="H154" i="1"/>
  <c r="G154" i="1"/>
  <c r="F154" i="1"/>
  <c r="C154" i="1"/>
  <c r="O153" i="1"/>
  <c r="N153" i="1"/>
  <c r="J153" i="1"/>
  <c r="M153" i="1" s="1"/>
  <c r="G153" i="1"/>
  <c r="F153" i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M151" i="1"/>
  <c r="G151" i="1"/>
  <c r="F151" i="1"/>
  <c r="J151" i="1" s="1"/>
  <c r="C151" i="1"/>
  <c r="H151" i="1" s="1"/>
  <c r="O150" i="1"/>
  <c r="N150" i="1"/>
  <c r="J150" i="1"/>
  <c r="M150" i="1" s="1"/>
  <c r="G150" i="1"/>
  <c r="F150" i="1"/>
  <c r="C150" i="1"/>
  <c r="H150" i="1" s="1"/>
  <c r="O149" i="1"/>
  <c r="N149" i="1"/>
  <c r="G149" i="1"/>
  <c r="F149" i="1"/>
  <c r="J149" i="1" s="1"/>
  <c r="M149" i="1" s="1"/>
  <c r="C149" i="1"/>
  <c r="H149" i="1" s="1"/>
  <c r="O148" i="1"/>
  <c r="N148" i="1"/>
  <c r="M148" i="1"/>
  <c r="J148" i="1"/>
  <c r="H148" i="1"/>
  <c r="G148" i="1"/>
  <c r="F148" i="1"/>
  <c r="C148" i="1"/>
  <c r="O147" i="1"/>
  <c r="N147" i="1"/>
  <c r="J147" i="1"/>
  <c r="M147" i="1" s="1"/>
  <c r="G147" i="1"/>
  <c r="F147" i="1"/>
  <c r="C147" i="1"/>
  <c r="H147" i="1" s="1"/>
  <c r="O146" i="1"/>
  <c r="N146" i="1"/>
  <c r="J146" i="1"/>
  <c r="M146" i="1" s="1"/>
  <c r="H146" i="1"/>
  <c r="G146" i="1"/>
  <c r="F146" i="1"/>
  <c r="C146" i="1"/>
  <c r="O145" i="1"/>
  <c r="N145" i="1"/>
  <c r="J145" i="1"/>
  <c r="M145" i="1" s="1"/>
  <c r="G145" i="1"/>
  <c r="F145" i="1"/>
  <c r="C145" i="1"/>
  <c r="H145" i="1" s="1"/>
  <c r="O144" i="1"/>
  <c r="N144" i="1"/>
  <c r="J144" i="1"/>
  <c r="M144" i="1" s="1"/>
  <c r="G144" i="1"/>
  <c r="F144" i="1"/>
  <c r="C144" i="1"/>
  <c r="H144" i="1" s="1"/>
  <c r="O143" i="1"/>
  <c r="N143" i="1"/>
  <c r="G143" i="1"/>
  <c r="F143" i="1"/>
  <c r="J143" i="1" s="1"/>
  <c r="M143" i="1" s="1"/>
  <c r="C143" i="1"/>
  <c r="H143" i="1" s="1"/>
  <c r="O142" i="1"/>
  <c r="N142" i="1"/>
  <c r="M142" i="1"/>
  <c r="J142" i="1"/>
  <c r="G142" i="1"/>
  <c r="F142" i="1"/>
  <c r="C142" i="1"/>
  <c r="H142" i="1" s="1"/>
  <c r="O141" i="1"/>
  <c r="N141" i="1"/>
  <c r="M141" i="1"/>
  <c r="G141" i="1"/>
  <c r="K141" i="1" s="1"/>
  <c r="F141" i="1"/>
  <c r="J141" i="1" s="1"/>
  <c r="C141" i="1"/>
  <c r="H141" i="1" s="1"/>
  <c r="O140" i="1"/>
  <c r="N140" i="1"/>
  <c r="M140" i="1"/>
  <c r="J140" i="1"/>
  <c r="H140" i="1"/>
  <c r="G140" i="1"/>
  <c r="K140" i="1" s="1"/>
  <c r="F140" i="1"/>
  <c r="C140" i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M138" i="1"/>
  <c r="G138" i="1"/>
  <c r="F138" i="1"/>
  <c r="J138" i="1" s="1"/>
  <c r="C138" i="1"/>
  <c r="H138" i="1" s="1"/>
  <c r="W137" i="1"/>
  <c r="O137" i="1"/>
  <c r="N137" i="1"/>
  <c r="J137" i="1"/>
  <c r="M137" i="1" s="1"/>
  <c r="H137" i="1"/>
  <c r="G137" i="1"/>
  <c r="F137" i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M134" i="1"/>
  <c r="G134" i="1"/>
  <c r="F134" i="1"/>
  <c r="J134" i="1" s="1"/>
  <c r="C134" i="1"/>
  <c r="H134" i="1" s="1"/>
  <c r="W133" i="1"/>
  <c r="O133" i="1"/>
  <c r="N133" i="1"/>
  <c r="J133" i="1"/>
  <c r="M133" i="1" s="1"/>
  <c r="H133" i="1"/>
  <c r="G133" i="1"/>
  <c r="F133" i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M131" i="1"/>
  <c r="H131" i="1"/>
  <c r="G131" i="1"/>
  <c r="F131" i="1"/>
  <c r="J131" i="1" s="1"/>
  <c r="C131" i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J128" i="1"/>
  <c r="M128" i="1" s="1"/>
  <c r="H128" i="1"/>
  <c r="G128" i="1"/>
  <c r="K128" i="1" s="1"/>
  <c r="F128" i="1"/>
  <c r="C128" i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J126" i="1"/>
  <c r="M126" i="1" s="1"/>
  <c r="G126" i="1"/>
  <c r="K126" i="1" s="1"/>
  <c r="F126" i="1"/>
  <c r="C126" i="1"/>
  <c r="H126" i="1" s="1"/>
  <c r="W125" i="1"/>
  <c r="O125" i="1"/>
  <c r="N125" i="1"/>
  <c r="J125" i="1"/>
  <c r="M125" i="1" s="1"/>
  <c r="G125" i="1"/>
  <c r="F125" i="1"/>
  <c r="C125" i="1"/>
  <c r="H125" i="1" s="1"/>
  <c r="W124" i="1"/>
  <c r="O124" i="1"/>
  <c r="N124" i="1"/>
  <c r="M124" i="1"/>
  <c r="J124" i="1"/>
  <c r="H124" i="1"/>
  <c r="G124" i="1"/>
  <c r="F124" i="1"/>
  <c r="C124" i="1"/>
  <c r="W123" i="1"/>
  <c r="O123" i="1"/>
  <c r="N123" i="1"/>
  <c r="M123" i="1"/>
  <c r="H123" i="1"/>
  <c r="G123" i="1"/>
  <c r="F123" i="1"/>
  <c r="J123" i="1" s="1"/>
  <c r="C123" i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J121" i="1"/>
  <c r="M121" i="1" s="1"/>
  <c r="H121" i="1"/>
  <c r="G121" i="1"/>
  <c r="F121" i="1"/>
  <c r="C121" i="1"/>
  <c r="W120" i="1"/>
  <c r="O120" i="1"/>
  <c r="N120" i="1"/>
  <c r="J120" i="1"/>
  <c r="M120" i="1" s="1"/>
  <c r="G120" i="1"/>
  <c r="F120" i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H117" i="1"/>
  <c r="G117" i="1"/>
  <c r="F117" i="1"/>
  <c r="C117" i="1"/>
  <c r="W116" i="1"/>
  <c r="O116" i="1"/>
  <c r="N116" i="1"/>
  <c r="J116" i="1"/>
  <c r="M116" i="1" s="1"/>
  <c r="H116" i="1"/>
  <c r="G116" i="1"/>
  <c r="F116" i="1"/>
  <c r="C116" i="1"/>
  <c r="W115" i="1"/>
  <c r="O115" i="1"/>
  <c r="N115" i="1"/>
  <c r="M115" i="1"/>
  <c r="H115" i="1"/>
  <c r="G115" i="1"/>
  <c r="F115" i="1"/>
  <c r="J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J110" i="1"/>
  <c r="M110" i="1" s="1"/>
  <c r="G110" i="1"/>
  <c r="F110" i="1"/>
  <c r="C110" i="1"/>
  <c r="H110" i="1" s="1"/>
  <c r="W109" i="1"/>
  <c r="O109" i="1"/>
  <c r="N109" i="1"/>
  <c r="G109" i="1"/>
  <c r="F109" i="1"/>
  <c r="J109" i="1" s="1"/>
  <c r="M109" i="1" s="1"/>
  <c r="C109" i="1"/>
  <c r="H109" i="1" s="1"/>
  <c r="W108" i="1"/>
  <c r="O108" i="1"/>
  <c r="N108" i="1"/>
  <c r="M108" i="1"/>
  <c r="J108" i="1"/>
  <c r="H108" i="1"/>
  <c r="G108" i="1"/>
  <c r="F108" i="1"/>
  <c r="C108" i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J104" i="1"/>
  <c r="M104" i="1" s="1"/>
  <c r="G104" i="1"/>
  <c r="K104" i="1" s="1"/>
  <c r="F104" i="1"/>
  <c r="C104" i="1"/>
  <c r="H104" i="1" s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M102" i="1"/>
  <c r="G102" i="1"/>
  <c r="F102" i="1"/>
  <c r="J102" i="1" s="1"/>
  <c r="C102" i="1"/>
  <c r="H102" i="1" s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M100" i="1"/>
  <c r="J100" i="1"/>
  <c r="H100" i="1"/>
  <c r="G100" i="1"/>
  <c r="F100" i="1"/>
  <c r="C100" i="1"/>
  <c r="W99" i="1"/>
  <c r="O99" i="1"/>
  <c r="N99" i="1"/>
  <c r="J99" i="1"/>
  <c r="M99" i="1" s="1"/>
  <c r="H99" i="1"/>
  <c r="G99" i="1"/>
  <c r="F99" i="1"/>
  <c r="C99" i="1"/>
  <c r="W98" i="1"/>
  <c r="O98" i="1"/>
  <c r="N98" i="1"/>
  <c r="H98" i="1"/>
  <c r="G98" i="1"/>
  <c r="F98" i="1"/>
  <c r="J98" i="1" s="1"/>
  <c r="M98" i="1" s="1"/>
  <c r="C98" i="1"/>
  <c r="W97" i="1"/>
  <c r="O97" i="1"/>
  <c r="N97" i="1"/>
  <c r="J97" i="1"/>
  <c r="M97" i="1" s="1"/>
  <c r="G97" i="1"/>
  <c r="F97" i="1"/>
  <c r="C97" i="1"/>
  <c r="H97" i="1" s="1"/>
  <c r="W96" i="1"/>
  <c r="O96" i="1"/>
  <c r="N96" i="1"/>
  <c r="K96" i="1"/>
  <c r="G96" i="1"/>
  <c r="F96" i="1"/>
  <c r="J96" i="1" s="1"/>
  <c r="M96" i="1" s="1"/>
  <c r="C96" i="1"/>
  <c r="H96" i="1" s="1"/>
  <c r="W95" i="1"/>
  <c r="O95" i="1"/>
  <c r="N95" i="1"/>
  <c r="M95" i="1"/>
  <c r="J95" i="1"/>
  <c r="H95" i="1"/>
  <c r="G95" i="1"/>
  <c r="F95" i="1"/>
  <c r="C95" i="1"/>
  <c r="W94" i="1"/>
  <c r="O94" i="1"/>
  <c r="N94" i="1"/>
  <c r="H94" i="1"/>
  <c r="G94" i="1"/>
  <c r="F94" i="1"/>
  <c r="J94" i="1" s="1"/>
  <c r="M94" i="1" s="1"/>
  <c r="C94" i="1"/>
  <c r="W93" i="1"/>
  <c r="O93" i="1"/>
  <c r="N93" i="1"/>
  <c r="J93" i="1"/>
  <c r="M93" i="1" s="1"/>
  <c r="G93" i="1"/>
  <c r="F93" i="1"/>
  <c r="C93" i="1"/>
  <c r="H93" i="1" s="1"/>
  <c r="W92" i="1"/>
  <c r="O92" i="1"/>
  <c r="N92" i="1"/>
  <c r="J92" i="1"/>
  <c r="M92" i="1" s="1"/>
  <c r="G92" i="1"/>
  <c r="F92" i="1"/>
  <c r="C92" i="1"/>
  <c r="H92" i="1" s="1"/>
  <c r="W91" i="1"/>
  <c r="O91" i="1"/>
  <c r="N91" i="1"/>
  <c r="M91" i="1"/>
  <c r="J91" i="1"/>
  <c r="G91" i="1"/>
  <c r="F91" i="1"/>
  <c r="C91" i="1"/>
  <c r="H91" i="1" s="1"/>
  <c r="W90" i="1"/>
  <c r="O90" i="1"/>
  <c r="N90" i="1"/>
  <c r="H90" i="1"/>
  <c r="G90" i="1"/>
  <c r="F90" i="1"/>
  <c r="J90" i="1" s="1"/>
  <c r="M90" i="1" s="1"/>
  <c r="C90" i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J88" i="1"/>
  <c r="M88" i="1" s="1"/>
  <c r="H88" i="1"/>
  <c r="G88" i="1"/>
  <c r="F88" i="1"/>
  <c r="C88" i="1"/>
  <c r="W87" i="1"/>
  <c r="O87" i="1"/>
  <c r="N87" i="1"/>
  <c r="J87" i="1"/>
  <c r="M87" i="1" s="1"/>
  <c r="G87" i="1"/>
  <c r="F87" i="1"/>
  <c r="C87" i="1"/>
  <c r="H87" i="1" s="1"/>
  <c r="W86" i="1"/>
  <c r="O86" i="1"/>
  <c r="N86" i="1"/>
  <c r="H86" i="1"/>
  <c r="G86" i="1"/>
  <c r="F86" i="1"/>
  <c r="J86" i="1" s="1"/>
  <c r="M86" i="1" s="1"/>
  <c r="C86" i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H84" i="1"/>
  <c r="G84" i="1"/>
  <c r="F84" i="1"/>
  <c r="J84" i="1" s="1"/>
  <c r="M84" i="1" s="1"/>
  <c r="C84" i="1"/>
  <c r="W83" i="1"/>
  <c r="O83" i="1"/>
  <c r="N83" i="1"/>
  <c r="J83" i="1"/>
  <c r="M83" i="1" s="1"/>
  <c r="G83" i="1"/>
  <c r="F83" i="1"/>
  <c r="C83" i="1"/>
  <c r="H83" i="1" s="1"/>
  <c r="W82" i="1"/>
  <c r="O82" i="1"/>
  <c r="N82" i="1"/>
  <c r="M82" i="1"/>
  <c r="H82" i="1"/>
  <c r="G82" i="1"/>
  <c r="F82" i="1"/>
  <c r="J82" i="1" s="1"/>
  <c r="C82" i="1"/>
  <c r="W81" i="1"/>
  <c r="O81" i="1"/>
  <c r="N81" i="1"/>
  <c r="J81" i="1"/>
  <c r="M81" i="1" s="1"/>
  <c r="G81" i="1"/>
  <c r="F81" i="1"/>
  <c r="C81" i="1"/>
  <c r="H81" i="1" s="1"/>
  <c r="W80" i="1"/>
  <c r="O80" i="1"/>
  <c r="N80" i="1"/>
  <c r="G80" i="1"/>
  <c r="F80" i="1"/>
  <c r="J80" i="1" s="1"/>
  <c r="M80" i="1" s="1"/>
  <c r="C80" i="1"/>
  <c r="H80" i="1" s="1"/>
  <c r="W79" i="1"/>
  <c r="O79" i="1"/>
  <c r="N79" i="1"/>
  <c r="M79" i="1"/>
  <c r="J79" i="1"/>
  <c r="H79" i="1"/>
  <c r="G79" i="1"/>
  <c r="F79" i="1"/>
  <c r="C79" i="1"/>
  <c r="W78" i="1"/>
  <c r="O78" i="1"/>
  <c r="N78" i="1"/>
  <c r="H78" i="1"/>
  <c r="G78" i="1"/>
  <c r="F78" i="1"/>
  <c r="J78" i="1" s="1"/>
  <c r="M78" i="1" s="1"/>
  <c r="C78" i="1"/>
  <c r="W77" i="1"/>
  <c r="O77" i="1"/>
  <c r="N77" i="1"/>
  <c r="J77" i="1"/>
  <c r="M77" i="1" s="1"/>
  <c r="G77" i="1"/>
  <c r="K77" i="1" s="1"/>
  <c r="F77" i="1"/>
  <c r="C77" i="1"/>
  <c r="H77" i="1" s="1"/>
  <c r="W76" i="1"/>
  <c r="O76" i="1"/>
  <c r="N76" i="1"/>
  <c r="J76" i="1"/>
  <c r="M76" i="1" s="1"/>
  <c r="G76" i="1"/>
  <c r="F76" i="1"/>
  <c r="C76" i="1"/>
  <c r="H76" i="1" s="1"/>
  <c r="W75" i="1"/>
  <c r="O75" i="1"/>
  <c r="N75" i="1"/>
  <c r="M75" i="1"/>
  <c r="J75" i="1"/>
  <c r="G75" i="1"/>
  <c r="F75" i="1"/>
  <c r="C75" i="1"/>
  <c r="H75" i="1" s="1"/>
  <c r="W74" i="1"/>
  <c r="O74" i="1"/>
  <c r="N74" i="1"/>
  <c r="K74" i="1"/>
  <c r="H74" i="1"/>
  <c r="G74" i="1"/>
  <c r="F74" i="1"/>
  <c r="J74" i="1" s="1"/>
  <c r="M74" i="1" s="1"/>
  <c r="C74" i="1"/>
  <c r="W73" i="1"/>
  <c r="O73" i="1"/>
  <c r="N73" i="1"/>
  <c r="M73" i="1"/>
  <c r="G73" i="1"/>
  <c r="F73" i="1"/>
  <c r="J73" i="1" s="1"/>
  <c r="C73" i="1"/>
  <c r="H73" i="1" s="1"/>
  <c r="W72" i="1"/>
  <c r="O72" i="1"/>
  <c r="N72" i="1"/>
  <c r="J72" i="1"/>
  <c r="M72" i="1" s="1"/>
  <c r="G72" i="1"/>
  <c r="F72" i="1"/>
  <c r="C72" i="1"/>
  <c r="H72" i="1" s="1"/>
  <c r="W71" i="1"/>
  <c r="O71" i="1"/>
  <c r="N71" i="1"/>
  <c r="M71" i="1"/>
  <c r="J71" i="1"/>
  <c r="G71" i="1"/>
  <c r="F71" i="1"/>
  <c r="C71" i="1"/>
  <c r="H71" i="1" s="1"/>
  <c r="W70" i="1"/>
  <c r="O70" i="1"/>
  <c r="N70" i="1"/>
  <c r="H70" i="1"/>
  <c r="G70" i="1"/>
  <c r="F70" i="1"/>
  <c r="J70" i="1" s="1"/>
  <c r="M70" i="1" s="1"/>
  <c r="C70" i="1"/>
  <c r="W69" i="1"/>
  <c r="O69" i="1"/>
  <c r="N69" i="1"/>
  <c r="M69" i="1"/>
  <c r="G69" i="1"/>
  <c r="F69" i="1"/>
  <c r="J69" i="1" s="1"/>
  <c r="C69" i="1"/>
  <c r="H69" i="1" s="1"/>
  <c r="W68" i="1"/>
  <c r="O68" i="1"/>
  <c r="N68" i="1"/>
  <c r="H68" i="1"/>
  <c r="G68" i="1"/>
  <c r="F68" i="1"/>
  <c r="J68" i="1" s="1"/>
  <c r="M68" i="1" s="1"/>
  <c r="C68" i="1"/>
  <c r="W67" i="1"/>
  <c r="O67" i="1"/>
  <c r="N67" i="1"/>
  <c r="J67" i="1"/>
  <c r="M67" i="1" s="1"/>
  <c r="H67" i="1"/>
  <c r="G67" i="1"/>
  <c r="F67" i="1"/>
  <c r="C67" i="1"/>
  <c r="W66" i="1"/>
  <c r="O66" i="1"/>
  <c r="N66" i="1"/>
  <c r="M66" i="1"/>
  <c r="H66" i="1"/>
  <c r="G66" i="1"/>
  <c r="F66" i="1"/>
  <c r="J66" i="1" s="1"/>
  <c r="C66" i="1"/>
  <c r="W65" i="1"/>
  <c r="O65" i="1"/>
  <c r="N65" i="1"/>
  <c r="K65" i="1"/>
  <c r="J65" i="1"/>
  <c r="M65" i="1" s="1"/>
  <c r="G65" i="1"/>
  <c r="F65" i="1"/>
  <c r="C65" i="1"/>
  <c r="H65" i="1" s="1"/>
  <c r="W64" i="1"/>
  <c r="O64" i="1"/>
  <c r="N64" i="1"/>
  <c r="K64" i="1"/>
  <c r="G64" i="1"/>
  <c r="F64" i="1"/>
  <c r="J64" i="1" s="1"/>
  <c r="M64" i="1" s="1"/>
  <c r="C64" i="1"/>
  <c r="H64" i="1" s="1"/>
  <c r="W63" i="1"/>
  <c r="O63" i="1"/>
  <c r="N63" i="1"/>
  <c r="M63" i="1"/>
  <c r="J63" i="1"/>
  <c r="H63" i="1"/>
  <c r="G63" i="1"/>
  <c r="F63" i="1"/>
  <c r="C63" i="1"/>
  <c r="W62" i="1"/>
  <c r="O62" i="1"/>
  <c r="N62" i="1"/>
  <c r="H62" i="1"/>
  <c r="G62" i="1"/>
  <c r="F62" i="1"/>
  <c r="J62" i="1" s="1"/>
  <c r="M62" i="1" s="1"/>
  <c r="C62" i="1"/>
  <c r="W61" i="1"/>
  <c r="O61" i="1"/>
  <c r="N61" i="1"/>
  <c r="J61" i="1"/>
  <c r="M61" i="1" s="1"/>
  <c r="G61" i="1"/>
  <c r="F61" i="1"/>
  <c r="C61" i="1"/>
  <c r="H61" i="1" s="1"/>
  <c r="W60" i="1"/>
  <c r="O60" i="1"/>
  <c r="N60" i="1"/>
  <c r="J60" i="1"/>
  <c r="M60" i="1" s="1"/>
  <c r="G60" i="1"/>
  <c r="F60" i="1"/>
  <c r="C60" i="1"/>
  <c r="H60" i="1" s="1"/>
  <c r="W59" i="1"/>
  <c r="O59" i="1"/>
  <c r="N59" i="1"/>
  <c r="M59" i="1"/>
  <c r="J59" i="1"/>
  <c r="G59" i="1"/>
  <c r="K59" i="1" s="1"/>
  <c r="F59" i="1"/>
  <c r="C59" i="1"/>
  <c r="H59" i="1" s="1"/>
  <c r="W58" i="1"/>
  <c r="O58" i="1"/>
  <c r="N58" i="1"/>
  <c r="H58" i="1"/>
  <c r="G58" i="1"/>
  <c r="F58" i="1"/>
  <c r="J58" i="1" s="1"/>
  <c r="M58" i="1" s="1"/>
  <c r="C58" i="1"/>
  <c r="W57" i="1"/>
  <c r="O57" i="1"/>
  <c r="N57" i="1"/>
  <c r="M57" i="1"/>
  <c r="G57" i="1"/>
  <c r="K57" i="1" s="1"/>
  <c r="P57" i="1" s="1"/>
  <c r="F57" i="1"/>
  <c r="J57" i="1" s="1"/>
  <c r="C57" i="1"/>
  <c r="H57" i="1" s="1"/>
  <c r="W56" i="1"/>
  <c r="O56" i="1"/>
  <c r="N56" i="1"/>
  <c r="J56" i="1"/>
  <c r="M56" i="1" s="1"/>
  <c r="H56" i="1"/>
  <c r="G56" i="1"/>
  <c r="F56" i="1"/>
  <c r="C56" i="1"/>
  <c r="W55" i="1"/>
  <c r="O55" i="1"/>
  <c r="N55" i="1"/>
  <c r="J55" i="1"/>
  <c r="M55" i="1" s="1"/>
  <c r="G55" i="1"/>
  <c r="F55" i="1"/>
  <c r="C55" i="1"/>
  <c r="H55" i="1" s="1"/>
  <c r="W54" i="1"/>
  <c r="O54" i="1"/>
  <c r="N54" i="1"/>
  <c r="H54" i="1"/>
  <c r="G54" i="1"/>
  <c r="K54" i="1" s="1"/>
  <c r="P54" i="1" s="1"/>
  <c r="F54" i="1"/>
  <c r="J54" i="1" s="1"/>
  <c r="M54" i="1" s="1"/>
  <c r="C54" i="1"/>
  <c r="W53" i="1"/>
  <c r="O53" i="1"/>
  <c r="N53" i="1"/>
  <c r="M53" i="1"/>
  <c r="K53" i="1"/>
  <c r="G53" i="1"/>
  <c r="F53" i="1"/>
  <c r="J53" i="1" s="1"/>
  <c r="C53" i="1"/>
  <c r="H53" i="1" s="1"/>
  <c r="W52" i="1"/>
  <c r="O52" i="1"/>
  <c r="N52" i="1"/>
  <c r="H52" i="1"/>
  <c r="G52" i="1"/>
  <c r="F52" i="1"/>
  <c r="J52" i="1" s="1"/>
  <c r="M52" i="1" s="1"/>
  <c r="C52" i="1"/>
  <c r="W51" i="1"/>
  <c r="O51" i="1"/>
  <c r="N51" i="1"/>
  <c r="J51" i="1"/>
  <c r="M51" i="1" s="1"/>
  <c r="H51" i="1"/>
  <c r="G51" i="1"/>
  <c r="F51" i="1"/>
  <c r="C51" i="1"/>
  <c r="W50" i="1"/>
  <c r="O50" i="1"/>
  <c r="N50" i="1"/>
  <c r="M50" i="1"/>
  <c r="H50" i="1"/>
  <c r="G50" i="1"/>
  <c r="K50" i="1" s="1"/>
  <c r="F50" i="1"/>
  <c r="J50" i="1" s="1"/>
  <c r="C50" i="1"/>
  <c r="W49" i="1"/>
  <c r="O49" i="1"/>
  <c r="N49" i="1"/>
  <c r="J49" i="1"/>
  <c r="M49" i="1" s="1"/>
  <c r="G49" i="1"/>
  <c r="F49" i="1"/>
  <c r="C49" i="1"/>
  <c r="H49" i="1" s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M47" i="1"/>
  <c r="J47" i="1"/>
  <c r="H47" i="1"/>
  <c r="G47" i="1"/>
  <c r="F47" i="1"/>
  <c r="C47" i="1"/>
  <c r="W46" i="1"/>
  <c r="O46" i="1"/>
  <c r="N46" i="1"/>
  <c r="H46" i="1"/>
  <c r="G46" i="1"/>
  <c r="F46" i="1"/>
  <c r="J46" i="1" s="1"/>
  <c r="M46" i="1" s="1"/>
  <c r="C46" i="1"/>
  <c r="W45" i="1"/>
  <c r="O45" i="1"/>
  <c r="N45" i="1"/>
  <c r="J45" i="1"/>
  <c r="M45" i="1" s="1"/>
  <c r="G45" i="1"/>
  <c r="F45" i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M43" i="1"/>
  <c r="J43" i="1"/>
  <c r="G43" i="1"/>
  <c r="F43" i="1"/>
  <c r="C43" i="1"/>
  <c r="H43" i="1" s="1"/>
  <c r="W42" i="1"/>
  <c r="O42" i="1"/>
  <c r="N42" i="1"/>
  <c r="H42" i="1"/>
  <c r="G42" i="1"/>
  <c r="F42" i="1"/>
  <c r="J42" i="1" s="1"/>
  <c r="M42" i="1" s="1"/>
  <c r="C42" i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J40" i="1"/>
  <c r="M40" i="1" s="1"/>
  <c r="H40" i="1"/>
  <c r="G40" i="1"/>
  <c r="F40" i="1"/>
  <c r="C40" i="1"/>
  <c r="W39" i="1"/>
  <c r="O39" i="1"/>
  <c r="N39" i="1"/>
  <c r="M39" i="1"/>
  <c r="G39" i="1"/>
  <c r="K39" i="1" s="1"/>
  <c r="F39" i="1"/>
  <c r="J39" i="1" s="1"/>
  <c r="C39" i="1"/>
  <c r="H39" i="1" s="1"/>
  <c r="W38" i="1"/>
  <c r="O38" i="1"/>
  <c r="N38" i="1"/>
  <c r="J38" i="1"/>
  <c r="M38" i="1" s="1"/>
  <c r="G38" i="1"/>
  <c r="F38" i="1"/>
  <c r="C38" i="1"/>
  <c r="H38" i="1" s="1"/>
  <c r="W37" i="1"/>
  <c r="O37" i="1"/>
  <c r="N37" i="1"/>
  <c r="J37" i="1"/>
  <c r="M37" i="1" s="1"/>
  <c r="H37" i="1"/>
  <c r="G37" i="1"/>
  <c r="F37" i="1"/>
  <c r="C37" i="1"/>
  <c r="W36" i="1"/>
  <c r="O36" i="1"/>
  <c r="N36" i="1"/>
  <c r="M36" i="1"/>
  <c r="H36" i="1"/>
  <c r="G36" i="1"/>
  <c r="F36" i="1"/>
  <c r="J36" i="1" s="1"/>
  <c r="C36" i="1"/>
  <c r="W35" i="1"/>
  <c r="O35" i="1"/>
  <c r="N35" i="1"/>
  <c r="G35" i="1"/>
  <c r="K35" i="1" s="1"/>
  <c r="F35" i="1"/>
  <c r="J35" i="1" s="1"/>
  <c r="M35" i="1" s="1"/>
  <c r="C35" i="1"/>
  <c r="H35" i="1" s="1"/>
  <c r="W34" i="1"/>
  <c r="O34" i="1"/>
  <c r="N34" i="1"/>
  <c r="J34" i="1"/>
  <c r="M34" i="1" s="1"/>
  <c r="H34" i="1"/>
  <c r="G34" i="1"/>
  <c r="F34" i="1"/>
  <c r="C34" i="1"/>
  <c r="W33" i="1"/>
  <c r="O33" i="1"/>
  <c r="N33" i="1"/>
  <c r="J33" i="1"/>
  <c r="M33" i="1" s="1"/>
  <c r="G33" i="1"/>
  <c r="F33" i="1"/>
  <c r="C33" i="1"/>
  <c r="H33" i="1" s="1"/>
  <c r="W32" i="1"/>
  <c r="O32" i="1"/>
  <c r="N32" i="1"/>
  <c r="H32" i="1"/>
  <c r="G32" i="1"/>
  <c r="K32" i="1" s="1"/>
  <c r="F32" i="1"/>
  <c r="J32" i="1" s="1"/>
  <c r="M32" i="1" s="1"/>
  <c r="C32" i="1"/>
  <c r="Z31" i="1"/>
  <c r="W31" i="1"/>
  <c r="O31" i="1"/>
  <c r="N31" i="1"/>
  <c r="H31" i="1"/>
  <c r="G31" i="1"/>
  <c r="K31" i="1" s="1"/>
  <c r="F31" i="1"/>
  <c r="J31" i="1" s="1"/>
  <c r="M31" i="1" s="1"/>
  <c r="C31" i="1"/>
  <c r="Z30" i="1"/>
  <c r="W30" i="1"/>
  <c r="O30" i="1"/>
  <c r="N30" i="1"/>
  <c r="K30" i="1"/>
  <c r="P30" i="1" s="1"/>
  <c r="H30" i="1"/>
  <c r="G30" i="1"/>
  <c r="F30" i="1"/>
  <c r="J30" i="1" s="1"/>
  <c r="M30" i="1" s="1"/>
  <c r="C30" i="1"/>
  <c r="Z29" i="1"/>
  <c r="W29" i="1"/>
  <c r="O29" i="1"/>
  <c r="N29" i="1"/>
  <c r="H29" i="1"/>
  <c r="G29" i="1"/>
  <c r="F29" i="1"/>
  <c r="J29" i="1" s="1"/>
  <c r="M29" i="1" s="1"/>
  <c r="C29" i="1"/>
  <c r="Z28" i="1"/>
  <c r="W28" i="1"/>
  <c r="O28" i="1"/>
  <c r="N28" i="1"/>
  <c r="H28" i="1"/>
  <c r="G28" i="1"/>
  <c r="K28" i="1" s="1"/>
  <c r="F28" i="1"/>
  <c r="J28" i="1" s="1"/>
  <c r="M28" i="1" s="1"/>
  <c r="C28" i="1"/>
  <c r="Z27" i="1"/>
  <c r="W27" i="1"/>
  <c r="O27" i="1"/>
  <c r="N27" i="1"/>
  <c r="H27" i="1"/>
  <c r="G27" i="1"/>
  <c r="K27" i="1" s="1"/>
  <c r="F27" i="1"/>
  <c r="J27" i="1" s="1"/>
  <c r="M27" i="1" s="1"/>
  <c r="C27" i="1"/>
  <c r="Z26" i="1"/>
  <c r="W26" i="1"/>
  <c r="O26" i="1"/>
  <c r="N26" i="1"/>
  <c r="K26" i="1"/>
  <c r="H26" i="1"/>
  <c r="G26" i="1"/>
  <c r="F26" i="1"/>
  <c r="J26" i="1" s="1"/>
  <c r="M26" i="1" s="1"/>
  <c r="C26" i="1"/>
  <c r="Z25" i="1"/>
  <c r="W25" i="1"/>
  <c r="O25" i="1"/>
  <c r="N25" i="1"/>
  <c r="H25" i="1"/>
  <c r="G25" i="1"/>
  <c r="F25" i="1"/>
  <c r="J25" i="1" s="1"/>
  <c r="M25" i="1" s="1"/>
  <c r="C25" i="1"/>
  <c r="Z24" i="1"/>
  <c r="W24" i="1"/>
  <c r="O24" i="1"/>
  <c r="N24" i="1"/>
  <c r="H24" i="1"/>
  <c r="G24" i="1"/>
  <c r="K24" i="1" s="1"/>
  <c r="F24" i="1"/>
  <c r="J24" i="1" s="1"/>
  <c r="M24" i="1" s="1"/>
  <c r="C24" i="1"/>
  <c r="Z23" i="1"/>
  <c r="W23" i="1"/>
  <c r="O23" i="1"/>
  <c r="N23" i="1"/>
  <c r="H23" i="1"/>
  <c r="G23" i="1"/>
  <c r="K23" i="1" s="1"/>
  <c r="F23" i="1"/>
  <c r="J23" i="1" s="1"/>
  <c r="M23" i="1" s="1"/>
  <c r="C23" i="1"/>
  <c r="Z22" i="1"/>
  <c r="W22" i="1"/>
  <c r="O22" i="1"/>
  <c r="N22" i="1"/>
  <c r="K22" i="1"/>
  <c r="H22" i="1"/>
  <c r="G22" i="1"/>
  <c r="F22" i="1"/>
  <c r="J22" i="1" s="1"/>
  <c r="M22" i="1" s="1"/>
  <c r="C22" i="1"/>
  <c r="Z21" i="1"/>
  <c r="W21" i="1"/>
  <c r="O21" i="1"/>
  <c r="N21" i="1"/>
  <c r="H21" i="1"/>
  <c r="G21" i="1"/>
  <c r="F21" i="1"/>
  <c r="J21" i="1" s="1"/>
  <c r="M21" i="1" s="1"/>
  <c r="C21" i="1"/>
  <c r="Z20" i="1"/>
  <c r="W20" i="1"/>
  <c r="O20" i="1"/>
  <c r="N20" i="1"/>
  <c r="H20" i="1"/>
  <c r="G20" i="1"/>
  <c r="K20" i="1" s="1"/>
  <c r="P20" i="1" s="1"/>
  <c r="F20" i="1"/>
  <c r="J20" i="1" s="1"/>
  <c r="M20" i="1" s="1"/>
  <c r="C20" i="1"/>
  <c r="Z19" i="1"/>
  <c r="W19" i="1"/>
  <c r="O19" i="1"/>
  <c r="N19" i="1"/>
  <c r="M19" i="1"/>
  <c r="J19" i="1"/>
  <c r="H19" i="1"/>
  <c r="G19" i="1"/>
  <c r="K19" i="1" s="1"/>
  <c r="F19" i="1"/>
  <c r="C19" i="1"/>
  <c r="Z18" i="1"/>
  <c r="W18" i="1"/>
  <c r="O18" i="1"/>
  <c r="N18" i="1"/>
  <c r="M18" i="1"/>
  <c r="J18" i="1"/>
  <c r="H18" i="1"/>
  <c r="G18" i="1"/>
  <c r="K18" i="1" s="1"/>
  <c r="P18" i="1" s="1"/>
  <c r="F18" i="1"/>
  <c r="C18" i="1"/>
  <c r="Z17" i="1"/>
  <c r="W17" i="1"/>
  <c r="O17" i="1"/>
  <c r="N17" i="1"/>
  <c r="M17" i="1"/>
  <c r="J17" i="1"/>
  <c r="H17" i="1"/>
  <c r="G17" i="1"/>
  <c r="K17" i="1" s="1"/>
  <c r="F17" i="1"/>
  <c r="C17" i="1"/>
  <c r="Z16" i="1"/>
  <c r="W16" i="1"/>
  <c r="O16" i="1"/>
  <c r="N16" i="1"/>
  <c r="M16" i="1"/>
  <c r="J16" i="1"/>
  <c r="H16" i="1"/>
  <c r="G16" i="1"/>
  <c r="K16" i="1" s="1"/>
  <c r="P16" i="1" s="1"/>
  <c r="F16" i="1"/>
  <c r="C16" i="1"/>
  <c r="Z15" i="1"/>
  <c r="W15" i="1"/>
  <c r="O15" i="1"/>
  <c r="N15" i="1"/>
  <c r="M15" i="1"/>
  <c r="J15" i="1"/>
  <c r="H15" i="1"/>
  <c r="G15" i="1"/>
  <c r="K15" i="1" s="1"/>
  <c r="F15" i="1"/>
  <c r="C15" i="1"/>
  <c r="Z14" i="1"/>
  <c r="W14" i="1"/>
  <c r="O14" i="1"/>
  <c r="N14" i="1"/>
  <c r="M14" i="1"/>
  <c r="J14" i="1"/>
  <c r="H14" i="1"/>
  <c r="G14" i="1"/>
  <c r="K14" i="1" s="1"/>
  <c r="P14" i="1" s="1"/>
  <c r="F14" i="1"/>
  <c r="C14" i="1"/>
  <c r="Z13" i="1"/>
  <c r="W13" i="1"/>
  <c r="O13" i="1"/>
  <c r="N13" i="1"/>
  <c r="M13" i="1"/>
  <c r="J13" i="1"/>
  <c r="H13" i="1"/>
  <c r="G13" i="1"/>
  <c r="K13" i="1" s="1"/>
  <c r="F13" i="1"/>
  <c r="C13" i="1"/>
  <c r="Z12" i="1"/>
  <c r="W12" i="1"/>
  <c r="O12" i="1"/>
  <c r="N12" i="1"/>
  <c r="J12" i="1"/>
  <c r="M12" i="1" s="1"/>
  <c r="H12" i="1"/>
  <c r="G12" i="1"/>
  <c r="F12" i="1"/>
  <c r="C12" i="1"/>
  <c r="AC11" i="1"/>
  <c r="AC12" i="1" s="1"/>
  <c r="Z11" i="1"/>
  <c r="W11" i="1"/>
  <c r="O11" i="1"/>
  <c r="N11" i="1"/>
  <c r="J11" i="1"/>
  <c r="M11" i="1" s="1"/>
  <c r="G11" i="1"/>
  <c r="F11" i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J8" i="1"/>
  <c r="M8" i="1" s="1"/>
  <c r="G8" i="1"/>
  <c r="F8" i="1"/>
  <c r="C8" i="1"/>
  <c r="H8" i="1" s="1"/>
  <c r="AC7" i="1"/>
  <c r="Z7" i="1"/>
  <c r="W7" i="1"/>
  <c r="O7" i="1"/>
  <c r="N7" i="1"/>
  <c r="K7" i="1"/>
  <c r="P7" i="1" s="1"/>
  <c r="H7" i="1"/>
  <c r="G7" i="1"/>
  <c r="F7" i="1"/>
  <c r="J7" i="1" s="1"/>
  <c r="M7" i="1" s="1"/>
  <c r="C7" i="1"/>
  <c r="Z6" i="1"/>
  <c r="W6" i="1"/>
  <c r="O6" i="1"/>
  <c r="N6" i="1"/>
  <c r="K6" i="1"/>
  <c r="H6" i="1"/>
  <c r="G6" i="1"/>
  <c r="F6" i="1"/>
  <c r="J6" i="1" s="1"/>
  <c r="M6" i="1" s="1"/>
  <c r="C6" i="1"/>
  <c r="Z5" i="1"/>
  <c r="W5" i="1"/>
  <c r="O5" i="1"/>
  <c r="N5" i="1"/>
  <c r="K5" i="1"/>
  <c r="H5" i="1"/>
  <c r="G5" i="1"/>
  <c r="F5" i="1"/>
  <c r="J5" i="1" s="1"/>
  <c r="M5" i="1" s="1"/>
  <c r="C5" i="1"/>
  <c r="Z4" i="1"/>
  <c r="W4" i="1"/>
  <c r="O4" i="1"/>
  <c r="N4" i="1"/>
  <c r="K4" i="1"/>
  <c r="H4" i="1"/>
  <c r="G4" i="1"/>
  <c r="F4" i="1"/>
  <c r="J4" i="1" s="1"/>
  <c r="M4" i="1" s="1"/>
  <c r="C4" i="1"/>
  <c r="S2" i="1"/>
  <c r="N2" i="1"/>
  <c r="K299" i="1" s="1"/>
  <c r="P299" i="1" s="1"/>
  <c r="P50" i="1" l="1"/>
  <c r="P53" i="1"/>
  <c r="P96" i="1"/>
  <c r="P126" i="1"/>
  <c r="P74" i="1"/>
  <c r="P5" i="1"/>
  <c r="P13" i="1"/>
  <c r="P15" i="1"/>
  <c r="P17" i="1"/>
  <c r="P19" i="1"/>
  <c r="P22" i="1"/>
  <c r="P27" i="1"/>
  <c r="P28" i="1"/>
  <c r="P59" i="1"/>
  <c r="P39" i="1"/>
  <c r="P64" i="1"/>
  <c r="P65" i="1"/>
  <c r="P77" i="1"/>
  <c r="P104" i="1"/>
  <c r="P128" i="1"/>
  <c r="P140" i="1"/>
  <c r="P141" i="1"/>
  <c r="P172" i="1"/>
  <c r="P173" i="1"/>
  <c r="P204" i="1"/>
  <c r="P205" i="1"/>
  <c r="P4" i="1"/>
  <c r="P23" i="1"/>
  <c r="P24" i="1"/>
  <c r="P35" i="1"/>
  <c r="P6" i="1"/>
  <c r="P26" i="1"/>
  <c r="P31" i="1"/>
  <c r="P32" i="1"/>
  <c r="L46" i="2"/>
  <c r="K9" i="1"/>
  <c r="P9" i="1" s="1"/>
  <c r="K25" i="1"/>
  <c r="P25" i="1" s="1"/>
  <c r="K79" i="1"/>
  <c r="P79" i="1" s="1"/>
  <c r="K191" i="1"/>
  <c r="P191" i="1" s="1"/>
  <c r="K300" i="1"/>
  <c r="P300" i="1" s="1"/>
  <c r="K296" i="1"/>
  <c r="P296" i="1" s="1"/>
  <c r="K292" i="1"/>
  <c r="P292" i="1" s="1"/>
  <c r="K288" i="1"/>
  <c r="P288" i="1" s="1"/>
  <c r="K284" i="1"/>
  <c r="P284" i="1" s="1"/>
  <c r="K280" i="1"/>
  <c r="P280" i="1" s="1"/>
  <c r="K277" i="1"/>
  <c r="P277" i="1" s="1"/>
  <c r="K275" i="1"/>
  <c r="P275" i="1" s="1"/>
  <c r="K273" i="1"/>
  <c r="P273" i="1" s="1"/>
  <c r="K271" i="1"/>
  <c r="P271" i="1" s="1"/>
  <c r="K269" i="1"/>
  <c r="P269" i="1" s="1"/>
  <c r="K267" i="1"/>
  <c r="P267" i="1" s="1"/>
  <c r="K265" i="1"/>
  <c r="P265" i="1" s="1"/>
  <c r="K263" i="1"/>
  <c r="P263" i="1" s="1"/>
  <c r="K261" i="1"/>
  <c r="P261" i="1" s="1"/>
  <c r="K259" i="1"/>
  <c r="P259" i="1" s="1"/>
  <c r="K257" i="1"/>
  <c r="P257" i="1" s="1"/>
  <c r="K255" i="1"/>
  <c r="P255" i="1" s="1"/>
  <c r="I1" i="2"/>
  <c r="K302" i="1"/>
  <c r="P302" i="1" s="1"/>
  <c r="K294" i="1"/>
  <c r="P294" i="1" s="1"/>
  <c r="K286" i="1"/>
  <c r="P286" i="1" s="1"/>
  <c r="K253" i="1"/>
  <c r="P253" i="1" s="1"/>
  <c r="K249" i="1"/>
  <c r="P249" i="1" s="1"/>
  <c r="K245" i="1"/>
  <c r="P245" i="1" s="1"/>
  <c r="K241" i="1"/>
  <c r="P241" i="1" s="1"/>
  <c r="K237" i="1"/>
  <c r="P237" i="1" s="1"/>
  <c r="K233" i="1"/>
  <c r="P233" i="1" s="1"/>
  <c r="K229" i="1"/>
  <c r="P229" i="1" s="1"/>
  <c r="K133" i="1"/>
  <c r="P133" i="1" s="1"/>
  <c r="K117" i="1"/>
  <c r="P117" i="1" s="1"/>
  <c r="K101" i="1"/>
  <c r="P101" i="1" s="1"/>
  <c r="K303" i="1"/>
  <c r="P303" i="1" s="1"/>
  <c r="K295" i="1"/>
  <c r="P295" i="1" s="1"/>
  <c r="K287" i="1"/>
  <c r="P287" i="1" s="1"/>
  <c r="K279" i="1"/>
  <c r="P279" i="1" s="1"/>
  <c r="K137" i="1"/>
  <c r="P137" i="1" s="1"/>
  <c r="K282" i="1"/>
  <c r="P282" i="1" s="1"/>
  <c r="K252" i="1"/>
  <c r="P252" i="1" s="1"/>
  <c r="K251" i="1"/>
  <c r="P251" i="1" s="1"/>
  <c r="K244" i="1"/>
  <c r="P244" i="1" s="1"/>
  <c r="K243" i="1"/>
  <c r="P243" i="1" s="1"/>
  <c r="K236" i="1"/>
  <c r="P236" i="1" s="1"/>
  <c r="K235" i="1"/>
  <c r="P235" i="1" s="1"/>
  <c r="K228" i="1"/>
  <c r="P228" i="1" s="1"/>
  <c r="K227" i="1"/>
  <c r="P227" i="1" s="1"/>
  <c r="K217" i="1"/>
  <c r="P217" i="1" s="1"/>
  <c r="K215" i="1"/>
  <c r="P215" i="1" s="1"/>
  <c r="K185" i="1"/>
  <c r="P185" i="1" s="1"/>
  <c r="K183" i="1"/>
  <c r="P183" i="1" s="1"/>
  <c r="K153" i="1"/>
  <c r="P153" i="1" s="1"/>
  <c r="K151" i="1"/>
  <c r="P151" i="1" s="1"/>
  <c r="K123" i="1"/>
  <c r="P123" i="1" s="1"/>
  <c r="K114" i="1"/>
  <c r="P114" i="1" s="1"/>
  <c r="K113" i="1"/>
  <c r="P113" i="1" s="1"/>
  <c r="K109" i="1"/>
  <c r="P109" i="1" s="1"/>
  <c r="K105" i="1"/>
  <c r="P105" i="1" s="1"/>
  <c r="K102" i="1"/>
  <c r="P102" i="1" s="1"/>
  <c r="K84" i="1"/>
  <c r="P84" i="1" s="1"/>
  <c r="K68" i="1"/>
  <c r="P68" i="1" s="1"/>
  <c r="K52" i="1"/>
  <c r="P52" i="1" s="1"/>
  <c r="K290" i="1"/>
  <c r="P290" i="1" s="1"/>
  <c r="K283" i="1"/>
  <c r="P283" i="1" s="1"/>
  <c r="K209" i="1"/>
  <c r="P209" i="1" s="1"/>
  <c r="K207" i="1"/>
  <c r="P207" i="1" s="1"/>
  <c r="K177" i="1"/>
  <c r="P177" i="1" s="1"/>
  <c r="K175" i="1"/>
  <c r="P175" i="1" s="1"/>
  <c r="K145" i="1"/>
  <c r="P145" i="1" s="1"/>
  <c r="K143" i="1"/>
  <c r="P143" i="1" s="1"/>
  <c r="K130" i="1"/>
  <c r="P130" i="1" s="1"/>
  <c r="K129" i="1"/>
  <c r="P129" i="1" s="1"/>
  <c r="K125" i="1"/>
  <c r="P125" i="1" s="1"/>
  <c r="K121" i="1"/>
  <c r="P121" i="1" s="1"/>
  <c r="K88" i="1"/>
  <c r="P88" i="1" s="1"/>
  <c r="K72" i="1"/>
  <c r="P72" i="1" s="1"/>
  <c r="K56" i="1"/>
  <c r="P56" i="1" s="1"/>
  <c r="K40" i="1"/>
  <c r="P40" i="1" s="1"/>
  <c r="K298" i="1"/>
  <c r="P298" i="1" s="1"/>
  <c r="K291" i="1"/>
  <c r="P291" i="1" s="1"/>
  <c r="K248" i="1"/>
  <c r="P248" i="1" s="1"/>
  <c r="K247" i="1"/>
  <c r="P247" i="1" s="1"/>
  <c r="K240" i="1"/>
  <c r="P240" i="1" s="1"/>
  <c r="K239" i="1"/>
  <c r="P239" i="1" s="1"/>
  <c r="K232" i="1"/>
  <c r="P232" i="1" s="1"/>
  <c r="K231" i="1"/>
  <c r="P231" i="1" s="1"/>
  <c r="K201" i="1"/>
  <c r="P201" i="1" s="1"/>
  <c r="K199" i="1"/>
  <c r="P199" i="1" s="1"/>
  <c r="K169" i="1"/>
  <c r="P169" i="1" s="1"/>
  <c r="K167" i="1"/>
  <c r="P167" i="1" s="1"/>
  <c r="K139" i="1"/>
  <c r="P139" i="1" s="1"/>
  <c r="K111" i="1"/>
  <c r="P111" i="1" s="1"/>
  <c r="K103" i="1"/>
  <c r="P103" i="1" s="1"/>
  <c r="K97" i="1"/>
  <c r="P97" i="1" s="1"/>
  <c r="K92" i="1"/>
  <c r="P92" i="1" s="1"/>
  <c r="K10" i="1"/>
  <c r="P10" i="1" s="1"/>
  <c r="K21" i="1"/>
  <c r="P21" i="1" s="1"/>
  <c r="K29" i="1"/>
  <c r="P29" i="1" s="1"/>
  <c r="K41" i="1"/>
  <c r="P41" i="1" s="1"/>
  <c r="K43" i="1"/>
  <c r="P43" i="1" s="1"/>
  <c r="K48" i="1"/>
  <c r="P48" i="1" s="1"/>
  <c r="K49" i="1"/>
  <c r="P49" i="1" s="1"/>
  <c r="K61" i="1"/>
  <c r="P61" i="1" s="1"/>
  <c r="K76" i="1"/>
  <c r="P76" i="1" s="1"/>
  <c r="K118" i="1"/>
  <c r="P118" i="1" s="1"/>
  <c r="K119" i="1"/>
  <c r="P119" i="1" s="1"/>
  <c r="K127" i="1"/>
  <c r="P127" i="1" s="1"/>
  <c r="K138" i="1"/>
  <c r="P138" i="1" s="1"/>
  <c r="K159" i="1"/>
  <c r="P159" i="1" s="1"/>
  <c r="K161" i="1"/>
  <c r="P161" i="1" s="1"/>
  <c r="K193" i="1"/>
  <c r="P193" i="1" s="1"/>
  <c r="K223" i="1"/>
  <c r="P223" i="1" s="1"/>
  <c r="K262" i="1"/>
  <c r="P262" i="1" s="1"/>
  <c r="K278" i="1"/>
  <c r="P278" i="1" s="1"/>
  <c r="K12" i="1"/>
  <c r="P12" i="1" s="1"/>
  <c r="K33" i="1"/>
  <c r="P33" i="1" s="1"/>
  <c r="K34" i="1"/>
  <c r="P34" i="1" s="1"/>
  <c r="K42" i="1"/>
  <c r="P42" i="1" s="1"/>
  <c r="K45" i="1"/>
  <c r="P45" i="1" s="1"/>
  <c r="K60" i="1"/>
  <c r="P60" i="1" s="1"/>
  <c r="K62" i="1"/>
  <c r="P62" i="1" s="1"/>
  <c r="K63" i="1"/>
  <c r="P63" i="1" s="1"/>
  <c r="K82" i="1"/>
  <c r="P82" i="1" s="1"/>
  <c r="K85" i="1"/>
  <c r="P85" i="1" s="1"/>
  <c r="K86" i="1"/>
  <c r="P86" i="1" s="1"/>
  <c r="K89" i="1"/>
  <c r="P89" i="1" s="1"/>
  <c r="K93" i="1"/>
  <c r="P93" i="1" s="1"/>
  <c r="K95" i="1"/>
  <c r="P95" i="1" s="1"/>
  <c r="K108" i="1"/>
  <c r="P108" i="1" s="1"/>
  <c r="K134" i="1"/>
  <c r="P134" i="1" s="1"/>
  <c r="K135" i="1"/>
  <c r="P135" i="1" s="1"/>
  <c r="K146" i="1"/>
  <c r="P146" i="1" s="1"/>
  <c r="K178" i="1"/>
  <c r="P178" i="1" s="1"/>
  <c r="K210" i="1"/>
  <c r="P210" i="1" s="1"/>
  <c r="L14" i="2"/>
  <c r="L41" i="2"/>
  <c r="L57" i="2"/>
  <c r="L62" i="2"/>
  <c r="L222" i="2"/>
  <c r="K8" i="1"/>
  <c r="P8" i="1" s="1"/>
  <c r="K11" i="1"/>
  <c r="P11" i="1" s="1"/>
  <c r="K38" i="1"/>
  <c r="P38" i="1" s="1"/>
  <c r="K58" i="1"/>
  <c r="P58" i="1" s="1"/>
  <c r="K78" i="1"/>
  <c r="P78" i="1" s="1"/>
  <c r="K98" i="1"/>
  <c r="P98" i="1" s="1"/>
  <c r="K225" i="1"/>
  <c r="P225" i="1" s="1"/>
  <c r="K36" i="1"/>
  <c r="P36" i="1" s="1"/>
  <c r="K37" i="1"/>
  <c r="P37" i="1" s="1"/>
  <c r="K44" i="1"/>
  <c r="P44" i="1" s="1"/>
  <c r="K46" i="1"/>
  <c r="P46" i="1" s="1"/>
  <c r="K47" i="1"/>
  <c r="P47" i="1" s="1"/>
  <c r="K66" i="1"/>
  <c r="P66" i="1" s="1"/>
  <c r="K69" i="1"/>
  <c r="P69" i="1" s="1"/>
  <c r="K70" i="1"/>
  <c r="P70" i="1" s="1"/>
  <c r="K73" i="1"/>
  <c r="P73" i="1" s="1"/>
  <c r="K75" i="1"/>
  <c r="P75" i="1" s="1"/>
  <c r="K80" i="1"/>
  <c r="P80" i="1" s="1"/>
  <c r="K81" i="1"/>
  <c r="P81" i="1" s="1"/>
  <c r="K90" i="1"/>
  <c r="P90" i="1" s="1"/>
  <c r="K94" i="1"/>
  <c r="P94" i="1" s="1"/>
  <c r="K107" i="1"/>
  <c r="P107" i="1" s="1"/>
  <c r="K110" i="1"/>
  <c r="P110" i="1" s="1"/>
  <c r="K155" i="1"/>
  <c r="P155" i="1" s="1"/>
  <c r="K187" i="1"/>
  <c r="P187" i="1" s="1"/>
  <c r="K219" i="1"/>
  <c r="P219" i="1" s="1"/>
  <c r="K230" i="1"/>
  <c r="P230" i="1" s="1"/>
  <c r="K238" i="1"/>
  <c r="P238" i="1" s="1"/>
  <c r="K246" i="1"/>
  <c r="P246" i="1" s="1"/>
  <c r="K254" i="1"/>
  <c r="P254" i="1" s="1"/>
  <c r="K270" i="1"/>
  <c r="P270" i="1" s="1"/>
  <c r="K91" i="1"/>
  <c r="P91" i="1" s="1"/>
  <c r="K112" i="1"/>
  <c r="P112" i="1" s="1"/>
  <c r="K122" i="1"/>
  <c r="P122" i="1" s="1"/>
  <c r="K148" i="1"/>
  <c r="P148" i="1" s="1"/>
  <c r="K149" i="1"/>
  <c r="P149" i="1" s="1"/>
  <c r="K154" i="1"/>
  <c r="P154" i="1" s="1"/>
  <c r="K163" i="1"/>
  <c r="P163" i="1" s="1"/>
  <c r="K180" i="1"/>
  <c r="P180" i="1" s="1"/>
  <c r="K181" i="1"/>
  <c r="P181" i="1" s="1"/>
  <c r="K186" i="1"/>
  <c r="P186" i="1" s="1"/>
  <c r="K195" i="1"/>
  <c r="P195" i="1" s="1"/>
  <c r="K212" i="1"/>
  <c r="P212" i="1" s="1"/>
  <c r="K213" i="1"/>
  <c r="P213" i="1" s="1"/>
  <c r="K218" i="1"/>
  <c r="P218" i="1" s="1"/>
  <c r="K256" i="1"/>
  <c r="P256" i="1" s="1"/>
  <c r="K264" i="1"/>
  <c r="P264" i="1" s="1"/>
  <c r="K272" i="1"/>
  <c r="P272" i="1" s="1"/>
  <c r="K297" i="1"/>
  <c r="P297" i="1" s="1"/>
  <c r="L2" i="2"/>
  <c r="L13" i="2"/>
  <c r="L18" i="2"/>
  <c r="L29" i="2"/>
  <c r="L34" i="2"/>
  <c r="L45" i="2"/>
  <c r="L50" i="2"/>
  <c r="L61" i="2"/>
  <c r="K55" i="1"/>
  <c r="P55" i="1" s="1"/>
  <c r="K71" i="1"/>
  <c r="P71" i="1" s="1"/>
  <c r="K87" i="1"/>
  <c r="P87" i="1" s="1"/>
  <c r="K106" i="1"/>
  <c r="P106" i="1" s="1"/>
  <c r="K131" i="1"/>
  <c r="P131" i="1" s="1"/>
  <c r="K156" i="1"/>
  <c r="P156" i="1" s="1"/>
  <c r="K157" i="1"/>
  <c r="P157" i="1" s="1"/>
  <c r="K162" i="1"/>
  <c r="P162" i="1" s="1"/>
  <c r="K171" i="1"/>
  <c r="P171" i="1" s="1"/>
  <c r="K188" i="1"/>
  <c r="P188" i="1" s="1"/>
  <c r="K189" i="1"/>
  <c r="P189" i="1" s="1"/>
  <c r="K194" i="1"/>
  <c r="P194" i="1" s="1"/>
  <c r="K203" i="1"/>
  <c r="P203" i="1" s="1"/>
  <c r="K220" i="1"/>
  <c r="P220" i="1" s="1"/>
  <c r="K221" i="1"/>
  <c r="P221" i="1" s="1"/>
  <c r="R225" i="1"/>
  <c r="K226" i="1"/>
  <c r="P226" i="1" s="1"/>
  <c r="K234" i="1"/>
  <c r="P234" i="1" s="1"/>
  <c r="K242" i="1"/>
  <c r="P242" i="1" s="1"/>
  <c r="K250" i="1"/>
  <c r="P250" i="1" s="1"/>
  <c r="K258" i="1"/>
  <c r="P258" i="1" s="1"/>
  <c r="K266" i="1"/>
  <c r="P266" i="1" s="1"/>
  <c r="K274" i="1"/>
  <c r="P274" i="1" s="1"/>
  <c r="K289" i="1"/>
  <c r="P289" i="1" s="1"/>
  <c r="L6" i="2"/>
  <c r="L17" i="2"/>
  <c r="L22" i="2"/>
  <c r="L33" i="2"/>
  <c r="L38" i="2"/>
  <c r="L49" i="2"/>
  <c r="L54" i="2"/>
  <c r="L138" i="2"/>
  <c r="K51" i="1"/>
  <c r="P51" i="1" s="1"/>
  <c r="K67" i="1"/>
  <c r="P67" i="1" s="1"/>
  <c r="K83" i="1"/>
  <c r="P83" i="1" s="1"/>
  <c r="K99" i="1"/>
  <c r="P99" i="1" s="1"/>
  <c r="K115" i="1"/>
  <c r="P115" i="1" s="1"/>
  <c r="K120" i="1"/>
  <c r="P120" i="1" s="1"/>
  <c r="K124" i="1"/>
  <c r="P124" i="1" s="1"/>
  <c r="K147" i="1"/>
  <c r="P147" i="1" s="1"/>
  <c r="K164" i="1"/>
  <c r="P164" i="1" s="1"/>
  <c r="K165" i="1"/>
  <c r="P165" i="1" s="1"/>
  <c r="K170" i="1"/>
  <c r="P170" i="1" s="1"/>
  <c r="K179" i="1"/>
  <c r="P179" i="1" s="1"/>
  <c r="K196" i="1"/>
  <c r="P196" i="1" s="1"/>
  <c r="K197" i="1"/>
  <c r="P197" i="1" s="1"/>
  <c r="K202" i="1"/>
  <c r="P202" i="1" s="1"/>
  <c r="K211" i="1"/>
  <c r="P211" i="1" s="1"/>
  <c r="K260" i="1"/>
  <c r="P260" i="1" s="1"/>
  <c r="K268" i="1"/>
  <c r="P268" i="1" s="1"/>
  <c r="K276" i="1"/>
  <c r="P276" i="1" s="1"/>
  <c r="K281" i="1"/>
  <c r="P281" i="1" s="1"/>
  <c r="L5" i="2"/>
  <c r="L10" i="2"/>
  <c r="L21" i="2"/>
  <c r="L26" i="2"/>
  <c r="L37" i="2"/>
  <c r="L42" i="2"/>
  <c r="L53" i="2"/>
  <c r="L58" i="2"/>
  <c r="L3" i="2"/>
  <c r="K4" i="2"/>
  <c r="L4" i="2" s="1"/>
  <c r="L7" i="2"/>
  <c r="K8" i="2"/>
  <c r="L8" i="2" s="1"/>
  <c r="L11" i="2"/>
  <c r="K12" i="2"/>
  <c r="L12" i="2" s="1"/>
  <c r="L15" i="2"/>
  <c r="K16" i="2"/>
  <c r="L16" i="2" s="1"/>
  <c r="L19" i="2"/>
  <c r="K20" i="2"/>
  <c r="L20" i="2" s="1"/>
  <c r="L23" i="2"/>
  <c r="K24" i="2"/>
  <c r="L24" i="2" s="1"/>
  <c r="L27" i="2"/>
  <c r="K28" i="2"/>
  <c r="L28" i="2" s="1"/>
  <c r="L31" i="2"/>
  <c r="K32" i="2"/>
  <c r="L32" i="2" s="1"/>
  <c r="L35" i="2"/>
  <c r="K36" i="2"/>
  <c r="L36" i="2" s="1"/>
  <c r="L39" i="2"/>
  <c r="K40" i="2"/>
  <c r="L40" i="2" s="1"/>
  <c r="L43" i="2"/>
  <c r="K44" i="2"/>
  <c r="L44" i="2" s="1"/>
  <c r="L47" i="2"/>
  <c r="K48" i="2"/>
  <c r="L48" i="2" s="1"/>
  <c r="L51" i="2"/>
  <c r="K52" i="2"/>
  <c r="L52" i="2" s="1"/>
  <c r="L55" i="2"/>
  <c r="K56" i="2"/>
  <c r="L56" i="2" s="1"/>
  <c r="L59" i="2"/>
  <c r="K60" i="2"/>
  <c r="L60" i="2" s="1"/>
  <c r="L63" i="2"/>
  <c r="L201" i="2"/>
  <c r="L217" i="2"/>
  <c r="K136" i="1"/>
  <c r="P136" i="1" s="1"/>
  <c r="K142" i="1"/>
  <c r="P142" i="1" s="1"/>
  <c r="K150" i="1"/>
  <c r="P150" i="1" s="1"/>
  <c r="K158" i="1"/>
  <c r="P158" i="1" s="1"/>
  <c r="K166" i="1"/>
  <c r="P166" i="1" s="1"/>
  <c r="K174" i="1"/>
  <c r="P174" i="1" s="1"/>
  <c r="K182" i="1"/>
  <c r="P182" i="1" s="1"/>
  <c r="K190" i="1"/>
  <c r="P190" i="1" s="1"/>
  <c r="K198" i="1"/>
  <c r="P198" i="1" s="1"/>
  <c r="K206" i="1"/>
  <c r="P206" i="1" s="1"/>
  <c r="K214" i="1"/>
  <c r="P214" i="1" s="1"/>
  <c r="K222" i="1"/>
  <c r="P222" i="1" s="1"/>
  <c r="K70" i="2"/>
  <c r="L70" i="2" s="1"/>
  <c r="L71" i="2"/>
  <c r="K78" i="2"/>
  <c r="L78" i="2" s="1"/>
  <c r="L79" i="2"/>
  <c r="K86" i="2"/>
  <c r="L86" i="2" s="1"/>
  <c r="L87" i="2"/>
  <c r="K94" i="2"/>
  <c r="L94" i="2" s="1"/>
  <c r="L95" i="2"/>
  <c r="K102" i="2"/>
  <c r="L102" i="2" s="1"/>
  <c r="L103" i="2"/>
  <c r="K110" i="2"/>
  <c r="L110" i="2" s="1"/>
  <c r="L111" i="2"/>
  <c r="L143" i="2"/>
  <c r="L144" i="2"/>
  <c r="L158" i="2"/>
  <c r="L165" i="2"/>
  <c r="L166" i="2"/>
  <c r="L173" i="2"/>
  <c r="L174" i="2"/>
  <c r="L181" i="2"/>
  <c r="L182" i="2"/>
  <c r="L193" i="2"/>
  <c r="L194" i="2"/>
  <c r="L195" i="2"/>
  <c r="K100" i="1"/>
  <c r="P100" i="1" s="1"/>
  <c r="K116" i="1"/>
  <c r="P116" i="1" s="1"/>
  <c r="K132" i="1"/>
  <c r="P132" i="1" s="1"/>
  <c r="K144" i="1"/>
  <c r="P144" i="1" s="1"/>
  <c r="K152" i="1"/>
  <c r="P152" i="1" s="1"/>
  <c r="K160" i="1"/>
  <c r="P160" i="1" s="1"/>
  <c r="K168" i="1"/>
  <c r="P168" i="1" s="1"/>
  <c r="K176" i="1"/>
  <c r="P176" i="1" s="1"/>
  <c r="K184" i="1"/>
  <c r="P184" i="1" s="1"/>
  <c r="K192" i="1"/>
  <c r="P192" i="1" s="1"/>
  <c r="K200" i="1"/>
  <c r="P200" i="1" s="1"/>
  <c r="K208" i="1"/>
  <c r="P208" i="1" s="1"/>
  <c r="K216" i="1"/>
  <c r="P216" i="1" s="1"/>
  <c r="K224" i="1"/>
  <c r="P224" i="1" s="1"/>
  <c r="K285" i="1"/>
  <c r="P285" i="1" s="1"/>
  <c r="K293" i="1"/>
  <c r="P293" i="1" s="1"/>
  <c r="K301" i="1"/>
  <c r="P301" i="1" s="1"/>
  <c r="L68" i="2"/>
  <c r="L69" i="2"/>
  <c r="L76" i="2"/>
  <c r="L77" i="2"/>
  <c r="L84" i="2"/>
  <c r="L85" i="2"/>
  <c r="L92" i="2"/>
  <c r="L93" i="2"/>
  <c r="L100" i="2"/>
  <c r="L101" i="2"/>
  <c r="L108" i="2"/>
  <c r="L109" i="2"/>
  <c r="L115" i="2"/>
  <c r="L116" i="2"/>
  <c r="L119" i="2"/>
  <c r="L120" i="2"/>
  <c r="L123" i="2"/>
  <c r="L124" i="2"/>
  <c r="L127" i="2"/>
  <c r="L128" i="2"/>
  <c r="L142" i="2"/>
  <c r="L154" i="2"/>
  <c r="K64" i="2"/>
  <c r="L64" i="2" s="1"/>
  <c r="K72" i="2"/>
  <c r="L72" i="2" s="1"/>
  <c r="K80" i="2"/>
  <c r="L80" i="2" s="1"/>
  <c r="K88" i="2"/>
  <c r="L88" i="2" s="1"/>
  <c r="K96" i="2"/>
  <c r="L96" i="2" s="1"/>
  <c r="K104" i="2"/>
  <c r="L104" i="2" s="1"/>
  <c r="K112" i="2"/>
  <c r="L112" i="2" s="1"/>
  <c r="L135" i="2"/>
  <c r="L136" i="2"/>
  <c r="L151" i="2"/>
  <c r="L152" i="2"/>
  <c r="L211" i="2"/>
  <c r="K66" i="2"/>
  <c r="L66" i="2" s="1"/>
  <c r="K74" i="2"/>
  <c r="L74" i="2" s="1"/>
  <c r="K82" i="2"/>
  <c r="L82" i="2" s="1"/>
  <c r="K90" i="2"/>
  <c r="L90" i="2" s="1"/>
  <c r="K98" i="2"/>
  <c r="L98" i="2" s="1"/>
  <c r="K106" i="2"/>
  <c r="L106" i="2" s="1"/>
  <c r="K114" i="2"/>
  <c r="L114" i="2" s="1"/>
  <c r="K117" i="2"/>
  <c r="L117" i="2" s="1"/>
  <c r="K121" i="2"/>
  <c r="L121" i="2" s="1"/>
  <c r="K125" i="2"/>
  <c r="L125" i="2" s="1"/>
  <c r="L130" i="2"/>
  <c r="L134" i="2"/>
  <c r="L146" i="2"/>
  <c r="L150" i="2"/>
  <c r="L206" i="2"/>
  <c r="K129" i="2"/>
  <c r="L129" i="2" s="1"/>
  <c r="K137" i="2"/>
  <c r="L137" i="2" s="1"/>
  <c r="K145" i="2"/>
  <c r="L145" i="2" s="1"/>
  <c r="K153" i="2"/>
  <c r="L153" i="2" s="1"/>
  <c r="K163" i="2"/>
  <c r="L163" i="2" s="1"/>
  <c r="L164" i="2"/>
  <c r="K171" i="2"/>
  <c r="L171" i="2" s="1"/>
  <c r="L172" i="2"/>
  <c r="K179" i="2"/>
  <c r="L179" i="2" s="1"/>
  <c r="L180" i="2"/>
  <c r="K191" i="2"/>
  <c r="L191" i="2" s="1"/>
  <c r="L192" i="2"/>
  <c r="L199" i="2"/>
  <c r="L205" i="2"/>
  <c r="L210" i="2"/>
  <c r="L215" i="2"/>
  <c r="L221" i="2"/>
  <c r="K131" i="2"/>
  <c r="L131" i="2" s="1"/>
  <c r="K139" i="2"/>
  <c r="L139" i="2" s="1"/>
  <c r="K147" i="2"/>
  <c r="L147" i="2" s="1"/>
  <c r="K155" i="2"/>
  <c r="L155" i="2" s="1"/>
  <c r="K161" i="2"/>
  <c r="L161" i="2" s="1"/>
  <c r="L162" i="2"/>
  <c r="K169" i="2"/>
  <c r="L169" i="2" s="1"/>
  <c r="L170" i="2"/>
  <c r="K177" i="2"/>
  <c r="L177" i="2" s="1"/>
  <c r="L178" i="2"/>
  <c r="K185" i="2"/>
  <c r="L185" i="2" s="1"/>
  <c r="L186" i="2"/>
  <c r="K187" i="2"/>
  <c r="L187" i="2" s="1"/>
  <c r="L188" i="2"/>
  <c r="K189" i="2"/>
  <c r="L189" i="2" s="1"/>
  <c r="L190" i="2"/>
  <c r="L198" i="2"/>
  <c r="L203" i="2"/>
  <c r="L209" i="2"/>
  <c r="L214" i="2"/>
  <c r="L219" i="2"/>
  <c r="K133" i="2"/>
  <c r="L133" i="2" s="1"/>
  <c r="K141" i="2"/>
  <c r="L141" i="2" s="1"/>
  <c r="K149" i="2"/>
  <c r="L149" i="2" s="1"/>
  <c r="K157" i="2"/>
  <c r="L157" i="2" s="1"/>
  <c r="K159" i="2"/>
  <c r="L159" i="2" s="1"/>
  <c r="L160" i="2"/>
  <c r="K167" i="2"/>
  <c r="L167" i="2" s="1"/>
  <c r="L168" i="2"/>
  <c r="K175" i="2"/>
  <c r="L175" i="2" s="1"/>
  <c r="L176" i="2"/>
  <c r="K183" i="2"/>
  <c r="L183" i="2" s="1"/>
  <c r="L184" i="2"/>
  <c r="L197" i="2"/>
  <c r="L202" i="2"/>
  <c r="L207" i="2"/>
  <c r="L213" i="2"/>
  <c r="L218" i="2"/>
  <c r="L223" i="2"/>
  <c r="L208" i="2" l="1"/>
  <c r="L220" i="2"/>
  <c r="L204" i="2"/>
  <c r="L216" i="2"/>
  <c r="L200" i="2"/>
  <c r="L212" i="2"/>
  <c r="L156" i="2"/>
  <c r="L140" i="2"/>
  <c r="L132" i="2"/>
  <c r="L126" i="2"/>
  <c r="L122" i="2"/>
  <c r="L118" i="2"/>
  <c r="L113" i="2"/>
  <c r="L105" i="2"/>
  <c r="L97" i="2"/>
  <c r="L89" i="2"/>
  <c r="L81" i="2"/>
  <c r="L73" i="2"/>
  <c r="L65" i="2"/>
  <c r="L196" i="2"/>
  <c r="L148" i="2"/>
  <c r="L107" i="2"/>
  <c r="L75" i="2"/>
  <c r="L83" i="2"/>
  <c r="L91" i="2"/>
  <c r="L99" i="2"/>
  <c r="L67" i="2"/>
  <c r="L30" i="2"/>
  <c r="L25" i="2"/>
  <c r="L9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<sst xmlns="http://schemas.openxmlformats.org/spreadsheetml/2006/main" count="40" uniqueCount="33">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</sst>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G1" zoomScale="70" zoomScaleNormal="70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8.375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-0.33992</v>
      </c>
      <c r="AC3" t="s">
        <v>24</v>
      </c>
    </row>
    <row r="4" spans="1:29" x14ac:dyDescent="0.3">
      <c r="A4">
        <v>6.4096550000000002E-2</v>
      </c>
      <c r="B4">
        <v>0.85165999999999997</v>
      </c>
      <c r="C4">
        <f t="shared" ref="C4:C67" si="0">A4*B4</f>
        <v>5.4588467772999999E-2</v>
      </c>
      <c r="D4">
        <v>1.6500000000000001E-2</v>
      </c>
      <c r="E4">
        <v>1.413E-2</v>
      </c>
      <c r="F4">
        <f t="shared" ref="F4:F67" si="1">A4*200</f>
        <v>12.81931</v>
      </c>
      <c r="G4">
        <f t="shared" ref="G4:G67" si="2">-B4</f>
        <v>-0.85165999999999997</v>
      </c>
      <c r="H4">
        <f t="shared" ref="H4:H67" si="3">-C4*200</f>
        <v>-10.9176935546</v>
      </c>
      <c r="I4">
        <v>1</v>
      </c>
      <c r="J4">
        <f t="shared" ref="J4:J67" si="4">LN(F4/1000)</f>
        <v>-4.3568026510909634</v>
      </c>
      <c r="K4">
        <f t="shared" ref="K4:K67" si="5">((-G4)-$N$2)</f>
        <v>-0.37006515177521748</v>
      </c>
      <c r="L4">
        <v>1</v>
      </c>
      <c r="M4">
        <f t="shared" ref="M4:M67" si="6">-1*($S$4+($S$5*J4))</f>
        <v>0.33807181609115572</v>
      </c>
      <c r="N4">
        <f t="shared" ref="N4:N67" si="7">D4*A4</f>
        <v>1.057593075E-3</v>
      </c>
      <c r="O4">
        <f t="shared" ref="O4:O67" si="8">E4*A4</f>
        <v>9.056842515E-4</v>
      </c>
      <c r="P4">
        <f t="shared" ref="P4:P67" si="9">-K4-M4-N4-O4</f>
        <v>3.0030058357561763E-2</v>
      </c>
      <c r="R4" s="2" t="s">
        <v>25</v>
      </c>
      <c r="S4">
        <v>-0.53512999999999999</v>
      </c>
      <c r="V4">
        <v>-6</v>
      </c>
      <c r="W4">
        <f t="shared" ref="W4:W35" si="10">V4*$S$5+$S$4</f>
        <v>-0.26374999999999998</v>
      </c>
      <c r="Y4">
        <v>0</v>
      </c>
      <c r="Z4">
        <f t="shared" ref="Z4:Z31" si="11">$AB$4*Y4+$AB$3</f>
        <v>-0.33992</v>
      </c>
      <c r="AB4">
        <v>9.3361999999999998</v>
      </c>
      <c r="AC4" t="s">
        <v>26</v>
      </c>
    </row>
    <row r="5" spans="1:29" x14ac:dyDescent="0.3">
      <c r="A5">
        <v>0.11806999999999999</v>
      </c>
      <c r="B5">
        <v>0.84292</v>
      </c>
      <c r="C5">
        <f t="shared" si="0"/>
        <v>9.95235644E-2</v>
      </c>
      <c r="D5">
        <v>1.6500000000000001E-2</v>
      </c>
      <c r="E5">
        <v>1.413E-2</v>
      </c>
      <c r="F5">
        <f t="shared" si="1"/>
        <v>23.613999999999997</v>
      </c>
      <c r="G5">
        <f t="shared" si="2"/>
        <v>-0.84292</v>
      </c>
      <c r="H5">
        <f t="shared" si="3"/>
        <v>-19.904712880000002</v>
      </c>
      <c r="I5">
        <v>1</v>
      </c>
      <c r="J5">
        <f t="shared" si="4"/>
        <v>-3.7459155224972194</v>
      </c>
      <c r="K5">
        <f t="shared" si="5"/>
        <v>-0.37880515177521745</v>
      </c>
      <c r="L5">
        <v>1</v>
      </c>
      <c r="M5">
        <f t="shared" si="6"/>
        <v>0.36570224091745074</v>
      </c>
      <c r="N5">
        <f t="shared" si="7"/>
        <v>1.948155E-3</v>
      </c>
      <c r="O5">
        <f t="shared" si="8"/>
        <v>1.6683290999999999E-3</v>
      </c>
      <c r="P5">
        <f t="shared" si="9"/>
        <v>9.4864267577667149E-3</v>
      </c>
      <c r="R5" s="2" t="s">
        <v>27</v>
      </c>
      <c r="S5">
        <v>-4.5229999999999999E-2</v>
      </c>
      <c r="V5">
        <v>-5.9</v>
      </c>
      <c r="W5">
        <f t="shared" si="10"/>
        <v>-0.26827299999999998</v>
      </c>
      <c r="Y5">
        <v>0.01</v>
      </c>
      <c r="Z5">
        <f t="shared" si="11"/>
        <v>-0.246558</v>
      </c>
    </row>
    <row r="6" spans="1:29" x14ac:dyDescent="0.3">
      <c r="A6">
        <v>0.17204344999999999</v>
      </c>
      <c r="B6">
        <v>0.83316000000000001</v>
      </c>
      <c r="C6">
        <f t="shared" si="0"/>
        <v>0.143339720802</v>
      </c>
      <c r="D6">
        <v>1.6500000000000001E-2</v>
      </c>
      <c r="E6">
        <v>1.413E-2</v>
      </c>
      <c r="F6">
        <f t="shared" si="1"/>
        <v>34.40869</v>
      </c>
      <c r="G6">
        <f t="shared" si="2"/>
        <v>-0.83316000000000001</v>
      </c>
      <c r="H6">
        <f t="shared" si="3"/>
        <v>-28.667944160400001</v>
      </c>
      <c r="I6">
        <v>1</v>
      </c>
      <c r="J6">
        <f t="shared" si="4"/>
        <v>-3.3694461302258345</v>
      </c>
      <c r="K6">
        <f t="shared" si="5"/>
        <v>-0.38856515177521744</v>
      </c>
      <c r="L6">
        <v>1</v>
      </c>
      <c r="M6">
        <f t="shared" si="6"/>
        <v>0.38272995152988554</v>
      </c>
      <c r="N6">
        <f t="shared" si="7"/>
        <v>2.838716925E-3</v>
      </c>
      <c r="O6">
        <f t="shared" si="8"/>
        <v>2.4309739484999998E-3</v>
      </c>
      <c r="P6">
        <f t="shared" si="9"/>
        <v>5.6550937183190647E-4</v>
      </c>
      <c r="V6">
        <v>-5.8</v>
      </c>
      <c r="W6">
        <f t="shared" si="10"/>
        <v>-0.27279599999999998</v>
      </c>
      <c r="Y6">
        <v>0.02</v>
      </c>
      <c r="Z6">
        <f t="shared" si="11"/>
        <v>-0.153196</v>
      </c>
      <c r="AB6" t="s">
        <v>28</v>
      </c>
    </row>
    <row r="7" spans="1:29" x14ac:dyDescent="0.3">
      <c r="A7">
        <v>0.22398009999999999</v>
      </c>
      <c r="B7">
        <v>0.82477999999999996</v>
      </c>
      <c r="C7">
        <f t="shared" si="0"/>
        <v>0.18473430687799999</v>
      </c>
      <c r="D7">
        <v>1.6500000000000001E-2</v>
      </c>
      <c r="E7">
        <v>1.413E-2</v>
      </c>
      <c r="F7">
        <f t="shared" si="1"/>
        <v>44.796019999999999</v>
      </c>
      <c r="G7">
        <f t="shared" si="2"/>
        <v>-0.82477999999999996</v>
      </c>
      <c r="H7">
        <f t="shared" si="3"/>
        <v>-36.946861375600001</v>
      </c>
      <c r="I7">
        <v>1</v>
      </c>
      <c r="J7">
        <f t="shared" si="4"/>
        <v>-3.1056359827933551</v>
      </c>
      <c r="K7">
        <f t="shared" si="5"/>
        <v>-0.3969451517752175</v>
      </c>
      <c r="L7">
        <v>1</v>
      </c>
      <c r="M7">
        <f t="shared" si="6"/>
        <v>0.39466208449825657</v>
      </c>
      <c r="N7">
        <f t="shared" si="7"/>
        <v>3.6956716499999998E-3</v>
      </c>
      <c r="O7">
        <f t="shared" si="8"/>
        <v>3.1648388129999999E-3</v>
      </c>
      <c r="P7">
        <f t="shared" si="9"/>
        <v>-4.5774431860390735E-3</v>
      </c>
      <c r="V7">
        <v>-5.7</v>
      </c>
      <c r="W7">
        <f t="shared" si="10"/>
        <v>-0.27731899999999998</v>
      </c>
      <c r="Y7">
        <v>0.03</v>
      </c>
      <c r="Z7">
        <f t="shared" si="11"/>
        <v>-5.9833999999999998E-2</v>
      </c>
      <c r="AB7" t="s">
        <v>29</v>
      </c>
      <c r="AC7">
        <f>-AB3/AB4</f>
        <v>3.6408817291831798E-2</v>
      </c>
    </row>
    <row r="8" spans="1:29" x14ac:dyDescent="0.3">
      <c r="A8">
        <v>0.27489845000000002</v>
      </c>
      <c r="B8">
        <v>0.81781000000000004</v>
      </c>
      <c r="C8">
        <f t="shared" si="0"/>
        <v>0.22481470139450002</v>
      </c>
      <c r="D8">
        <v>1.6500000000000001E-2</v>
      </c>
      <c r="E8">
        <v>1.413E-2</v>
      </c>
      <c r="F8">
        <f t="shared" si="1"/>
        <v>54.979690000000005</v>
      </c>
      <c r="G8">
        <f t="shared" si="2"/>
        <v>-0.81781000000000004</v>
      </c>
      <c r="H8">
        <f t="shared" si="3"/>
        <v>-44.962940278900007</v>
      </c>
      <c r="I8">
        <v>1</v>
      </c>
      <c r="J8">
        <f t="shared" si="4"/>
        <v>-2.9007914346749017</v>
      </c>
      <c r="K8">
        <f t="shared" si="5"/>
        <v>-0.40391515177521742</v>
      </c>
      <c r="L8">
        <v>1</v>
      </c>
      <c r="M8">
        <f t="shared" si="6"/>
        <v>0.40392720340965416</v>
      </c>
      <c r="N8">
        <f t="shared" si="7"/>
        <v>4.5358244250000004E-3</v>
      </c>
      <c r="O8">
        <f t="shared" si="8"/>
        <v>3.8843150985000004E-3</v>
      </c>
      <c r="P8">
        <f t="shared" si="9"/>
        <v>-8.4321911579367387E-3</v>
      </c>
      <c r="V8">
        <v>-5.6</v>
      </c>
      <c r="W8">
        <f t="shared" si="10"/>
        <v>-0.28184200000000004</v>
      </c>
      <c r="Y8">
        <v>0.04</v>
      </c>
      <c r="Z8">
        <f t="shared" si="11"/>
        <v>3.3528000000000002E-2</v>
      </c>
    </row>
    <row r="9" spans="1:29" x14ac:dyDescent="0.3">
      <c r="A9">
        <v>0.32530759999999997</v>
      </c>
      <c r="B9">
        <v>0.81074000000000002</v>
      </c>
      <c r="C9">
        <f t="shared" si="0"/>
        <v>0.26373988362399997</v>
      </c>
      <c r="D9">
        <v>1.6500000000000001E-2</v>
      </c>
      <c r="E9">
        <v>1.413E-2</v>
      </c>
      <c r="F9">
        <f t="shared" si="1"/>
        <v>65.061520000000002</v>
      </c>
      <c r="G9">
        <f t="shared" si="2"/>
        <v>-0.81074000000000002</v>
      </c>
      <c r="H9">
        <f t="shared" si="3"/>
        <v>-52.747976724799997</v>
      </c>
      <c r="I9">
        <v>1</v>
      </c>
      <c r="J9">
        <f t="shared" si="4"/>
        <v>-2.7324219951603506</v>
      </c>
      <c r="K9">
        <f t="shared" si="5"/>
        <v>-0.41098515177521744</v>
      </c>
      <c r="L9">
        <v>1</v>
      </c>
      <c r="M9">
        <f t="shared" si="6"/>
        <v>0.41154255315889732</v>
      </c>
      <c r="N9">
        <f t="shared" si="7"/>
        <v>5.3675753999999996E-3</v>
      </c>
      <c r="O9">
        <f t="shared" si="8"/>
        <v>4.5965963879999999E-3</v>
      </c>
      <c r="P9">
        <f t="shared" si="9"/>
        <v>-1.0521573171679878E-2</v>
      </c>
      <c r="V9">
        <v>-5.5</v>
      </c>
      <c r="W9">
        <f t="shared" si="10"/>
        <v>-0.28636499999999998</v>
      </c>
      <c r="Y9">
        <v>0.05</v>
      </c>
      <c r="Z9">
        <f t="shared" si="11"/>
        <v>0.12689</v>
      </c>
      <c r="AB9" t="s">
        <v>30</v>
      </c>
      <c r="AC9">
        <v>3.1699999999999999E-2</v>
      </c>
    </row>
    <row r="10" spans="1:29" x14ac:dyDescent="0.3">
      <c r="A10">
        <v>0.37571674999999999</v>
      </c>
      <c r="B10">
        <v>0.80532000000000004</v>
      </c>
      <c r="C10">
        <f t="shared" si="0"/>
        <v>0.30257221310999999</v>
      </c>
      <c r="D10">
        <v>1.6500000000000001E-2</v>
      </c>
      <c r="E10">
        <v>1.413E-2</v>
      </c>
      <c r="F10">
        <f t="shared" si="1"/>
        <v>75.143349999999998</v>
      </c>
      <c r="G10">
        <f t="shared" si="2"/>
        <v>-0.80532000000000004</v>
      </c>
      <c r="H10">
        <f t="shared" si="3"/>
        <v>-60.514442621999997</v>
      </c>
      <c r="I10">
        <v>1</v>
      </c>
      <c r="J10">
        <f t="shared" si="4"/>
        <v>-2.588357656385889</v>
      </c>
      <c r="K10">
        <f t="shared" si="5"/>
        <v>-0.41640515177521742</v>
      </c>
      <c r="L10">
        <v>1</v>
      </c>
      <c r="M10">
        <f t="shared" si="6"/>
        <v>0.41805858320166622</v>
      </c>
      <c r="N10">
        <f t="shared" si="7"/>
        <v>6.1993263750000005E-3</v>
      </c>
      <c r="O10">
        <f t="shared" si="8"/>
        <v>5.3088776774999997E-3</v>
      </c>
      <c r="P10">
        <f t="shared" si="9"/>
        <v>-1.3161635478948806E-2</v>
      </c>
      <c r="V10">
        <v>-5.4</v>
      </c>
      <c r="W10">
        <f t="shared" si="10"/>
        <v>-0.29088799999999998</v>
      </c>
      <c r="Y10">
        <v>0.06</v>
      </c>
      <c r="Z10">
        <f t="shared" si="11"/>
        <v>0.220252</v>
      </c>
    </row>
    <row r="11" spans="1:29" x14ac:dyDescent="0.3">
      <c r="A11">
        <v>0.42714425</v>
      </c>
      <c r="B11">
        <v>0.79935</v>
      </c>
      <c r="C11">
        <f t="shared" si="0"/>
        <v>0.3414377562375</v>
      </c>
      <c r="D11">
        <v>1.6500000000000001E-2</v>
      </c>
      <c r="E11">
        <v>1.413E-2</v>
      </c>
      <c r="F11">
        <f t="shared" si="1"/>
        <v>85.428849999999997</v>
      </c>
      <c r="G11">
        <f t="shared" si="2"/>
        <v>-0.79935</v>
      </c>
      <c r="H11">
        <f t="shared" si="3"/>
        <v>-68.287551247500005</v>
      </c>
      <c r="I11">
        <v>1</v>
      </c>
      <c r="J11">
        <f t="shared" si="4"/>
        <v>-2.4600714132225701</v>
      </c>
      <c r="K11">
        <f t="shared" si="5"/>
        <v>-0.42237515177521745</v>
      </c>
      <c r="L11">
        <v>1</v>
      </c>
      <c r="M11">
        <f t="shared" si="6"/>
        <v>0.42386096997994316</v>
      </c>
      <c r="N11">
        <f t="shared" si="7"/>
        <v>7.0478801250000002E-3</v>
      </c>
      <c r="O11">
        <f t="shared" si="8"/>
        <v>6.0355482525E-3</v>
      </c>
      <c r="P11">
        <f t="shared" si="9"/>
        <v>-1.4569246582225708E-2</v>
      </c>
      <c r="V11">
        <v>-5.3</v>
      </c>
      <c r="W11">
        <f t="shared" si="10"/>
        <v>-0.29541099999999998</v>
      </c>
      <c r="Y11">
        <v>7.0000000000000007E-2</v>
      </c>
      <c r="Z11">
        <f t="shared" si="11"/>
        <v>0.31361400000000006</v>
      </c>
      <c r="AB11" t="s">
        <v>31</v>
      </c>
      <c r="AC11">
        <f>AC7-AC9</f>
        <v>4.7088172918317989E-3</v>
      </c>
    </row>
    <row r="12" spans="1:29" x14ac:dyDescent="0.3">
      <c r="A12">
        <v>0.47806254999999998</v>
      </c>
      <c r="B12">
        <v>0.79373000000000005</v>
      </c>
      <c r="C12">
        <f t="shared" si="0"/>
        <v>0.37945258781149999</v>
      </c>
      <c r="D12">
        <v>1.6500000000000001E-2</v>
      </c>
      <c r="E12">
        <v>1.413E-2</v>
      </c>
      <c r="F12">
        <f t="shared" si="1"/>
        <v>95.61251</v>
      </c>
      <c r="G12">
        <f t="shared" si="2"/>
        <v>-0.79373000000000005</v>
      </c>
      <c r="H12">
        <f t="shared" si="3"/>
        <v>-75.890517562299991</v>
      </c>
      <c r="I12">
        <v>1</v>
      </c>
      <c r="J12">
        <f t="shared" si="4"/>
        <v>-2.3474516097453231</v>
      </c>
      <c r="K12">
        <f t="shared" si="5"/>
        <v>-0.42799515177521741</v>
      </c>
      <c r="L12">
        <v>1</v>
      </c>
      <c r="M12">
        <f t="shared" si="6"/>
        <v>0.42895476369121904</v>
      </c>
      <c r="N12">
        <f t="shared" si="7"/>
        <v>7.8880320750000007E-3</v>
      </c>
      <c r="O12">
        <f t="shared" si="8"/>
        <v>6.7550238314999997E-3</v>
      </c>
      <c r="P12">
        <f t="shared" si="9"/>
        <v>-1.5602667822501635E-2</v>
      </c>
      <c r="V12">
        <v>-5.2</v>
      </c>
      <c r="W12">
        <f t="shared" si="10"/>
        <v>-0.29993399999999998</v>
      </c>
      <c r="Y12">
        <v>0.08</v>
      </c>
      <c r="Z12">
        <f t="shared" si="11"/>
        <v>0.406976</v>
      </c>
      <c r="AC12">
        <f>AC11*3</f>
        <v>1.4126451875495397E-2</v>
      </c>
    </row>
    <row r="13" spans="1:29" x14ac:dyDescent="0.3">
      <c r="A13">
        <v>0.53203604999999998</v>
      </c>
      <c r="B13">
        <v>0.78895999999999999</v>
      </c>
      <c r="C13">
        <f t="shared" si="0"/>
        <v>0.419755162008</v>
      </c>
      <c r="D13">
        <v>1.6500000000000001E-2</v>
      </c>
      <c r="E13">
        <v>1.413E-2</v>
      </c>
      <c r="F13">
        <f t="shared" si="1"/>
        <v>106.40720999999999</v>
      </c>
      <c r="G13">
        <f t="shared" si="2"/>
        <v>-0.78895999999999999</v>
      </c>
      <c r="H13">
        <f t="shared" si="3"/>
        <v>-83.951032401600003</v>
      </c>
      <c r="I13">
        <v>1</v>
      </c>
      <c r="J13">
        <f t="shared" si="4"/>
        <v>-2.2404819412125176</v>
      </c>
      <c r="K13">
        <f t="shared" si="5"/>
        <v>-0.43276515177521746</v>
      </c>
      <c r="L13">
        <v>1</v>
      </c>
      <c r="M13">
        <f t="shared" si="6"/>
        <v>0.43379300179895786</v>
      </c>
      <c r="N13">
        <f t="shared" si="7"/>
        <v>8.7785948249999995E-3</v>
      </c>
      <c r="O13">
        <f t="shared" si="8"/>
        <v>7.5176693864999998E-3</v>
      </c>
      <c r="P13">
        <f t="shared" si="9"/>
        <v>-1.7324114235240395E-2</v>
      </c>
      <c r="V13">
        <v>-5.0999999999999996</v>
      </c>
      <c r="W13">
        <f t="shared" si="10"/>
        <v>-0.30445699999999998</v>
      </c>
      <c r="Y13">
        <v>0.09</v>
      </c>
      <c r="Z13">
        <f t="shared" si="11"/>
        <v>0.50033799999999995</v>
      </c>
    </row>
    <row r="14" spans="1:29" x14ac:dyDescent="0.3">
      <c r="A14">
        <v>0.58346350000000002</v>
      </c>
      <c r="B14">
        <v>0.78339999999999999</v>
      </c>
      <c r="C14">
        <f t="shared" si="0"/>
        <v>0.45708530590000002</v>
      </c>
      <c r="D14">
        <v>1.6500000000000001E-2</v>
      </c>
      <c r="E14">
        <v>1.413E-2</v>
      </c>
      <c r="F14">
        <f t="shared" si="1"/>
        <v>116.6927</v>
      </c>
      <c r="G14">
        <f t="shared" si="2"/>
        <v>-0.78339999999999999</v>
      </c>
      <c r="H14">
        <f t="shared" si="3"/>
        <v>-91.417061180000005</v>
      </c>
      <c r="I14">
        <v>1</v>
      </c>
      <c r="J14">
        <f t="shared" si="4"/>
        <v>-2.1482112952023087</v>
      </c>
      <c r="K14">
        <f t="shared" si="5"/>
        <v>-0.43832515177521747</v>
      </c>
      <c r="L14">
        <v>1</v>
      </c>
      <c r="M14">
        <f t="shared" si="6"/>
        <v>0.43796640311799956</v>
      </c>
      <c r="N14">
        <f t="shared" si="7"/>
        <v>9.6271477500000004E-3</v>
      </c>
      <c r="O14">
        <f t="shared" si="8"/>
        <v>8.2443392550000001E-3</v>
      </c>
      <c r="P14">
        <f t="shared" si="9"/>
        <v>-1.7512738347782088E-2</v>
      </c>
      <c r="V14">
        <v>-5</v>
      </c>
      <c r="W14">
        <f t="shared" si="10"/>
        <v>-0.30898000000000003</v>
      </c>
      <c r="Y14">
        <v>0.1</v>
      </c>
      <c r="Z14">
        <f t="shared" si="11"/>
        <v>0.59370000000000001</v>
      </c>
    </row>
    <row r="15" spans="1:29" x14ac:dyDescent="0.3">
      <c r="A15">
        <v>0.63387260000000001</v>
      </c>
      <c r="B15">
        <v>0.77886</v>
      </c>
      <c r="C15">
        <f t="shared" si="0"/>
        <v>0.49369801323599999</v>
      </c>
      <c r="D15">
        <v>1.6500000000000001E-2</v>
      </c>
      <c r="E15">
        <v>1.413E-2</v>
      </c>
      <c r="F15">
        <f t="shared" si="1"/>
        <v>126.77452</v>
      </c>
      <c r="G15">
        <f t="shared" si="2"/>
        <v>-0.77886</v>
      </c>
      <c r="H15">
        <f t="shared" si="3"/>
        <v>-98.739602647200002</v>
      </c>
      <c r="I15">
        <v>1</v>
      </c>
      <c r="J15">
        <f t="shared" si="4"/>
        <v>-2.0653452035436786</v>
      </c>
      <c r="K15">
        <f t="shared" si="5"/>
        <v>-0.44286515177521746</v>
      </c>
      <c r="L15">
        <v>1</v>
      </c>
      <c r="M15">
        <f t="shared" si="6"/>
        <v>0.44171443644371944</v>
      </c>
      <c r="N15">
        <f t="shared" si="7"/>
        <v>1.04588979E-2</v>
      </c>
      <c r="O15">
        <f t="shared" si="8"/>
        <v>8.956619838E-3</v>
      </c>
      <c r="P15">
        <f t="shared" si="9"/>
        <v>-1.8264802406501982E-2</v>
      </c>
      <c r="V15">
        <v>-4.9000000000000004</v>
      </c>
      <c r="W15">
        <f t="shared" si="10"/>
        <v>-0.31350299999999998</v>
      </c>
      <c r="Y15">
        <v>0.11</v>
      </c>
      <c r="Z15">
        <f t="shared" si="11"/>
        <v>0.68706200000000006</v>
      </c>
    </row>
    <row r="16" spans="1:29" x14ac:dyDescent="0.3">
      <c r="A16">
        <v>0.68682774999999996</v>
      </c>
      <c r="B16">
        <v>0.77454000000000001</v>
      </c>
      <c r="C16">
        <f t="shared" si="0"/>
        <v>0.53197556548500002</v>
      </c>
      <c r="D16">
        <v>1.6500000000000001E-2</v>
      </c>
      <c r="E16">
        <v>1.413E-2</v>
      </c>
      <c r="F16">
        <f t="shared" si="1"/>
        <v>137.36554999999998</v>
      </c>
      <c r="G16">
        <f t="shared" si="2"/>
        <v>-0.77454000000000001</v>
      </c>
      <c r="H16">
        <f t="shared" si="3"/>
        <v>-106.39511309700001</v>
      </c>
      <c r="I16">
        <v>1</v>
      </c>
      <c r="J16">
        <f t="shared" si="4"/>
        <v>-1.9851096584333965</v>
      </c>
      <c r="K16">
        <f t="shared" si="5"/>
        <v>-0.44718515177521745</v>
      </c>
      <c r="L16">
        <v>1</v>
      </c>
      <c r="M16">
        <f t="shared" si="6"/>
        <v>0.4453434901490575</v>
      </c>
      <c r="N16">
        <f t="shared" si="7"/>
        <v>1.1332657874999999E-2</v>
      </c>
      <c r="O16">
        <f t="shared" si="8"/>
        <v>9.7048761074999997E-3</v>
      </c>
      <c r="P16">
        <f t="shared" si="9"/>
        <v>-1.9195872356340047E-2</v>
      </c>
      <c r="V16">
        <v>-4.8</v>
      </c>
      <c r="W16">
        <f t="shared" si="10"/>
        <v>-0.31802600000000003</v>
      </c>
      <c r="Y16">
        <v>0.12</v>
      </c>
      <c r="Z16">
        <f t="shared" si="11"/>
        <v>0.78042400000000001</v>
      </c>
    </row>
    <row r="17" spans="1:26" x14ac:dyDescent="0.3">
      <c r="A17">
        <v>0.73723695</v>
      </c>
      <c r="B17">
        <v>0.76976999999999995</v>
      </c>
      <c r="C17">
        <f t="shared" si="0"/>
        <v>0.56750288700149998</v>
      </c>
      <c r="D17">
        <v>1.6500000000000001E-2</v>
      </c>
      <c r="E17">
        <v>1.413E-2</v>
      </c>
      <c r="F17">
        <f t="shared" si="1"/>
        <v>147.44739000000001</v>
      </c>
      <c r="G17">
        <f t="shared" si="2"/>
        <v>-0.76976999999999995</v>
      </c>
      <c r="H17">
        <f t="shared" si="3"/>
        <v>-113.50057740029999</v>
      </c>
      <c r="I17">
        <v>1</v>
      </c>
      <c r="J17">
        <f t="shared" si="4"/>
        <v>-1.9142838447930794</v>
      </c>
      <c r="K17">
        <f t="shared" si="5"/>
        <v>-0.4519551517752175</v>
      </c>
      <c r="L17">
        <v>1</v>
      </c>
      <c r="M17">
        <f t="shared" si="6"/>
        <v>0.44854694170000903</v>
      </c>
      <c r="N17">
        <f t="shared" si="7"/>
        <v>1.2164409675000001E-2</v>
      </c>
      <c r="O17">
        <f t="shared" si="8"/>
        <v>1.04171581035E-2</v>
      </c>
      <c r="P17">
        <f t="shared" si="9"/>
        <v>-1.9173357703291528E-2</v>
      </c>
      <c r="V17">
        <v>-4.7</v>
      </c>
      <c r="W17">
        <f t="shared" si="10"/>
        <v>-0.32254899999999997</v>
      </c>
      <c r="Y17">
        <v>0.13</v>
      </c>
      <c r="Z17">
        <f t="shared" si="11"/>
        <v>0.87378599999999995</v>
      </c>
    </row>
    <row r="18" spans="1:26" x14ac:dyDescent="0.3">
      <c r="A18">
        <v>0.78764599999999996</v>
      </c>
      <c r="B18">
        <v>0.76580000000000004</v>
      </c>
      <c r="C18">
        <f t="shared" si="0"/>
        <v>0.60317930679999998</v>
      </c>
      <c r="D18">
        <v>1.6500000000000001E-2</v>
      </c>
      <c r="E18">
        <v>1.413E-2</v>
      </c>
      <c r="F18">
        <f t="shared" si="1"/>
        <v>157.5292</v>
      </c>
      <c r="G18">
        <f t="shared" si="2"/>
        <v>-0.76580000000000004</v>
      </c>
      <c r="H18">
        <f t="shared" si="3"/>
        <v>-120.63586135999999</v>
      </c>
      <c r="I18">
        <v>1</v>
      </c>
      <c r="J18">
        <f t="shared" si="4"/>
        <v>-1.8481444410749199</v>
      </c>
      <c r="K18">
        <f t="shared" si="5"/>
        <v>-0.45592515177521742</v>
      </c>
      <c r="L18">
        <v>1</v>
      </c>
      <c r="M18">
        <f t="shared" si="6"/>
        <v>0.45153842693018137</v>
      </c>
      <c r="N18">
        <f t="shared" si="7"/>
        <v>1.2996159E-2</v>
      </c>
      <c r="O18">
        <f t="shared" si="8"/>
        <v>1.112943798E-2</v>
      </c>
      <c r="P18">
        <f t="shared" si="9"/>
        <v>-1.9738872134963951E-2</v>
      </c>
      <c r="V18">
        <v>-4.5999999999999996</v>
      </c>
      <c r="W18">
        <f t="shared" si="10"/>
        <v>-0.32707200000000003</v>
      </c>
      <c r="Y18">
        <v>0.14000000000000001</v>
      </c>
      <c r="Z18">
        <f t="shared" si="11"/>
        <v>0.96714800000000012</v>
      </c>
    </row>
    <row r="19" spans="1:26" x14ac:dyDescent="0.3">
      <c r="A19">
        <v>0.83958270000000002</v>
      </c>
      <c r="B19">
        <v>0.76156000000000001</v>
      </c>
      <c r="C19">
        <f t="shared" si="0"/>
        <v>0.63939260101200002</v>
      </c>
      <c r="D19">
        <v>1.6500000000000001E-2</v>
      </c>
      <c r="E19">
        <v>1.413E-2</v>
      </c>
      <c r="F19">
        <f t="shared" si="1"/>
        <v>167.91654</v>
      </c>
      <c r="G19">
        <f t="shared" si="2"/>
        <v>-0.76156000000000001</v>
      </c>
      <c r="H19">
        <f t="shared" si="3"/>
        <v>-127.8785202024</v>
      </c>
      <c r="I19">
        <v>1</v>
      </c>
      <c r="J19">
        <f t="shared" si="4"/>
        <v>-1.7842882087320702</v>
      </c>
      <c r="K19">
        <f t="shared" si="5"/>
        <v>-0.46016515177521744</v>
      </c>
      <c r="L19">
        <v>1</v>
      </c>
      <c r="M19">
        <f t="shared" si="6"/>
        <v>0.45442664431904845</v>
      </c>
      <c r="N19">
        <f t="shared" si="7"/>
        <v>1.385311455E-2</v>
      </c>
      <c r="O19">
        <f t="shared" si="8"/>
        <v>1.1863303551000001E-2</v>
      </c>
      <c r="P19">
        <f t="shared" si="9"/>
        <v>-1.9977910644831006E-2</v>
      </c>
      <c r="V19">
        <v>-4.5000000000000098</v>
      </c>
      <c r="W19">
        <f t="shared" si="10"/>
        <v>-0.33159499999999953</v>
      </c>
      <c r="Y19">
        <v>0.15</v>
      </c>
      <c r="Z19">
        <f t="shared" si="11"/>
        <v>1.0605099999999998</v>
      </c>
    </row>
    <row r="20" spans="1:26" x14ac:dyDescent="0.3">
      <c r="A20">
        <v>0.89355614999999999</v>
      </c>
      <c r="B20">
        <v>0.75783999999999996</v>
      </c>
      <c r="C20">
        <f t="shared" si="0"/>
        <v>0.67717259271599994</v>
      </c>
      <c r="D20">
        <v>1.6500000000000001E-2</v>
      </c>
      <c r="E20">
        <v>1.413E-2</v>
      </c>
      <c r="F20">
        <f t="shared" si="1"/>
        <v>178.71123</v>
      </c>
      <c r="G20">
        <f t="shared" si="2"/>
        <v>-0.75783999999999996</v>
      </c>
      <c r="H20">
        <f t="shared" si="3"/>
        <v>-135.4345185432</v>
      </c>
      <c r="I20">
        <v>1</v>
      </c>
      <c r="J20">
        <f t="shared" si="4"/>
        <v>-1.7219840160380602</v>
      </c>
      <c r="K20">
        <f t="shared" si="5"/>
        <v>-0.4638851517752175</v>
      </c>
      <c r="L20">
        <v>1</v>
      </c>
      <c r="M20">
        <f t="shared" si="6"/>
        <v>0.45724466295459854</v>
      </c>
      <c r="N20">
        <f t="shared" si="7"/>
        <v>1.4743676475E-2</v>
      </c>
      <c r="O20">
        <f t="shared" si="8"/>
        <v>1.26259483995E-2</v>
      </c>
      <c r="P20">
        <f t="shared" si="9"/>
        <v>-2.0729136053881041E-2</v>
      </c>
      <c r="V20">
        <v>-4.4000000000000101</v>
      </c>
      <c r="W20">
        <f t="shared" si="10"/>
        <v>-0.33611799999999953</v>
      </c>
      <c r="Y20">
        <v>0.16</v>
      </c>
      <c r="Z20">
        <f t="shared" si="11"/>
        <v>1.153872</v>
      </c>
    </row>
    <row r="21" spans="1:26" x14ac:dyDescent="0.3">
      <c r="A21">
        <v>0.94447455000000002</v>
      </c>
      <c r="B21">
        <v>0.75329000000000002</v>
      </c>
      <c r="C21">
        <f t="shared" si="0"/>
        <v>0.71146323376950005</v>
      </c>
      <c r="D21">
        <v>1.6500000000000001E-2</v>
      </c>
      <c r="E21">
        <v>1.413E-2</v>
      </c>
      <c r="F21">
        <f t="shared" si="1"/>
        <v>188.89491000000001</v>
      </c>
      <c r="G21">
        <f t="shared" si="2"/>
        <v>-0.75329000000000002</v>
      </c>
      <c r="H21">
        <f t="shared" si="3"/>
        <v>-142.29264675390002</v>
      </c>
      <c r="I21">
        <v>1</v>
      </c>
      <c r="J21">
        <f t="shared" si="4"/>
        <v>-1.6665644503115047</v>
      </c>
      <c r="K21">
        <f t="shared" si="5"/>
        <v>-0.46843515177521744</v>
      </c>
      <c r="L21">
        <v>1</v>
      </c>
      <c r="M21">
        <f t="shared" si="6"/>
        <v>0.45975128991241065</v>
      </c>
      <c r="N21">
        <f t="shared" si="7"/>
        <v>1.5583830075000001E-2</v>
      </c>
      <c r="O21">
        <f t="shared" si="8"/>
        <v>1.33454253915E-2</v>
      </c>
      <c r="P21">
        <f t="shared" si="9"/>
        <v>-2.0245393603693214E-2</v>
      </c>
      <c r="V21">
        <v>-4.3000000000000096</v>
      </c>
      <c r="W21">
        <f t="shared" si="10"/>
        <v>-0.34064099999999953</v>
      </c>
      <c r="Y21">
        <v>0.17</v>
      </c>
      <c r="Z21">
        <f t="shared" si="11"/>
        <v>1.2472340000000002</v>
      </c>
    </row>
    <row r="22" spans="1:26" x14ac:dyDescent="0.3">
      <c r="A22">
        <v>0.99488365000000001</v>
      </c>
      <c r="B22">
        <v>0.74973999999999996</v>
      </c>
      <c r="C22">
        <f t="shared" si="0"/>
        <v>0.74590406775099993</v>
      </c>
      <c r="D22">
        <v>1.6500000000000001E-2</v>
      </c>
      <c r="E22">
        <v>1.413E-2</v>
      </c>
      <c r="F22">
        <f t="shared" si="1"/>
        <v>198.97673</v>
      </c>
      <c r="G22">
        <f t="shared" si="2"/>
        <v>-0.74973999999999996</v>
      </c>
      <c r="H22">
        <f t="shared" si="3"/>
        <v>-149.18081355019999</v>
      </c>
      <c r="I22">
        <v>1</v>
      </c>
      <c r="J22">
        <f t="shared" si="4"/>
        <v>-1.6145673957684035</v>
      </c>
      <c r="K22">
        <f t="shared" si="5"/>
        <v>-0.47198515177521749</v>
      </c>
      <c r="L22">
        <v>1</v>
      </c>
      <c r="M22">
        <f t="shared" si="6"/>
        <v>0.46210311668939508</v>
      </c>
      <c r="N22">
        <f t="shared" si="7"/>
        <v>1.6415580225E-2</v>
      </c>
      <c r="O22">
        <f t="shared" si="8"/>
        <v>1.40577059745E-2</v>
      </c>
      <c r="P22">
        <f t="shared" si="9"/>
        <v>-2.0591251113677586E-2</v>
      </c>
      <c r="V22">
        <v>-4.2000000000000099</v>
      </c>
      <c r="W22">
        <f t="shared" si="10"/>
        <v>-0.34516399999999958</v>
      </c>
      <c r="Y22">
        <v>0.18</v>
      </c>
      <c r="Z22">
        <f t="shared" si="11"/>
        <v>1.3405959999999999</v>
      </c>
    </row>
    <row r="23" spans="1:26" x14ac:dyDescent="0.3">
      <c r="A23">
        <v>1.0463112999999999</v>
      </c>
      <c r="B23">
        <v>0.74651999999999996</v>
      </c>
      <c r="C23">
        <f t="shared" si="0"/>
        <v>0.78109231167599991</v>
      </c>
      <c r="D23">
        <v>1.6500000000000001E-2</v>
      </c>
      <c r="E23">
        <v>1.413E-2</v>
      </c>
      <c r="F23">
        <f t="shared" si="1"/>
        <v>209.26226</v>
      </c>
      <c r="G23">
        <f t="shared" si="2"/>
        <v>-0.74651999999999996</v>
      </c>
      <c r="H23">
        <f t="shared" si="3"/>
        <v>-156.21846233519997</v>
      </c>
      <c r="I23">
        <v>1</v>
      </c>
      <c r="J23">
        <f t="shared" si="4"/>
        <v>-1.564166981125785</v>
      </c>
      <c r="K23">
        <f t="shared" si="5"/>
        <v>-0.47520515177521749</v>
      </c>
      <c r="L23">
        <v>1</v>
      </c>
      <c r="M23">
        <f t="shared" si="6"/>
        <v>0.46438272744368075</v>
      </c>
      <c r="N23">
        <f t="shared" si="7"/>
        <v>1.7264136449999998E-2</v>
      </c>
      <c r="O23">
        <f t="shared" si="8"/>
        <v>1.4784378668999999E-2</v>
      </c>
      <c r="P23">
        <f t="shared" si="9"/>
        <v>-2.1226090787463257E-2</v>
      </c>
      <c r="V23">
        <v>-4.1000000000000103</v>
      </c>
      <c r="W23">
        <f t="shared" si="10"/>
        <v>-0.34968699999999953</v>
      </c>
      <c r="Y23">
        <v>0.19</v>
      </c>
      <c r="Z23">
        <f t="shared" si="11"/>
        <v>1.4339580000000001</v>
      </c>
    </row>
    <row r="24" spans="1:26" x14ac:dyDescent="0.3">
      <c r="A24">
        <v>1.0967203000000001</v>
      </c>
      <c r="B24">
        <v>0.74268000000000001</v>
      </c>
      <c r="C24">
        <f t="shared" si="0"/>
        <v>0.81451223240400006</v>
      </c>
      <c r="D24">
        <v>1.6500000000000001E-2</v>
      </c>
      <c r="E24">
        <v>1.413E-2</v>
      </c>
      <c r="F24">
        <f t="shared" si="1"/>
        <v>219.34406000000001</v>
      </c>
      <c r="G24">
        <f t="shared" si="2"/>
        <v>-0.74268000000000001</v>
      </c>
      <c r="H24">
        <f t="shared" si="3"/>
        <v>-162.90244648080002</v>
      </c>
      <c r="I24">
        <v>1</v>
      </c>
      <c r="J24">
        <f t="shared" si="4"/>
        <v>-1.517113731745702</v>
      </c>
      <c r="K24">
        <f t="shared" si="5"/>
        <v>-0.47904515177521745</v>
      </c>
      <c r="L24">
        <v>1</v>
      </c>
      <c r="M24">
        <f t="shared" si="6"/>
        <v>0.46651094591314191</v>
      </c>
      <c r="N24">
        <f t="shared" si="7"/>
        <v>1.8095884950000002E-2</v>
      </c>
      <c r="O24">
        <f t="shared" si="8"/>
        <v>1.5496657839000002E-2</v>
      </c>
      <c r="P24">
        <f t="shared" si="9"/>
        <v>-2.1058336926924461E-2</v>
      </c>
      <c r="V24">
        <v>-4.0000000000000098</v>
      </c>
      <c r="W24">
        <f t="shared" si="10"/>
        <v>-0.35420999999999958</v>
      </c>
      <c r="Y24">
        <v>0.2</v>
      </c>
      <c r="Z24">
        <f t="shared" si="11"/>
        <v>1.52732</v>
      </c>
    </row>
    <row r="25" spans="1:26" x14ac:dyDescent="0.3">
      <c r="A25">
        <v>1.1471294999999999</v>
      </c>
      <c r="B25">
        <v>0.73904999999999998</v>
      </c>
      <c r="C25">
        <f t="shared" si="0"/>
        <v>0.84778605697499987</v>
      </c>
      <c r="D25">
        <v>1.6500000000000001E-2</v>
      </c>
      <c r="E25">
        <v>1.413E-2</v>
      </c>
      <c r="F25">
        <f t="shared" si="1"/>
        <v>229.42589999999998</v>
      </c>
      <c r="G25">
        <f t="shared" si="2"/>
        <v>-0.73904999999999998</v>
      </c>
      <c r="H25">
        <f t="shared" si="3"/>
        <v>-169.55721139499997</v>
      </c>
      <c r="I25">
        <v>1</v>
      </c>
      <c r="J25">
        <f t="shared" si="4"/>
        <v>-1.4721751774341498</v>
      </c>
      <c r="K25">
        <f t="shared" si="5"/>
        <v>-0.48267515177521747</v>
      </c>
      <c r="L25">
        <v>1</v>
      </c>
      <c r="M25">
        <f t="shared" si="6"/>
        <v>0.46854351672465339</v>
      </c>
      <c r="N25">
        <f t="shared" si="7"/>
        <v>1.8927636750000001E-2</v>
      </c>
      <c r="O25">
        <f t="shared" si="8"/>
        <v>1.6208939834999998E-2</v>
      </c>
      <c r="P25">
        <f t="shared" si="9"/>
        <v>-2.1004941534435915E-2</v>
      </c>
      <c r="V25">
        <v>-3.9000000000000101</v>
      </c>
      <c r="W25">
        <f t="shared" si="10"/>
        <v>-0.35873299999999952</v>
      </c>
      <c r="Y25">
        <v>0.21</v>
      </c>
      <c r="Z25">
        <f t="shared" si="11"/>
        <v>1.620682</v>
      </c>
    </row>
    <row r="26" spans="1:26" x14ac:dyDescent="0.3">
      <c r="A26">
        <v>1.1980478999999999</v>
      </c>
      <c r="B26">
        <v>0.73548000000000002</v>
      </c>
      <c r="C26">
        <f t="shared" si="0"/>
        <v>0.88114026949199997</v>
      </c>
      <c r="D26">
        <v>1.6500000000000001E-2</v>
      </c>
      <c r="E26">
        <v>1.413E-2</v>
      </c>
      <c r="F26">
        <f t="shared" si="1"/>
        <v>239.60957999999999</v>
      </c>
      <c r="G26">
        <f t="shared" si="2"/>
        <v>-0.73548000000000002</v>
      </c>
      <c r="H26">
        <f t="shared" si="3"/>
        <v>-176.22805389839999</v>
      </c>
      <c r="I26">
        <v>1</v>
      </c>
      <c r="J26">
        <f t="shared" si="4"/>
        <v>-1.4287444302346446</v>
      </c>
      <c r="K26">
        <f t="shared" si="5"/>
        <v>-0.48624515177521743</v>
      </c>
      <c r="L26">
        <v>1</v>
      </c>
      <c r="M26">
        <f t="shared" si="6"/>
        <v>0.47050788942048705</v>
      </c>
      <c r="N26">
        <f t="shared" si="7"/>
        <v>1.9767790350000002E-2</v>
      </c>
      <c r="O26">
        <f t="shared" si="8"/>
        <v>1.6928416826999998E-2</v>
      </c>
      <c r="P26">
        <f t="shared" si="9"/>
        <v>-2.0958944822269614E-2</v>
      </c>
      <c r="V26">
        <v>-3.80000000000001</v>
      </c>
      <c r="W26">
        <f t="shared" si="10"/>
        <v>-0.36325599999999958</v>
      </c>
      <c r="Y26">
        <v>0.22</v>
      </c>
      <c r="Z26">
        <f t="shared" si="11"/>
        <v>1.7140440000000001</v>
      </c>
    </row>
    <row r="27" spans="1:26" x14ac:dyDescent="0.3">
      <c r="A27">
        <v>1.2484569999999999</v>
      </c>
      <c r="B27">
        <v>0.73219999999999996</v>
      </c>
      <c r="C27">
        <f t="shared" si="0"/>
        <v>0.91412021539999988</v>
      </c>
      <c r="D27">
        <v>1.6500000000000001E-2</v>
      </c>
      <c r="E27">
        <v>1.413E-2</v>
      </c>
      <c r="F27">
        <f t="shared" si="1"/>
        <v>249.69139999999999</v>
      </c>
      <c r="G27">
        <f t="shared" si="2"/>
        <v>-0.73219999999999996</v>
      </c>
      <c r="H27">
        <f t="shared" si="3"/>
        <v>-182.82404307999997</v>
      </c>
      <c r="I27">
        <v>1</v>
      </c>
      <c r="J27">
        <f t="shared" si="4"/>
        <v>-1.3875295236191214</v>
      </c>
      <c r="K27">
        <f t="shared" si="5"/>
        <v>-0.48952515177521749</v>
      </c>
      <c r="L27">
        <v>1</v>
      </c>
      <c r="M27">
        <f t="shared" si="6"/>
        <v>0.47237203964670715</v>
      </c>
      <c r="N27">
        <f t="shared" si="7"/>
        <v>2.0599540499999999E-2</v>
      </c>
      <c r="O27">
        <f t="shared" si="8"/>
        <v>1.764069741E-2</v>
      </c>
      <c r="P27">
        <f t="shared" si="9"/>
        <v>-2.1087125781489659E-2</v>
      </c>
      <c r="V27">
        <v>-3.7000000000000099</v>
      </c>
      <c r="W27">
        <f t="shared" si="10"/>
        <v>-0.36777899999999952</v>
      </c>
      <c r="Y27">
        <v>0.23</v>
      </c>
      <c r="Z27">
        <f t="shared" si="11"/>
        <v>1.8074060000000001</v>
      </c>
    </row>
    <row r="28" spans="1:26" x14ac:dyDescent="0.3">
      <c r="A28">
        <v>1.3019213000000001</v>
      </c>
      <c r="B28">
        <v>0.72909999999999997</v>
      </c>
      <c r="C28">
        <f t="shared" si="0"/>
        <v>0.94923081983000002</v>
      </c>
      <c r="D28">
        <v>1.6500000000000001E-2</v>
      </c>
      <c r="E28">
        <v>1.413E-2</v>
      </c>
      <c r="F28">
        <f t="shared" si="1"/>
        <v>260.38426000000004</v>
      </c>
      <c r="G28">
        <f t="shared" si="2"/>
        <v>-0.72909999999999997</v>
      </c>
      <c r="H28">
        <f t="shared" si="3"/>
        <v>-189.84616396600001</v>
      </c>
      <c r="I28">
        <v>1</v>
      </c>
      <c r="J28">
        <f t="shared" si="4"/>
        <v>-1.3455968159431337</v>
      </c>
      <c r="K28">
        <f t="shared" si="5"/>
        <v>-0.49262515177521748</v>
      </c>
      <c r="L28">
        <v>1</v>
      </c>
      <c r="M28">
        <f t="shared" si="6"/>
        <v>0.47426865601489204</v>
      </c>
      <c r="N28">
        <f t="shared" si="7"/>
        <v>2.1481701450000001E-2</v>
      </c>
      <c r="O28">
        <f t="shared" si="8"/>
        <v>1.8396147969E-2</v>
      </c>
      <c r="P28">
        <f t="shared" si="9"/>
        <v>-2.1521353658674559E-2</v>
      </c>
      <c r="V28">
        <v>-3.6000000000000099</v>
      </c>
      <c r="W28">
        <f t="shared" si="10"/>
        <v>-0.37230199999999958</v>
      </c>
      <c r="Y28">
        <v>0.24</v>
      </c>
      <c r="Z28">
        <f t="shared" si="11"/>
        <v>1.900768</v>
      </c>
    </row>
    <row r="29" spans="1:26" x14ac:dyDescent="0.3">
      <c r="A29">
        <v>1.3528395</v>
      </c>
      <c r="B29">
        <v>0.72541999999999995</v>
      </c>
      <c r="C29">
        <f t="shared" si="0"/>
        <v>0.98137683008999987</v>
      </c>
      <c r="D29">
        <v>1.6500000000000001E-2</v>
      </c>
      <c r="E29">
        <v>1.413E-2</v>
      </c>
      <c r="F29">
        <f t="shared" si="1"/>
        <v>270.56790000000001</v>
      </c>
      <c r="G29">
        <f t="shared" si="2"/>
        <v>-0.72541999999999995</v>
      </c>
      <c r="H29">
        <f t="shared" si="3"/>
        <v>-196.27536601799997</v>
      </c>
      <c r="I29">
        <v>1</v>
      </c>
      <c r="J29">
        <f t="shared" si="4"/>
        <v>-1.3072321955591457</v>
      </c>
      <c r="K29">
        <f t="shared" si="5"/>
        <v>-0.4963051517752175</v>
      </c>
      <c r="L29">
        <v>1</v>
      </c>
      <c r="M29">
        <f t="shared" si="6"/>
        <v>0.4760038877948598</v>
      </c>
      <c r="N29">
        <f t="shared" si="7"/>
        <v>2.232185175E-2</v>
      </c>
      <c r="O29">
        <f t="shared" si="8"/>
        <v>1.9115622135E-2</v>
      </c>
      <c r="P29">
        <f t="shared" si="9"/>
        <v>-2.1136209904642302E-2</v>
      </c>
      <c r="V29">
        <v>-3.5000000000000102</v>
      </c>
      <c r="W29">
        <f t="shared" si="10"/>
        <v>-0.37682499999999952</v>
      </c>
      <c r="Y29">
        <v>0.25</v>
      </c>
      <c r="Z29">
        <f t="shared" si="11"/>
        <v>1.99413</v>
      </c>
    </row>
    <row r="30" spans="1:26" x14ac:dyDescent="0.3">
      <c r="A30">
        <v>1.4037577999999999</v>
      </c>
      <c r="B30">
        <v>0.72213000000000005</v>
      </c>
      <c r="C30">
        <f t="shared" si="0"/>
        <v>1.0136956201139999</v>
      </c>
      <c r="D30">
        <v>1.6500000000000001E-2</v>
      </c>
      <c r="E30">
        <v>1.413E-2</v>
      </c>
      <c r="F30">
        <f t="shared" si="1"/>
        <v>280.75155999999998</v>
      </c>
      <c r="G30">
        <f t="shared" si="2"/>
        <v>-0.72213000000000005</v>
      </c>
      <c r="H30">
        <f t="shared" si="3"/>
        <v>-202.73912402279998</v>
      </c>
      <c r="I30">
        <v>1</v>
      </c>
      <c r="J30">
        <f t="shared" si="4"/>
        <v>-1.2702851288340531</v>
      </c>
      <c r="K30">
        <f t="shared" si="5"/>
        <v>-0.49959515177521741</v>
      </c>
      <c r="L30">
        <v>1</v>
      </c>
      <c r="M30">
        <f t="shared" si="6"/>
        <v>0.47767500362283577</v>
      </c>
      <c r="N30">
        <f t="shared" si="7"/>
        <v>2.3162003699999999E-2</v>
      </c>
      <c r="O30">
        <f t="shared" si="8"/>
        <v>1.9835097714000001E-2</v>
      </c>
      <c r="P30">
        <f t="shared" si="9"/>
        <v>-2.1076953261618365E-2</v>
      </c>
      <c r="V30">
        <v>-3.4000000000000101</v>
      </c>
      <c r="W30">
        <f t="shared" si="10"/>
        <v>-0.38134799999999958</v>
      </c>
      <c r="Y30">
        <v>0.26</v>
      </c>
      <c r="Z30">
        <f t="shared" si="11"/>
        <v>2.0874920000000001</v>
      </c>
    </row>
    <row r="31" spans="1:26" x14ac:dyDescent="0.3">
      <c r="A31">
        <v>1.454167</v>
      </c>
      <c r="B31">
        <v>0.71928999999999998</v>
      </c>
      <c r="C31">
        <f t="shared" si="0"/>
        <v>1.0459677814299999</v>
      </c>
      <c r="D31">
        <v>1.6500000000000001E-2</v>
      </c>
      <c r="E31">
        <v>1.413E-2</v>
      </c>
      <c r="F31">
        <f t="shared" si="1"/>
        <v>290.83339999999998</v>
      </c>
      <c r="G31">
        <f t="shared" si="2"/>
        <v>-0.71928999999999998</v>
      </c>
      <c r="H31">
        <f t="shared" si="3"/>
        <v>-209.19355628599999</v>
      </c>
      <c r="I31">
        <v>1</v>
      </c>
      <c r="J31">
        <f t="shared" si="4"/>
        <v>-1.2350046843473299</v>
      </c>
      <c r="K31">
        <f t="shared" si="5"/>
        <v>-0.50243515177521747</v>
      </c>
      <c r="L31">
        <v>1</v>
      </c>
      <c r="M31">
        <f t="shared" si="6"/>
        <v>0.47927073812697024</v>
      </c>
      <c r="N31">
        <f t="shared" si="7"/>
        <v>2.3993755500000002E-2</v>
      </c>
      <c r="O31">
        <f t="shared" si="8"/>
        <v>2.0547379710000001E-2</v>
      </c>
      <c r="P31">
        <f t="shared" si="9"/>
        <v>-2.1376721561752774E-2</v>
      </c>
      <c r="V31">
        <v>-3.30000000000001</v>
      </c>
      <c r="W31">
        <f t="shared" si="10"/>
        <v>-0.38587099999999952</v>
      </c>
      <c r="Y31">
        <v>0.27</v>
      </c>
      <c r="Z31">
        <f t="shared" si="11"/>
        <v>2.1808540000000001</v>
      </c>
    </row>
    <row r="32" spans="1:26" x14ac:dyDescent="0.3">
      <c r="A32">
        <v>1.5050853</v>
      </c>
      <c r="B32">
        <v>0.71560000000000001</v>
      </c>
      <c r="C32">
        <f t="shared" si="0"/>
        <v>1.0770390406799999</v>
      </c>
      <c r="D32">
        <v>1.6500000000000001E-2</v>
      </c>
      <c r="E32">
        <v>1.413E-2</v>
      </c>
      <c r="F32">
        <f t="shared" si="1"/>
        <v>301.01706000000001</v>
      </c>
      <c r="G32">
        <f t="shared" si="2"/>
        <v>-0.71560000000000001</v>
      </c>
      <c r="H32">
        <f t="shared" si="3"/>
        <v>-215.40780813599997</v>
      </c>
      <c r="I32">
        <v>1</v>
      </c>
      <c r="J32">
        <f t="shared" si="4"/>
        <v>-1.2005883380985201</v>
      </c>
      <c r="K32">
        <f t="shared" si="5"/>
        <v>-0.50612515177521744</v>
      </c>
      <c r="L32">
        <v>1</v>
      </c>
      <c r="M32">
        <f t="shared" si="6"/>
        <v>0.48082738946780396</v>
      </c>
      <c r="N32">
        <f t="shared" si="7"/>
        <v>2.4833907450000001E-2</v>
      </c>
      <c r="O32">
        <f t="shared" si="8"/>
        <v>2.1266855288999999E-2</v>
      </c>
      <c r="P32">
        <f t="shared" si="9"/>
        <v>-2.0803000431586515E-2</v>
      </c>
      <c r="V32">
        <v>-3.2000000000000099</v>
      </c>
      <c r="W32">
        <f t="shared" si="10"/>
        <v>-0.39039399999999957</v>
      </c>
    </row>
    <row r="33" spans="1:23" x14ac:dyDescent="0.3">
      <c r="A33">
        <v>1.5605861999999999</v>
      </c>
      <c r="B33">
        <v>0.71277999999999997</v>
      </c>
      <c r="C33">
        <f t="shared" si="0"/>
        <v>1.1123546316359998</v>
      </c>
      <c r="D33">
        <v>1.6500000000000001E-2</v>
      </c>
      <c r="E33">
        <v>1.413E-2</v>
      </c>
      <c r="F33">
        <f t="shared" si="1"/>
        <v>312.11723999999998</v>
      </c>
      <c r="G33">
        <f t="shared" si="2"/>
        <v>-0.71277999999999997</v>
      </c>
      <c r="H33">
        <f t="shared" si="3"/>
        <v>-222.47092632719995</v>
      </c>
      <c r="I33">
        <v>1</v>
      </c>
      <c r="J33">
        <f t="shared" si="4"/>
        <v>-1.1643763925254615</v>
      </c>
      <c r="K33">
        <f t="shared" si="5"/>
        <v>-0.50894515177521749</v>
      </c>
      <c r="L33">
        <v>1</v>
      </c>
      <c r="M33">
        <f t="shared" si="6"/>
        <v>0.48246525576607335</v>
      </c>
      <c r="N33">
        <f t="shared" si="7"/>
        <v>2.5749672299999998E-2</v>
      </c>
      <c r="O33">
        <f t="shared" si="8"/>
        <v>2.2051083005999998E-2</v>
      </c>
      <c r="P33">
        <f t="shared" si="9"/>
        <v>-2.1320859296855864E-2</v>
      </c>
      <c r="V33">
        <v>-3.1000000000000099</v>
      </c>
      <c r="W33">
        <f t="shared" si="10"/>
        <v>-0.39491699999999952</v>
      </c>
    </row>
    <row r="34" spans="1:23" x14ac:dyDescent="0.3">
      <c r="A34">
        <v>1.6120137999999999</v>
      </c>
      <c r="B34">
        <v>0.70948</v>
      </c>
      <c r="C34">
        <f t="shared" si="0"/>
        <v>1.143691550824</v>
      </c>
      <c r="D34">
        <v>1.6500000000000001E-2</v>
      </c>
      <c r="E34">
        <v>1.413E-2</v>
      </c>
      <c r="F34">
        <f t="shared" si="1"/>
        <v>322.40276</v>
      </c>
      <c r="G34">
        <f t="shared" si="2"/>
        <v>-0.70948</v>
      </c>
      <c r="H34">
        <f t="shared" si="3"/>
        <v>-228.7383101648</v>
      </c>
      <c r="I34">
        <v>1</v>
      </c>
      <c r="J34">
        <f t="shared" si="4"/>
        <v>-1.1319537075922625</v>
      </c>
      <c r="K34">
        <f t="shared" si="5"/>
        <v>-0.51224515177521746</v>
      </c>
      <c r="L34">
        <v>1</v>
      </c>
      <c r="M34">
        <f t="shared" si="6"/>
        <v>0.48393173380560195</v>
      </c>
      <c r="N34">
        <f t="shared" si="7"/>
        <v>2.6598227700000001E-2</v>
      </c>
      <c r="O34">
        <f t="shared" si="8"/>
        <v>2.2777754994000001E-2</v>
      </c>
      <c r="P34">
        <f t="shared" si="9"/>
        <v>-2.1062564724384496E-2</v>
      </c>
      <c r="V34">
        <v>-3.0000000000000102</v>
      </c>
      <c r="W34">
        <f t="shared" si="10"/>
        <v>-0.39943999999999957</v>
      </c>
    </row>
    <row r="35" spans="1:23" x14ac:dyDescent="0.3">
      <c r="A35">
        <v>1.662423</v>
      </c>
      <c r="B35">
        <v>0.70635999999999999</v>
      </c>
      <c r="C35">
        <f t="shared" si="0"/>
        <v>1.17426911028</v>
      </c>
      <c r="D35">
        <v>1.6500000000000001E-2</v>
      </c>
      <c r="E35">
        <v>1.413E-2</v>
      </c>
      <c r="F35">
        <f t="shared" si="1"/>
        <v>332.4846</v>
      </c>
      <c r="G35">
        <f t="shared" si="2"/>
        <v>-0.70635999999999999</v>
      </c>
      <c r="H35">
        <f t="shared" si="3"/>
        <v>-234.85382205600001</v>
      </c>
      <c r="I35">
        <v>1</v>
      </c>
      <c r="J35">
        <f t="shared" si="4"/>
        <v>-1.1011617357483112</v>
      </c>
      <c r="K35">
        <f t="shared" si="5"/>
        <v>-0.51536515177521747</v>
      </c>
      <c r="L35">
        <v>1</v>
      </c>
      <c r="M35">
        <f t="shared" si="6"/>
        <v>0.48532445469210389</v>
      </c>
      <c r="N35">
        <f t="shared" si="7"/>
        <v>2.74299795E-2</v>
      </c>
      <c r="O35">
        <f t="shared" si="8"/>
        <v>2.3490036990000001E-2</v>
      </c>
      <c r="P35">
        <f t="shared" si="9"/>
        <v>-2.0879319406886424E-2</v>
      </c>
      <c r="V35">
        <v>-2.9000000000000101</v>
      </c>
      <c r="W35">
        <f t="shared" si="10"/>
        <v>-0.40396299999999952</v>
      </c>
    </row>
    <row r="36" spans="1:23" x14ac:dyDescent="0.3">
      <c r="A36">
        <v>1.7133411000000001</v>
      </c>
      <c r="B36">
        <v>0.70343999999999995</v>
      </c>
      <c r="C36">
        <f t="shared" si="0"/>
        <v>1.205232663384</v>
      </c>
      <c r="D36">
        <v>1.6500000000000001E-2</v>
      </c>
      <c r="E36">
        <v>1.413E-2</v>
      </c>
      <c r="F36">
        <f t="shared" si="1"/>
        <v>342.66822000000002</v>
      </c>
      <c r="G36">
        <f t="shared" si="2"/>
        <v>-0.70343999999999995</v>
      </c>
      <c r="H36">
        <f t="shared" si="3"/>
        <v>-241.04653267680001</v>
      </c>
      <c r="I36">
        <v>1</v>
      </c>
      <c r="J36">
        <f t="shared" si="4"/>
        <v>-1.0709925885714806</v>
      </c>
      <c r="K36">
        <f t="shared" si="5"/>
        <v>-0.5182851517752175</v>
      </c>
      <c r="L36">
        <v>1</v>
      </c>
      <c r="M36">
        <f t="shared" si="6"/>
        <v>0.4866890052189119</v>
      </c>
      <c r="N36">
        <f t="shared" si="7"/>
        <v>2.8270128150000004E-2</v>
      </c>
      <c r="O36">
        <f t="shared" si="8"/>
        <v>2.4209509743000002E-2</v>
      </c>
      <c r="P36">
        <f t="shared" si="9"/>
        <v>-2.0883491336694402E-2</v>
      </c>
      <c r="V36">
        <v>-2.80000000000001</v>
      </c>
      <c r="W36">
        <f t="shared" ref="W36:W67" si="12">V36*$S$5+$S$4</f>
        <v>-0.40848599999999957</v>
      </c>
    </row>
    <row r="37" spans="1:23" x14ac:dyDescent="0.3">
      <c r="A37">
        <v>1.7647687000000001</v>
      </c>
      <c r="B37">
        <v>0.70054000000000005</v>
      </c>
      <c r="C37">
        <f t="shared" si="0"/>
        <v>1.2362910650980001</v>
      </c>
      <c r="D37">
        <v>1.6500000000000001E-2</v>
      </c>
      <c r="E37">
        <v>1.413E-2</v>
      </c>
      <c r="F37">
        <f t="shared" si="1"/>
        <v>352.95374000000004</v>
      </c>
      <c r="G37">
        <f t="shared" si="2"/>
        <v>-0.70054000000000005</v>
      </c>
      <c r="H37">
        <f t="shared" si="3"/>
        <v>-247.25821301960002</v>
      </c>
      <c r="I37">
        <v>1</v>
      </c>
      <c r="J37">
        <f t="shared" si="4"/>
        <v>-1.0414182787950406</v>
      </c>
      <c r="K37">
        <f t="shared" si="5"/>
        <v>-0.5211851517752174</v>
      </c>
      <c r="L37">
        <v>1</v>
      </c>
      <c r="M37">
        <f t="shared" si="6"/>
        <v>0.48802665125010031</v>
      </c>
      <c r="N37">
        <f t="shared" si="7"/>
        <v>2.9118683550000003E-2</v>
      </c>
      <c r="O37">
        <f t="shared" si="8"/>
        <v>2.4936181731000002E-2</v>
      </c>
      <c r="P37">
        <f t="shared" si="9"/>
        <v>-2.0896364755882909E-2</v>
      </c>
      <c r="V37">
        <v>-2.7000000000000099</v>
      </c>
      <c r="W37">
        <f t="shared" si="12"/>
        <v>-0.41300899999999952</v>
      </c>
    </row>
    <row r="38" spans="1:23" x14ac:dyDescent="0.3">
      <c r="A38">
        <v>1.8151778999999999</v>
      </c>
      <c r="B38">
        <v>0.69755999999999996</v>
      </c>
      <c r="C38">
        <f t="shared" si="0"/>
        <v>1.2661954959239998</v>
      </c>
      <c r="D38">
        <v>1.6500000000000001E-2</v>
      </c>
      <c r="E38">
        <v>1.413E-2</v>
      </c>
      <c r="F38">
        <f t="shared" si="1"/>
        <v>363.03557999999998</v>
      </c>
      <c r="G38">
        <f t="shared" si="2"/>
        <v>-0.69755999999999996</v>
      </c>
      <c r="H38">
        <f t="shared" si="3"/>
        <v>-253.23909918479995</v>
      </c>
      <c r="I38">
        <v>1</v>
      </c>
      <c r="J38">
        <f t="shared" si="4"/>
        <v>-1.0132544329916668</v>
      </c>
      <c r="K38">
        <f t="shared" si="5"/>
        <v>-0.5241651517752175</v>
      </c>
      <c r="L38">
        <v>1</v>
      </c>
      <c r="M38">
        <f t="shared" si="6"/>
        <v>0.4893005019957869</v>
      </c>
      <c r="N38">
        <f t="shared" si="7"/>
        <v>2.9950435349999999E-2</v>
      </c>
      <c r="O38">
        <f t="shared" si="8"/>
        <v>2.5648463726999998E-2</v>
      </c>
      <c r="P38">
        <f t="shared" si="9"/>
        <v>-2.0734249297569396E-2</v>
      </c>
      <c r="V38">
        <v>-2.6000000000000099</v>
      </c>
      <c r="W38">
        <f t="shared" si="12"/>
        <v>-0.41753199999999957</v>
      </c>
    </row>
    <row r="39" spans="1:23" x14ac:dyDescent="0.3">
      <c r="A39">
        <v>1.8671146000000001</v>
      </c>
      <c r="B39">
        <v>0.6946</v>
      </c>
      <c r="C39">
        <f t="shared" si="0"/>
        <v>1.2968978011600001</v>
      </c>
      <c r="D39">
        <v>1.6500000000000001E-2</v>
      </c>
      <c r="E39">
        <v>1.413E-2</v>
      </c>
      <c r="F39">
        <f t="shared" si="1"/>
        <v>373.42292000000003</v>
      </c>
      <c r="G39">
        <f t="shared" si="2"/>
        <v>-0.6946</v>
      </c>
      <c r="H39">
        <f t="shared" si="3"/>
        <v>-259.37956023200002</v>
      </c>
      <c r="I39">
        <v>1</v>
      </c>
      <c r="J39">
        <f t="shared" si="4"/>
        <v>-0.9850436678622162</v>
      </c>
      <c r="K39">
        <f t="shared" si="5"/>
        <v>-0.52712515177521746</v>
      </c>
      <c r="L39">
        <v>1</v>
      </c>
      <c r="M39">
        <f t="shared" si="6"/>
        <v>0.49057647490259193</v>
      </c>
      <c r="N39">
        <f t="shared" si="7"/>
        <v>3.0807390900000002E-2</v>
      </c>
      <c r="O39">
        <f t="shared" si="8"/>
        <v>2.6382329298000003E-2</v>
      </c>
      <c r="P39">
        <f t="shared" si="9"/>
        <v>-2.0641043325374475E-2</v>
      </c>
      <c r="V39">
        <v>-2.5000000000000102</v>
      </c>
      <c r="W39">
        <f t="shared" si="12"/>
        <v>-0.42205499999999951</v>
      </c>
    </row>
    <row r="40" spans="1:23" x14ac:dyDescent="0.3">
      <c r="A40">
        <v>1.9175237999999999</v>
      </c>
      <c r="B40">
        <v>0.69172</v>
      </c>
      <c r="C40">
        <f t="shared" si="0"/>
        <v>1.3263895629359999</v>
      </c>
      <c r="D40">
        <v>1.6500000000000001E-2</v>
      </c>
      <c r="E40">
        <v>1.413E-2</v>
      </c>
      <c r="F40">
        <f t="shared" si="1"/>
        <v>383.50475999999998</v>
      </c>
      <c r="G40">
        <f t="shared" si="2"/>
        <v>-0.69172</v>
      </c>
      <c r="H40">
        <f t="shared" si="3"/>
        <v>-265.27791258719998</v>
      </c>
      <c r="I40">
        <v>1</v>
      </c>
      <c r="J40">
        <f t="shared" si="4"/>
        <v>-0.95840324625706952</v>
      </c>
      <c r="K40">
        <f t="shared" si="5"/>
        <v>-0.53000515177521745</v>
      </c>
      <c r="L40">
        <v>1</v>
      </c>
      <c r="M40">
        <f t="shared" si="6"/>
        <v>0.49178142117179274</v>
      </c>
      <c r="N40">
        <f t="shared" si="7"/>
        <v>3.1639142699999998E-2</v>
      </c>
      <c r="O40">
        <f t="shared" si="8"/>
        <v>2.7094611293999999E-2</v>
      </c>
      <c r="P40">
        <f t="shared" si="9"/>
        <v>-2.0510023390575286E-2</v>
      </c>
      <c r="V40">
        <v>-2.4000000000000101</v>
      </c>
      <c r="W40">
        <f t="shared" si="12"/>
        <v>-0.42657799999999957</v>
      </c>
    </row>
    <row r="41" spans="1:23" x14ac:dyDescent="0.3">
      <c r="A41">
        <v>1.9730247000000001</v>
      </c>
      <c r="B41">
        <v>0.68876000000000004</v>
      </c>
      <c r="C41">
        <f t="shared" si="0"/>
        <v>1.3589404923720001</v>
      </c>
      <c r="D41">
        <v>1.6500000000000001E-2</v>
      </c>
      <c r="E41">
        <v>1.413E-2</v>
      </c>
      <c r="F41">
        <f t="shared" si="1"/>
        <v>394.60494</v>
      </c>
      <c r="G41">
        <f t="shared" si="2"/>
        <v>-0.68876000000000004</v>
      </c>
      <c r="H41">
        <f t="shared" si="3"/>
        <v>-271.78809847440004</v>
      </c>
      <c r="I41">
        <v>1</v>
      </c>
      <c r="J41">
        <f t="shared" si="4"/>
        <v>-0.92987016646539522</v>
      </c>
      <c r="K41">
        <f t="shared" si="5"/>
        <v>-0.53296515177521742</v>
      </c>
      <c r="L41">
        <v>1</v>
      </c>
      <c r="M41">
        <f t="shared" si="6"/>
        <v>0.49307197237077016</v>
      </c>
      <c r="N41">
        <f t="shared" si="7"/>
        <v>3.2554907550000005E-2</v>
      </c>
      <c r="O41">
        <f t="shared" si="8"/>
        <v>2.7878839011000002E-2</v>
      </c>
      <c r="P41">
        <f t="shared" si="9"/>
        <v>-2.0540567156552753E-2</v>
      </c>
      <c r="V41">
        <v>-2.30000000000001</v>
      </c>
      <c r="W41">
        <f t="shared" si="12"/>
        <v>-0.43110099999999951</v>
      </c>
    </row>
    <row r="42" spans="1:23" x14ac:dyDescent="0.3">
      <c r="A42">
        <v>2.0259798999999998</v>
      </c>
      <c r="B42">
        <v>0.68550999999999995</v>
      </c>
      <c r="C42">
        <f t="shared" si="0"/>
        <v>1.3888294812489999</v>
      </c>
      <c r="D42">
        <v>1.6500000000000001E-2</v>
      </c>
      <c r="E42">
        <v>1.413E-2</v>
      </c>
      <c r="F42">
        <f t="shared" si="1"/>
        <v>405.19597999999996</v>
      </c>
      <c r="G42">
        <f t="shared" si="2"/>
        <v>-0.68550999999999995</v>
      </c>
      <c r="H42">
        <f t="shared" si="3"/>
        <v>-277.76589624979999</v>
      </c>
      <c r="I42">
        <v>1</v>
      </c>
      <c r="J42">
        <f t="shared" si="4"/>
        <v>-0.90338442768347604</v>
      </c>
      <c r="K42">
        <f t="shared" si="5"/>
        <v>-0.5362151517752175</v>
      </c>
      <c r="L42">
        <v>1</v>
      </c>
      <c r="M42">
        <f t="shared" si="6"/>
        <v>0.49426992233587635</v>
      </c>
      <c r="N42">
        <f t="shared" si="7"/>
        <v>3.3428668349999996E-2</v>
      </c>
      <c r="O42">
        <f t="shared" si="8"/>
        <v>2.8627095986999997E-2</v>
      </c>
      <c r="P42">
        <f t="shared" si="9"/>
        <v>-2.0110534897658846E-2</v>
      </c>
      <c r="V42">
        <v>-2.2000000000000099</v>
      </c>
      <c r="W42">
        <f t="shared" si="12"/>
        <v>-0.43562399999999957</v>
      </c>
    </row>
    <row r="43" spans="1:23" x14ac:dyDescent="0.3">
      <c r="A43">
        <v>2.0784258000000002</v>
      </c>
      <c r="B43">
        <v>0.68278000000000005</v>
      </c>
      <c r="C43">
        <f t="shared" si="0"/>
        <v>1.4191075677240002</v>
      </c>
      <c r="D43">
        <v>1.6500000000000001E-2</v>
      </c>
      <c r="E43">
        <v>1.413E-2</v>
      </c>
      <c r="F43">
        <f t="shared" si="1"/>
        <v>415.68516000000005</v>
      </c>
      <c r="G43">
        <f t="shared" si="2"/>
        <v>-0.68278000000000005</v>
      </c>
      <c r="H43">
        <f t="shared" si="3"/>
        <v>-283.82151354480004</v>
      </c>
      <c r="I43">
        <v>1</v>
      </c>
      <c r="J43">
        <f t="shared" si="4"/>
        <v>-0.87782713218202857</v>
      </c>
      <c r="K43">
        <f t="shared" si="5"/>
        <v>-0.5389451517752174</v>
      </c>
      <c r="L43">
        <v>1</v>
      </c>
      <c r="M43">
        <f t="shared" si="6"/>
        <v>0.49542587881140687</v>
      </c>
      <c r="N43">
        <f t="shared" si="7"/>
        <v>3.4294025700000008E-2</v>
      </c>
      <c r="O43">
        <f t="shared" si="8"/>
        <v>2.9368156554000005E-2</v>
      </c>
      <c r="P43">
        <f t="shared" si="9"/>
        <v>-2.0142909290189484E-2</v>
      </c>
      <c r="V43">
        <v>-2.1000000000000099</v>
      </c>
      <c r="W43">
        <f t="shared" si="12"/>
        <v>-0.44014699999999957</v>
      </c>
    </row>
    <row r="44" spans="1:23" x14ac:dyDescent="0.3">
      <c r="A44">
        <v>2.128835</v>
      </c>
      <c r="B44">
        <v>0.67993999999999999</v>
      </c>
      <c r="C44">
        <f t="shared" si="0"/>
        <v>1.4474800698999999</v>
      </c>
      <c r="D44">
        <v>1.6500000000000001E-2</v>
      </c>
      <c r="E44">
        <v>1.413E-2</v>
      </c>
      <c r="F44">
        <f t="shared" si="1"/>
        <v>425.767</v>
      </c>
      <c r="G44">
        <f t="shared" si="2"/>
        <v>-0.67993999999999999</v>
      </c>
      <c r="H44">
        <f t="shared" si="3"/>
        <v>-289.49601397999999</v>
      </c>
      <c r="I44">
        <v>1</v>
      </c>
      <c r="J44">
        <f t="shared" si="4"/>
        <v>-0.85386303070038938</v>
      </c>
      <c r="K44">
        <f t="shared" si="5"/>
        <v>-0.54178515177521747</v>
      </c>
      <c r="L44">
        <v>1</v>
      </c>
      <c r="M44">
        <f t="shared" si="6"/>
        <v>0.49650977512142136</v>
      </c>
      <c r="N44">
        <f t="shared" si="7"/>
        <v>3.5125777500000004E-2</v>
      </c>
      <c r="O44">
        <f t="shared" si="8"/>
        <v>3.0080438550000001E-2</v>
      </c>
      <c r="P44">
        <f t="shared" si="9"/>
        <v>-1.9930839396203898E-2</v>
      </c>
      <c r="V44">
        <v>-2.0000000000000102</v>
      </c>
      <c r="W44">
        <f t="shared" si="12"/>
        <v>-0.44466999999999957</v>
      </c>
    </row>
    <row r="45" spans="1:23" x14ac:dyDescent="0.3">
      <c r="A45">
        <v>2.1797531999999999</v>
      </c>
      <c r="B45">
        <v>0.67710999999999999</v>
      </c>
      <c r="C45">
        <f t="shared" si="0"/>
        <v>1.4759326892519999</v>
      </c>
      <c r="D45">
        <v>1.6500000000000001E-2</v>
      </c>
      <c r="E45">
        <v>1.413E-2</v>
      </c>
      <c r="F45">
        <f t="shared" si="1"/>
        <v>435.95063999999996</v>
      </c>
      <c r="G45">
        <f t="shared" si="2"/>
        <v>-0.67710999999999999</v>
      </c>
      <c r="H45">
        <f t="shared" si="3"/>
        <v>-295.18653785039999</v>
      </c>
      <c r="I45">
        <v>1</v>
      </c>
      <c r="J45">
        <f t="shared" si="4"/>
        <v>-0.83022625305112718</v>
      </c>
      <c r="K45">
        <f t="shared" si="5"/>
        <v>-0.54461515177521747</v>
      </c>
      <c r="L45">
        <v>1</v>
      </c>
      <c r="M45">
        <f t="shared" si="6"/>
        <v>0.49757886657449751</v>
      </c>
      <c r="N45">
        <f t="shared" si="7"/>
        <v>3.5965927799999999E-2</v>
      </c>
      <c r="O45">
        <f t="shared" si="8"/>
        <v>3.0799912716000001E-2</v>
      </c>
      <c r="P45">
        <f t="shared" si="9"/>
        <v>-1.9729555315280048E-2</v>
      </c>
      <c r="V45">
        <v>-1.9000000000000099</v>
      </c>
      <c r="W45">
        <f t="shared" si="12"/>
        <v>-0.44919299999999956</v>
      </c>
    </row>
    <row r="46" spans="1:23" x14ac:dyDescent="0.3">
      <c r="A46">
        <v>2.2311809</v>
      </c>
      <c r="B46">
        <v>0.67425000000000002</v>
      </c>
      <c r="C46">
        <f t="shared" si="0"/>
        <v>1.504373721825</v>
      </c>
      <c r="D46">
        <v>1.6500000000000001E-2</v>
      </c>
      <c r="E46">
        <v>1.413E-2</v>
      </c>
      <c r="F46">
        <f t="shared" si="1"/>
        <v>446.23617999999999</v>
      </c>
      <c r="G46">
        <f t="shared" si="2"/>
        <v>-0.67425000000000002</v>
      </c>
      <c r="H46">
        <f t="shared" si="3"/>
        <v>-300.87474436499997</v>
      </c>
      <c r="I46">
        <v>1</v>
      </c>
      <c r="J46">
        <f t="shared" si="4"/>
        <v>-0.80690691555551852</v>
      </c>
      <c r="K46">
        <f t="shared" si="5"/>
        <v>-0.54747515177521744</v>
      </c>
      <c r="L46">
        <v>1</v>
      </c>
      <c r="M46">
        <f t="shared" si="6"/>
        <v>0.49863360020942388</v>
      </c>
      <c r="N46">
        <f t="shared" si="7"/>
        <v>3.6814484850000002E-2</v>
      </c>
      <c r="O46">
        <f t="shared" si="8"/>
        <v>3.1526586117000002E-2</v>
      </c>
      <c r="P46">
        <f t="shared" si="9"/>
        <v>-1.9499519401206443E-2</v>
      </c>
      <c r="V46">
        <v>-1.80000000000001</v>
      </c>
      <c r="W46">
        <f t="shared" si="12"/>
        <v>-0.45371599999999956</v>
      </c>
    </row>
    <row r="47" spans="1:23" x14ac:dyDescent="0.3">
      <c r="A47">
        <v>2.2831174000000001</v>
      </c>
      <c r="B47">
        <v>0.67144000000000004</v>
      </c>
      <c r="C47">
        <f t="shared" si="0"/>
        <v>1.5329763470560001</v>
      </c>
      <c r="D47">
        <v>1.6500000000000001E-2</v>
      </c>
      <c r="E47">
        <v>1.413E-2</v>
      </c>
      <c r="F47">
        <f t="shared" si="1"/>
        <v>456.62348000000003</v>
      </c>
      <c r="G47">
        <f t="shared" si="2"/>
        <v>-0.67144000000000004</v>
      </c>
      <c r="H47">
        <f t="shared" si="3"/>
        <v>-306.59526941120004</v>
      </c>
      <c r="I47">
        <v>1</v>
      </c>
      <c r="J47">
        <f t="shared" si="4"/>
        <v>-0.78389612264310404</v>
      </c>
      <c r="K47">
        <f t="shared" si="5"/>
        <v>-0.55028515177521742</v>
      </c>
      <c r="L47">
        <v>1</v>
      </c>
      <c r="M47">
        <f t="shared" si="6"/>
        <v>0.49967437837285239</v>
      </c>
      <c r="N47">
        <f t="shared" si="7"/>
        <v>3.7671437100000003E-2</v>
      </c>
      <c r="O47">
        <f t="shared" si="8"/>
        <v>3.2260448862000003E-2</v>
      </c>
      <c r="P47">
        <f t="shared" si="9"/>
        <v>-1.9321112559634979E-2</v>
      </c>
      <c r="V47">
        <v>-1.7000000000000199</v>
      </c>
      <c r="W47">
        <f t="shared" si="12"/>
        <v>-0.45823899999999906</v>
      </c>
    </row>
    <row r="48" spans="1:23" x14ac:dyDescent="0.3">
      <c r="A48">
        <v>2.3335265999999999</v>
      </c>
      <c r="B48">
        <v>0.66881000000000002</v>
      </c>
      <c r="C48">
        <f t="shared" si="0"/>
        <v>1.5606859253459999</v>
      </c>
      <c r="D48">
        <v>1.6500000000000001E-2</v>
      </c>
      <c r="E48">
        <v>1.413E-2</v>
      </c>
      <c r="F48">
        <f t="shared" si="1"/>
        <v>466.70531999999997</v>
      </c>
      <c r="G48">
        <f t="shared" si="2"/>
        <v>-0.66881000000000002</v>
      </c>
      <c r="H48">
        <f t="shared" si="3"/>
        <v>-312.13718506919997</v>
      </c>
      <c r="I48">
        <v>1</v>
      </c>
      <c r="J48">
        <f t="shared" si="4"/>
        <v>-0.76205722690556499</v>
      </c>
      <c r="K48">
        <f t="shared" si="5"/>
        <v>-0.55291515177521744</v>
      </c>
      <c r="L48">
        <v>1</v>
      </c>
      <c r="M48">
        <f t="shared" si="6"/>
        <v>0.50066215162706129</v>
      </c>
      <c r="N48">
        <f t="shared" si="7"/>
        <v>3.8503188899999999E-2</v>
      </c>
      <c r="O48">
        <f t="shared" si="8"/>
        <v>3.2972730857999996E-2</v>
      </c>
      <c r="P48">
        <f t="shared" si="9"/>
        <v>-1.9222919609843847E-2</v>
      </c>
      <c r="V48">
        <v>-1.6000000000000201</v>
      </c>
      <c r="W48">
        <f t="shared" si="12"/>
        <v>-0.46276199999999912</v>
      </c>
    </row>
    <row r="49" spans="1:23" x14ac:dyDescent="0.3">
      <c r="A49">
        <v>2.3839358000000002</v>
      </c>
      <c r="B49">
        <v>0.66603999999999997</v>
      </c>
      <c r="C49">
        <f t="shared" si="0"/>
        <v>1.5877966002320001</v>
      </c>
      <c r="D49">
        <v>1.6500000000000001E-2</v>
      </c>
      <c r="E49">
        <v>1.413E-2</v>
      </c>
      <c r="F49">
        <f t="shared" si="1"/>
        <v>476.78716000000003</v>
      </c>
      <c r="G49">
        <f t="shared" si="2"/>
        <v>-0.66603999999999997</v>
      </c>
      <c r="H49">
        <f t="shared" si="3"/>
        <v>-317.55932004639999</v>
      </c>
      <c r="I49">
        <v>1</v>
      </c>
      <c r="J49">
        <f t="shared" si="4"/>
        <v>-0.74068509312380459</v>
      </c>
      <c r="K49">
        <f t="shared" si="5"/>
        <v>-0.55568515177521749</v>
      </c>
      <c r="L49">
        <v>1</v>
      </c>
      <c r="M49">
        <f t="shared" si="6"/>
        <v>0.50162881323801034</v>
      </c>
      <c r="N49">
        <f t="shared" si="7"/>
        <v>3.9334940700000001E-2</v>
      </c>
      <c r="O49">
        <f t="shared" si="8"/>
        <v>3.3685012854000003E-2</v>
      </c>
      <c r="P49">
        <f t="shared" si="9"/>
        <v>-1.8963615016792855E-2</v>
      </c>
      <c r="V49">
        <v>-1.50000000000002</v>
      </c>
      <c r="W49">
        <f t="shared" si="12"/>
        <v>-0.46728499999999906</v>
      </c>
    </row>
    <row r="50" spans="1:23" x14ac:dyDescent="0.3">
      <c r="A50">
        <v>2.4348540000000001</v>
      </c>
      <c r="B50">
        <v>0.66349999999999998</v>
      </c>
      <c r="C50">
        <f t="shared" si="0"/>
        <v>1.615525629</v>
      </c>
      <c r="D50">
        <v>1.6500000000000001E-2</v>
      </c>
      <c r="E50">
        <v>1.413E-2</v>
      </c>
      <c r="F50">
        <f t="shared" si="1"/>
        <v>486.9708</v>
      </c>
      <c r="G50">
        <f t="shared" si="2"/>
        <v>-0.66349999999999998</v>
      </c>
      <c r="H50">
        <f t="shared" si="3"/>
        <v>-323.1051258</v>
      </c>
      <c r="I50">
        <v>1</v>
      </c>
      <c r="J50">
        <f t="shared" si="4"/>
        <v>-0.71955111662939408</v>
      </c>
      <c r="K50">
        <f t="shared" si="5"/>
        <v>-0.55822515177521748</v>
      </c>
      <c r="L50">
        <v>1</v>
      </c>
      <c r="M50">
        <f t="shared" si="6"/>
        <v>0.50258470299485247</v>
      </c>
      <c r="N50">
        <f t="shared" si="7"/>
        <v>4.0175091000000003E-2</v>
      </c>
      <c r="O50">
        <f t="shared" si="8"/>
        <v>3.4404487019999999E-2</v>
      </c>
      <c r="P50">
        <f t="shared" si="9"/>
        <v>-1.8939129239634998E-2</v>
      </c>
      <c r="V50">
        <v>-1.4000000000000199</v>
      </c>
      <c r="W50">
        <f t="shared" si="12"/>
        <v>-0.47180799999999912</v>
      </c>
    </row>
    <row r="51" spans="1:23" x14ac:dyDescent="0.3">
      <c r="A51">
        <v>2.4867908000000001</v>
      </c>
      <c r="B51">
        <v>0.66076999999999997</v>
      </c>
      <c r="C51">
        <f t="shared" si="0"/>
        <v>1.643196756916</v>
      </c>
      <c r="D51">
        <v>1.6500000000000001E-2</v>
      </c>
      <c r="E51">
        <v>1.413E-2</v>
      </c>
      <c r="F51">
        <f t="shared" si="1"/>
        <v>497.35816</v>
      </c>
      <c r="G51">
        <f t="shared" si="2"/>
        <v>-0.66076999999999997</v>
      </c>
      <c r="H51">
        <f t="shared" si="3"/>
        <v>-328.63935138319999</v>
      </c>
      <c r="I51">
        <v>1</v>
      </c>
      <c r="J51">
        <f t="shared" si="4"/>
        <v>-0.69844486856143539</v>
      </c>
      <c r="K51">
        <f t="shared" si="5"/>
        <v>-0.56095515177521749</v>
      </c>
      <c r="L51">
        <v>1</v>
      </c>
      <c r="M51">
        <f t="shared" si="6"/>
        <v>0.50353933859496625</v>
      </c>
      <c r="N51">
        <f t="shared" si="7"/>
        <v>4.1032048200000004E-2</v>
      </c>
      <c r="O51">
        <f t="shared" si="8"/>
        <v>3.5138354003999998E-2</v>
      </c>
      <c r="P51">
        <f t="shared" si="9"/>
        <v>-1.8754589023748762E-2</v>
      </c>
      <c r="V51">
        <v>-1.30000000000002</v>
      </c>
      <c r="W51">
        <f t="shared" si="12"/>
        <v>-0.47633099999999906</v>
      </c>
    </row>
    <row r="52" spans="1:23" x14ac:dyDescent="0.3">
      <c r="A52">
        <v>2.5382183</v>
      </c>
      <c r="B52">
        <v>0.65812999999999999</v>
      </c>
      <c r="C52">
        <f t="shared" si="0"/>
        <v>1.670477609779</v>
      </c>
      <c r="D52">
        <v>1.6500000000000001E-2</v>
      </c>
      <c r="E52">
        <v>1.413E-2</v>
      </c>
      <c r="F52">
        <f t="shared" si="1"/>
        <v>507.64366000000001</v>
      </c>
      <c r="G52">
        <f t="shared" si="2"/>
        <v>-0.65812999999999999</v>
      </c>
      <c r="H52">
        <f t="shared" si="3"/>
        <v>-334.0955219558</v>
      </c>
      <c r="I52">
        <v>1</v>
      </c>
      <c r="J52">
        <f t="shared" si="4"/>
        <v>-0.67797553423242363</v>
      </c>
      <c r="K52">
        <f t="shared" si="5"/>
        <v>-0.56359515177521746</v>
      </c>
      <c r="L52">
        <v>1</v>
      </c>
      <c r="M52">
        <f t="shared" si="6"/>
        <v>0.50446516658666751</v>
      </c>
      <c r="N52">
        <f t="shared" si="7"/>
        <v>4.1880601950000006E-2</v>
      </c>
      <c r="O52">
        <f t="shared" si="8"/>
        <v>3.5865024579000003E-2</v>
      </c>
      <c r="P52">
        <f t="shared" si="9"/>
        <v>-1.8615641340450059E-2</v>
      </c>
      <c r="V52">
        <v>-1.2000000000000199</v>
      </c>
      <c r="W52">
        <f t="shared" si="12"/>
        <v>-0.48085399999999912</v>
      </c>
    </row>
    <row r="53" spans="1:23" x14ac:dyDescent="0.3">
      <c r="A53">
        <v>2.5901548000000001</v>
      </c>
      <c r="B53">
        <v>0.65539000000000003</v>
      </c>
      <c r="C53">
        <f t="shared" si="0"/>
        <v>1.6975615543720002</v>
      </c>
      <c r="D53">
        <v>1.6500000000000001E-2</v>
      </c>
      <c r="E53">
        <v>1.413E-2</v>
      </c>
      <c r="F53">
        <f t="shared" si="1"/>
        <v>518.03096000000005</v>
      </c>
      <c r="G53">
        <f t="shared" si="2"/>
        <v>-0.65539000000000003</v>
      </c>
      <c r="H53">
        <f t="shared" si="3"/>
        <v>-339.51231087440004</v>
      </c>
      <c r="I53">
        <v>1</v>
      </c>
      <c r="J53">
        <f t="shared" si="4"/>
        <v>-0.65772027016894163</v>
      </c>
      <c r="K53">
        <f t="shared" si="5"/>
        <v>-0.56633515177521743</v>
      </c>
      <c r="L53">
        <v>1</v>
      </c>
      <c r="M53">
        <f t="shared" si="6"/>
        <v>0.50538131218025872</v>
      </c>
      <c r="N53">
        <f t="shared" si="7"/>
        <v>4.2737554200000007E-2</v>
      </c>
      <c r="O53">
        <f t="shared" si="8"/>
        <v>3.6598887324000004E-2</v>
      </c>
      <c r="P53">
        <f t="shared" si="9"/>
        <v>-1.8382601929041308E-2</v>
      </c>
      <c r="V53">
        <v>-1.1000000000000201</v>
      </c>
      <c r="W53">
        <f t="shared" si="12"/>
        <v>-0.48537699999999906</v>
      </c>
    </row>
    <row r="54" spans="1:23" x14ac:dyDescent="0.3">
      <c r="A54">
        <v>2.6415823</v>
      </c>
      <c r="B54">
        <v>0.65281</v>
      </c>
      <c r="C54">
        <f t="shared" si="0"/>
        <v>1.724451341263</v>
      </c>
      <c r="D54">
        <v>1.6500000000000001E-2</v>
      </c>
      <c r="E54">
        <v>1.413E-2</v>
      </c>
      <c r="F54">
        <f t="shared" si="1"/>
        <v>528.31646000000001</v>
      </c>
      <c r="G54">
        <f t="shared" si="2"/>
        <v>-0.65281</v>
      </c>
      <c r="H54">
        <f t="shared" si="3"/>
        <v>-344.89026825259998</v>
      </c>
      <c r="I54">
        <v>1</v>
      </c>
      <c r="J54">
        <f t="shared" si="4"/>
        <v>-0.63805981875737705</v>
      </c>
      <c r="K54">
        <f t="shared" si="5"/>
        <v>-0.56891515177521745</v>
      </c>
      <c r="L54">
        <v>1</v>
      </c>
      <c r="M54">
        <f t="shared" si="6"/>
        <v>0.50627055439760382</v>
      </c>
      <c r="N54">
        <f t="shared" si="7"/>
        <v>4.3586107950000001E-2</v>
      </c>
      <c r="O54">
        <f t="shared" si="8"/>
        <v>3.7325557899000002E-2</v>
      </c>
      <c r="P54">
        <f t="shared" si="9"/>
        <v>-1.8267068471386372E-2</v>
      </c>
      <c r="V54">
        <v>-1.00000000000002</v>
      </c>
      <c r="W54">
        <f t="shared" si="12"/>
        <v>-0.48989999999999911</v>
      </c>
    </row>
    <row r="55" spans="1:23" x14ac:dyDescent="0.3">
      <c r="A55">
        <v>2.6919914999999999</v>
      </c>
      <c r="B55">
        <v>0.65029000000000003</v>
      </c>
      <c r="C55">
        <f t="shared" si="0"/>
        <v>1.750575152535</v>
      </c>
      <c r="D55">
        <v>1.6500000000000001E-2</v>
      </c>
      <c r="E55">
        <v>1.413E-2</v>
      </c>
      <c r="F55">
        <f t="shared" si="1"/>
        <v>538.39829999999995</v>
      </c>
      <c r="G55">
        <f t="shared" si="2"/>
        <v>-0.65029000000000003</v>
      </c>
      <c r="H55">
        <f t="shared" si="3"/>
        <v>-350.11503050699997</v>
      </c>
      <c r="I55">
        <v>1</v>
      </c>
      <c r="J55">
        <f t="shared" si="4"/>
        <v>-0.61915665816031862</v>
      </c>
      <c r="K55">
        <f t="shared" si="5"/>
        <v>-0.57143515177521742</v>
      </c>
      <c r="L55">
        <v>1</v>
      </c>
      <c r="M55">
        <f t="shared" si="6"/>
        <v>0.50712554435140877</v>
      </c>
      <c r="N55">
        <f t="shared" si="7"/>
        <v>4.4417859749999997E-2</v>
      </c>
      <c r="O55">
        <f t="shared" si="8"/>
        <v>3.8037839895000002E-2</v>
      </c>
      <c r="P55">
        <f t="shared" si="9"/>
        <v>-1.8146092221191353E-2</v>
      </c>
      <c r="V55">
        <v>-0.90000000000002001</v>
      </c>
      <c r="W55">
        <f t="shared" si="12"/>
        <v>-0.49442299999999911</v>
      </c>
    </row>
    <row r="56" spans="1:23" x14ac:dyDescent="0.3">
      <c r="A56">
        <v>2.7424005999999999</v>
      </c>
      <c r="B56">
        <v>0.64783999999999997</v>
      </c>
      <c r="C56">
        <f t="shared" si="0"/>
        <v>1.7766368047039998</v>
      </c>
      <c r="D56">
        <v>1.6500000000000001E-2</v>
      </c>
      <c r="E56">
        <v>1.413E-2</v>
      </c>
      <c r="F56">
        <f t="shared" si="1"/>
        <v>548.48011999999994</v>
      </c>
      <c r="G56">
        <f t="shared" si="2"/>
        <v>-0.64783999999999997</v>
      </c>
      <c r="H56">
        <f t="shared" si="3"/>
        <v>-355.32736094079996</v>
      </c>
      <c r="I56">
        <v>1</v>
      </c>
      <c r="J56">
        <f t="shared" si="4"/>
        <v>-0.60060424422633651</v>
      </c>
      <c r="K56">
        <f t="shared" si="5"/>
        <v>-0.57388515177521748</v>
      </c>
      <c r="L56">
        <v>1</v>
      </c>
      <c r="M56">
        <f t="shared" si="6"/>
        <v>0.50796467003364276</v>
      </c>
      <c r="N56">
        <f t="shared" si="7"/>
        <v>4.5249609900000001E-2</v>
      </c>
      <c r="O56">
        <f t="shared" si="8"/>
        <v>3.8750120478E-2</v>
      </c>
      <c r="P56">
        <f t="shared" si="9"/>
        <v>-1.807924863642528E-2</v>
      </c>
      <c r="V56">
        <v>-0.80000000000002003</v>
      </c>
      <c r="W56">
        <f t="shared" si="12"/>
        <v>-0.49894599999999911</v>
      </c>
    </row>
    <row r="57" spans="1:23" x14ac:dyDescent="0.3">
      <c r="A57">
        <v>2.7933191000000002</v>
      </c>
      <c r="B57">
        <v>0.64509000000000005</v>
      </c>
      <c r="C57">
        <f t="shared" si="0"/>
        <v>1.8019422182190004</v>
      </c>
      <c r="D57">
        <v>1.6500000000000001E-2</v>
      </c>
      <c r="E57">
        <v>1.413E-2</v>
      </c>
      <c r="F57">
        <f t="shared" si="1"/>
        <v>558.66381999999999</v>
      </c>
      <c r="G57">
        <f t="shared" si="2"/>
        <v>-0.64509000000000005</v>
      </c>
      <c r="H57">
        <f t="shared" si="3"/>
        <v>-360.38844364380009</v>
      </c>
      <c r="I57">
        <v>1</v>
      </c>
      <c r="J57">
        <f t="shared" si="4"/>
        <v>-0.58220738208659406</v>
      </c>
      <c r="K57">
        <f t="shared" si="5"/>
        <v>-0.5766351517752174</v>
      </c>
      <c r="L57">
        <v>1</v>
      </c>
      <c r="M57">
        <f t="shared" si="6"/>
        <v>0.50879676010822339</v>
      </c>
      <c r="N57">
        <f t="shared" si="7"/>
        <v>4.6089765150000003E-2</v>
      </c>
      <c r="O57">
        <f t="shared" si="8"/>
        <v>3.9469598883000001E-2</v>
      </c>
      <c r="P57">
        <f t="shared" si="9"/>
        <v>-1.7720972366005991E-2</v>
      </c>
      <c r="V57">
        <v>-0.70000000000002005</v>
      </c>
      <c r="W57">
        <f t="shared" si="12"/>
        <v>-0.50346899999999906</v>
      </c>
    </row>
    <row r="58" spans="1:23" x14ac:dyDescent="0.3">
      <c r="A58">
        <v>2.8472925</v>
      </c>
      <c r="B58">
        <v>0.64256999999999997</v>
      </c>
      <c r="C58">
        <f t="shared" si="0"/>
        <v>1.829584741725</v>
      </c>
      <c r="D58">
        <v>1.6500000000000001E-2</v>
      </c>
      <c r="E58">
        <v>1.413E-2</v>
      </c>
      <c r="F58">
        <f t="shared" si="1"/>
        <v>569.45849999999996</v>
      </c>
      <c r="G58">
        <f t="shared" si="2"/>
        <v>-0.64256999999999997</v>
      </c>
      <c r="H58">
        <f t="shared" si="3"/>
        <v>-365.91694834499998</v>
      </c>
      <c r="I58">
        <v>1</v>
      </c>
      <c r="J58">
        <f t="shared" si="4"/>
        <v>-0.56306936968953669</v>
      </c>
      <c r="K58">
        <f t="shared" si="5"/>
        <v>-0.57915515177521748</v>
      </c>
      <c r="L58">
        <v>1</v>
      </c>
      <c r="M58">
        <f t="shared" si="6"/>
        <v>0.5096623724089423</v>
      </c>
      <c r="N58">
        <f t="shared" si="7"/>
        <v>4.6980326250000003E-2</v>
      </c>
      <c r="O58">
        <f t="shared" si="8"/>
        <v>4.0232243025000003E-2</v>
      </c>
      <c r="P58">
        <f t="shared" si="9"/>
        <v>-1.7719789908724824E-2</v>
      </c>
      <c r="V58">
        <v>-0.60000000000001996</v>
      </c>
      <c r="W58">
        <f t="shared" si="12"/>
        <v>-0.50799199999999911</v>
      </c>
    </row>
    <row r="59" spans="1:23" x14ac:dyDescent="0.3">
      <c r="A59">
        <v>2.8977016999999998</v>
      </c>
      <c r="B59">
        <v>0.63983999999999996</v>
      </c>
      <c r="C59">
        <f t="shared" si="0"/>
        <v>1.8540654557279999</v>
      </c>
      <c r="D59">
        <v>1.6500000000000001E-2</v>
      </c>
      <c r="E59">
        <v>1.413E-2</v>
      </c>
      <c r="F59">
        <f t="shared" si="1"/>
        <v>579.54034000000001</v>
      </c>
      <c r="G59">
        <f t="shared" si="2"/>
        <v>-0.63983999999999996</v>
      </c>
      <c r="H59">
        <f t="shared" si="3"/>
        <v>-370.81309114559997</v>
      </c>
      <c r="I59">
        <v>1</v>
      </c>
      <c r="J59">
        <f t="shared" si="4"/>
        <v>-0.54552000689086133</v>
      </c>
      <c r="K59">
        <f t="shared" si="5"/>
        <v>-0.58188515177521749</v>
      </c>
      <c r="L59">
        <v>1</v>
      </c>
      <c r="M59">
        <f t="shared" si="6"/>
        <v>0.51045613008832635</v>
      </c>
      <c r="N59">
        <f t="shared" si="7"/>
        <v>4.7812078049999998E-2</v>
      </c>
      <c r="O59">
        <f t="shared" si="8"/>
        <v>4.0944525020999996E-2</v>
      </c>
      <c r="P59">
        <f t="shared" si="9"/>
        <v>-1.7327581384108857E-2</v>
      </c>
      <c r="V59">
        <v>-0.50000000000001998</v>
      </c>
      <c r="W59">
        <f t="shared" si="12"/>
        <v>-0.51251499999999905</v>
      </c>
    </row>
    <row r="60" spans="1:23" x14ac:dyDescent="0.3">
      <c r="A60">
        <v>2.9481107999999998</v>
      </c>
      <c r="B60">
        <v>0.63746000000000003</v>
      </c>
      <c r="C60">
        <f t="shared" si="0"/>
        <v>1.879302710568</v>
      </c>
      <c r="D60">
        <v>1.6500000000000001E-2</v>
      </c>
      <c r="E60">
        <v>1.413E-2</v>
      </c>
      <c r="F60">
        <f t="shared" si="1"/>
        <v>589.62216000000001</v>
      </c>
      <c r="G60">
        <f t="shared" si="2"/>
        <v>-0.63746000000000003</v>
      </c>
      <c r="H60">
        <f t="shared" si="3"/>
        <v>-375.86054211359999</v>
      </c>
      <c r="I60">
        <v>1</v>
      </c>
      <c r="J60">
        <f t="shared" si="4"/>
        <v>-0.52827335401004472</v>
      </c>
      <c r="K60">
        <f t="shared" si="5"/>
        <v>-0.58426515177521743</v>
      </c>
      <c r="L60">
        <v>1</v>
      </c>
      <c r="M60">
        <f t="shared" si="6"/>
        <v>0.51123619619812566</v>
      </c>
      <c r="N60">
        <f t="shared" si="7"/>
        <v>4.8643828199999996E-2</v>
      </c>
      <c r="O60">
        <f t="shared" si="8"/>
        <v>4.1656805604000001E-2</v>
      </c>
      <c r="P60">
        <f t="shared" si="9"/>
        <v>-1.7271678226908227E-2</v>
      </c>
      <c r="V60">
        <v>-0.40000000000002001</v>
      </c>
      <c r="W60">
        <f t="shared" si="12"/>
        <v>-0.51703799999999911</v>
      </c>
    </row>
    <row r="61" spans="1:23" x14ac:dyDescent="0.3">
      <c r="A61">
        <v>3.0015749999999999</v>
      </c>
      <c r="B61">
        <v>0.63483999999999996</v>
      </c>
      <c r="C61">
        <f t="shared" si="0"/>
        <v>1.9055198729999998</v>
      </c>
      <c r="D61">
        <v>1.6500000000000001E-2</v>
      </c>
      <c r="E61">
        <v>1.413E-2</v>
      </c>
      <c r="F61">
        <f t="shared" si="1"/>
        <v>600.31499999999994</v>
      </c>
      <c r="G61">
        <f t="shared" si="2"/>
        <v>-0.63483999999999996</v>
      </c>
      <c r="H61">
        <f t="shared" si="3"/>
        <v>-381.10397459999996</v>
      </c>
      <c r="I61">
        <v>1</v>
      </c>
      <c r="J61">
        <f t="shared" si="4"/>
        <v>-0.51030076153027537</v>
      </c>
      <c r="K61">
        <f t="shared" si="5"/>
        <v>-0.5868851517752175</v>
      </c>
      <c r="L61">
        <v>1</v>
      </c>
      <c r="M61">
        <f t="shared" si="6"/>
        <v>0.51204909655598563</v>
      </c>
      <c r="N61">
        <f t="shared" si="7"/>
        <v>4.95259875E-2</v>
      </c>
      <c r="O61">
        <f t="shared" si="8"/>
        <v>4.2412254749999996E-2</v>
      </c>
      <c r="P61">
        <f t="shared" si="9"/>
        <v>-1.7102187030768129E-2</v>
      </c>
      <c r="V61">
        <v>-0.30000000000001997</v>
      </c>
      <c r="W61">
        <f t="shared" si="12"/>
        <v>-0.52156099999999905</v>
      </c>
    </row>
    <row r="62" spans="1:23" x14ac:dyDescent="0.3">
      <c r="A62">
        <v>3.0530024</v>
      </c>
      <c r="B62">
        <v>0.63238000000000005</v>
      </c>
      <c r="C62">
        <f t="shared" si="0"/>
        <v>1.9306576577120003</v>
      </c>
      <c r="D62">
        <v>1.6500000000000001E-2</v>
      </c>
      <c r="E62">
        <v>1.413E-2</v>
      </c>
      <c r="F62">
        <f t="shared" si="1"/>
        <v>610.60047999999995</v>
      </c>
      <c r="G62">
        <f t="shared" si="2"/>
        <v>-0.63238000000000005</v>
      </c>
      <c r="H62">
        <f t="shared" si="3"/>
        <v>-386.13153154240007</v>
      </c>
      <c r="I62">
        <v>1</v>
      </c>
      <c r="J62">
        <f t="shared" si="4"/>
        <v>-0.49331241256964758</v>
      </c>
      <c r="K62">
        <f t="shared" si="5"/>
        <v>-0.5893451517752174</v>
      </c>
      <c r="L62">
        <v>1</v>
      </c>
      <c r="M62">
        <f t="shared" si="6"/>
        <v>0.51281747957947488</v>
      </c>
      <c r="N62">
        <f t="shared" si="7"/>
        <v>5.0374539600000004E-2</v>
      </c>
      <c r="O62">
        <f t="shared" si="8"/>
        <v>4.3138923911999999E-2</v>
      </c>
      <c r="P62">
        <f t="shared" si="9"/>
        <v>-1.6985791316257479E-2</v>
      </c>
      <c r="V62">
        <v>-0.20000000000002</v>
      </c>
      <c r="W62">
        <f t="shared" si="12"/>
        <v>-0.52608399999999911</v>
      </c>
    </row>
    <row r="63" spans="1:23" x14ac:dyDescent="0.3">
      <c r="A63">
        <v>3.1039207000000002</v>
      </c>
      <c r="B63">
        <v>0.63007000000000002</v>
      </c>
      <c r="C63">
        <f t="shared" si="0"/>
        <v>1.9556873154490002</v>
      </c>
      <c r="D63">
        <v>1.6500000000000001E-2</v>
      </c>
      <c r="E63">
        <v>1.413E-2</v>
      </c>
      <c r="F63">
        <f t="shared" si="1"/>
        <v>620.78414000000009</v>
      </c>
      <c r="G63">
        <f t="shared" si="2"/>
        <v>-0.63007000000000002</v>
      </c>
      <c r="H63">
        <f t="shared" si="3"/>
        <v>-391.13746308980006</v>
      </c>
      <c r="I63">
        <v>1</v>
      </c>
      <c r="J63">
        <f t="shared" si="4"/>
        <v>-0.47677185811988793</v>
      </c>
      <c r="K63">
        <f t="shared" si="5"/>
        <v>-0.59165515177521744</v>
      </c>
      <c r="L63">
        <v>1</v>
      </c>
      <c r="M63">
        <f t="shared" si="6"/>
        <v>0.51356560885723745</v>
      </c>
      <c r="N63">
        <f t="shared" si="7"/>
        <v>5.1214691550000004E-2</v>
      </c>
      <c r="O63">
        <f t="shared" si="8"/>
        <v>4.3858399491000004E-2</v>
      </c>
      <c r="P63">
        <f t="shared" si="9"/>
        <v>-1.6983548123020026E-2</v>
      </c>
      <c r="V63">
        <v>-0.10000000000002</v>
      </c>
      <c r="W63">
        <f t="shared" si="12"/>
        <v>-0.53060699999999905</v>
      </c>
    </row>
    <row r="64" spans="1:23" x14ac:dyDescent="0.3">
      <c r="A64">
        <v>3.1553480999999999</v>
      </c>
      <c r="B64">
        <v>0.62714999999999999</v>
      </c>
      <c r="C64">
        <f t="shared" si="0"/>
        <v>1.9788765609149999</v>
      </c>
      <c r="D64">
        <v>1.6500000000000001E-2</v>
      </c>
      <c r="E64">
        <v>1.413E-2</v>
      </c>
      <c r="F64">
        <f t="shared" si="1"/>
        <v>631.06961999999999</v>
      </c>
      <c r="G64">
        <f t="shared" si="2"/>
        <v>-0.62714999999999999</v>
      </c>
      <c r="H64">
        <f t="shared" si="3"/>
        <v>-395.77531218299998</v>
      </c>
      <c r="I64">
        <v>1</v>
      </c>
      <c r="J64">
        <f t="shared" si="4"/>
        <v>-0.46033908972206883</v>
      </c>
      <c r="K64">
        <f t="shared" si="5"/>
        <v>-0.59457515177521747</v>
      </c>
      <c r="L64">
        <v>1</v>
      </c>
      <c r="M64">
        <f t="shared" si="6"/>
        <v>0.51430886297187084</v>
      </c>
      <c r="N64">
        <f t="shared" si="7"/>
        <v>5.206324365E-2</v>
      </c>
      <c r="O64">
        <f t="shared" si="8"/>
        <v>4.4585068653E-2</v>
      </c>
      <c r="P64">
        <f t="shared" si="9"/>
        <v>-1.638202349965337E-2</v>
      </c>
      <c r="V64">
        <v>-2.0428103653102899E-14</v>
      </c>
      <c r="W64">
        <f t="shared" si="12"/>
        <v>-0.53512999999999911</v>
      </c>
    </row>
    <row r="65" spans="1:23" x14ac:dyDescent="0.3">
      <c r="A65">
        <v>3.2072848999999999</v>
      </c>
      <c r="B65">
        <v>0.62480000000000002</v>
      </c>
      <c r="C65">
        <f t="shared" si="0"/>
        <v>2.0039116055199999</v>
      </c>
      <c r="D65">
        <v>1.6500000000000001E-2</v>
      </c>
      <c r="E65">
        <v>1.413E-2</v>
      </c>
      <c r="F65">
        <f t="shared" si="1"/>
        <v>641.45697999999993</v>
      </c>
      <c r="G65">
        <f t="shared" si="2"/>
        <v>-0.62480000000000002</v>
      </c>
      <c r="H65">
        <f t="shared" si="3"/>
        <v>-400.782321104</v>
      </c>
      <c r="I65">
        <v>1</v>
      </c>
      <c r="J65">
        <f t="shared" si="4"/>
        <v>-0.44401315874960884</v>
      </c>
      <c r="K65">
        <f t="shared" si="5"/>
        <v>-0.59692515177521743</v>
      </c>
      <c r="L65">
        <v>1</v>
      </c>
      <c r="M65">
        <f t="shared" si="6"/>
        <v>0.51504728482975515</v>
      </c>
      <c r="N65">
        <f t="shared" si="7"/>
        <v>5.2920200850000002E-2</v>
      </c>
      <c r="O65">
        <f t="shared" si="8"/>
        <v>4.5318935636999999E-2</v>
      </c>
      <c r="P65">
        <f t="shared" si="9"/>
        <v>-1.6361269541537715E-2</v>
      </c>
      <c r="V65">
        <v>9.9999999999980105E-2</v>
      </c>
      <c r="W65">
        <f t="shared" si="12"/>
        <v>-0.53965299999999905</v>
      </c>
    </row>
    <row r="66" spans="1:23" x14ac:dyDescent="0.3">
      <c r="A66">
        <v>3.26024</v>
      </c>
      <c r="B66">
        <v>0.62214000000000003</v>
      </c>
      <c r="C66">
        <f t="shared" si="0"/>
        <v>2.0283257136000001</v>
      </c>
      <c r="D66">
        <v>1.6500000000000001E-2</v>
      </c>
      <c r="E66">
        <v>1.413E-2</v>
      </c>
      <c r="F66">
        <f t="shared" si="1"/>
        <v>652.048</v>
      </c>
      <c r="G66">
        <f t="shared" si="2"/>
        <v>-0.62214000000000003</v>
      </c>
      <c r="H66">
        <f t="shared" si="3"/>
        <v>-405.66514272000001</v>
      </c>
      <c r="I66">
        <v>1</v>
      </c>
      <c r="J66">
        <f t="shared" si="4"/>
        <v>-0.42763710013337441</v>
      </c>
      <c r="K66">
        <f t="shared" si="5"/>
        <v>-0.59958515177521743</v>
      </c>
      <c r="L66">
        <v>1</v>
      </c>
      <c r="M66">
        <f t="shared" si="6"/>
        <v>0.51578797396096743</v>
      </c>
      <c r="N66">
        <f t="shared" si="7"/>
        <v>5.3793960000000002E-2</v>
      </c>
      <c r="O66">
        <f t="shared" si="8"/>
        <v>4.6067191200000003E-2</v>
      </c>
      <c r="P66">
        <f t="shared" si="9"/>
        <v>-1.6063973385750004E-2</v>
      </c>
      <c r="V66">
        <v>0.19999999999998</v>
      </c>
      <c r="W66">
        <f t="shared" si="12"/>
        <v>-0.5441759999999991</v>
      </c>
    </row>
    <row r="67" spans="1:23" x14ac:dyDescent="0.3">
      <c r="A67">
        <v>3.3126858000000001</v>
      </c>
      <c r="B67">
        <v>0.61960999999999999</v>
      </c>
      <c r="C67">
        <f t="shared" si="0"/>
        <v>2.0525732485380002</v>
      </c>
      <c r="D67">
        <v>1.6500000000000001E-2</v>
      </c>
      <c r="E67">
        <v>1.413E-2</v>
      </c>
      <c r="F67">
        <f t="shared" si="1"/>
        <v>662.53715999999997</v>
      </c>
      <c r="G67">
        <f t="shared" si="2"/>
        <v>-0.61960999999999999</v>
      </c>
      <c r="H67">
        <f t="shared" si="3"/>
        <v>-410.51464970760003</v>
      </c>
      <c r="I67">
        <v>1</v>
      </c>
      <c r="J67">
        <f t="shared" si="4"/>
        <v>-0.41167863212873906</v>
      </c>
      <c r="K67">
        <f t="shared" si="5"/>
        <v>-0.60211515177521746</v>
      </c>
      <c r="L67">
        <v>1</v>
      </c>
      <c r="M67">
        <f t="shared" si="6"/>
        <v>0.51650977546881716</v>
      </c>
      <c r="N67">
        <f t="shared" si="7"/>
        <v>5.4659315700000002E-2</v>
      </c>
      <c r="O67">
        <f t="shared" si="8"/>
        <v>4.6808250354000006E-2</v>
      </c>
      <c r="P67">
        <f t="shared" si="9"/>
        <v>-1.5862189747599703E-2</v>
      </c>
      <c r="V67">
        <v>0.29999999999998</v>
      </c>
      <c r="W67">
        <f t="shared" si="12"/>
        <v>-0.54869899999999905</v>
      </c>
    </row>
    <row r="68" spans="1:23" x14ac:dyDescent="0.3">
      <c r="A68">
        <v>3.363604</v>
      </c>
      <c r="B68">
        <v>0.61719999999999997</v>
      </c>
      <c r="C68">
        <f t="shared" ref="C68:C131" si="13">A68*B68</f>
        <v>2.0760163887999998</v>
      </c>
      <c r="D68">
        <v>1.6500000000000001E-2</v>
      </c>
      <c r="E68">
        <v>1.413E-2</v>
      </c>
      <c r="F68">
        <f t="shared" ref="F68:F131" si="14">A68*200</f>
        <v>672.72080000000005</v>
      </c>
      <c r="G68">
        <f t="shared" ref="G68:G131" si="15">-B68</f>
        <v>-0.61719999999999997</v>
      </c>
      <c r="H68">
        <f t="shared" ref="H68:H131" si="16">-C68*200</f>
        <v>-415.20327775999999</v>
      </c>
      <c r="I68">
        <v>1</v>
      </c>
      <c r="J68">
        <f t="shared" ref="J68:J131" si="17">LN(F68/1000)</f>
        <v>-0.39642489425615618</v>
      </c>
      <c r="K68">
        <f t="shared" ref="K68:K131" si="18">((-G68)-$N$2)</f>
        <v>-0.60452515177521748</v>
      </c>
      <c r="L68">
        <v>1</v>
      </c>
      <c r="M68">
        <f t="shared" ref="M68:M131" si="19">-1*($S$4+($S$5*J68))</f>
        <v>0.51719970203279408</v>
      </c>
      <c r="N68">
        <f t="shared" ref="N68:N131" si="20">D68*A68</f>
        <v>5.5499466000000004E-2</v>
      </c>
      <c r="O68">
        <f t="shared" ref="O68:O131" si="21">E68*A68</f>
        <v>4.7527724520000002E-2</v>
      </c>
      <c r="P68">
        <f t="shared" ref="P68:P131" si="22">-K68-M68-N68-O68</f>
        <v>-1.5701740777576606E-2</v>
      </c>
      <c r="V68">
        <v>0.39999999999997998</v>
      </c>
      <c r="W68">
        <f t="shared" ref="W68:W99" si="23">V68*$S$5+$S$4</f>
        <v>-0.5532219999999991</v>
      </c>
    </row>
    <row r="69" spans="1:23" x14ac:dyDescent="0.3">
      <c r="A69">
        <v>3.4150317000000001</v>
      </c>
      <c r="B69">
        <v>0.61489000000000005</v>
      </c>
      <c r="C69">
        <f t="shared" si="13"/>
        <v>2.0998688420130001</v>
      </c>
      <c r="D69">
        <v>1.6500000000000001E-2</v>
      </c>
      <c r="E69">
        <v>1.413E-2</v>
      </c>
      <c r="F69">
        <f t="shared" si="14"/>
        <v>683.00634000000002</v>
      </c>
      <c r="G69">
        <f t="shared" si="15"/>
        <v>-0.61489000000000005</v>
      </c>
      <c r="H69">
        <f t="shared" si="16"/>
        <v>-419.9737684026</v>
      </c>
      <c r="I69">
        <v>1</v>
      </c>
      <c r="J69">
        <f t="shared" si="17"/>
        <v>-0.38125113687756301</v>
      </c>
      <c r="K69">
        <f t="shared" si="18"/>
        <v>-0.60683515177521741</v>
      </c>
      <c r="L69">
        <v>1</v>
      </c>
      <c r="M69">
        <f t="shared" si="19"/>
        <v>0.51788601107902776</v>
      </c>
      <c r="N69">
        <f t="shared" si="20"/>
        <v>5.6348023050000001E-2</v>
      </c>
      <c r="O69">
        <f t="shared" si="21"/>
        <v>4.8254397921000003E-2</v>
      </c>
      <c r="P69">
        <f t="shared" si="22"/>
        <v>-1.5653280274810361E-2</v>
      </c>
      <c r="V69">
        <v>0.49999999999998002</v>
      </c>
      <c r="W69">
        <f t="shared" si="23"/>
        <v>-0.55774499999999905</v>
      </c>
    </row>
    <row r="70" spans="1:23" x14ac:dyDescent="0.3">
      <c r="A70">
        <v>3.4659499999999999</v>
      </c>
      <c r="B70">
        <v>0.61234999999999995</v>
      </c>
      <c r="C70">
        <f t="shared" si="13"/>
        <v>2.1223744824999997</v>
      </c>
      <c r="D70">
        <v>1.6500000000000001E-2</v>
      </c>
      <c r="E70">
        <v>1.413E-2</v>
      </c>
      <c r="F70">
        <f t="shared" si="14"/>
        <v>693.18999999999994</v>
      </c>
      <c r="G70">
        <f t="shared" si="15"/>
        <v>-0.61234999999999995</v>
      </c>
      <c r="H70">
        <f t="shared" si="16"/>
        <v>-424.47489649999994</v>
      </c>
      <c r="I70">
        <v>1</v>
      </c>
      <c r="J70">
        <f t="shared" si="17"/>
        <v>-0.3664511470958649</v>
      </c>
      <c r="K70">
        <f t="shared" si="18"/>
        <v>-0.60937515177521751</v>
      </c>
      <c r="L70">
        <v>1</v>
      </c>
      <c r="M70">
        <f t="shared" si="19"/>
        <v>0.51855541461685406</v>
      </c>
      <c r="N70">
        <f t="shared" si="20"/>
        <v>5.7188175000000001E-2</v>
      </c>
      <c r="O70">
        <f t="shared" si="21"/>
        <v>4.8973873500000001E-2</v>
      </c>
      <c r="P70">
        <f t="shared" si="22"/>
        <v>-1.5342311341636557E-2</v>
      </c>
      <c r="V70">
        <v>0.59999999999997999</v>
      </c>
      <c r="W70">
        <f t="shared" si="23"/>
        <v>-0.5622679999999991</v>
      </c>
    </row>
    <row r="71" spans="1:23" x14ac:dyDescent="0.3">
      <c r="A71">
        <v>3.5168683999999999</v>
      </c>
      <c r="B71">
        <v>0.60994000000000004</v>
      </c>
      <c r="C71">
        <f t="shared" si="13"/>
        <v>2.1450787118960002</v>
      </c>
      <c r="D71">
        <v>1.6500000000000001E-2</v>
      </c>
      <c r="E71">
        <v>1.413E-2</v>
      </c>
      <c r="F71">
        <f t="shared" si="14"/>
        <v>703.37367999999992</v>
      </c>
      <c r="G71">
        <f t="shared" si="15"/>
        <v>-0.60994000000000004</v>
      </c>
      <c r="H71">
        <f t="shared" si="16"/>
        <v>-429.01574237920005</v>
      </c>
      <c r="I71">
        <v>1</v>
      </c>
      <c r="J71">
        <f t="shared" si="17"/>
        <v>-0.35186697789652938</v>
      </c>
      <c r="K71">
        <f t="shared" si="18"/>
        <v>-0.61178515177521742</v>
      </c>
      <c r="L71">
        <v>1</v>
      </c>
      <c r="M71">
        <f t="shared" si="19"/>
        <v>0.51921505658973999</v>
      </c>
      <c r="N71">
        <f t="shared" si="20"/>
        <v>5.8028328599999998E-2</v>
      </c>
      <c r="O71">
        <f t="shared" si="21"/>
        <v>4.9693350492E-2</v>
      </c>
      <c r="P71">
        <f t="shared" si="22"/>
        <v>-1.5151583906522569E-2</v>
      </c>
      <c r="V71">
        <v>0.69999999999997997</v>
      </c>
      <c r="W71">
        <f t="shared" si="23"/>
        <v>-0.56679099999999905</v>
      </c>
    </row>
    <row r="72" spans="1:23" x14ac:dyDescent="0.3">
      <c r="A72">
        <v>3.5713510999999998</v>
      </c>
      <c r="B72">
        <v>0.60748000000000002</v>
      </c>
      <c r="C72">
        <f t="shared" si="13"/>
        <v>2.1695243662279999</v>
      </c>
      <c r="D72">
        <v>1.6500000000000001E-2</v>
      </c>
      <c r="E72">
        <v>1.413E-2</v>
      </c>
      <c r="F72">
        <f t="shared" si="14"/>
        <v>714.27021999999999</v>
      </c>
      <c r="G72">
        <f t="shared" si="15"/>
        <v>-0.60748000000000002</v>
      </c>
      <c r="H72">
        <f t="shared" si="16"/>
        <v>-433.90487324560002</v>
      </c>
      <c r="I72">
        <v>1</v>
      </c>
      <c r="J72">
        <f t="shared" si="17"/>
        <v>-0.33649392885648782</v>
      </c>
      <c r="K72">
        <f t="shared" si="18"/>
        <v>-0.61424515177521744</v>
      </c>
      <c r="L72">
        <v>1</v>
      </c>
      <c r="M72">
        <f t="shared" si="19"/>
        <v>0.51991037959782105</v>
      </c>
      <c r="N72">
        <f t="shared" si="20"/>
        <v>5.8927293149999997E-2</v>
      </c>
      <c r="O72">
        <f t="shared" si="21"/>
        <v>5.0463191042999997E-2</v>
      </c>
      <c r="P72">
        <f t="shared" si="22"/>
        <v>-1.5055712015603608E-2</v>
      </c>
      <c r="V72">
        <v>0.79999999999997995</v>
      </c>
      <c r="W72">
        <f t="shared" si="23"/>
        <v>-0.5713139999999991</v>
      </c>
    </row>
    <row r="73" spans="1:23" x14ac:dyDescent="0.3">
      <c r="A73">
        <v>3.6237971</v>
      </c>
      <c r="B73">
        <v>0.60506000000000004</v>
      </c>
      <c r="C73">
        <f t="shared" si="13"/>
        <v>2.1926146733260001</v>
      </c>
      <c r="D73">
        <v>1.6500000000000001E-2</v>
      </c>
      <c r="E73">
        <v>1.413E-2</v>
      </c>
      <c r="F73">
        <f t="shared" si="14"/>
        <v>724.75941999999998</v>
      </c>
      <c r="G73">
        <f t="shared" si="15"/>
        <v>-0.60506000000000004</v>
      </c>
      <c r="H73">
        <f t="shared" si="16"/>
        <v>-438.52293466520001</v>
      </c>
      <c r="I73">
        <v>1</v>
      </c>
      <c r="J73">
        <f t="shared" si="17"/>
        <v>-0.32191551367946586</v>
      </c>
      <c r="K73">
        <f t="shared" si="18"/>
        <v>-0.61666515177521741</v>
      </c>
      <c r="L73">
        <v>1</v>
      </c>
      <c r="M73">
        <f t="shared" si="19"/>
        <v>0.52056976131627775</v>
      </c>
      <c r="N73">
        <f t="shared" si="20"/>
        <v>5.979265215E-2</v>
      </c>
      <c r="O73">
        <f t="shared" si="21"/>
        <v>5.1204253023000003E-2</v>
      </c>
      <c r="P73">
        <f t="shared" si="22"/>
        <v>-1.4901514714060336E-2</v>
      </c>
      <c r="V73">
        <v>0.89999999999998004</v>
      </c>
      <c r="W73">
        <f t="shared" si="23"/>
        <v>-0.57583699999999904</v>
      </c>
    </row>
    <row r="74" spans="1:23" x14ac:dyDescent="0.3">
      <c r="A74">
        <v>3.6782792999999998</v>
      </c>
      <c r="B74">
        <v>0.60243999999999998</v>
      </c>
      <c r="C74">
        <f t="shared" si="13"/>
        <v>2.215942581492</v>
      </c>
      <c r="D74">
        <v>1.6500000000000001E-2</v>
      </c>
      <c r="E74">
        <v>1.413E-2</v>
      </c>
      <c r="F74">
        <f t="shared" si="14"/>
        <v>735.65585999999996</v>
      </c>
      <c r="G74">
        <f t="shared" si="15"/>
        <v>-0.60243999999999998</v>
      </c>
      <c r="H74">
        <f t="shared" si="16"/>
        <v>-443.18851629839997</v>
      </c>
      <c r="I74">
        <v>1</v>
      </c>
      <c r="J74">
        <f t="shared" si="17"/>
        <v>-0.30699285112532787</v>
      </c>
      <c r="K74">
        <f t="shared" si="18"/>
        <v>-0.61928515177521748</v>
      </c>
      <c r="L74">
        <v>1</v>
      </c>
      <c r="M74">
        <f t="shared" si="19"/>
        <v>0.52124471334360145</v>
      </c>
      <c r="N74">
        <f t="shared" si="20"/>
        <v>6.0691608449999997E-2</v>
      </c>
      <c r="O74">
        <f t="shared" si="21"/>
        <v>5.1974086508999998E-2</v>
      </c>
      <c r="P74">
        <f t="shared" si="22"/>
        <v>-1.4625256527383966E-2</v>
      </c>
      <c r="V74">
        <v>0.99999999999998002</v>
      </c>
      <c r="W74">
        <f t="shared" si="23"/>
        <v>-0.5803599999999991</v>
      </c>
    </row>
    <row r="75" spans="1:23" x14ac:dyDescent="0.3">
      <c r="A75">
        <v>3.7297069999999999</v>
      </c>
      <c r="B75">
        <v>0.59984000000000004</v>
      </c>
      <c r="C75">
        <f t="shared" si="13"/>
        <v>2.23722744688</v>
      </c>
      <c r="D75">
        <v>1.6500000000000001E-2</v>
      </c>
      <c r="E75">
        <v>1.413E-2</v>
      </c>
      <c r="F75">
        <f t="shared" si="14"/>
        <v>745.94139999999993</v>
      </c>
      <c r="G75">
        <f t="shared" si="15"/>
        <v>-0.59984000000000004</v>
      </c>
      <c r="H75">
        <f t="shared" si="16"/>
        <v>-447.44548937600001</v>
      </c>
      <c r="I75">
        <v>1</v>
      </c>
      <c r="J75">
        <f t="shared" si="17"/>
        <v>-0.29310823414258846</v>
      </c>
      <c r="K75">
        <f t="shared" si="18"/>
        <v>-0.62188515177521742</v>
      </c>
      <c r="L75">
        <v>1</v>
      </c>
      <c r="M75">
        <f t="shared" si="19"/>
        <v>0.52187271456973072</v>
      </c>
      <c r="N75">
        <f t="shared" si="20"/>
        <v>6.1540165500000001E-2</v>
      </c>
      <c r="O75">
        <f t="shared" si="21"/>
        <v>5.2700759909999999E-2</v>
      </c>
      <c r="P75">
        <f t="shared" si="22"/>
        <v>-1.4228488204513307E-2</v>
      </c>
      <c r="V75">
        <v>1.0999999999999699</v>
      </c>
      <c r="W75">
        <f t="shared" si="23"/>
        <v>-0.5848829999999986</v>
      </c>
    </row>
    <row r="76" spans="1:23" x14ac:dyDescent="0.3">
      <c r="A76">
        <v>3.7811344999999998</v>
      </c>
      <c r="B76">
        <v>0.59760999999999997</v>
      </c>
      <c r="C76">
        <f t="shared" si="13"/>
        <v>2.259643788545</v>
      </c>
      <c r="D76">
        <v>1.6500000000000001E-2</v>
      </c>
      <c r="E76">
        <v>1.413E-2</v>
      </c>
      <c r="F76">
        <f t="shared" si="14"/>
        <v>756.2269</v>
      </c>
      <c r="G76">
        <f t="shared" si="15"/>
        <v>-0.59760999999999997</v>
      </c>
      <c r="H76">
        <f t="shared" si="16"/>
        <v>-451.92875770900002</v>
      </c>
      <c r="I76">
        <v>1</v>
      </c>
      <c r="J76">
        <f t="shared" si="17"/>
        <v>-0.27941381555815314</v>
      </c>
      <c r="K76">
        <f t="shared" si="18"/>
        <v>-0.62411515177521748</v>
      </c>
      <c r="L76">
        <v>1</v>
      </c>
      <c r="M76">
        <f t="shared" si="19"/>
        <v>0.5224921131223047</v>
      </c>
      <c r="N76">
        <f t="shared" si="20"/>
        <v>6.2388719250000002E-2</v>
      </c>
      <c r="O76">
        <f t="shared" si="21"/>
        <v>5.3427430484999996E-2</v>
      </c>
      <c r="P76">
        <f t="shared" si="22"/>
        <v>-1.419311108208722E-2</v>
      </c>
      <c r="V76">
        <v>1.19999999999997</v>
      </c>
      <c r="W76">
        <f t="shared" si="23"/>
        <v>-0.58940599999999865</v>
      </c>
    </row>
    <row r="77" spans="1:23" x14ac:dyDescent="0.3">
      <c r="A77">
        <v>3.8315437000000001</v>
      </c>
      <c r="B77">
        <v>0.59533999999999998</v>
      </c>
      <c r="C77">
        <f t="shared" si="13"/>
        <v>2.2810712263580002</v>
      </c>
      <c r="D77">
        <v>1.6500000000000001E-2</v>
      </c>
      <c r="E77">
        <v>1.413E-2</v>
      </c>
      <c r="F77">
        <f t="shared" si="14"/>
        <v>766.30874000000006</v>
      </c>
      <c r="G77">
        <f t="shared" si="15"/>
        <v>-0.59533999999999998</v>
      </c>
      <c r="H77">
        <f t="shared" si="16"/>
        <v>-456.21424527160002</v>
      </c>
      <c r="I77">
        <v>1</v>
      </c>
      <c r="J77">
        <f t="shared" si="17"/>
        <v>-0.26617013561603736</v>
      </c>
      <c r="K77">
        <f t="shared" si="18"/>
        <v>-0.62638515177521747</v>
      </c>
      <c r="L77">
        <v>1</v>
      </c>
      <c r="M77">
        <f t="shared" si="19"/>
        <v>0.52309112476608666</v>
      </c>
      <c r="N77">
        <f t="shared" si="20"/>
        <v>6.3220471050000004E-2</v>
      </c>
      <c r="O77">
        <f t="shared" si="21"/>
        <v>5.4139712481000003E-2</v>
      </c>
      <c r="P77">
        <f t="shared" si="22"/>
        <v>-1.406615652186919E-2</v>
      </c>
      <c r="V77">
        <v>1.2999999999999701</v>
      </c>
      <c r="W77">
        <f t="shared" si="23"/>
        <v>-0.5939289999999986</v>
      </c>
    </row>
    <row r="78" spans="1:23" x14ac:dyDescent="0.3">
      <c r="A78">
        <v>3.8829709000000001</v>
      </c>
      <c r="B78">
        <v>0.59309999999999996</v>
      </c>
      <c r="C78">
        <f t="shared" si="13"/>
        <v>2.3029900407899997</v>
      </c>
      <c r="D78">
        <v>1.6500000000000001E-2</v>
      </c>
      <c r="E78">
        <v>1.413E-2</v>
      </c>
      <c r="F78">
        <f t="shared" si="14"/>
        <v>776.59418000000005</v>
      </c>
      <c r="G78">
        <f t="shared" si="15"/>
        <v>-0.59309999999999996</v>
      </c>
      <c r="H78">
        <f t="shared" si="16"/>
        <v>-460.59800815799991</v>
      </c>
      <c r="I78">
        <v>1</v>
      </c>
      <c r="J78">
        <f t="shared" si="17"/>
        <v>-0.25283735591816298</v>
      </c>
      <c r="K78">
        <f t="shared" si="18"/>
        <v>-0.62862515177521749</v>
      </c>
      <c r="L78">
        <v>1</v>
      </c>
      <c r="M78">
        <f t="shared" si="19"/>
        <v>0.52369416639182154</v>
      </c>
      <c r="N78">
        <f t="shared" si="20"/>
        <v>6.4069019850000006E-2</v>
      </c>
      <c r="O78">
        <f t="shared" si="21"/>
        <v>5.4866378817000003E-2</v>
      </c>
      <c r="P78">
        <f t="shared" si="22"/>
        <v>-1.400441328360405E-2</v>
      </c>
      <c r="V78">
        <v>1.3999999999999699</v>
      </c>
      <c r="W78">
        <f t="shared" si="23"/>
        <v>-0.59845199999999865</v>
      </c>
    </row>
    <row r="79" spans="1:23" x14ac:dyDescent="0.3">
      <c r="A79">
        <v>3.9349077000000001</v>
      </c>
      <c r="B79">
        <v>0.59062000000000003</v>
      </c>
      <c r="C79">
        <f t="shared" si="13"/>
        <v>2.324035185774</v>
      </c>
      <c r="D79">
        <v>1.6500000000000001E-2</v>
      </c>
      <c r="E79">
        <v>1.413E-2</v>
      </c>
      <c r="F79">
        <f t="shared" si="14"/>
        <v>786.98154</v>
      </c>
      <c r="G79">
        <f t="shared" si="15"/>
        <v>-0.59062000000000003</v>
      </c>
      <c r="H79">
        <f t="shared" si="16"/>
        <v>-464.80703715480001</v>
      </c>
      <c r="I79">
        <v>1</v>
      </c>
      <c r="J79">
        <f t="shared" si="17"/>
        <v>-0.23955048700247689</v>
      </c>
      <c r="K79">
        <f t="shared" si="18"/>
        <v>-0.63110515177521742</v>
      </c>
      <c r="L79">
        <v>1</v>
      </c>
      <c r="M79">
        <f t="shared" si="19"/>
        <v>0.52429513147287798</v>
      </c>
      <c r="N79">
        <f t="shared" si="20"/>
        <v>6.492597705E-2</v>
      </c>
      <c r="O79">
        <f t="shared" si="21"/>
        <v>5.5600245801000002E-2</v>
      </c>
      <c r="P79">
        <f t="shared" si="22"/>
        <v>-1.3716202548660565E-2</v>
      </c>
      <c r="V79">
        <v>1.49999999999997</v>
      </c>
      <c r="W79">
        <f t="shared" si="23"/>
        <v>-0.6029749999999986</v>
      </c>
    </row>
    <row r="80" spans="1:23" x14ac:dyDescent="0.3">
      <c r="A80">
        <v>3.9888816</v>
      </c>
      <c r="B80">
        <v>0.58831</v>
      </c>
      <c r="C80">
        <f t="shared" si="13"/>
        <v>2.3466989340960001</v>
      </c>
      <c r="D80">
        <v>1.6500000000000001E-2</v>
      </c>
      <c r="E80">
        <v>1.413E-2</v>
      </c>
      <c r="F80">
        <f t="shared" si="14"/>
        <v>797.77632000000006</v>
      </c>
      <c r="G80">
        <f t="shared" si="15"/>
        <v>-0.58831</v>
      </c>
      <c r="H80">
        <f t="shared" si="16"/>
        <v>-469.33978681920001</v>
      </c>
      <c r="I80">
        <v>1</v>
      </c>
      <c r="J80">
        <f t="shared" si="17"/>
        <v>-0.2259270215758061</v>
      </c>
      <c r="K80">
        <f t="shared" si="18"/>
        <v>-0.63341515177521746</v>
      </c>
      <c r="L80">
        <v>1</v>
      </c>
      <c r="M80">
        <f t="shared" si="19"/>
        <v>0.52491132081412628</v>
      </c>
      <c r="N80">
        <f t="shared" si="20"/>
        <v>6.5816546400000009E-2</v>
      </c>
      <c r="O80">
        <f t="shared" si="21"/>
        <v>5.6362897007999999E-2</v>
      </c>
      <c r="P80">
        <f t="shared" si="22"/>
        <v>-1.3675612446908833E-2</v>
      </c>
      <c r="V80">
        <v>1.5999999999999699</v>
      </c>
      <c r="W80">
        <f t="shared" si="23"/>
        <v>-0.60749799999999865</v>
      </c>
    </row>
    <row r="81" spans="1:23" x14ac:dyDescent="0.3">
      <c r="A81">
        <v>4.0418364000000002</v>
      </c>
      <c r="B81">
        <v>0.58582999999999996</v>
      </c>
      <c r="C81">
        <f t="shared" si="13"/>
        <v>2.3678290182119999</v>
      </c>
      <c r="D81">
        <v>1.6500000000000001E-2</v>
      </c>
      <c r="E81">
        <v>1.413E-2</v>
      </c>
      <c r="F81">
        <f t="shared" si="14"/>
        <v>808.36728000000005</v>
      </c>
      <c r="G81">
        <f t="shared" si="15"/>
        <v>-0.58582999999999996</v>
      </c>
      <c r="H81">
        <f t="shared" si="16"/>
        <v>-473.5658036424</v>
      </c>
      <c r="I81">
        <v>1</v>
      </c>
      <c r="J81">
        <f t="shared" si="17"/>
        <v>-0.21273876928417662</v>
      </c>
      <c r="K81">
        <f t="shared" si="18"/>
        <v>-0.63589515177521749</v>
      </c>
      <c r="L81">
        <v>1</v>
      </c>
      <c r="M81">
        <f t="shared" si="19"/>
        <v>0.52550782546527663</v>
      </c>
      <c r="N81">
        <f t="shared" si="20"/>
        <v>6.6690300600000002E-2</v>
      </c>
      <c r="O81">
        <f t="shared" si="21"/>
        <v>5.7111148332000004E-2</v>
      </c>
      <c r="P81">
        <f t="shared" si="22"/>
        <v>-1.3414122622059148E-2</v>
      </c>
      <c r="V81">
        <v>1.69999999999997</v>
      </c>
      <c r="W81">
        <f t="shared" si="23"/>
        <v>-0.61202099999999859</v>
      </c>
    </row>
    <row r="82" spans="1:23" x14ac:dyDescent="0.3">
      <c r="A82">
        <v>4.0922456</v>
      </c>
      <c r="B82">
        <v>0.58345999999999998</v>
      </c>
      <c r="C82">
        <f t="shared" si="13"/>
        <v>2.3876616177759997</v>
      </c>
      <c r="D82">
        <v>1.6500000000000001E-2</v>
      </c>
      <c r="E82">
        <v>1.413E-2</v>
      </c>
      <c r="F82">
        <f t="shared" si="14"/>
        <v>818.44911999999999</v>
      </c>
      <c r="G82">
        <f t="shared" si="15"/>
        <v>-0.58345999999999998</v>
      </c>
      <c r="H82">
        <f t="shared" si="16"/>
        <v>-477.53232355519992</v>
      </c>
      <c r="I82">
        <v>1</v>
      </c>
      <c r="J82">
        <f t="shared" si="17"/>
        <v>-0.2003440465954793</v>
      </c>
      <c r="K82">
        <f t="shared" si="18"/>
        <v>-0.63826515177521748</v>
      </c>
      <c r="L82">
        <v>1</v>
      </c>
      <c r="M82">
        <f t="shared" si="19"/>
        <v>0.52606843877248644</v>
      </c>
      <c r="N82">
        <f t="shared" si="20"/>
        <v>6.7522052400000004E-2</v>
      </c>
      <c r="O82">
        <f t="shared" si="21"/>
        <v>5.7823430328000004E-2</v>
      </c>
      <c r="P82">
        <f t="shared" si="22"/>
        <v>-1.3148769725268968E-2</v>
      </c>
      <c r="V82">
        <v>1.7999999999999701</v>
      </c>
      <c r="W82">
        <f t="shared" si="23"/>
        <v>-0.61654399999999865</v>
      </c>
    </row>
    <row r="83" spans="1:23" x14ac:dyDescent="0.3">
      <c r="A83">
        <v>4.1431640999999999</v>
      </c>
      <c r="B83">
        <v>0.58096000000000003</v>
      </c>
      <c r="C83">
        <f t="shared" si="13"/>
        <v>2.4070126155359999</v>
      </c>
      <c r="D83">
        <v>1.6500000000000001E-2</v>
      </c>
      <c r="E83">
        <v>1.413E-2</v>
      </c>
      <c r="F83">
        <f t="shared" si="14"/>
        <v>828.63282000000004</v>
      </c>
      <c r="G83">
        <f t="shared" si="15"/>
        <v>-0.58096000000000003</v>
      </c>
      <c r="H83">
        <f t="shared" si="16"/>
        <v>-481.40252310719995</v>
      </c>
      <c r="I83">
        <v>1</v>
      </c>
      <c r="J83">
        <f t="shared" si="17"/>
        <v>-0.18797814114424974</v>
      </c>
      <c r="K83">
        <f t="shared" si="18"/>
        <v>-0.64076515177521742</v>
      </c>
      <c r="L83">
        <v>1</v>
      </c>
      <c r="M83">
        <f t="shared" si="19"/>
        <v>0.52662774867604556</v>
      </c>
      <c r="N83">
        <f t="shared" si="20"/>
        <v>6.8362207650000006E-2</v>
      </c>
      <c r="O83">
        <f t="shared" si="21"/>
        <v>5.8542908732999999E-2</v>
      </c>
      <c r="P83">
        <f t="shared" si="22"/>
        <v>-1.2767713283828142E-2</v>
      </c>
      <c r="V83">
        <v>1.8999999999999699</v>
      </c>
      <c r="W83">
        <f t="shared" si="23"/>
        <v>-0.62106699999999859</v>
      </c>
    </row>
    <row r="84" spans="1:23" x14ac:dyDescent="0.3">
      <c r="A84">
        <v>4.1961190999999998</v>
      </c>
      <c r="B84">
        <v>0.57877000000000001</v>
      </c>
      <c r="C84">
        <f t="shared" si="13"/>
        <v>2.4285878515069999</v>
      </c>
      <c r="D84">
        <v>1.6500000000000001E-2</v>
      </c>
      <c r="E84">
        <v>1.413E-2</v>
      </c>
      <c r="F84">
        <f t="shared" si="14"/>
        <v>839.22381999999993</v>
      </c>
      <c r="G84">
        <f t="shared" si="15"/>
        <v>-0.57877000000000001</v>
      </c>
      <c r="H84">
        <f t="shared" si="16"/>
        <v>-485.71757030139997</v>
      </c>
      <c r="I84">
        <v>1</v>
      </c>
      <c r="J84">
        <f t="shared" si="17"/>
        <v>-0.17527783812746761</v>
      </c>
      <c r="K84">
        <f t="shared" si="18"/>
        <v>-0.64295515177521745</v>
      </c>
      <c r="L84">
        <v>1</v>
      </c>
      <c r="M84">
        <f t="shared" si="19"/>
        <v>0.5272021833814946</v>
      </c>
      <c r="N84">
        <f t="shared" si="20"/>
        <v>6.9235965149999995E-2</v>
      </c>
      <c r="O84">
        <f t="shared" si="21"/>
        <v>5.9291162883000001E-2</v>
      </c>
      <c r="P84">
        <f t="shared" si="22"/>
        <v>-1.2774159639277152E-2</v>
      </c>
      <c r="V84">
        <v>1.99999999999997</v>
      </c>
      <c r="W84">
        <f t="shared" si="23"/>
        <v>-0.62558999999999865</v>
      </c>
    </row>
    <row r="85" spans="1:23" x14ac:dyDescent="0.3">
      <c r="A85">
        <v>4.2485648999999999</v>
      </c>
      <c r="B85">
        <v>0.57667000000000002</v>
      </c>
      <c r="C85">
        <f t="shared" si="13"/>
        <v>2.4500199208829998</v>
      </c>
      <c r="D85">
        <v>1.6500000000000001E-2</v>
      </c>
      <c r="E85">
        <v>1.413E-2</v>
      </c>
      <c r="F85">
        <f t="shared" si="14"/>
        <v>849.71298000000002</v>
      </c>
      <c r="G85">
        <f t="shared" si="15"/>
        <v>-0.57667000000000002</v>
      </c>
      <c r="H85">
        <f t="shared" si="16"/>
        <v>-490.00398417659994</v>
      </c>
      <c r="I85">
        <v>1</v>
      </c>
      <c r="J85">
        <f t="shared" si="17"/>
        <v>-0.16285665710956035</v>
      </c>
      <c r="K85">
        <f t="shared" si="18"/>
        <v>-0.64505515177521744</v>
      </c>
      <c r="L85">
        <v>1</v>
      </c>
      <c r="M85">
        <f t="shared" si="19"/>
        <v>0.52776399339893454</v>
      </c>
      <c r="N85">
        <f t="shared" si="20"/>
        <v>7.0101320849999996E-2</v>
      </c>
      <c r="O85">
        <f t="shared" si="21"/>
        <v>6.0032222036999996E-2</v>
      </c>
      <c r="P85">
        <f t="shared" si="22"/>
        <v>-1.2842384510717092E-2</v>
      </c>
      <c r="V85">
        <v>2.0999999999999699</v>
      </c>
      <c r="W85">
        <f t="shared" si="23"/>
        <v>-0.63011299999999859</v>
      </c>
    </row>
    <row r="86" spans="1:23" x14ac:dyDescent="0.3">
      <c r="A86">
        <v>4.3025380999999996</v>
      </c>
      <c r="B86">
        <v>0.57420000000000004</v>
      </c>
      <c r="C86">
        <f t="shared" si="13"/>
        <v>2.4705173770199997</v>
      </c>
      <c r="D86">
        <v>1.6500000000000001E-2</v>
      </c>
      <c r="E86">
        <v>1.413E-2</v>
      </c>
      <c r="F86">
        <f t="shared" si="14"/>
        <v>860.50761999999986</v>
      </c>
      <c r="G86">
        <f t="shared" si="15"/>
        <v>-0.57420000000000004</v>
      </c>
      <c r="H86">
        <f t="shared" si="16"/>
        <v>-494.10347540399994</v>
      </c>
      <c r="I86">
        <v>1</v>
      </c>
      <c r="J86">
        <f t="shared" si="17"/>
        <v>-0.1502328080530749</v>
      </c>
      <c r="K86">
        <f t="shared" si="18"/>
        <v>-0.64752515177521741</v>
      </c>
      <c r="L86">
        <v>1</v>
      </c>
      <c r="M86">
        <f t="shared" si="19"/>
        <v>0.52833497009175945</v>
      </c>
      <c r="N86">
        <f t="shared" si="20"/>
        <v>7.0991878649999993E-2</v>
      </c>
      <c r="O86">
        <f t="shared" si="21"/>
        <v>6.0794863352999995E-2</v>
      </c>
      <c r="P86">
        <f t="shared" si="22"/>
        <v>-1.2596560319542024E-2</v>
      </c>
      <c r="V86">
        <v>2.19999999999997</v>
      </c>
      <c r="W86">
        <f t="shared" si="23"/>
        <v>-0.63463599999999865</v>
      </c>
    </row>
    <row r="87" spans="1:23" x14ac:dyDescent="0.3">
      <c r="A87">
        <v>4.3534569999999997</v>
      </c>
      <c r="B87">
        <v>0.57179999999999997</v>
      </c>
      <c r="C87">
        <f t="shared" si="13"/>
        <v>2.4893067125999999</v>
      </c>
      <c r="D87">
        <v>1.6500000000000001E-2</v>
      </c>
      <c r="E87">
        <v>1.413E-2</v>
      </c>
      <c r="F87">
        <f t="shared" si="14"/>
        <v>870.69139999999993</v>
      </c>
      <c r="G87">
        <f t="shared" si="15"/>
        <v>-0.57179999999999997</v>
      </c>
      <c r="H87">
        <f t="shared" si="16"/>
        <v>-497.86134251999999</v>
      </c>
      <c r="I87">
        <v>1</v>
      </c>
      <c r="J87">
        <f t="shared" si="17"/>
        <v>-0.13846767030671719</v>
      </c>
      <c r="K87">
        <f t="shared" si="18"/>
        <v>-0.64992515177521748</v>
      </c>
      <c r="L87">
        <v>1</v>
      </c>
      <c r="M87">
        <f t="shared" si="19"/>
        <v>0.52886710727202713</v>
      </c>
      <c r="N87">
        <f t="shared" si="20"/>
        <v>7.18320405E-2</v>
      </c>
      <c r="O87">
        <f t="shared" si="21"/>
        <v>6.1514347409999996E-2</v>
      </c>
      <c r="P87">
        <f t="shared" si="22"/>
        <v>-1.2288343406809642E-2</v>
      </c>
      <c r="V87">
        <v>2.2999999999999701</v>
      </c>
      <c r="W87">
        <f t="shared" si="23"/>
        <v>-0.6391589999999987</v>
      </c>
    </row>
    <row r="88" spans="1:23" x14ac:dyDescent="0.3">
      <c r="A88">
        <v>4.4038662000000004</v>
      </c>
      <c r="B88">
        <v>0.56957999999999998</v>
      </c>
      <c r="C88">
        <f t="shared" si="13"/>
        <v>2.5083541101960001</v>
      </c>
      <c r="D88">
        <v>1.6500000000000001E-2</v>
      </c>
      <c r="E88">
        <v>1.413E-2</v>
      </c>
      <c r="F88">
        <f t="shared" si="14"/>
        <v>880.7732400000001</v>
      </c>
      <c r="G88">
        <f t="shared" si="15"/>
        <v>-0.56957999999999998</v>
      </c>
      <c r="H88">
        <f t="shared" si="16"/>
        <v>-501.6708220392</v>
      </c>
      <c r="I88">
        <v>1</v>
      </c>
      <c r="J88">
        <f t="shared" si="17"/>
        <v>-0.12695507550658261</v>
      </c>
      <c r="K88">
        <f t="shared" si="18"/>
        <v>-0.65214515177521748</v>
      </c>
      <c r="L88">
        <v>1</v>
      </c>
      <c r="M88">
        <f t="shared" si="19"/>
        <v>0.52938782193483724</v>
      </c>
      <c r="N88">
        <f t="shared" si="20"/>
        <v>7.2663792300000016E-2</v>
      </c>
      <c r="O88">
        <f t="shared" si="21"/>
        <v>6.2226629406000003E-2</v>
      </c>
      <c r="P88">
        <f t="shared" si="22"/>
        <v>-1.2133091865619783E-2</v>
      </c>
      <c r="V88">
        <v>2.3999999999999702</v>
      </c>
      <c r="W88">
        <f t="shared" si="23"/>
        <v>-0.64368199999999864</v>
      </c>
    </row>
    <row r="89" spans="1:23" x14ac:dyDescent="0.3">
      <c r="A89">
        <v>4.4542754000000002</v>
      </c>
      <c r="B89">
        <v>0.56728999999999996</v>
      </c>
      <c r="C89">
        <f t="shared" si="13"/>
        <v>2.5268658916660001</v>
      </c>
      <c r="D89">
        <v>1.6500000000000001E-2</v>
      </c>
      <c r="E89">
        <v>1.413E-2</v>
      </c>
      <c r="F89">
        <f t="shared" si="14"/>
        <v>890.85508000000004</v>
      </c>
      <c r="G89">
        <f t="shared" si="15"/>
        <v>-0.56728999999999996</v>
      </c>
      <c r="H89">
        <f t="shared" si="16"/>
        <v>-505.37317833320003</v>
      </c>
      <c r="I89">
        <v>1</v>
      </c>
      <c r="J89">
        <f t="shared" si="17"/>
        <v>-0.11557351344937886</v>
      </c>
      <c r="K89">
        <f t="shared" si="18"/>
        <v>-0.65443515177521749</v>
      </c>
      <c r="L89">
        <v>1</v>
      </c>
      <c r="M89">
        <f t="shared" si="19"/>
        <v>0.52990260998668459</v>
      </c>
      <c r="N89">
        <f t="shared" si="20"/>
        <v>7.3495544100000004E-2</v>
      </c>
      <c r="O89">
        <f t="shared" si="21"/>
        <v>6.2938911402000003E-2</v>
      </c>
      <c r="P89">
        <f t="shared" si="22"/>
        <v>-1.1901913713467105E-2</v>
      </c>
      <c r="V89">
        <v>2.4999999999999698</v>
      </c>
      <c r="W89">
        <f t="shared" si="23"/>
        <v>-0.64820499999999859</v>
      </c>
    </row>
    <row r="90" spans="1:23" x14ac:dyDescent="0.3">
      <c r="A90">
        <v>4.5057026000000002</v>
      </c>
      <c r="B90">
        <v>0.56494</v>
      </c>
      <c r="C90">
        <f t="shared" si="13"/>
        <v>2.5454516268440002</v>
      </c>
      <c r="D90">
        <v>1.6500000000000001E-2</v>
      </c>
      <c r="E90">
        <v>1.413E-2</v>
      </c>
      <c r="F90">
        <f t="shared" si="14"/>
        <v>901.14052000000004</v>
      </c>
      <c r="G90">
        <f t="shared" si="15"/>
        <v>-0.56494</v>
      </c>
      <c r="H90">
        <f t="shared" si="16"/>
        <v>-509.09032536880005</v>
      </c>
      <c r="I90">
        <v>1</v>
      </c>
      <c r="J90">
        <f t="shared" si="17"/>
        <v>-0.10409407348990739</v>
      </c>
      <c r="K90">
        <f t="shared" si="18"/>
        <v>-0.65678515177521746</v>
      </c>
      <c r="L90">
        <v>1</v>
      </c>
      <c r="M90">
        <f t="shared" si="19"/>
        <v>0.53042182505605151</v>
      </c>
      <c r="N90">
        <f t="shared" si="20"/>
        <v>7.4344092900000006E-2</v>
      </c>
      <c r="O90">
        <f t="shared" si="21"/>
        <v>6.3665577738000009E-2</v>
      </c>
      <c r="P90">
        <f t="shared" si="22"/>
        <v>-1.1646343918834068E-2</v>
      </c>
      <c r="V90">
        <v>2.5999999999999699</v>
      </c>
      <c r="W90">
        <f t="shared" si="23"/>
        <v>-0.65272799999999864</v>
      </c>
    </row>
    <row r="91" spans="1:23" x14ac:dyDescent="0.3">
      <c r="A91">
        <v>4.5561118</v>
      </c>
      <c r="B91">
        <v>0.56276999999999999</v>
      </c>
      <c r="C91">
        <f t="shared" si="13"/>
        <v>2.5640430376859999</v>
      </c>
      <c r="D91">
        <v>1.6500000000000001E-2</v>
      </c>
      <c r="E91">
        <v>1.413E-2</v>
      </c>
      <c r="F91">
        <f t="shared" si="14"/>
        <v>911.22235999999998</v>
      </c>
      <c r="G91">
        <f t="shared" si="15"/>
        <v>-0.56276999999999999</v>
      </c>
      <c r="H91">
        <f t="shared" si="16"/>
        <v>-512.80860753720003</v>
      </c>
      <c r="I91">
        <v>1</v>
      </c>
      <c r="J91">
        <f t="shared" si="17"/>
        <v>-9.2968328080883608E-2</v>
      </c>
      <c r="K91">
        <f t="shared" si="18"/>
        <v>-0.65895515177521746</v>
      </c>
      <c r="L91">
        <v>1</v>
      </c>
      <c r="M91">
        <f t="shared" si="19"/>
        <v>0.53092504252090167</v>
      </c>
      <c r="N91">
        <f t="shared" si="20"/>
        <v>7.5175844700000008E-2</v>
      </c>
      <c r="O91">
        <f t="shared" si="21"/>
        <v>6.4377859733999995E-2</v>
      </c>
      <c r="P91">
        <f t="shared" si="22"/>
        <v>-1.152359517968421E-2</v>
      </c>
      <c r="V91">
        <v>2.69999999999997</v>
      </c>
      <c r="W91">
        <f t="shared" si="23"/>
        <v>-0.6572509999999987</v>
      </c>
    </row>
    <row r="92" spans="1:23" x14ac:dyDescent="0.3">
      <c r="A92">
        <v>4.6075391000000003</v>
      </c>
      <c r="B92">
        <v>0.56042000000000003</v>
      </c>
      <c r="C92">
        <f t="shared" si="13"/>
        <v>2.5821570624220005</v>
      </c>
      <c r="D92">
        <v>1.6500000000000001E-2</v>
      </c>
      <c r="E92">
        <v>1.413E-2</v>
      </c>
      <c r="F92">
        <f t="shared" si="14"/>
        <v>921.50782000000004</v>
      </c>
      <c r="G92">
        <f t="shared" si="15"/>
        <v>-0.56042000000000003</v>
      </c>
      <c r="H92">
        <f t="shared" si="16"/>
        <v>-516.43141248440008</v>
      </c>
      <c r="I92">
        <v>1</v>
      </c>
      <c r="J92">
        <f t="shared" si="17"/>
        <v>-8.1744015744403001E-2</v>
      </c>
      <c r="K92">
        <f t="shared" si="18"/>
        <v>-0.66130515177521743</v>
      </c>
      <c r="L92">
        <v>1</v>
      </c>
      <c r="M92">
        <f t="shared" si="19"/>
        <v>0.53143271816788062</v>
      </c>
      <c r="N92">
        <f t="shared" si="20"/>
        <v>7.6024395150000007E-2</v>
      </c>
      <c r="O92">
        <f t="shared" si="21"/>
        <v>6.510452748300001E-2</v>
      </c>
      <c r="P92">
        <f t="shared" si="22"/>
        <v>-1.1256489025663216E-2</v>
      </c>
      <c r="V92">
        <v>2.7999999999999701</v>
      </c>
      <c r="W92">
        <f t="shared" si="23"/>
        <v>-0.66177399999999864</v>
      </c>
    </row>
    <row r="93" spans="1:23" x14ac:dyDescent="0.3">
      <c r="A93">
        <v>4.6589668</v>
      </c>
      <c r="B93">
        <v>0.55815999999999999</v>
      </c>
      <c r="C93">
        <f t="shared" si="13"/>
        <v>2.6004489090880001</v>
      </c>
      <c r="D93">
        <v>1.6500000000000001E-2</v>
      </c>
      <c r="E93">
        <v>1.413E-2</v>
      </c>
      <c r="F93">
        <f t="shared" si="14"/>
        <v>931.79336000000001</v>
      </c>
      <c r="G93">
        <f t="shared" si="15"/>
        <v>-0.55815999999999999</v>
      </c>
      <c r="H93">
        <f t="shared" si="16"/>
        <v>-520.08978181760006</v>
      </c>
      <c r="I93">
        <v>1</v>
      </c>
      <c r="J93">
        <f t="shared" si="17"/>
        <v>-7.0644205617532957E-2</v>
      </c>
      <c r="K93">
        <f t="shared" si="18"/>
        <v>-0.66356515177521747</v>
      </c>
      <c r="L93">
        <v>1</v>
      </c>
      <c r="M93">
        <f t="shared" si="19"/>
        <v>0.53193476257991901</v>
      </c>
      <c r="N93">
        <f t="shared" si="20"/>
        <v>7.6872952199999997E-2</v>
      </c>
      <c r="O93">
        <f t="shared" si="21"/>
        <v>6.5831200884000005E-2</v>
      </c>
      <c r="P93">
        <f t="shared" si="22"/>
        <v>-1.1073763888701543E-2</v>
      </c>
      <c r="V93">
        <v>2.8999999999999702</v>
      </c>
      <c r="W93">
        <f t="shared" si="23"/>
        <v>-0.66629699999999858</v>
      </c>
    </row>
    <row r="94" spans="1:23" x14ac:dyDescent="0.3">
      <c r="A94">
        <v>4.7124312000000002</v>
      </c>
      <c r="B94">
        <v>0.55613999999999997</v>
      </c>
      <c r="C94">
        <f t="shared" si="13"/>
        <v>2.6207714875679997</v>
      </c>
      <c r="D94">
        <v>1.6500000000000001E-2</v>
      </c>
      <c r="E94">
        <v>1.413E-2</v>
      </c>
      <c r="F94">
        <f t="shared" si="14"/>
        <v>942.48624000000007</v>
      </c>
      <c r="G94">
        <f t="shared" si="15"/>
        <v>-0.55613999999999997</v>
      </c>
      <c r="H94">
        <f t="shared" si="16"/>
        <v>-524.15429751359989</v>
      </c>
      <c r="I94">
        <v>1</v>
      </c>
      <c r="J94">
        <f t="shared" si="17"/>
        <v>-5.9233959236040502E-2</v>
      </c>
      <c r="K94">
        <f t="shared" si="18"/>
        <v>-0.66558515177521749</v>
      </c>
      <c r="L94">
        <v>1</v>
      </c>
      <c r="M94">
        <f t="shared" si="19"/>
        <v>0.53245084802375386</v>
      </c>
      <c r="N94">
        <f t="shared" si="20"/>
        <v>7.7755114800000011E-2</v>
      </c>
      <c r="O94">
        <f t="shared" si="21"/>
        <v>6.6586652856000003E-2</v>
      </c>
      <c r="P94">
        <f t="shared" si="22"/>
        <v>-1.1207463904536391E-2</v>
      </c>
      <c r="V94">
        <v>2.9999999999999698</v>
      </c>
      <c r="W94">
        <f t="shared" si="23"/>
        <v>-0.67081999999999864</v>
      </c>
    </row>
    <row r="95" spans="1:23" x14ac:dyDescent="0.3">
      <c r="A95">
        <v>4.7628402999999997</v>
      </c>
      <c r="B95">
        <v>0.55367999999999995</v>
      </c>
      <c r="C95">
        <f t="shared" si="13"/>
        <v>2.6370894173039994</v>
      </c>
      <c r="D95">
        <v>1.6500000000000001E-2</v>
      </c>
      <c r="E95">
        <v>1.413E-2</v>
      </c>
      <c r="F95">
        <f t="shared" si="14"/>
        <v>952.56805999999995</v>
      </c>
      <c r="G95">
        <f t="shared" si="15"/>
        <v>-0.55367999999999995</v>
      </c>
      <c r="H95">
        <f t="shared" si="16"/>
        <v>-527.41788346079989</v>
      </c>
      <c r="I95">
        <v>1</v>
      </c>
      <c r="J95">
        <f t="shared" si="17"/>
        <v>-4.8593720465759951E-2</v>
      </c>
      <c r="K95">
        <f t="shared" si="18"/>
        <v>-0.66804515177521751</v>
      </c>
      <c r="L95">
        <v>1</v>
      </c>
      <c r="M95">
        <f t="shared" si="19"/>
        <v>0.53293210602333363</v>
      </c>
      <c r="N95">
        <f t="shared" si="20"/>
        <v>7.8586864950000002E-2</v>
      </c>
      <c r="O95">
        <f t="shared" si="21"/>
        <v>6.7298933438999994E-2</v>
      </c>
      <c r="P95">
        <f t="shared" si="22"/>
        <v>-1.077275263711612E-2</v>
      </c>
      <c r="V95">
        <v>3.0999999999999699</v>
      </c>
      <c r="W95">
        <f t="shared" si="23"/>
        <v>-0.67534299999999869</v>
      </c>
    </row>
    <row r="96" spans="1:23" x14ac:dyDescent="0.3">
      <c r="A96">
        <v>4.8132495000000004</v>
      </c>
      <c r="B96">
        <v>0.55156000000000005</v>
      </c>
      <c r="C96">
        <f t="shared" si="13"/>
        <v>2.6547958942200003</v>
      </c>
      <c r="D96">
        <v>1.6500000000000001E-2</v>
      </c>
      <c r="E96">
        <v>1.413E-2</v>
      </c>
      <c r="F96">
        <f t="shared" si="14"/>
        <v>962.64990000000012</v>
      </c>
      <c r="G96">
        <f t="shared" si="15"/>
        <v>-0.55156000000000005</v>
      </c>
      <c r="H96">
        <f t="shared" si="16"/>
        <v>-530.95917884400001</v>
      </c>
      <c r="I96">
        <v>1</v>
      </c>
      <c r="J96">
        <f t="shared" si="17"/>
        <v>-3.8065484686712565E-2</v>
      </c>
      <c r="K96">
        <f t="shared" si="18"/>
        <v>-0.6701651517752174</v>
      </c>
      <c r="L96">
        <v>1</v>
      </c>
      <c r="M96">
        <f t="shared" si="19"/>
        <v>0.53340829812762003</v>
      </c>
      <c r="N96">
        <f t="shared" si="20"/>
        <v>7.9418616750000004E-2</v>
      </c>
      <c r="O96">
        <f t="shared" si="21"/>
        <v>6.8011215435000008E-2</v>
      </c>
      <c r="P96">
        <f t="shared" si="22"/>
        <v>-1.0672978537402636E-2</v>
      </c>
      <c r="V96">
        <v>3.19999999999997</v>
      </c>
      <c r="W96">
        <f t="shared" si="23"/>
        <v>-0.67986599999999864</v>
      </c>
    </row>
    <row r="97" spans="1:23" x14ac:dyDescent="0.3">
      <c r="A97">
        <v>4.8641674999999998</v>
      </c>
      <c r="B97">
        <v>0.54934000000000005</v>
      </c>
      <c r="C97">
        <f t="shared" si="13"/>
        <v>2.6720817744500001</v>
      </c>
      <c r="D97">
        <v>1.6500000000000001E-2</v>
      </c>
      <c r="E97">
        <v>1.413E-2</v>
      </c>
      <c r="F97">
        <f t="shared" si="14"/>
        <v>972.83349999999996</v>
      </c>
      <c r="G97">
        <f t="shared" si="15"/>
        <v>-0.54934000000000005</v>
      </c>
      <c r="H97">
        <f t="shared" si="16"/>
        <v>-534.41635488999998</v>
      </c>
      <c r="I97">
        <v>1</v>
      </c>
      <c r="J97">
        <f t="shared" si="17"/>
        <v>-2.754233168553178E-2</v>
      </c>
      <c r="K97">
        <f t="shared" si="18"/>
        <v>-0.6723851517752174</v>
      </c>
      <c r="L97">
        <v>1</v>
      </c>
      <c r="M97">
        <f t="shared" si="19"/>
        <v>0.5338842603378634</v>
      </c>
      <c r="N97">
        <f t="shared" si="20"/>
        <v>8.0258763750000003E-2</v>
      </c>
      <c r="O97">
        <f t="shared" si="21"/>
        <v>6.8730686774999994E-2</v>
      </c>
      <c r="P97">
        <f t="shared" si="22"/>
        <v>-1.0488559087645996E-2</v>
      </c>
      <c r="V97">
        <v>3.2999999999999701</v>
      </c>
      <c r="W97">
        <f t="shared" si="23"/>
        <v>-0.68438899999999858</v>
      </c>
    </row>
    <row r="98" spans="1:23" x14ac:dyDescent="0.3">
      <c r="A98">
        <v>4.9145766999999996</v>
      </c>
      <c r="B98">
        <v>0.54701</v>
      </c>
      <c r="C98">
        <f t="shared" si="13"/>
        <v>2.6883226006669996</v>
      </c>
      <c r="D98">
        <v>1.6500000000000001E-2</v>
      </c>
      <c r="E98">
        <v>1.413E-2</v>
      </c>
      <c r="F98">
        <f t="shared" si="14"/>
        <v>982.9153399999999</v>
      </c>
      <c r="G98">
        <f t="shared" si="15"/>
        <v>-0.54701</v>
      </c>
      <c r="H98">
        <f t="shared" si="16"/>
        <v>-537.66452013339995</v>
      </c>
      <c r="I98">
        <v>1</v>
      </c>
      <c r="J98">
        <f t="shared" si="17"/>
        <v>-1.7232286653732439E-2</v>
      </c>
      <c r="K98">
        <f t="shared" si="18"/>
        <v>-0.67471515177521746</v>
      </c>
      <c r="L98">
        <v>1</v>
      </c>
      <c r="M98">
        <f t="shared" si="19"/>
        <v>0.53435058367465171</v>
      </c>
      <c r="N98">
        <f t="shared" si="20"/>
        <v>8.1090515549999992E-2</v>
      </c>
      <c r="O98">
        <f t="shared" si="21"/>
        <v>6.9442968770999994E-2</v>
      </c>
      <c r="P98">
        <f t="shared" si="22"/>
        <v>-1.016891622043424E-2</v>
      </c>
      <c r="V98">
        <v>3.3999999999999702</v>
      </c>
      <c r="W98">
        <f t="shared" si="23"/>
        <v>-0.68891199999999864</v>
      </c>
    </row>
    <row r="99" spans="1:23" x14ac:dyDescent="0.3">
      <c r="A99">
        <v>4.9685503000000004</v>
      </c>
      <c r="B99">
        <v>0.54483999999999999</v>
      </c>
      <c r="C99">
        <f t="shared" si="13"/>
        <v>2.7070649454520002</v>
      </c>
      <c r="D99">
        <v>1.6500000000000001E-2</v>
      </c>
      <c r="E99">
        <v>1.413E-2</v>
      </c>
      <c r="F99">
        <f t="shared" si="14"/>
        <v>993.71006000000011</v>
      </c>
      <c r="G99">
        <f t="shared" si="15"/>
        <v>-0.54483999999999999</v>
      </c>
      <c r="H99">
        <f t="shared" si="16"/>
        <v>-541.41298909040006</v>
      </c>
      <c r="I99">
        <v>1</v>
      </c>
      <c r="J99">
        <f t="shared" si="17"/>
        <v>-6.309805016251605E-3</v>
      </c>
      <c r="K99">
        <f t="shared" si="18"/>
        <v>-0.67688515177521746</v>
      </c>
      <c r="L99">
        <v>1</v>
      </c>
      <c r="M99">
        <f t="shared" si="19"/>
        <v>0.53484460751911489</v>
      </c>
      <c r="N99">
        <f t="shared" si="20"/>
        <v>8.1981079950000008E-2</v>
      </c>
      <c r="O99">
        <f t="shared" si="21"/>
        <v>7.0205615739000013E-2</v>
      </c>
      <c r="P99">
        <f t="shared" si="22"/>
        <v>-1.0146151432897446E-2</v>
      </c>
      <c r="V99">
        <v>3.4999999999999698</v>
      </c>
      <c r="W99">
        <f t="shared" si="23"/>
        <v>-0.69343499999999869</v>
      </c>
    </row>
    <row r="100" spans="1:23" x14ac:dyDescent="0.3">
      <c r="A100">
        <v>5.0209960999999996</v>
      </c>
      <c r="B100">
        <v>0.54235999999999995</v>
      </c>
      <c r="C100">
        <f t="shared" si="13"/>
        <v>2.7231874447959994</v>
      </c>
      <c r="D100">
        <v>1.6500000000000001E-2</v>
      </c>
      <c r="E100">
        <v>1.413E-2</v>
      </c>
      <c r="F100">
        <f t="shared" si="14"/>
        <v>1004.19922</v>
      </c>
      <c r="G100">
        <f t="shared" si="15"/>
        <v>-0.54235999999999995</v>
      </c>
      <c r="H100">
        <f t="shared" si="16"/>
        <v>-544.63748895919991</v>
      </c>
      <c r="I100">
        <v>1</v>
      </c>
      <c r="J100">
        <f t="shared" si="17"/>
        <v>4.1904278804648157E-3</v>
      </c>
      <c r="K100">
        <f t="shared" si="18"/>
        <v>-0.6793651517752175</v>
      </c>
      <c r="L100">
        <v>1</v>
      </c>
      <c r="M100">
        <f t="shared" si="19"/>
        <v>0.53531953305303337</v>
      </c>
      <c r="N100">
        <f t="shared" si="20"/>
        <v>8.2846435649999994E-2</v>
      </c>
      <c r="O100">
        <f t="shared" si="21"/>
        <v>7.0946674892999995E-2</v>
      </c>
      <c r="P100">
        <f t="shared" si="22"/>
        <v>-9.7474918208158567E-3</v>
      </c>
      <c r="V100">
        <v>3.5999999999999699</v>
      </c>
      <c r="W100">
        <f t="shared" ref="W100:W131" si="24">V100*$S$5+$S$4</f>
        <v>-0.69795799999999864</v>
      </c>
    </row>
    <row r="101" spans="1:23" x14ac:dyDescent="0.3">
      <c r="A101">
        <v>5.0719146000000004</v>
      </c>
      <c r="B101">
        <v>0.54022000000000003</v>
      </c>
      <c r="C101">
        <f t="shared" si="13"/>
        <v>2.7399497052120005</v>
      </c>
      <c r="D101">
        <v>1.6500000000000001E-2</v>
      </c>
      <c r="E101">
        <v>1.413E-2</v>
      </c>
      <c r="F101">
        <f t="shared" si="14"/>
        <v>1014.3829200000001</v>
      </c>
      <c r="G101">
        <f t="shared" si="15"/>
        <v>-0.54022000000000003</v>
      </c>
      <c r="H101">
        <f t="shared" si="16"/>
        <v>-547.98994104240012</v>
      </c>
      <c r="I101">
        <v>1</v>
      </c>
      <c r="J101">
        <f t="shared" si="17"/>
        <v>1.4280467019639366E-2</v>
      </c>
      <c r="K101">
        <f t="shared" si="18"/>
        <v>-0.68150515177521742</v>
      </c>
      <c r="L101">
        <v>1</v>
      </c>
      <c r="M101">
        <f t="shared" si="19"/>
        <v>0.53577590552329823</v>
      </c>
      <c r="N101">
        <f t="shared" si="20"/>
        <v>8.368659090000001E-2</v>
      </c>
      <c r="O101">
        <f t="shared" si="21"/>
        <v>7.166615329800001E-2</v>
      </c>
      <c r="P101">
        <f t="shared" si="22"/>
        <v>-9.6234979460808334E-3</v>
      </c>
      <c r="V101">
        <v>3.69999999999997</v>
      </c>
      <c r="W101">
        <f t="shared" si="24"/>
        <v>-0.70248099999999858</v>
      </c>
    </row>
    <row r="102" spans="1:23" x14ac:dyDescent="0.3">
      <c r="A102">
        <v>5.1248696000000002</v>
      </c>
      <c r="B102">
        <v>0.53815999999999997</v>
      </c>
      <c r="C102">
        <f t="shared" si="13"/>
        <v>2.7579998239360002</v>
      </c>
      <c r="D102">
        <v>1.6500000000000001E-2</v>
      </c>
      <c r="E102">
        <v>1.413E-2</v>
      </c>
      <c r="F102">
        <f t="shared" si="14"/>
        <v>1024.9739200000001</v>
      </c>
      <c r="G102">
        <f t="shared" si="15"/>
        <v>-0.53815999999999997</v>
      </c>
      <c r="H102">
        <f t="shared" si="16"/>
        <v>-551.59996478720007</v>
      </c>
      <c r="I102">
        <v>1</v>
      </c>
      <c r="J102">
        <f t="shared" si="17"/>
        <v>2.4667168364230992E-2</v>
      </c>
      <c r="K102">
        <f t="shared" si="18"/>
        <v>-0.68356515177521748</v>
      </c>
      <c r="L102">
        <v>1</v>
      </c>
      <c r="M102">
        <f t="shared" si="19"/>
        <v>0.53624569602511418</v>
      </c>
      <c r="N102">
        <f t="shared" si="20"/>
        <v>8.4560348400000013E-2</v>
      </c>
      <c r="O102">
        <f t="shared" si="21"/>
        <v>7.2414407447999998E-2</v>
      </c>
      <c r="P102">
        <f t="shared" si="22"/>
        <v>-9.6553000978967102E-3</v>
      </c>
      <c r="V102">
        <v>3.7999999999999701</v>
      </c>
      <c r="W102">
        <f t="shared" si="24"/>
        <v>-0.70700399999999863</v>
      </c>
    </row>
    <row r="103" spans="1:23" x14ac:dyDescent="0.3">
      <c r="A103">
        <v>5.1752783000000004</v>
      </c>
      <c r="B103">
        <v>0.53581000000000001</v>
      </c>
      <c r="C103">
        <f t="shared" si="13"/>
        <v>2.7729658659230001</v>
      </c>
      <c r="D103">
        <v>1.6500000000000001E-2</v>
      </c>
      <c r="E103">
        <v>1.413E-2</v>
      </c>
      <c r="F103">
        <f t="shared" si="14"/>
        <v>1035.05566</v>
      </c>
      <c r="G103">
        <f t="shared" si="15"/>
        <v>-0.53581000000000001</v>
      </c>
      <c r="H103">
        <f t="shared" si="16"/>
        <v>-554.5931731846</v>
      </c>
      <c r="I103">
        <v>1</v>
      </c>
      <c r="J103">
        <f t="shared" si="17"/>
        <v>3.4455203049137365E-2</v>
      </c>
      <c r="K103">
        <f t="shared" si="18"/>
        <v>-0.68591515177521745</v>
      </c>
      <c r="L103">
        <v>1</v>
      </c>
      <c r="M103">
        <f t="shared" si="19"/>
        <v>0.53668840883391244</v>
      </c>
      <c r="N103">
        <f t="shared" si="20"/>
        <v>8.5392091950000013E-2</v>
      </c>
      <c r="O103">
        <f t="shared" si="21"/>
        <v>7.312668237900001E-2</v>
      </c>
      <c r="P103">
        <f t="shared" si="22"/>
        <v>-9.2920313876950211E-3</v>
      </c>
      <c r="V103">
        <v>3.8999999999999599</v>
      </c>
      <c r="W103">
        <f t="shared" si="24"/>
        <v>-0.71152699999999824</v>
      </c>
    </row>
    <row r="104" spans="1:23" x14ac:dyDescent="0.3">
      <c r="A104">
        <v>5.2307793</v>
      </c>
      <c r="B104">
        <v>0.53337999999999997</v>
      </c>
      <c r="C104">
        <f t="shared" si="13"/>
        <v>2.7899930630339997</v>
      </c>
      <c r="D104">
        <v>1.6500000000000001E-2</v>
      </c>
      <c r="E104">
        <v>1.413E-2</v>
      </c>
      <c r="F104">
        <f t="shared" si="14"/>
        <v>1046.1558600000001</v>
      </c>
      <c r="G104">
        <f t="shared" si="15"/>
        <v>-0.53337999999999997</v>
      </c>
      <c r="H104">
        <f t="shared" si="16"/>
        <v>-557.99861260679995</v>
      </c>
      <c r="I104">
        <v>1</v>
      </c>
      <c r="J104">
        <f t="shared" si="17"/>
        <v>4.5122360278616824E-2</v>
      </c>
      <c r="K104">
        <f t="shared" si="18"/>
        <v>-0.68834515177521749</v>
      </c>
      <c r="L104">
        <v>1</v>
      </c>
      <c r="M104">
        <f t="shared" si="19"/>
        <v>0.53717088435540183</v>
      </c>
      <c r="N104">
        <f t="shared" si="20"/>
        <v>8.6307858450000011E-2</v>
      </c>
      <c r="O104">
        <f t="shared" si="21"/>
        <v>7.3910911509000005E-2</v>
      </c>
      <c r="P104">
        <f t="shared" si="22"/>
        <v>-9.0445025391843598E-3</v>
      </c>
      <c r="V104">
        <v>3.99999999999996</v>
      </c>
      <c r="W104">
        <f t="shared" si="24"/>
        <v>-0.71604999999999819</v>
      </c>
    </row>
    <row r="105" spans="1:23" x14ac:dyDescent="0.3">
      <c r="A105">
        <v>5.2811890000000004</v>
      </c>
      <c r="B105">
        <v>0.53142</v>
      </c>
      <c r="C105">
        <f t="shared" si="13"/>
        <v>2.80652945838</v>
      </c>
      <c r="D105">
        <v>1.6500000000000001E-2</v>
      </c>
      <c r="E105">
        <v>1.413E-2</v>
      </c>
      <c r="F105">
        <f t="shared" si="14"/>
        <v>1056.2378000000001</v>
      </c>
      <c r="G105">
        <f t="shared" si="15"/>
        <v>-0.53142</v>
      </c>
      <c r="H105">
        <f t="shared" si="16"/>
        <v>-561.30589167599999</v>
      </c>
      <c r="I105">
        <v>1</v>
      </c>
      <c r="J105">
        <f t="shared" si="17"/>
        <v>5.4713349326683494E-2</v>
      </c>
      <c r="K105">
        <f t="shared" si="18"/>
        <v>-0.69030515177521745</v>
      </c>
      <c r="L105">
        <v>1</v>
      </c>
      <c r="M105">
        <f t="shared" si="19"/>
        <v>0.53760468479004586</v>
      </c>
      <c r="N105">
        <f t="shared" si="20"/>
        <v>8.7139618500000016E-2</v>
      </c>
      <c r="O105">
        <f t="shared" si="21"/>
        <v>7.4623200570000006E-2</v>
      </c>
      <c r="P105">
        <f t="shared" si="22"/>
        <v>-9.0623520848284317E-3</v>
      </c>
      <c r="V105">
        <v>4.0999999999999996</v>
      </c>
      <c r="W105">
        <f t="shared" si="24"/>
        <v>-0.72057299999999991</v>
      </c>
    </row>
    <row r="106" spans="1:23" x14ac:dyDescent="0.3">
      <c r="A106">
        <v>5.3321063999999998</v>
      </c>
      <c r="B106">
        <v>0.52907000000000004</v>
      </c>
      <c r="C106">
        <f t="shared" si="13"/>
        <v>2.8210575330480001</v>
      </c>
      <c r="D106">
        <v>1.6500000000000001E-2</v>
      </c>
      <c r="E106">
        <v>1.413E-2</v>
      </c>
      <c r="F106">
        <f t="shared" si="14"/>
        <v>1066.42128</v>
      </c>
      <c r="G106">
        <f t="shared" si="15"/>
        <v>-0.52907000000000004</v>
      </c>
      <c r="H106">
        <f t="shared" si="16"/>
        <v>-564.21150660960006</v>
      </c>
      <c r="I106">
        <v>1</v>
      </c>
      <c r="J106">
        <f t="shared" si="17"/>
        <v>6.4308444672010828E-2</v>
      </c>
      <c r="K106">
        <f t="shared" si="18"/>
        <v>-0.69265515177521741</v>
      </c>
      <c r="L106">
        <v>1</v>
      </c>
      <c r="M106">
        <f t="shared" si="19"/>
        <v>0.53803867095251501</v>
      </c>
      <c r="N106">
        <f t="shared" si="20"/>
        <v>8.7979755600000001E-2</v>
      </c>
      <c r="O106">
        <f t="shared" si="21"/>
        <v>7.5342663431999995E-2</v>
      </c>
      <c r="P106">
        <f t="shared" si="22"/>
        <v>-8.7059382092975895E-3</v>
      </c>
      <c r="V106">
        <v>4.2</v>
      </c>
      <c r="W106">
        <f t="shared" si="24"/>
        <v>-0.72509599999999996</v>
      </c>
    </row>
    <row r="107" spans="1:23" x14ac:dyDescent="0.3">
      <c r="A107">
        <v>5.3845527000000004</v>
      </c>
      <c r="B107">
        <v>0.52700999999999998</v>
      </c>
      <c r="C107">
        <f t="shared" si="13"/>
        <v>2.8377131184270001</v>
      </c>
      <c r="D107">
        <v>1.6500000000000001E-2</v>
      </c>
      <c r="E107">
        <v>1.413E-2</v>
      </c>
      <c r="F107">
        <f t="shared" si="14"/>
        <v>1076.9105400000001</v>
      </c>
      <c r="G107">
        <f t="shared" si="15"/>
        <v>-0.52700999999999998</v>
      </c>
      <c r="H107">
        <f t="shared" si="16"/>
        <v>-567.54262368540003</v>
      </c>
      <c r="I107">
        <v>1</v>
      </c>
      <c r="J107">
        <f t="shared" si="17"/>
        <v>7.4096330657388576E-2</v>
      </c>
      <c r="K107">
        <f t="shared" si="18"/>
        <v>-0.69471515177521748</v>
      </c>
      <c r="L107">
        <v>1</v>
      </c>
      <c r="M107">
        <f t="shared" si="19"/>
        <v>0.5384813770356337</v>
      </c>
      <c r="N107">
        <f t="shared" si="20"/>
        <v>8.8845119550000018E-2</v>
      </c>
      <c r="O107">
        <f t="shared" si="21"/>
        <v>7.6083729651000007E-2</v>
      </c>
      <c r="P107">
        <f t="shared" si="22"/>
        <v>-8.6950744614162495E-3</v>
      </c>
      <c r="V107">
        <v>4.3</v>
      </c>
      <c r="W107">
        <f t="shared" si="24"/>
        <v>-0.72961900000000002</v>
      </c>
    </row>
    <row r="108" spans="1:23" x14ac:dyDescent="0.3">
      <c r="A108">
        <v>5.4375077999999997</v>
      </c>
      <c r="B108">
        <v>0.52481</v>
      </c>
      <c r="C108">
        <f t="shared" si="13"/>
        <v>2.8536584685179998</v>
      </c>
      <c r="D108">
        <v>1.6500000000000001E-2</v>
      </c>
      <c r="E108">
        <v>1.413E-2</v>
      </c>
      <c r="F108">
        <f t="shared" si="14"/>
        <v>1087.5015599999999</v>
      </c>
      <c r="G108">
        <f t="shared" si="15"/>
        <v>-0.52481</v>
      </c>
      <c r="H108">
        <f t="shared" si="16"/>
        <v>-570.73169370359994</v>
      </c>
      <c r="I108">
        <v>1</v>
      </c>
      <c r="J108">
        <f t="shared" si="17"/>
        <v>8.3882918462431844E-2</v>
      </c>
      <c r="K108">
        <f t="shared" si="18"/>
        <v>-0.69691515177521746</v>
      </c>
      <c r="L108">
        <v>1</v>
      </c>
      <c r="M108">
        <f t="shared" si="19"/>
        <v>0.53892402440205578</v>
      </c>
      <c r="N108">
        <f t="shared" si="20"/>
        <v>8.9718878700000004E-2</v>
      </c>
      <c r="O108">
        <f t="shared" si="21"/>
        <v>7.683198521399999E-2</v>
      </c>
      <c r="P108">
        <f t="shared" si="22"/>
        <v>-8.5597365408383169E-3</v>
      </c>
      <c r="V108">
        <v>4.4000000000000004</v>
      </c>
      <c r="W108">
        <f t="shared" si="24"/>
        <v>-0.73414200000000007</v>
      </c>
    </row>
    <row r="109" spans="1:23" x14ac:dyDescent="0.3">
      <c r="A109">
        <v>5.4879164999999999</v>
      </c>
      <c r="B109">
        <v>0.52242</v>
      </c>
      <c r="C109">
        <f t="shared" si="13"/>
        <v>2.86699733793</v>
      </c>
      <c r="D109">
        <v>1.6500000000000001E-2</v>
      </c>
      <c r="E109">
        <v>1.413E-2</v>
      </c>
      <c r="F109">
        <f t="shared" si="14"/>
        <v>1097.5833</v>
      </c>
      <c r="G109">
        <f t="shared" si="15"/>
        <v>-0.52242</v>
      </c>
      <c r="H109">
        <f t="shared" si="16"/>
        <v>-573.39946758600001</v>
      </c>
      <c r="I109">
        <v>1</v>
      </c>
      <c r="J109">
        <f t="shared" si="17"/>
        <v>9.3110762859156898E-2</v>
      </c>
      <c r="K109">
        <f t="shared" si="18"/>
        <v>-0.69930515177521746</v>
      </c>
      <c r="L109">
        <v>1</v>
      </c>
      <c r="M109">
        <f t="shared" si="19"/>
        <v>0.53934139980411966</v>
      </c>
      <c r="N109">
        <f t="shared" si="20"/>
        <v>9.0550622250000004E-2</v>
      </c>
      <c r="O109">
        <f t="shared" si="21"/>
        <v>7.7544260145000002E-2</v>
      </c>
      <c r="P109">
        <f t="shared" si="22"/>
        <v>-8.1311304239022053E-3</v>
      </c>
      <c r="V109">
        <v>4.5</v>
      </c>
      <c r="W109">
        <f t="shared" si="24"/>
        <v>-0.73866500000000002</v>
      </c>
    </row>
    <row r="110" spans="1:23" x14ac:dyDescent="0.3">
      <c r="A110">
        <v>5.5408720999999996</v>
      </c>
      <c r="B110">
        <v>0.52037999999999995</v>
      </c>
      <c r="C110">
        <f t="shared" si="13"/>
        <v>2.8833590233979995</v>
      </c>
      <c r="D110">
        <v>1.6500000000000001E-2</v>
      </c>
      <c r="E110">
        <v>1.413E-2</v>
      </c>
      <c r="F110">
        <f t="shared" si="14"/>
        <v>1108.1744199999998</v>
      </c>
      <c r="G110">
        <f t="shared" si="15"/>
        <v>-0.52037999999999995</v>
      </c>
      <c r="H110">
        <f t="shared" si="16"/>
        <v>-576.67180467959986</v>
      </c>
      <c r="I110">
        <v>1</v>
      </c>
      <c r="J110">
        <f t="shared" si="17"/>
        <v>0.10271399470862032</v>
      </c>
      <c r="K110">
        <f t="shared" si="18"/>
        <v>-0.7013451517752175</v>
      </c>
      <c r="L110">
        <v>1</v>
      </c>
      <c r="M110">
        <f t="shared" si="19"/>
        <v>0.5397757539806709</v>
      </c>
      <c r="N110">
        <f t="shared" si="20"/>
        <v>9.1424389649999993E-2</v>
      </c>
      <c r="O110">
        <f t="shared" si="21"/>
        <v>7.8292522773000001E-2</v>
      </c>
      <c r="P110">
        <f t="shared" si="22"/>
        <v>-8.147514628453395E-3</v>
      </c>
      <c r="V110">
        <v>4.5999999999999996</v>
      </c>
      <c r="W110">
        <f t="shared" si="24"/>
        <v>-0.74318799999999996</v>
      </c>
    </row>
    <row r="111" spans="1:23" x14ac:dyDescent="0.3">
      <c r="A111">
        <v>5.5917905000000001</v>
      </c>
      <c r="B111">
        <v>0.51812999999999998</v>
      </c>
      <c r="C111">
        <f t="shared" si="13"/>
        <v>2.8972744117649998</v>
      </c>
      <c r="D111">
        <v>1.6500000000000001E-2</v>
      </c>
      <c r="E111">
        <v>1.413E-2</v>
      </c>
      <c r="F111">
        <f t="shared" si="14"/>
        <v>1118.3580999999999</v>
      </c>
      <c r="G111">
        <f t="shared" si="15"/>
        <v>-0.51812999999999998</v>
      </c>
      <c r="H111">
        <f t="shared" si="16"/>
        <v>-579.4548823529999</v>
      </c>
      <c r="I111">
        <v>1</v>
      </c>
      <c r="J111">
        <f t="shared" si="17"/>
        <v>0.11186162756098593</v>
      </c>
      <c r="K111">
        <f t="shared" si="18"/>
        <v>-0.70359515177521748</v>
      </c>
      <c r="L111">
        <v>1</v>
      </c>
      <c r="M111">
        <f t="shared" si="19"/>
        <v>0.54018950141458344</v>
      </c>
      <c r="N111">
        <f t="shared" si="20"/>
        <v>9.2264543250000011E-2</v>
      </c>
      <c r="O111">
        <f t="shared" si="21"/>
        <v>7.9011999765000007E-2</v>
      </c>
      <c r="P111">
        <f t="shared" si="22"/>
        <v>-7.8708926543659824E-3</v>
      </c>
      <c r="V111">
        <v>4.7</v>
      </c>
      <c r="W111">
        <f t="shared" si="24"/>
        <v>-0.74771100000000001</v>
      </c>
    </row>
    <row r="112" spans="1:23" x14ac:dyDescent="0.3">
      <c r="A112">
        <v>5.642709</v>
      </c>
      <c r="B112">
        <v>0.51614000000000004</v>
      </c>
      <c r="C112">
        <f t="shared" si="13"/>
        <v>2.9124278232600003</v>
      </c>
      <c r="D112">
        <v>1.6500000000000001E-2</v>
      </c>
      <c r="E112">
        <v>1.413E-2</v>
      </c>
      <c r="F112">
        <f t="shared" si="14"/>
        <v>1128.5418</v>
      </c>
      <c r="G112">
        <f t="shared" si="15"/>
        <v>-0.51614000000000004</v>
      </c>
      <c r="H112">
        <f t="shared" si="16"/>
        <v>-582.48556465200011</v>
      </c>
      <c r="I112">
        <v>1</v>
      </c>
      <c r="J112">
        <f t="shared" si="17"/>
        <v>0.12092635690848522</v>
      </c>
      <c r="K112">
        <f t="shared" si="18"/>
        <v>-0.70558515177521741</v>
      </c>
      <c r="L112">
        <v>1</v>
      </c>
      <c r="M112">
        <f t="shared" si="19"/>
        <v>0.54059949912297078</v>
      </c>
      <c r="N112">
        <f t="shared" si="20"/>
        <v>9.3104698499999999E-2</v>
      </c>
      <c r="O112">
        <f t="shared" si="21"/>
        <v>7.9731478169999995E-2</v>
      </c>
      <c r="P112">
        <f t="shared" si="22"/>
        <v>-7.8505240177533658E-3</v>
      </c>
      <c r="V112">
        <v>4.8</v>
      </c>
      <c r="W112">
        <f t="shared" si="24"/>
        <v>-0.75223399999999996</v>
      </c>
    </row>
    <row r="113" spans="1:23" x14ac:dyDescent="0.3">
      <c r="A113">
        <v>5.6941362</v>
      </c>
      <c r="B113">
        <v>0.51370000000000005</v>
      </c>
      <c r="C113">
        <f t="shared" si="13"/>
        <v>2.9250777659400002</v>
      </c>
      <c r="D113">
        <v>1.6500000000000001E-2</v>
      </c>
      <c r="E113">
        <v>1.413E-2</v>
      </c>
      <c r="F113">
        <f t="shared" si="14"/>
        <v>1138.8272400000001</v>
      </c>
      <c r="G113">
        <f t="shared" si="15"/>
        <v>-0.51370000000000005</v>
      </c>
      <c r="H113">
        <f t="shared" si="16"/>
        <v>-585.01555318800001</v>
      </c>
      <c r="I113">
        <v>1</v>
      </c>
      <c r="J113">
        <f t="shared" si="17"/>
        <v>0.12999899605136966</v>
      </c>
      <c r="K113">
        <f t="shared" si="18"/>
        <v>-0.70802515177521741</v>
      </c>
      <c r="L113">
        <v>1</v>
      </c>
      <c r="M113">
        <f t="shared" si="19"/>
        <v>0.54100985459140349</v>
      </c>
      <c r="N113">
        <f t="shared" si="20"/>
        <v>9.3953247300000001E-2</v>
      </c>
      <c r="O113">
        <f t="shared" si="21"/>
        <v>8.0458144506000001E-2</v>
      </c>
      <c r="P113">
        <f t="shared" si="22"/>
        <v>-7.3960946221860863E-3</v>
      </c>
      <c r="V113">
        <v>4.9000000000000004</v>
      </c>
      <c r="W113">
        <f t="shared" si="24"/>
        <v>-0.75675700000000001</v>
      </c>
    </row>
    <row r="114" spans="1:23" x14ac:dyDescent="0.3">
      <c r="A114">
        <v>5.7445449000000002</v>
      </c>
      <c r="B114">
        <v>0.51160000000000005</v>
      </c>
      <c r="C114">
        <f t="shared" si="13"/>
        <v>2.9389091708400006</v>
      </c>
      <c r="D114">
        <v>1.6500000000000001E-2</v>
      </c>
      <c r="E114">
        <v>1.413E-2</v>
      </c>
      <c r="F114">
        <f t="shared" si="14"/>
        <v>1148.9089799999999</v>
      </c>
      <c r="G114">
        <f t="shared" si="15"/>
        <v>-0.51160000000000005</v>
      </c>
      <c r="H114">
        <f t="shared" si="16"/>
        <v>-587.78183416800016</v>
      </c>
      <c r="I114">
        <v>1</v>
      </c>
      <c r="J114">
        <f t="shared" si="17"/>
        <v>0.13881277901862643</v>
      </c>
      <c r="K114">
        <f t="shared" si="18"/>
        <v>-0.7101251517752174</v>
      </c>
      <c r="L114">
        <v>1</v>
      </c>
      <c r="M114">
        <f t="shared" si="19"/>
        <v>0.54140850199501245</v>
      </c>
      <c r="N114">
        <f t="shared" si="20"/>
        <v>9.478499085E-2</v>
      </c>
      <c r="O114">
        <f t="shared" si="21"/>
        <v>8.1170419436999999E-2</v>
      </c>
      <c r="P114">
        <f t="shared" si="22"/>
        <v>-7.2387605067950472E-3</v>
      </c>
      <c r="V114">
        <v>5</v>
      </c>
      <c r="W114">
        <f t="shared" si="24"/>
        <v>-0.76127999999999996</v>
      </c>
    </row>
    <row r="115" spans="1:23" x14ac:dyDescent="0.3">
      <c r="A115">
        <v>5.7949545999999996</v>
      </c>
      <c r="B115">
        <v>0.50929000000000002</v>
      </c>
      <c r="C115">
        <f t="shared" si="13"/>
        <v>2.951312428234</v>
      </c>
      <c r="D115">
        <v>1.6500000000000001E-2</v>
      </c>
      <c r="E115">
        <v>1.413E-2</v>
      </c>
      <c r="F115">
        <f t="shared" si="14"/>
        <v>1158.99092</v>
      </c>
      <c r="G115">
        <f t="shared" si="15"/>
        <v>-0.50929000000000002</v>
      </c>
      <c r="H115">
        <f t="shared" si="16"/>
        <v>-590.26248564679997</v>
      </c>
      <c r="I115">
        <v>1</v>
      </c>
      <c r="J115">
        <f t="shared" si="17"/>
        <v>0.14754972998697777</v>
      </c>
      <c r="K115">
        <f t="shared" si="18"/>
        <v>-0.71243515177521743</v>
      </c>
      <c r="L115">
        <v>1</v>
      </c>
      <c r="M115">
        <f t="shared" si="19"/>
        <v>0.54180367428731102</v>
      </c>
      <c r="N115">
        <f t="shared" si="20"/>
        <v>9.5616750899999992E-2</v>
      </c>
      <c r="O115">
        <f t="shared" si="21"/>
        <v>8.1882708498000001E-2</v>
      </c>
      <c r="P115">
        <f t="shared" si="22"/>
        <v>-6.8679819100935791E-3</v>
      </c>
      <c r="V115">
        <v>5.0999999999999996</v>
      </c>
      <c r="W115">
        <f t="shared" si="24"/>
        <v>-0.76580300000000001</v>
      </c>
    </row>
    <row r="116" spans="1:23" x14ac:dyDescent="0.3">
      <c r="A116">
        <v>5.8458730000000001</v>
      </c>
      <c r="B116">
        <v>0.50744999999999996</v>
      </c>
      <c r="C116">
        <f t="shared" si="13"/>
        <v>2.9664882538499997</v>
      </c>
      <c r="D116">
        <v>1.6500000000000001E-2</v>
      </c>
      <c r="E116">
        <v>1.413E-2</v>
      </c>
      <c r="F116">
        <f t="shared" si="14"/>
        <v>1169.1746000000001</v>
      </c>
      <c r="G116">
        <f t="shared" si="15"/>
        <v>-0.50744999999999996</v>
      </c>
      <c r="H116">
        <f t="shared" si="16"/>
        <v>-593.2976507699999</v>
      </c>
      <c r="I116">
        <v>1</v>
      </c>
      <c r="J116">
        <f t="shared" si="17"/>
        <v>0.15629802976307733</v>
      </c>
      <c r="K116">
        <f t="shared" si="18"/>
        <v>-0.7142751517752175</v>
      </c>
      <c r="L116">
        <v>1</v>
      </c>
      <c r="M116">
        <f t="shared" si="19"/>
        <v>0.54219935988618395</v>
      </c>
      <c r="N116">
        <f t="shared" si="20"/>
        <v>9.645690450000001E-2</v>
      </c>
      <c r="O116">
        <f t="shared" si="21"/>
        <v>8.2602185490000007E-2</v>
      </c>
      <c r="P116">
        <f t="shared" si="22"/>
        <v>-6.9832981009664702E-3</v>
      </c>
      <c r="V116">
        <v>5.2</v>
      </c>
      <c r="W116">
        <f t="shared" si="24"/>
        <v>-0.77032600000000007</v>
      </c>
    </row>
    <row r="117" spans="1:23" x14ac:dyDescent="0.3">
      <c r="A117">
        <v>5.8973003000000004</v>
      </c>
      <c r="B117">
        <v>0.50507000000000002</v>
      </c>
      <c r="C117">
        <f t="shared" si="13"/>
        <v>2.9785494625210003</v>
      </c>
      <c r="D117">
        <v>1.6500000000000001E-2</v>
      </c>
      <c r="E117">
        <v>1.413E-2</v>
      </c>
      <c r="F117">
        <f t="shared" si="14"/>
        <v>1179.4600600000001</v>
      </c>
      <c r="G117">
        <f t="shared" si="15"/>
        <v>-0.50507000000000002</v>
      </c>
      <c r="H117">
        <f t="shared" si="16"/>
        <v>-595.70989250420007</v>
      </c>
      <c r="I117">
        <v>1</v>
      </c>
      <c r="J117">
        <f t="shared" si="17"/>
        <v>0.16505675748641888</v>
      </c>
      <c r="K117">
        <f t="shared" si="18"/>
        <v>-0.71665515177521744</v>
      </c>
      <c r="L117">
        <v>1</v>
      </c>
      <c r="M117">
        <f t="shared" si="19"/>
        <v>0.54259551714111076</v>
      </c>
      <c r="N117">
        <f t="shared" si="20"/>
        <v>9.7305454950000009E-2</v>
      </c>
      <c r="O117">
        <f t="shared" si="21"/>
        <v>8.3328853239000009E-2</v>
      </c>
      <c r="P117">
        <f t="shared" si="22"/>
        <v>-6.5746735548933427E-3</v>
      </c>
      <c r="V117">
        <v>5.3</v>
      </c>
      <c r="W117">
        <f t="shared" si="24"/>
        <v>-0.77484900000000001</v>
      </c>
    </row>
    <row r="118" spans="1:23" x14ac:dyDescent="0.3">
      <c r="A118">
        <v>5.9482188000000003</v>
      </c>
      <c r="B118">
        <v>0.50305999999999995</v>
      </c>
      <c r="C118">
        <f t="shared" si="13"/>
        <v>2.992310949528</v>
      </c>
      <c r="D118">
        <v>1.6500000000000001E-2</v>
      </c>
      <c r="E118">
        <v>1.413E-2</v>
      </c>
      <c r="F118">
        <f t="shared" si="14"/>
        <v>1189.6437600000002</v>
      </c>
      <c r="G118">
        <f t="shared" si="15"/>
        <v>-0.50305999999999995</v>
      </c>
      <c r="H118">
        <f t="shared" si="16"/>
        <v>-598.46218990559998</v>
      </c>
      <c r="I118">
        <v>1</v>
      </c>
      <c r="J118">
        <f t="shared" si="17"/>
        <v>0.17365390096134828</v>
      </c>
      <c r="K118">
        <f t="shared" si="18"/>
        <v>-0.7186651517752175</v>
      </c>
      <c r="L118">
        <v>1</v>
      </c>
      <c r="M118">
        <f t="shared" si="19"/>
        <v>0.54298436594048183</v>
      </c>
      <c r="N118">
        <f t="shared" si="20"/>
        <v>9.8145610200000011E-2</v>
      </c>
      <c r="O118">
        <f t="shared" si="21"/>
        <v>8.404833164400001E-2</v>
      </c>
      <c r="P118">
        <f t="shared" si="22"/>
        <v>-6.5131560092643453E-3</v>
      </c>
      <c r="V118">
        <v>5.4</v>
      </c>
      <c r="W118">
        <f t="shared" si="24"/>
        <v>-0.77937199999999995</v>
      </c>
    </row>
    <row r="119" spans="1:23" x14ac:dyDescent="0.3">
      <c r="A119">
        <v>6.0011732999999996</v>
      </c>
      <c r="B119">
        <v>0.50073000000000001</v>
      </c>
      <c r="C119">
        <f t="shared" si="13"/>
        <v>3.0049675065089998</v>
      </c>
      <c r="D119">
        <v>1.6500000000000001E-2</v>
      </c>
      <c r="E119">
        <v>1.413E-2</v>
      </c>
      <c r="F119">
        <f t="shared" si="14"/>
        <v>1200.2346599999998</v>
      </c>
      <c r="G119">
        <f t="shared" si="15"/>
        <v>-0.50073000000000001</v>
      </c>
      <c r="H119">
        <f t="shared" si="16"/>
        <v>-600.99350130179994</v>
      </c>
      <c r="I119">
        <v>1</v>
      </c>
      <c r="J119">
        <f t="shared" si="17"/>
        <v>0.18251708767654543</v>
      </c>
      <c r="K119">
        <f t="shared" si="18"/>
        <v>-0.72099515177521745</v>
      </c>
      <c r="L119">
        <v>1</v>
      </c>
      <c r="M119">
        <f t="shared" si="19"/>
        <v>0.54338524787561016</v>
      </c>
      <c r="N119">
        <f t="shared" si="20"/>
        <v>9.9019359449999997E-2</v>
      </c>
      <c r="O119">
        <f t="shared" si="21"/>
        <v>8.4796578728999997E-2</v>
      </c>
      <c r="P119">
        <f t="shared" si="22"/>
        <v>-6.2060342793927026E-3</v>
      </c>
      <c r="V119">
        <v>5.5</v>
      </c>
      <c r="W119">
        <f t="shared" si="24"/>
        <v>-0.78389500000000001</v>
      </c>
    </row>
    <row r="120" spans="1:23" x14ac:dyDescent="0.3">
      <c r="A120">
        <v>6.0551475000000003</v>
      </c>
      <c r="B120">
        <v>0.49863000000000002</v>
      </c>
      <c r="C120">
        <f t="shared" si="13"/>
        <v>3.0192781979250003</v>
      </c>
      <c r="D120">
        <v>1.6500000000000001E-2</v>
      </c>
      <c r="E120">
        <v>1.413E-2</v>
      </c>
      <c r="F120">
        <f t="shared" si="14"/>
        <v>1211.0295000000001</v>
      </c>
      <c r="G120">
        <f t="shared" si="15"/>
        <v>-0.49863000000000002</v>
      </c>
      <c r="H120">
        <f t="shared" si="16"/>
        <v>-603.85563958500006</v>
      </c>
      <c r="I120">
        <v>1</v>
      </c>
      <c r="J120">
        <f t="shared" si="17"/>
        <v>0.19147082430728513</v>
      </c>
      <c r="K120">
        <f t="shared" si="18"/>
        <v>-0.72309515177521744</v>
      </c>
      <c r="L120">
        <v>1</v>
      </c>
      <c r="M120">
        <f t="shared" si="19"/>
        <v>0.54379022538341848</v>
      </c>
      <c r="N120">
        <f t="shared" si="20"/>
        <v>9.9909933750000013E-2</v>
      </c>
      <c r="O120">
        <f t="shared" si="21"/>
        <v>8.5559234175000012E-2</v>
      </c>
      <c r="P120">
        <f t="shared" si="22"/>
        <v>-6.1642415332010675E-3</v>
      </c>
      <c r="V120">
        <v>5.6</v>
      </c>
      <c r="W120">
        <f t="shared" si="24"/>
        <v>-0.78841799999999995</v>
      </c>
    </row>
    <row r="121" spans="1:23" x14ac:dyDescent="0.3">
      <c r="A121">
        <v>6.1055565999999999</v>
      </c>
      <c r="B121">
        <v>0.49646000000000001</v>
      </c>
      <c r="C121">
        <f t="shared" si="13"/>
        <v>3.0311646296360002</v>
      </c>
      <c r="D121">
        <v>1.6500000000000001E-2</v>
      </c>
      <c r="E121">
        <v>1.413E-2</v>
      </c>
      <c r="F121">
        <f t="shared" si="14"/>
        <v>1221.11132</v>
      </c>
      <c r="G121">
        <f t="shared" si="15"/>
        <v>-0.49646000000000001</v>
      </c>
      <c r="H121">
        <f t="shared" si="16"/>
        <v>-606.23292592720009</v>
      </c>
      <c r="I121">
        <v>1</v>
      </c>
      <c r="J121">
        <f t="shared" si="17"/>
        <v>0.19976136214390008</v>
      </c>
      <c r="K121">
        <f t="shared" si="18"/>
        <v>-0.72526515177521744</v>
      </c>
      <c r="L121">
        <v>1</v>
      </c>
      <c r="M121">
        <f t="shared" si="19"/>
        <v>0.54416520640976862</v>
      </c>
      <c r="N121">
        <f t="shared" si="20"/>
        <v>0.1007416839</v>
      </c>
      <c r="O121">
        <f t="shared" si="21"/>
        <v>8.6271514758000004E-2</v>
      </c>
      <c r="P121">
        <f t="shared" si="22"/>
        <v>-5.9132532925511849E-3</v>
      </c>
      <c r="V121">
        <v>5.7</v>
      </c>
      <c r="W121">
        <f t="shared" si="24"/>
        <v>-0.79294100000000001</v>
      </c>
    </row>
    <row r="122" spans="1:23" x14ac:dyDescent="0.3">
      <c r="A122">
        <v>6.1574932000000002</v>
      </c>
      <c r="B122">
        <v>0.49451000000000001</v>
      </c>
      <c r="C122">
        <f t="shared" si="13"/>
        <v>3.044941962332</v>
      </c>
      <c r="D122">
        <v>1.6500000000000001E-2</v>
      </c>
      <c r="E122">
        <v>1.413E-2</v>
      </c>
      <c r="F122">
        <f t="shared" si="14"/>
        <v>1231.49864</v>
      </c>
      <c r="G122">
        <f t="shared" si="15"/>
        <v>-0.49451000000000001</v>
      </c>
      <c r="H122">
        <f t="shared" si="16"/>
        <v>-608.9883924664</v>
      </c>
      <c r="I122">
        <v>1</v>
      </c>
      <c r="J122">
        <f t="shared" si="17"/>
        <v>0.20823183423355027</v>
      </c>
      <c r="K122">
        <f t="shared" si="18"/>
        <v>-0.72721515177521745</v>
      </c>
      <c r="L122">
        <v>1</v>
      </c>
      <c r="M122">
        <f t="shared" si="19"/>
        <v>0.54454832586238344</v>
      </c>
      <c r="N122">
        <f t="shared" si="20"/>
        <v>0.1015986378</v>
      </c>
      <c r="O122">
        <f t="shared" si="21"/>
        <v>8.7005378916000006E-2</v>
      </c>
      <c r="P122">
        <f t="shared" si="22"/>
        <v>-5.9371908031660009E-3</v>
      </c>
      <c r="V122">
        <v>5.8</v>
      </c>
      <c r="W122">
        <f t="shared" si="24"/>
        <v>-0.79746399999999995</v>
      </c>
    </row>
    <row r="123" spans="1:23" x14ac:dyDescent="0.3">
      <c r="A123">
        <v>6.2099390000000003</v>
      </c>
      <c r="B123">
        <v>0.49209999999999998</v>
      </c>
      <c r="C123">
        <f t="shared" si="13"/>
        <v>3.0559109818999999</v>
      </c>
      <c r="D123">
        <v>1.6500000000000001E-2</v>
      </c>
      <c r="E123">
        <v>1.413E-2</v>
      </c>
      <c r="F123">
        <f t="shared" si="14"/>
        <v>1241.9878000000001</v>
      </c>
      <c r="G123">
        <f t="shared" si="15"/>
        <v>-0.49209999999999998</v>
      </c>
      <c r="H123">
        <f t="shared" si="16"/>
        <v>-611.18219637999994</v>
      </c>
      <c r="I123">
        <v>1</v>
      </c>
      <c r="J123">
        <f t="shared" si="17"/>
        <v>0.2167131605966979</v>
      </c>
      <c r="K123">
        <f t="shared" si="18"/>
        <v>-0.72962515177521747</v>
      </c>
      <c r="L123">
        <v>1</v>
      </c>
      <c r="M123">
        <f t="shared" si="19"/>
        <v>0.54493193625378866</v>
      </c>
      <c r="N123">
        <f t="shared" si="20"/>
        <v>0.10246399350000002</v>
      </c>
      <c r="O123">
        <f t="shared" si="21"/>
        <v>8.7746438070000002E-2</v>
      </c>
      <c r="P123">
        <f t="shared" si="22"/>
        <v>-5.517216048571208E-3</v>
      </c>
      <c r="V123">
        <v>5.9</v>
      </c>
      <c r="W123">
        <f t="shared" si="24"/>
        <v>-0.80198700000000001</v>
      </c>
    </row>
    <row r="124" spans="1:23" x14ac:dyDescent="0.3">
      <c r="A124">
        <v>6.2608563999999998</v>
      </c>
      <c r="B124">
        <v>0.48974000000000001</v>
      </c>
      <c r="C124">
        <f t="shared" si="13"/>
        <v>3.0661918133359998</v>
      </c>
      <c r="D124">
        <v>1.6500000000000001E-2</v>
      </c>
      <c r="E124">
        <v>1.413E-2</v>
      </c>
      <c r="F124">
        <f t="shared" si="14"/>
        <v>1252.17128</v>
      </c>
      <c r="G124">
        <f t="shared" si="15"/>
        <v>-0.48974000000000001</v>
      </c>
      <c r="H124">
        <f t="shared" si="16"/>
        <v>-613.23836266719991</v>
      </c>
      <c r="I124">
        <v>1</v>
      </c>
      <c r="J124">
        <f t="shared" si="17"/>
        <v>0.22487906843276192</v>
      </c>
      <c r="K124">
        <f t="shared" si="18"/>
        <v>-0.73198515177521739</v>
      </c>
      <c r="L124">
        <v>1</v>
      </c>
      <c r="M124">
        <f t="shared" si="19"/>
        <v>0.54530128026521385</v>
      </c>
      <c r="N124">
        <f t="shared" si="20"/>
        <v>0.1033041306</v>
      </c>
      <c r="O124">
        <f t="shared" si="21"/>
        <v>8.8465900931999991E-2</v>
      </c>
      <c r="P124">
        <f t="shared" si="22"/>
        <v>-5.0861600219964526E-3</v>
      </c>
      <c r="V124">
        <v>6</v>
      </c>
      <c r="W124">
        <f t="shared" si="24"/>
        <v>-0.80651000000000006</v>
      </c>
    </row>
    <row r="125" spans="1:23" x14ac:dyDescent="0.3">
      <c r="A125">
        <v>6.3117748999999996</v>
      </c>
      <c r="B125">
        <v>0.48775000000000002</v>
      </c>
      <c r="C125">
        <f t="shared" si="13"/>
        <v>3.078568207475</v>
      </c>
      <c r="D125">
        <v>1.6500000000000001E-2</v>
      </c>
      <c r="E125">
        <v>1.413E-2</v>
      </c>
      <c r="F125">
        <f t="shared" si="14"/>
        <v>1262.3549799999998</v>
      </c>
      <c r="G125">
        <f t="shared" si="15"/>
        <v>-0.48775000000000002</v>
      </c>
      <c r="H125">
        <f t="shared" si="16"/>
        <v>-615.71364149500005</v>
      </c>
      <c r="I125">
        <v>1</v>
      </c>
      <c r="J125">
        <f t="shared" si="17"/>
        <v>0.23297900824288836</v>
      </c>
      <c r="K125">
        <f t="shared" si="18"/>
        <v>-0.73397515177521744</v>
      </c>
      <c r="L125">
        <v>1</v>
      </c>
      <c r="M125">
        <f t="shared" si="19"/>
        <v>0.54566764054282579</v>
      </c>
      <c r="N125">
        <f t="shared" si="20"/>
        <v>0.10414428585</v>
      </c>
      <c r="O125">
        <f t="shared" si="21"/>
        <v>8.9185379336999993E-2</v>
      </c>
      <c r="P125">
        <f t="shared" si="22"/>
        <v>-5.0221539546083521E-3</v>
      </c>
      <c r="V125">
        <v>6.1</v>
      </c>
      <c r="W125">
        <f t="shared" si="24"/>
        <v>-0.81103299999999989</v>
      </c>
    </row>
    <row r="126" spans="1:23" x14ac:dyDescent="0.3">
      <c r="A126">
        <v>6.3626943000000002</v>
      </c>
      <c r="B126">
        <v>0.48552000000000001</v>
      </c>
      <c r="C126">
        <f t="shared" si="13"/>
        <v>3.0892153365360002</v>
      </c>
      <c r="D126">
        <v>1.6500000000000001E-2</v>
      </c>
      <c r="E126">
        <v>1.413E-2</v>
      </c>
      <c r="F126">
        <f t="shared" si="14"/>
        <v>1272.5388600000001</v>
      </c>
      <c r="G126">
        <f t="shared" si="15"/>
        <v>-0.48552000000000001</v>
      </c>
      <c r="H126">
        <f t="shared" si="16"/>
        <v>-617.84306730720004</v>
      </c>
      <c r="I126">
        <v>1</v>
      </c>
      <c r="J126">
        <f t="shared" si="17"/>
        <v>0.24101400728666866</v>
      </c>
      <c r="K126">
        <f t="shared" si="18"/>
        <v>-0.7362051517752175</v>
      </c>
      <c r="L126">
        <v>1</v>
      </c>
      <c r="M126">
        <f t="shared" si="19"/>
        <v>0.54603106354957598</v>
      </c>
      <c r="N126">
        <f t="shared" si="20"/>
        <v>0.10498445595000001</v>
      </c>
      <c r="O126">
        <f t="shared" si="21"/>
        <v>8.9904870459000003E-2</v>
      </c>
      <c r="P126">
        <f t="shared" si="22"/>
        <v>-4.7152381833584917E-3</v>
      </c>
      <c r="V126">
        <v>6.2</v>
      </c>
      <c r="W126">
        <f t="shared" si="24"/>
        <v>-0.81555599999999995</v>
      </c>
    </row>
    <row r="127" spans="1:23" x14ac:dyDescent="0.3">
      <c r="A127">
        <v>6.4146308999999997</v>
      </c>
      <c r="B127">
        <v>0.48336000000000001</v>
      </c>
      <c r="C127">
        <f t="shared" si="13"/>
        <v>3.1005759918239999</v>
      </c>
      <c r="D127">
        <v>1.6500000000000001E-2</v>
      </c>
      <c r="E127">
        <v>1.413E-2</v>
      </c>
      <c r="F127">
        <f t="shared" si="14"/>
        <v>1282.9261799999999</v>
      </c>
      <c r="G127">
        <f t="shared" si="15"/>
        <v>-0.48336000000000001</v>
      </c>
      <c r="H127">
        <f t="shared" si="16"/>
        <v>-620.11519836479999</v>
      </c>
      <c r="I127">
        <v>1</v>
      </c>
      <c r="J127">
        <f t="shared" si="17"/>
        <v>0.24914354695557814</v>
      </c>
      <c r="K127">
        <f t="shared" si="18"/>
        <v>-0.73836515177521744</v>
      </c>
      <c r="L127">
        <v>1</v>
      </c>
      <c r="M127">
        <f t="shared" si="19"/>
        <v>0.54639876262880083</v>
      </c>
      <c r="N127">
        <f t="shared" si="20"/>
        <v>0.10584140985</v>
      </c>
      <c r="O127">
        <f t="shared" si="21"/>
        <v>9.0638734616999991E-2</v>
      </c>
      <c r="P127">
        <f t="shared" si="22"/>
        <v>-4.5137553205833736E-3</v>
      </c>
      <c r="V127">
        <v>6.3</v>
      </c>
      <c r="W127">
        <f t="shared" si="24"/>
        <v>-0.820079</v>
      </c>
    </row>
    <row r="128" spans="1:23" x14ac:dyDescent="0.3">
      <c r="A128">
        <v>6.4650395999999999</v>
      </c>
      <c r="B128">
        <v>0.48137000000000002</v>
      </c>
      <c r="C128">
        <f t="shared" si="13"/>
        <v>3.1120761122520002</v>
      </c>
      <c r="D128">
        <v>1.6500000000000001E-2</v>
      </c>
      <c r="E128">
        <v>1.413E-2</v>
      </c>
      <c r="F128">
        <f t="shared" si="14"/>
        <v>1293.00792</v>
      </c>
      <c r="G128">
        <f t="shared" si="15"/>
        <v>-0.48137000000000002</v>
      </c>
      <c r="H128">
        <f t="shared" si="16"/>
        <v>-622.41522245040005</v>
      </c>
      <c r="I128">
        <v>1</v>
      </c>
      <c r="J128">
        <f t="shared" si="17"/>
        <v>0.25697122506098408</v>
      </c>
      <c r="K128">
        <f t="shared" si="18"/>
        <v>-0.74035515177521738</v>
      </c>
      <c r="L128">
        <v>1</v>
      </c>
      <c r="M128">
        <f t="shared" si="19"/>
        <v>0.54675280850950836</v>
      </c>
      <c r="N128">
        <f t="shared" si="20"/>
        <v>0.1066731534</v>
      </c>
      <c r="O128">
        <f t="shared" si="21"/>
        <v>9.1351009548000003E-2</v>
      </c>
      <c r="P128">
        <f t="shared" si="22"/>
        <v>-4.4218196822909811E-3</v>
      </c>
      <c r="V128">
        <v>6.4</v>
      </c>
      <c r="W128">
        <f t="shared" si="24"/>
        <v>-0.82460200000000006</v>
      </c>
    </row>
    <row r="129" spans="1:23" x14ac:dyDescent="0.3">
      <c r="A129">
        <v>6.5190127000000002</v>
      </c>
      <c r="B129">
        <v>0.47917999999999999</v>
      </c>
      <c r="C129">
        <f t="shared" si="13"/>
        <v>3.1237805055860002</v>
      </c>
      <c r="D129">
        <v>1.6500000000000001E-2</v>
      </c>
      <c r="E129">
        <v>1.413E-2</v>
      </c>
      <c r="F129">
        <f t="shared" si="14"/>
        <v>1303.8025400000001</v>
      </c>
      <c r="G129">
        <f t="shared" si="15"/>
        <v>-0.47917999999999999</v>
      </c>
      <c r="H129">
        <f t="shared" si="16"/>
        <v>-624.75610111720005</v>
      </c>
      <c r="I129">
        <v>1</v>
      </c>
      <c r="J129">
        <f t="shared" si="17"/>
        <v>0.26528502565796136</v>
      </c>
      <c r="K129">
        <f t="shared" si="18"/>
        <v>-0.74254515177521752</v>
      </c>
      <c r="L129">
        <v>1</v>
      </c>
      <c r="M129">
        <f t="shared" si="19"/>
        <v>0.54712884171050957</v>
      </c>
      <c r="N129">
        <f t="shared" si="20"/>
        <v>0.10756370955000001</v>
      </c>
      <c r="O129">
        <f t="shared" si="21"/>
        <v>9.2113649451000007E-2</v>
      </c>
      <c r="P129">
        <f t="shared" si="22"/>
        <v>-4.261048936292075E-3</v>
      </c>
      <c r="V129">
        <v>6.5</v>
      </c>
      <c r="W129">
        <f t="shared" si="24"/>
        <v>-0.829125</v>
      </c>
    </row>
    <row r="130" spans="1:23" x14ac:dyDescent="0.3">
      <c r="A130">
        <v>6.5694223999999997</v>
      </c>
      <c r="B130">
        <v>0.47691</v>
      </c>
      <c r="C130">
        <f t="shared" si="13"/>
        <v>3.1330232367839996</v>
      </c>
      <c r="D130">
        <v>1.6500000000000001E-2</v>
      </c>
      <c r="E130">
        <v>1.413E-2</v>
      </c>
      <c r="F130">
        <f t="shared" si="14"/>
        <v>1313.8844799999999</v>
      </c>
      <c r="G130">
        <f t="shared" si="15"/>
        <v>-0.47691</v>
      </c>
      <c r="H130">
        <f t="shared" si="16"/>
        <v>-626.60464735679989</v>
      </c>
      <c r="I130">
        <v>1</v>
      </c>
      <c r="J130">
        <f t="shared" si="17"/>
        <v>0.27298800143361024</v>
      </c>
      <c r="K130">
        <f t="shared" si="18"/>
        <v>-0.74481515177521751</v>
      </c>
      <c r="L130">
        <v>1</v>
      </c>
      <c r="M130">
        <f t="shared" si="19"/>
        <v>0.54747724730484215</v>
      </c>
      <c r="N130">
        <f t="shared" si="20"/>
        <v>0.1083954696</v>
      </c>
      <c r="O130">
        <f t="shared" si="21"/>
        <v>9.2825938511999995E-2</v>
      </c>
      <c r="P130">
        <f t="shared" si="22"/>
        <v>-3.8835036416246388E-3</v>
      </c>
      <c r="V130">
        <v>6.6</v>
      </c>
      <c r="W130">
        <f t="shared" si="24"/>
        <v>-0.83364799999999994</v>
      </c>
    </row>
    <row r="131" spans="1:23" x14ac:dyDescent="0.3">
      <c r="A131">
        <v>6.6208495999999997</v>
      </c>
      <c r="B131">
        <v>0.47481000000000001</v>
      </c>
      <c r="C131">
        <f t="shared" si="13"/>
        <v>3.1436455985760001</v>
      </c>
      <c r="D131">
        <v>1.6500000000000001E-2</v>
      </c>
      <c r="E131">
        <v>1.413E-2</v>
      </c>
      <c r="F131">
        <f t="shared" si="14"/>
        <v>1324.1699199999998</v>
      </c>
      <c r="G131">
        <f t="shared" si="15"/>
        <v>-0.47481000000000001</v>
      </c>
      <c r="H131">
        <f t="shared" si="16"/>
        <v>-628.7291197152</v>
      </c>
      <c r="I131">
        <v>1</v>
      </c>
      <c r="J131">
        <f t="shared" si="17"/>
        <v>0.28078578764873258</v>
      </c>
      <c r="K131">
        <f t="shared" si="18"/>
        <v>-0.7469151517752175</v>
      </c>
      <c r="L131">
        <v>1</v>
      </c>
      <c r="M131">
        <f t="shared" si="19"/>
        <v>0.54782994117535222</v>
      </c>
      <c r="N131">
        <f t="shared" si="20"/>
        <v>0.1092440184</v>
      </c>
      <c r="O131">
        <f t="shared" si="21"/>
        <v>9.3552604848000001E-2</v>
      </c>
      <c r="P131">
        <f t="shared" si="22"/>
        <v>-3.7114126481347237E-3</v>
      </c>
      <c r="V131">
        <v>6.7</v>
      </c>
      <c r="W131">
        <f t="shared" si="24"/>
        <v>-0.838171</v>
      </c>
    </row>
    <row r="132" spans="1:23" x14ac:dyDescent="0.3">
      <c r="A132">
        <v>6.6717675999999999</v>
      </c>
      <c r="B132">
        <v>0.47253000000000001</v>
      </c>
      <c r="C132">
        <f t="shared" ref="C132:C195" si="25">A132*B132</f>
        <v>3.152610344028</v>
      </c>
      <c r="D132">
        <v>1.6500000000000001E-2</v>
      </c>
      <c r="E132">
        <v>1.413E-2</v>
      </c>
      <c r="F132">
        <f t="shared" ref="F132:F195" si="26">A132*200</f>
        <v>1334.3535199999999</v>
      </c>
      <c r="G132">
        <f t="shared" ref="G132:G195" si="27">-B132</f>
        <v>-0.47253000000000001</v>
      </c>
      <c r="H132">
        <f t="shared" ref="H132:H195" si="28">-C132*200</f>
        <v>-630.52206880560004</v>
      </c>
      <c r="I132">
        <v>1</v>
      </c>
      <c r="J132">
        <f t="shared" ref="J132:J195" si="29">LN(F132/1000)</f>
        <v>0.2884469198813997</v>
      </c>
      <c r="K132">
        <f t="shared" ref="K132:K195" si="30">((-G132)-$N$2)</f>
        <v>-0.74919515177521745</v>
      </c>
      <c r="L132">
        <v>1</v>
      </c>
      <c r="M132">
        <f t="shared" ref="M132:M195" si="31">-1*($S$4+($S$5*J132))</f>
        <v>0.54817645418623573</v>
      </c>
      <c r="N132">
        <f t="shared" ref="N132:N195" si="32">D132*A132</f>
        <v>0.1100841654</v>
      </c>
      <c r="O132">
        <f t="shared" ref="O132:O195" si="33">E132*A132</f>
        <v>9.4272076188000001E-2</v>
      </c>
      <c r="P132">
        <f t="shared" ref="P132:P195" si="34">-K132-M132-N132-O132</f>
        <v>-3.3375439990182831E-3</v>
      </c>
      <c r="V132">
        <v>6.8</v>
      </c>
      <c r="W132">
        <f t="shared" ref="W132:W163" si="35">V132*$S$5+$S$4</f>
        <v>-0.84269400000000005</v>
      </c>
    </row>
    <row r="133" spans="1:23" x14ac:dyDescent="0.3">
      <c r="A133">
        <v>6.7221767999999997</v>
      </c>
      <c r="B133">
        <v>0.47076000000000001</v>
      </c>
      <c r="C133">
        <f t="shared" si="25"/>
        <v>3.1645319503680001</v>
      </c>
      <c r="D133">
        <v>1.6500000000000001E-2</v>
      </c>
      <c r="E133">
        <v>1.413E-2</v>
      </c>
      <c r="F133">
        <f t="shared" si="26"/>
        <v>1344.4353599999999</v>
      </c>
      <c r="G133">
        <f t="shared" si="27"/>
        <v>-0.47076000000000001</v>
      </c>
      <c r="H133">
        <f t="shared" si="28"/>
        <v>-632.90639007360005</v>
      </c>
      <c r="I133">
        <v>1</v>
      </c>
      <c r="J133">
        <f t="shared" si="29"/>
        <v>0.29597411821885372</v>
      </c>
      <c r="K133">
        <f t="shared" si="30"/>
        <v>-0.75096515177521739</v>
      </c>
      <c r="L133">
        <v>1</v>
      </c>
      <c r="M133">
        <f t="shared" si="31"/>
        <v>0.54851690936703879</v>
      </c>
      <c r="N133">
        <f t="shared" si="32"/>
        <v>0.11091591720000001</v>
      </c>
      <c r="O133">
        <f t="shared" si="33"/>
        <v>9.4984358184000001E-2</v>
      </c>
      <c r="P133">
        <f t="shared" si="34"/>
        <v>-3.4520329758214036E-3</v>
      </c>
      <c r="V133">
        <v>6.9</v>
      </c>
      <c r="W133">
        <f t="shared" si="35"/>
        <v>-0.847217</v>
      </c>
    </row>
    <row r="134" spans="1:23" x14ac:dyDescent="0.3">
      <c r="A134">
        <v>6.7746230000000001</v>
      </c>
      <c r="B134">
        <v>0.46828999999999998</v>
      </c>
      <c r="C134">
        <f t="shared" si="25"/>
        <v>3.17248820467</v>
      </c>
      <c r="D134">
        <v>1.6500000000000001E-2</v>
      </c>
      <c r="E134">
        <v>1.413E-2</v>
      </c>
      <c r="F134">
        <f t="shared" si="26"/>
        <v>1354.9246000000001</v>
      </c>
      <c r="G134">
        <f t="shared" si="27"/>
        <v>-0.46828999999999998</v>
      </c>
      <c r="H134">
        <f t="shared" si="28"/>
        <v>-634.49764093400006</v>
      </c>
      <c r="I134">
        <v>1</v>
      </c>
      <c r="J134">
        <f t="shared" si="29"/>
        <v>0.30374580702692422</v>
      </c>
      <c r="K134">
        <f t="shared" si="30"/>
        <v>-0.75343515177521747</v>
      </c>
      <c r="L134">
        <v>1</v>
      </c>
      <c r="M134">
        <f t="shared" si="31"/>
        <v>0.5488684228518278</v>
      </c>
      <c r="N134">
        <f t="shared" si="32"/>
        <v>0.11178127950000001</v>
      </c>
      <c r="O134">
        <f t="shared" si="33"/>
        <v>9.5725422990000003E-2</v>
      </c>
      <c r="P134">
        <f t="shared" si="34"/>
        <v>-2.9399735666103405E-3</v>
      </c>
      <c r="V134">
        <v>7</v>
      </c>
      <c r="W134">
        <f t="shared" si="35"/>
        <v>-0.85173999999999994</v>
      </c>
    </row>
    <row r="135" spans="1:23" x14ac:dyDescent="0.3">
      <c r="A135">
        <v>6.8250317000000003</v>
      </c>
      <c r="B135">
        <v>0.46651999999999999</v>
      </c>
      <c r="C135">
        <f t="shared" si="25"/>
        <v>3.1840137886840001</v>
      </c>
      <c r="D135">
        <v>1.6500000000000001E-2</v>
      </c>
      <c r="E135">
        <v>1.413E-2</v>
      </c>
      <c r="F135">
        <f t="shared" si="26"/>
        <v>1365.0063400000001</v>
      </c>
      <c r="G135">
        <f t="shared" si="27"/>
        <v>-0.46651999999999999</v>
      </c>
      <c r="H135">
        <f t="shared" si="28"/>
        <v>-636.8027577368</v>
      </c>
      <c r="I135">
        <v>1</v>
      </c>
      <c r="J135">
        <f t="shared" si="29"/>
        <v>0.31115907331478126</v>
      </c>
      <c r="K135">
        <f t="shared" si="30"/>
        <v>-0.75520515177521741</v>
      </c>
      <c r="L135">
        <v>1</v>
      </c>
      <c r="M135">
        <f t="shared" si="31"/>
        <v>0.54920372488602753</v>
      </c>
      <c r="N135">
        <f t="shared" si="32"/>
        <v>0.11261302305000001</v>
      </c>
      <c r="O135">
        <f t="shared" si="33"/>
        <v>9.6437697921000001E-2</v>
      </c>
      <c r="P135">
        <f t="shared" si="34"/>
        <v>-3.0492940818101361E-3</v>
      </c>
      <c r="V135">
        <v>7.1</v>
      </c>
      <c r="W135">
        <f t="shared" si="35"/>
        <v>-0.856263</v>
      </c>
    </row>
    <row r="136" spans="1:23" x14ac:dyDescent="0.3">
      <c r="A136">
        <v>6.8759512000000003</v>
      </c>
      <c r="B136">
        <v>0.46407999999999999</v>
      </c>
      <c r="C136">
        <f t="shared" si="25"/>
        <v>3.1909914328960003</v>
      </c>
      <c r="D136">
        <v>1.6500000000000001E-2</v>
      </c>
      <c r="E136">
        <v>1.413E-2</v>
      </c>
      <c r="F136">
        <f t="shared" si="26"/>
        <v>1375.1902400000001</v>
      </c>
      <c r="G136">
        <f t="shared" si="27"/>
        <v>-0.46407999999999999</v>
      </c>
      <c r="H136">
        <f t="shared" si="28"/>
        <v>-638.19828657920004</v>
      </c>
      <c r="I136">
        <v>1</v>
      </c>
      <c r="J136">
        <f t="shared" si="29"/>
        <v>0.31859207791181221</v>
      </c>
      <c r="K136">
        <f t="shared" si="30"/>
        <v>-0.75764515177521741</v>
      </c>
      <c r="L136">
        <v>1</v>
      </c>
      <c r="M136">
        <f t="shared" si="31"/>
        <v>0.54953991968395122</v>
      </c>
      <c r="N136">
        <f t="shared" si="32"/>
        <v>0.1134531948</v>
      </c>
      <c r="O136">
        <f t="shared" si="33"/>
        <v>9.7157190456000006E-2</v>
      </c>
      <c r="P136">
        <f t="shared" si="34"/>
        <v>-2.5051531647338199E-3</v>
      </c>
      <c r="V136">
        <v>7.2</v>
      </c>
      <c r="W136">
        <f t="shared" si="35"/>
        <v>-0.86078600000000005</v>
      </c>
    </row>
    <row r="137" spans="1:23" x14ac:dyDescent="0.3">
      <c r="A137">
        <v>6.9299232999999996</v>
      </c>
      <c r="B137">
        <v>0.46188000000000001</v>
      </c>
      <c r="C137">
        <f t="shared" si="25"/>
        <v>3.200792973804</v>
      </c>
      <c r="D137">
        <v>1.6500000000000001E-2</v>
      </c>
      <c r="E137">
        <v>1.413E-2</v>
      </c>
      <c r="F137">
        <f t="shared" si="26"/>
        <v>1385.9846599999998</v>
      </c>
      <c r="G137">
        <f t="shared" si="27"/>
        <v>-0.46188000000000001</v>
      </c>
      <c r="H137">
        <f t="shared" si="28"/>
        <v>-640.15859476080004</v>
      </c>
      <c r="I137">
        <v>1</v>
      </c>
      <c r="J137">
        <f t="shared" si="29"/>
        <v>0.3264108328853948</v>
      </c>
      <c r="K137">
        <f t="shared" si="30"/>
        <v>-0.75984515177521739</v>
      </c>
      <c r="L137">
        <v>1</v>
      </c>
      <c r="M137">
        <f t="shared" si="31"/>
        <v>0.54989356197140637</v>
      </c>
      <c r="N137">
        <f t="shared" si="32"/>
        <v>0.11434373445</v>
      </c>
      <c r="O137">
        <f t="shared" si="33"/>
        <v>9.7919816228999992E-2</v>
      </c>
      <c r="P137">
        <f t="shared" si="34"/>
        <v>-2.3119608751889786E-3</v>
      </c>
      <c r="V137">
        <v>7.3</v>
      </c>
      <c r="W137">
        <f t="shared" si="35"/>
        <v>-0.86530899999999999</v>
      </c>
    </row>
    <row r="138" spans="1:23" x14ac:dyDescent="0.3">
      <c r="A138">
        <v>6.9833876999999998</v>
      </c>
      <c r="B138">
        <v>0.45961000000000002</v>
      </c>
      <c r="C138">
        <f t="shared" si="25"/>
        <v>3.209634820797</v>
      </c>
      <c r="D138">
        <v>1.6500000000000001E-2</v>
      </c>
      <c r="E138">
        <v>1.413E-2</v>
      </c>
      <c r="F138">
        <f t="shared" si="26"/>
        <v>1396.6775399999999</v>
      </c>
      <c r="G138">
        <f t="shared" si="27"/>
        <v>-0.45961000000000002</v>
      </c>
      <c r="H138">
        <f t="shared" si="28"/>
        <v>-641.92696415939997</v>
      </c>
      <c r="I138">
        <v>1</v>
      </c>
      <c r="J138">
        <f t="shared" si="29"/>
        <v>0.33409623043849612</v>
      </c>
      <c r="K138">
        <f t="shared" si="30"/>
        <v>-0.76211515177521738</v>
      </c>
      <c r="L138">
        <v>1</v>
      </c>
      <c r="M138">
        <f t="shared" si="31"/>
        <v>0.55024117250273319</v>
      </c>
      <c r="N138">
        <f t="shared" si="32"/>
        <v>0.11522589705</v>
      </c>
      <c r="O138">
        <f t="shared" si="33"/>
        <v>9.8675268201000005E-2</v>
      </c>
      <c r="P138">
        <f t="shared" si="34"/>
        <v>-2.0271859785158108E-3</v>
      </c>
      <c r="V138">
        <v>7.4</v>
      </c>
      <c r="W138">
        <f t="shared" si="35"/>
        <v>-0.86983199999999994</v>
      </c>
    </row>
    <row r="139" spans="1:23" x14ac:dyDescent="0.3">
      <c r="A139">
        <v>7.0353247000000003</v>
      </c>
      <c r="B139">
        <v>0.45749000000000001</v>
      </c>
      <c r="C139">
        <f t="shared" si="25"/>
        <v>3.218590697003</v>
      </c>
      <c r="D139">
        <v>1.6500000000000001E-2</v>
      </c>
      <c r="E139">
        <v>1.413E-2</v>
      </c>
      <c r="F139">
        <f t="shared" si="26"/>
        <v>1407.06494</v>
      </c>
      <c r="G139">
        <f t="shared" si="27"/>
        <v>-0.45749000000000001</v>
      </c>
      <c r="H139">
        <f t="shared" si="28"/>
        <v>-643.71813940059997</v>
      </c>
      <c r="I139">
        <v>1</v>
      </c>
      <c r="J139">
        <f t="shared" si="29"/>
        <v>0.34150593200673329</v>
      </c>
      <c r="K139">
        <f t="shared" si="30"/>
        <v>-0.7642351517752175</v>
      </c>
      <c r="L139">
        <v>1</v>
      </c>
      <c r="M139">
        <f t="shared" si="31"/>
        <v>0.5505763133046645</v>
      </c>
      <c r="N139">
        <f t="shared" si="32"/>
        <v>0.11608285755000002</v>
      </c>
      <c r="O139">
        <f t="shared" si="33"/>
        <v>9.9409138011000001E-2</v>
      </c>
      <c r="P139">
        <f t="shared" si="34"/>
        <v>-1.8331570904470129E-3</v>
      </c>
      <c r="V139">
        <v>7.5</v>
      </c>
      <c r="W139">
        <f t="shared" si="35"/>
        <v>-0.87435499999999999</v>
      </c>
    </row>
    <row r="140" spans="1:23" x14ac:dyDescent="0.3">
      <c r="A140">
        <v>7.0857339000000001</v>
      </c>
      <c r="B140">
        <v>0.45517999999999997</v>
      </c>
      <c r="C140">
        <f t="shared" si="25"/>
        <v>3.2252843566019997</v>
      </c>
      <c r="D140">
        <v>1.6500000000000001E-2</v>
      </c>
      <c r="E140">
        <v>1.413E-2</v>
      </c>
      <c r="F140">
        <f t="shared" si="26"/>
        <v>1417.14678</v>
      </c>
      <c r="G140">
        <f t="shared" si="27"/>
        <v>-0.45517999999999997</v>
      </c>
      <c r="H140">
        <f t="shared" si="28"/>
        <v>-645.05687132039998</v>
      </c>
      <c r="I140">
        <v>1</v>
      </c>
      <c r="J140">
        <f t="shared" si="29"/>
        <v>0.34864554038279805</v>
      </c>
      <c r="K140">
        <f t="shared" si="30"/>
        <v>-0.76654515177521754</v>
      </c>
      <c r="L140">
        <v>1</v>
      </c>
      <c r="M140">
        <f t="shared" si="31"/>
        <v>0.55089923779151395</v>
      </c>
      <c r="N140">
        <f t="shared" si="32"/>
        <v>0.11691460935</v>
      </c>
      <c r="O140">
        <f t="shared" si="33"/>
        <v>0.100121420007</v>
      </c>
      <c r="P140">
        <f t="shared" si="34"/>
        <v>-1.3901153732964189E-3</v>
      </c>
    </row>
    <row r="141" spans="1:23" x14ac:dyDescent="0.3">
      <c r="A141">
        <v>7.1381797000000002</v>
      </c>
      <c r="B141">
        <v>0.45333000000000001</v>
      </c>
      <c r="C141">
        <f t="shared" si="25"/>
        <v>3.2359510034010004</v>
      </c>
      <c r="D141">
        <v>1.6500000000000001E-2</v>
      </c>
      <c r="E141">
        <v>1.413E-2</v>
      </c>
      <c r="F141">
        <f t="shared" si="26"/>
        <v>1427.6359400000001</v>
      </c>
      <c r="G141">
        <f t="shared" si="27"/>
        <v>-0.45333000000000001</v>
      </c>
      <c r="H141">
        <f t="shared" si="28"/>
        <v>-647.19020068020006</v>
      </c>
      <c r="I141">
        <v>1</v>
      </c>
      <c r="J141">
        <f t="shared" si="29"/>
        <v>0.35601988743606122</v>
      </c>
      <c r="K141">
        <f t="shared" si="30"/>
        <v>-0.76839515177521744</v>
      </c>
      <c r="L141">
        <v>1</v>
      </c>
      <c r="M141">
        <f t="shared" si="31"/>
        <v>0.55123277950873306</v>
      </c>
      <c r="N141">
        <f t="shared" si="32"/>
        <v>0.11777996505</v>
      </c>
      <c r="O141">
        <f t="shared" si="33"/>
        <v>0.10086247916100001</v>
      </c>
      <c r="P141">
        <f t="shared" si="34"/>
        <v>-1.4800719445156318E-3</v>
      </c>
    </row>
    <row r="142" spans="1:23" x14ac:dyDescent="0.3">
      <c r="A142">
        <v>7.1926620999999997</v>
      </c>
      <c r="B142">
        <v>0.45084000000000002</v>
      </c>
      <c r="C142">
        <f t="shared" si="25"/>
        <v>3.242739781164</v>
      </c>
      <c r="D142">
        <v>1.6500000000000001E-2</v>
      </c>
      <c r="E142">
        <v>1.413E-2</v>
      </c>
      <c r="F142">
        <f t="shared" si="26"/>
        <v>1438.53242</v>
      </c>
      <c r="G142">
        <f t="shared" si="27"/>
        <v>-0.45084000000000002</v>
      </c>
      <c r="H142">
        <f t="shared" si="28"/>
        <v>-648.54795623279995</v>
      </c>
      <c r="I142">
        <v>1</v>
      </c>
      <c r="J142">
        <f t="shared" si="29"/>
        <v>0.36362344112081407</v>
      </c>
      <c r="K142">
        <f t="shared" si="30"/>
        <v>-0.77088515177521744</v>
      </c>
      <c r="L142">
        <v>1</v>
      </c>
      <c r="M142">
        <f t="shared" si="31"/>
        <v>0.55157668824189443</v>
      </c>
      <c r="N142">
        <f t="shared" si="32"/>
        <v>0.11867892465</v>
      </c>
      <c r="O142">
        <f t="shared" si="33"/>
        <v>0.101632315473</v>
      </c>
      <c r="P142">
        <f t="shared" si="34"/>
        <v>-1.0027765896769986E-3</v>
      </c>
    </row>
    <row r="143" spans="1:23" x14ac:dyDescent="0.3">
      <c r="A143">
        <v>7.2461260000000003</v>
      </c>
      <c r="B143">
        <v>0.44864999999999999</v>
      </c>
      <c r="C143">
        <f t="shared" si="25"/>
        <v>3.2509744299000003</v>
      </c>
      <c r="D143">
        <v>1.6500000000000001E-2</v>
      </c>
      <c r="E143">
        <v>1.413E-2</v>
      </c>
      <c r="F143">
        <f t="shared" si="26"/>
        <v>1449.2252000000001</v>
      </c>
      <c r="G143">
        <f t="shared" si="27"/>
        <v>-0.44864999999999999</v>
      </c>
      <c r="H143">
        <f t="shared" si="28"/>
        <v>-650.19488598000009</v>
      </c>
      <c r="I143">
        <v>1</v>
      </c>
      <c r="J143">
        <f t="shared" si="29"/>
        <v>0.37102906879182296</v>
      </c>
      <c r="K143">
        <f t="shared" si="30"/>
        <v>-0.77307515177521746</v>
      </c>
      <c r="L143">
        <v>1</v>
      </c>
      <c r="M143">
        <f t="shared" si="31"/>
        <v>0.55191164478145416</v>
      </c>
      <c r="N143">
        <f t="shared" si="32"/>
        <v>0.11956107900000001</v>
      </c>
      <c r="O143">
        <f t="shared" si="33"/>
        <v>0.10238776038000001</v>
      </c>
      <c r="P143">
        <f t="shared" si="34"/>
        <v>-7.8533238623672286E-4</v>
      </c>
    </row>
    <row r="144" spans="1:23" x14ac:dyDescent="0.3">
      <c r="A144">
        <v>7.2980634999999996</v>
      </c>
      <c r="B144">
        <v>0.44618000000000002</v>
      </c>
      <c r="C144">
        <f t="shared" si="25"/>
        <v>3.25624997243</v>
      </c>
      <c r="D144">
        <v>1.6500000000000001E-2</v>
      </c>
      <c r="E144">
        <v>1.413E-2</v>
      </c>
      <c r="F144">
        <f t="shared" si="26"/>
        <v>1459.6126999999999</v>
      </c>
      <c r="G144">
        <f t="shared" si="27"/>
        <v>-0.44618000000000002</v>
      </c>
      <c r="H144">
        <f t="shared" si="28"/>
        <v>-651.24999448599999</v>
      </c>
      <c r="I144">
        <v>1</v>
      </c>
      <c r="J144">
        <f t="shared" si="29"/>
        <v>0.37817112655627827</v>
      </c>
      <c r="K144">
        <f t="shared" si="30"/>
        <v>-0.77554515177521743</v>
      </c>
      <c r="L144">
        <v>1</v>
      </c>
      <c r="M144">
        <f t="shared" si="31"/>
        <v>0.55223468005414045</v>
      </c>
      <c r="N144">
        <f t="shared" si="32"/>
        <v>0.12041804774999999</v>
      </c>
      <c r="O144">
        <f t="shared" si="33"/>
        <v>0.103121637255</v>
      </c>
      <c r="P144">
        <f t="shared" si="34"/>
        <v>-2.2921328392300211E-4</v>
      </c>
    </row>
    <row r="145" spans="1:16" x14ac:dyDescent="0.3">
      <c r="A145">
        <v>7.3505092999999997</v>
      </c>
      <c r="B145">
        <v>0.44428000000000001</v>
      </c>
      <c r="C145">
        <f t="shared" si="25"/>
        <v>3.265684271804</v>
      </c>
      <c r="D145">
        <v>1.6500000000000001E-2</v>
      </c>
      <c r="E145">
        <v>1.413E-2</v>
      </c>
      <c r="F145">
        <f t="shared" si="26"/>
        <v>1470.10186</v>
      </c>
      <c r="G145">
        <f t="shared" si="27"/>
        <v>-0.44428000000000001</v>
      </c>
      <c r="H145">
        <f t="shared" si="28"/>
        <v>-653.13685436080004</v>
      </c>
      <c r="I145">
        <v>1</v>
      </c>
      <c r="J145">
        <f t="shared" si="29"/>
        <v>0.38533169090703617</v>
      </c>
      <c r="K145">
        <f t="shared" si="30"/>
        <v>-0.77744515177521745</v>
      </c>
      <c r="L145">
        <v>1</v>
      </c>
      <c r="M145">
        <f t="shared" si="31"/>
        <v>0.55255855237972529</v>
      </c>
      <c r="N145">
        <f t="shared" si="32"/>
        <v>0.12128340345000001</v>
      </c>
      <c r="O145">
        <f t="shared" si="33"/>
        <v>0.10386269640899999</v>
      </c>
      <c r="P145">
        <f t="shared" si="34"/>
        <v>-2.5950046350783906E-4</v>
      </c>
    </row>
    <row r="146" spans="1:16" x14ac:dyDescent="0.3">
      <c r="A146">
        <v>7.4034639000000002</v>
      </c>
      <c r="B146">
        <v>0.44219000000000003</v>
      </c>
      <c r="C146">
        <f t="shared" si="25"/>
        <v>3.2737377019410001</v>
      </c>
      <c r="D146">
        <v>1.6500000000000001E-2</v>
      </c>
      <c r="E146">
        <v>1.413E-2</v>
      </c>
      <c r="F146">
        <f t="shared" si="26"/>
        <v>1480.6927800000001</v>
      </c>
      <c r="G146">
        <f t="shared" si="27"/>
        <v>-0.44219000000000003</v>
      </c>
      <c r="H146">
        <f t="shared" si="28"/>
        <v>-654.74754038820004</v>
      </c>
      <c r="I146">
        <v>1</v>
      </c>
      <c r="J146">
        <f t="shared" si="29"/>
        <v>0.39251007284852002</v>
      </c>
      <c r="K146">
        <f t="shared" si="30"/>
        <v>-0.77953515177521737</v>
      </c>
      <c r="L146">
        <v>1</v>
      </c>
      <c r="M146">
        <f t="shared" si="31"/>
        <v>0.5528832305949386</v>
      </c>
      <c r="N146">
        <f t="shared" si="32"/>
        <v>0.12215715435000001</v>
      </c>
      <c r="O146">
        <f t="shared" si="33"/>
        <v>0.104610944907</v>
      </c>
      <c r="P146">
        <f t="shared" si="34"/>
        <v>-1.1617807672123504E-4</v>
      </c>
    </row>
    <row r="147" spans="1:16" x14ac:dyDescent="0.3">
      <c r="A147">
        <v>7.4543822999999998</v>
      </c>
      <c r="B147">
        <v>0.43980999999999998</v>
      </c>
      <c r="C147">
        <f t="shared" si="25"/>
        <v>3.2785118793629997</v>
      </c>
      <c r="D147">
        <v>1.6500000000000001E-2</v>
      </c>
      <c r="E147">
        <v>1.413E-2</v>
      </c>
      <c r="F147">
        <f t="shared" si="26"/>
        <v>1490.87646</v>
      </c>
      <c r="G147">
        <f t="shared" si="27"/>
        <v>-0.43980999999999998</v>
      </c>
      <c r="H147">
        <f t="shared" si="28"/>
        <v>-655.70237587259999</v>
      </c>
      <c r="I147">
        <v>1</v>
      </c>
      <c r="J147">
        <f t="shared" si="29"/>
        <v>0.39936417520690148</v>
      </c>
      <c r="K147">
        <f t="shared" si="30"/>
        <v>-0.78191515177521742</v>
      </c>
      <c r="L147">
        <v>1</v>
      </c>
      <c r="M147">
        <f t="shared" si="31"/>
        <v>0.55319324164460815</v>
      </c>
      <c r="N147">
        <f t="shared" si="32"/>
        <v>0.12299730795</v>
      </c>
      <c r="O147">
        <f t="shared" si="33"/>
        <v>0.10533042189899999</v>
      </c>
      <c r="P147">
        <f t="shared" si="34"/>
        <v>3.9418028160928542E-4</v>
      </c>
    </row>
    <row r="148" spans="1:16" x14ac:dyDescent="0.3">
      <c r="A148">
        <v>7.5078471999999996</v>
      </c>
      <c r="B148">
        <v>0.43780000000000002</v>
      </c>
      <c r="C148">
        <f t="shared" si="25"/>
        <v>3.2869355041600001</v>
      </c>
      <c r="D148">
        <v>1.6500000000000001E-2</v>
      </c>
      <c r="E148">
        <v>1.413E-2</v>
      </c>
      <c r="F148">
        <f t="shared" si="26"/>
        <v>1501.56944</v>
      </c>
      <c r="G148">
        <f t="shared" si="27"/>
        <v>-0.43780000000000002</v>
      </c>
      <c r="H148">
        <f t="shared" si="28"/>
        <v>-657.38710083199999</v>
      </c>
      <c r="I148">
        <v>1</v>
      </c>
      <c r="J148">
        <f t="shared" si="29"/>
        <v>0.4065108544581314</v>
      </c>
      <c r="K148">
        <f t="shared" si="30"/>
        <v>-0.78392515177521749</v>
      </c>
      <c r="L148">
        <v>1</v>
      </c>
      <c r="M148">
        <f t="shared" si="31"/>
        <v>0.55351648594714131</v>
      </c>
      <c r="N148">
        <f t="shared" si="32"/>
        <v>0.1238794788</v>
      </c>
      <c r="O148">
        <f t="shared" si="33"/>
        <v>0.10608588093599999</v>
      </c>
      <c r="P148">
        <f t="shared" si="34"/>
        <v>4.4330609207618443E-4</v>
      </c>
    </row>
    <row r="149" spans="1:16" x14ac:dyDescent="0.3">
      <c r="A149">
        <v>7.5582558999999998</v>
      </c>
      <c r="B149">
        <v>0.43547000000000002</v>
      </c>
      <c r="C149">
        <f t="shared" si="25"/>
        <v>3.291393696773</v>
      </c>
      <c r="D149">
        <v>1.6500000000000001E-2</v>
      </c>
      <c r="E149">
        <v>1.413E-2</v>
      </c>
      <c r="F149">
        <f t="shared" si="26"/>
        <v>1511.6511800000001</v>
      </c>
      <c r="G149">
        <f t="shared" si="27"/>
        <v>-0.43547000000000002</v>
      </c>
      <c r="H149">
        <f t="shared" si="28"/>
        <v>-658.27873935460002</v>
      </c>
      <c r="I149">
        <v>1</v>
      </c>
      <c r="J149">
        <f t="shared" si="29"/>
        <v>0.41320255008355755</v>
      </c>
      <c r="K149">
        <f t="shared" si="30"/>
        <v>-0.78625515177521743</v>
      </c>
      <c r="L149">
        <v>1</v>
      </c>
      <c r="M149">
        <f t="shared" si="31"/>
        <v>0.55381915134027926</v>
      </c>
      <c r="N149">
        <f t="shared" si="32"/>
        <v>0.12471122235</v>
      </c>
      <c r="O149">
        <f t="shared" si="33"/>
        <v>0.10679815586700001</v>
      </c>
      <c r="P149">
        <f t="shared" si="34"/>
        <v>9.2662221793816946E-4</v>
      </c>
    </row>
    <row r="150" spans="1:16" x14ac:dyDescent="0.3">
      <c r="A150">
        <v>7.6101923999999999</v>
      </c>
      <c r="B150">
        <v>0.43315999999999999</v>
      </c>
      <c r="C150">
        <f t="shared" si="25"/>
        <v>3.2964309399839999</v>
      </c>
      <c r="D150">
        <v>1.6500000000000001E-2</v>
      </c>
      <c r="E150">
        <v>1.413E-2</v>
      </c>
      <c r="F150">
        <f t="shared" si="26"/>
        <v>1522.0384799999999</v>
      </c>
      <c r="G150">
        <f t="shared" si="27"/>
        <v>-0.43315999999999999</v>
      </c>
      <c r="H150">
        <f t="shared" si="28"/>
        <v>-659.28618799679998</v>
      </c>
      <c r="I150">
        <v>1</v>
      </c>
      <c r="J150">
        <f t="shared" si="29"/>
        <v>0.42005054164289252</v>
      </c>
      <c r="K150">
        <f t="shared" si="30"/>
        <v>-0.78856515177521747</v>
      </c>
      <c r="L150">
        <v>1</v>
      </c>
      <c r="M150">
        <f t="shared" si="31"/>
        <v>0.55412888599850807</v>
      </c>
      <c r="N150">
        <f t="shared" si="32"/>
        <v>0.1255681746</v>
      </c>
      <c r="O150">
        <f t="shared" si="33"/>
        <v>0.107532018612</v>
      </c>
      <c r="P150">
        <f t="shared" si="34"/>
        <v>1.3360725647093979E-3</v>
      </c>
    </row>
    <row r="151" spans="1:16" x14ac:dyDescent="0.3">
      <c r="A151">
        <v>7.6631475</v>
      </c>
      <c r="B151">
        <v>0.43097000000000002</v>
      </c>
      <c r="C151">
        <f t="shared" si="25"/>
        <v>3.3025866780749999</v>
      </c>
      <c r="D151">
        <v>1.6500000000000001E-2</v>
      </c>
      <c r="E151">
        <v>1.413E-2</v>
      </c>
      <c r="F151">
        <f t="shared" si="26"/>
        <v>1532.6295</v>
      </c>
      <c r="G151">
        <f t="shared" si="27"/>
        <v>-0.43097000000000002</v>
      </c>
      <c r="H151">
        <f t="shared" si="28"/>
        <v>-660.51733561499998</v>
      </c>
      <c r="I151">
        <v>1</v>
      </c>
      <c r="J151">
        <f t="shared" si="29"/>
        <v>0.42698488770508086</v>
      </c>
      <c r="K151">
        <f t="shared" si="30"/>
        <v>-0.79075515177521738</v>
      </c>
      <c r="L151">
        <v>1</v>
      </c>
      <c r="M151">
        <f t="shared" si="31"/>
        <v>0.55444252647090075</v>
      </c>
      <c r="N151">
        <f t="shared" si="32"/>
        <v>0.12644193375000001</v>
      </c>
      <c r="O151">
        <f t="shared" si="33"/>
        <v>0.108280274175</v>
      </c>
      <c r="P151">
        <f t="shared" si="34"/>
        <v>1.5904173793166165E-3</v>
      </c>
    </row>
    <row r="152" spans="1:16" x14ac:dyDescent="0.3">
      <c r="A152">
        <v>7.7150840000000001</v>
      </c>
      <c r="B152">
        <v>0.42873</v>
      </c>
      <c r="C152">
        <f t="shared" si="25"/>
        <v>3.3076879633199998</v>
      </c>
      <c r="D152">
        <v>1.6500000000000001E-2</v>
      </c>
      <c r="E152">
        <v>1.413E-2</v>
      </c>
      <c r="F152">
        <f t="shared" si="26"/>
        <v>1543.0168000000001</v>
      </c>
      <c r="G152">
        <f t="shared" si="27"/>
        <v>-0.42873</v>
      </c>
      <c r="H152">
        <f t="shared" si="28"/>
        <v>-661.53759266399993</v>
      </c>
      <c r="I152">
        <v>1</v>
      </c>
      <c r="J152">
        <f t="shared" si="29"/>
        <v>0.43373946120250317</v>
      </c>
      <c r="K152">
        <f t="shared" si="30"/>
        <v>-0.7929951517752174</v>
      </c>
      <c r="L152">
        <v>1</v>
      </c>
      <c r="M152">
        <f t="shared" si="31"/>
        <v>0.55474803583018917</v>
      </c>
      <c r="N152">
        <f t="shared" si="32"/>
        <v>0.127298886</v>
      </c>
      <c r="O152">
        <f t="shared" si="33"/>
        <v>0.10901413692</v>
      </c>
      <c r="P152">
        <f t="shared" si="34"/>
        <v>1.9340930250282273E-3</v>
      </c>
    </row>
    <row r="153" spans="1:16" x14ac:dyDescent="0.3">
      <c r="A153">
        <v>7.7675302999999998</v>
      </c>
      <c r="B153">
        <v>0.42669000000000001</v>
      </c>
      <c r="C153">
        <f t="shared" si="25"/>
        <v>3.3143275037070001</v>
      </c>
      <c r="D153">
        <v>1.6500000000000001E-2</v>
      </c>
      <c r="E153">
        <v>1.413E-2</v>
      </c>
      <c r="F153">
        <f t="shared" si="26"/>
        <v>1553.5060599999999</v>
      </c>
      <c r="G153">
        <f t="shared" si="27"/>
        <v>-0.42669000000000001</v>
      </c>
      <c r="H153">
        <f t="shared" si="28"/>
        <v>-662.86550074140007</v>
      </c>
      <c r="I153">
        <v>1</v>
      </c>
      <c r="J153">
        <f t="shared" si="29"/>
        <v>0.44051435071236211</v>
      </c>
      <c r="K153">
        <f t="shared" si="30"/>
        <v>-0.79503515177521744</v>
      </c>
      <c r="L153">
        <v>1</v>
      </c>
      <c r="M153">
        <f t="shared" si="31"/>
        <v>0.55505446408272019</v>
      </c>
      <c r="N153">
        <f t="shared" si="32"/>
        <v>0.12816424995</v>
      </c>
      <c r="O153">
        <f t="shared" si="33"/>
        <v>0.109755203139</v>
      </c>
      <c r="P153">
        <f t="shared" si="34"/>
        <v>2.0612346034972473E-3</v>
      </c>
    </row>
    <row r="154" spans="1:16" x14ac:dyDescent="0.3">
      <c r="A154">
        <v>7.8179398999999998</v>
      </c>
      <c r="B154">
        <v>0.42431999999999997</v>
      </c>
      <c r="C154">
        <f t="shared" si="25"/>
        <v>3.3173082583679996</v>
      </c>
      <c r="D154">
        <v>1.6500000000000001E-2</v>
      </c>
      <c r="E154">
        <v>1.413E-2</v>
      </c>
      <c r="F154">
        <f t="shared" si="26"/>
        <v>1563.58798</v>
      </c>
      <c r="G154">
        <f t="shared" si="27"/>
        <v>-0.42431999999999997</v>
      </c>
      <c r="H154">
        <f t="shared" si="28"/>
        <v>-663.46165167359993</v>
      </c>
      <c r="I154">
        <v>1</v>
      </c>
      <c r="J154">
        <f t="shared" si="29"/>
        <v>0.44698316751903583</v>
      </c>
      <c r="K154">
        <f t="shared" si="30"/>
        <v>-0.79740515177521742</v>
      </c>
      <c r="L154">
        <v>1</v>
      </c>
      <c r="M154">
        <f t="shared" si="31"/>
        <v>0.555347048666886</v>
      </c>
      <c r="N154">
        <f t="shared" si="32"/>
        <v>0.12899600835</v>
      </c>
      <c r="O154">
        <f t="shared" si="33"/>
        <v>0.11046749078699999</v>
      </c>
      <c r="P154">
        <f t="shared" si="34"/>
        <v>2.5946039713314328E-3</v>
      </c>
    </row>
    <row r="155" spans="1:16" x14ac:dyDescent="0.3">
      <c r="A155">
        <v>7.8683486</v>
      </c>
      <c r="B155">
        <v>0.42210999999999999</v>
      </c>
      <c r="C155">
        <f t="shared" si="25"/>
        <v>3.3213086275459998</v>
      </c>
      <c r="D155">
        <v>1.6500000000000001E-2</v>
      </c>
      <c r="E155">
        <v>1.413E-2</v>
      </c>
      <c r="F155">
        <f t="shared" si="26"/>
        <v>1573.6697200000001</v>
      </c>
      <c r="G155">
        <f t="shared" si="27"/>
        <v>-0.42210999999999999</v>
      </c>
      <c r="H155">
        <f t="shared" si="28"/>
        <v>-664.26172550920001</v>
      </c>
      <c r="I155">
        <v>1</v>
      </c>
      <c r="J155">
        <f t="shared" si="29"/>
        <v>0.4534102931610503</v>
      </c>
      <c r="K155">
        <f t="shared" si="30"/>
        <v>-0.79961515177521747</v>
      </c>
      <c r="L155">
        <v>1</v>
      </c>
      <c r="M155">
        <f t="shared" si="31"/>
        <v>0.55563774755967432</v>
      </c>
      <c r="N155">
        <f t="shared" si="32"/>
        <v>0.12982775190000001</v>
      </c>
      <c r="O155">
        <f t="shared" si="33"/>
        <v>0.11117976571800001</v>
      </c>
      <c r="P155">
        <f t="shared" si="34"/>
        <v>2.969886597543131E-3</v>
      </c>
    </row>
    <row r="156" spans="1:16" x14ac:dyDescent="0.3">
      <c r="A156">
        <v>7.9207948999999997</v>
      </c>
      <c r="B156">
        <v>0.42000999999999999</v>
      </c>
      <c r="C156">
        <f t="shared" si="25"/>
        <v>3.3268130659490001</v>
      </c>
      <c r="D156">
        <v>1.6500000000000001E-2</v>
      </c>
      <c r="E156">
        <v>1.413E-2</v>
      </c>
      <c r="F156">
        <f t="shared" si="26"/>
        <v>1584.1589799999999</v>
      </c>
      <c r="G156">
        <f t="shared" si="27"/>
        <v>-0.42000999999999999</v>
      </c>
      <c r="H156">
        <f t="shared" si="28"/>
        <v>-665.36261318979996</v>
      </c>
      <c r="I156">
        <v>1</v>
      </c>
      <c r="J156">
        <f t="shared" si="29"/>
        <v>0.46005365451750407</v>
      </c>
      <c r="K156">
        <f t="shared" si="30"/>
        <v>-0.80171515177521746</v>
      </c>
      <c r="L156">
        <v>1</v>
      </c>
      <c r="M156">
        <f t="shared" si="31"/>
        <v>0.55593822679382665</v>
      </c>
      <c r="N156">
        <f t="shared" si="32"/>
        <v>0.13069311585000001</v>
      </c>
      <c r="O156">
        <f t="shared" si="33"/>
        <v>0.111920831937</v>
      </c>
      <c r="P156">
        <f t="shared" si="34"/>
        <v>3.1629771943907925E-3</v>
      </c>
    </row>
    <row r="157" spans="1:16" x14ac:dyDescent="0.3">
      <c r="A157">
        <v>7.9722222</v>
      </c>
      <c r="B157">
        <v>0.41799999999999998</v>
      </c>
      <c r="C157">
        <f t="shared" si="25"/>
        <v>3.3323888795999999</v>
      </c>
      <c r="D157">
        <v>1.6500000000000001E-2</v>
      </c>
      <c r="E157">
        <v>1.413E-2</v>
      </c>
      <c r="F157">
        <f t="shared" si="26"/>
        <v>1594.44444</v>
      </c>
      <c r="G157">
        <f t="shared" si="27"/>
        <v>-0.41799999999999998</v>
      </c>
      <c r="H157">
        <f t="shared" si="28"/>
        <v>-666.47777592</v>
      </c>
      <c r="I157">
        <v>1</v>
      </c>
      <c r="J157">
        <f t="shared" si="29"/>
        <v>0.46652536208195428</v>
      </c>
      <c r="K157">
        <f t="shared" si="30"/>
        <v>-0.80372515177521753</v>
      </c>
      <c r="L157">
        <v>1</v>
      </c>
      <c r="M157">
        <f t="shared" si="31"/>
        <v>0.55623094212696678</v>
      </c>
      <c r="N157">
        <f t="shared" si="32"/>
        <v>0.1315416663</v>
      </c>
      <c r="O157">
        <f t="shared" si="33"/>
        <v>0.112647499686</v>
      </c>
      <c r="P157">
        <f t="shared" si="34"/>
        <v>3.3050436622507479E-3</v>
      </c>
    </row>
    <row r="158" spans="1:16" x14ac:dyDescent="0.3">
      <c r="A158">
        <v>8.0282318999999998</v>
      </c>
      <c r="B158">
        <v>0.41546</v>
      </c>
      <c r="C158">
        <f t="shared" si="25"/>
        <v>3.3354092251739997</v>
      </c>
      <c r="D158">
        <v>1.6500000000000001E-2</v>
      </c>
      <c r="E158">
        <v>1.413E-2</v>
      </c>
      <c r="F158">
        <f t="shared" si="26"/>
        <v>1605.6463799999999</v>
      </c>
      <c r="G158">
        <f t="shared" si="27"/>
        <v>-0.41546</v>
      </c>
      <c r="H158">
        <f t="shared" si="28"/>
        <v>-667.08184503479993</v>
      </c>
      <c r="I158">
        <v>1</v>
      </c>
      <c r="J158">
        <f t="shared" si="29"/>
        <v>0.47352640448039562</v>
      </c>
      <c r="K158">
        <f t="shared" si="30"/>
        <v>-0.80626515177521751</v>
      </c>
      <c r="L158">
        <v>1</v>
      </c>
      <c r="M158">
        <f t="shared" si="31"/>
        <v>0.55654759927464825</v>
      </c>
      <c r="N158">
        <f t="shared" si="32"/>
        <v>0.13246582635000001</v>
      </c>
      <c r="O158">
        <f t="shared" si="33"/>
        <v>0.113438916747</v>
      </c>
      <c r="P158">
        <f t="shared" si="34"/>
        <v>3.8128094035692478E-3</v>
      </c>
    </row>
    <row r="159" spans="1:16" x14ac:dyDescent="0.3">
      <c r="A159">
        <v>8.0786411000000005</v>
      </c>
      <c r="B159">
        <v>0.41314000000000001</v>
      </c>
      <c r="C159">
        <f t="shared" si="25"/>
        <v>3.3376097840540004</v>
      </c>
      <c r="D159">
        <v>1.6500000000000001E-2</v>
      </c>
      <c r="E159">
        <v>1.413E-2</v>
      </c>
      <c r="F159">
        <f t="shared" si="26"/>
        <v>1615.7282200000002</v>
      </c>
      <c r="G159">
        <f t="shared" si="27"/>
        <v>-0.41314000000000001</v>
      </c>
      <c r="H159">
        <f t="shared" si="28"/>
        <v>-667.52195681080013</v>
      </c>
      <c r="I159">
        <v>1</v>
      </c>
      <c r="J159">
        <f t="shared" si="29"/>
        <v>0.47978576526187589</v>
      </c>
      <c r="K159">
        <f t="shared" si="30"/>
        <v>-0.80858515177521739</v>
      </c>
      <c r="L159">
        <v>1</v>
      </c>
      <c r="M159">
        <f t="shared" si="31"/>
        <v>0.55683071016279462</v>
      </c>
      <c r="N159">
        <f t="shared" si="32"/>
        <v>0.13329757815000001</v>
      </c>
      <c r="O159">
        <f t="shared" si="33"/>
        <v>0.114151198743</v>
      </c>
      <c r="P159">
        <f t="shared" si="34"/>
        <v>4.3056647194227582E-3</v>
      </c>
    </row>
    <row r="160" spans="1:16" x14ac:dyDescent="0.3">
      <c r="A160">
        <v>8.1315966999999993</v>
      </c>
      <c r="B160">
        <v>0.41089999999999999</v>
      </c>
      <c r="C160">
        <f t="shared" si="25"/>
        <v>3.3412730840299996</v>
      </c>
      <c r="D160">
        <v>1.6500000000000001E-2</v>
      </c>
      <c r="E160">
        <v>1.413E-2</v>
      </c>
      <c r="F160">
        <f t="shared" si="26"/>
        <v>1626.3193399999998</v>
      </c>
      <c r="G160">
        <f t="shared" si="27"/>
        <v>-0.41089999999999999</v>
      </c>
      <c r="H160">
        <f t="shared" si="28"/>
        <v>-668.25461680599994</v>
      </c>
      <c r="I160">
        <v>1</v>
      </c>
      <c r="J160">
        <f t="shared" si="29"/>
        <v>0.48631938790639712</v>
      </c>
      <c r="K160">
        <f t="shared" si="30"/>
        <v>-0.81082515177521741</v>
      </c>
      <c r="L160">
        <v>1</v>
      </c>
      <c r="M160">
        <f t="shared" si="31"/>
        <v>0.55712622591500638</v>
      </c>
      <c r="N160">
        <f t="shared" si="32"/>
        <v>0.13417134554999999</v>
      </c>
      <c r="O160">
        <f t="shared" si="33"/>
        <v>0.11489946137099999</v>
      </c>
      <c r="P160">
        <f t="shared" si="34"/>
        <v>4.6281189392110567E-3</v>
      </c>
    </row>
    <row r="161" spans="1:16" x14ac:dyDescent="0.3">
      <c r="A161">
        <v>8.1830244000000008</v>
      </c>
      <c r="B161">
        <v>0.40914</v>
      </c>
      <c r="C161">
        <f t="shared" si="25"/>
        <v>3.3480026030160004</v>
      </c>
      <c r="D161">
        <v>1.6500000000000001E-2</v>
      </c>
      <c r="E161">
        <v>1.413E-2</v>
      </c>
      <c r="F161">
        <f t="shared" si="26"/>
        <v>1636.6048800000001</v>
      </c>
      <c r="G161">
        <f t="shared" si="27"/>
        <v>-0.40914</v>
      </c>
      <c r="H161">
        <f t="shared" si="28"/>
        <v>-669.60052060320004</v>
      </c>
      <c r="I161">
        <v>1</v>
      </c>
      <c r="J161">
        <f t="shared" si="29"/>
        <v>0.49262390089821784</v>
      </c>
      <c r="K161">
        <f t="shared" si="30"/>
        <v>-0.8125851517752174</v>
      </c>
      <c r="L161">
        <v>1</v>
      </c>
      <c r="M161">
        <f t="shared" si="31"/>
        <v>0.55741137903762639</v>
      </c>
      <c r="N161">
        <f t="shared" si="32"/>
        <v>0.13501990260000002</v>
      </c>
      <c r="O161">
        <f t="shared" si="33"/>
        <v>0.11562613477200001</v>
      </c>
      <c r="P161">
        <f t="shared" si="34"/>
        <v>4.5277353655909791E-3</v>
      </c>
    </row>
    <row r="162" spans="1:16" x14ac:dyDescent="0.3">
      <c r="A162">
        <v>8.2344512000000005</v>
      </c>
      <c r="B162">
        <v>0.40638000000000002</v>
      </c>
      <c r="C162">
        <f t="shared" si="25"/>
        <v>3.3463162786560003</v>
      </c>
      <c r="D162">
        <v>1.6500000000000001E-2</v>
      </c>
      <c r="E162">
        <v>1.413E-2</v>
      </c>
      <c r="F162">
        <f t="shared" si="26"/>
        <v>1646.8902400000002</v>
      </c>
      <c r="G162">
        <f t="shared" si="27"/>
        <v>-0.40638000000000002</v>
      </c>
      <c r="H162">
        <f t="shared" si="28"/>
        <v>-669.26325573120005</v>
      </c>
      <c r="I162">
        <v>1</v>
      </c>
      <c r="J162">
        <f t="shared" si="29"/>
        <v>0.49888880659471635</v>
      </c>
      <c r="K162">
        <f t="shared" si="30"/>
        <v>-0.81534515177521749</v>
      </c>
      <c r="L162">
        <v>1</v>
      </c>
      <c r="M162">
        <f t="shared" si="31"/>
        <v>0.55769474072227898</v>
      </c>
      <c r="N162">
        <f t="shared" si="32"/>
        <v>0.13586844480000002</v>
      </c>
      <c r="O162">
        <f t="shared" si="33"/>
        <v>0.11635279545600001</v>
      </c>
      <c r="P162">
        <f t="shared" si="34"/>
        <v>5.4291707969384845E-3</v>
      </c>
    </row>
    <row r="163" spans="1:16" x14ac:dyDescent="0.3">
      <c r="A163">
        <v>8.2853700999999997</v>
      </c>
      <c r="B163">
        <v>0.40434999999999999</v>
      </c>
      <c r="C163">
        <f t="shared" si="25"/>
        <v>3.3501893999349996</v>
      </c>
      <c r="D163">
        <v>1.6500000000000001E-2</v>
      </c>
      <c r="E163">
        <v>1.413E-2</v>
      </c>
      <c r="F163">
        <f t="shared" si="26"/>
        <v>1657.07402</v>
      </c>
      <c r="G163">
        <f t="shared" si="27"/>
        <v>-0.40434999999999999</v>
      </c>
      <c r="H163">
        <f t="shared" si="28"/>
        <v>-670.03787998699988</v>
      </c>
      <c r="I163">
        <v>1</v>
      </c>
      <c r="J163">
        <f t="shared" si="29"/>
        <v>0.50505340853903791</v>
      </c>
      <c r="K163">
        <f t="shared" si="30"/>
        <v>-0.81737515177521747</v>
      </c>
      <c r="L163">
        <v>1</v>
      </c>
      <c r="M163">
        <f t="shared" si="31"/>
        <v>0.55797356566822065</v>
      </c>
      <c r="N163">
        <f t="shared" si="32"/>
        <v>0.13670860665000001</v>
      </c>
      <c r="O163">
        <f t="shared" si="33"/>
        <v>0.11707227951299999</v>
      </c>
      <c r="P163">
        <f t="shared" si="34"/>
        <v>5.620699943996818E-3</v>
      </c>
    </row>
    <row r="164" spans="1:16" x14ac:dyDescent="0.3">
      <c r="A164">
        <v>8.3357793000000004</v>
      </c>
      <c r="B164">
        <v>0.40214</v>
      </c>
      <c r="C164">
        <f t="shared" si="25"/>
        <v>3.352150287702</v>
      </c>
      <c r="D164">
        <v>1.6500000000000001E-2</v>
      </c>
      <c r="E164">
        <v>1.413E-2</v>
      </c>
      <c r="F164">
        <f t="shared" si="26"/>
        <v>1667.1558600000001</v>
      </c>
      <c r="G164">
        <f t="shared" si="27"/>
        <v>-0.40214</v>
      </c>
      <c r="H164">
        <f t="shared" si="28"/>
        <v>-670.43005754039996</v>
      </c>
      <c r="I164">
        <v>1</v>
      </c>
      <c r="J164">
        <f t="shared" si="29"/>
        <v>0.51111909669859668</v>
      </c>
      <c r="K164">
        <f t="shared" si="30"/>
        <v>-0.81958515177521751</v>
      </c>
      <c r="L164">
        <v>1</v>
      </c>
      <c r="M164">
        <f t="shared" si="31"/>
        <v>0.55824791674367757</v>
      </c>
      <c r="N164">
        <f t="shared" si="32"/>
        <v>0.13754035845000001</v>
      </c>
      <c r="O164">
        <f t="shared" si="33"/>
        <v>0.117784561509</v>
      </c>
      <c r="P164">
        <f t="shared" si="34"/>
        <v>6.0123150725399227E-3</v>
      </c>
    </row>
    <row r="165" spans="1:16" x14ac:dyDescent="0.3">
      <c r="A165">
        <v>8.3872070000000001</v>
      </c>
      <c r="B165">
        <v>0.39995999999999998</v>
      </c>
      <c r="C165">
        <f t="shared" si="25"/>
        <v>3.3545473117199998</v>
      </c>
      <c r="D165">
        <v>1.6500000000000001E-2</v>
      </c>
      <c r="E165">
        <v>1.413E-2</v>
      </c>
      <c r="F165">
        <f t="shared" si="26"/>
        <v>1677.4413999999999</v>
      </c>
      <c r="G165">
        <f t="shared" si="27"/>
        <v>-0.39995999999999998</v>
      </c>
      <c r="H165">
        <f t="shared" si="28"/>
        <v>-670.90946234399996</v>
      </c>
      <c r="I165">
        <v>1</v>
      </c>
      <c r="J165">
        <f t="shared" si="29"/>
        <v>0.51726965631761401</v>
      </c>
      <c r="K165">
        <f t="shared" si="30"/>
        <v>-0.82176515177521747</v>
      </c>
      <c r="L165">
        <v>1</v>
      </c>
      <c r="M165">
        <f t="shared" si="31"/>
        <v>0.5585261065552457</v>
      </c>
      <c r="N165">
        <f t="shared" si="32"/>
        <v>0.13838891550000001</v>
      </c>
      <c r="O165">
        <f t="shared" si="33"/>
        <v>0.11851123491</v>
      </c>
      <c r="P165">
        <f t="shared" si="34"/>
        <v>6.338894809971754E-3</v>
      </c>
    </row>
    <row r="166" spans="1:16" x14ac:dyDescent="0.3">
      <c r="A166">
        <v>8.4432168000000001</v>
      </c>
      <c r="B166">
        <v>0.39756999999999998</v>
      </c>
      <c r="C166">
        <f t="shared" si="25"/>
        <v>3.356769703176</v>
      </c>
      <c r="D166">
        <v>1.6500000000000001E-2</v>
      </c>
      <c r="E166">
        <v>1.413E-2</v>
      </c>
      <c r="F166">
        <f t="shared" si="26"/>
        <v>1688.64336</v>
      </c>
      <c r="G166">
        <f t="shared" si="27"/>
        <v>-0.39756999999999998</v>
      </c>
      <c r="H166">
        <f t="shared" si="28"/>
        <v>-671.35394063520005</v>
      </c>
      <c r="I166">
        <v>1</v>
      </c>
      <c r="J166">
        <f t="shared" si="29"/>
        <v>0.5239254610000994</v>
      </c>
      <c r="K166">
        <f t="shared" si="30"/>
        <v>-0.82415515177521748</v>
      </c>
      <c r="L166">
        <v>1</v>
      </c>
      <c r="M166">
        <f t="shared" si="31"/>
        <v>0.55882714860103444</v>
      </c>
      <c r="N166">
        <f t="shared" si="32"/>
        <v>0.1393130772</v>
      </c>
      <c r="O166">
        <f t="shared" si="33"/>
        <v>0.11930265338400001</v>
      </c>
      <c r="P166">
        <f t="shared" si="34"/>
        <v>6.7122725901830327E-3</v>
      </c>
    </row>
    <row r="167" spans="1:16" x14ac:dyDescent="0.3">
      <c r="A167">
        <v>8.4941356999999993</v>
      </c>
      <c r="B167">
        <v>0.39528000000000002</v>
      </c>
      <c r="C167">
        <f t="shared" si="25"/>
        <v>3.357561959496</v>
      </c>
      <c r="D167">
        <v>1.6500000000000001E-2</v>
      </c>
      <c r="E167">
        <v>1.413E-2</v>
      </c>
      <c r="F167">
        <f t="shared" si="26"/>
        <v>1698.8271399999999</v>
      </c>
      <c r="G167">
        <f t="shared" si="27"/>
        <v>-0.39528000000000002</v>
      </c>
      <c r="H167">
        <f t="shared" si="28"/>
        <v>-671.5123918992</v>
      </c>
      <c r="I167">
        <v>1</v>
      </c>
      <c r="J167">
        <f t="shared" si="29"/>
        <v>0.52993809531241121</v>
      </c>
      <c r="K167">
        <f t="shared" si="30"/>
        <v>-0.82644515177521738</v>
      </c>
      <c r="L167">
        <v>1</v>
      </c>
      <c r="M167">
        <f t="shared" si="31"/>
        <v>0.5590991000509804</v>
      </c>
      <c r="N167">
        <f t="shared" si="32"/>
        <v>0.14015323904999999</v>
      </c>
      <c r="O167">
        <f t="shared" si="33"/>
        <v>0.12002213744099999</v>
      </c>
      <c r="P167">
        <f t="shared" si="34"/>
        <v>7.1706752332370005E-3</v>
      </c>
    </row>
    <row r="168" spans="1:16" x14ac:dyDescent="0.3">
      <c r="A168">
        <v>8.5450537000000004</v>
      </c>
      <c r="B168">
        <v>0.39326</v>
      </c>
      <c r="C168">
        <f t="shared" si="25"/>
        <v>3.360427818062</v>
      </c>
      <c r="D168">
        <v>1.6500000000000001E-2</v>
      </c>
      <c r="E168">
        <v>1.413E-2</v>
      </c>
      <c r="F168">
        <f t="shared" si="26"/>
        <v>1709.0107400000002</v>
      </c>
      <c r="G168">
        <f t="shared" si="27"/>
        <v>-0.39326</v>
      </c>
      <c r="H168">
        <f t="shared" si="28"/>
        <v>-672.08556361239994</v>
      </c>
      <c r="I168">
        <v>1</v>
      </c>
      <c r="J168">
        <f t="shared" si="29"/>
        <v>0.53591468849053581</v>
      </c>
      <c r="K168">
        <f t="shared" si="30"/>
        <v>-0.82846515177521751</v>
      </c>
      <c r="L168">
        <v>1</v>
      </c>
      <c r="M168">
        <f t="shared" si="31"/>
        <v>0.55936942136042689</v>
      </c>
      <c r="N168">
        <f t="shared" si="32"/>
        <v>0.14099338605</v>
      </c>
      <c r="O168">
        <f t="shared" si="33"/>
        <v>0.120741608781</v>
      </c>
      <c r="P168">
        <f t="shared" si="34"/>
        <v>7.3607355837906202E-3</v>
      </c>
    </row>
    <row r="169" spans="1:16" x14ac:dyDescent="0.3">
      <c r="A169">
        <v>8.5954628999999994</v>
      </c>
      <c r="B169">
        <v>0.39101000000000002</v>
      </c>
      <c r="C169">
        <f t="shared" si="25"/>
        <v>3.360911948529</v>
      </c>
      <c r="D169">
        <v>1.6500000000000001E-2</v>
      </c>
      <c r="E169">
        <v>1.413E-2</v>
      </c>
      <c r="F169">
        <f t="shared" si="26"/>
        <v>1719.0925799999998</v>
      </c>
      <c r="G169">
        <f t="shared" si="27"/>
        <v>-0.39101000000000002</v>
      </c>
      <c r="H169">
        <f t="shared" si="28"/>
        <v>-672.18238970580001</v>
      </c>
      <c r="I169">
        <v>1</v>
      </c>
      <c r="J169">
        <f t="shared" si="29"/>
        <v>0.54179658184402446</v>
      </c>
      <c r="K169">
        <f t="shared" si="30"/>
        <v>-0.83071515177521738</v>
      </c>
      <c r="L169">
        <v>1</v>
      </c>
      <c r="M169">
        <f t="shared" si="31"/>
        <v>0.55963545939680526</v>
      </c>
      <c r="N169">
        <f t="shared" si="32"/>
        <v>0.14182513785</v>
      </c>
      <c r="O169">
        <f t="shared" si="33"/>
        <v>0.12145389077699999</v>
      </c>
      <c r="P169">
        <f t="shared" si="34"/>
        <v>7.8006637514121263E-3</v>
      </c>
    </row>
    <row r="170" spans="1:16" x14ac:dyDescent="0.3">
      <c r="A170">
        <v>8.6484179999999995</v>
      </c>
      <c r="B170">
        <v>0.38862000000000002</v>
      </c>
      <c r="C170">
        <f t="shared" si="25"/>
        <v>3.36094820316</v>
      </c>
      <c r="D170">
        <v>1.6500000000000001E-2</v>
      </c>
      <c r="E170">
        <v>1.413E-2</v>
      </c>
      <c r="F170">
        <f t="shared" si="26"/>
        <v>1729.6835999999998</v>
      </c>
      <c r="G170">
        <f t="shared" si="27"/>
        <v>-0.38862000000000002</v>
      </c>
      <c r="H170">
        <f t="shared" si="28"/>
        <v>-672.18964063199996</v>
      </c>
      <c r="I170">
        <v>1</v>
      </c>
      <c r="J170">
        <f t="shared" si="29"/>
        <v>0.54793850160982982</v>
      </c>
      <c r="K170">
        <f t="shared" si="30"/>
        <v>-0.83310515177521749</v>
      </c>
      <c r="L170">
        <v>1</v>
      </c>
      <c r="M170">
        <f t="shared" si="31"/>
        <v>0.55991325842781259</v>
      </c>
      <c r="N170">
        <f t="shared" si="32"/>
        <v>0.14269889699999999</v>
      </c>
      <c r="O170">
        <f t="shared" si="33"/>
        <v>0.12220214634</v>
      </c>
      <c r="P170">
        <f t="shared" si="34"/>
        <v>8.2908500074049124E-3</v>
      </c>
    </row>
    <row r="171" spans="1:16" x14ac:dyDescent="0.3">
      <c r="A171">
        <v>8.6988271000000008</v>
      </c>
      <c r="B171">
        <v>0.38662999999999997</v>
      </c>
      <c r="C171">
        <f t="shared" si="25"/>
        <v>3.3632275216730001</v>
      </c>
      <c r="D171">
        <v>1.6500000000000001E-2</v>
      </c>
      <c r="E171">
        <v>1.413E-2</v>
      </c>
      <c r="F171">
        <f t="shared" si="26"/>
        <v>1739.7654200000002</v>
      </c>
      <c r="G171">
        <f t="shared" si="27"/>
        <v>-0.38662999999999997</v>
      </c>
      <c r="H171">
        <f t="shared" si="28"/>
        <v>-672.64550433459999</v>
      </c>
      <c r="I171">
        <v>1</v>
      </c>
      <c r="J171">
        <f t="shared" si="29"/>
        <v>0.55375028804597748</v>
      </c>
      <c r="K171">
        <f t="shared" si="30"/>
        <v>-0.83509515177521743</v>
      </c>
      <c r="L171">
        <v>1</v>
      </c>
      <c r="M171">
        <f t="shared" si="31"/>
        <v>0.56017612552831952</v>
      </c>
      <c r="N171">
        <f t="shared" si="32"/>
        <v>0.14353064715000002</v>
      </c>
      <c r="O171">
        <f t="shared" si="33"/>
        <v>0.12291442692300002</v>
      </c>
      <c r="P171">
        <f t="shared" si="34"/>
        <v>8.4739521738978613E-3</v>
      </c>
    </row>
    <row r="172" spans="1:16" x14ac:dyDescent="0.3">
      <c r="A172">
        <v>8.7492362999999997</v>
      </c>
      <c r="B172">
        <v>0.38421</v>
      </c>
      <c r="C172">
        <f t="shared" si="25"/>
        <v>3.361544078823</v>
      </c>
      <c r="D172">
        <v>1.6500000000000001E-2</v>
      </c>
      <c r="E172">
        <v>1.413E-2</v>
      </c>
      <c r="F172">
        <f t="shared" si="26"/>
        <v>1749.84726</v>
      </c>
      <c r="G172">
        <f t="shared" si="27"/>
        <v>-0.38421</v>
      </c>
      <c r="H172">
        <f t="shared" si="28"/>
        <v>-672.30881576460001</v>
      </c>
      <c r="I172">
        <v>1</v>
      </c>
      <c r="J172">
        <f t="shared" si="29"/>
        <v>0.55952850412630184</v>
      </c>
      <c r="K172">
        <f t="shared" si="30"/>
        <v>-0.83751515177521751</v>
      </c>
      <c r="L172">
        <v>1</v>
      </c>
      <c r="M172">
        <f t="shared" si="31"/>
        <v>0.56043747424163259</v>
      </c>
      <c r="N172">
        <f t="shared" si="32"/>
        <v>0.14436239895</v>
      </c>
      <c r="O172">
        <f t="shared" si="33"/>
        <v>0.123626708919</v>
      </c>
      <c r="P172">
        <f t="shared" si="34"/>
        <v>9.0885696645849195E-3</v>
      </c>
    </row>
    <row r="173" spans="1:16" x14ac:dyDescent="0.3">
      <c r="A173">
        <v>8.8016816000000002</v>
      </c>
      <c r="B173">
        <v>0.38218999999999997</v>
      </c>
      <c r="C173">
        <f t="shared" si="25"/>
        <v>3.3639146907040001</v>
      </c>
      <c r="D173">
        <v>1.6500000000000001E-2</v>
      </c>
      <c r="E173">
        <v>1.413E-2</v>
      </c>
      <c r="F173">
        <f t="shared" si="26"/>
        <v>1760.3363200000001</v>
      </c>
      <c r="G173">
        <f t="shared" si="27"/>
        <v>-0.38218999999999997</v>
      </c>
      <c r="H173">
        <f t="shared" si="28"/>
        <v>-672.78293814080007</v>
      </c>
      <c r="I173">
        <v>1</v>
      </c>
      <c r="J173">
        <f t="shared" si="29"/>
        <v>0.56550488170360924</v>
      </c>
      <c r="K173">
        <f t="shared" si="30"/>
        <v>-0.83953515177521743</v>
      </c>
      <c r="L173">
        <v>1</v>
      </c>
      <c r="M173">
        <f t="shared" si="31"/>
        <v>0.56070778579945424</v>
      </c>
      <c r="N173">
        <f t="shared" si="32"/>
        <v>0.14522774640000002</v>
      </c>
      <c r="O173">
        <f t="shared" si="33"/>
        <v>0.12436776100800001</v>
      </c>
      <c r="P173">
        <f t="shared" si="34"/>
        <v>9.2318585677631515E-3</v>
      </c>
    </row>
    <row r="174" spans="1:16" x14ac:dyDescent="0.3">
      <c r="A174">
        <v>8.8531104000000003</v>
      </c>
      <c r="B174">
        <v>0.37969999999999998</v>
      </c>
      <c r="C174">
        <f t="shared" si="25"/>
        <v>3.3615260188799998</v>
      </c>
      <c r="D174">
        <v>1.6500000000000001E-2</v>
      </c>
      <c r="E174">
        <v>1.413E-2</v>
      </c>
      <c r="F174">
        <f t="shared" si="26"/>
        <v>1770.6220800000001</v>
      </c>
      <c r="G174">
        <f t="shared" si="27"/>
        <v>-0.37969999999999998</v>
      </c>
      <c r="H174">
        <f t="shared" si="28"/>
        <v>-672.30520377599998</v>
      </c>
      <c r="I174">
        <v>1</v>
      </c>
      <c r="J174">
        <f t="shared" si="29"/>
        <v>0.57133094246609184</v>
      </c>
      <c r="K174">
        <f t="shared" si="30"/>
        <v>-0.84202515177521753</v>
      </c>
      <c r="L174">
        <v>1</v>
      </c>
      <c r="M174">
        <f t="shared" si="31"/>
        <v>0.5609712985277413</v>
      </c>
      <c r="N174">
        <f t="shared" si="32"/>
        <v>0.1460763216</v>
      </c>
      <c r="O174">
        <f t="shared" si="33"/>
        <v>0.125094449952</v>
      </c>
      <c r="P174">
        <f t="shared" si="34"/>
        <v>9.8830816954762202E-3</v>
      </c>
    </row>
    <row r="175" spans="1:16" x14ac:dyDescent="0.3">
      <c r="A175">
        <v>8.9040272999999992</v>
      </c>
      <c r="B175">
        <v>0.37751000000000001</v>
      </c>
      <c r="C175">
        <f t="shared" si="25"/>
        <v>3.3613593460229998</v>
      </c>
      <c r="D175">
        <v>1.6500000000000001E-2</v>
      </c>
      <c r="E175">
        <v>1.413E-2</v>
      </c>
      <c r="F175">
        <f t="shared" si="26"/>
        <v>1780.8054599999998</v>
      </c>
      <c r="G175">
        <f t="shared" si="27"/>
        <v>-0.37751000000000001</v>
      </c>
      <c r="H175">
        <f t="shared" si="28"/>
        <v>-672.27186920459997</v>
      </c>
      <c r="I175">
        <v>1</v>
      </c>
      <c r="J175">
        <f t="shared" si="29"/>
        <v>0.57706576757217876</v>
      </c>
      <c r="K175">
        <f t="shared" si="30"/>
        <v>-0.84421515177521744</v>
      </c>
      <c r="L175">
        <v>1</v>
      </c>
      <c r="M175">
        <f t="shared" si="31"/>
        <v>0.56123068466728965</v>
      </c>
      <c r="N175">
        <f t="shared" si="32"/>
        <v>0.14691645044999999</v>
      </c>
      <c r="O175">
        <f t="shared" si="33"/>
        <v>0.12581390574899998</v>
      </c>
      <c r="P175">
        <f t="shared" si="34"/>
        <v>1.0254110908927833E-2</v>
      </c>
    </row>
    <row r="176" spans="1:16" x14ac:dyDescent="0.3">
      <c r="A176">
        <v>8.9544364999999999</v>
      </c>
      <c r="B176">
        <v>0.37524999999999997</v>
      </c>
      <c r="C176">
        <f t="shared" si="25"/>
        <v>3.3601522966249999</v>
      </c>
      <c r="D176">
        <v>1.6500000000000001E-2</v>
      </c>
      <c r="E176">
        <v>1.413E-2</v>
      </c>
      <c r="F176">
        <f t="shared" si="26"/>
        <v>1790.8872999999999</v>
      </c>
      <c r="G176">
        <f t="shared" si="27"/>
        <v>-0.37524999999999997</v>
      </c>
      <c r="H176">
        <f t="shared" si="28"/>
        <v>-672.03045932500004</v>
      </c>
      <c r="I176">
        <v>1</v>
      </c>
      <c r="J176">
        <f t="shared" si="29"/>
        <v>0.58271119535885707</v>
      </c>
      <c r="K176">
        <f t="shared" si="30"/>
        <v>-0.84647515177521748</v>
      </c>
      <c r="L176">
        <v>1</v>
      </c>
      <c r="M176">
        <f t="shared" si="31"/>
        <v>0.56148602736608111</v>
      </c>
      <c r="N176">
        <f t="shared" si="32"/>
        <v>0.14774820225000002</v>
      </c>
      <c r="O176">
        <f t="shared" si="33"/>
        <v>0.12652618774499999</v>
      </c>
      <c r="P176">
        <f t="shared" si="34"/>
        <v>1.0714734414136368E-2</v>
      </c>
    </row>
    <row r="177" spans="1:16" x14ac:dyDescent="0.3">
      <c r="A177">
        <v>9.0058652000000006</v>
      </c>
      <c r="B177">
        <v>0.37317</v>
      </c>
      <c r="C177">
        <f t="shared" si="25"/>
        <v>3.360718716684</v>
      </c>
      <c r="D177">
        <v>1.6500000000000001E-2</v>
      </c>
      <c r="E177">
        <v>1.413E-2</v>
      </c>
      <c r="F177">
        <f t="shared" si="26"/>
        <v>1801.1730400000001</v>
      </c>
      <c r="G177">
        <f t="shared" si="27"/>
        <v>-0.37317</v>
      </c>
      <c r="H177">
        <f t="shared" si="28"/>
        <v>-672.14374333679996</v>
      </c>
      <c r="I177">
        <v>1</v>
      </c>
      <c r="J177">
        <f t="shared" si="29"/>
        <v>0.58843814153401597</v>
      </c>
      <c r="K177">
        <f t="shared" si="30"/>
        <v>-0.84855515177521745</v>
      </c>
      <c r="L177">
        <v>1</v>
      </c>
      <c r="M177">
        <f t="shared" si="31"/>
        <v>0.56174505714158351</v>
      </c>
      <c r="N177">
        <f t="shared" si="32"/>
        <v>0.14859677580000002</v>
      </c>
      <c r="O177">
        <f t="shared" si="33"/>
        <v>0.12725287527600002</v>
      </c>
      <c r="P177">
        <f t="shared" si="34"/>
        <v>1.0960443557633898E-2</v>
      </c>
    </row>
    <row r="178" spans="1:16" x14ac:dyDescent="0.3">
      <c r="A178">
        <v>9.0567822000000007</v>
      </c>
      <c r="B178">
        <v>0.37076999999999999</v>
      </c>
      <c r="C178">
        <f t="shared" si="25"/>
        <v>3.357983136294</v>
      </c>
      <c r="D178">
        <v>1.6500000000000001E-2</v>
      </c>
      <c r="E178">
        <v>1.413E-2</v>
      </c>
      <c r="F178">
        <f t="shared" si="26"/>
        <v>1811.35644</v>
      </c>
      <c r="G178">
        <f t="shared" si="27"/>
        <v>-0.37076999999999999</v>
      </c>
      <c r="H178">
        <f t="shared" si="28"/>
        <v>-671.59662725880003</v>
      </c>
      <c r="I178">
        <v>1</v>
      </c>
      <c r="J178">
        <f t="shared" si="29"/>
        <v>0.59407597897164732</v>
      </c>
      <c r="K178">
        <f t="shared" si="30"/>
        <v>-0.85095515177521741</v>
      </c>
      <c r="L178">
        <v>1</v>
      </c>
      <c r="M178">
        <f t="shared" si="31"/>
        <v>0.56200005652888763</v>
      </c>
      <c r="N178">
        <f t="shared" si="32"/>
        <v>0.14943690630000001</v>
      </c>
      <c r="O178">
        <f t="shared" si="33"/>
        <v>0.12797233248600001</v>
      </c>
      <c r="P178">
        <f t="shared" si="34"/>
        <v>1.1545856460329768E-2</v>
      </c>
    </row>
    <row r="179" spans="1:16" x14ac:dyDescent="0.3">
      <c r="A179">
        <v>9.1122841999999995</v>
      </c>
      <c r="B179">
        <v>0.36853000000000002</v>
      </c>
      <c r="C179">
        <f t="shared" si="25"/>
        <v>3.3581500962260002</v>
      </c>
      <c r="D179">
        <v>1.6500000000000001E-2</v>
      </c>
      <c r="E179">
        <v>1.413E-2</v>
      </c>
      <c r="F179">
        <f t="shared" si="26"/>
        <v>1822.4568399999998</v>
      </c>
      <c r="G179">
        <f t="shared" si="27"/>
        <v>-0.36853000000000002</v>
      </c>
      <c r="H179">
        <f t="shared" si="28"/>
        <v>-671.63001924520006</v>
      </c>
      <c r="I179">
        <v>1</v>
      </c>
      <c r="J179">
        <f t="shared" si="29"/>
        <v>0.60018550286442895</v>
      </c>
      <c r="K179">
        <f t="shared" si="30"/>
        <v>-0.85319515177521743</v>
      </c>
      <c r="L179">
        <v>1</v>
      </c>
      <c r="M179">
        <f t="shared" si="31"/>
        <v>0.56227639029455811</v>
      </c>
      <c r="N179">
        <f t="shared" si="32"/>
        <v>0.15035268930000001</v>
      </c>
      <c r="O179">
        <f t="shared" si="33"/>
        <v>0.128756575746</v>
      </c>
      <c r="P179">
        <f t="shared" si="34"/>
        <v>1.1809496434659311E-2</v>
      </c>
    </row>
    <row r="180" spans="1:16" x14ac:dyDescent="0.3">
      <c r="A180">
        <v>9.1682939000000001</v>
      </c>
      <c r="B180">
        <v>0.36603000000000002</v>
      </c>
      <c r="C180">
        <f t="shared" si="25"/>
        <v>3.3558706162170004</v>
      </c>
      <c r="D180">
        <v>1.6500000000000001E-2</v>
      </c>
      <c r="E180">
        <v>1.413E-2</v>
      </c>
      <c r="F180">
        <f t="shared" si="26"/>
        <v>1833.65878</v>
      </c>
      <c r="G180">
        <f t="shared" si="27"/>
        <v>-0.36603000000000002</v>
      </c>
      <c r="H180">
        <f t="shared" si="28"/>
        <v>-671.17412324340012</v>
      </c>
      <c r="I180">
        <v>1</v>
      </c>
      <c r="J180">
        <f t="shared" si="29"/>
        <v>0.60631330417978657</v>
      </c>
      <c r="K180">
        <f t="shared" si="30"/>
        <v>-0.85569515177521738</v>
      </c>
      <c r="L180">
        <v>1</v>
      </c>
      <c r="M180">
        <f t="shared" si="31"/>
        <v>0.56255355074805169</v>
      </c>
      <c r="N180">
        <f t="shared" si="32"/>
        <v>0.15127684935000002</v>
      </c>
      <c r="O180">
        <f t="shared" si="33"/>
        <v>0.129547992807</v>
      </c>
      <c r="P180">
        <f t="shared" si="34"/>
        <v>1.2316758870165673E-2</v>
      </c>
    </row>
    <row r="181" spans="1:16" x14ac:dyDescent="0.3">
      <c r="A181">
        <v>9.2227764000000008</v>
      </c>
      <c r="B181">
        <v>0.36330000000000001</v>
      </c>
      <c r="C181">
        <f t="shared" si="25"/>
        <v>3.3506346661200004</v>
      </c>
      <c r="D181">
        <v>1.6500000000000001E-2</v>
      </c>
      <c r="E181">
        <v>1.413E-2</v>
      </c>
      <c r="F181">
        <f t="shared" si="26"/>
        <v>1844.55528</v>
      </c>
      <c r="G181">
        <f t="shared" si="27"/>
        <v>-0.36330000000000001</v>
      </c>
      <c r="H181">
        <f t="shared" si="28"/>
        <v>-670.12693322400003</v>
      </c>
      <c r="I181">
        <v>1</v>
      </c>
      <c r="J181">
        <f t="shared" si="29"/>
        <v>0.61223820778711735</v>
      </c>
      <c r="K181">
        <f t="shared" si="30"/>
        <v>-0.8584251517752175</v>
      </c>
      <c r="L181">
        <v>1</v>
      </c>
      <c r="M181">
        <f t="shared" si="31"/>
        <v>0.56282153413821134</v>
      </c>
      <c r="N181">
        <f t="shared" si="32"/>
        <v>0.15217581060000002</v>
      </c>
      <c r="O181">
        <f t="shared" si="33"/>
        <v>0.13031783053200002</v>
      </c>
      <c r="P181">
        <f t="shared" si="34"/>
        <v>1.3109976505006116E-2</v>
      </c>
    </row>
    <row r="182" spans="1:16" x14ac:dyDescent="0.3">
      <c r="A182">
        <v>9.2762411999999994</v>
      </c>
      <c r="B182">
        <v>0.36120000000000002</v>
      </c>
      <c r="C182">
        <f t="shared" si="25"/>
        <v>3.35057832144</v>
      </c>
      <c r="D182">
        <v>1.6500000000000001E-2</v>
      </c>
      <c r="E182">
        <v>1.413E-2</v>
      </c>
      <c r="F182">
        <f t="shared" si="26"/>
        <v>1855.2482399999999</v>
      </c>
      <c r="G182">
        <f t="shared" si="27"/>
        <v>-0.36120000000000002</v>
      </c>
      <c r="H182">
        <f t="shared" si="28"/>
        <v>-670.11566428799995</v>
      </c>
      <c r="I182">
        <v>1</v>
      </c>
      <c r="J182">
        <f t="shared" si="29"/>
        <v>0.61801850920844548</v>
      </c>
      <c r="K182">
        <f t="shared" si="30"/>
        <v>-0.86052515177521749</v>
      </c>
      <c r="L182">
        <v>1</v>
      </c>
      <c r="M182">
        <f t="shared" si="31"/>
        <v>0.56308297717149802</v>
      </c>
      <c r="N182">
        <f t="shared" si="32"/>
        <v>0.15305797979999999</v>
      </c>
      <c r="O182">
        <f t="shared" si="33"/>
        <v>0.131073288156</v>
      </c>
      <c r="P182">
        <f t="shared" si="34"/>
        <v>1.3310906647719473E-2</v>
      </c>
    </row>
    <row r="183" spans="1:16" x14ac:dyDescent="0.3">
      <c r="A183">
        <v>9.3276679999999992</v>
      </c>
      <c r="B183">
        <v>0.35871999999999998</v>
      </c>
      <c r="C183">
        <f t="shared" si="25"/>
        <v>3.3460210649599995</v>
      </c>
      <c r="D183">
        <v>1.6500000000000001E-2</v>
      </c>
      <c r="E183">
        <v>1.413E-2</v>
      </c>
      <c r="F183">
        <f t="shared" si="26"/>
        <v>1865.5335999999998</v>
      </c>
      <c r="G183">
        <f t="shared" si="27"/>
        <v>-0.35871999999999998</v>
      </c>
      <c r="H183">
        <f t="shared" si="28"/>
        <v>-669.20421299199995</v>
      </c>
      <c r="I183">
        <v>1</v>
      </c>
      <c r="J183">
        <f t="shared" si="29"/>
        <v>0.62354712477391028</v>
      </c>
      <c r="K183">
        <f t="shared" si="30"/>
        <v>-0.86300515177521753</v>
      </c>
      <c r="L183">
        <v>1</v>
      </c>
      <c r="M183">
        <f t="shared" si="31"/>
        <v>0.56333303645352395</v>
      </c>
      <c r="N183">
        <f t="shared" si="32"/>
        <v>0.15390652199999999</v>
      </c>
      <c r="O183">
        <f t="shared" si="33"/>
        <v>0.13179994883999999</v>
      </c>
      <c r="P183">
        <f t="shared" si="34"/>
        <v>1.3965644481693601E-2</v>
      </c>
    </row>
    <row r="184" spans="1:16" x14ac:dyDescent="0.3">
      <c r="A184">
        <v>9.3780780999999998</v>
      </c>
      <c r="B184">
        <v>0.35652</v>
      </c>
      <c r="C184">
        <f t="shared" si="25"/>
        <v>3.3434724042120001</v>
      </c>
      <c r="D184">
        <v>1.6500000000000001E-2</v>
      </c>
      <c r="E184">
        <v>1.413E-2</v>
      </c>
      <c r="F184">
        <f t="shared" si="26"/>
        <v>1875.61562</v>
      </c>
      <c r="G184">
        <f t="shared" si="27"/>
        <v>-0.35652</v>
      </c>
      <c r="H184">
        <f t="shared" si="28"/>
        <v>-668.69448084240003</v>
      </c>
      <c r="I184">
        <v>1</v>
      </c>
      <c r="J184">
        <f t="shared" si="29"/>
        <v>0.62893693620032276</v>
      </c>
      <c r="K184">
        <f t="shared" si="30"/>
        <v>-0.86520515177521751</v>
      </c>
      <c r="L184">
        <v>1</v>
      </c>
      <c r="M184">
        <f t="shared" si="31"/>
        <v>0.56357681762434064</v>
      </c>
      <c r="N184">
        <f t="shared" si="32"/>
        <v>0.15473828865</v>
      </c>
      <c r="O184">
        <f t="shared" si="33"/>
        <v>0.13251224355300001</v>
      </c>
      <c r="P184">
        <f t="shared" si="34"/>
        <v>1.4377801947876856E-2</v>
      </c>
    </row>
    <row r="185" spans="1:16" x14ac:dyDescent="0.3">
      <c r="A185">
        <v>9.4295048999999995</v>
      </c>
      <c r="B185">
        <v>0.35426999999999997</v>
      </c>
      <c r="C185">
        <f t="shared" si="25"/>
        <v>3.3405907009229994</v>
      </c>
      <c r="D185">
        <v>1.6500000000000001E-2</v>
      </c>
      <c r="E185">
        <v>1.413E-2</v>
      </c>
      <c r="F185">
        <f t="shared" si="26"/>
        <v>1885.9009799999999</v>
      </c>
      <c r="G185">
        <f t="shared" si="27"/>
        <v>-0.35426999999999997</v>
      </c>
      <c r="H185">
        <f t="shared" si="28"/>
        <v>-668.11814018459984</v>
      </c>
      <c r="I185">
        <v>1</v>
      </c>
      <c r="J185">
        <f t="shared" si="29"/>
        <v>0.63440568018183985</v>
      </c>
      <c r="K185">
        <f t="shared" si="30"/>
        <v>-0.86745515177521748</v>
      </c>
      <c r="L185">
        <v>1</v>
      </c>
      <c r="M185">
        <f t="shared" si="31"/>
        <v>0.56382416891462461</v>
      </c>
      <c r="N185">
        <f t="shared" si="32"/>
        <v>0.15558683085</v>
      </c>
      <c r="O185">
        <f t="shared" si="33"/>
        <v>0.13323890423699999</v>
      </c>
      <c r="P185">
        <f t="shared" si="34"/>
        <v>1.4805247773592878E-2</v>
      </c>
    </row>
    <row r="186" spans="1:16" x14ac:dyDescent="0.3">
      <c r="A186">
        <v>9.4809325999999992</v>
      </c>
      <c r="B186">
        <v>0.35193999999999998</v>
      </c>
      <c r="C186">
        <f t="shared" si="25"/>
        <v>3.3367194192439995</v>
      </c>
      <c r="D186">
        <v>1.6500000000000001E-2</v>
      </c>
      <c r="E186">
        <v>1.413E-2</v>
      </c>
      <c r="F186">
        <f t="shared" si="26"/>
        <v>1896.1865199999997</v>
      </c>
      <c r="G186">
        <f t="shared" si="27"/>
        <v>-0.35193999999999998</v>
      </c>
      <c r="H186">
        <f t="shared" si="28"/>
        <v>-667.34388384879992</v>
      </c>
      <c r="I186">
        <v>1</v>
      </c>
      <c r="J186">
        <f t="shared" si="29"/>
        <v>0.63984477452170119</v>
      </c>
      <c r="K186">
        <f t="shared" si="30"/>
        <v>-0.86978515177521754</v>
      </c>
      <c r="L186">
        <v>1</v>
      </c>
      <c r="M186">
        <f t="shared" si="31"/>
        <v>0.5640701791516165</v>
      </c>
      <c r="N186">
        <f t="shared" si="32"/>
        <v>0.1564353879</v>
      </c>
      <c r="O186">
        <f t="shared" si="33"/>
        <v>0.13396557763799999</v>
      </c>
      <c r="P186">
        <f t="shared" si="34"/>
        <v>1.5314007085601045E-2</v>
      </c>
    </row>
    <row r="187" spans="1:16" x14ac:dyDescent="0.3">
      <c r="A187">
        <v>9.5333778999999996</v>
      </c>
      <c r="B187">
        <v>0.34993999999999997</v>
      </c>
      <c r="C187">
        <f t="shared" si="25"/>
        <v>3.3361102623259997</v>
      </c>
      <c r="D187">
        <v>1.6500000000000001E-2</v>
      </c>
      <c r="E187">
        <v>1.413E-2</v>
      </c>
      <c r="F187">
        <f t="shared" si="26"/>
        <v>1906.6755799999999</v>
      </c>
      <c r="G187">
        <f t="shared" si="27"/>
        <v>-0.34993999999999997</v>
      </c>
      <c r="H187">
        <f t="shared" si="28"/>
        <v>-667.22205246519991</v>
      </c>
      <c r="I187">
        <v>1</v>
      </c>
      <c r="J187">
        <f t="shared" si="29"/>
        <v>0.64536119153784466</v>
      </c>
      <c r="K187">
        <f t="shared" si="30"/>
        <v>-0.87178515177521754</v>
      </c>
      <c r="L187">
        <v>1</v>
      </c>
      <c r="M187">
        <f t="shared" si="31"/>
        <v>0.56431968669325672</v>
      </c>
      <c r="N187">
        <f t="shared" si="32"/>
        <v>0.15730073535</v>
      </c>
      <c r="O187">
        <f t="shared" si="33"/>
        <v>0.13470662972700001</v>
      </c>
      <c r="P187">
        <f t="shared" si="34"/>
        <v>1.5458100004960812E-2</v>
      </c>
    </row>
    <row r="188" spans="1:16" x14ac:dyDescent="0.3">
      <c r="A188">
        <v>9.5853145000000008</v>
      </c>
      <c r="B188">
        <v>0.34738000000000002</v>
      </c>
      <c r="C188">
        <f t="shared" si="25"/>
        <v>3.3297465510100004</v>
      </c>
      <c r="D188">
        <v>1.6500000000000001E-2</v>
      </c>
      <c r="E188">
        <v>1.413E-2</v>
      </c>
      <c r="F188">
        <f t="shared" si="26"/>
        <v>1917.0629000000001</v>
      </c>
      <c r="G188">
        <f t="shared" si="27"/>
        <v>-0.34738000000000002</v>
      </c>
      <c r="H188">
        <f t="shared" si="28"/>
        <v>-665.94931020200011</v>
      </c>
      <c r="I188">
        <v>1</v>
      </c>
      <c r="J188">
        <f t="shared" si="29"/>
        <v>0.65079427521014033</v>
      </c>
      <c r="K188">
        <f t="shared" si="30"/>
        <v>-0.87434515177521743</v>
      </c>
      <c r="L188">
        <v>1</v>
      </c>
      <c r="M188">
        <f t="shared" si="31"/>
        <v>0.56456542506775464</v>
      </c>
      <c r="N188">
        <f t="shared" si="32"/>
        <v>0.15815768925000001</v>
      </c>
      <c r="O188">
        <f t="shared" si="33"/>
        <v>0.13544049388500001</v>
      </c>
      <c r="P188">
        <f t="shared" si="34"/>
        <v>1.6181543572462764E-2</v>
      </c>
    </row>
    <row r="189" spans="1:16" x14ac:dyDescent="0.3">
      <c r="A189">
        <v>9.6382705000000009</v>
      </c>
      <c r="B189">
        <v>0.34486</v>
      </c>
      <c r="C189">
        <f t="shared" si="25"/>
        <v>3.3238539646300005</v>
      </c>
      <c r="D189">
        <v>1.6500000000000001E-2</v>
      </c>
      <c r="E189">
        <v>1.413E-2</v>
      </c>
      <c r="F189">
        <f t="shared" si="26"/>
        <v>1927.6541000000002</v>
      </c>
      <c r="G189">
        <f t="shared" si="27"/>
        <v>-0.34486</v>
      </c>
      <c r="H189">
        <f t="shared" si="28"/>
        <v>-664.77079292600013</v>
      </c>
      <c r="I189">
        <v>1</v>
      </c>
      <c r="J189">
        <f t="shared" si="29"/>
        <v>0.65630377137899265</v>
      </c>
      <c r="K189">
        <f t="shared" si="30"/>
        <v>-0.87686515177521751</v>
      </c>
      <c r="L189">
        <v>1</v>
      </c>
      <c r="M189">
        <f t="shared" si="31"/>
        <v>0.56481461957947188</v>
      </c>
      <c r="N189">
        <f t="shared" si="32"/>
        <v>0.15903146325000003</v>
      </c>
      <c r="O189">
        <f t="shared" si="33"/>
        <v>0.136188762165</v>
      </c>
      <c r="P189">
        <f t="shared" si="34"/>
        <v>1.6830306780745596E-2</v>
      </c>
    </row>
    <row r="190" spans="1:16" x14ac:dyDescent="0.3">
      <c r="A190">
        <v>9.6896982000000005</v>
      </c>
      <c r="B190">
        <v>0.34272000000000002</v>
      </c>
      <c r="C190">
        <f t="shared" si="25"/>
        <v>3.3208533671040006</v>
      </c>
      <c r="D190">
        <v>1.6500000000000001E-2</v>
      </c>
      <c r="E190">
        <v>1.413E-2</v>
      </c>
      <c r="F190">
        <f t="shared" si="26"/>
        <v>1937.9396400000001</v>
      </c>
      <c r="G190">
        <f t="shared" si="27"/>
        <v>-0.34272000000000002</v>
      </c>
      <c r="H190">
        <f t="shared" si="28"/>
        <v>-664.17067342080009</v>
      </c>
      <c r="I190">
        <v>1</v>
      </c>
      <c r="J190">
        <f t="shared" si="29"/>
        <v>0.66162536747270706</v>
      </c>
      <c r="K190">
        <f t="shared" si="30"/>
        <v>-0.87900515177521743</v>
      </c>
      <c r="L190">
        <v>1</v>
      </c>
      <c r="M190">
        <f t="shared" si="31"/>
        <v>0.56505531537079057</v>
      </c>
      <c r="N190">
        <f t="shared" si="32"/>
        <v>0.15988002030000001</v>
      </c>
      <c r="O190">
        <f t="shared" si="33"/>
        <v>0.136915435566</v>
      </c>
      <c r="P190">
        <f t="shared" si="34"/>
        <v>1.7154380538426856E-2</v>
      </c>
    </row>
    <row r="191" spans="1:16" x14ac:dyDescent="0.3">
      <c r="A191">
        <v>9.7431620999999993</v>
      </c>
      <c r="B191">
        <v>0.34043000000000001</v>
      </c>
      <c r="C191">
        <f t="shared" si="25"/>
        <v>3.3168646737029999</v>
      </c>
      <c r="D191">
        <v>1.6500000000000001E-2</v>
      </c>
      <c r="E191">
        <v>1.413E-2</v>
      </c>
      <c r="F191">
        <f t="shared" si="26"/>
        <v>1948.6324199999999</v>
      </c>
      <c r="G191">
        <f t="shared" si="27"/>
        <v>-0.34043000000000001</v>
      </c>
      <c r="H191">
        <f t="shared" si="28"/>
        <v>-663.37293474059993</v>
      </c>
      <c r="I191">
        <v>1</v>
      </c>
      <c r="J191">
        <f t="shared" si="29"/>
        <v>0.66712780345665978</v>
      </c>
      <c r="K191">
        <f t="shared" si="30"/>
        <v>-0.88129515177521744</v>
      </c>
      <c r="L191">
        <v>1</v>
      </c>
      <c r="M191">
        <f t="shared" si="31"/>
        <v>0.56530419055034475</v>
      </c>
      <c r="N191">
        <f t="shared" si="32"/>
        <v>0.16076217465000001</v>
      </c>
      <c r="O191">
        <f t="shared" si="33"/>
        <v>0.137670880473</v>
      </c>
      <c r="P191">
        <f t="shared" si="34"/>
        <v>1.7557906101872689E-2</v>
      </c>
    </row>
    <row r="192" spans="1:16" x14ac:dyDescent="0.3">
      <c r="A192">
        <v>9.7935713</v>
      </c>
      <c r="B192">
        <v>0.33794999999999997</v>
      </c>
      <c r="C192">
        <f t="shared" si="25"/>
        <v>3.3097374208349999</v>
      </c>
      <c r="D192">
        <v>1.6500000000000001E-2</v>
      </c>
      <c r="E192">
        <v>1.413E-2</v>
      </c>
      <c r="F192">
        <f t="shared" si="26"/>
        <v>1958.71426</v>
      </c>
      <c r="G192">
        <f t="shared" si="27"/>
        <v>-0.33794999999999997</v>
      </c>
      <c r="H192">
        <f t="shared" si="28"/>
        <v>-661.94748416699997</v>
      </c>
      <c r="I192">
        <v>1</v>
      </c>
      <c r="J192">
        <f t="shared" si="29"/>
        <v>0.67228826819105925</v>
      </c>
      <c r="K192">
        <f t="shared" si="30"/>
        <v>-0.88377515177521748</v>
      </c>
      <c r="L192">
        <v>1</v>
      </c>
      <c r="M192">
        <f t="shared" si="31"/>
        <v>0.56553759837028161</v>
      </c>
      <c r="N192">
        <f t="shared" si="32"/>
        <v>0.16159392645000001</v>
      </c>
      <c r="O192">
        <f t="shared" si="33"/>
        <v>0.13838316246900001</v>
      </c>
      <c r="P192">
        <f t="shared" si="34"/>
        <v>1.8260464485935851E-2</v>
      </c>
    </row>
    <row r="193" spans="1:16" x14ac:dyDescent="0.3">
      <c r="A193">
        <v>9.8465264000000001</v>
      </c>
      <c r="B193">
        <v>0.33568999999999999</v>
      </c>
      <c r="C193">
        <f t="shared" si="25"/>
        <v>3.3053804472159998</v>
      </c>
      <c r="D193">
        <v>1.6500000000000001E-2</v>
      </c>
      <c r="E193">
        <v>1.413E-2</v>
      </c>
      <c r="F193">
        <f t="shared" si="26"/>
        <v>1969.30528</v>
      </c>
      <c r="G193">
        <f t="shared" si="27"/>
        <v>-0.33568999999999999</v>
      </c>
      <c r="H193">
        <f t="shared" si="28"/>
        <v>-661.07608944319998</v>
      </c>
      <c r="I193">
        <v>1</v>
      </c>
      <c r="J193">
        <f t="shared" si="29"/>
        <v>0.67768083080815988</v>
      </c>
      <c r="K193">
        <f t="shared" si="30"/>
        <v>-0.88603515177521741</v>
      </c>
      <c r="L193">
        <v>1</v>
      </c>
      <c r="M193">
        <f t="shared" si="31"/>
        <v>0.56578150397745308</v>
      </c>
      <c r="N193">
        <f t="shared" si="32"/>
        <v>0.16246768560000002</v>
      </c>
      <c r="O193">
        <f t="shared" si="33"/>
        <v>0.13913141803199999</v>
      </c>
      <c r="P193">
        <f t="shared" si="34"/>
        <v>1.8654544165764314E-2</v>
      </c>
    </row>
    <row r="194" spans="1:16" x14ac:dyDescent="0.3">
      <c r="A194">
        <v>9.8974443000000001</v>
      </c>
      <c r="B194">
        <v>0.33345999999999998</v>
      </c>
      <c r="C194">
        <f t="shared" si="25"/>
        <v>3.300401776278</v>
      </c>
      <c r="D194">
        <v>1.6500000000000001E-2</v>
      </c>
      <c r="E194">
        <v>1.413E-2</v>
      </c>
      <c r="F194">
        <f t="shared" si="26"/>
        <v>1979.4888599999999</v>
      </c>
      <c r="G194">
        <f t="shared" si="27"/>
        <v>-0.33345999999999998</v>
      </c>
      <c r="H194">
        <f t="shared" si="28"/>
        <v>-660.08035525560001</v>
      </c>
      <c r="I194">
        <v>1</v>
      </c>
      <c r="J194">
        <f t="shared" si="29"/>
        <v>0.68283865986445424</v>
      </c>
      <c r="K194">
        <f t="shared" si="30"/>
        <v>-0.88826515177521748</v>
      </c>
      <c r="L194">
        <v>1</v>
      </c>
      <c r="M194">
        <f t="shared" si="31"/>
        <v>0.56601479258566922</v>
      </c>
      <c r="N194">
        <f t="shared" si="32"/>
        <v>0.16330783095000001</v>
      </c>
      <c r="O194">
        <f t="shared" si="33"/>
        <v>0.139850887959</v>
      </c>
      <c r="P194">
        <f t="shared" si="34"/>
        <v>1.9091640280548244E-2</v>
      </c>
    </row>
    <row r="195" spans="1:16" x14ac:dyDescent="0.3">
      <c r="A195">
        <v>9.9529452999999997</v>
      </c>
      <c r="B195">
        <v>0.33095999999999998</v>
      </c>
      <c r="C195">
        <f t="shared" si="25"/>
        <v>3.2940267764879998</v>
      </c>
      <c r="D195">
        <v>1.6500000000000001E-2</v>
      </c>
      <c r="E195">
        <v>1.413E-2</v>
      </c>
      <c r="F195">
        <f t="shared" si="26"/>
        <v>1990.58906</v>
      </c>
      <c r="G195">
        <f t="shared" si="27"/>
        <v>-0.33095999999999998</v>
      </c>
      <c r="H195">
        <f t="shared" si="28"/>
        <v>-658.80535529759993</v>
      </c>
      <c r="I195">
        <v>1</v>
      </c>
      <c r="J195">
        <f t="shared" si="29"/>
        <v>0.68843060498432107</v>
      </c>
      <c r="K195">
        <f t="shared" si="30"/>
        <v>-0.89076515177521753</v>
      </c>
      <c r="L195">
        <v>1</v>
      </c>
      <c r="M195">
        <f t="shared" si="31"/>
        <v>0.56626771626344086</v>
      </c>
      <c r="N195">
        <f t="shared" si="32"/>
        <v>0.16422359745000001</v>
      </c>
      <c r="O195">
        <f t="shared" si="33"/>
        <v>0.14063511708900001</v>
      </c>
      <c r="P195">
        <f t="shared" si="34"/>
        <v>1.9638720972776663E-2</v>
      </c>
    </row>
    <row r="196" spans="1:16" x14ac:dyDescent="0.3">
      <c r="A196">
        <v>10.003863000000001</v>
      </c>
      <c r="B196">
        <v>0.32838000000000001</v>
      </c>
      <c r="C196">
        <f t="shared" ref="C196:C259" si="36">A196*B196</f>
        <v>3.2850685319400004</v>
      </c>
      <c r="D196">
        <v>1.6500000000000001E-2</v>
      </c>
      <c r="E196">
        <v>1.413E-2</v>
      </c>
      <c r="F196">
        <f t="shared" ref="F196:F259" si="37">A196*200</f>
        <v>2000.7726000000002</v>
      </c>
      <c r="G196">
        <f t="shared" ref="G196:G259" si="38">-B196</f>
        <v>-0.32838000000000001</v>
      </c>
      <c r="H196">
        <f t="shared" ref="H196:H259" si="39">-C196*200</f>
        <v>-657.01370638800006</v>
      </c>
      <c r="I196">
        <v>1</v>
      </c>
      <c r="J196">
        <f t="shared" ref="J196:J259" si="40">LN(F196/1000)</f>
        <v>0.69353340596531043</v>
      </c>
      <c r="K196">
        <f t="shared" ref="K196:K259" si="41">((-G196)-$N$2)</f>
        <v>-0.89334515177521745</v>
      </c>
      <c r="L196">
        <v>1</v>
      </c>
      <c r="M196">
        <f t="shared" ref="M196:M259" si="42">-1*($S$4+($S$5*J196))</f>
        <v>0.566498515951811</v>
      </c>
      <c r="N196">
        <f t="shared" ref="N196:N259" si="43">D196*A196</f>
        <v>0.16506373950000003</v>
      </c>
      <c r="O196">
        <f t="shared" ref="O196:O259" si="44">E196*A196</f>
        <v>0.14135458419000002</v>
      </c>
      <c r="P196">
        <f t="shared" ref="P196:P259" si="45">-K196-M196-N196-O196</f>
        <v>2.0428312133406401E-2</v>
      </c>
    </row>
    <row r="197" spans="1:16" x14ac:dyDescent="0.3">
      <c r="A197">
        <v>10.054271999999999</v>
      </c>
      <c r="B197">
        <v>0.32638</v>
      </c>
      <c r="C197">
        <f t="shared" si="36"/>
        <v>3.2815132953599999</v>
      </c>
      <c r="D197">
        <v>1.6500000000000001E-2</v>
      </c>
      <c r="E197">
        <v>1.413E-2</v>
      </c>
      <c r="F197">
        <f t="shared" si="37"/>
        <v>2010.8543999999999</v>
      </c>
      <c r="G197">
        <f t="shared" si="38"/>
        <v>-0.32638</v>
      </c>
      <c r="H197">
        <f t="shared" si="39"/>
        <v>-656.30265907199998</v>
      </c>
      <c r="I197">
        <v>1</v>
      </c>
      <c r="J197">
        <f t="shared" si="40"/>
        <v>0.69855970637922471</v>
      </c>
      <c r="K197">
        <f t="shared" si="41"/>
        <v>-0.89534515177521745</v>
      </c>
      <c r="L197">
        <v>1</v>
      </c>
      <c r="M197">
        <f t="shared" si="42"/>
        <v>0.56672585551953236</v>
      </c>
      <c r="N197">
        <f t="shared" si="43"/>
        <v>0.16589548800000001</v>
      </c>
      <c r="O197">
        <f t="shared" si="44"/>
        <v>0.14206686335999999</v>
      </c>
      <c r="P197">
        <f t="shared" si="45"/>
        <v>2.0656944895685092E-2</v>
      </c>
    </row>
    <row r="198" spans="1:16" x14ac:dyDescent="0.3">
      <c r="A198">
        <v>10.10519</v>
      </c>
      <c r="B198">
        <v>0.32407000000000002</v>
      </c>
      <c r="C198">
        <f t="shared" si="36"/>
        <v>3.2747889233000005</v>
      </c>
      <c r="D198">
        <v>1.6500000000000001E-2</v>
      </c>
      <c r="E198">
        <v>1.413E-2</v>
      </c>
      <c r="F198">
        <f t="shared" si="37"/>
        <v>2021.038</v>
      </c>
      <c r="G198">
        <f t="shared" si="38"/>
        <v>-0.32407000000000002</v>
      </c>
      <c r="H198">
        <f t="shared" si="39"/>
        <v>-654.95778466000013</v>
      </c>
      <c r="I198">
        <v>1</v>
      </c>
      <c r="J198">
        <f t="shared" si="40"/>
        <v>0.70361124081770143</v>
      </c>
      <c r="K198">
        <f t="shared" si="41"/>
        <v>-0.89765515177521737</v>
      </c>
      <c r="L198">
        <v>1</v>
      </c>
      <c r="M198">
        <f t="shared" si="42"/>
        <v>0.56695433642218462</v>
      </c>
      <c r="N198">
        <f t="shared" si="43"/>
        <v>0.16673563500000002</v>
      </c>
      <c r="O198">
        <f t="shared" si="44"/>
        <v>0.14278633470000002</v>
      </c>
      <c r="P198">
        <f t="shared" si="45"/>
        <v>2.1178845653032713E-2</v>
      </c>
    </row>
    <row r="199" spans="1:16" x14ac:dyDescent="0.3">
      <c r="A199">
        <v>10.156618999999999</v>
      </c>
      <c r="B199">
        <v>0.32169999999999999</v>
      </c>
      <c r="C199">
        <f t="shared" si="36"/>
        <v>3.2673843322999998</v>
      </c>
      <c r="D199">
        <v>1.6500000000000001E-2</v>
      </c>
      <c r="E199">
        <v>1.413E-2</v>
      </c>
      <c r="F199">
        <f t="shared" si="37"/>
        <v>2031.3237999999999</v>
      </c>
      <c r="G199">
        <f t="shared" si="38"/>
        <v>-0.32169999999999999</v>
      </c>
      <c r="H199">
        <f t="shared" si="39"/>
        <v>-653.47686646</v>
      </c>
      <c r="I199">
        <v>1</v>
      </c>
      <c r="J199">
        <f t="shared" si="40"/>
        <v>0.7086876987436006</v>
      </c>
      <c r="K199">
        <f t="shared" si="41"/>
        <v>-0.90002515177521747</v>
      </c>
      <c r="L199">
        <v>1</v>
      </c>
      <c r="M199">
        <f t="shared" si="42"/>
        <v>0.5671839446141731</v>
      </c>
      <c r="N199">
        <f t="shared" si="43"/>
        <v>0.1675842135</v>
      </c>
      <c r="O199">
        <f t="shared" si="44"/>
        <v>0.14351302647</v>
      </c>
      <c r="P199">
        <f t="shared" si="45"/>
        <v>2.1743967191044378E-2</v>
      </c>
    </row>
    <row r="200" spans="1:16" x14ac:dyDescent="0.3">
      <c r="A200">
        <v>10.208047000000001</v>
      </c>
      <c r="B200">
        <v>0.31924000000000002</v>
      </c>
      <c r="C200">
        <f t="shared" si="36"/>
        <v>3.2588169242800005</v>
      </c>
      <c r="D200">
        <v>1.6500000000000001E-2</v>
      </c>
      <c r="E200">
        <v>1.413E-2</v>
      </c>
      <c r="F200">
        <f t="shared" si="37"/>
        <v>2041.6094000000001</v>
      </c>
      <c r="G200">
        <f t="shared" si="38"/>
        <v>-0.31924000000000002</v>
      </c>
      <c r="H200">
        <f t="shared" si="39"/>
        <v>-651.76338485600013</v>
      </c>
      <c r="I200">
        <v>1</v>
      </c>
      <c r="J200">
        <f t="shared" si="40"/>
        <v>0.71373841838970919</v>
      </c>
      <c r="K200">
        <f t="shared" si="41"/>
        <v>-0.90248515177521749</v>
      </c>
      <c r="L200">
        <v>1</v>
      </c>
      <c r="M200">
        <f t="shared" si="42"/>
        <v>0.56741238866376653</v>
      </c>
      <c r="N200">
        <f t="shared" si="43"/>
        <v>0.16843277550000002</v>
      </c>
      <c r="O200">
        <f t="shared" si="44"/>
        <v>0.14423970411000001</v>
      </c>
      <c r="P200">
        <f t="shared" si="45"/>
        <v>2.2400283501450929E-2</v>
      </c>
    </row>
    <row r="201" spans="1:16" x14ac:dyDescent="0.3">
      <c r="A201">
        <v>10.260491999999999</v>
      </c>
      <c r="B201">
        <v>0.31683</v>
      </c>
      <c r="C201">
        <f t="shared" si="36"/>
        <v>3.2508316803599997</v>
      </c>
      <c r="D201">
        <v>1.6500000000000001E-2</v>
      </c>
      <c r="E201">
        <v>1.413E-2</v>
      </c>
      <c r="F201">
        <f t="shared" si="37"/>
        <v>2052.0983999999999</v>
      </c>
      <c r="G201">
        <f t="shared" si="38"/>
        <v>-0.31683</v>
      </c>
      <c r="H201">
        <f t="shared" si="39"/>
        <v>-650.16633607199992</v>
      </c>
      <c r="I201">
        <v>1</v>
      </c>
      <c r="J201">
        <f t="shared" si="40"/>
        <v>0.71886287937517857</v>
      </c>
      <c r="K201">
        <f t="shared" si="41"/>
        <v>-0.90489515177521751</v>
      </c>
      <c r="L201">
        <v>1</v>
      </c>
      <c r="M201">
        <f t="shared" si="42"/>
        <v>0.56764416803413931</v>
      </c>
      <c r="N201">
        <f t="shared" si="43"/>
        <v>0.169298118</v>
      </c>
      <c r="O201">
        <f t="shared" si="44"/>
        <v>0.14498075195999999</v>
      </c>
      <c r="P201">
        <f t="shared" si="45"/>
        <v>2.2972113781078218E-2</v>
      </c>
    </row>
    <row r="202" spans="1:16" x14ac:dyDescent="0.3">
      <c r="A202">
        <v>10.311411</v>
      </c>
      <c r="B202">
        <v>0.3145</v>
      </c>
      <c r="C202">
        <f t="shared" si="36"/>
        <v>3.2429387594999999</v>
      </c>
      <c r="D202">
        <v>1.6500000000000001E-2</v>
      </c>
      <c r="E202">
        <v>1.413E-2</v>
      </c>
      <c r="F202">
        <f t="shared" si="37"/>
        <v>2062.2822000000001</v>
      </c>
      <c r="G202">
        <f t="shared" si="38"/>
        <v>-0.3145</v>
      </c>
      <c r="H202">
        <f t="shared" si="39"/>
        <v>-648.58775189999994</v>
      </c>
      <c r="I202">
        <v>1</v>
      </c>
      <c r="J202">
        <f t="shared" si="40"/>
        <v>0.72381323365062655</v>
      </c>
      <c r="K202">
        <f t="shared" si="41"/>
        <v>-0.90722515177521745</v>
      </c>
      <c r="L202">
        <v>1</v>
      </c>
      <c r="M202">
        <f t="shared" si="42"/>
        <v>0.56786807255801786</v>
      </c>
      <c r="N202">
        <f t="shared" si="43"/>
        <v>0.17013828150000002</v>
      </c>
      <c r="O202">
        <f t="shared" si="44"/>
        <v>0.14570023742999999</v>
      </c>
      <c r="P202">
        <f t="shared" si="45"/>
        <v>2.3518560287199591E-2</v>
      </c>
    </row>
    <row r="203" spans="1:16" x14ac:dyDescent="0.3">
      <c r="A203">
        <v>10.361819000000001</v>
      </c>
      <c r="B203">
        <v>0.31229000000000001</v>
      </c>
      <c r="C203">
        <f t="shared" si="36"/>
        <v>3.2358924555100002</v>
      </c>
      <c r="D203">
        <v>1.6500000000000001E-2</v>
      </c>
      <c r="E203">
        <v>1.413E-2</v>
      </c>
      <c r="F203">
        <f t="shared" si="37"/>
        <v>2072.3638000000001</v>
      </c>
      <c r="G203">
        <f t="shared" si="38"/>
        <v>-0.31229000000000001</v>
      </c>
      <c r="H203">
        <f t="shared" si="39"/>
        <v>-647.17849110200007</v>
      </c>
      <c r="I203">
        <v>1</v>
      </c>
      <c r="J203">
        <f t="shared" si="40"/>
        <v>0.72868988813560087</v>
      </c>
      <c r="K203">
        <f t="shared" si="41"/>
        <v>-0.9094351517752175</v>
      </c>
      <c r="L203">
        <v>1</v>
      </c>
      <c r="M203">
        <f t="shared" si="42"/>
        <v>0.56808864364037326</v>
      </c>
      <c r="N203">
        <f t="shared" si="43"/>
        <v>0.17097001350000002</v>
      </c>
      <c r="O203">
        <f t="shared" si="44"/>
        <v>0.14641250247000001</v>
      </c>
      <c r="P203">
        <f t="shared" si="45"/>
        <v>2.3963992164844211E-2</v>
      </c>
    </row>
    <row r="204" spans="1:16" x14ac:dyDescent="0.3">
      <c r="A204">
        <v>10.412229</v>
      </c>
      <c r="B204">
        <v>0.30980000000000002</v>
      </c>
      <c r="C204">
        <f t="shared" si="36"/>
        <v>3.2257085442000002</v>
      </c>
      <c r="D204">
        <v>1.6500000000000001E-2</v>
      </c>
      <c r="E204">
        <v>1.413E-2</v>
      </c>
      <c r="F204">
        <f t="shared" si="37"/>
        <v>2082.4458</v>
      </c>
      <c r="G204">
        <f t="shared" si="38"/>
        <v>-0.30980000000000002</v>
      </c>
      <c r="H204">
        <f t="shared" si="39"/>
        <v>-645.14170884000009</v>
      </c>
      <c r="I204">
        <v>1</v>
      </c>
      <c r="J204">
        <f t="shared" si="40"/>
        <v>0.73354306830960359</v>
      </c>
      <c r="K204">
        <f t="shared" si="41"/>
        <v>-0.91192515177521738</v>
      </c>
      <c r="L204">
        <v>1</v>
      </c>
      <c r="M204">
        <f t="shared" si="42"/>
        <v>0.56830815297964332</v>
      </c>
      <c r="N204">
        <f t="shared" si="43"/>
        <v>0.1718017785</v>
      </c>
      <c r="O204">
        <f t="shared" si="44"/>
        <v>0.14712479577000001</v>
      </c>
      <c r="P204">
        <f t="shared" si="45"/>
        <v>2.4690424525574045E-2</v>
      </c>
    </row>
    <row r="205" spans="1:16" x14ac:dyDescent="0.3">
      <c r="A205">
        <v>10.462638</v>
      </c>
      <c r="B205">
        <v>0.30769000000000002</v>
      </c>
      <c r="C205">
        <f t="shared" si="36"/>
        <v>3.2192490862200001</v>
      </c>
      <c r="D205">
        <v>1.6500000000000001E-2</v>
      </c>
      <c r="E205">
        <v>1.413E-2</v>
      </c>
      <c r="F205">
        <f t="shared" si="37"/>
        <v>2092.5275999999999</v>
      </c>
      <c r="G205">
        <f t="shared" si="38"/>
        <v>-0.30769000000000002</v>
      </c>
      <c r="H205">
        <f t="shared" si="39"/>
        <v>-643.84981724400006</v>
      </c>
      <c r="I205">
        <v>1</v>
      </c>
      <c r="J205">
        <f t="shared" si="40"/>
        <v>0.73837271325866416</v>
      </c>
      <c r="K205">
        <f t="shared" si="41"/>
        <v>-0.91403515177521744</v>
      </c>
      <c r="L205">
        <v>1</v>
      </c>
      <c r="M205">
        <f t="shared" si="42"/>
        <v>0.56852659782068937</v>
      </c>
      <c r="N205">
        <f t="shared" si="43"/>
        <v>0.17263352700000001</v>
      </c>
      <c r="O205">
        <f t="shared" si="44"/>
        <v>0.14783707494000001</v>
      </c>
      <c r="P205">
        <f t="shared" si="45"/>
        <v>2.5037952014528048E-2</v>
      </c>
    </row>
    <row r="206" spans="1:16" x14ac:dyDescent="0.3">
      <c r="A206">
        <v>10.514065</v>
      </c>
      <c r="B206">
        <v>0.30541000000000001</v>
      </c>
      <c r="C206">
        <f t="shared" si="36"/>
        <v>3.2111005916500002</v>
      </c>
      <c r="D206">
        <v>1.6500000000000001E-2</v>
      </c>
      <c r="E206">
        <v>1.413E-2</v>
      </c>
      <c r="F206">
        <f t="shared" si="37"/>
        <v>2102.8130000000001</v>
      </c>
      <c r="G206">
        <f t="shared" si="38"/>
        <v>-0.30541000000000001</v>
      </c>
      <c r="H206">
        <f t="shared" si="39"/>
        <v>-642.22011832999999</v>
      </c>
      <c r="I206">
        <v>1</v>
      </c>
      <c r="J206">
        <f t="shared" si="40"/>
        <v>0.74327597217725905</v>
      </c>
      <c r="K206">
        <f t="shared" si="41"/>
        <v>-0.9163151517752175</v>
      </c>
      <c r="L206">
        <v>1</v>
      </c>
      <c r="M206">
        <f t="shared" si="42"/>
        <v>0.56874837222157737</v>
      </c>
      <c r="N206">
        <f t="shared" si="43"/>
        <v>0.17348207250000003</v>
      </c>
      <c r="O206">
        <f t="shared" si="44"/>
        <v>0.14856373845000001</v>
      </c>
      <c r="P206">
        <f t="shared" si="45"/>
        <v>2.5520968603640087E-2</v>
      </c>
    </row>
    <row r="207" spans="1:16" x14ac:dyDescent="0.3">
      <c r="A207">
        <v>10.564983</v>
      </c>
      <c r="B207">
        <v>0.30297000000000002</v>
      </c>
      <c r="C207">
        <f t="shared" si="36"/>
        <v>3.2008728995100002</v>
      </c>
      <c r="D207">
        <v>1.6500000000000001E-2</v>
      </c>
      <c r="E207">
        <v>1.413E-2</v>
      </c>
      <c r="F207">
        <f t="shared" si="37"/>
        <v>2112.9965999999999</v>
      </c>
      <c r="G207">
        <f t="shared" si="38"/>
        <v>-0.30297000000000002</v>
      </c>
      <c r="H207">
        <f t="shared" si="39"/>
        <v>-640.174579902</v>
      </c>
      <c r="I207">
        <v>1</v>
      </c>
      <c r="J207">
        <f t="shared" si="40"/>
        <v>0.74810712954601821</v>
      </c>
      <c r="K207">
        <f t="shared" si="41"/>
        <v>-0.91875515177521749</v>
      </c>
      <c r="L207">
        <v>1</v>
      </c>
      <c r="M207">
        <f t="shared" si="42"/>
        <v>0.56896688546936636</v>
      </c>
      <c r="N207">
        <f t="shared" si="43"/>
        <v>0.17432221950000001</v>
      </c>
      <c r="O207">
        <f t="shared" si="44"/>
        <v>0.14928320979000001</v>
      </c>
      <c r="P207">
        <f t="shared" si="45"/>
        <v>2.6182837015851113E-2</v>
      </c>
    </row>
    <row r="208" spans="1:16" x14ac:dyDescent="0.3">
      <c r="A208">
        <v>10.616410999999999</v>
      </c>
      <c r="B208">
        <v>0.30053000000000002</v>
      </c>
      <c r="C208">
        <f t="shared" si="36"/>
        <v>3.1905499978299998</v>
      </c>
      <c r="D208">
        <v>1.6500000000000001E-2</v>
      </c>
      <c r="E208">
        <v>1.413E-2</v>
      </c>
      <c r="F208">
        <f t="shared" si="37"/>
        <v>2123.2821999999996</v>
      </c>
      <c r="G208">
        <f t="shared" si="38"/>
        <v>-0.30053000000000002</v>
      </c>
      <c r="H208">
        <f t="shared" si="39"/>
        <v>-638.10999956599994</v>
      </c>
      <c r="I208">
        <v>1</v>
      </c>
      <c r="J208">
        <f t="shared" si="40"/>
        <v>0.75296309899334191</v>
      </c>
      <c r="K208">
        <f t="shared" si="41"/>
        <v>-0.92119515177521749</v>
      </c>
      <c r="L208">
        <v>1</v>
      </c>
      <c r="M208">
        <f t="shared" si="42"/>
        <v>0.5691865209674688</v>
      </c>
      <c r="N208">
        <f t="shared" si="43"/>
        <v>0.17517078150000001</v>
      </c>
      <c r="O208">
        <f t="shared" si="44"/>
        <v>0.15000988742999999</v>
      </c>
      <c r="P208">
        <f t="shared" si="45"/>
        <v>2.6827961877748691E-2</v>
      </c>
    </row>
    <row r="209" spans="1:16" x14ac:dyDescent="0.3">
      <c r="A209">
        <v>10.674967000000001</v>
      </c>
      <c r="B209">
        <v>0.29804000000000003</v>
      </c>
      <c r="C209">
        <f t="shared" si="36"/>
        <v>3.1815671646800006</v>
      </c>
      <c r="D209">
        <v>1.6500000000000001E-2</v>
      </c>
      <c r="E209">
        <v>1.413E-2</v>
      </c>
      <c r="F209">
        <f t="shared" si="37"/>
        <v>2134.9934000000003</v>
      </c>
      <c r="G209">
        <f t="shared" si="38"/>
        <v>-0.29804000000000003</v>
      </c>
      <c r="H209">
        <f t="shared" si="39"/>
        <v>-636.31343293600014</v>
      </c>
      <c r="I209">
        <v>1</v>
      </c>
      <c r="J209">
        <f t="shared" si="40"/>
        <v>0.75846355534091525</v>
      </c>
      <c r="K209">
        <f t="shared" si="41"/>
        <v>-0.92368515177521737</v>
      </c>
      <c r="L209">
        <v>1</v>
      </c>
      <c r="M209">
        <f t="shared" si="42"/>
        <v>0.56943530660806962</v>
      </c>
      <c r="N209">
        <f t="shared" si="43"/>
        <v>0.17613695550000003</v>
      </c>
      <c r="O209">
        <f t="shared" si="44"/>
        <v>0.15083728371000002</v>
      </c>
      <c r="P209">
        <f t="shared" si="45"/>
        <v>2.7275605957147703E-2</v>
      </c>
    </row>
    <row r="210" spans="1:16" x14ac:dyDescent="0.3">
      <c r="A210">
        <v>10.726394000000001</v>
      </c>
      <c r="B210">
        <v>0.29558000000000001</v>
      </c>
      <c r="C210">
        <f t="shared" si="36"/>
        <v>3.1705075385200003</v>
      </c>
      <c r="D210">
        <v>1.6500000000000001E-2</v>
      </c>
      <c r="E210">
        <v>1.413E-2</v>
      </c>
      <c r="F210">
        <f t="shared" si="37"/>
        <v>2145.2788</v>
      </c>
      <c r="G210">
        <f t="shared" si="38"/>
        <v>-0.29558000000000001</v>
      </c>
      <c r="H210">
        <f t="shared" si="39"/>
        <v>-634.10150770400003</v>
      </c>
      <c r="I210">
        <v>1</v>
      </c>
      <c r="J210">
        <f t="shared" si="40"/>
        <v>0.763269520623719</v>
      </c>
      <c r="K210">
        <f t="shared" si="41"/>
        <v>-0.9261451517752175</v>
      </c>
      <c r="L210">
        <v>1</v>
      </c>
      <c r="M210">
        <f t="shared" si="42"/>
        <v>0.56965268041781081</v>
      </c>
      <c r="N210">
        <f t="shared" si="43"/>
        <v>0.17698550100000002</v>
      </c>
      <c r="O210">
        <f t="shared" si="44"/>
        <v>0.15156394722000002</v>
      </c>
      <c r="P210">
        <f t="shared" si="45"/>
        <v>2.7943023137406653E-2</v>
      </c>
    </row>
    <row r="211" spans="1:16" x14ac:dyDescent="0.3">
      <c r="A211">
        <v>10.777312999999999</v>
      </c>
      <c r="B211">
        <v>0.29329</v>
      </c>
      <c r="C211">
        <f t="shared" si="36"/>
        <v>3.1608781297699999</v>
      </c>
      <c r="D211">
        <v>1.6500000000000001E-2</v>
      </c>
      <c r="E211">
        <v>1.413E-2</v>
      </c>
      <c r="F211">
        <f t="shared" si="37"/>
        <v>2155.4625999999998</v>
      </c>
      <c r="G211">
        <f t="shared" si="38"/>
        <v>-0.29329</v>
      </c>
      <c r="H211">
        <f t="shared" si="39"/>
        <v>-632.175625954</v>
      </c>
      <c r="I211">
        <v>1</v>
      </c>
      <c r="J211">
        <f t="shared" si="40"/>
        <v>0.76800536409186881</v>
      </c>
      <c r="K211">
        <f t="shared" si="41"/>
        <v>-0.9284351517752174</v>
      </c>
      <c r="L211">
        <v>1</v>
      </c>
      <c r="M211">
        <f t="shared" si="42"/>
        <v>0.56986688261787521</v>
      </c>
      <c r="N211">
        <f t="shared" si="43"/>
        <v>0.17782566450000001</v>
      </c>
      <c r="O211">
        <f t="shared" si="44"/>
        <v>0.15228343269</v>
      </c>
      <c r="P211">
        <f t="shared" si="45"/>
        <v>2.8459171967342184E-2</v>
      </c>
    </row>
    <row r="212" spans="1:16" x14ac:dyDescent="0.3">
      <c r="A212">
        <v>10.827722</v>
      </c>
      <c r="B212">
        <v>0.29085</v>
      </c>
      <c r="C212">
        <f t="shared" si="36"/>
        <v>3.1492429437</v>
      </c>
      <c r="D212">
        <v>1.6500000000000001E-2</v>
      </c>
      <c r="E212">
        <v>1.413E-2</v>
      </c>
      <c r="F212">
        <f t="shared" si="37"/>
        <v>2165.5443999999998</v>
      </c>
      <c r="G212">
        <f t="shared" si="38"/>
        <v>-0.29085</v>
      </c>
      <c r="H212">
        <f t="shared" si="39"/>
        <v>-629.84858873999997</v>
      </c>
      <c r="I212">
        <v>1</v>
      </c>
      <c r="J212">
        <f t="shared" si="40"/>
        <v>0.77267178481031007</v>
      </c>
      <c r="K212">
        <f t="shared" si="41"/>
        <v>-0.9308751517752174</v>
      </c>
      <c r="L212">
        <v>1</v>
      </c>
      <c r="M212">
        <f t="shared" si="42"/>
        <v>0.57007794482697027</v>
      </c>
      <c r="N212">
        <f t="shared" si="43"/>
        <v>0.17865741300000001</v>
      </c>
      <c r="O212">
        <f t="shared" si="44"/>
        <v>0.15299571185999999</v>
      </c>
      <c r="P212">
        <f t="shared" si="45"/>
        <v>2.914408208824712E-2</v>
      </c>
    </row>
    <row r="213" spans="1:16" x14ac:dyDescent="0.3">
      <c r="A213">
        <v>10.878132000000001</v>
      </c>
      <c r="B213">
        <v>0.28839999999999999</v>
      </c>
      <c r="C213">
        <f t="shared" si="36"/>
        <v>3.1372532688000003</v>
      </c>
      <c r="D213">
        <v>1.6500000000000001E-2</v>
      </c>
      <c r="E213">
        <v>1.413E-2</v>
      </c>
      <c r="F213">
        <f t="shared" si="37"/>
        <v>2175.6264000000001</v>
      </c>
      <c r="G213">
        <f t="shared" si="38"/>
        <v>-0.28839999999999999</v>
      </c>
      <c r="H213">
        <f t="shared" si="39"/>
        <v>-627.45065376000002</v>
      </c>
      <c r="I213">
        <v>1</v>
      </c>
      <c r="J213">
        <f t="shared" si="40"/>
        <v>0.77731662307660832</v>
      </c>
      <c r="K213">
        <f t="shared" si="41"/>
        <v>-0.93332515177521747</v>
      </c>
      <c r="L213">
        <v>1</v>
      </c>
      <c r="M213">
        <f t="shared" si="42"/>
        <v>0.57028803086175495</v>
      </c>
      <c r="N213">
        <f t="shared" si="43"/>
        <v>0.17948917800000003</v>
      </c>
      <c r="O213">
        <f t="shared" si="44"/>
        <v>0.15370800516000002</v>
      </c>
      <c r="P213">
        <f t="shared" si="45"/>
        <v>2.983993775346247E-2</v>
      </c>
    </row>
    <row r="214" spans="1:16" x14ac:dyDescent="0.3">
      <c r="A214">
        <v>10.928540999999999</v>
      </c>
      <c r="B214">
        <v>0.28582000000000002</v>
      </c>
      <c r="C214">
        <f t="shared" si="36"/>
        <v>3.1235955886199998</v>
      </c>
      <c r="D214">
        <v>1.6500000000000001E-2</v>
      </c>
      <c r="E214">
        <v>1.413E-2</v>
      </c>
      <c r="F214">
        <f t="shared" si="37"/>
        <v>2185.7082</v>
      </c>
      <c r="G214">
        <f t="shared" si="38"/>
        <v>-0.28582000000000002</v>
      </c>
      <c r="H214">
        <f t="shared" si="39"/>
        <v>-624.71911772399994</v>
      </c>
      <c r="I214">
        <v>1</v>
      </c>
      <c r="J214">
        <f t="shared" si="40"/>
        <v>0.78193989502547478</v>
      </c>
      <c r="K214">
        <f t="shared" si="41"/>
        <v>-0.93590515177521749</v>
      </c>
      <c r="L214">
        <v>1</v>
      </c>
      <c r="M214">
        <f t="shared" si="42"/>
        <v>0.57049714145200225</v>
      </c>
      <c r="N214">
        <f t="shared" si="43"/>
        <v>0.18032092650000001</v>
      </c>
      <c r="O214">
        <f t="shared" si="44"/>
        <v>0.15442028432999999</v>
      </c>
      <c r="P214">
        <f t="shared" si="45"/>
        <v>3.0666799493215241E-2</v>
      </c>
    </row>
    <row r="215" spans="1:16" x14ac:dyDescent="0.3">
      <c r="A215">
        <v>10.979459</v>
      </c>
      <c r="B215">
        <v>0.28376000000000001</v>
      </c>
      <c r="C215">
        <f t="shared" si="36"/>
        <v>3.1155312858400004</v>
      </c>
      <c r="D215">
        <v>1.6500000000000001E-2</v>
      </c>
      <c r="E215">
        <v>1.413E-2</v>
      </c>
      <c r="F215">
        <f t="shared" si="37"/>
        <v>2195.8917999999999</v>
      </c>
      <c r="G215">
        <f t="shared" si="38"/>
        <v>-0.28376000000000001</v>
      </c>
      <c r="H215">
        <f t="shared" si="39"/>
        <v>-623.10625716800007</v>
      </c>
      <c r="I215">
        <v>1</v>
      </c>
      <c r="J215">
        <f t="shared" si="40"/>
        <v>0.78658825103085872</v>
      </c>
      <c r="K215">
        <f t="shared" si="41"/>
        <v>-0.93796515177521744</v>
      </c>
      <c r="L215">
        <v>1</v>
      </c>
      <c r="M215">
        <f t="shared" si="42"/>
        <v>0.57070738659412568</v>
      </c>
      <c r="N215">
        <f t="shared" si="43"/>
        <v>0.18116107350000002</v>
      </c>
      <c r="O215">
        <f t="shared" si="44"/>
        <v>0.15513975567000002</v>
      </c>
      <c r="P215">
        <f t="shared" si="45"/>
        <v>3.0956936011091729E-2</v>
      </c>
    </row>
    <row r="216" spans="1:16" x14ac:dyDescent="0.3">
      <c r="A216">
        <v>11.033431999999999</v>
      </c>
      <c r="B216">
        <v>0.28143000000000001</v>
      </c>
      <c r="C216">
        <f t="shared" si="36"/>
        <v>3.1051387677600002</v>
      </c>
      <c r="D216">
        <v>1.6500000000000001E-2</v>
      </c>
      <c r="E216">
        <v>1.413E-2</v>
      </c>
      <c r="F216">
        <f t="shared" si="37"/>
        <v>2206.6864</v>
      </c>
      <c r="G216">
        <f t="shared" si="38"/>
        <v>-0.28143000000000001</v>
      </c>
      <c r="H216">
        <f t="shared" si="39"/>
        <v>-621.02775355200004</v>
      </c>
      <c r="I216">
        <v>1</v>
      </c>
      <c r="J216">
        <f t="shared" si="40"/>
        <v>0.79149202383900974</v>
      </c>
      <c r="K216">
        <f t="shared" si="41"/>
        <v>-0.94029515177521739</v>
      </c>
      <c r="L216">
        <v>1</v>
      </c>
      <c r="M216">
        <f t="shared" si="42"/>
        <v>0.57092918423823846</v>
      </c>
      <c r="N216">
        <f t="shared" si="43"/>
        <v>0.18205162799999999</v>
      </c>
      <c r="O216">
        <f t="shared" si="44"/>
        <v>0.15590239415999999</v>
      </c>
      <c r="P216">
        <f t="shared" si="45"/>
        <v>3.1411945376978945E-2</v>
      </c>
    </row>
    <row r="217" spans="1:16" x14ac:dyDescent="0.3">
      <c r="A217">
        <v>11.084351</v>
      </c>
      <c r="B217">
        <v>0.27873999999999999</v>
      </c>
      <c r="C217">
        <f t="shared" si="36"/>
        <v>3.0896519977399999</v>
      </c>
      <c r="D217">
        <v>1.6500000000000001E-2</v>
      </c>
      <c r="E217">
        <v>1.413E-2</v>
      </c>
      <c r="F217">
        <f t="shared" si="37"/>
        <v>2216.8701999999998</v>
      </c>
      <c r="G217">
        <f t="shared" si="38"/>
        <v>-0.27873999999999999</v>
      </c>
      <c r="H217">
        <f t="shared" si="39"/>
        <v>-617.93039954799997</v>
      </c>
      <c r="I217">
        <v>1</v>
      </c>
      <c r="J217">
        <f t="shared" si="40"/>
        <v>0.79609638133336846</v>
      </c>
      <c r="K217">
        <f t="shared" si="41"/>
        <v>-0.94298515177521747</v>
      </c>
      <c r="L217">
        <v>1</v>
      </c>
      <c r="M217">
        <f t="shared" si="42"/>
        <v>0.57113743932770822</v>
      </c>
      <c r="N217">
        <f t="shared" si="43"/>
        <v>0.18289179150000001</v>
      </c>
      <c r="O217">
        <f t="shared" si="44"/>
        <v>0.15662187962999999</v>
      </c>
      <c r="P217">
        <f t="shared" si="45"/>
        <v>3.2334041317509249E-2</v>
      </c>
    </row>
    <row r="218" spans="1:16" x14ac:dyDescent="0.3">
      <c r="A218">
        <v>11.135776999999999</v>
      </c>
      <c r="B218">
        <v>0.27653</v>
      </c>
      <c r="C218">
        <f t="shared" si="36"/>
        <v>3.0793764138099999</v>
      </c>
      <c r="D218">
        <v>1.6500000000000001E-2</v>
      </c>
      <c r="E218">
        <v>1.413E-2</v>
      </c>
      <c r="F218">
        <f t="shared" si="37"/>
        <v>2227.1553999999996</v>
      </c>
      <c r="G218">
        <f t="shared" si="38"/>
        <v>-0.27653</v>
      </c>
      <c r="H218">
        <f t="shared" si="39"/>
        <v>-615.87528276199998</v>
      </c>
      <c r="I218">
        <v>1</v>
      </c>
      <c r="J218">
        <f t="shared" si="40"/>
        <v>0.80072516581377928</v>
      </c>
      <c r="K218">
        <f t="shared" si="41"/>
        <v>-0.94519515177521751</v>
      </c>
      <c r="L218">
        <v>1</v>
      </c>
      <c r="M218">
        <f t="shared" si="42"/>
        <v>0.57134679924975718</v>
      </c>
      <c r="N218">
        <f t="shared" si="43"/>
        <v>0.1837403205</v>
      </c>
      <c r="O218">
        <f t="shared" si="44"/>
        <v>0.15734852900999999</v>
      </c>
      <c r="P218">
        <f t="shared" si="45"/>
        <v>3.2759503015460351E-2</v>
      </c>
    </row>
    <row r="219" spans="1:16" x14ac:dyDescent="0.3">
      <c r="A219">
        <v>11.186697000000001</v>
      </c>
      <c r="B219">
        <v>0.27417999999999998</v>
      </c>
      <c r="C219">
        <f t="shared" si="36"/>
        <v>3.06716858346</v>
      </c>
      <c r="D219">
        <v>1.6500000000000001E-2</v>
      </c>
      <c r="E219">
        <v>1.413E-2</v>
      </c>
      <c r="F219">
        <f t="shared" si="37"/>
        <v>2237.3394000000003</v>
      </c>
      <c r="G219">
        <f t="shared" si="38"/>
        <v>-0.27417999999999998</v>
      </c>
      <c r="H219">
        <f t="shared" si="39"/>
        <v>-613.43371669199996</v>
      </c>
      <c r="I219">
        <v>1</v>
      </c>
      <c r="J219">
        <f t="shared" si="40"/>
        <v>0.80528739205450173</v>
      </c>
      <c r="K219">
        <f t="shared" si="41"/>
        <v>-0.94754515177521748</v>
      </c>
      <c r="L219">
        <v>1</v>
      </c>
      <c r="M219">
        <f t="shared" si="42"/>
        <v>0.57155314874262508</v>
      </c>
      <c r="N219">
        <f t="shared" si="43"/>
        <v>0.18458050050000002</v>
      </c>
      <c r="O219">
        <f t="shared" si="44"/>
        <v>0.15806802861000002</v>
      </c>
      <c r="P219">
        <f t="shared" si="45"/>
        <v>3.3343473922592348E-2</v>
      </c>
    </row>
    <row r="220" spans="1:16" x14ac:dyDescent="0.3">
      <c r="A220">
        <v>11.239143</v>
      </c>
      <c r="B220">
        <v>0.27150000000000002</v>
      </c>
      <c r="C220">
        <f t="shared" si="36"/>
        <v>3.0514273245000001</v>
      </c>
      <c r="D220">
        <v>1.6500000000000001E-2</v>
      </c>
      <c r="E220">
        <v>1.413E-2</v>
      </c>
      <c r="F220">
        <f t="shared" si="37"/>
        <v>2247.8286000000003</v>
      </c>
      <c r="G220">
        <f t="shared" si="38"/>
        <v>-0.27150000000000002</v>
      </c>
      <c r="H220">
        <f t="shared" si="39"/>
        <v>-610.28546489999997</v>
      </c>
      <c r="I220">
        <v>1</v>
      </c>
      <c r="J220">
        <f t="shared" si="40"/>
        <v>0.80996468357300344</v>
      </c>
      <c r="K220">
        <f t="shared" si="41"/>
        <v>-0.95022515177521738</v>
      </c>
      <c r="L220">
        <v>1</v>
      </c>
      <c r="M220">
        <f t="shared" si="42"/>
        <v>0.57176470263800694</v>
      </c>
      <c r="N220">
        <f t="shared" si="43"/>
        <v>0.1854458595</v>
      </c>
      <c r="O220">
        <f t="shared" si="44"/>
        <v>0.15880909059000001</v>
      </c>
      <c r="P220">
        <f t="shared" si="45"/>
        <v>3.420549904721043E-2</v>
      </c>
    </row>
    <row r="221" spans="1:16" x14ac:dyDescent="0.3">
      <c r="A221">
        <v>11.291079</v>
      </c>
      <c r="B221">
        <v>0.26933000000000001</v>
      </c>
      <c r="C221">
        <f t="shared" si="36"/>
        <v>3.0410263070700001</v>
      </c>
      <c r="D221">
        <v>1.6500000000000001E-2</v>
      </c>
      <c r="E221">
        <v>1.413E-2</v>
      </c>
      <c r="F221">
        <f t="shared" si="37"/>
        <v>2258.2157999999999</v>
      </c>
      <c r="G221">
        <f t="shared" si="38"/>
        <v>-0.26933000000000001</v>
      </c>
      <c r="H221">
        <f t="shared" si="39"/>
        <v>-608.20526141400001</v>
      </c>
      <c r="I221">
        <v>1</v>
      </c>
      <c r="J221">
        <f t="shared" si="40"/>
        <v>0.81457503246286145</v>
      </c>
      <c r="K221">
        <f t="shared" si="41"/>
        <v>-0.95239515177521739</v>
      </c>
      <c r="L221">
        <v>1</v>
      </c>
      <c r="M221">
        <f t="shared" si="42"/>
        <v>0.57197322871829526</v>
      </c>
      <c r="N221">
        <f t="shared" si="43"/>
        <v>0.1863028035</v>
      </c>
      <c r="O221">
        <f t="shared" si="44"/>
        <v>0.15954294627000001</v>
      </c>
      <c r="P221">
        <f t="shared" si="45"/>
        <v>3.4576173286922113E-2</v>
      </c>
    </row>
    <row r="222" spans="1:16" x14ac:dyDescent="0.3">
      <c r="A222">
        <v>11.341488999999999</v>
      </c>
      <c r="B222">
        <v>0.26680999999999999</v>
      </c>
      <c r="C222">
        <f t="shared" si="36"/>
        <v>3.0260226800899996</v>
      </c>
      <c r="D222">
        <v>1.6500000000000001E-2</v>
      </c>
      <c r="E222">
        <v>1.413E-2</v>
      </c>
      <c r="F222">
        <f t="shared" si="37"/>
        <v>2268.2977999999998</v>
      </c>
      <c r="G222">
        <f t="shared" si="38"/>
        <v>-0.26680999999999999</v>
      </c>
      <c r="H222">
        <f t="shared" si="39"/>
        <v>-605.20453601799989</v>
      </c>
      <c r="I222">
        <v>1</v>
      </c>
      <c r="J222">
        <f t="shared" si="40"/>
        <v>0.81902968236038209</v>
      </c>
      <c r="K222">
        <f t="shared" si="41"/>
        <v>-0.95491515177521746</v>
      </c>
      <c r="L222">
        <v>1</v>
      </c>
      <c r="M222">
        <f t="shared" si="42"/>
        <v>0.5721747125331601</v>
      </c>
      <c r="N222">
        <f t="shared" si="43"/>
        <v>0.18713456849999999</v>
      </c>
      <c r="O222">
        <f t="shared" si="44"/>
        <v>0.16025523956999999</v>
      </c>
      <c r="P222">
        <f t="shared" si="45"/>
        <v>3.535063117205739E-2</v>
      </c>
    </row>
    <row r="223" spans="1:16" x14ac:dyDescent="0.3">
      <c r="A223">
        <v>11.392916</v>
      </c>
      <c r="B223">
        <v>0.26458999999999999</v>
      </c>
      <c r="C223">
        <f t="shared" si="36"/>
        <v>3.0144516444399998</v>
      </c>
      <c r="D223">
        <v>1.6500000000000001E-2</v>
      </c>
      <c r="E223">
        <v>1.413E-2</v>
      </c>
      <c r="F223">
        <f t="shared" si="37"/>
        <v>2278.5832</v>
      </c>
      <c r="G223">
        <f t="shared" si="38"/>
        <v>-0.26458999999999999</v>
      </c>
      <c r="H223">
        <f t="shared" si="39"/>
        <v>-602.890328888</v>
      </c>
      <c r="I223">
        <v>1</v>
      </c>
      <c r="J223">
        <f t="shared" si="40"/>
        <v>0.82355384630639639</v>
      </c>
      <c r="K223">
        <f t="shared" si="41"/>
        <v>-0.95713515177521746</v>
      </c>
      <c r="L223">
        <v>1</v>
      </c>
      <c r="M223">
        <f t="shared" si="42"/>
        <v>0.5723793404684383</v>
      </c>
      <c r="N223">
        <f t="shared" si="43"/>
        <v>0.18798311400000001</v>
      </c>
      <c r="O223">
        <f t="shared" si="44"/>
        <v>0.16098190307999999</v>
      </c>
      <c r="P223">
        <f t="shared" si="45"/>
        <v>3.5790794226779166E-2</v>
      </c>
    </row>
    <row r="224" spans="1:16" x14ac:dyDescent="0.3">
      <c r="A224">
        <v>11.44638</v>
      </c>
      <c r="B224">
        <v>0.26184000000000002</v>
      </c>
      <c r="C224">
        <f t="shared" si="36"/>
        <v>2.9971201392000002</v>
      </c>
      <c r="D224">
        <v>1.6500000000000001E-2</v>
      </c>
      <c r="E224">
        <v>1.413E-2</v>
      </c>
      <c r="F224">
        <f t="shared" si="37"/>
        <v>2289.2759999999998</v>
      </c>
      <c r="G224">
        <f t="shared" si="38"/>
        <v>-0.26184000000000002</v>
      </c>
      <c r="H224">
        <f t="shared" si="39"/>
        <v>-599.42402784000001</v>
      </c>
      <c r="I224">
        <v>1</v>
      </c>
      <c r="J224">
        <f t="shared" si="40"/>
        <v>0.82823561037268234</v>
      </c>
      <c r="K224">
        <f t="shared" si="41"/>
        <v>-0.95988515177521738</v>
      </c>
      <c r="L224">
        <v>1</v>
      </c>
      <c r="M224">
        <f t="shared" si="42"/>
        <v>0.57259109665715646</v>
      </c>
      <c r="N224">
        <f t="shared" si="43"/>
        <v>0.18886527</v>
      </c>
      <c r="O224">
        <f t="shared" si="44"/>
        <v>0.16173734940000001</v>
      </c>
      <c r="P224">
        <f t="shared" si="45"/>
        <v>3.6691435718060911E-2</v>
      </c>
    </row>
    <row r="225" spans="1:18" x14ac:dyDescent="0.3">
      <c r="A225">
        <v>11.497299</v>
      </c>
      <c r="B225">
        <v>0.25940000000000002</v>
      </c>
      <c r="C225">
        <f t="shared" si="36"/>
        <v>2.9823993606000001</v>
      </c>
      <c r="D225">
        <v>1.6500000000000001E-2</v>
      </c>
      <c r="E225">
        <v>1.413E-2</v>
      </c>
      <c r="F225">
        <f t="shared" si="37"/>
        <v>2299.4598000000001</v>
      </c>
      <c r="G225">
        <f t="shared" si="38"/>
        <v>-0.25940000000000002</v>
      </c>
      <c r="H225">
        <f t="shared" si="39"/>
        <v>-596.47987211999998</v>
      </c>
      <c r="I225">
        <v>1</v>
      </c>
      <c r="J225">
        <f t="shared" si="40"/>
        <v>0.83267422578371086</v>
      </c>
      <c r="K225">
        <f t="shared" si="41"/>
        <v>-0.96232515177521738</v>
      </c>
      <c r="L225">
        <v>1</v>
      </c>
      <c r="M225">
        <f t="shared" si="42"/>
        <v>0.57279185523219722</v>
      </c>
      <c r="N225">
        <f t="shared" si="43"/>
        <v>0.18970543350000002</v>
      </c>
      <c r="O225">
        <f t="shared" si="44"/>
        <v>0.16245683487000001</v>
      </c>
      <c r="P225">
        <f t="shared" si="45"/>
        <v>3.7371028173020127E-2</v>
      </c>
      <c r="R225">
        <f>O225+N225+M225</f>
        <v>0.9249541236021972</v>
      </c>
    </row>
    <row r="226" spans="1:18" x14ac:dyDescent="0.3">
      <c r="A226">
        <v>11.552289999999999</v>
      </c>
      <c r="B226">
        <v>0.25690000000000002</v>
      </c>
      <c r="C226">
        <f t="shared" si="36"/>
        <v>2.9677833009999999</v>
      </c>
      <c r="D226">
        <v>1.6500000000000001E-2</v>
      </c>
      <c r="E226">
        <v>1.413E-2</v>
      </c>
      <c r="F226">
        <f t="shared" si="37"/>
        <v>2310.4579999999996</v>
      </c>
      <c r="G226">
        <f t="shared" si="38"/>
        <v>-0.25690000000000002</v>
      </c>
      <c r="H226">
        <f t="shared" si="39"/>
        <v>-593.55666020000001</v>
      </c>
      <c r="I226">
        <v>1</v>
      </c>
      <c r="J226">
        <f t="shared" si="40"/>
        <v>0.83744577327938918</v>
      </c>
      <c r="K226">
        <f t="shared" si="41"/>
        <v>-0.96482515177521744</v>
      </c>
      <c r="L226">
        <v>1</v>
      </c>
      <c r="M226">
        <f t="shared" si="42"/>
        <v>0.57300767232542671</v>
      </c>
      <c r="N226">
        <f t="shared" si="43"/>
        <v>0.19061278500000001</v>
      </c>
      <c r="O226">
        <f t="shared" si="44"/>
        <v>0.16323385769999998</v>
      </c>
      <c r="P226">
        <f t="shared" si="45"/>
        <v>3.7970836749790737E-2</v>
      </c>
    </row>
    <row r="227" spans="1:18" x14ac:dyDescent="0.3">
      <c r="A227">
        <v>11.605753999999999</v>
      </c>
      <c r="B227">
        <v>0.25451000000000001</v>
      </c>
      <c r="C227">
        <f t="shared" si="36"/>
        <v>2.95378045054</v>
      </c>
      <c r="D227">
        <v>1.6500000000000001E-2</v>
      </c>
      <c r="E227">
        <v>1.413E-2</v>
      </c>
      <c r="F227">
        <f t="shared" si="37"/>
        <v>2321.1507999999999</v>
      </c>
      <c r="G227">
        <f t="shared" si="38"/>
        <v>-0.25451000000000001</v>
      </c>
      <c r="H227">
        <f t="shared" si="39"/>
        <v>-590.75609010799997</v>
      </c>
      <c r="I227">
        <v>1</v>
      </c>
      <c r="J227">
        <f t="shared" si="40"/>
        <v>0.84206309717654115</v>
      </c>
      <c r="K227">
        <f t="shared" si="41"/>
        <v>-0.96721515177521744</v>
      </c>
      <c r="L227">
        <v>1</v>
      </c>
      <c r="M227">
        <f t="shared" si="42"/>
        <v>0.57321651388529493</v>
      </c>
      <c r="N227">
        <f t="shared" si="43"/>
        <v>0.191494941</v>
      </c>
      <c r="O227">
        <f t="shared" si="44"/>
        <v>0.16398930402</v>
      </c>
      <c r="P227">
        <f t="shared" si="45"/>
        <v>3.8514392869922504E-2</v>
      </c>
    </row>
    <row r="228" spans="1:18" x14ac:dyDescent="0.3">
      <c r="A228">
        <v>11.657691</v>
      </c>
      <c r="B228">
        <v>0.25180000000000002</v>
      </c>
      <c r="C228">
        <f t="shared" si="36"/>
        <v>2.9354065938000002</v>
      </c>
      <c r="D228">
        <v>1.6500000000000001E-2</v>
      </c>
      <c r="E228">
        <v>1.413E-2</v>
      </c>
      <c r="F228">
        <f t="shared" si="37"/>
        <v>2331.5382</v>
      </c>
      <c r="G228">
        <f t="shared" si="38"/>
        <v>-0.25180000000000002</v>
      </c>
      <c r="H228">
        <f t="shared" si="39"/>
        <v>-587.08131876000004</v>
      </c>
      <c r="I228">
        <v>1</v>
      </c>
      <c r="J228">
        <f t="shared" si="40"/>
        <v>0.84652822143396877</v>
      </c>
      <c r="K228">
        <f t="shared" si="41"/>
        <v>-0.96992515177521743</v>
      </c>
      <c r="L228">
        <v>1</v>
      </c>
      <c r="M228">
        <f t="shared" si="42"/>
        <v>0.57341847145545843</v>
      </c>
      <c r="N228">
        <f t="shared" si="43"/>
        <v>0.19235190150000001</v>
      </c>
      <c r="O228">
        <f t="shared" si="44"/>
        <v>0.16472317382999999</v>
      </c>
      <c r="P228">
        <f t="shared" si="45"/>
        <v>3.9431604989759006E-2</v>
      </c>
    </row>
    <row r="229" spans="1:18" x14ac:dyDescent="0.3">
      <c r="A229">
        <v>11.655654</v>
      </c>
      <c r="B229">
        <v>0.25161</v>
      </c>
      <c r="C229">
        <f t="shared" si="36"/>
        <v>2.9326791029399999</v>
      </c>
      <c r="D229">
        <v>1.6500000000000001E-2</v>
      </c>
      <c r="E229">
        <v>1.413E-2</v>
      </c>
      <c r="F229">
        <f t="shared" si="37"/>
        <v>2331.1307999999999</v>
      </c>
      <c r="G229">
        <f t="shared" si="38"/>
        <v>-0.25161</v>
      </c>
      <c r="H229">
        <f t="shared" si="39"/>
        <v>-586.53582058799998</v>
      </c>
      <c r="I229">
        <v>1</v>
      </c>
      <c r="J229">
        <f t="shared" si="40"/>
        <v>0.8463534717354434</v>
      </c>
      <c r="K229">
        <f t="shared" si="41"/>
        <v>-0.97011515177521745</v>
      </c>
      <c r="L229">
        <v>1</v>
      </c>
      <c r="M229">
        <f t="shared" si="42"/>
        <v>0.57341056752659414</v>
      </c>
      <c r="N229">
        <f t="shared" si="43"/>
        <v>0.192318291</v>
      </c>
      <c r="O229">
        <f t="shared" si="44"/>
        <v>0.16469439102</v>
      </c>
      <c r="P229">
        <f t="shared" si="45"/>
        <v>3.9691902228623316E-2</v>
      </c>
    </row>
    <row r="230" spans="1:18" x14ac:dyDescent="0.3">
      <c r="C230">
        <f t="shared" si="36"/>
        <v>0</v>
      </c>
      <c r="D230">
        <v>1.6500000000000001E-2</v>
      </c>
      <c r="E230">
        <v>1.413E-2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1:18" x14ac:dyDescent="0.3">
      <c r="C231">
        <f t="shared" si="36"/>
        <v>0</v>
      </c>
      <c r="D231">
        <v>1.6500000000000001E-2</v>
      </c>
      <c r="E231">
        <v>1.413E-2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1:18" x14ac:dyDescent="0.3">
      <c r="C232">
        <f t="shared" si="36"/>
        <v>0</v>
      </c>
      <c r="D232">
        <v>1.6500000000000001E-2</v>
      </c>
      <c r="E232">
        <v>1.413E-2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1:18" x14ac:dyDescent="0.3">
      <c r="C233">
        <f t="shared" si="36"/>
        <v>0</v>
      </c>
      <c r="D233">
        <v>1.6500000000000001E-2</v>
      </c>
      <c r="E233">
        <v>1.413E-2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1:18" x14ac:dyDescent="0.3">
      <c r="C234">
        <f t="shared" si="36"/>
        <v>0</v>
      </c>
      <c r="D234">
        <v>1.6500000000000001E-2</v>
      </c>
      <c r="E234">
        <v>1.413E-2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1:18" x14ac:dyDescent="0.3">
      <c r="C235">
        <f t="shared" si="36"/>
        <v>0</v>
      </c>
      <c r="D235">
        <v>1.6500000000000001E-2</v>
      </c>
      <c r="E235">
        <v>1.413E-2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1:18" x14ac:dyDescent="0.3">
      <c r="C236">
        <f t="shared" si="36"/>
        <v>0</v>
      </c>
      <c r="D236">
        <v>1.6500000000000001E-2</v>
      </c>
      <c r="E236">
        <v>1.413E-2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1:18" x14ac:dyDescent="0.3">
      <c r="C237">
        <f t="shared" si="36"/>
        <v>0</v>
      </c>
      <c r="D237">
        <v>1.6500000000000001E-2</v>
      </c>
      <c r="E237">
        <v>1.413E-2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1:18" x14ac:dyDescent="0.3">
      <c r="C238">
        <f t="shared" si="36"/>
        <v>0</v>
      </c>
      <c r="D238">
        <v>1.6500000000000001E-2</v>
      </c>
      <c r="E238">
        <v>1.413E-2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1:18" x14ac:dyDescent="0.3">
      <c r="C239">
        <f t="shared" si="36"/>
        <v>0</v>
      </c>
      <c r="D239">
        <v>1.6500000000000001E-2</v>
      </c>
      <c r="E239">
        <v>1.413E-2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1:18" x14ac:dyDescent="0.3">
      <c r="C240">
        <f t="shared" si="36"/>
        <v>0</v>
      </c>
      <c r="D240">
        <v>1.6500000000000001E-2</v>
      </c>
      <c r="E240">
        <v>1.413E-2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1.6500000000000001E-2</v>
      </c>
      <c r="E241">
        <v>1.413E-2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1.6500000000000001E-2</v>
      </c>
      <c r="E242">
        <v>1.413E-2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1.6500000000000001E-2</v>
      </c>
      <c r="E243">
        <v>1.413E-2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1.6500000000000001E-2</v>
      </c>
      <c r="E244">
        <v>1.413E-2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1.6500000000000001E-2</v>
      </c>
      <c r="E245">
        <v>1.413E-2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1.6500000000000001E-2</v>
      </c>
      <c r="E246">
        <v>1.413E-2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1.6500000000000001E-2</v>
      </c>
      <c r="E247">
        <v>1.413E-2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1.6500000000000001E-2</v>
      </c>
      <c r="E248">
        <v>1.413E-2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1.6500000000000001E-2</v>
      </c>
      <c r="E249">
        <v>1.413E-2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1.6500000000000001E-2</v>
      </c>
      <c r="E250">
        <v>1.413E-2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1.6500000000000001E-2</v>
      </c>
      <c r="E251">
        <v>1.413E-2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1.6500000000000001E-2</v>
      </c>
      <c r="E252">
        <v>1.413E-2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1.6500000000000001E-2</v>
      </c>
      <c r="E253">
        <v>1.413E-2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1.6500000000000001E-2</v>
      </c>
      <c r="E254">
        <v>1.413E-2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1.6500000000000001E-2</v>
      </c>
      <c r="E255">
        <v>1.413E-2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1.6500000000000001E-2</v>
      </c>
      <c r="E256">
        <v>1.413E-2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1.6500000000000001E-2</v>
      </c>
      <c r="E257">
        <v>1.413E-2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1.6500000000000001E-2</v>
      </c>
      <c r="E258">
        <v>1.413E-2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1.6500000000000001E-2</v>
      </c>
      <c r="E259">
        <v>1.413E-2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1.6500000000000001E-2</v>
      </c>
      <c r="E260">
        <v>1.413E-2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1.6500000000000001E-2</v>
      </c>
      <c r="E261">
        <v>1.413E-2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1.6500000000000001E-2</v>
      </c>
      <c r="E262">
        <v>1.413E-2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1.6500000000000001E-2</v>
      </c>
      <c r="E263">
        <v>1.413E-2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1.6500000000000001E-2</v>
      </c>
      <c r="E264">
        <v>1.413E-2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1.6500000000000001E-2</v>
      </c>
      <c r="E265">
        <v>1.413E-2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1.6500000000000001E-2</v>
      </c>
      <c r="E266">
        <v>1.413E-2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1.6500000000000001E-2</v>
      </c>
      <c r="E267">
        <v>1.413E-2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1.6500000000000001E-2</v>
      </c>
      <c r="E268">
        <v>1.413E-2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1.6500000000000001E-2</v>
      </c>
      <c r="E269">
        <v>1.413E-2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1.6500000000000001E-2</v>
      </c>
      <c r="E270">
        <v>1.413E-2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1.6500000000000001E-2</v>
      </c>
      <c r="E271">
        <v>1.413E-2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1.6500000000000001E-2</v>
      </c>
      <c r="E272">
        <v>1.413E-2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1.6500000000000001E-2</v>
      </c>
      <c r="E273">
        <v>1.413E-2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1.6500000000000001E-2</v>
      </c>
      <c r="E274">
        <v>1.413E-2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1.6500000000000001E-2</v>
      </c>
      <c r="E275">
        <v>1.413E-2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1.6500000000000001E-2</v>
      </c>
      <c r="E276">
        <v>1.413E-2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1.6500000000000001E-2</v>
      </c>
      <c r="E277">
        <v>1.413E-2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1.6500000000000001E-2</v>
      </c>
      <c r="E278">
        <v>1.413E-2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1.6500000000000001E-2</v>
      </c>
      <c r="E279">
        <v>1.413E-2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1.6500000000000001E-2</v>
      </c>
      <c r="E280">
        <v>1.413E-2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1.6500000000000001E-2</v>
      </c>
      <c r="E281">
        <v>1.413E-2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1.6500000000000001E-2</v>
      </c>
      <c r="E282">
        <v>1.413E-2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1.6500000000000001E-2</v>
      </c>
      <c r="E283">
        <v>1.413E-2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1.6500000000000001E-2</v>
      </c>
      <c r="E284">
        <v>1.413E-2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1.6500000000000001E-2</v>
      </c>
      <c r="E285">
        <v>1.413E-2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1.6500000000000001E-2</v>
      </c>
      <c r="E286">
        <v>1.413E-2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1.6500000000000001E-2</v>
      </c>
      <c r="E287">
        <v>1.413E-2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1.6500000000000001E-2</v>
      </c>
      <c r="E288">
        <v>1.413E-2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1.6500000000000001E-2</v>
      </c>
      <c r="E289">
        <v>1.413E-2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1.6500000000000001E-2</v>
      </c>
      <c r="E290">
        <v>1.413E-2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1.6500000000000001E-2</v>
      </c>
      <c r="E291">
        <v>1.413E-2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1.6500000000000001E-2</v>
      </c>
      <c r="E292">
        <v>1.413E-2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1.6500000000000001E-2</v>
      </c>
      <c r="E293">
        <v>1.413E-2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1.6500000000000001E-2</v>
      </c>
      <c r="E294">
        <v>1.413E-2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1.6500000000000001E-2</v>
      </c>
      <c r="E295">
        <v>1.413E-2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1.6500000000000001E-2</v>
      </c>
      <c r="E296">
        <v>1.413E-2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1.6500000000000001E-2</v>
      </c>
      <c r="E297">
        <v>1.413E-2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1.6500000000000001E-2</v>
      </c>
      <c r="E298">
        <v>1.413E-2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1.6500000000000001E-2</v>
      </c>
      <c r="E299">
        <v>1.413E-2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1.6500000000000001E-2</v>
      </c>
      <c r="E300">
        <v>1.413E-2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1.6500000000000001E-2</v>
      </c>
      <c r="E301">
        <v>1.413E-2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1.6500000000000001E-2</v>
      </c>
      <c r="E302">
        <v>1.413E-2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1.6500000000000001E-2</v>
      </c>
      <c r="E303">
        <v>1.413E-2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2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</row>
    <row r="3" spans="1:12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</row>
    <row r="4" spans="1:12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6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6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6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6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</row>
    <row r="38" spans="1:12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6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6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6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6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6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6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6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6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6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6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6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6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6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6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6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6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</row>
    <row r="54" spans="1:12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6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6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6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6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6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6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6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6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6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6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6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6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ref="B66:B129" si="7">A66*200</f>
        <v>676</v>
      </c>
      <c r="C66">
        <v>0.59699999999999998</v>
      </c>
      <c r="D66">
        <v>2.0899359136819839E-2</v>
      </c>
      <c r="E66">
        <f t="shared" ref="E66:E129" si="8">B66</f>
        <v>676</v>
      </c>
      <c r="F66">
        <f t="shared" ref="F66:F97" si="9">D66-0.0045</f>
        <v>1.6399359136819839E-2</v>
      </c>
      <c r="I66">
        <f t="shared" ref="I66:I129" si="10">C66+(D66*A66)</f>
        <v>0.66763983388245107</v>
      </c>
      <c r="K66">
        <f t="shared" ref="K66:K129" si="11">I66+(F66*C66)</f>
        <v>0.67743025128713252</v>
      </c>
      <c r="L66">
        <f t="shared" ref="L66:L129" si="12">K66-$I$1</f>
        <v>-0.54429490048808493</v>
      </c>
    </row>
    <row r="67" spans="1:12" x14ac:dyDescent="0.3">
      <c r="A67">
        <v>3.43</v>
      </c>
      <c r="B67">
        <f t="shared" si="7"/>
        <v>686</v>
      </c>
      <c r="C67">
        <v>0.59499999999999997</v>
      </c>
      <c r="D67">
        <v>2.1236933767795559E-2</v>
      </c>
      <c r="E67">
        <f t="shared" si="8"/>
        <v>686</v>
      </c>
      <c r="F67">
        <f t="shared" si="9"/>
        <v>1.6736933767795559E-2</v>
      </c>
      <c r="I67">
        <f t="shared" si="10"/>
        <v>0.66784268282353876</v>
      </c>
      <c r="K67">
        <f t="shared" si="11"/>
        <v>0.67780115841537714</v>
      </c>
      <c r="L67">
        <f t="shared" si="12"/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>
        <v>2.121633850038052E-2</v>
      </c>
      <c r="E68">
        <f t="shared" si="8"/>
        <v>698</v>
      </c>
      <c r="F68">
        <f t="shared" si="9"/>
        <v>1.6716338500380519E-2</v>
      </c>
      <c r="I68">
        <f t="shared" si="10"/>
        <v>0.66604502136632804</v>
      </c>
      <c r="K68">
        <f t="shared" si="11"/>
        <v>0.67594109375855327</v>
      </c>
      <c r="L68">
        <f t="shared" si="12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>
        <v>2.1920887753367421E-2</v>
      </c>
      <c r="E69">
        <f t="shared" si="8"/>
        <v>708</v>
      </c>
      <c r="F69">
        <f t="shared" si="9"/>
        <v>1.742088775336742E-2</v>
      </c>
      <c r="I69">
        <f t="shared" si="10"/>
        <v>0.66759994264692069</v>
      </c>
      <c r="K69">
        <f t="shared" si="11"/>
        <v>0.67787826642140747</v>
      </c>
      <c r="L69">
        <f t="shared" si="12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>
        <v>2.134180627763271E-2</v>
      </c>
      <c r="E70">
        <f t="shared" si="8"/>
        <v>718</v>
      </c>
      <c r="F70">
        <f t="shared" si="9"/>
        <v>1.6841806277632709E-2</v>
      </c>
      <c r="I70">
        <f t="shared" si="10"/>
        <v>0.66361708453670143</v>
      </c>
      <c r="K70">
        <f t="shared" si="11"/>
        <v>0.6735032248216718</v>
      </c>
      <c r="L70">
        <f t="shared" si="12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>
        <v>2.1182570606470112E-2</v>
      </c>
      <c r="E71">
        <f t="shared" si="8"/>
        <v>728</v>
      </c>
      <c r="F71">
        <f t="shared" si="9"/>
        <v>1.6682570606470111E-2</v>
      </c>
      <c r="I71">
        <f t="shared" si="10"/>
        <v>0.66210455700755122</v>
      </c>
      <c r="K71">
        <f t="shared" si="11"/>
        <v>0.67186386081233629</v>
      </c>
      <c r="L71">
        <f t="shared" si="12"/>
        <v>-0.54986129096288117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>
        <v>2.0709231495857239E-2</v>
      </c>
      <c r="E72">
        <f t="shared" si="8"/>
        <v>738</v>
      </c>
      <c r="F72">
        <f t="shared" si="9"/>
        <v>1.6209231495857238E-2</v>
      </c>
      <c r="I72">
        <f t="shared" si="10"/>
        <v>0.65841706421971313</v>
      </c>
      <c r="K72">
        <f t="shared" si="11"/>
        <v>0.66785083695030201</v>
      </c>
      <c r="L72">
        <f t="shared" si="12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>
        <v>2.084982767701149E-2</v>
      </c>
      <c r="E73">
        <f t="shared" si="8"/>
        <v>748</v>
      </c>
      <c r="F73">
        <f t="shared" si="9"/>
        <v>1.6349827677011489E-2</v>
      </c>
      <c r="I73">
        <f t="shared" si="10"/>
        <v>0.65797835551202288</v>
      </c>
      <c r="K73">
        <f t="shared" si="11"/>
        <v>0.66746125556468949</v>
      </c>
      <c r="L73">
        <f t="shared" si="12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>
        <v>2.1780027076601979E-2</v>
      </c>
      <c r="E74">
        <f t="shared" si="8"/>
        <v>760</v>
      </c>
      <c r="F74">
        <f t="shared" si="9"/>
        <v>1.7280027076601978E-2</v>
      </c>
      <c r="I74">
        <f t="shared" si="10"/>
        <v>0.66076410289108745</v>
      </c>
      <c r="K74">
        <f t="shared" si="11"/>
        <v>0.67075195854136338</v>
      </c>
      <c r="L74">
        <f t="shared" si="12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>
        <v>2.16306746006012E-2</v>
      </c>
      <c r="E75">
        <f t="shared" si="8"/>
        <v>770</v>
      </c>
      <c r="F75">
        <f t="shared" si="9"/>
        <v>1.7130674600601199E-2</v>
      </c>
      <c r="I75">
        <f t="shared" si="10"/>
        <v>0.65827809721231456</v>
      </c>
      <c r="K75">
        <f t="shared" si="11"/>
        <v>0.66812823510766028</v>
      </c>
      <c r="L75">
        <f t="shared" si="12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>
        <v>2.1522887051105499E-2</v>
      </c>
      <c r="E76">
        <f t="shared" si="8"/>
        <v>780</v>
      </c>
      <c r="F76">
        <f t="shared" si="9"/>
        <v>1.7022887051105499E-2</v>
      </c>
      <c r="I76">
        <f t="shared" si="10"/>
        <v>0.65693925949931142</v>
      </c>
      <c r="K76">
        <f t="shared" si="11"/>
        <v>0.66669337377959492</v>
      </c>
      <c r="L76">
        <f t="shared" si="12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>
        <v>2.099636942148209E-2</v>
      </c>
      <c r="E77">
        <f t="shared" si="8"/>
        <v>790</v>
      </c>
      <c r="F77">
        <f t="shared" si="9"/>
        <v>1.6496369421482089E-2</v>
      </c>
      <c r="I77">
        <f t="shared" si="10"/>
        <v>0.65293565921485419</v>
      </c>
      <c r="K77">
        <f t="shared" si="11"/>
        <v>0.66233858978509896</v>
      </c>
      <c r="L77">
        <f t="shared" si="12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>
        <v>2.120652794837952E-2</v>
      </c>
      <c r="E78">
        <f t="shared" si="8"/>
        <v>800</v>
      </c>
      <c r="F78">
        <f t="shared" si="9"/>
        <v>1.670652794837952E-2</v>
      </c>
      <c r="I78">
        <f t="shared" si="10"/>
        <v>0.65282611179351802</v>
      </c>
      <c r="K78">
        <f t="shared" si="11"/>
        <v>0.66231541966819762</v>
      </c>
      <c r="L78">
        <f t="shared" si="12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>
        <v>2.128704264760017E-2</v>
      </c>
      <c r="E79">
        <f t="shared" si="8"/>
        <v>810</v>
      </c>
      <c r="F79">
        <f t="shared" si="9"/>
        <v>1.678704264760017E-2</v>
      </c>
      <c r="I79">
        <f t="shared" si="10"/>
        <v>0.65121252272278063</v>
      </c>
      <c r="K79">
        <f t="shared" si="11"/>
        <v>0.66069720181867475</v>
      </c>
      <c r="L79">
        <f t="shared" si="12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10"/>
        <v>0.65143646869063376</v>
      </c>
      <c r="K80">
        <f t="shared" si="11"/>
        <v>0.66104680573278662</v>
      </c>
      <c r="L80">
        <f t="shared" si="12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>
        <v>2.1351464092731479E-2</v>
      </c>
      <c r="E81">
        <f t="shared" si="8"/>
        <v>832</v>
      </c>
      <c r="F81">
        <f t="shared" si="9"/>
        <v>1.6851464092731479E-2</v>
      </c>
      <c r="I81">
        <f t="shared" si="10"/>
        <v>0.64982209062576302</v>
      </c>
      <c r="K81">
        <f t="shared" si="11"/>
        <v>0.65927576198178539</v>
      </c>
      <c r="L81">
        <f t="shared" si="12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>
        <v>2.2199295461177829E-2</v>
      </c>
      <c r="E82">
        <f t="shared" si="8"/>
        <v>842</v>
      </c>
      <c r="F82">
        <f t="shared" si="9"/>
        <v>1.7699295461177829E-2</v>
      </c>
      <c r="I82">
        <f t="shared" si="10"/>
        <v>0.65145903389155868</v>
      </c>
      <c r="K82">
        <f t="shared" si="11"/>
        <v>0.66133524075889594</v>
      </c>
      <c r="L82">
        <f t="shared" si="12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>
        <v>2.134930714964867E-2</v>
      </c>
      <c r="E83">
        <f t="shared" si="8"/>
        <v>852</v>
      </c>
      <c r="F83">
        <f t="shared" si="9"/>
        <v>1.6849307149648669E-2</v>
      </c>
      <c r="I83">
        <f t="shared" si="10"/>
        <v>0.64694804845750342</v>
      </c>
      <c r="K83">
        <f t="shared" si="11"/>
        <v>0.65631626323270809</v>
      </c>
      <c r="L83">
        <f t="shared" si="12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>
        <v>2.12129782885313E-2</v>
      </c>
      <c r="E84">
        <f t="shared" si="8"/>
        <v>861.99999999999989</v>
      </c>
      <c r="F84">
        <f t="shared" si="9"/>
        <v>1.6712978288531299E-2</v>
      </c>
      <c r="I84">
        <f t="shared" si="10"/>
        <v>0.64542793642356999</v>
      </c>
      <c r="K84">
        <f t="shared" si="11"/>
        <v>0.65468692639541637</v>
      </c>
      <c r="L84">
        <f t="shared" si="12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>
        <v>2.2336233407258991E-2</v>
      </c>
      <c r="E85">
        <f t="shared" si="8"/>
        <v>874</v>
      </c>
      <c r="F85">
        <f t="shared" si="9"/>
        <v>1.783623340725899E-2</v>
      </c>
      <c r="I85">
        <f t="shared" si="10"/>
        <v>0.64860933998972181</v>
      </c>
      <c r="K85">
        <f t="shared" si="11"/>
        <v>0.65843710459712157</v>
      </c>
      <c r="L85">
        <f t="shared" si="12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>
        <v>2.0953355357050899E-2</v>
      </c>
      <c r="E86">
        <f t="shared" si="8"/>
        <v>884</v>
      </c>
      <c r="F86">
        <f t="shared" si="9"/>
        <v>1.6453355357050899E-2</v>
      </c>
      <c r="I86">
        <f t="shared" si="10"/>
        <v>0.64161383067816502</v>
      </c>
      <c r="K86">
        <f t="shared" si="11"/>
        <v>0.650646722769186</v>
      </c>
      <c r="L86">
        <f t="shared" si="12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>
        <v>2.2049251943826679E-2</v>
      </c>
      <c r="E87">
        <f t="shared" si="8"/>
        <v>894</v>
      </c>
      <c r="F87">
        <f t="shared" si="9"/>
        <v>1.7549251943826678E-2</v>
      </c>
      <c r="I87">
        <f t="shared" si="10"/>
        <v>0.64456015618890528</v>
      </c>
      <c r="K87">
        <f t="shared" si="11"/>
        <v>0.65414204775023466</v>
      </c>
      <c r="L87">
        <f t="shared" si="12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>
        <v>2.1715734153985981E-2</v>
      </c>
      <c r="E88">
        <f t="shared" si="8"/>
        <v>906</v>
      </c>
      <c r="F88">
        <f t="shared" si="9"/>
        <v>1.721573415398598E-2</v>
      </c>
      <c r="I88">
        <f t="shared" si="10"/>
        <v>0.64237227571755651</v>
      </c>
      <c r="K88">
        <f t="shared" si="11"/>
        <v>0.65173763509732485</v>
      </c>
      <c r="L88">
        <f t="shared" si="12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>
        <v>2.1696174517273899E-2</v>
      </c>
      <c r="E89">
        <f t="shared" si="8"/>
        <v>916</v>
      </c>
      <c r="F89">
        <f t="shared" si="9"/>
        <v>1.7196174517273899E-2</v>
      </c>
      <c r="I89">
        <f t="shared" si="10"/>
        <v>0.64136847928911456</v>
      </c>
      <c r="K89">
        <f t="shared" si="11"/>
        <v>0.65068880587747702</v>
      </c>
      <c r="L89">
        <f t="shared" si="12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>
        <v>2.1906765177845951E-2</v>
      </c>
      <c r="E90">
        <f t="shared" si="8"/>
        <v>926</v>
      </c>
      <c r="F90">
        <f t="shared" si="9"/>
        <v>1.7406765177845951E-2</v>
      </c>
      <c r="I90">
        <f t="shared" si="10"/>
        <v>0.64042832277342676</v>
      </c>
      <c r="K90">
        <f t="shared" si="11"/>
        <v>0.6498105692042857</v>
      </c>
      <c r="L90">
        <f t="shared" si="12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>
        <v>2.1756090223789219E-2</v>
      </c>
      <c r="E91">
        <f t="shared" si="8"/>
        <v>936</v>
      </c>
      <c r="F91">
        <f t="shared" si="9"/>
        <v>1.7256090223789218E-2</v>
      </c>
      <c r="I91">
        <f t="shared" si="10"/>
        <v>0.63881850224733361</v>
      </c>
      <c r="K91">
        <f t="shared" si="11"/>
        <v>0.64808502269750845</v>
      </c>
      <c r="L91">
        <f t="shared" si="12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>
        <v>2.2429488599300381E-2</v>
      </c>
      <c r="E92">
        <f t="shared" si="8"/>
        <v>946.00000000000011</v>
      </c>
      <c r="F92">
        <f t="shared" si="9"/>
        <v>1.7929488599300381E-2</v>
      </c>
      <c r="I92">
        <f t="shared" si="10"/>
        <v>0.64009148107469083</v>
      </c>
      <c r="K92">
        <f t="shared" si="11"/>
        <v>0.64966582798671724</v>
      </c>
      <c r="L92">
        <f t="shared" si="12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>
        <v>2.15414147824049E-2</v>
      </c>
      <c r="E93">
        <f t="shared" si="8"/>
        <v>958</v>
      </c>
      <c r="F93">
        <f t="shared" si="9"/>
        <v>1.7041414782404899E-2</v>
      </c>
      <c r="I93">
        <f t="shared" si="10"/>
        <v>0.63618337680771953</v>
      </c>
      <c r="K93">
        <f t="shared" si="11"/>
        <v>0.64526645088674128</v>
      </c>
      <c r="L93">
        <f t="shared" si="12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>
        <v>2.2523378953337669E-2</v>
      </c>
      <c r="E94">
        <f t="shared" si="8"/>
        <v>968</v>
      </c>
      <c r="F94">
        <f t="shared" si="9"/>
        <v>1.8023378953337669E-2</v>
      </c>
      <c r="I94">
        <f t="shared" si="10"/>
        <v>0.63901315413415438</v>
      </c>
      <c r="K94">
        <f t="shared" si="11"/>
        <v>0.64856554497942331</v>
      </c>
      <c r="L94">
        <f t="shared" si="12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>
        <v>2.1605027839541439E-2</v>
      </c>
      <c r="E95">
        <f t="shared" si="8"/>
        <v>977.99999999999989</v>
      </c>
      <c r="F95">
        <f t="shared" si="9"/>
        <v>1.7105027839541438E-2</v>
      </c>
      <c r="I95">
        <f t="shared" si="10"/>
        <v>0.63364858613535768</v>
      </c>
      <c r="K95">
        <f t="shared" si="11"/>
        <v>0.64268004083463559</v>
      </c>
      <c r="L95">
        <f t="shared" si="12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10"/>
        <v>0.63645377541333437</v>
      </c>
      <c r="K96">
        <f t="shared" si="11"/>
        <v>0.64584764299783115</v>
      </c>
      <c r="L96">
        <f t="shared" si="12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>
        <v>2.1708402782678601E-2</v>
      </c>
      <c r="E97">
        <f t="shared" si="8"/>
        <v>998</v>
      </c>
      <c r="F97">
        <f t="shared" si="9"/>
        <v>1.72084027826786E-2</v>
      </c>
      <c r="I97">
        <f t="shared" si="10"/>
        <v>0.63232492988556621</v>
      </c>
      <c r="K97">
        <f t="shared" si="11"/>
        <v>0.6413421329436898</v>
      </c>
      <c r="L97">
        <f t="shared" si="12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>
        <v>2.2254021838307381E-2</v>
      </c>
      <c r="E98">
        <f t="shared" si="8"/>
        <v>1010</v>
      </c>
      <c r="F98">
        <f t="shared" ref="F98:F129" si="13">D98-0.0045</f>
        <v>1.775402183830738E-2</v>
      </c>
      <c r="I98">
        <f t="shared" si="10"/>
        <v>0.63338281028345234</v>
      </c>
      <c r="K98">
        <f t="shared" si="11"/>
        <v>0.64263265566121053</v>
      </c>
      <c r="L98">
        <f t="shared" si="12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>
        <v>2.2036757320165631E-2</v>
      </c>
      <c r="E99">
        <f t="shared" si="8"/>
        <v>1019.9999999999999</v>
      </c>
      <c r="F99">
        <f t="shared" si="13"/>
        <v>1.753675732016563E-2</v>
      </c>
      <c r="I99">
        <f t="shared" si="10"/>
        <v>0.63138746233284471</v>
      </c>
      <c r="K99">
        <f t="shared" si="11"/>
        <v>0.64048903938201063</v>
      </c>
      <c r="L99">
        <f t="shared" si="12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>
        <v>2.2387169301509861E-2</v>
      </c>
      <c r="E100">
        <f t="shared" si="8"/>
        <v>1030</v>
      </c>
      <c r="F100">
        <f t="shared" si="13"/>
        <v>1.788716930150986E-2</v>
      </c>
      <c r="I100">
        <f t="shared" si="10"/>
        <v>0.63229392190277578</v>
      </c>
      <c r="K100">
        <f t="shared" si="11"/>
        <v>0.64154158843165643</v>
      </c>
      <c r="L100">
        <f t="shared" si="12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>
        <v>2.200327999889851E-2</v>
      </c>
      <c r="E101">
        <f t="shared" si="8"/>
        <v>1042</v>
      </c>
      <c r="F101">
        <f t="shared" si="13"/>
        <v>1.7503279998898509E-2</v>
      </c>
      <c r="I101">
        <f t="shared" si="10"/>
        <v>0.62863708879426128</v>
      </c>
      <c r="K101">
        <f t="shared" si="11"/>
        <v>0.63763377471369509</v>
      </c>
      <c r="L101">
        <f t="shared" si="12"/>
        <v>-0.58409137706152237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>
        <v>2.2290784865617749E-2</v>
      </c>
      <c r="E102">
        <f t="shared" si="8"/>
        <v>1052</v>
      </c>
      <c r="F102">
        <f t="shared" si="13"/>
        <v>1.7790784865617748E-2</v>
      </c>
      <c r="I102">
        <f t="shared" si="10"/>
        <v>0.6292495283931494</v>
      </c>
      <c r="K102">
        <f t="shared" si="11"/>
        <v>0.6383584102443457</v>
      </c>
      <c r="L102">
        <f t="shared" si="12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>
        <v>2.204912714660168E-2</v>
      </c>
      <c r="E103">
        <f t="shared" si="8"/>
        <v>1062</v>
      </c>
      <c r="F103">
        <f t="shared" si="13"/>
        <v>1.754912714660168E-2</v>
      </c>
      <c r="I103">
        <f t="shared" si="10"/>
        <v>0.62708086514845496</v>
      </c>
      <c r="K103">
        <f t="shared" si="11"/>
        <v>0.63603091999322181</v>
      </c>
      <c r="L103">
        <f t="shared" si="12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>
        <v>2.2027615457773209E-2</v>
      </c>
      <c r="E104">
        <f t="shared" si="8"/>
        <v>1072</v>
      </c>
      <c r="F104">
        <f t="shared" si="13"/>
        <v>1.7527615457773208E-2</v>
      </c>
      <c r="I104">
        <f t="shared" si="10"/>
        <v>0.62606801885366437</v>
      </c>
      <c r="K104">
        <f t="shared" si="11"/>
        <v>0.63497204750621317</v>
      </c>
      <c r="L104">
        <f t="shared" si="12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>
        <v>2.1767960861325261E-2</v>
      </c>
      <c r="E105">
        <f t="shared" si="8"/>
        <v>1082</v>
      </c>
      <c r="F105">
        <f t="shared" si="13"/>
        <v>1.726796086132526E-2</v>
      </c>
      <c r="I105">
        <f t="shared" si="10"/>
        <v>0.62376466825976973</v>
      </c>
      <c r="K105">
        <f t="shared" si="11"/>
        <v>0.63250225645560032</v>
      </c>
      <c r="L105">
        <f t="shared" si="12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>
        <v>2.218662574887276E-2</v>
      </c>
      <c r="E106">
        <f t="shared" si="8"/>
        <v>1096</v>
      </c>
      <c r="F106">
        <f t="shared" si="13"/>
        <v>1.768662574887276E-2</v>
      </c>
      <c r="I106">
        <f t="shared" si="10"/>
        <v>0.62458270910382274</v>
      </c>
      <c r="K106">
        <f t="shared" si="11"/>
        <v>0.63347908185550572</v>
      </c>
      <c r="L106">
        <f t="shared" si="12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>
        <v>2.234361320734024E-2</v>
      </c>
      <c r="E107">
        <f t="shared" si="8"/>
        <v>1106</v>
      </c>
      <c r="F107">
        <f t="shared" si="13"/>
        <v>1.784361320734024E-2</v>
      </c>
      <c r="I107">
        <f t="shared" si="10"/>
        <v>0.6245601810365915</v>
      </c>
      <c r="K107">
        <f t="shared" si="11"/>
        <v>0.63349983125346898</v>
      </c>
      <c r="L107">
        <f t="shared" si="12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>
        <v>2.194085530936718E-2</v>
      </c>
      <c r="E108">
        <f t="shared" si="8"/>
        <v>1116</v>
      </c>
      <c r="F108">
        <f t="shared" si="13"/>
        <v>1.7440855309367179E-2</v>
      </c>
      <c r="I108">
        <f t="shared" si="10"/>
        <v>0.62142997262626887</v>
      </c>
      <c r="K108">
        <f t="shared" si="11"/>
        <v>0.63013295942564307</v>
      </c>
      <c r="L108">
        <f t="shared" si="12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>
        <v>2.266308106482029E-2</v>
      </c>
      <c r="E109">
        <f t="shared" si="8"/>
        <v>1126</v>
      </c>
      <c r="F109">
        <f t="shared" si="13"/>
        <v>1.8163081064820289E-2</v>
      </c>
      <c r="I109">
        <f t="shared" si="10"/>
        <v>0.62359314639493824</v>
      </c>
      <c r="K109">
        <f t="shared" si="11"/>
        <v>0.63260203460308906</v>
      </c>
      <c r="L109">
        <f t="shared" si="12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>
        <v>2.2642260417342189E-2</v>
      </c>
      <c r="E110">
        <f t="shared" si="8"/>
        <v>1138</v>
      </c>
      <c r="F110">
        <f t="shared" si="13"/>
        <v>1.8142260417342189E-2</v>
      </c>
      <c r="I110">
        <f t="shared" si="10"/>
        <v>0.62283446177467705</v>
      </c>
      <c r="K110">
        <f t="shared" si="11"/>
        <v>0.63179673842084405</v>
      </c>
      <c r="L110">
        <f t="shared" si="12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>
        <v>2.145604602992535E-2</v>
      </c>
      <c r="E111">
        <f t="shared" si="8"/>
        <v>1148</v>
      </c>
      <c r="F111">
        <f t="shared" si="13"/>
        <v>1.6956046029925349E-2</v>
      </c>
      <c r="I111">
        <f t="shared" si="10"/>
        <v>0.61515770421177152</v>
      </c>
      <c r="K111">
        <f t="shared" si="11"/>
        <v>0.62350007885849479</v>
      </c>
      <c r="L111">
        <f t="shared" si="12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>
        <v>2.2721694782376289E-2</v>
      </c>
      <c r="E112">
        <f t="shared" si="8"/>
        <v>1158</v>
      </c>
      <c r="F112">
        <f t="shared" si="13"/>
        <v>1.8221694782376289E-2</v>
      </c>
      <c r="I112">
        <f t="shared" si="10"/>
        <v>0.62155861278995872</v>
      </c>
      <c r="K112">
        <f t="shared" si="11"/>
        <v>0.63048724323332306</v>
      </c>
      <c r="L112">
        <f t="shared" si="12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>
        <v>2.283627167344093E-2</v>
      </c>
      <c r="E113">
        <f t="shared" si="8"/>
        <v>1168</v>
      </c>
      <c r="F113">
        <f t="shared" si="13"/>
        <v>1.8336271673440929E-2</v>
      </c>
      <c r="I113">
        <f t="shared" si="10"/>
        <v>0.62136382657289502</v>
      </c>
      <c r="K113">
        <f t="shared" si="11"/>
        <v>0.63031192714953421</v>
      </c>
      <c r="L113">
        <f t="shared" si="12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>
        <v>2.2560978308320049E-2</v>
      </c>
      <c r="E114">
        <f t="shared" si="8"/>
        <v>1180</v>
      </c>
      <c r="F114">
        <f t="shared" si="13"/>
        <v>1.8060978308320048E-2</v>
      </c>
      <c r="I114">
        <f t="shared" si="10"/>
        <v>0.61810977201908823</v>
      </c>
      <c r="K114">
        <f t="shared" si="11"/>
        <v>0.62686934649862347</v>
      </c>
      <c r="L114">
        <f t="shared" si="12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>
        <v>2.2831900045275692E-2</v>
      </c>
      <c r="E115">
        <f t="shared" si="8"/>
        <v>1190</v>
      </c>
      <c r="F115">
        <f t="shared" si="13"/>
        <v>1.8331900045275691E-2</v>
      </c>
      <c r="I115">
        <f t="shared" si="10"/>
        <v>0.61884980526939037</v>
      </c>
      <c r="K115">
        <f t="shared" si="11"/>
        <v>0.6277041129912585</v>
      </c>
      <c r="L115">
        <f t="shared" si="12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>
        <v>2.2245129570364949E-2</v>
      </c>
      <c r="E116">
        <f t="shared" si="8"/>
        <v>1200</v>
      </c>
      <c r="F116">
        <f t="shared" si="13"/>
        <v>1.7745129570364948E-2</v>
      </c>
      <c r="I116">
        <f t="shared" si="10"/>
        <v>0.6144707774221897</v>
      </c>
      <c r="K116">
        <f t="shared" si="11"/>
        <v>0.62300618474553526</v>
      </c>
      <c r="L116">
        <f t="shared" si="12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>
        <v>2.2771291434764859E-2</v>
      </c>
      <c r="E117">
        <f t="shared" si="8"/>
        <v>1210</v>
      </c>
      <c r="F117">
        <f t="shared" si="13"/>
        <v>1.8271291434764858E-2</v>
      </c>
      <c r="I117">
        <f t="shared" si="10"/>
        <v>0.61676631318032737</v>
      </c>
      <c r="K117">
        <f t="shared" si="11"/>
        <v>0.62551826177757974</v>
      </c>
      <c r="L117">
        <f t="shared" si="12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>
        <v>2.282169088721275E-2</v>
      </c>
      <c r="E118">
        <f t="shared" si="8"/>
        <v>1222</v>
      </c>
      <c r="F118">
        <f t="shared" si="13"/>
        <v>1.8321690887212749E-2</v>
      </c>
      <c r="I118">
        <f t="shared" si="10"/>
        <v>0.61644053132086984</v>
      </c>
      <c r="K118">
        <f t="shared" si="11"/>
        <v>0.62517997787407031</v>
      </c>
      <c r="L118">
        <f t="shared" si="12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>
        <v>2.2332519292831421E-2</v>
      </c>
      <c r="E119">
        <f t="shared" si="8"/>
        <v>1232</v>
      </c>
      <c r="F119">
        <f t="shared" si="13"/>
        <v>1.783251929283142E-2</v>
      </c>
      <c r="I119">
        <f t="shared" si="10"/>
        <v>0.61156831884384155</v>
      </c>
      <c r="K119">
        <f t="shared" si="11"/>
        <v>0.62002093298864369</v>
      </c>
      <c r="L119">
        <f t="shared" si="12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>
        <v>2.3083848878741261E-2</v>
      </c>
      <c r="E120">
        <f t="shared" si="8"/>
        <v>1242</v>
      </c>
      <c r="F120">
        <f t="shared" si="13"/>
        <v>1.858384887874126E-2</v>
      </c>
      <c r="I120">
        <f t="shared" si="10"/>
        <v>0.61635070153698324</v>
      </c>
      <c r="K120">
        <f t="shared" si="11"/>
        <v>0.62514086205662789</v>
      </c>
      <c r="L120">
        <f t="shared" si="12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>
        <v>2.2485846653580669E-2</v>
      </c>
      <c r="E121">
        <f t="shared" si="8"/>
        <v>1254</v>
      </c>
      <c r="F121">
        <f t="shared" si="13"/>
        <v>1.7985846653580669E-2</v>
      </c>
      <c r="I121">
        <f t="shared" si="10"/>
        <v>0.61098625851795074</v>
      </c>
      <c r="K121">
        <f t="shared" si="11"/>
        <v>0.61943960644513363</v>
      </c>
      <c r="L121">
        <f t="shared" si="12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>
        <v>2.3159187287092209E-2</v>
      </c>
      <c r="E122">
        <f t="shared" si="8"/>
        <v>1264</v>
      </c>
      <c r="F122">
        <f t="shared" si="13"/>
        <v>1.8659187287092208E-2</v>
      </c>
      <c r="I122">
        <f t="shared" si="10"/>
        <v>0.61436606365442281</v>
      </c>
      <c r="K122">
        <f t="shared" si="11"/>
        <v>0.62309856330478197</v>
      </c>
      <c r="L122">
        <f t="shared" si="12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>
        <v>2.308138087391853E-2</v>
      </c>
      <c r="E123">
        <f t="shared" si="8"/>
        <v>1274</v>
      </c>
      <c r="F123">
        <f t="shared" si="13"/>
        <v>1.8581380873918529E-2</v>
      </c>
      <c r="I123">
        <f t="shared" si="10"/>
        <v>0.613028396166861</v>
      </c>
      <c r="K123">
        <f t="shared" si="11"/>
        <v>0.62168731965410706</v>
      </c>
      <c r="L123">
        <f t="shared" si="12"/>
        <v>-0.60003783212111039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>
        <v>2.2287413477897641E-2</v>
      </c>
      <c r="E124">
        <f t="shared" si="8"/>
        <v>1284</v>
      </c>
      <c r="F124">
        <f t="shared" si="13"/>
        <v>1.778741347789764E-2</v>
      </c>
      <c r="I124">
        <f t="shared" si="10"/>
        <v>0.60708519452810283</v>
      </c>
      <c r="K124">
        <f t="shared" si="11"/>
        <v>0.61533855438184737</v>
      </c>
      <c r="L124">
        <f t="shared" si="12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>
        <v>2.303110808134079E-2</v>
      </c>
      <c r="E125">
        <f t="shared" si="8"/>
        <v>1294</v>
      </c>
      <c r="F125">
        <f t="shared" si="13"/>
        <v>1.8531108081340789E-2</v>
      </c>
      <c r="I125">
        <f t="shared" si="10"/>
        <v>0.61101126928627492</v>
      </c>
      <c r="K125">
        <f t="shared" si="11"/>
        <v>0.61957264121985434</v>
      </c>
      <c r="L125">
        <f t="shared" si="12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>
        <v>2.348831482231617E-2</v>
      </c>
      <c r="E126">
        <f t="shared" si="8"/>
        <v>1306</v>
      </c>
      <c r="F126">
        <f t="shared" si="13"/>
        <v>1.8988314822316169E-2</v>
      </c>
      <c r="I126">
        <f t="shared" si="10"/>
        <v>0.61337869578972459</v>
      </c>
      <c r="K126">
        <f t="shared" si="11"/>
        <v>0.62211332060799007</v>
      </c>
      <c r="L126">
        <f t="shared" si="12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>
        <v>2.2629233077168461E-2</v>
      </c>
      <c r="E127">
        <f t="shared" si="8"/>
        <v>1316</v>
      </c>
      <c r="F127">
        <f t="shared" si="13"/>
        <v>1.8129233077168461E-2</v>
      </c>
      <c r="I127">
        <f t="shared" si="10"/>
        <v>0.60690035364776851</v>
      </c>
      <c r="K127">
        <f t="shared" si="11"/>
        <v>0.61520354239711161</v>
      </c>
      <c r="L127">
        <f t="shared" si="12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>
        <v>2.3756466805934909E-2</v>
      </c>
      <c r="E128">
        <f t="shared" si="8"/>
        <v>1326</v>
      </c>
      <c r="F128">
        <f t="shared" si="13"/>
        <v>1.9256466805934909E-2</v>
      </c>
      <c r="I128">
        <f t="shared" si="10"/>
        <v>0.61250537492334844</v>
      </c>
      <c r="K128">
        <f t="shared" si="11"/>
        <v>0.62126706732004888</v>
      </c>
      <c r="L128">
        <f t="shared" si="12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>
        <v>2.2980403155088421E-2</v>
      </c>
      <c r="E129">
        <f t="shared" si="8"/>
        <v>1336</v>
      </c>
      <c r="F129">
        <f t="shared" si="13"/>
        <v>1.8480403155088421E-2</v>
      </c>
      <c r="I129">
        <f t="shared" si="10"/>
        <v>0.60650909307599066</v>
      </c>
      <c r="K129">
        <f t="shared" si="11"/>
        <v>0.61488071570524572</v>
      </c>
      <c r="L129">
        <f t="shared" si="12"/>
        <v>-0.60684443606997174</v>
      </c>
    </row>
    <row r="130" spans="1:12" x14ac:dyDescent="0.3">
      <c r="A130">
        <v>6.73</v>
      </c>
      <c r="B130">
        <f t="shared" ref="B130:B193" si="14">A130*200</f>
        <v>1346</v>
      </c>
      <c r="C130">
        <v>0.45100000000000001</v>
      </c>
      <c r="D130">
        <v>2.28426568210125E-2</v>
      </c>
      <c r="E130">
        <f t="shared" ref="E130:E193" si="15">B130</f>
        <v>1346</v>
      </c>
      <c r="F130">
        <f t="shared" ref="F130:F161" si="16">D130-0.0045</f>
        <v>1.83426568210125E-2</v>
      </c>
      <c r="I130">
        <f t="shared" ref="I130:I193" si="17">C130+(D130*A130)</f>
        <v>0.60473108040541412</v>
      </c>
      <c r="K130">
        <f t="shared" ref="K130:K193" si="18">I130+(F130*C130)</f>
        <v>0.61300361863169073</v>
      </c>
      <c r="L130">
        <f t="shared" ref="L130:L193" si="19">K130-$I$1</f>
        <v>-0.60872153314352673</v>
      </c>
    </row>
    <row r="131" spans="1:12" x14ac:dyDescent="0.3">
      <c r="A131">
        <v>6.78</v>
      </c>
      <c r="B131">
        <f t="shared" si="14"/>
        <v>1356</v>
      </c>
      <c r="C131">
        <v>0.44900000000000001</v>
      </c>
      <c r="D131">
        <v>2.3348214104771611E-2</v>
      </c>
      <c r="E131">
        <f t="shared" si="15"/>
        <v>1356</v>
      </c>
      <c r="F131">
        <f t="shared" si="16"/>
        <v>1.884821410477161E-2</v>
      </c>
      <c r="I131">
        <f t="shared" si="17"/>
        <v>0.6073008916303515</v>
      </c>
      <c r="K131">
        <f t="shared" si="18"/>
        <v>0.61576373976339394</v>
      </c>
      <c r="L131">
        <f t="shared" si="19"/>
        <v>-0.60596141201182352</v>
      </c>
    </row>
    <row r="132" spans="1:12" x14ac:dyDescent="0.3">
      <c r="A132">
        <v>6.83</v>
      </c>
      <c r="B132">
        <f t="shared" si="14"/>
        <v>1366</v>
      </c>
      <c r="C132">
        <v>0.44700000000000001</v>
      </c>
      <c r="D132">
        <v>2.255835197865963E-2</v>
      </c>
      <c r="E132">
        <f t="shared" si="15"/>
        <v>1366</v>
      </c>
      <c r="F132">
        <f t="shared" si="16"/>
        <v>1.8058351978659629E-2</v>
      </c>
      <c r="I132">
        <f t="shared" si="17"/>
        <v>0.60107354401424529</v>
      </c>
      <c r="K132">
        <f t="shared" si="18"/>
        <v>0.60914562734870614</v>
      </c>
      <c r="L132">
        <f t="shared" si="19"/>
        <v>-0.61257952442651131</v>
      </c>
    </row>
    <row r="133" spans="1:12" x14ac:dyDescent="0.3">
      <c r="A133">
        <v>6.88</v>
      </c>
      <c r="B133">
        <f t="shared" si="14"/>
        <v>1376</v>
      </c>
      <c r="C133">
        <v>0.44500000000000001</v>
      </c>
      <c r="D133">
        <v>2.312240190804005E-2</v>
      </c>
      <c r="E133">
        <f t="shared" si="15"/>
        <v>1376</v>
      </c>
      <c r="F133">
        <f t="shared" si="16"/>
        <v>1.862240190804005E-2</v>
      </c>
      <c r="I133">
        <f t="shared" si="17"/>
        <v>0.60408212512731552</v>
      </c>
      <c r="K133">
        <f t="shared" si="18"/>
        <v>0.61236909397639339</v>
      </c>
      <c r="L133">
        <f t="shared" si="19"/>
        <v>-0.60935605779882407</v>
      </c>
    </row>
    <row r="134" spans="1:12" x14ac:dyDescent="0.3">
      <c r="A134">
        <v>6.94</v>
      </c>
      <c r="B134">
        <f t="shared" si="14"/>
        <v>1388</v>
      </c>
      <c r="C134">
        <v>0.443</v>
      </c>
      <c r="D134">
        <v>2.2912666201591492E-2</v>
      </c>
      <c r="E134">
        <f t="shared" si="15"/>
        <v>1388</v>
      </c>
      <c r="F134">
        <f t="shared" si="16"/>
        <v>1.8412666201591491E-2</v>
      </c>
      <c r="I134">
        <f t="shared" si="17"/>
        <v>0.60201390343904493</v>
      </c>
      <c r="K134">
        <f t="shared" si="18"/>
        <v>0.61017071456634997</v>
      </c>
      <c r="L134">
        <f t="shared" si="19"/>
        <v>-0.61155443720886749</v>
      </c>
    </row>
    <row r="135" spans="1:12" x14ac:dyDescent="0.3">
      <c r="A135">
        <v>6.99</v>
      </c>
      <c r="B135">
        <f t="shared" si="14"/>
        <v>1398</v>
      </c>
      <c r="C135">
        <v>0.441</v>
      </c>
      <c r="D135">
        <v>2.3176034912466999E-2</v>
      </c>
      <c r="E135">
        <f t="shared" si="15"/>
        <v>1398</v>
      </c>
      <c r="F135">
        <f t="shared" si="16"/>
        <v>1.8676034912466999E-2</v>
      </c>
      <c r="I135">
        <f t="shared" si="17"/>
        <v>0.60300048403814432</v>
      </c>
      <c r="K135">
        <f t="shared" si="18"/>
        <v>0.61123661543454222</v>
      </c>
      <c r="L135">
        <f t="shared" si="19"/>
        <v>-0.61048853634067524</v>
      </c>
    </row>
    <row r="136" spans="1:12" x14ac:dyDescent="0.3">
      <c r="A136">
        <v>7.04</v>
      </c>
      <c r="B136">
        <f t="shared" si="14"/>
        <v>1408</v>
      </c>
      <c r="C136">
        <v>0.439</v>
      </c>
      <c r="D136">
        <v>2.292532101273537E-2</v>
      </c>
      <c r="E136">
        <f t="shared" si="15"/>
        <v>1408</v>
      </c>
      <c r="F136">
        <f t="shared" si="16"/>
        <v>1.842532101273537E-2</v>
      </c>
      <c r="I136">
        <f t="shared" si="17"/>
        <v>0.600394259929657</v>
      </c>
      <c r="K136">
        <f t="shared" si="18"/>
        <v>0.60848297585424782</v>
      </c>
      <c r="L136">
        <f t="shared" si="19"/>
        <v>-0.61324217592096963</v>
      </c>
    </row>
    <row r="137" spans="1:12" x14ac:dyDescent="0.3">
      <c r="A137">
        <v>7.09</v>
      </c>
      <c r="B137">
        <f t="shared" si="14"/>
        <v>1418</v>
      </c>
      <c r="C137">
        <v>0.437</v>
      </c>
      <c r="D137">
        <v>2.3279450833797451E-2</v>
      </c>
      <c r="E137">
        <f t="shared" si="15"/>
        <v>1418</v>
      </c>
      <c r="F137">
        <f t="shared" si="16"/>
        <v>1.8779450833797451E-2</v>
      </c>
      <c r="I137">
        <f t="shared" si="17"/>
        <v>0.60205130641162397</v>
      </c>
      <c r="K137">
        <f t="shared" si="18"/>
        <v>0.61025792642599341</v>
      </c>
      <c r="L137">
        <f t="shared" si="19"/>
        <v>-0.61146722534922404</v>
      </c>
    </row>
    <row r="138" spans="1:12" x14ac:dyDescent="0.3">
      <c r="A138">
        <v>7.15</v>
      </c>
      <c r="B138">
        <f t="shared" si="14"/>
        <v>1430</v>
      </c>
      <c r="C138">
        <v>0.434</v>
      </c>
      <c r="D138">
        <v>2.3136518895626072E-2</v>
      </c>
      <c r="E138">
        <f t="shared" si="15"/>
        <v>1430</v>
      </c>
      <c r="F138">
        <f t="shared" si="16"/>
        <v>1.8636518895626071E-2</v>
      </c>
      <c r="I138">
        <f t="shared" si="17"/>
        <v>0.59942611010372637</v>
      </c>
      <c r="K138">
        <f t="shared" si="18"/>
        <v>0.6075143593044281</v>
      </c>
      <c r="L138">
        <f t="shared" si="19"/>
        <v>-0.61421079247078936</v>
      </c>
    </row>
    <row r="139" spans="1:12" x14ac:dyDescent="0.3">
      <c r="A139">
        <v>7.2</v>
      </c>
      <c r="B139">
        <f t="shared" si="14"/>
        <v>1440</v>
      </c>
      <c r="C139">
        <v>0.432</v>
      </c>
      <c r="D139">
        <v>2.3596091195940971E-2</v>
      </c>
      <c r="E139">
        <f t="shared" si="15"/>
        <v>1440</v>
      </c>
      <c r="F139">
        <f t="shared" si="16"/>
        <v>1.9096091195940971E-2</v>
      </c>
      <c r="I139">
        <f t="shared" si="17"/>
        <v>0.60189185661077493</v>
      </c>
      <c r="K139">
        <f t="shared" si="18"/>
        <v>0.61014136800742147</v>
      </c>
      <c r="L139">
        <f t="shared" si="19"/>
        <v>-0.61158378376779599</v>
      </c>
    </row>
    <row r="140" spans="1:12" x14ac:dyDescent="0.3">
      <c r="A140">
        <v>7.25</v>
      </c>
      <c r="B140">
        <f t="shared" si="14"/>
        <v>1450</v>
      </c>
      <c r="C140">
        <v>0.43</v>
      </c>
      <c r="D140">
        <v>2.316553890705109E-2</v>
      </c>
      <c r="E140">
        <f t="shared" si="15"/>
        <v>1450</v>
      </c>
      <c r="F140">
        <f t="shared" si="16"/>
        <v>1.8665538907051089E-2</v>
      </c>
      <c r="I140">
        <f t="shared" si="17"/>
        <v>0.59795015707612043</v>
      </c>
      <c r="K140">
        <f t="shared" si="18"/>
        <v>0.60597633880615243</v>
      </c>
      <c r="L140">
        <f t="shared" si="19"/>
        <v>-0.61574881296906503</v>
      </c>
    </row>
    <row r="141" spans="1:12" x14ac:dyDescent="0.3">
      <c r="A141">
        <v>7.31</v>
      </c>
      <c r="B141">
        <f t="shared" si="14"/>
        <v>1462</v>
      </c>
      <c r="C141">
        <v>0.42799999999999999</v>
      </c>
      <c r="D141">
        <v>2.4038000032305721E-2</v>
      </c>
      <c r="E141">
        <f t="shared" si="15"/>
        <v>1462</v>
      </c>
      <c r="F141">
        <f t="shared" si="16"/>
        <v>1.953800003230572E-2</v>
      </c>
      <c r="I141">
        <f t="shared" si="17"/>
        <v>0.60371778023615486</v>
      </c>
      <c r="K141">
        <f t="shared" si="18"/>
        <v>0.61208004424998175</v>
      </c>
      <c r="L141">
        <f t="shared" si="19"/>
        <v>-0.60964510752523571</v>
      </c>
    </row>
    <row r="142" spans="1:12" x14ac:dyDescent="0.3">
      <c r="A142">
        <v>7.36</v>
      </c>
      <c r="B142">
        <f t="shared" si="14"/>
        <v>1472</v>
      </c>
      <c r="C142">
        <v>0.42599999999999999</v>
      </c>
      <c r="D142">
        <v>2.2874869406223301E-2</v>
      </c>
      <c r="E142">
        <f t="shared" si="15"/>
        <v>1472</v>
      </c>
      <c r="F142">
        <f t="shared" si="16"/>
        <v>1.83748694062233E-2</v>
      </c>
      <c r="I142">
        <f t="shared" si="17"/>
        <v>0.59435903882980345</v>
      </c>
      <c r="K142">
        <f t="shared" si="18"/>
        <v>0.60218673319685456</v>
      </c>
      <c r="L142">
        <f t="shared" si="19"/>
        <v>-0.61953841857836289</v>
      </c>
    </row>
    <row r="143" spans="1:12" x14ac:dyDescent="0.3">
      <c r="A143">
        <v>7.41</v>
      </c>
      <c r="B143">
        <f t="shared" si="14"/>
        <v>1482</v>
      </c>
      <c r="C143">
        <v>0.42399999999999999</v>
      </c>
      <c r="D143">
        <v>2.321753092110157E-2</v>
      </c>
      <c r="E143">
        <f t="shared" si="15"/>
        <v>1482</v>
      </c>
      <c r="F143">
        <f t="shared" si="16"/>
        <v>1.871753092110157E-2</v>
      </c>
      <c r="I143">
        <f t="shared" si="17"/>
        <v>0.59604190412536262</v>
      </c>
      <c r="K143">
        <f t="shared" si="18"/>
        <v>0.60397813723590965</v>
      </c>
      <c r="L143">
        <f t="shared" si="19"/>
        <v>-0.6177470145393078</v>
      </c>
    </row>
    <row r="144" spans="1:12" x14ac:dyDescent="0.3">
      <c r="A144">
        <v>7.46</v>
      </c>
      <c r="B144">
        <f t="shared" si="14"/>
        <v>1492</v>
      </c>
      <c r="C144">
        <v>0.42199999999999999</v>
      </c>
      <c r="D144">
        <v>2.334983088076115E-2</v>
      </c>
      <c r="E144">
        <f t="shared" si="15"/>
        <v>1492</v>
      </c>
      <c r="F144">
        <f t="shared" si="16"/>
        <v>1.8849830880761149E-2</v>
      </c>
      <c r="I144">
        <f t="shared" si="17"/>
        <v>0.59618973837047817</v>
      </c>
      <c r="K144">
        <f t="shared" si="18"/>
        <v>0.60414436700215934</v>
      </c>
      <c r="L144">
        <f t="shared" si="19"/>
        <v>-0.61758078477305811</v>
      </c>
    </row>
    <row r="145" spans="1:12" x14ac:dyDescent="0.3">
      <c r="A145">
        <v>7.52</v>
      </c>
      <c r="B145">
        <f t="shared" si="14"/>
        <v>1504</v>
      </c>
      <c r="C145">
        <v>0.42</v>
      </c>
      <c r="D145">
        <v>2.3089613765478131E-2</v>
      </c>
      <c r="E145">
        <f t="shared" si="15"/>
        <v>1504</v>
      </c>
      <c r="F145">
        <f t="shared" si="16"/>
        <v>1.858961376547813E-2</v>
      </c>
      <c r="I145">
        <f t="shared" si="17"/>
        <v>0.59363389551639556</v>
      </c>
      <c r="K145">
        <f t="shared" si="18"/>
        <v>0.6014415332978964</v>
      </c>
      <c r="L145">
        <f t="shared" si="19"/>
        <v>-0.62028361847732105</v>
      </c>
    </row>
    <row r="146" spans="1:12" x14ac:dyDescent="0.3">
      <c r="A146">
        <v>7.57</v>
      </c>
      <c r="B146">
        <f t="shared" si="14"/>
        <v>1514</v>
      </c>
      <c r="C146">
        <v>0.41799999999999998</v>
      </c>
      <c r="D146">
        <v>2.4445373564958569E-2</v>
      </c>
      <c r="E146">
        <f t="shared" si="15"/>
        <v>1514</v>
      </c>
      <c r="F146">
        <f t="shared" si="16"/>
        <v>1.9945373564958568E-2</v>
      </c>
      <c r="I146">
        <f t="shared" si="17"/>
        <v>0.60305147788673641</v>
      </c>
      <c r="K146">
        <f t="shared" si="18"/>
        <v>0.61138864403688908</v>
      </c>
      <c r="L146">
        <f t="shared" si="19"/>
        <v>-0.61033650773832837</v>
      </c>
    </row>
    <row r="147" spans="1:12" x14ac:dyDescent="0.3">
      <c r="A147">
        <v>7.62</v>
      </c>
      <c r="B147">
        <f t="shared" si="14"/>
        <v>1524</v>
      </c>
      <c r="C147">
        <v>0.41599999999999998</v>
      </c>
      <c r="D147">
        <v>2.307135425508022E-2</v>
      </c>
      <c r="E147">
        <f t="shared" si="15"/>
        <v>1524</v>
      </c>
      <c r="F147">
        <f t="shared" si="16"/>
        <v>1.8571354255080219E-2</v>
      </c>
      <c r="I147">
        <f t="shared" si="17"/>
        <v>0.59180371942371124</v>
      </c>
      <c r="K147">
        <f t="shared" si="18"/>
        <v>0.59952940279382461</v>
      </c>
      <c r="L147">
        <f t="shared" si="19"/>
        <v>-0.62219574898139285</v>
      </c>
    </row>
    <row r="148" spans="1:12" x14ac:dyDescent="0.3">
      <c r="A148">
        <v>7.67</v>
      </c>
      <c r="B148">
        <f t="shared" si="14"/>
        <v>1534</v>
      </c>
      <c r="C148">
        <v>0.41299999999999998</v>
      </c>
      <c r="D148">
        <v>2.379290014505386E-2</v>
      </c>
      <c r="E148">
        <f t="shared" si="15"/>
        <v>1534</v>
      </c>
      <c r="F148">
        <f t="shared" si="16"/>
        <v>1.929290014505386E-2</v>
      </c>
      <c r="I148">
        <f t="shared" si="17"/>
        <v>0.59549154411256311</v>
      </c>
      <c r="K148">
        <f t="shared" si="18"/>
        <v>0.60345951187247038</v>
      </c>
      <c r="L148">
        <f t="shared" si="19"/>
        <v>-0.61826563990274708</v>
      </c>
    </row>
    <row r="149" spans="1:12" x14ac:dyDescent="0.3">
      <c r="A149">
        <v>7.72</v>
      </c>
      <c r="B149">
        <f t="shared" si="14"/>
        <v>1544</v>
      </c>
      <c r="C149">
        <v>0.41099999999999998</v>
      </c>
      <c r="D149">
        <v>2.3416850715875629E-2</v>
      </c>
      <c r="E149">
        <f t="shared" si="15"/>
        <v>1544</v>
      </c>
      <c r="F149">
        <f t="shared" si="16"/>
        <v>1.8916850715875629E-2</v>
      </c>
      <c r="I149">
        <f t="shared" si="17"/>
        <v>0.5917780875265598</v>
      </c>
      <c r="K149">
        <f t="shared" si="18"/>
        <v>0.59955291317078474</v>
      </c>
      <c r="L149">
        <f t="shared" si="19"/>
        <v>-0.62217223860443271</v>
      </c>
    </row>
    <row r="150" spans="1:12" x14ac:dyDescent="0.3">
      <c r="A150">
        <v>7.77</v>
      </c>
      <c r="B150">
        <f t="shared" si="14"/>
        <v>1554</v>
      </c>
      <c r="C150">
        <v>0.40899999999999997</v>
      </c>
      <c r="D150">
        <v>2.3439330980181691E-2</v>
      </c>
      <c r="E150">
        <f t="shared" si="15"/>
        <v>1554</v>
      </c>
      <c r="F150">
        <f t="shared" si="16"/>
        <v>1.893933098018169E-2</v>
      </c>
      <c r="I150">
        <f t="shared" si="17"/>
        <v>0.59112360171601175</v>
      </c>
      <c r="K150">
        <f t="shared" si="18"/>
        <v>0.59886978808690605</v>
      </c>
      <c r="L150">
        <f t="shared" si="19"/>
        <v>-0.6228553636883114</v>
      </c>
    </row>
    <row r="151" spans="1:12" x14ac:dyDescent="0.3">
      <c r="A151">
        <v>7.82</v>
      </c>
      <c r="B151">
        <f t="shared" si="14"/>
        <v>1564</v>
      </c>
      <c r="C151">
        <v>0.40699999999999997</v>
      </c>
      <c r="D151">
        <v>2.3617656901478771E-2</v>
      </c>
      <c r="E151">
        <f t="shared" si="15"/>
        <v>1564</v>
      </c>
      <c r="F151">
        <f t="shared" si="16"/>
        <v>1.911765690147877E-2</v>
      </c>
      <c r="I151">
        <f t="shared" si="17"/>
        <v>0.59169007696956399</v>
      </c>
      <c r="K151">
        <f t="shared" si="18"/>
        <v>0.59947096332846583</v>
      </c>
      <c r="L151">
        <f t="shared" si="19"/>
        <v>-0.62225418844675162</v>
      </c>
    </row>
    <row r="152" spans="1:12" x14ac:dyDescent="0.3">
      <c r="A152">
        <v>7.87</v>
      </c>
      <c r="B152">
        <f t="shared" si="14"/>
        <v>1574</v>
      </c>
      <c r="C152">
        <v>0.40500000000000003</v>
      </c>
      <c r="D152">
        <v>2.4122841656208038E-2</v>
      </c>
      <c r="E152">
        <f t="shared" si="15"/>
        <v>1574</v>
      </c>
      <c r="F152">
        <f t="shared" si="16"/>
        <v>1.9622841656208038E-2</v>
      </c>
      <c r="I152">
        <f t="shared" si="17"/>
        <v>0.59484676383435731</v>
      </c>
      <c r="K152">
        <f t="shared" si="18"/>
        <v>0.60279401470512162</v>
      </c>
      <c r="L152">
        <f t="shared" si="19"/>
        <v>-0.61893113707009584</v>
      </c>
    </row>
    <row r="153" spans="1:12" x14ac:dyDescent="0.3">
      <c r="A153">
        <v>7.92</v>
      </c>
      <c r="B153">
        <f t="shared" si="14"/>
        <v>1584</v>
      </c>
      <c r="C153">
        <v>0.40300000000000002</v>
      </c>
      <c r="D153">
        <v>2.3679986596107479E-2</v>
      </c>
      <c r="E153">
        <f t="shared" si="15"/>
        <v>1584</v>
      </c>
      <c r="F153">
        <f t="shared" si="16"/>
        <v>1.9179986596107479E-2</v>
      </c>
      <c r="I153">
        <f t="shared" si="17"/>
        <v>0.59054549384117128</v>
      </c>
      <c r="K153">
        <f t="shared" si="18"/>
        <v>0.59827502843940261</v>
      </c>
      <c r="L153">
        <f t="shared" si="19"/>
        <v>-0.62345012333581484</v>
      </c>
    </row>
    <row r="154" spans="1:12" x14ac:dyDescent="0.3">
      <c r="A154">
        <v>7.98</v>
      </c>
      <c r="B154">
        <f t="shared" si="14"/>
        <v>1596</v>
      </c>
      <c r="C154">
        <v>0.40100000000000002</v>
      </c>
      <c r="D154">
        <v>2.3782368749380112E-2</v>
      </c>
      <c r="E154">
        <f t="shared" si="15"/>
        <v>1596</v>
      </c>
      <c r="F154">
        <f t="shared" si="16"/>
        <v>1.9282368749380111E-2</v>
      </c>
      <c r="I154">
        <f t="shared" si="17"/>
        <v>0.5907833026200533</v>
      </c>
      <c r="K154">
        <f t="shared" si="18"/>
        <v>0.59851553248855471</v>
      </c>
      <c r="L154">
        <f t="shared" si="19"/>
        <v>-0.62320961928666274</v>
      </c>
    </row>
    <row r="155" spans="1:12" x14ac:dyDescent="0.3">
      <c r="A155">
        <v>8.0299999999999994</v>
      </c>
      <c r="B155">
        <f t="shared" si="14"/>
        <v>1605.9999999999998</v>
      </c>
      <c r="C155">
        <v>0.39900000000000002</v>
      </c>
      <c r="D155">
        <v>2.3811902850866321E-2</v>
      </c>
      <c r="E155">
        <f t="shared" si="15"/>
        <v>1605.9999999999998</v>
      </c>
      <c r="F155">
        <f t="shared" si="16"/>
        <v>1.9311902850866321E-2</v>
      </c>
      <c r="I155">
        <f t="shared" si="17"/>
        <v>0.59020957989245659</v>
      </c>
      <c r="K155">
        <f t="shared" si="18"/>
        <v>0.5979150291299522</v>
      </c>
      <c r="L155">
        <f t="shared" si="19"/>
        <v>-0.62381012264526525</v>
      </c>
    </row>
    <row r="156" spans="1:12" x14ac:dyDescent="0.3">
      <c r="A156">
        <v>8.08</v>
      </c>
      <c r="B156">
        <f t="shared" si="14"/>
        <v>1616</v>
      </c>
      <c r="C156">
        <v>0.39700000000000002</v>
      </c>
      <c r="D156">
        <v>2.3356638848781589E-2</v>
      </c>
      <c r="E156">
        <f t="shared" si="15"/>
        <v>1616</v>
      </c>
      <c r="F156">
        <f t="shared" si="16"/>
        <v>1.8856638848781589E-2</v>
      </c>
      <c r="I156">
        <f t="shared" si="17"/>
        <v>0.58572164189815523</v>
      </c>
      <c r="K156">
        <f t="shared" si="18"/>
        <v>0.5932077275211215</v>
      </c>
      <c r="L156">
        <f t="shared" si="19"/>
        <v>-0.62851742425409596</v>
      </c>
    </row>
    <row r="157" spans="1:12" x14ac:dyDescent="0.3">
      <c r="A157">
        <v>8.1300000000000008</v>
      </c>
      <c r="B157">
        <f t="shared" si="14"/>
        <v>1626.0000000000002</v>
      </c>
      <c r="C157">
        <v>0.39500000000000002</v>
      </c>
      <c r="D157">
        <v>2.376625686883926E-2</v>
      </c>
      <c r="E157">
        <f t="shared" si="15"/>
        <v>1626.0000000000002</v>
      </c>
      <c r="F157">
        <f t="shared" si="16"/>
        <v>1.926625686883926E-2</v>
      </c>
      <c r="I157">
        <f t="shared" si="17"/>
        <v>0.58821966834366324</v>
      </c>
      <c r="K157">
        <f t="shared" si="18"/>
        <v>0.59582983980685478</v>
      </c>
      <c r="L157">
        <f t="shared" si="19"/>
        <v>-0.62589531196836268</v>
      </c>
    </row>
    <row r="158" spans="1:12" x14ac:dyDescent="0.3">
      <c r="A158">
        <v>8.18</v>
      </c>
      <c r="B158">
        <f t="shared" si="14"/>
        <v>1636</v>
      </c>
      <c r="C158">
        <v>0.39300000000000002</v>
      </c>
      <c r="D158">
        <v>2.3481503129005429E-2</v>
      </c>
      <c r="E158">
        <f t="shared" si="15"/>
        <v>1636</v>
      </c>
      <c r="F158">
        <f t="shared" si="16"/>
        <v>1.8981503129005428E-2</v>
      </c>
      <c r="I158">
        <f t="shared" si="17"/>
        <v>0.58507869559526438</v>
      </c>
      <c r="K158">
        <f t="shared" si="18"/>
        <v>0.59253842632496356</v>
      </c>
      <c r="L158">
        <f t="shared" si="19"/>
        <v>-0.62918672545025389</v>
      </c>
    </row>
    <row r="159" spans="1:12" x14ac:dyDescent="0.3">
      <c r="A159">
        <v>8.23</v>
      </c>
      <c r="B159">
        <f t="shared" si="14"/>
        <v>1646</v>
      </c>
      <c r="C159">
        <v>0.39</v>
      </c>
      <c r="D159">
        <v>2.421257458627224E-2</v>
      </c>
      <c r="E159">
        <f t="shared" si="15"/>
        <v>1646</v>
      </c>
      <c r="F159">
        <f t="shared" si="16"/>
        <v>1.9712574586272239E-2</v>
      </c>
      <c r="I159">
        <f t="shared" si="17"/>
        <v>0.58926948884502051</v>
      </c>
      <c r="K159">
        <f t="shared" si="18"/>
        <v>0.59695739293366668</v>
      </c>
      <c r="L159">
        <f t="shared" si="19"/>
        <v>-0.62476775884155078</v>
      </c>
    </row>
    <row r="160" spans="1:12" x14ac:dyDescent="0.3">
      <c r="A160">
        <v>8.2799999999999994</v>
      </c>
      <c r="B160">
        <f t="shared" si="14"/>
        <v>1655.9999999999998</v>
      </c>
      <c r="C160">
        <v>0.38800000000000001</v>
      </c>
      <c r="D160">
        <v>2.3381641134619709E-2</v>
      </c>
      <c r="E160">
        <f t="shared" si="15"/>
        <v>1655.9999999999998</v>
      </c>
      <c r="F160">
        <f t="shared" si="16"/>
        <v>1.8881641134619709E-2</v>
      </c>
      <c r="I160">
        <f t="shared" si="17"/>
        <v>0.58159998859465123</v>
      </c>
      <c r="K160">
        <f t="shared" si="18"/>
        <v>0.58892606535488368</v>
      </c>
      <c r="L160">
        <f t="shared" si="19"/>
        <v>-0.63279908642033378</v>
      </c>
    </row>
    <row r="161" spans="1:12" x14ac:dyDescent="0.3">
      <c r="A161">
        <v>8.34</v>
      </c>
      <c r="B161">
        <f t="shared" si="14"/>
        <v>1668</v>
      </c>
      <c r="C161">
        <v>0.38600000000000001</v>
      </c>
      <c r="D161">
        <v>2.4179680272936821E-2</v>
      </c>
      <c r="E161">
        <f t="shared" si="15"/>
        <v>1668</v>
      </c>
      <c r="F161">
        <f t="shared" si="16"/>
        <v>1.967968027293682E-2</v>
      </c>
      <c r="I161">
        <f t="shared" si="17"/>
        <v>0.58765853347629315</v>
      </c>
      <c r="K161">
        <f t="shared" si="18"/>
        <v>0.59525489006164678</v>
      </c>
      <c r="L161">
        <f t="shared" si="19"/>
        <v>-0.62647026171357068</v>
      </c>
    </row>
    <row r="162" spans="1:12" x14ac:dyDescent="0.3">
      <c r="A162">
        <v>8.39</v>
      </c>
      <c r="B162">
        <f t="shared" si="14"/>
        <v>1678</v>
      </c>
      <c r="C162">
        <v>0.38400000000000001</v>
      </c>
      <c r="D162">
        <v>2.3598005995154381E-2</v>
      </c>
      <c r="E162">
        <f t="shared" si="15"/>
        <v>1678</v>
      </c>
      <c r="F162">
        <f t="shared" ref="F162:F195" si="20">D162-0.0045</f>
        <v>1.909800599515438E-2</v>
      </c>
      <c r="I162">
        <f t="shared" si="17"/>
        <v>0.58198727029934527</v>
      </c>
      <c r="K162">
        <f t="shared" si="18"/>
        <v>0.58932090460148456</v>
      </c>
      <c r="L162">
        <f t="shared" si="19"/>
        <v>-0.63240424717373289</v>
      </c>
    </row>
    <row r="163" spans="1:12" x14ac:dyDescent="0.3">
      <c r="A163">
        <v>8.44</v>
      </c>
      <c r="B163">
        <f t="shared" si="14"/>
        <v>1688</v>
      </c>
      <c r="C163">
        <v>0.38200000000000001</v>
      </c>
      <c r="D163">
        <v>2.405710332095623E-2</v>
      </c>
      <c r="E163">
        <f t="shared" si="15"/>
        <v>1688</v>
      </c>
      <c r="F163">
        <f t="shared" si="20"/>
        <v>1.955710332095623E-2</v>
      </c>
      <c r="I163">
        <f t="shared" si="17"/>
        <v>0.58504195202887055</v>
      </c>
      <c r="K163">
        <f t="shared" si="18"/>
        <v>0.59251276549747578</v>
      </c>
      <c r="L163">
        <f t="shared" si="19"/>
        <v>-0.62921238627774168</v>
      </c>
    </row>
    <row r="164" spans="1:12" x14ac:dyDescent="0.3">
      <c r="A164">
        <v>8.49</v>
      </c>
      <c r="B164">
        <f t="shared" si="14"/>
        <v>1698</v>
      </c>
      <c r="C164">
        <v>0.38</v>
      </c>
      <c r="D164">
        <v>2.362007275223732E-2</v>
      </c>
      <c r="E164">
        <f t="shared" si="15"/>
        <v>1698</v>
      </c>
      <c r="F164">
        <f t="shared" si="20"/>
        <v>1.9120072752237319E-2</v>
      </c>
      <c r="I164">
        <f t="shared" si="17"/>
        <v>0.58053441766649483</v>
      </c>
      <c r="K164">
        <f t="shared" si="18"/>
        <v>0.58780004531234498</v>
      </c>
      <c r="L164">
        <f t="shared" si="19"/>
        <v>-0.63392510646287248</v>
      </c>
    </row>
    <row r="165" spans="1:12" x14ac:dyDescent="0.3">
      <c r="A165">
        <v>8.5500000000000007</v>
      </c>
      <c r="B165">
        <f t="shared" si="14"/>
        <v>1710.0000000000002</v>
      </c>
      <c r="C165">
        <v>0.378</v>
      </c>
      <c r="D165">
        <v>2.441132627427578E-2</v>
      </c>
      <c r="E165">
        <f t="shared" si="15"/>
        <v>1710.0000000000002</v>
      </c>
      <c r="F165">
        <f t="shared" si="20"/>
        <v>1.9911326274275779E-2</v>
      </c>
      <c r="I165">
        <f t="shared" si="17"/>
        <v>0.58671683964505794</v>
      </c>
      <c r="K165">
        <f t="shared" si="18"/>
        <v>0.59424332097673416</v>
      </c>
      <c r="L165">
        <f t="shared" si="19"/>
        <v>-0.6274818307984833</v>
      </c>
    </row>
    <row r="166" spans="1:12" x14ac:dyDescent="0.3">
      <c r="A166">
        <v>8.6</v>
      </c>
      <c r="B166">
        <f t="shared" si="14"/>
        <v>1720</v>
      </c>
      <c r="C166">
        <v>0.375</v>
      </c>
      <c r="D166">
        <v>2.3775476962327961E-2</v>
      </c>
      <c r="E166">
        <f t="shared" si="15"/>
        <v>1720</v>
      </c>
      <c r="F166">
        <f t="shared" si="20"/>
        <v>1.927547696232796E-2</v>
      </c>
      <c r="I166">
        <f t="shared" si="17"/>
        <v>0.57946910187602052</v>
      </c>
      <c r="K166">
        <f t="shared" si="18"/>
        <v>0.58669740573689355</v>
      </c>
      <c r="L166">
        <f t="shared" si="19"/>
        <v>-0.6350277460383239</v>
      </c>
    </row>
    <row r="167" spans="1:12" x14ac:dyDescent="0.3">
      <c r="A167">
        <v>8.65</v>
      </c>
      <c r="B167">
        <f t="shared" si="14"/>
        <v>1730</v>
      </c>
      <c r="C167">
        <v>0.373</v>
      </c>
      <c r="D167">
        <v>2.4246145039796829E-2</v>
      </c>
      <c r="E167">
        <f t="shared" si="15"/>
        <v>1730</v>
      </c>
      <c r="F167">
        <f t="shared" si="20"/>
        <v>1.9746145039796829E-2</v>
      </c>
      <c r="I167">
        <f t="shared" si="17"/>
        <v>0.58272915459424257</v>
      </c>
      <c r="K167">
        <f t="shared" si="18"/>
        <v>0.59009446669408683</v>
      </c>
      <c r="L167">
        <f t="shared" si="19"/>
        <v>-0.63163068508113063</v>
      </c>
    </row>
    <row r="168" spans="1:12" x14ac:dyDescent="0.3">
      <c r="A168">
        <v>8.7100000000000009</v>
      </c>
      <c r="B168">
        <f t="shared" si="14"/>
        <v>1742.0000000000002</v>
      </c>
      <c r="C168">
        <v>0.371</v>
      </c>
      <c r="D168">
        <v>2.3945005610585209E-2</v>
      </c>
      <c r="E168">
        <f t="shared" si="15"/>
        <v>1742.0000000000002</v>
      </c>
      <c r="F168">
        <f t="shared" si="20"/>
        <v>1.9445005610585209E-2</v>
      </c>
      <c r="I168">
        <f t="shared" si="17"/>
        <v>0.57956099886819723</v>
      </c>
      <c r="K168">
        <f t="shared" si="18"/>
        <v>0.58677509594972432</v>
      </c>
      <c r="L168">
        <f t="shared" si="19"/>
        <v>-0.63495005582549313</v>
      </c>
    </row>
    <row r="169" spans="1:12" x14ac:dyDescent="0.3">
      <c r="A169">
        <v>8.76</v>
      </c>
      <c r="B169">
        <f t="shared" si="14"/>
        <v>1752</v>
      </c>
      <c r="C169">
        <v>0.36899999999999999</v>
      </c>
      <c r="D169">
        <v>2.4068757891654972E-2</v>
      </c>
      <c r="E169">
        <f t="shared" si="15"/>
        <v>1752</v>
      </c>
      <c r="F169">
        <f t="shared" si="20"/>
        <v>1.9568757891654971E-2</v>
      </c>
      <c r="I169">
        <f t="shared" si="17"/>
        <v>0.57984231913089757</v>
      </c>
      <c r="K169">
        <f t="shared" si="18"/>
        <v>0.58706319079291824</v>
      </c>
      <c r="L169">
        <f t="shared" si="19"/>
        <v>-0.63466196098229921</v>
      </c>
    </row>
    <row r="170" spans="1:12" x14ac:dyDescent="0.3">
      <c r="A170">
        <v>8.81</v>
      </c>
      <c r="B170">
        <f t="shared" si="14"/>
        <v>1762</v>
      </c>
      <c r="C170">
        <v>0.36699999999999999</v>
      </c>
      <c r="D170">
        <v>2.440095134079456E-2</v>
      </c>
      <c r="E170">
        <f t="shared" si="15"/>
        <v>1762</v>
      </c>
      <c r="F170">
        <f t="shared" si="20"/>
        <v>1.9900951340794559E-2</v>
      </c>
      <c r="I170">
        <f t="shared" si="17"/>
        <v>0.58197238131240003</v>
      </c>
      <c r="K170">
        <f t="shared" si="18"/>
        <v>0.58927603045447163</v>
      </c>
      <c r="L170">
        <f t="shared" si="19"/>
        <v>-0.63244912132074582</v>
      </c>
    </row>
    <row r="171" spans="1:12" x14ac:dyDescent="0.3">
      <c r="A171">
        <v>8.8699999999999992</v>
      </c>
      <c r="B171">
        <f t="shared" si="14"/>
        <v>1773.9999999999998</v>
      </c>
      <c r="C171">
        <v>0.36499999999999999</v>
      </c>
      <c r="D171">
        <v>2.4340275675058361E-2</v>
      </c>
      <c r="E171">
        <f t="shared" si="15"/>
        <v>1773.9999999999998</v>
      </c>
      <c r="F171">
        <f t="shared" si="20"/>
        <v>1.9840275675058361E-2</v>
      </c>
      <c r="I171">
        <f t="shared" si="17"/>
        <v>0.58089824523776767</v>
      </c>
      <c r="K171">
        <f t="shared" si="18"/>
        <v>0.58813994585916396</v>
      </c>
      <c r="L171">
        <f t="shared" si="19"/>
        <v>-0.6335852059160535</v>
      </c>
    </row>
    <row r="172" spans="1:12" x14ac:dyDescent="0.3">
      <c r="A172">
        <v>8.92</v>
      </c>
      <c r="B172">
        <f t="shared" si="14"/>
        <v>1784</v>
      </c>
      <c r="C172">
        <v>0.36199999999999999</v>
      </c>
      <c r="D172">
        <v>2.376594208180904E-2</v>
      </c>
      <c r="E172">
        <f t="shared" si="15"/>
        <v>1784</v>
      </c>
      <c r="F172">
        <f t="shared" si="20"/>
        <v>1.926594208180904E-2</v>
      </c>
      <c r="I172">
        <f t="shared" si="17"/>
        <v>0.57399220336973666</v>
      </c>
      <c r="K172">
        <f t="shared" si="18"/>
        <v>0.58096647440335158</v>
      </c>
      <c r="L172">
        <f t="shared" si="19"/>
        <v>-0.64075867737186587</v>
      </c>
    </row>
    <row r="173" spans="1:12" x14ac:dyDescent="0.3">
      <c r="A173">
        <v>8.9700000000000006</v>
      </c>
      <c r="B173">
        <f t="shared" si="14"/>
        <v>1794.0000000000002</v>
      </c>
      <c r="C173">
        <v>0.36099999999999999</v>
      </c>
      <c r="D173">
        <v>2.4312430992722511E-2</v>
      </c>
      <c r="E173">
        <f t="shared" si="15"/>
        <v>1794.0000000000002</v>
      </c>
      <c r="F173">
        <f t="shared" si="20"/>
        <v>1.9812430992722511E-2</v>
      </c>
      <c r="I173">
        <f t="shared" si="17"/>
        <v>0.57908250600472089</v>
      </c>
      <c r="K173">
        <f t="shared" si="18"/>
        <v>0.58623479359309372</v>
      </c>
      <c r="L173">
        <f t="shared" si="19"/>
        <v>-0.63549035818212374</v>
      </c>
    </row>
    <row r="174" spans="1:12" x14ac:dyDescent="0.3">
      <c r="A174">
        <v>9.02</v>
      </c>
      <c r="B174">
        <f t="shared" si="14"/>
        <v>1804</v>
      </c>
      <c r="C174">
        <v>0.35799999999999998</v>
      </c>
      <c r="D174">
        <v>2.424491569399834E-2</v>
      </c>
      <c r="E174">
        <f t="shared" si="15"/>
        <v>1804</v>
      </c>
      <c r="F174">
        <f t="shared" si="20"/>
        <v>1.974491569399834E-2</v>
      </c>
      <c r="I174">
        <f t="shared" si="17"/>
        <v>0.576689139559865</v>
      </c>
      <c r="K174">
        <f t="shared" si="18"/>
        <v>0.58375781937831639</v>
      </c>
      <c r="L174">
        <f t="shared" si="19"/>
        <v>-0.63796733239690107</v>
      </c>
    </row>
    <row r="175" spans="1:12" x14ac:dyDescent="0.3">
      <c r="A175">
        <v>9.07</v>
      </c>
      <c r="B175">
        <f t="shared" si="14"/>
        <v>1814</v>
      </c>
      <c r="C175">
        <v>0.35599999999999998</v>
      </c>
      <c r="D175">
        <v>2.4329442530870441E-2</v>
      </c>
      <c r="E175">
        <f t="shared" si="15"/>
        <v>1814</v>
      </c>
      <c r="F175">
        <f t="shared" si="20"/>
        <v>1.9829442530870441E-2</v>
      </c>
      <c r="I175">
        <f t="shared" si="17"/>
        <v>0.57666804375499492</v>
      </c>
      <c r="K175">
        <f t="shared" si="18"/>
        <v>0.58372732529598481</v>
      </c>
      <c r="L175">
        <f t="shared" si="19"/>
        <v>-0.63799782647923264</v>
      </c>
    </row>
    <row r="176" spans="1:12" x14ac:dyDescent="0.3">
      <c r="A176">
        <v>9.1199999999999992</v>
      </c>
      <c r="B176">
        <f t="shared" si="14"/>
        <v>1823.9999999999998</v>
      </c>
      <c r="C176">
        <v>0.35399999999999998</v>
      </c>
      <c r="D176">
        <v>2.473657205700874E-2</v>
      </c>
      <c r="E176">
        <f t="shared" si="15"/>
        <v>1823.9999999999998</v>
      </c>
      <c r="F176">
        <f t="shared" si="20"/>
        <v>2.0236572057008739E-2</v>
      </c>
      <c r="I176">
        <f t="shared" si="17"/>
        <v>0.57959753715991968</v>
      </c>
      <c r="K176">
        <f t="shared" si="18"/>
        <v>0.58676128366810076</v>
      </c>
      <c r="L176">
        <f t="shared" si="19"/>
        <v>-0.63496386810711669</v>
      </c>
    </row>
    <row r="177" spans="1:12" x14ac:dyDescent="0.3">
      <c r="A177">
        <v>9.17</v>
      </c>
      <c r="B177">
        <f t="shared" si="14"/>
        <v>1834</v>
      </c>
      <c r="C177">
        <v>0.35199999999999998</v>
      </c>
      <c r="D177">
        <v>2.427547425031662E-2</v>
      </c>
      <c r="E177">
        <f t="shared" si="15"/>
        <v>1834</v>
      </c>
      <c r="F177">
        <f t="shared" si="20"/>
        <v>1.9775474250316619E-2</v>
      </c>
      <c r="I177">
        <f t="shared" si="17"/>
        <v>0.57460609887540337</v>
      </c>
      <c r="K177">
        <f t="shared" si="18"/>
        <v>0.58156706581151485</v>
      </c>
      <c r="L177">
        <f t="shared" si="19"/>
        <v>-0.64015808596370261</v>
      </c>
    </row>
    <row r="178" spans="1:12" x14ac:dyDescent="0.3">
      <c r="A178">
        <v>9.2200000000000006</v>
      </c>
      <c r="B178">
        <f t="shared" si="14"/>
        <v>1844.0000000000002</v>
      </c>
      <c r="C178">
        <v>0.35</v>
      </c>
      <c r="D178">
        <v>2.4188827723264691E-2</v>
      </c>
      <c r="E178">
        <f t="shared" si="15"/>
        <v>1844.0000000000002</v>
      </c>
      <c r="F178">
        <f t="shared" si="20"/>
        <v>1.968882772326469E-2</v>
      </c>
      <c r="I178">
        <f t="shared" si="17"/>
        <v>0.57302099160850051</v>
      </c>
      <c r="K178">
        <f t="shared" si="18"/>
        <v>0.57991208131164318</v>
      </c>
      <c r="L178">
        <f t="shared" si="19"/>
        <v>-0.64181307046357428</v>
      </c>
    </row>
    <row r="179" spans="1:12" x14ac:dyDescent="0.3">
      <c r="A179">
        <v>9.2799999999999994</v>
      </c>
      <c r="B179">
        <f t="shared" si="14"/>
        <v>1855.9999999999998</v>
      </c>
      <c r="C179">
        <v>0.34799999999999998</v>
      </c>
      <c r="D179">
        <v>2.4591587483882901E-2</v>
      </c>
      <c r="E179">
        <f t="shared" si="15"/>
        <v>1855.9999999999998</v>
      </c>
      <c r="F179">
        <f t="shared" si="20"/>
        <v>2.00915874838829E-2</v>
      </c>
      <c r="I179">
        <f t="shared" si="17"/>
        <v>0.57620993185043323</v>
      </c>
      <c r="K179">
        <f t="shared" si="18"/>
        <v>0.58320180429482449</v>
      </c>
      <c r="L179">
        <f t="shared" si="19"/>
        <v>-0.63852334748039297</v>
      </c>
    </row>
    <row r="180" spans="1:12" x14ac:dyDescent="0.3">
      <c r="A180">
        <v>9.33</v>
      </c>
      <c r="B180">
        <f t="shared" si="14"/>
        <v>1866</v>
      </c>
      <c r="C180">
        <v>0.34599999999999997</v>
      </c>
      <c r="D180">
        <v>2.4872282519936562E-2</v>
      </c>
      <c r="E180">
        <f t="shared" si="15"/>
        <v>1866</v>
      </c>
      <c r="F180">
        <f t="shared" si="20"/>
        <v>2.0372282519936561E-2</v>
      </c>
      <c r="I180">
        <f t="shared" si="17"/>
        <v>0.57805839591100816</v>
      </c>
      <c r="K180">
        <f t="shared" si="18"/>
        <v>0.58510720566290619</v>
      </c>
      <c r="L180">
        <f t="shared" si="19"/>
        <v>-0.63661794611231126</v>
      </c>
    </row>
    <row r="181" spans="1:12" x14ac:dyDescent="0.3">
      <c r="A181">
        <v>9.3800000000000008</v>
      </c>
      <c r="B181">
        <f t="shared" si="14"/>
        <v>1876.0000000000002</v>
      </c>
      <c r="C181">
        <v>0.34300000000000003</v>
      </c>
      <c r="D181">
        <v>2.4994742125272751E-2</v>
      </c>
      <c r="E181">
        <f t="shared" si="15"/>
        <v>1876.0000000000002</v>
      </c>
      <c r="F181">
        <f t="shared" si="20"/>
        <v>2.049474212527275E-2</v>
      </c>
      <c r="I181">
        <f t="shared" si="17"/>
        <v>0.57745068113505849</v>
      </c>
      <c r="K181">
        <f t="shared" si="18"/>
        <v>0.58448037768402705</v>
      </c>
      <c r="L181">
        <f t="shared" si="19"/>
        <v>-0.6372447740911904</v>
      </c>
    </row>
    <row r="182" spans="1:12" x14ac:dyDescent="0.3">
      <c r="A182">
        <v>9.43</v>
      </c>
      <c r="B182">
        <f t="shared" si="14"/>
        <v>1886</v>
      </c>
      <c r="C182">
        <v>0.34100000000000003</v>
      </c>
      <c r="D182">
        <v>2.505173347890377E-2</v>
      </c>
      <c r="E182">
        <f t="shared" si="15"/>
        <v>1886</v>
      </c>
      <c r="F182">
        <f t="shared" si="20"/>
        <v>2.055173347890377E-2</v>
      </c>
      <c r="I182">
        <f t="shared" si="17"/>
        <v>0.5772378467060626</v>
      </c>
      <c r="K182">
        <f t="shared" si="18"/>
        <v>0.58424598782236881</v>
      </c>
      <c r="L182">
        <f t="shared" si="19"/>
        <v>-0.63747916395284865</v>
      </c>
    </row>
    <row r="183" spans="1:12" x14ac:dyDescent="0.3">
      <c r="A183">
        <v>9.48</v>
      </c>
      <c r="B183">
        <f t="shared" si="14"/>
        <v>1896</v>
      </c>
      <c r="C183">
        <v>0.33900000000000002</v>
      </c>
      <c r="D183">
        <v>2.4565804749727249E-2</v>
      </c>
      <c r="E183">
        <f t="shared" si="15"/>
        <v>1896</v>
      </c>
      <c r="F183">
        <f t="shared" si="20"/>
        <v>2.0065804749727249E-2</v>
      </c>
      <c r="I183">
        <f t="shared" si="17"/>
        <v>0.57188382902741441</v>
      </c>
      <c r="K183">
        <f t="shared" si="18"/>
        <v>0.57868613683757197</v>
      </c>
      <c r="L183">
        <f t="shared" si="19"/>
        <v>-0.64303901493764548</v>
      </c>
    </row>
    <row r="184" spans="1:12" x14ac:dyDescent="0.3">
      <c r="A184">
        <v>9.5299999999999994</v>
      </c>
      <c r="B184">
        <f t="shared" si="14"/>
        <v>1905.9999999999998</v>
      </c>
      <c r="C184">
        <v>0.33700000000000002</v>
      </c>
      <c r="D184">
        <v>2.4296250194311138E-2</v>
      </c>
      <c r="E184">
        <f t="shared" si="15"/>
        <v>1905.9999999999998</v>
      </c>
      <c r="F184">
        <f t="shared" si="20"/>
        <v>1.9796250194311138E-2</v>
      </c>
      <c r="I184">
        <f t="shared" si="17"/>
        <v>0.56854326435178515</v>
      </c>
      <c r="K184">
        <f t="shared" si="18"/>
        <v>0.57521460066726804</v>
      </c>
      <c r="L184">
        <f t="shared" si="19"/>
        <v>-0.64651055110794942</v>
      </c>
    </row>
    <row r="185" spans="1:12" x14ac:dyDescent="0.3">
      <c r="A185">
        <v>9.58</v>
      </c>
      <c r="B185">
        <f t="shared" si="14"/>
        <v>1916</v>
      </c>
      <c r="C185">
        <v>0.33500000000000002</v>
      </c>
      <c r="D185">
        <v>2.4016488343477249E-2</v>
      </c>
      <c r="E185">
        <f t="shared" si="15"/>
        <v>1916</v>
      </c>
      <c r="F185">
        <f t="shared" si="20"/>
        <v>1.9516488343477249E-2</v>
      </c>
      <c r="I185">
        <f t="shared" si="17"/>
        <v>0.56507795833051211</v>
      </c>
      <c r="K185">
        <f t="shared" si="18"/>
        <v>0.57161598192557694</v>
      </c>
      <c r="L185">
        <f t="shared" si="19"/>
        <v>-0.65010916984964051</v>
      </c>
    </row>
    <row r="186" spans="1:12" x14ac:dyDescent="0.3">
      <c r="A186">
        <v>9.6300000000000008</v>
      </c>
      <c r="B186">
        <f t="shared" si="14"/>
        <v>1926.0000000000002</v>
      </c>
      <c r="C186">
        <v>0.33300000000000002</v>
      </c>
      <c r="D186">
        <v>2.4950046092271801E-2</v>
      </c>
      <c r="E186">
        <f t="shared" si="15"/>
        <v>1926.0000000000002</v>
      </c>
      <c r="F186">
        <f t="shared" si="20"/>
        <v>2.0450046092271801E-2</v>
      </c>
      <c r="I186">
        <f t="shared" si="17"/>
        <v>0.57326894386857752</v>
      </c>
      <c r="K186">
        <f t="shared" si="18"/>
        <v>0.58007880921730404</v>
      </c>
      <c r="L186">
        <f t="shared" si="19"/>
        <v>-0.64164634255791342</v>
      </c>
    </row>
    <row r="187" spans="1:12" x14ac:dyDescent="0.3">
      <c r="A187">
        <v>9.69</v>
      </c>
      <c r="B187">
        <f t="shared" si="14"/>
        <v>1938</v>
      </c>
      <c r="C187">
        <v>0.33</v>
      </c>
      <c r="D187">
        <v>2.4746935814619061E-2</v>
      </c>
      <c r="E187">
        <f t="shared" si="15"/>
        <v>1938</v>
      </c>
      <c r="F187">
        <f t="shared" si="20"/>
        <v>2.024693581461906E-2</v>
      </c>
      <c r="I187">
        <f t="shared" si="17"/>
        <v>0.56979780804365876</v>
      </c>
      <c r="K187">
        <f t="shared" si="18"/>
        <v>0.576479296862483</v>
      </c>
      <c r="L187">
        <f t="shared" si="19"/>
        <v>-0.64524585491273445</v>
      </c>
    </row>
    <row r="188" spans="1:12" x14ac:dyDescent="0.3">
      <c r="A188">
        <v>9.74</v>
      </c>
      <c r="B188">
        <f t="shared" si="14"/>
        <v>1948</v>
      </c>
      <c r="C188">
        <v>0.32800000000000001</v>
      </c>
      <c r="D188">
        <v>2.47977115213871E-2</v>
      </c>
      <c r="E188">
        <f t="shared" si="15"/>
        <v>1948</v>
      </c>
      <c r="F188">
        <f t="shared" si="20"/>
        <v>2.02977115213871E-2</v>
      </c>
      <c r="I188">
        <f t="shared" si="17"/>
        <v>0.56952971021831034</v>
      </c>
      <c r="K188">
        <f t="shared" si="18"/>
        <v>0.57618735959732525</v>
      </c>
      <c r="L188">
        <f t="shared" si="19"/>
        <v>-0.6455377921778922</v>
      </c>
    </row>
    <row r="189" spans="1:12" x14ac:dyDescent="0.3">
      <c r="A189">
        <v>9.7899999999999991</v>
      </c>
      <c r="B189">
        <f t="shared" si="14"/>
        <v>1957.9999999999998</v>
      </c>
      <c r="C189">
        <v>0.32700000000000001</v>
      </c>
      <c r="D189">
        <v>2.4553913623094559E-2</v>
      </c>
      <c r="E189">
        <f t="shared" si="15"/>
        <v>1957.9999999999998</v>
      </c>
      <c r="F189">
        <f t="shared" si="20"/>
        <v>2.0053913623094558E-2</v>
      </c>
      <c r="I189">
        <f t="shared" si="17"/>
        <v>0.56738281437009574</v>
      </c>
      <c r="K189">
        <f t="shared" si="18"/>
        <v>0.57394044412484768</v>
      </c>
      <c r="L189">
        <f t="shared" si="19"/>
        <v>-0.64778470765036977</v>
      </c>
    </row>
    <row r="190" spans="1:12" x14ac:dyDescent="0.3">
      <c r="A190">
        <v>9.84</v>
      </c>
      <c r="B190">
        <f t="shared" si="14"/>
        <v>1968</v>
      </c>
      <c r="C190">
        <v>0.32400000000000001</v>
      </c>
      <c r="D190">
        <v>2.4869997054338459E-2</v>
      </c>
      <c r="E190">
        <f t="shared" si="15"/>
        <v>1968</v>
      </c>
      <c r="F190">
        <f t="shared" si="20"/>
        <v>2.0369997054338458E-2</v>
      </c>
      <c r="I190">
        <f t="shared" si="17"/>
        <v>0.56872077101469043</v>
      </c>
      <c r="K190">
        <f t="shared" si="18"/>
        <v>0.57532065006029609</v>
      </c>
      <c r="L190">
        <f t="shared" si="19"/>
        <v>-0.64640450171492136</v>
      </c>
    </row>
    <row r="191" spans="1:12" x14ac:dyDescent="0.3">
      <c r="A191">
        <v>9.9</v>
      </c>
      <c r="B191">
        <f t="shared" si="14"/>
        <v>1980</v>
      </c>
      <c r="C191">
        <v>0.32200000000000001</v>
      </c>
      <c r="D191">
        <v>2.4348245933651921E-2</v>
      </c>
      <c r="E191">
        <f t="shared" si="15"/>
        <v>1980</v>
      </c>
      <c r="F191">
        <f t="shared" si="20"/>
        <v>1.984824593365192E-2</v>
      </c>
      <c r="I191">
        <f t="shared" si="17"/>
        <v>0.563047634743154</v>
      </c>
      <c r="K191">
        <f t="shared" si="18"/>
        <v>0.56943876993378995</v>
      </c>
      <c r="L191">
        <f t="shared" si="19"/>
        <v>-0.65228638184142751</v>
      </c>
    </row>
    <row r="192" spans="1:12" x14ac:dyDescent="0.3">
      <c r="A192">
        <v>9.9499999999999993</v>
      </c>
      <c r="B192">
        <f t="shared" si="14"/>
        <v>1989.9999999999998</v>
      </c>
      <c r="C192">
        <v>0.32</v>
      </c>
      <c r="D192">
        <v>2.544496022164822E-2</v>
      </c>
      <c r="E192">
        <f t="shared" si="15"/>
        <v>1989.9999999999998</v>
      </c>
      <c r="F192">
        <f t="shared" si="20"/>
        <v>2.0944960221648219E-2</v>
      </c>
      <c r="I192">
        <f t="shared" si="17"/>
        <v>0.57317735420539973</v>
      </c>
      <c r="K192">
        <f t="shared" si="18"/>
        <v>0.57987974147632715</v>
      </c>
      <c r="L192">
        <f t="shared" si="19"/>
        <v>-0.64184541029889031</v>
      </c>
    </row>
    <row r="193" spans="1:12" x14ac:dyDescent="0.3">
      <c r="A193">
        <v>10</v>
      </c>
      <c r="B193">
        <f t="shared" si="14"/>
        <v>2000</v>
      </c>
      <c r="C193">
        <v>0.317</v>
      </c>
      <c r="D193">
        <v>2.464304119348526E-2</v>
      </c>
      <c r="E193">
        <f t="shared" si="15"/>
        <v>2000</v>
      </c>
      <c r="F193">
        <f t="shared" si="20"/>
        <v>2.0143041193485259E-2</v>
      </c>
      <c r="I193">
        <f t="shared" si="17"/>
        <v>0.56343041193485255</v>
      </c>
      <c r="K193">
        <f t="shared" si="18"/>
        <v>0.56981575599318735</v>
      </c>
      <c r="L193">
        <f t="shared" si="19"/>
        <v>-0.65190939578203011</v>
      </c>
    </row>
    <row r="194" spans="1:12" x14ac:dyDescent="0.3">
      <c r="A194">
        <v>10</v>
      </c>
      <c r="B194">
        <f t="shared" ref="B194:B257" si="21">A194*200</f>
        <v>2000</v>
      </c>
      <c r="C194">
        <v>0.315</v>
      </c>
      <c r="D194">
        <v>2.476061508059502E-2</v>
      </c>
      <c r="E194">
        <f t="shared" ref="E194:E223" si="22">B194</f>
        <v>2000</v>
      </c>
      <c r="F194">
        <f t="shared" si="20"/>
        <v>2.0260615080595019E-2</v>
      </c>
      <c r="I194">
        <f t="shared" ref="I194:I223" si="23">C194+(D194*A194)</f>
        <v>0.56260615080595022</v>
      </c>
      <c r="K194">
        <f t="shared" ref="K194:K223" si="24">I194+(F194*C194)</f>
        <v>0.56898824455633767</v>
      </c>
      <c r="L194">
        <f t="shared" ref="L194:L257" si="25">K194-$I$1</f>
        <v>-0.65273690721887978</v>
      </c>
    </row>
    <row r="195" spans="1:12" x14ac:dyDescent="0.3">
      <c r="A195">
        <v>10.1</v>
      </c>
      <c r="B195">
        <f t="shared" si="21"/>
        <v>2020</v>
      </c>
      <c r="C195">
        <v>0.313</v>
      </c>
      <c r="D195">
        <v>2.476061508059502E-2</v>
      </c>
      <c r="E195">
        <f t="shared" si="22"/>
        <v>2020</v>
      </c>
      <c r="F195">
        <f t="shared" si="20"/>
        <v>2.0260615080595019E-2</v>
      </c>
      <c r="I195">
        <f t="shared" si="23"/>
        <v>0.56308221231400968</v>
      </c>
      <c r="K195">
        <f t="shared" si="24"/>
        <v>0.56942378483423595</v>
      </c>
      <c r="L195">
        <f t="shared" si="25"/>
        <v>-0.65230136694098151</v>
      </c>
    </row>
    <row r="196" spans="1:12" x14ac:dyDescent="0.3">
      <c r="A196">
        <v>10.199999999999999</v>
      </c>
      <c r="B196">
        <f t="shared" si="21"/>
        <v>2039.9999999999998</v>
      </c>
      <c r="C196">
        <v>0.311</v>
      </c>
      <c r="D196">
        <v>2.4E-2</v>
      </c>
      <c r="E196">
        <f t="shared" si="22"/>
        <v>2039.9999999999998</v>
      </c>
      <c r="F196">
        <v>2.0369997054338451E-2</v>
      </c>
      <c r="I196">
        <f t="shared" si="23"/>
        <v>0.55579999999999996</v>
      </c>
      <c r="K196">
        <f t="shared" si="24"/>
        <v>0.56213506908389921</v>
      </c>
      <c r="L196">
        <f t="shared" si="25"/>
        <v>-0.65959008269131825</v>
      </c>
    </row>
    <row r="197" spans="1:12" x14ac:dyDescent="0.3">
      <c r="A197">
        <v>10.199999999999999</v>
      </c>
      <c r="B197">
        <f t="shared" si="21"/>
        <v>2039.9999999999998</v>
      </c>
      <c r="C197">
        <v>0.309</v>
      </c>
      <c r="D197">
        <v>2.4E-2</v>
      </c>
      <c r="E197">
        <f t="shared" si="22"/>
        <v>2039.9999999999998</v>
      </c>
      <c r="F197">
        <v>1.984824593365192E-2</v>
      </c>
      <c r="I197">
        <f t="shared" si="23"/>
        <v>0.55379999999999996</v>
      </c>
      <c r="K197">
        <f t="shared" si="24"/>
        <v>0.55993310799349838</v>
      </c>
      <c r="L197">
        <f t="shared" si="25"/>
        <v>-0.66179204378171907</v>
      </c>
    </row>
    <row r="198" spans="1:12" x14ac:dyDescent="0.3">
      <c r="A198">
        <v>10.3</v>
      </c>
      <c r="B198">
        <f t="shared" si="21"/>
        <v>2060</v>
      </c>
      <c r="C198">
        <v>0.30599999999999999</v>
      </c>
      <c r="D198">
        <v>2.4E-2</v>
      </c>
      <c r="E198">
        <f t="shared" si="22"/>
        <v>2060</v>
      </c>
      <c r="F198">
        <v>2.0944960221648219E-2</v>
      </c>
      <c r="I198">
        <f t="shared" si="23"/>
        <v>0.55320000000000003</v>
      </c>
      <c r="K198">
        <f t="shared" si="24"/>
        <v>0.55960915782782439</v>
      </c>
      <c r="L198">
        <f t="shared" si="25"/>
        <v>-0.66211599394739307</v>
      </c>
    </row>
    <row r="199" spans="1:12" x14ac:dyDescent="0.3">
      <c r="A199">
        <v>10.3</v>
      </c>
      <c r="B199">
        <f t="shared" si="21"/>
        <v>2060</v>
      </c>
      <c r="C199">
        <v>0.30399999999999999</v>
      </c>
      <c r="D199">
        <v>2.4E-2</v>
      </c>
      <c r="E199">
        <f t="shared" si="22"/>
        <v>2060</v>
      </c>
      <c r="F199">
        <v>2.0143041193485259E-2</v>
      </c>
      <c r="I199">
        <f t="shared" si="23"/>
        <v>0.55120000000000002</v>
      </c>
      <c r="K199">
        <f t="shared" si="24"/>
        <v>0.55732348452281955</v>
      </c>
      <c r="L199">
        <f t="shared" si="25"/>
        <v>-0.66440166725239791</v>
      </c>
    </row>
    <row r="200" spans="1:12" x14ac:dyDescent="0.3">
      <c r="A200">
        <v>10.4</v>
      </c>
      <c r="B200">
        <f t="shared" si="21"/>
        <v>2080</v>
      </c>
      <c r="C200">
        <v>0.30099999999999999</v>
      </c>
      <c r="D200">
        <v>2.4E-2</v>
      </c>
      <c r="E200">
        <f t="shared" si="22"/>
        <v>2080</v>
      </c>
      <c r="F200">
        <v>1.974491569399834E-2</v>
      </c>
      <c r="I200">
        <f t="shared" si="23"/>
        <v>0.55059999999999998</v>
      </c>
      <c r="K200">
        <f t="shared" si="24"/>
        <v>0.55654321962389353</v>
      </c>
      <c r="L200">
        <f t="shared" si="25"/>
        <v>-0.66518193215132393</v>
      </c>
    </row>
    <row r="201" spans="1:12" x14ac:dyDescent="0.3">
      <c r="A201">
        <v>10.4</v>
      </c>
      <c r="B201">
        <f t="shared" si="21"/>
        <v>2080</v>
      </c>
      <c r="C201">
        <v>0.29899999999999999</v>
      </c>
      <c r="D201">
        <v>2.4E-2</v>
      </c>
      <c r="E201">
        <f t="shared" si="22"/>
        <v>2080</v>
      </c>
      <c r="F201">
        <v>1.9829442530870441E-2</v>
      </c>
      <c r="I201">
        <f t="shared" si="23"/>
        <v>0.54859999999999998</v>
      </c>
      <c r="K201">
        <f t="shared" si="24"/>
        <v>0.55452900331673027</v>
      </c>
      <c r="L201">
        <f t="shared" si="25"/>
        <v>-0.66719614845848718</v>
      </c>
    </row>
    <row r="202" spans="1:12" x14ac:dyDescent="0.3">
      <c r="A202">
        <v>10.5</v>
      </c>
      <c r="B202">
        <f t="shared" si="21"/>
        <v>2100</v>
      </c>
      <c r="C202">
        <v>0.29699999999999999</v>
      </c>
      <c r="D202">
        <v>2.4E-2</v>
      </c>
      <c r="E202">
        <f t="shared" si="22"/>
        <v>2100</v>
      </c>
      <c r="F202">
        <v>2.0236572057008739E-2</v>
      </c>
      <c r="I202">
        <f t="shared" si="23"/>
        <v>0.54899999999999993</v>
      </c>
      <c r="K202">
        <f t="shared" si="24"/>
        <v>0.5550102619009315</v>
      </c>
      <c r="L202">
        <f t="shared" si="25"/>
        <v>-0.66671488987428595</v>
      </c>
    </row>
    <row r="203" spans="1:12" x14ac:dyDescent="0.3">
      <c r="A203">
        <v>10.5</v>
      </c>
      <c r="B203">
        <f t="shared" si="21"/>
        <v>2100</v>
      </c>
      <c r="C203">
        <v>0.29499999999999998</v>
      </c>
      <c r="D203">
        <v>2.4E-2</v>
      </c>
      <c r="E203">
        <f t="shared" si="22"/>
        <v>2100</v>
      </c>
      <c r="F203">
        <v>1.9775474250316619E-2</v>
      </c>
      <c r="I203">
        <f t="shared" si="23"/>
        <v>0.54699999999999993</v>
      </c>
      <c r="K203">
        <f t="shared" si="24"/>
        <v>0.55283376490384328</v>
      </c>
      <c r="L203">
        <f t="shared" si="25"/>
        <v>-0.66889138687137417</v>
      </c>
    </row>
    <row r="204" spans="1:12" x14ac:dyDescent="0.3">
      <c r="A204">
        <v>10.6</v>
      </c>
      <c r="B204">
        <f t="shared" si="21"/>
        <v>2120</v>
      </c>
      <c r="C204">
        <v>0.29299999999999998</v>
      </c>
      <c r="D204">
        <v>2.4E-2</v>
      </c>
      <c r="E204">
        <f t="shared" si="22"/>
        <v>2120</v>
      </c>
      <c r="F204">
        <v>1.968882772326469E-2</v>
      </c>
      <c r="I204">
        <f t="shared" si="23"/>
        <v>0.5474</v>
      </c>
      <c r="K204">
        <f t="shared" si="24"/>
        <v>0.55316882652291655</v>
      </c>
      <c r="L204">
        <f t="shared" si="25"/>
        <v>-0.66855632525230091</v>
      </c>
    </row>
    <row r="205" spans="1:12" x14ac:dyDescent="0.3">
      <c r="A205">
        <v>10.6</v>
      </c>
      <c r="B205">
        <f t="shared" si="21"/>
        <v>2120</v>
      </c>
      <c r="C205">
        <v>0.29099999999999998</v>
      </c>
      <c r="D205">
        <v>2.4E-2</v>
      </c>
      <c r="E205">
        <f t="shared" si="22"/>
        <v>2120</v>
      </c>
      <c r="F205">
        <v>2.00915874838829E-2</v>
      </c>
      <c r="I205">
        <f t="shared" si="23"/>
        <v>0.5454</v>
      </c>
      <c r="K205">
        <f t="shared" si="24"/>
        <v>0.55124665195780997</v>
      </c>
      <c r="L205">
        <f t="shared" si="25"/>
        <v>-0.67047849981740748</v>
      </c>
    </row>
    <row r="206" spans="1:12" x14ac:dyDescent="0.3">
      <c r="A206">
        <v>10.7</v>
      </c>
      <c r="B206">
        <f t="shared" si="21"/>
        <v>2140</v>
      </c>
      <c r="C206">
        <v>0.28799999999999998</v>
      </c>
      <c r="D206">
        <v>2.4E-2</v>
      </c>
      <c r="E206">
        <f t="shared" si="22"/>
        <v>2140</v>
      </c>
      <c r="F206">
        <v>2.0372282519936561E-2</v>
      </c>
      <c r="I206">
        <f t="shared" si="23"/>
        <v>0.54479999999999995</v>
      </c>
      <c r="K206">
        <f t="shared" si="24"/>
        <v>0.55066721736574165</v>
      </c>
      <c r="L206">
        <f t="shared" si="25"/>
        <v>-0.67105793440947581</v>
      </c>
    </row>
    <row r="207" spans="1:12" x14ac:dyDescent="0.3">
      <c r="A207">
        <v>10.7</v>
      </c>
      <c r="B207">
        <f t="shared" si="21"/>
        <v>2140</v>
      </c>
      <c r="C207">
        <v>0.28599999999999998</v>
      </c>
      <c r="D207">
        <v>2.4E-2</v>
      </c>
      <c r="E207">
        <f t="shared" si="22"/>
        <v>2140</v>
      </c>
      <c r="F207">
        <v>2.0065804749727249E-2</v>
      </c>
      <c r="I207">
        <f t="shared" si="23"/>
        <v>0.54279999999999995</v>
      </c>
      <c r="K207">
        <f t="shared" si="24"/>
        <v>0.54853882015842192</v>
      </c>
      <c r="L207">
        <f t="shared" si="25"/>
        <v>-0.67318633161679553</v>
      </c>
    </row>
    <row r="208" spans="1:12" x14ac:dyDescent="0.3">
      <c r="A208">
        <v>10.8</v>
      </c>
      <c r="B208">
        <f t="shared" si="21"/>
        <v>2160</v>
      </c>
      <c r="C208">
        <v>0.28399999999999997</v>
      </c>
      <c r="D208">
        <v>2.4E-2</v>
      </c>
      <c r="E208">
        <f t="shared" si="22"/>
        <v>2160</v>
      </c>
      <c r="F208">
        <v>1.9796250194311141E-2</v>
      </c>
      <c r="I208">
        <f t="shared" si="23"/>
        <v>0.54320000000000002</v>
      </c>
      <c r="K208">
        <f t="shared" si="24"/>
        <v>0.5488221350551844</v>
      </c>
      <c r="L208">
        <f t="shared" si="25"/>
        <v>-0.67290301672003305</v>
      </c>
    </row>
    <row r="209" spans="1:12" x14ac:dyDescent="0.3">
      <c r="A209">
        <v>10.8</v>
      </c>
      <c r="B209">
        <f t="shared" si="21"/>
        <v>2160</v>
      </c>
      <c r="C209">
        <v>0.28199999999999997</v>
      </c>
      <c r="D209">
        <v>2.4E-2</v>
      </c>
      <c r="E209">
        <f t="shared" si="22"/>
        <v>2160</v>
      </c>
      <c r="F209">
        <v>1.9516488343477249E-2</v>
      </c>
      <c r="I209">
        <f t="shared" si="23"/>
        <v>0.54120000000000001</v>
      </c>
      <c r="K209">
        <f t="shared" si="24"/>
        <v>0.54670364971286056</v>
      </c>
      <c r="L209">
        <f t="shared" si="25"/>
        <v>-0.67502150206235689</v>
      </c>
    </row>
    <row r="210" spans="1:12" x14ac:dyDescent="0.3">
      <c r="A210">
        <v>10.9</v>
      </c>
      <c r="B210">
        <f t="shared" si="21"/>
        <v>2180</v>
      </c>
      <c r="C210">
        <v>0.27900000000000003</v>
      </c>
      <c r="D210">
        <v>2.4E-2</v>
      </c>
      <c r="E210">
        <f t="shared" si="22"/>
        <v>2180</v>
      </c>
      <c r="F210">
        <v>2.0450046092271801E-2</v>
      </c>
      <c r="I210">
        <f t="shared" si="23"/>
        <v>0.54059999999999997</v>
      </c>
      <c r="K210">
        <f t="shared" si="24"/>
        <v>0.54630556285974385</v>
      </c>
      <c r="L210">
        <f t="shared" si="25"/>
        <v>-0.6754195889154736</v>
      </c>
    </row>
    <row r="211" spans="1:12" x14ac:dyDescent="0.3">
      <c r="A211">
        <v>10.9</v>
      </c>
      <c r="B211">
        <f t="shared" si="21"/>
        <v>2180</v>
      </c>
      <c r="C211">
        <v>0.27700000000000002</v>
      </c>
      <c r="D211">
        <v>2.4E-2</v>
      </c>
      <c r="E211">
        <f t="shared" si="22"/>
        <v>2180</v>
      </c>
      <c r="F211">
        <v>2.024693581461906E-2</v>
      </c>
      <c r="I211">
        <f t="shared" si="23"/>
        <v>0.53859999999999997</v>
      </c>
      <c r="K211">
        <f t="shared" si="24"/>
        <v>0.5442084012206494</v>
      </c>
      <c r="L211">
        <f t="shared" si="25"/>
        <v>-0.67751675055456806</v>
      </c>
    </row>
    <row r="212" spans="1:12" x14ac:dyDescent="0.3">
      <c r="A212">
        <v>11</v>
      </c>
      <c r="B212">
        <f t="shared" si="21"/>
        <v>2200</v>
      </c>
      <c r="C212">
        <v>0.27500000000000002</v>
      </c>
      <c r="D212">
        <v>2.4E-2</v>
      </c>
      <c r="E212">
        <f t="shared" si="22"/>
        <v>2200</v>
      </c>
      <c r="F212">
        <v>2.02977115213871E-2</v>
      </c>
      <c r="I212">
        <f t="shared" si="23"/>
        <v>0.53900000000000003</v>
      </c>
      <c r="K212">
        <f t="shared" si="24"/>
        <v>0.54458187066838148</v>
      </c>
      <c r="L212">
        <f t="shared" si="25"/>
        <v>-0.67714328110683597</v>
      </c>
    </row>
    <row r="213" spans="1:12" x14ac:dyDescent="0.3">
      <c r="A213">
        <v>11</v>
      </c>
      <c r="B213">
        <f t="shared" si="21"/>
        <v>2200</v>
      </c>
      <c r="C213">
        <v>0.27200000000000002</v>
      </c>
      <c r="D213">
        <v>2.4E-2</v>
      </c>
      <c r="E213">
        <f t="shared" si="22"/>
        <v>2200</v>
      </c>
      <c r="F213">
        <v>2.0944960221648219E-2</v>
      </c>
      <c r="I213">
        <f t="shared" si="23"/>
        <v>0.53600000000000003</v>
      </c>
      <c r="K213">
        <f t="shared" si="24"/>
        <v>0.54169702918028839</v>
      </c>
      <c r="L213">
        <f t="shared" si="25"/>
        <v>-0.68002812259492906</v>
      </c>
    </row>
    <row r="214" spans="1:12" x14ac:dyDescent="0.3">
      <c r="A214">
        <v>11.1</v>
      </c>
      <c r="B214">
        <f t="shared" si="21"/>
        <v>2220</v>
      </c>
      <c r="C214">
        <v>0.27</v>
      </c>
      <c r="D214">
        <v>2.4E-2</v>
      </c>
      <c r="E214">
        <f t="shared" si="22"/>
        <v>2220</v>
      </c>
      <c r="F214">
        <v>2.0143041193485259E-2</v>
      </c>
      <c r="I214">
        <f t="shared" si="23"/>
        <v>0.53639999999999999</v>
      </c>
      <c r="K214">
        <f t="shared" si="24"/>
        <v>0.54183862112224102</v>
      </c>
      <c r="L214">
        <f t="shared" si="25"/>
        <v>-0.67988653065297644</v>
      </c>
    </row>
    <row r="215" spans="1:12" x14ac:dyDescent="0.3">
      <c r="A215">
        <v>11.1</v>
      </c>
      <c r="B215">
        <f t="shared" si="21"/>
        <v>2220</v>
      </c>
      <c r="C215">
        <v>0.26800000000000002</v>
      </c>
      <c r="D215">
        <v>2.4E-2</v>
      </c>
      <c r="E215">
        <f t="shared" si="22"/>
        <v>2220</v>
      </c>
      <c r="F215">
        <v>1.974491569399834E-2</v>
      </c>
      <c r="I215">
        <f t="shared" si="23"/>
        <v>0.53439999999999999</v>
      </c>
      <c r="K215">
        <f t="shared" si="24"/>
        <v>0.53969163740599158</v>
      </c>
      <c r="L215">
        <f t="shared" si="25"/>
        <v>-0.68203351436922588</v>
      </c>
    </row>
    <row r="216" spans="1:12" x14ac:dyDescent="0.3">
      <c r="A216">
        <v>11.2</v>
      </c>
      <c r="B216">
        <f t="shared" si="21"/>
        <v>2240</v>
      </c>
      <c r="C216">
        <v>0.26500000000000001</v>
      </c>
      <c r="D216">
        <v>2.4E-2</v>
      </c>
      <c r="E216">
        <f t="shared" si="22"/>
        <v>2240</v>
      </c>
      <c r="F216">
        <v>1.9829442530870441E-2</v>
      </c>
      <c r="I216">
        <f t="shared" si="23"/>
        <v>0.53380000000000005</v>
      </c>
      <c r="K216">
        <f t="shared" si="24"/>
        <v>0.5390548022706807</v>
      </c>
      <c r="L216">
        <f t="shared" si="25"/>
        <v>-0.68267034950453676</v>
      </c>
    </row>
    <row r="217" spans="1:12" x14ac:dyDescent="0.3">
      <c r="A217">
        <v>11.2</v>
      </c>
      <c r="B217">
        <f t="shared" si="21"/>
        <v>2240</v>
      </c>
      <c r="C217">
        <v>0.26300000000000001</v>
      </c>
      <c r="D217">
        <v>2.4E-2</v>
      </c>
      <c r="E217">
        <f t="shared" si="22"/>
        <v>2240</v>
      </c>
      <c r="F217">
        <v>2.0236572057008739E-2</v>
      </c>
      <c r="I217">
        <f t="shared" si="23"/>
        <v>0.53180000000000005</v>
      </c>
      <c r="K217">
        <f t="shared" si="24"/>
        <v>0.53712221845099339</v>
      </c>
      <c r="L217">
        <f t="shared" si="25"/>
        <v>-0.68460293332422406</v>
      </c>
    </row>
    <row r="218" spans="1:12" x14ac:dyDescent="0.3">
      <c r="A218">
        <v>11.3</v>
      </c>
      <c r="B218">
        <f t="shared" si="21"/>
        <v>2260</v>
      </c>
      <c r="C218">
        <v>0.26100000000000001</v>
      </c>
      <c r="D218">
        <v>2.4E-2</v>
      </c>
      <c r="E218">
        <f t="shared" si="22"/>
        <v>2260</v>
      </c>
      <c r="F218">
        <v>1.9775474250316619E-2</v>
      </c>
      <c r="I218">
        <f t="shared" si="23"/>
        <v>0.53220000000000001</v>
      </c>
      <c r="K218">
        <f t="shared" si="24"/>
        <v>0.53736139877933264</v>
      </c>
      <c r="L218">
        <f t="shared" si="25"/>
        <v>-0.68436375299588481</v>
      </c>
    </row>
    <row r="219" spans="1:12" x14ac:dyDescent="0.3">
      <c r="A219">
        <v>11.4</v>
      </c>
      <c r="B219">
        <f t="shared" si="21"/>
        <v>2280</v>
      </c>
      <c r="C219">
        <v>0.25900000000000001</v>
      </c>
      <c r="D219">
        <v>2.4E-2</v>
      </c>
      <c r="E219">
        <f t="shared" si="22"/>
        <v>2280</v>
      </c>
      <c r="F219">
        <v>1.968882772326469E-2</v>
      </c>
      <c r="I219">
        <f t="shared" si="23"/>
        <v>0.53259999999999996</v>
      </c>
      <c r="K219">
        <f t="shared" si="24"/>
        <v>0.53769940638032554</v>
      </c>
      <c r="L219">
        <f t="shared" si="25"/>
        <v>-0.68402574539489192</v>
      </c>
    </row>
    <row r="220" spans="1:12" x14ac:dyDescent="0.3">
      <c r="A220">
        <v>11.4</v>
      </c>
      <c r="B220">
        <f t="shared" si="21"/>
        <v>2280</v>
      </c>
      <c r="C220">
        <v>0.25600000000000001</v>
      </c>
      <c r="D220">
        <v>2.4E-2</v>
      </c>
      <c r="E220">
        <f t="shared" si="22"/>
        <v>2280</v>
      </c>
      <c r="F220">
        <v>2.00915874838829E-2</v>
      </c>
      <c r="I220">
        <f t="shared" si="23"/>
        <v>0.52960000000000007</v>
      </c>
      <c r="K220">
        <f t="shared" si="24"/>
        <v>0.53474344639587412</v>
      </c>
      <c r="L220">
        <f t="shared" si="25"/>
        <v>-0.68698170537934333</v>
      </c>
    </row>
    <row r="221" spans="1:12" x14ac:dyDescent="0.3">
      <c r="A221">
        <v>11.5</v>
      </c>
      <c r="B221">
        <f t="shared" si="21"/>
        <v>2300</v>
      </c>
      <c r="C221">
        <v>0.254</v>
      </c>
      <c r="D221">
        <v>2.4E-2</v>
      </c>
      <c r="E221">
        <f t="shared" si="22"/>
        <v>2300</v>
      </c>
      <c r="F221">
        <v>2.0944960221648219E-2</v>
      </c>
      <c r="I221">
        <f t="shared" si="23"/>
        <v>0.53</v>
      </c>
      <c r="K221">
        <f t="shared" si="24"/>
        <v>0.53532001989629863</v>
      </c>
      <c r="L221">
        <f t="shared" si="25"/>
        <v>-0.68640513187891883</v>
      </c>
    </row>
    <row r="222" spans="1:12" x14ac:dyDescent="0.3">
      <c r="A222">
        <v>11.5</v>
      </c>
      <c r="B222">
        <f t="shared" si="21"/>
        <v>2300</v>
      </c>
      <c r="C222">
        <v>0.252</v>
      </c>
      <c r="D222">
        <v>2.4E-2</v>
      </c>
      <c r="E222">
        <f t="shared" si="22"/>
        <v>2300</v>
      </c>
      <c r="F222">
        <v>2.0143041193485259E-2</v>
      </c>
      <c r="I222">
        <f t="shared" si="23"/>
        <v>0.52800000000000002</v>
      </c>
      <c r="K222">
        <f t="shared" si="24"/>
        <v>0.53307604638075834</v>
      </c>
      <c r="L222">
        <f t="shared" si="25"/>
        <v>-0.68864910539445912</v>
      </c>
    </row>
    <row r="223" spans="1:12" x14ac:dyDescent="0.3">
      <c r="A223">
        <v>11.5</v>
      </c>
      <c r="B223">
        <f t="shared" si="21"/>
        <v>2300</v>
      </c>
      <c r="C223">
        <v>0.252</v>
      </c>
      <c r="D223">
        <v>2.4E-2</v>
      </c>
      <c r="E223">
        <f t="shared" si="22"/>
        <v>2300</v>
      </c>
      <c r="F223">
        <v>1.974491569399834E-2</v>
      </c>
      <c r="I223">
        <f t="shared" si="23"/>
        <v>0.52800000000000002</v>
      </c>
      <c r="K223">
        <f t="shared" si="24"/>
        <v>0.53297571875488758</v>
      </c>
      <c r="L223">
        <f t="shared" si="25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2026-06-15T04:00:40Z</dcterms:modified>
</cp:coreProperties>
</file>