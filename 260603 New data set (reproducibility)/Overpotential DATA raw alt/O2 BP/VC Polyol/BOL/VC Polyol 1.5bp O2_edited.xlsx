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ential DATA raw alt\O2 BP\VC Polyol\BOL\"/>
    </mc:Choice>
  </mc:AlternateContent>
  <xr:revisionPtr revIDLastSave="0" documentId="13_ncr:1_{2856F0F4-6078-493E-A59D-DC99F5077C2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O232" i="2" l="1"/>
  <c r="O231" i="2"/>
  <c r="O230" i="2"/>
  <c r="O229" i="2"/>
  <c r="O228" i="2"/>
  <c r="O227" i="2"/>
  <c r="O226" i="2"/>
  <c r="O225" i="2"/>
  <c r="O224" i="2"/>
  <c r="O223" i="2"/>
  <c r="K223" i="2"/>
  <c r="I223" i="2"/>
  <c r="E223" i="2"/>
  <c r="B223" i="2"/>
  <c r="O222" i="2"/>
  <c r="K222" i="2"/>
  <c r="I222" i="2"/>
  <c r="E222" i="2"/>
  <c r="B222" i="2"/>
  <c r="O221" i="2"/>
  <c r="K221" i="2"/>
  <c r="I221" i="2"/>
  <c r="E221" i="2"/>
  <c r="B221" i="2"/>
  <c r="O220" i="2"/>
  <c r="K220" i="2"/>
  <c r="I220" i="2"/>
  <c r="E220" i="2"/>
  <c r="B220" i="2"/>
  <c r="O219" i="2"/>
  <c r="K219" i="2"/>
  <c r="I219" i="2"/>
  <c r="E219" i="2"/>
  <c r="B219" i="2"/>
  <c r="O218" i="2"/>
  <c r="K218" i="2"/>
  <c r="I218" i="2"/>
  <c r="E218" i="2"/>
  <c r="B218" i="2"/>
  <c r="O217" i="2"/>
  <c r="K217" i="2"/>
  <c r="I217" i="2"/>
  <c r="E217" i="2"/>
  <c r="B217" i="2"/>
  <c r="O216" i="2"/>
  <c r="K216" i="2"/>
  <c r="I216" i="2"/>
  <c r="E216" i="2"/>
  <c r="B216" i="2"/>
  <c r="O215" i="2"/>
  <c r="K215" i="2"/>
  <c r="I215" i="2"/>
  <c r="E215" i="2"/>
  <c r="B215" i="2"/>
  <c r="O214" i="2"/>
  <c r="K214" i="2"/>
  <c r="I214" i="2"/>
  <c r="E214" i="2"/>
  <c r="B214" i="2"/>
  <c r="O213" i="2"/>
  <c r="K213" i="2"/>
  <c r="I213" i="2"/>
  <c r="E213" i="2"/>
  <c r="B213" i="2"/>
  <c r="O212" i="2"/>
  <c r="K212" i="2"/>
  <c r="I212" i="2"/>
  <c r="E212" i="2"/>
  <c r="B212" i="2"/>
  <c r="O211" i="2"/>
  <c r="K211" i="2"/>
  <c r="I211" i="2"/>
  <c r="E211" i="2"/>
  <c r="B211" i="2"/>
  <c r="O210" i="2"/>
  <c r="K210" i="2"/>
  <c r="I210" i="2"/>
  <c r="E210" i="2"/>
  <c r="B210" i="2"/>
  <c r="O209" i="2"/>
  <c r="K209" i="2"/>
  <c r="I209" i="2"/>
  <c r="E209" i="2"/>
  <c r="B209" i="2"/>
  <c r="O208" i="2"/>
  <c r="K208" i="2"/>
  <c r="I208" i="2"/>
  <c r="E208" i="2"/>
  <c r="B208" i="2"/>
  <c r="O207" i="2"/>
  <c r="K207" i="2"/>
  <c r="I207" i="2"/>
  <c r="E207" i="2"/>
  <c r="B207" i="2"/>
  <c r="O206" i="2"/>
  <c r="K206" i="2"/>
  <c r="I206" i="2"/>
  <c r="E206" i="2"/>
  <c r="B206" i="2"/>
  <c r="O205" i="2"/>
  <c r="K205" i="2"/>
  <c r="I205" i="2"/>
  <c r="E205" i="2"/>
  <c r="B205" i="2"/>
  <c r="O204" i="2"/>
  <c r="K204" i="2"/>
  <c r="I204" i="2"/>
  <c r="E204" i="2"/>
  <c r="B204" i="2"/>
  <c r="O203" i="2"/>
  <c r="K203" i="2"/>
  <c r="I203" i="2"/>
  <c r="E203" i="2"/>
  <c r="B203" i="2"/>
  <c r="O202" i="2"/>
  <c r="K202" i="2"/>
  <c r="I202" i="2"/>
  <c r="E202" i="2"/>
  <c r="B202" i="2"/>
  <c r="O201" i="2"/>
  <c r="K201" i="2"/>
  <c r="I201" i="2"/>
  <c r="E201" i="2"/>
  <c r="B201" i="2"/>
  <c r="O200" i="2"/>
  <c r="K200" i="2"/>
  <c r="I200" i="2"/>
  <c r="E200" i="2"/>
  <c r="B200" i="2"/>
  <c r="O199" i="2"/>
  <c r="K199" i="2"/>
  <c r="I199" i="2"/>
  <c r="E199" i="2"/>
  <c r="B199" i="2"/>
  <c r="O198" i="2"/>
  <c r="K198" i="2"/>
  <c r="I198" i="2"/>
  <c r="E198" i="2"/>
  <c r="B198" i="2"/>
  <c r="O197" i="2"/>
  <c r="K197" i="2"/>
  <c r="I197" i="2"/>
  <c r="E197" i="2"/>
  <c r="B197" i="2"/>
  <c r="O196" i="2"/>
  <c r="K196" i="2"/>
  <c r="I196" i="2"/>
  <c r="E196" i="2"/>
  <c r="B196" i="2"/>
  <c r="O195" i="2"/>
  <c r="K195" i="2"/>
  <c r="I195" i="2"/>
  <c r="F195" i="2"/>
  <c r="B195" i="2"/>
  <c r="E195" i="2" s="1"/>
  <c r="O194" i="2"/>
  <c r="I194" i="2"/>
  <c r="K194" i="2" s="1"/>
  <c r="F194" i="2"/>
  <c r="E194" i="2"/>
  <c r="B194" i="2"/>
  <c r="O193" i="2"/>
  <c r="I193" i="2"/>
  <c r="F193" i="2"/>
  <c r="K193" i="2" s="1"/>
  <c r="E193" i="2"/>
  <c r="B193" i="2"/>
  <c r="O192" i="2"/>
  <c r="K192" i="2"/>
  <c r="I192" i="2"/>
  <c r="F192" i="2"/>
  <c r="E192" i="2"/>
  <c r="B192" i="2"/>
  <c r="O191" i="2"/>
  <c r="K191" i="2"/>
  <c r="I191" i="2"/>
  <c r="F191" i="2"/>
  <c r="B191" i="2"/>
  <c r="E191" i="2" s="1"/>
  <c r="O190" i="2"/>
  <c r="I190" i="2"/>
  <c r="K190" i="2" s="1"/>
  <c r="F190" i="2"/>
  <c r="E190" i="2"/>
  <c r="B190" i="2"/>
  <c r="O189" i="2"/>
  <c r="I189" i="2"/>
  <c r="F189" i="2"/>
  <c r="K189" i="2" s="1"/>
  <c r="E189" i="2"/>
  <c r="B189" i="2"/>
  <c r="O188" i="2"/>
  <c r="K188" i="2"/>
  <c r="I188" i="2"/>
  <c r="F188" i="2"/>
  <c r="E188" i="2"/>
  <c r="B188" i="2"/>
  <c r="O187" i="2"/>
  <c r="K187" i="2"/>
  <c r="I187" i="2"/>
  <c r="F187" i="2"/>
  <c r="B187" i="2"/>
  <c r="E187" i="2" s="1"/>
  <c r="O186" i="2"/>
  <c r="I186" i="2"/>
  <c r="K186" i="2" s="1"/>
  <c r="F186" i="2"/>
  <c r="E186" i="2"/>
  <c r="B186" i="2"/>
  <c r="O185" i="2"/>
  <c r="I185" i="2"/>
  <c r="F185" i="2"/>
  <c r="K185" i="2" s="1"/>
  <c r="E185" i="2"/>
  <c r="B185" i="2"/>
  <c r="O184" i="2"/>
  <c r="K184" i="2"/>
  <c r="I184" i="2"/>
  <c r="F184" i="2"/>
  <c r="E184" i="2"/>
  <c r="B184" i="2"/>
  <c r="O183" i="2"/>
  <c r="K183" i="2"/>
  <c r="I183" i="2"/>
  <c r="F183" i="2"/>
  <c r="B183" i="2"/>
  <c r="E183" i="2" s="1"/>
  <c r="O182" i="2"/>
  <c r="I182" i="2"/>
  <c r="K182" i="2" s="1"/>
  <c r="F182" i="2"/>
  <c r="E182" i="2"/>
  <c r="B182" i="2"/>
  <c r="O181" i="2"/>
  <c r="I181" i="2"/>
  <c r="F181" i="2"/>
  <c r="K181" i="2" s="1"/>
  <c r="E181" i="2"/>
  <c r="B181" i="2"/>
  <c r="O180" i="2"/>
  <c r="K180" i="2"/>
  <c r="I180" i="2"/>
  <c r="F180" i="2"/>
  <c r="E180" i="2"/>
  <c r="B180" i="2"/>
  <c r="O179" i="2"/>
  <c r="K179" i="2"/>
  <c r="I179" i="2"/>
  <c r="F179" i="2"/>
  <c r="B179" i="2"/>
  <c r="E179" i="2" s="1"/>
  <c r="O178" i="2"/>
  <c r="I178" i="2"/>
  <c r="K178" i="2" s="1"/>
  <c r="F178" i="2"/>
  <c r="E178" i="2"/>
  <c r="B178" i="2"/>
  <c r="O177" i="2"/>
  <c r="I177" i="2"/>
  <c r="F177" i="2"/>
  <c r="K177" i="2" s="1"/>
  <c r="E177" i="2"/>
  <c r="B177" i="2"/>
  <c r="O176" i="2"/>
  <c r="K176" i="2"/>
  <c r="I176" i="2"/>
  <c r="F176" i="2"/>
  <c r="E176" i="2"/>
  <c r="B176" i="2"/>
  <c r="O175" i="2"/>
  <c r="K175" i="2"/>
  <c r="I175" i="2"/>
  <c r="F175" i="2"/>
  <c r="B175" i="2"/>
  <c r="E175" i="2" s="1"/>
  <c r="O174" i="2"/>
  <c r="I174" i="2"/>
  <c r="K174" i="2" s="1"/>
  <c r="F174" i="2"/>
  <c r="E174" i="2"/>
  <c r="B174" i="2"/>
  <c r="O173" i="2"/>
  <c r="I173" i="2"/>
  <c r="F173" i="2"/>
  <c r="K173" i="2" s="1"/>
  <c r="E173" i="2"/>
  <c r="B173" i="2"/>
  <c r="O172" i="2"/>
  <c r="K172" i="2"/>
  <c r="I172" i="2"/>
  <c r="F172" i="2"/>
  <c r="E172" i="2"/>
  <c r="B172" i="2"/>
  <c r="O171" i="2"/>
  <c r="K171" i="2"/>
  <c r="I171" i="2"/>
  <c r="F171" i="2"/>
  <c r="B171" i="2"/>
  <c r="E171" i="2" s="1"/>
  <c r="O170" i="2"/>
  <c r="I170" i="2"/>
  <c r="K170" i="2" s="1"/>
  <c r="F170" i="2"/>
  <c r="E170" i="2"/>
  <c r="B170" i="2"/>
  <c r="O169" i="2"/>
  <c r="I169" i="2"/>
  <c r="F169" i="2"/>
  <c r="K169" i="2" s="1"/>
  <c r="E169" i="2"/>
  <c r="B169" i="2"/>
  <c r="O168" i="2"/>
  <c r="K168" i="2"/>
  <c r="I168" i="2"/>
  <c r="F168" i="2"/>
  <c r="E168" i="2"/>
  <c r="B168" i="2"/>
  <c r="O167" i="2"/>
  <c r="K167" i="2"/>
  <c r="I167" i="2"/>
  <c r="F167" i="2"/>
  <c r="B167" i="2"/>
  <c r="E167" i="2" s="1"/>
  <c r="O166" i="2"/>
  <c r="I166" i="2"/>
  <c r="K166" i="2" s="1"/>
  <c r="F166" i="2"/>
  <c r="E166" i="2"/>
  <c r="B166" i="2"/>
  <c r="O165" i="2"/>
  <c r="I165" i="2"/>
  <c r="F165" i="2"/>
  <c r="K165" i="2" s="1"/>
  <c r="E165" i="2"/>
  <c r="B165" i="2"/>
  <c r="O164" i="2"/>
  <c r="K164" i="2"/>
  <c r="I164" i="2"/>
  <c r="F164" i="2"/>
  <c r="E164" i="2"/>
  <c r="B164" i="2"/>
  <c r="O163" i="2"/>
  <c r="K163" i="2"/>
  <c r="I163" i="2"/>
  <c r="F163" i="2"/>
  <c r="B163" i="2"/>
  <c r="E163" i="2" s="1"/>
  <c r="O162" i="2"/>
  <c r="I162" i="2"/>
  <c r="K162" i="2" s="1"/>
  <c r="F162" i="2"/>
  <c r="E162" i="2"/>
  <c r="B162" i="2"/>
  <c r="O161" i="2"/>
  <c r="I161" i="2"/>
  <c r="F161" i="2"/>
  <c r="K161" i="2" s="1"/>
  <c r="E161" i="2"/>
  <c r="B161" i="2"/>
  <c r="O160" i="2"/>
  <c r="K160" i="2"/>
  <c r="I160" i="2"/>
  <c r="F160" i="2"/>
  <c r="E160" i="2"/>
  <c r="B160" i="2"/>
  <c r="O159" i="2"/>
  <c r="K159" i="2"/>
  <c r="I159" i="2"/>
  <c r="F159" i="2"/>
  <c r="B159" i="2"/>
  <c r="E159" i="2" s="1"/>
  <c r="O158" i="2"/>
  <c r="I158" i="2"/>
  <c r="K158" i="2" s="1"/>
  <c r="F158" i="2"/>
  <c r="E158" i="2"/>
  <c r="B158" i="2"/>
  <c r="O157" i="2"/>
  <c r="I157" i="2"/>
  <c r="F157" i="2"/>
  <c r="K157" i="2" s="1"/>
  <c r="E157" i="2"/>
  <c r="B157" i="2"/>
  <c r="O156" i="2"/>
  <c r="K156" i="2"/>
  <c r="I156" i="2"/>
  <c r="F156" i="2"/>
  <c r="E156" i="2"/>
  <c r="B156" i="2"/>
  <c r="O155" i="2"/>
  <c r="K155" i="2"/>
  <c r="I155" i="2"/>
  <c r="F155" i="2"/>
  <c r="B155" i="2"/>
  <c r="E155" i="2" s="1"/>
  <c r="O154" i="2"/>
  <c r="I154" i="2"/>
  <c r="K154" i="2" s="1"/>
  <c r="F154" i="2"/>
  <c r="E154" i="2"/>
  <c r="B154" i="2"/>
  <c r="O153" i="2"/>
  <c r="I153" i="2"/>
  <c r="F153" i="2"/>
  <c r="K153" i="2" s="1"/>
  <c r="E153" i="2"/>
  <c r="B153" i="2"/>
  <c r="O152" i="2"/>
  <c r="K152" i="2"/>
  <c r="I152" i="2"/>
  <c r="F152" i="2"/>
  <c r="E152" i="2"/>
  <c r="B152" i="2"/>
  <c r="O151" i="2"/>
  <c r="K151" i="2"/>
  <c r="I151" i="2"/>
  <c r="F151" i="2"/>
  <c r="B151" i="2"/>
  <c r="E151" i="2" s="1"/>
  <c r="O150" i="2"/>
  <c r="I150" i="2"/>
  <c r="K150" i="2" s="1"/>
  <c r="F150" i="2"/>
  <c r="E150" i="2"/>
  <c r="B150" i="2"/>
  <c r="O149" i="2"/>
  <c r="I149" i="2"/>
  <c r="F149" i="2"/>
  <c r="K149" i="2" s="1"/>
  <c r="E149" i="2"/>
  <c r="B149" i="2"/>
  <c r="O148" i="2"/>
  <c r="K148" i="2"/>
  <c r="I148" i="2"/>
  <c r="F148" i="2"/>
  <c r="E148" i="2"/>
  <c r="B148" i="2"/>
  <c r="O147" i="2"/>
  <c r="K147" i="2"/>
  <c r="I147" i="2"/>
  <c r="F147" i="2"/>
  <c r="B147" i="2"/>
  <c r="E147" i="2" s="1"/>
  <c r="O146" i="2"/>
  <c r="I146" i="2"/>
  <c r="K146" i="2" s="1"/>
  <c r="F146" i="2"/>
  <c r="E146" i="2"/>
  <c r="B146" i="2"/>
  <c r="O145" i="2"/>
  <c r="I145" i="2"/>
  <c r="F145" i="2"/>
  <c r="K145" i="2" s="1"/>
  <c r="E145" i="2"/>
  <c r="B145" i="2"/>
  <c r="O144" i="2"/>
  <c r="K144" i="2"/>
  <c r="I144" i="2"/>
  <c r="F144" i="2"/>
  <c r="E144" i="2"/>
  <c r="B144" i="2"/>
  <c r="O143" i="2"/>
  <c r="K143" i="2"/>
  <c r="I143" i="2"/>
  <c r="F143" i="2"/>
  <c r="B143" i="2"/>
  <c r="E143" i="2" s="1"/>
  <c r="O142" i="2"/>
  <c r="I142" i="2"/>
  <c r="K142" i="2" s="1"/>
  <c r="F142" i="2"/>
  <c r="E142" i="2"/>
  <c r="B142" i="2"/>
  <c r="O141" i="2"/>
  <c r="I141" i="2"/>
  <c r="F141" i="2"/>
  <c r="K141" i="2" s="1"/>
  <c r="E141" i="2"/>
  <c r="B141" i="2"/>
  <c r="O140" i="2"/>
  <c r="K140" i="2"/>
  <c r="I140" i="2"/>
  <c r="F140" i="2"/>
  <c r="E140" i="2"/>
  <c r="B140" i="2"/>
  <c r="O139" i="2"/>
  <c r="K139" i="2"/>
  <c r="I139" i="2"/>
  <c r="F139" i="2"/>
  <c r="B139" i="2"/>
  <c r="E139" i="2" s="1"/>
  <c r="O138" i="2"/>
  <c r="I138" i="2"/>
  <c r="K138" i="2" s="1"/>
  <c r="F138" i="2"/>
  <c r="E138" i="2"/>
  <c r="B138" i="2"/>
  <c r="O137" i="2"/>
  <c r="I137" i="2"/>
  <c r="F137" i="2"/>
  <c r="K137" i="2" s="1"/>
  <c r="E137" i="2"/>
  <c r="B137" i="2"/>
  <c r="O136" i="2"/>
  <c r="K136" i="2"/>
  <c r="I136" i="2"/>
  <c r="F136" i="2"/>
  <c r="E136" i="2"/>
  <c r="B136" i="2"/>
  <c r="O135" i="2"/>
  <c r="K135" i="2"/>
  <c r="I135" i="2"/>
  <c r="F135" i="2"/>
  <c r="B135" i="2"/>
  <c r="E135" i="2" s="1"/>
  <c r="O134" i="2"/>
  <c r="I134" i="2"/>
  <c r="K134" i="2" s="1"/>
  <c r="F134" i="2"/>
  <c r="E134" i="2"/>
  <c r="B134" i="2"/>
  <c r="O133" i="2"/>
  <c r="I133" i="2"/>
  <c r="F133" i="2"/>
  <c r="K133" i="2" s="1"/>
  <c r="E133" i="2"/>
  <c r="B133" i="2"/>
  <c r="O132" i="2"/>
  <c r="K132" i="2"/>
  <c r="I132" i="2"/>
  <c r="F132" i="2"/>
  <c r="E132" i="2"/>
  <c r="B132" i="2"/>
  <c r="O131" i="2"/>
  <c r="K131" i="2"/>
  <c r="I131" i="2"/>
  <c r="F131" i="2"/>
  <c r="B131" i="2"/>
  <c r="E131" i="2" s="1"/>
  <c r="O130" i="2"/>
  <c r="I130" i="2"/>
  <c r="K130" i="2" s="1"/>
  <c r="F130" i="2"/>
  <c r="E130" i="2"/>
  <c r="B130" i="2"/>
  <c r="O129" i="2"/>
  <c r="I129" i="2"/>
  <c r="F129" i="2"/>
  <c r="K129" i="2" s="1"/>
  <c r="E129" i="2"/>
  <c r="B129" i="2"/>
  <c r="O128" i="2"/>
  <c r="K128" i="2"/>
  <c r="I128" i="2"/>
  <c r="F128" i="2"/>
  <c r="E128" i="2"/>
  <c r="B128" i="2"/>
  <c r="O127" i="2"/>
  <c r="K127" i="2"/>
  <c r="I127" i="2"/>
  <c r="F127" i="2"/>
  <c r="B127" i="2"/>
  <c r="E127" i="2" s="1"/>
  <c r="O126" i="2"/>
  <c r="I126" i="2"/>
  <c r="K126" i="2" s="1"/>
  <c r="F126" i="2"/>
  <c r="E126" i="2"/>
  <c r="B126" i="2"/>
  <c r="O125" i="2"/>
  <c r="I125" i="2"/>
  <c r="F125" i="2"/>
  <c r="K125" i="2" s="1"/>
  <c r="E125" i="2"/>
  <c r="B125" i="2"/>
  <c r="O124" i="2"/>
  <c r="K124" i="2"/>
  <c r="I124" i="2"/>
  <c r="F124" i="2"/>
  <c r="E124" i="2"/>
  <c r="B124" i="2"/>
  <c r="O123" i="2"/>
  <c r="K123" i="2"/>
  <c r="I123" i="2"/>
  <c r="F123" i="2"/>
  <c r="B123" i="2"/>
  <c r="E123" i="2" s="1"/>
  <c r="O122" i="2"/>
  <c r="I122" i="2"/>
  <c r="K122" i="2" s="1"/>
  <c r="F122" i="2"/>
  <c r="E122" i="2"/>
  <c r="B122" i="2"/>
  <c r="O121" i="2"/>
  <c r="I121" i="2"/>
  <c r="F121" i="2"/>
  <c r="K121" i="2" s="1"/>
  <c r="E121" i="2"/>
  <c r="B121" i="2"/>
  <c r="O120" i="2"/>
  <c r="K120" i="2"/>
  <c r="I120" i="2"/>
  <c r="F120" i="2"/>
  <c r="E120" i="2"/>
  <c r="B120" i="2"/>
  <c r="O119" i="2"/>
  <c r="K119" i="2"/>
  <c r="I119" i="2"/>
  <c r="F119" i="2"/>
  <c r="B119" i="2"/>
  <c r="E119" i="2" s="1"/>
  <c r="O118" i="2"/>
  <c r="I118" i="2"/>
  <c r="K118" i="2" s="1"/>
  <c r="F118" i="2"/>
  <c r="E118" i="2"/>
  <c r="B118" i="2"/>
  <c r="O117" i="2"/>
  <c r="I117" i="2"/>
  <c r="F117" i="2"/>
  <c r="K117" i="2" s="1"/>
  <c r="E117" i="2"/>
  <c r="B117" i="2"/>
  <c r="O116" i="2"/>
  <c r="K116" i="2"/>
  <c r="I116" i="2"/>
  <c r="F116" i="2"/>
  <c r="E116" i="2"/>
  <c r="B116" i="2"/>
  <c r="O115" i="2"/>
  <c r="K115" i="2"/>
  <c r="I115" i="2"/>
  <c r="F115" i="2"/>
  <c r="B115" i="2"/>
  <c r="E115" i="2" s="1"/>
  <c r="O114" i="2"/>
  <c r="I114" i="2"/>
  <c r="K114" i="2" s="1"/>
  <c r="F114" i="2"/>
  <c r="E114" i="2"/>
  <c r="B114" i="2"/>
  <c r="O113" i="2"/>
  <c r="I113" i="2"/>
  <c r="F113" i="2"/>
  <c r="K113" i="2" s="1"/>
  <c r="E113" i="2"/>
  <c r="B113" i="2"/>
  <c r="O112" i="2"/>
  <c r="K112" i="2"/>
  <c r="I112" i="2"/>
  <c r="F112" i="2"/>
  <c r="E112" i="2"/>
  <c r="B112" i="2"/>
  <c r="O111" i="2"/>
  <c r="K111" i="2"/>
  <c r="I111" i="2"/>
  <c r="F111" i="2"/>
  <c r="B111" i="2"/>
  <c r="E111" i="2" s="1"/>
  <c r="O110" i="2"/>
  <c r="I110" i="2"/>
  <c r="K110" i="2" s="1"/>
  <c r="F110" i="2"/>
  <c r="B110" i="2"/>
  <c r="E110" i="2" s="1"/>
  <c r="O109" i="2"/>
  <c r="I109" i="2"/>
  <c r="K109" i="2" s="1"/>
  <c r="F109" i="2"/>
  <c r="E109" i="2"/>
  <c r="B109" i="2"/>
  <c r="O108" i="2"/>
  <c r="K108" i="2"/>
  <c r="I108" i="2"/>
  <c r="F108" i="2"/>
  <c r="E108" i="2"/>
  <c r="B108" i="2"/>
  <c r="O107" i="2"/>
  <c r="K107" i="2"/>
  <c r="I107" i="2"/>
  <c r="F107" i="2"/>
  <c r="B107" i="2"/>
  <c r="E107" i="2" s="1"/>
  <c r="O106" i="2"/>
  <c r="I106" i="2"/>
  <c r="K106" i="2" s="1"/>
  <c r="F106" i="2"/>
  <c r="B106" i="2"/>
  <c r="E106" i="2" s="1"/>
  <c r="O105" i="2"/>
  <c r="I105" i="2"/>
  <c r="F105" i="2"/>
  <c r="E105" i="2"/>
  <c r="B105" i="2"/>
  <c r="O104" i="2"/>
  <c r="K104" i="2"/>
  <c r="I104" i="2"/>
  <c r="F104" i="2"/>
  <c r="E104" i="2"/>
  <c r="B104" i="2"/>
  <c r="O103" i="2"/>
  <c r="K103" i="2"/>
  <c r="I103" i="2"/>
  <c r="F103" i="2"/>
  <c r="B103" i="2"/>
  <c r="E103" i="2" s="1"/>
  <c r="O102" i="2"/>
  <c r="K102" i="2"/>
  <c r="I102" i="2"/>
  <c r="F102" i="2"/>
  <c r="B102" i="2"/>
  <c r="E102" i="2" s="1"/>
  <c r="O101" i="2"/>
  <c r="I101" i="2"/>
  <c r="K101" i="2" s="1"/>
  <c r="F101" i="2"/>
  <c r="E101" i="2"/>
  <c r="B101" i="2"/>
  <c r="O100" i="2"/>
  <c r="K100" i="2"/>
  <c r="I100" i="2"/>
  <c r="F100" i="2"/>
  <c r="E100" i="2"/>
  <c r="B100" i="2"/>
  <c r="O99" i="2"/>
  <c r="K99" i="2"/>
  <c r="I99" i="2"/>
  <c r="F99" i="2"/>
  <c r="E99" i="2"/>
  <c r="B99" i="2"/>
  <c r="O98" i="2"/>
  <c r="I98" i="2"/>
  <c r="K98" i="2" s="1"/>
  <c r="F98" i="2"/>
  <c r="B98" i="2"/>
  <c r="E98" i="2" s="1"/>
  <c r="O97" i="2"/>
  <c r="I97" i="2"/>
  <c r="F97" i="2"/>
  <c r="E97" i="2"/>
  <c r="B97" i="2"/>
  <c r="O96" i="2"/>
  <c r="K96" i="2"/>
  <c r="I96" i="2"/>
  <c r="F96" i="2"/>
  <c r="E96" i="2"/>
  <c r="B96" i="2"/>
  <c r="O95" i="2"/>
  <c r="K95" i="2"/>
  <c r="I95" i="2"/>
  <c r="F95" i="2"/>
  <c r="B95" i="2"/>
  <c r="E95" i="2" s="1"/>
  <c r="O94" i="2"/>
  <c r="K94" i="2"/>
  <c r="I94" i="2"/>
  <c r="F94" i="2"/>
  <c r="B94" i="2"/>
  <c r="E94" i="2" s="1"/>
  <c r="O93" i="2"/>
  <c r="I93" i="2"/>
  <c r="K93" i="2" s="1"/>
  <c r="F93" i="2"/>
  <c r="E93" i="2"/>
  <c r="B93" i="2"/>
  <c r="O92" i="2"/>
  <c r="I92" i="2"/>
  <c r="F92" i="2"/>
  <c r="K92" i="2" s="1"/>
  <c r="E92" i="2"/>
  <c r="B92" i="2"/>
  <c r="O91" i="2"/>
  <c r="K91" i="2"/>
  <c r="I91" i="2"/>
  <c r="F91" i="2"/>
  <c r="E91" i="2"/>
  <c r="B91" i="2"/>
  <c r="O90" i="2"/>
  <c r="I90" i="2"/>
  <c r="K90" i="2" s="1"/>
  <c r="F90" i="2"/>
  <c r="E90" i="2"/>
  <c r="B90" i="2"/>
  <c r="O89" i="2"/>
  <c r="I89" i="2"/>
  <c r="F89" i="2"/>
  <c r="K89" i="2" s="1"/>
  <c r="E89" i="2"/>
  <c r="B89" i="2"/>
  <c r="O88" i="2"/>
  <c r="K88" i="2"/>
  <c r="I88" i="2"/>
  <c r="F88" i="2"/>
  <c r="E88" i="2"/>
  <c r="B88" i="2"/>
  <c r="O87" i="2"/>
  <c r="K87" i="2"/>
  <c r="I87" i="2"/>
  <c r="F87" i="2"/>
  <c r="B87" i="2"/>
  <c r="E87" i="2" s="1"/>
  <c r="O86" i="2"/>
  <c r="I86" i="2"/>
  <c r="K86" i="2" s="1"/>
  <c r="F86" i="2"/>
  <c r="E86" i="2"/>
  <c r="B86" i="2"/>
  <c r="O85" i="2"/>
  <c r="I85" i="2"/>
  <c r="F85" i="2"/>
  <c r="K85" i="2" s="1"/>
  <c r="E85" i="2"/>
  <c r="B85" i="2"/>
  <c r="O84" i="2"/>
  <c r="K84" i="2"/>
  <c r="I84" i="2"/>
  <c r="F84" i="2"/>
  <c r="E84" i="2"/>
  <c r="B84" i="2"/>
  <c r="O83" i="2"/>
  <c r="K83" i="2"/>
  <c r="I83" i="2"/>
  <c r="F83" i="2"/>
  <c r="B83" i="2"/>
  <c r="E83" i="2" s="1"/>
  <c r="O82" i="2"/>
  <c r="I82" i="2"/>
  <c r="K82" i="2" s="1"/>
  <c r="F82" i="2"/>
  <c r="E82" i="2"/>
  <c r="B82" i="2"/>
  <c r="O81" i="2"/>
  <c r="I81" i="2"/>
  <c r="F81" i="2"/>
  <c r="K81" i="2" s="1"/>
  <c r="E81" i="2"/>
  <c r="B81" i="2"/>
  <c r="O80" i="2"/>
  <c r="K80" i="2"/>
  <c r="I80" i="2"/>
  <c r="F80" i="2"/>
  <c r="E80" i="2"/>
  <c r="B80" i="2"/>
  <c r="O79" i="2"/>
  <c r="K79" i="2"/>
  <c r="I79" i="2"/>
  <c r="F79" i="2"/>
  <c r="B79" i="2"/>
  <c r="E79" i="2" s="1"/>
  <c r="O78" i="2"/>
  <c r="I78" i="2"/>
  <c r="K78" i="2" s="1"/>
  <c r="F78" i="2"/>
  <c r="E78" i="2"/>
  <c r="B78" i="2"/>
  <c r="O77" i="2"/>
  <c r="I77" i="2"/>
  <c r="F77" i="2"/>
  <c r="K77" i="2" s="1"/>
  <c r="E77" i="2"/>
  <c r="B77" i="2"/>
  <c r="O76" i="2"/>
  <c r="K76" i="2"/>
  <c r="I76" i="2"/>
  <c r="F76" i="2"/>
  <c r="E76" i="2"/>
  <c r="B76" i="2"/>
  <c r="O75" i="2"/>
  <c r="K75" i="2"/>
  <c r="I75" i="2"/>
  <c r="F75" i="2"/>
  <c r="B75" i="2"/>
  <c r="E75" i="2" s="1"/>
  <c r="O74" i="2"/>
  <c r="I74" i="2"/>
  <c r="K74" i="2" s="1"/>
  <c r="F74" i="2"/>
  <c r="E74" i="2"/>
  <c r="B74" i="2"/>
  <c r="O73" i="2"/>
  <c r="I73" i="2"/>
  <c r="F73" i="2"/>
  <c r="K73" i="2" s="1"/>
  <c r="E73" i="2"/>
  <c r="B73" i="2"/>
  <c r="O72" i="2"/>
  <c r="K72" i="2"/>
  <c r="I72" i="2"/>
  <c r="F72" i="2"/>
  <c r="E72" i="2"/>
  <c r="B72" i="2"/>
  <c r="O71" i="2"/>
  <c r="K71" i="2"/>
  <c r="I71" i="2"/>
  <c r="F71" i="2"/>
  <c r="B71" i="2"/>
  <c r="E71" i="2" s="1"/>
  <c r="O70" i="2"/>
  <c r="I70" i="2"/>
  <c r="K70" i="2" s="1"/>
  <c r="F70" i="2"/>
  <c r="E70" i="2"/>
  <c r="B70" i="2"/>
  <c r="O69" i="2"/>
  <c r="I69" i="2"/>
  <c r="F69" i="2"/>
  <c r="K69" i="2" s="1"/>
  <c r="E69" i="2"/>
  <c r="B69" i="2"/>
  <c r="O68" i="2"/>
  <c r="K68" i="2"/>
  <c r="I68" i="2"/>
  <c r="F68" i="2"/>
  <c r="E68" i="2"/>
  <c r="B68" i="2"/>
  <c r="O67" i="2"/>
  <c r="K67" i="2"/>
  <c r="I67" i="2"/>
  <c r="F67" i="2"/>
  <c r="B67" i="2"/>
  <c r="E67" i="2" s="1"/>
  <c r="O66" i="2"/>
  <c r="I66" i="2"/>
  <c r="K66" i="2" s="1"/>
  <c r="F66" i="2"/>
  <c r="E66" i="2"/>
  <c r="B66" i="2"/>
  <c r="O65" i="2"/>
  <c r="I65" i="2"/>
  <c r="F65" i="2"/>
  <c r="K65" i="2" s="1"/>
  <c r="E65" i="2"/>
  <c r="B65" i="2"/>
  <c r="O64" i="2"/>
  <c r="K64" i="2"/>
  <c r="I64" i="2"/>
  <c r="F64" i="2"/>
  <c r="E64" i="2"/>
  <c r="B64" i="2"/>
  <c r="O63" i="2"/>
  <c r="K63" i="2"/>
  <c r="I63" i="2"/>
  <c r="F63" i="2"/>
  <c r="B63" i="2"/>
  <c r="E63" i="2" s="1"/>
  <c r="O62" i="2"/>
  <c r="I62" i="2"/>
  <c r="K62" i="2" s="1"/>
  <c r="F62" i="2"/>
  <c r="E62" i="2"/>
  <c r="B62" i="2"/>
  <c r="O61" i="2"/>
  <c r="I61" i="2"/>
  <c r="F61" i="2"/>
  <c r="K61" i="2" s="1"/>
  <c r="E61" i="2"/>
  <c r="B61" i="2"/>
  <c r="O60" i="2"/>
  <c r="K60" i="2"/>
  <c r="I60" i="2"/>
  <c r="F60" i="2"/>
  <c r="E60" i="2"/>
  <c r="B60" i="2"/>
  <c r="O59" i="2"/>
  <c r="K59" i="2"/>
  <c r="I59" i="2"/>
  <c r="F59" i="2"/>
  <c r="B59" i="2"/>
  <c r="E59" i="2" s="1"/>
  <c r="O58" i="2"/>
  <c r="I58" i="2"/>
  <c r="K58" i="2" s="1"/>
  <c r="F58" i="2"/>
  <c r="E58" i="2"/>
  <c r="B58" i="2"/>
  <c r="O57" i="2"/>
  <c r="I57" i="2"/>
  <c r="F57" i="2"/>
  <c r="K57" i="2" s="1"/>
  <c r="E57" i="2"/>
  <c r="B57" i="2"/>
  <c r="O56" i="2"/>
  <c r="K56" i="2"/>
  <c r="I56" i="2"/>
  <c r="F56" i="2"/>
  <c r="E56" i="2"/>
  <c r="B56" i="2"/>
  <c r="O55" i="2"/>
  <c r="K55" i="2"/>
  <c r="I55" i="2"/>
  <c r="F55" i="2"/>
  <c r="B55" i="2"/>
  <c r="E55" i="2" s="1"/>
  <c r="O54" i="2"/>
  <c r="I54" i="2"/>
  <c r="K54" i="2" s="1"/>
  <c r="F54" i="2"/>
  <c r="E54" i="2"/>
  <c r="B54" i="2"/>
  <c r="O53" i="2"/>
  <c r="I53" i="2"/>
  <c r="F53" i="2"/>
  <c r="K53" i="2" s="1"/>
  <c r="E53" i="2"/>
  <c r="B53" i="2"/>
  <c r="O52" i="2"/>
  <c r="K52" i="2"/>
  <c r="I52" i="2"/>
  <c r="F52" i="2"/>
  <c r="E52" i="2"/>
  <c r="B52" i="2"/>
  <c r="O51" i="2"/>
  <c r="K51" i="2"/>
  <c r="I51" i="2"/>
  <c r="F51" i="2"/>
  <c r="B51" i="2"/>
  <c r="E51" i="2" s="1"/>
  <c r="O50" i="2"/>
  <c r="I50" i="2"/>
  <c r="K50" i="2" s="1"/>
  <c r="F50" i="2"/>
  <c r="E50" i="2"/>
  <c r="B50" i="2"/>
  <c r="O49" i="2"/>
  <c r="I49" i="2"/>
  <c r="F49" i="2"/>
  <c r="K49" i="2" s="1"/>
  <c r="E49" i="2"/>
  <c r="B49" i="2"/>
  <c r="O48" i="2"/>
  <c r="K48" i="2"/>
  <c r="I48" i="2"/>
  <c r="F48" i="2"/>
  <c r="E48" i="2"/>
  <c r="B48" i="2"/>
  <c r="O47" i="2"/>
  <c r="K47" i="2"/>
  <c r="I47" i="2"/>
  <c r="F47" i="2"/>
  <c r="B47" i="2"/>
  <c r="E47" i="2" s="1"/>
  <c r="O46" i="2"/>
  <c r="I46" i="2"/>
  <c r="K46" i="2" s="1"/>
  <c r="F46" i="2"/>
  <c r="E46" i="2"/>
  <c r="B46" i="2"/>
  <c r="O45" i="2"/>
  <c r="I45" i="2"/>
  <c r="F45" i="2"/>
  <c r="K45" i="2" s="1"/>
  <c r="E45" i="2"/>
  <c r="B45" i="2"/>
  <c r="O44" i="2"/>
  <c r="K44" i="2"/>
  <c r="I44" i="2"/>
  <c r="F44" i="2"/>
  <c r="E44" i="2"/>
  <c r="B44" i="2"/>
  <c r="O43" i="2"/>
  <c r="K43" i="2"/>
  <c r="I43" i="2"/>
  <c r="F43" i="2"/>
  <c r="B43" i="2"/>
  <c r="E43" i="2" s="1"/>
  <c r="O42" i="2"/>
  <c r="I42" i="2"/>
  <c r="K42" i="2" s="1"/>
  <c r="F42" i="2"/>
  <c r="E42" i="2"/>
  <c r="B42" i="2"/>
  <c r="O41" i="2"/>
  <c r="I41" i="2"/>
  <c r="F41" i="2"/>
  <c r="K41" i="2" s="1"/>
  <c r="E41" i="2"/>
  <c r="B41" i="2"/>
  <c r="O40" i="2"/>
  <c r="K40" i="2"/>
  <c r="I40" i="2"/>
  <c r="F40" i="2"/>
  <c r="E40" i="2"/>
  <c r="B40" i="2"/>
  <c r="O39" i="2"/>
  <c r="K39" i="2"/>
  <c r="I39" i="2"/>
  <c r="F39" i="2"/>
  <c r="B39" i="2"/>
  <c r="E39" i="2" s="1"/>
  <c r="O38" i="2"/>
  <c r="I38" i="2"/>
  <c r="K38" i="2" s="1"/>
  <c r="F38" i="2"/>
  <c r="E38" i="2"/>
  <c r="B38" i="2"/>
  <c r="O37" i="2"/>
  <c r="I37" i="2"/>
  <c r="F37" i="2"/>
  <c r="K37" i="2" s="1"/>
  <c r="E37" i="2"/>
  <c r="B37" i="2"/>
  <c r="O36" i="2"/>
  <c r="K36" i="2"/>
  <c r="I36" i="2"/>
  <c r="F36" i="2"/>
  <c r="B36" i="2"/>
  <c r="E36" i="2" s="1"/>
  <c r="O35" i="2"/>
  <c r="K35" i="2"/>
  <c r="I35" i="2"/>
  <c r="F35" i="2"/>
  <c r="B35" i="2"/>
  <c r="E35" i="2" s="1"/>
  <c r="O34" i="2"/>
  <c r="I34" i="2"/>
  <c r="F34" i="2"/>
  <c r="E34" i="2"/>
  <c r="B34" i="2"/>
  <c r="O33" i="2"/>
  <c r="I33" i="2"/>
  <c r="F33" i="2"/>
  <c r="K33" i="2" s="1"/>
  <c r="E33" i="2"/>
  <c r="B33" i="2"/>
  <c r="O32" i="2"/>
  <c r="K32" i="2"/>
  <c r="I32" i="2"/>
  <c r="F32" i="2"/>
  <c r="E32" i="2"/>
  <c r="B32" i="2"/>
  <c r="O31" i="2"/>
  <c r="I31" i="2"/>
  <c r="K31" i="2" s="1"/>
  <c r="F31" i="2"/>
  <c r="B31" i="2"/>
  <c r="E31" i="2" s="1"/>
  <c r="O30" i="2"/>
  <c r="I30" i="2"/>
  <c r="K30" i="2" s="1"/>
  <c r="F30" i="2"/>
  <c r="E30" i="2"/>
  <c r="B30" i="2"/>
  <c r="O29" i="2"/>
  <c r="I29" i="2"/>
  <c r="F29" i="2"/>
  <c r="K29" i="2" s="1"/>
  <c r="E29" i="2"/>
  <c r="B29" i="2"/>
  <c r="O28" i="2"/>
  <c r="K28" i="2"/>
  <c r="I28" i="2"/>
  <c r="F28" i="2"/>
  <c r="B28" i="2"/>
  <c r="E28" i="2" s="1"/>
  <c r="O27" i="2"/>
  <c r="K27" i="2"/>
  <c r="I27" i="2"/>
  <c r="F27" i="2"/>
  <c r="B27" i="2"/>
  <c r="E27" i="2" s="1"/>
  <c r="O26" i="2"/>
  <c r="I26" i="2"/>
  <c r="F26" i="2"/>
  <c r="E26" i="2"/>
  <c r="B26" i="2"/>
  <c r="O25" i="2"/>
  <c r="I25" i="2"/>
  <c r="F25" i="2"/>
  <c r="K25" i="2" s="1"/>
  <c r="E25" i="2"/>
  <c r="B25" i="2"/>
  <c r="O24" i="2"/>
  <c r="K24" i="2"/>
  <c r="I24" i="2"/>
  <c r="F24" i="2"/>
  <c r="E24" i="2"/>
  <c r="B24" i="2"/>
  <c r="O23" i="2"/>
  <c r="I23" i="2"/>
  <c r="K23" i="2" s="1"/>
  <c r="F23" i="2"/>
  <c r="B23" i="2"/>
  <c r="E23" i="2" s="1"/>
  <c r="O22" i="2"/>
  <c r="I22" i="2"/>
  <c r="K22" i="2" s="1"/>
  <c r="F22" i="2"/>
  <c r="E22" i="2"/>
  <c r="B22" i="2"/>
  <c r="O21" i="2"/>
  <c r="I21" i="2"/>
  <c r="F21" i="2"/>
  <c r="K21" i="2" s="1"/>
  <c r="E21" i="2"/>
  <c r="B21" i="2"/>
  <c r="O20" i="2"/>
  <c r="K20" i="2"/>
  <c r="I20" i="2"/>
  <c r="F20" i="2"/>
  <c r="B20" i="2"/>
  <c r="E20" i="2" s="1"/>
  <c r="O19" i="2"/>
  <c r="K19" i="2"/>
  <c r="I19" i="2"/>
  <c r="F19" i="2"/>
  <c r="B19" i="2"/>
  <c r="E19" i="2" s="1"/>
  <c r="O18" i="2"/>
  <c r="I18" i="2"/>
  <c r="F18" i="2"/>
  <c r="E18" i="2"/>
  <c r="B18" i="2"/>
  <c r="O17" i="2"/>
  <c r="I17" i="2"/>
  <c r="F17" i="2"/>
  <c r="K17" i="2" s="1"/>
  <c r="E17" i="2"/>
  <c r="B17" i="2"/>
  <c r="O16" i="2"/>
  <c r="K16" i="2"/>
  <c r="I16" i="2"/>
  <c r="F16" i="2"/>
  <c r="E16" i="2"/>
  <c r="B16" i="2"/>
  <c r="O15" i="2"/>
  <c r="I15" i="2"/>
  <c r="K15" i="2" s="1"/>
  <c r="F15" i="2"/>
  <c r="B15" i="2"/>
  <c r="E15" i="2" s="1"/>
  <c r="O14" i="2"/>
  <c r="I14" i="2"/>
  <c r="K14" i="2" s="1"/>
  <c r="F14" i="2"/>
  <c r="E14" i="2"/>
  <c r="B14" i="2"/>
  <c r="O13" i="2"/>
  <c r="I13" i="2"/>
  <c r="F13" i="2"/>
  <c r="K13" i="2" s="1"/>
  <c r="E13" i="2"/>
  <c r="B13" i="2"/>
  <c r="O12" i="2"/>
  <c r="K12" i="2"/>
  <c r="I12" i="2"/>
  <c r="F12" i="2"/>
  <c r="B12" i="2"/>
  <c r="E12" i="2" s="1"/>
  <c r="O11" i="2"/>
  <c r="I11" i="2"/>
  <c r="K11" i="2" s="1"/>
  <c r="F11" i="2"/>
  <c r="E11" i="2"/>
  <c r="B11" i="2"/>
  <c r="O10" i="2"/>
  <c r="I10" i="2"/>
  <c r="F10" i="2"/>
  <c r="K10" i="2" s="1"/>
  <c r="B10" i="2"/>
  <c r="E10" i="2" s="1"/>
  <c r="O9" i="2"/>
  <c r="I9" i="2"/>
  <c r="K9" i="2" s="1"/>
  <c r="F9" i="2"/>
  <c r="E9" i="2"/>
  <c r="B9" i="2"/>
  <c r="O8" i="2"/>
  <c r="K8" i="2"/>
  <c r="I8" i="2"/>
  <c r="F8" i="2"/>
  <c r="B8" i="2"/>
  <c r="E8" i="2" s="1"/>
  <c r="O7" i="2"/>
  <c r="I7" i="2"/>
  <c r="K7" i="2" s="1"/>
  <c r="F7" i="2"/>
  <c r="E7" i="2"/>
  <c r="B7" i="2"/>
  <c r="O6" i="2"/>
  <c r="I6" i="2"/>
  <c r="F6" i="2"/>
  <c r="K6" i="2" s="1"/>
  <c r="B6" i="2"/>
  <c r="E6" i="2" s="1"/>
  <c r="O5" i="2"/>
  <c r="I5" i="2"/>
  <c r="K5" i="2" s="1"/>
  <c r="F5" i="2"/>
  <c r="E5" i="2"/>
  <c r="B5" i="2"/>
  <c r="O4" i="2"/>
  <c r="K4" i="2"/>
  <c r="I4" i="2"/>
  <c r="F4" i="2"/>
  <c r="B4" i="2"/>
  <c r="E4" i="2" s="1"/>
  <c r="O3" i="2"/>
  <c r="I3" i="2"/>
  <c r="K3" i="2" s="1"/>
  <c r="F3" i="2"/>
  <c r="B3" i="2"/>
  <c r="E3" i="2" s="1"/>
  <c r="O2" i="2"/>
  <c r="I2" i="2"/>
  <c r="K2" i="2" s="1"/>
  <c r="F2" i="2"/>
  <c r="B2" i="2"/>
  <c r="E2" i="2" s="1"/>
  <c r="O303" i="1"/>
  <c r="N303" i="1"/>
  <c r="G303" i="1"/>
  <c r="F303" i="1"/>
  <c r="J303" i="1" s="1"/>
  <c r="M303" i="1" s="1"/>
  <c r="C303" i="1"/>
  <c r="H303" i="1" s="1"/>
  <c r="O302" i="1"/>
  <c r="N302" i="1"/>
  <c r="J302" i="1"/>
  <c r="M302" i="1" s="1"/>
  <c r="H302" i="1"/>
  <c r="G302" i="1"/>
  <c r="F302" i="1"/>
  <c r="C302" i="1"/>
  <c r="O301" i="1"/>
  <c r="N301" i="1"/>
  <c r="G301" i="1"/>
  <c r="F301" i="1"/>
  <c r="J301" i="1" s="1"/>
  <c r="M301" i="1" s="1"/>
  <c r="C301" i="1"/>
  <c r="H301" i="1" s="1"/>
  <c r="O300" i="1"/>
  <c r="N300" i="1"/>
  <c r="J300" i="1"/>
  <c r="M300" i="1" s="1"/>
  <c r="H300" i="1"/>
  <c r="G300" i="1"/>
  <c r="F300" i="1"/>
  <c r="C300" i="1"/>
  <c r="O299" i="1"/>
  <c r="N299" i="1"/>
  <c r="G299" i="1"/>
  <c r="F299" i="1"/>
  <c r="J299" i="1" s="1"/>
  <c r="M299" i="1" s="1"/>
  <c r="C299" i="1"/>
  <c r="H299" i="1" s="1"/>
  <c r="O298" i="1"/>
  <c r="N298" i="1"/>
  <c r="J298" i="1"/>
  <c r="M298" i="1" s="1"/>
  <c r="H298" i="1"/>
  <c r="G298" i="1"/>
  <c r="F298" i="1"/>
  <c r="C298" i="1"/>
  <c r="O297" i="1"/>
  <c r="N297" i="1"/>
  <c r="G297" i="1"/>
  <c r="F297" i="1"/>
  <c r="J297" i="1" s="1"/>
  <c r="M297" i="1" s="1"/>
  <c r="C297" i="1"/>
  <c r="H297" i="1" s="1"/>
  <c r="O296" i="1"/>
  <c r="N296" i="1"/>
  <c r="J296" i="1"/>
  <c r="M296" i="1" s="1"/>
  <c r="H296" i="1"/>
  <c r="G296" i="1"/>
  <c r="F296" i="1"/>
  <c r="C296" i="1"/>
  <c r="O295" i="1"/>
  <c r="N295" i="1"/>
  <c r="G295" i="1"/>
  <c r="F295" i="1"/>
  <c r="J295" i="1" s="1"/>
  <c r="M295" i="1" s="1"/>
  <c r="C295" i="1"/>
  <c r="H295" i="1" s="1"/>
  <c r="O294" i="1"/>
  <c r="N294" i="1"/>
  <c r="J294" i="1"/>
  <c r="M294" i="1" s="1"/>
  <c r="H294" i="1"/>
  <c r="G294" i="1"/>
  <c r="F294" i="1"/>
  <c r="C294" i="1"/>
  <c r="O293" i="1"/>
  <c r="N293" i="1"/>
  <c r="G293" i="1"/>
  <c r="F293" i="1"/>
  <c r="J293" i="1" s="1"/>
  <c r="M293" i="1" s="1"/>
  <c r="C293" i="1"/>
  <c r="H293" i="1" s="1"/>
  <c r="O292" i="1"/>
  <c r="N292" i="1"/>
  <c r="J292" i="1"/>
  <c r="M292" i="1" s="1"/>
  <c r="H292" i="1"/>
  <c r="G292" i="1"/>
  <c r="F292" i="1"/>
  <c r="C292" i="1"/>
  <c r="O291" i="1"/>
  <c r="N291" i="1"/>
  <c r="G291" i="1"/>
  <c r="F291" i="1"/>
  <c r="J291" i="1" s="1"/>
  <c r="M291" i="1" s="1"/>
  <c r="C291" i="1"/>
  <c r="H291" i="1" s="1"/>
  <c r="O290" i="1"/>
  <c r="N290" i="1"/>
  <c r="J290" i="1"/>
  <c r="M290" i="1" s="1"/>
  <c r="H290" i="1"/>
  <c r="G290" i="1"/>
  <c r="F290" i="1"/>
  <c r="C290" i="1"/>
  <c r="O289" i="1"/>
  <c r="N289" i="1"/>
  <c r="G289" i="1"/>
  <c r="F289" i="1"/>
  <c r="J289" i="1" s="1"/>
  <c r="M289" i="1" s="1"/>
  <c r="C289" i="1"/>
  <c r="H289" i="1" s="1"/>
  <c r="O288" i="1"/>
  <c r="N288" i="1"/>
  <c r="J288" i="1"/>
  <c r="M288" i="1" s="1"/>
  <c r="H288" i="1"/>
  <c r="G288" i="1"/>
  <c r="F288" i="1"/>
  <c r="C288" i="1"/>
  <c r="O287" i="1"/>
  <c r="N287" i="1"/>
  <c r="G287" i="1"/>
  <c r="F287" i="1"/>
  <c r="J287" i="1" s="1"/>
  <c r="M287" i="1" s="1"/>
  <c r="C287" i="1"/>
  <c r="H287" i="1" s="1"/>
  <c r="O286" i="1"/>
  <c r="N286" i="1"/>
  <c r="J286" i="1"/>
  <c r="M286" i="1" s="1"/>
  <c r="H286" i="1"/>
  <c r="G286" i="1"/>
  <c r="F286" i="1"/>
  <c r="C286" i="1"/>
  <c r="O285" i="1"/>
  <c r="N285" i="1"/>
  <c r="G285" i="1"/>
  <c r="F285" i="1"/>
  <c r="J285" i="1" s="1"/>
  <c r="M285" i="1" s="1"/>
  <c r="C285" i="1"/>
  <c r="H285" i="1" s="1"/>
  <c r="O284" i="1"/>
  <c r="N284" i="1"/>
  <c r="J284" i="1"/>
  <c r="M284" i="1" s="1"/>
  <c r="H284" i="1"/>
  <c r="G284" i="1"/>
  <c r="F284" i="1"/>
  <c r="C284" i="1"/>
  <c r="O283" i="1"/>
  <c r="N283" i="1"/>
  <c r="G283" i="1"/>
  <c r="F283" i="1"/>
  <c r="J283" i="1" s="1"/>
  <c r="M283" i="1" s="1"/>
  <c r="C283" i="1"/>
  <c r="H283" i="1" s="1"/>
  <c r="O282" i="1"/>
  <c r="N282" i="1"/>
  <c r="J282" i="1"/>
  <c r="M282" i="1" s="1"/>
  <c r="H282" i="1"/>
  <c r="G282" i="1"/>
  <c r="F282" i="1"/>
  <c r="C282" i="1"/>
  <c r="O281" i="1"/>
  <c r="N281" i="1"/>
  <c r="G281" i="1"/>
  <c r="F281" i="1"/>
  <c r="J281" i="1" s="1"/>
  <c r="M281" i="1" s="1"/>
  <c r="C281" i="1"/>
  <c r="H281" i="1" s="1"/>
  <c r="O280" i="1"/>
  <c r="N280" i="1"/>
  <c r="J280" i="1"/>
  <c r="M280" i="1" s="1"/>
  <c r="H280" i="1"/>
  <c r="G280" i="1"/>
  <c r="F280" i="1"/>
  <c r="C280" i="1"/>
  <c r="O279" i="1"/>
  <c r="N279" i="1"/>
  <c r="G279" i="1"/>
  <c r="F279" i="1"/>
  <c r="J279" i="1" s="1"/>
  <c r="M279" i="1" s="1"/>
  <c r="C279" i="1"/>
  <c r="H279" i="1" s="1"/>
  <c r="O278" i="1"/>
  <c r="N278" i="1"/>
  <c r="J278" i="1"/>
  <c r="M278" i="1" s="1"/>
  <c r="H278" i="1"/>
  <c r="G278" i="1"/>
  <c r="F278" i="1"/>
  <c r="C278" i="1"/>
  <c r="O277" i="1"/>
  <c r="N277" i="1"/>
  <c r="G277" i="1"/>
  <c r="F277" i="1"/>
  <c r="J277" i="1" s="1"/>
  <c r="M277" i="1" s="1"/>
  <c r="C277" i="1"/>
  <c r="H277" i="1" s="1"/>
  <c r="O276" i="1"/>
  <c r="N276" i="1"/>
  <c r="J276" i="1"/>
  <c r="M276" i="1" s="1"/>
  <c r="H276" i="1"/>
  <c r="G276" i="1"/>
  <c r="F276" i="1"/>
  <c r="C276" i="1"/>
  <c r="O275" i="1"/>
  <c r="N275" i="1"/>
  <c r="G275" i="1"/>
  <c r="F275" i="1"/>
  <c r="J275" i="1" s="1"/>
  <c r="M275" i="1" s="1"/>
  <c r="C275" i="1"/>
  <c r="H275" i="1" s="1"/>
  <c r="O274" i="1"/>
  <c r="N274" i="1"/>
  <c r="J274" i="1"/>
  <c r="M274" i="1" s="1"/>
  <c r="H274" i="1"/>
  <c r="G274" i="1"/>
  <c r="F274" i="1"/>
  <c r="C274" i="1"/>
  <c r="O273" i="1"/>
  <c r="N273" i="1"/>
  <c r="G273" i="1"/>
  <c r="F273" i="1"/>
  <c r="J273" i="1" s="1"/>
  <c r="M273" i="1" s="1"/>
  <c r="C273" i="1"/>
  <c r="H273" i="1" s="1"/>
  <c r="O272" i="1"/>
  <c r="N272" i="1"/>
  <c r="J272" i="1"/>
  <c r="M272" i="1" s="1"/>
  <c r="H272" i="1"/>
  <c r="G272" i="1"/>
  <c r="F272" i="1"/>
  <c r="C272" i="1"/>
  <c r="O271" i="1"/>
  <c r="N271" i="1"/>
  <c r="G271" i="1"/>
  <c r="F271" i="1"/>
  <c r="J271" i="1" s="1"/>
  <c r="M271" i="1" s="1"/>
  <c r="C271" i="1"/>
  <c r="H271" i="1" s="1"/>
  <c r="O270" i="1"/>
  <c r="N270" i="1"/>
  <c r="J270" i="1"/>
  <c r="M270" i="1" s="1"/>
  <c r="H270" i="1"/>
  <c r="G270" i="1"/>
  <c r="F270" i="1"/>
  <c r="C270" i="1"/>
  <c r="O269" i="1"/>
  <c r="N269" i="1"/>
  <c r="G269" i="1"/>
  <c r="F269" i="1"/>
  <c r="J269" i="1" s="1"/>
  <c r="M269" i="1" s="1"/>
  <c r="C269" i="1"/>
  <c r="H269" i="1" s="1"/>
  <c r="O268" i="1"/>
  <c r="N268" i="1"/>
  <c r="J268" i="1"/>
  <c r="M268" i="1" s="1"/>
  <c r="H268" i="1"/>
  <c r="G268" i="1"/>
  <c r="F268" i="1"/>
  <c r="C268" i="1"/>
  <c r="O267" i="1"/>
  <c r="N267" i="1"/>
  <c r="G267" i="1"/>
  <c r="F267" i="1"/>
  <c r="J267" i="1" s="1"/>
  <c r="M267" i="1" s="1"/>
  <c r="C267" i="1"/>
  <c r="H267" i="1" s="1"/>
  <c r="O266" i="1"/>
  <c r="N266" i="1"/>
  <c r="J266" i="1"/>
  <c r="M266" i="1" s="1"/>
  <c r="H266" i="1"/>
  <c r="G266" i="1"/>
  <c r="F266" i="1"/>
  <c r="C266" i="1"/>
  <c r="O265" i="1"/>
  <c r="N265" i="1"/>
  <c r="G265" i="1"/>
  <c r="F265" i="1"/>
  <c r="J265" i="1" s="1"/>
  <c r="M265" i="1" s="1"/>
  <c r="C265" i="1"/>
  <c r="H265" i="1" s="1"/>
  <c r="O264" i="1"/>
  <c r="N264" i="1"/>
  <c r="J264" i="1"/>
  <c r="M264" i="1" s="1"/>
  <c r="G264" i="1"/>
  <c r="F264" i="1"/>
  <c r="C264" i="1"/>
  <c r="H264" i="1" s="1"/>
  <c r="O263" i="1"/>
  <c r="N263" i="1"/>
  <c r="M263" i="1"/>
  <c r="G263" i="1"/>
  <c r="F263" i="1"/>
  <c r="J263" i="1" s="1"/>
  <c r="C263" i="1"/>
  <c r="H263" i="1" s="1"/>
  <c r="O262" i="1"/>
  <c r="N262" i="1"/>
  <c r="J262" i="1"/>
  <c r="M262" i="1" s="1"/>
  <c r="H262" i="1"/>
  <c r="G262" i="1"/>
  <c r="F262" i="1"/>
  <c r="C262" i="1"/>
  <c r="O261" i="1"/>
  <c r="N261" i="1"/>
  <c r="G261" i="1"/>
  <c r="F261" i="1"/>
  <c r="J261" i="1" s="1"/>
  <c r="M261" i="1" s="1"/>
  <c r="C261" i="1"/>
  <c r="H261" i="1" s="1"/>
  <c r="O260" i="1"/>
  <c r="N260" i="1"/>
  <c r="J260" i="1"/>
  <c r="M260" i="1" s="1"/>
  <c r="G260" i="1"/>
  <c r="F260" i="1"/>
  <c r="C260" i="1"/>
  <c r="H260" i="1" s="1"/>
  <c r="O259" i="1"/>
  <c r="N259" i="1"/>
  <c r="G259" i="1"/>
  <c r="F259" i="1"/>
  <c r="J259" i="1" s="1"/>
  <c r="M259" i="1" s="1"/>
  <c r="C259" i="1"/>
  <c r="H259" i="1" s="1"/>
  <c r="O258" i="1"/>
  <c r="N258" i="1"/>
  <c r="J258" i="1"/>
  <c r="M258" i="1" s="1"/>
  <c r="G258" i="1"/>
  <c r="F258" i="1"/>
  <c r="C258" i="1"/>
  <c r="H258" i="1" s="1"/>
  <c r="O257" i="1"/>
  <c r="N257" i="1"/>
  <c r="G257" i="1"/>
  <c r="F257" i="1"/>
  <c r="J257" i="1" s="1"/>
  <c r="M257" i="1" s="1"/>
  <c r="C257" i="1"/>
  <c r="H257" i="1" s="1"/>
  <c r="O256" i="1"/>
  <c r="N256" i="1"/>
  <c r="J256" i="1"/>
  <c r="M256" i="1" s="1"/>
  <c r="G256" i="1"/>
  <c r="F256" i="1"/>
  <c r="C256" i="1"/>
  <c r="H256" i="1" s="1"/>
  <c r="O255" i="1"/>
  <c r="N255" i="1"/>
  <c r="M255" i="1"/>
  <c r="G255" i="1"/>
  <c r="F255" i="1"/>
  <c r="J255" i="1" s="1"/>
  <c r="C255" i="1"/>
  <c r="H255" i="1" s="1"/>
  <c r="O254" i="1"/>
  <c r="N254" i="1"/>
  <c r="J254" i="1"/>
  <c r="M254" i="1" s="1"/>
  <c r="H254" i="1"/>
  <c r="G254" i="1"/>
  <c r="F254" i="1"/>
  <c r="C254" i="1"/>
  <c r="O253" i="1"/>
  <c r="N253" i="1"/>
  <c r="G253" i="1"/>
  <c r="F253" i="1"/>
  <c r="J253" i="1" s="1"/>
  <c r="M253" i="1" s="1"/>
  <c r="C253" i="1"/>
  <c r="H253" i="1" s="1"/>
  <c r="O252" i="1"/>
  <c r="N252" i="1"/>
  <c r="J252" i="1"/>
  <c r="M252" i="1" s="1"/>
  <c r="G252" i="1"/>
  <c r="F252" i="1"/>
  <c r="C252" i="1"/>
  <c r="H252" i="1" s="1"/>
  <c r="O251" i="1"/>
  <c r="N251" i="1"/>
  <c r="G251" i="1"/>
  <c r="F251" i="1"/>
  <c r="J251" i="1" s="1"/>
  <c r="M251" i="1" s="1"/>
  <c r="C251" i="1"/>
  <c r="H251" i="1" s="1"/>
  <c r="O250" i="1"/>
  <c r="N250" i="1"/>
  <c r="J250" i="1"/>
  <c r="M250" i="1" s="1"/>
  <c r="G250" i="1"/>
  <c r="F250" i="1"/>
  <c r="C250" i="1"/>
  <c r="H250" i="1" s="1"/>
  <c r="O249" i="1"/>
  <c r="N249" i="1"/>
  <c r="G249" i="1"/>
  <c r="F249" i="1"/>
  <c r="J249" i="1" s="1"/>
  <c r="M249" i="1" s="1"/>
  <c r="C249" i="1"/>
  <c r="H249" i="1" s="1"/>
  <c r="O248" i="1"/>
  <c r="N248" i="1"/>
  <c r="J248" i="1"/>
  <c r="M248" i="1" s="1"/>
  <c r="G248" i="1"/>
  <c r="F248" i="1"/>
  <c r="C248" i="1"/>
  <c r="H248" i="1" s="1"/>
  <c r="O247" i="1"/>
  <c r="N247" i="1"/>
  <c r="M247" i="1"/>
  <c r="G247" i="1"/>
  <c r="F247" i="1"/>
  <c r="J247" i="1" s="1"/>
  <c r="C247" i="1"/>
  <c r="H247" i="1" s="1"/>
  <c r="O246" i="1"/>
  <c r="N246" i="1"/>
  <c r="J246" i="1"/>
  <c r="M246" i="1" s="1"/>
  <c r="H246" i="1"/>
  <c r="G246" i="1"/>
  <c r="F246" i="1"/>
  <c r="C246" i="1"/>
  <c r="O245" i="1"/>
  <c r="N245" i="1"/>
  <c r="G245" i="1"/>
  <c r="F245" i="1"/>
  <c r="J245" i="1" s="1"/>
  <c r="M245" i="1" s="1"/>
  <c r="C245" i="1"/>
  <c r="H245" i="1" s="1"/>
  <c r="O244" i="1"/>
  <c r="N244" i="1"/>
  <c r="J244" i="1"/>
  <c r="M244" i="1" s="1"/>
  <c r="G244" i="1"/>
  <c r="F244" i="1"/>
  <c r="C244" i="1"/>
  <c r="H244" i="1" s="1"/>
  <c r="O243" i="1"/>
  <c r="N243" i="1"/>
  <c r="G243" i="1"/>
  <c r="F243" i="1"/>
  <c r="J243" i="1" s="1"/>
  <c r="M243" i="1" s="1"/>
  <c r="C243" i="1"/>
  <c r="H243" i="1" s="1"/>
  <c r="O242" i="1"/>
  <c r="N242" i="1"/>
  <c r="J242" i="1"/>
  <c r="M242" i="1" s="1"/>
  <c r="G242" i="1"/>
  <c r="F242" i="1"/>
  <c r="C242" i="1"/>
  <c r="H242" i="1" s="1"/>
  <c r="O241" i="1"/>
  <c r="N241" i="1"/>
  <c r="G241" i="1"/>
  <c r="F241" i="1"/>
  <c r="J241" i="1" s="1"/>
  <c r="M241" i="1" s="1"/>
  <c r="C241" i="1"/>
  <c r="H241" i="1" s="1"/>
  <c r="O240" i="1"/>
  <c r="N240" i="1"/>
  <c r="M240" i="1"/>
  <c r="J240" i="1"/>
  <c r="G240" i="1"/>
  <c r="F240" i="1"/>
  <c r="C240" i="1"/>
  <c r="H240" i="1" s="1"/>
  <c r="O239" i="1"/>
  <c r="N239" i="1"/>
  <c r="J239" i="1"/>
  <c r="M239" i="1" s="1"/>
  <c r="G239" i="1"/>
  <c r="F239" i="1"/>
  <c r="C239" i="1"/>
  <c r="H239" i="1" s="1"/>
  <c r="O238" i="1"/>
  <c r="N238" i="1"/>
  <c r="M238" i="1"/>
  <c r="J238" i="1"/>
  <c r="H238" i="1"/>
  <c r="G238" i="1"/>
  <c r="F238" i="1"/>
  <c r="C238" i="1"/>
  <c r="O237" i="1"/>
  <c r="N237" i="1"/>
  <c r="J237" i="1"/>
  <c r="M237" i="1" s="1"/>
  <c r="G237" i="1"/>
  <c r="F237" i="1"/>
  <c r="C237" i="1"/>
  <c r="H237" i="1" s="1"/>
  <c r="O236" i="1"/>
  <c r="N236" i="1"/>
  <c r="J236" i="1"/>
  <c r="M236" i="1" s="1"/>
  <c r="G236" i="1"/>
  <c r="F236" i="1"/>
  <c r="C236" i="1"/>
  <c r="H236" i="1" s="1"/>
  <c r="O235" i="1"/>
  <c r="N235" i="1"/>
  <c r="G235" i="1"/>
  <c r="F235" i="1"/>
  <c r="J235" i="1" s="1"/>
  <c r="M235" i="1" s="1"/>
  <c r="C235" i="1"/>
  <c r="H235" i="1" s="1"/>
  <c r="O234" i="1"/>
  <c r="N234" i="1"/>
  <c r="M234" i="1"/>
  <c r="J234" i="1"/>
  <c r="G234" i="1"/>
  <c r="F234" i="1"/>
  <c r="C234" i="1"/>
  <c r="H234" i="1" s="1"/>
  <c r="O233" i="1"/>
  <c r="N233" i="1"/>
  <c r="G233" i="1"/>
  <c r="F233" i="1"/>
  <c r="J233" i="1" s="1"/>
  <c r="M233" i="1" s="1"/>
  <c r="C233" i="1"/>
  <c r="H233" i="1" s="1"/>
  <c r="O232" i="1"/>
  <c r="N232" i="1"/>
  <c r="M232" i="1"/>
  <c r="J232" i="1"/>
  <c r="G232" i="1"/>
  <c r="F232" i="1"/>
  <c r="C232" i="1"/>
  <c r="H232" i="1" s="1"/>
  <c r="O231" i="1"/>
  <c r="N231" i="1"/>
  <c r="J231" i="1"/>
  <c r="M231" i="1" s="1"/>
  <c r="G231" i="1"/>
  <c r="F231" i="1"/>
  <c r="C231" i="1"/>
  <c r="H231" i="1" s="1"/>
  <c r="O230" i="1"/>
  <c r="N230" i="1"/>
  <c r="M230" i="1"/>
  <c r="J230" i="1"/>
  <c r="H230" i="1"/>
  <c r="G230" i="1"/>
  <c r="F230" i="1"/>
  <c r="C230" i="1"/>
  <c r="O229" i="1"/>
  <c r="N229" i="1"/>
  <c r="J229" i="1"/>
  <c r="M229" i="1" s="1"/>
  <c r="G229" i="1"/>
  <c r="F229" i="1"/>
  <c r="C229" i="1"/>
  <c r="H229" i="1" s="1"/>
  <c r="O228" i="1"/>
  <c r="N228" i="1"/>
  <c r="J228" i="1"/>
  <c r="M228" i="1" s="1"/>
  <c r="G228" i="1"/>
  <c r="F228" i="1"/>
  <c r="C228" i="1"/>
  <c r="H228" i="1" s="1"/>
  <c r="O227" i="1"/>
  <c r="N227" i="1"/>
  <c r="G227" i="1"/>
  <c r="F227" i="1"/>
  <c r="J227" i="1" s="1"/>
  <c r="M227" i="1" s="1"/>
  <c r="C227" i="1"/>
  <c r="H227" i="1" s="1"/>
  <c r="O226" i="1"/>
  <c r="N226" i="1"/>
  <c r="M226" i="1"/>
  <c r="J226" i="1"/>
  <c r="G226" i="1"/>
  <c r="F226" i="1"/>
  <c r="C226" i="1"/>
  <c r="H226" i="1" s="1"/>
  <c r="O225" i="1"/>
  <c r="N225" i="1"/>
  <c r="H225" i="1"/>
  <c r="G225" i="1"/>
  <c r="F225" i="1"/>
  <c r="J225" i="1" s="1"/>
  <c r="M225" i="1" s="1"/>
  <c r="C225" i="1"/>
  <c r="O224" i="1"/>
  <c r="N224" i="1"/>
  <c r="J224" i="1"/>
  <c r="M224" i="1" s="1"/>
  <c r="G224" i="1"/>
  <c r="F224" i="1"/>
  <c r="C224" i="1"/>
  <c r="H224" i="1" s="1"/>
  <c r="O223" i="1"/>
  <c r="N223" i="1"/>
  <c r="H223" i="1"/>
  <c r="G223" i="1"/>
  <c r="F223" i="1"/>
  <c r="J223" i="1" s="1"/>
  <c r="M223" i="1" s="1"/>
  <c r="C223" i="1"/>
  <c r="O222" i="1"/>
  <c r="N222" i="1"/>
  <c r="G222" i="1"/>
  <c r="F222" i="1"/>
  <c r="J222" i="1" s="1"/>
  <c r="M222" i="1" s="1"/>
  <c r="C222" i="1"/>
  <c r="H222" i="1" s="1"/>
  <c r="O221" i="1"/>
  <c r="N221" i="1"/>
  <c r="H221" i="1"/>
  <c r="G221" i="1"/>
  <c r="F221" i="1"/>
  <c r="J221" i="1" s="1"/>
  <c r="M221" i="1" s="1"/>
  <c r="C221" i="1"/>
  <c r="O220" i="1"/>
  <c r="N220" i="1"/>
  <c r="J220" i="1"/>
  <c r="M220" i="1" s="1"/>
  <c r="G220" i="1"/>
  <c r="F220" i="1"/>
  <c r="C220" i="1"/>
  <c r="H220" i="1" s="1"/>
  <c r="O219" i="1"/>
  <c r="N219" i="1"/>
  <c r="H219" i="1"/>
  <c r="G219" i="1"/>
  <c r="F219" i="1"/>
  <c r="J219" i="1" s="1"/>
  <c r="M219" i="1" s="1"/>
  <c r="C219" i="1"/>
  <c r="O218" i="1"/>
  <c r="N218" i="1"/>
  <c r="G218" i="1"/>
  <c r="F218" i="1"/>
  <c r="J218" i="1" s="1"/>
  <c r="M218" i="1" s="1"/>
  <c r="C218" i="1"/>
  <c r="H218" i="1" s="1"/>
  <c r="O217" i="1"/>
  <c r="N217" i="1"/>
  <c r="H217" i="1"/>
  <c r="G217" i="1"/>
  <c r="F217" i="1"/>
  <c r="J217" i="1" s="1"/>
  <c r="M217" i="1" s="1"/>
  <c r="C217" i="1"/>
  <c r="O216" i="1"/>
  <c r="N216" i="1"/>
  <c r="J216" i="1"/>
  <c r="M216" i="1" s="1"/>
  <c r="G216" i="1"/>
  <c r="F216" i="1"/>
  <c r="C216" i="1"/>
  <c r="H216" i="1" s="1"/>
  <c r="O215" i="1"/>
  <c r="N215" i="1"/>
  <c r="H215" i="1"/>
  <c r="G215" i="1"/>
  <c r="F215" i="1"/>
  <c r="J215" i="1" s="1"/>
  <c r="M215" i="1" s="1"/>
  <c r="C215" i="1"/>
  <c r="O214" i="1"/>
  <c r="N214" i="1"/>
  <c r="G214" i="1"/>
  <c r="F214" i="1"/>
  <c r="J214" i="1" s="1"/>
  <c r="M214" i="1" s="1"/>
  <c r="C214" i="1"/>
  <c r="H214" i="1" s="1"/>
  <c r="O213" i="1"/>
  <c r="N213" i="1"/>
  <c r="H213" i="1"/>
  <c r="G213" i="1"/>
  <c r="F213" i="1"/>
  <c r="J213" i="1" s="1"/>
  <c r="M213" i="1" s="1"/>
  <c r="C213" i="1"/>
  <c r="O212" i="1"/>
  <c r="N212" i="1"/>
  <c r="J212" i="1"/>
  <c r="M212" i="1" s="1"/>
  <c r="G212" i="1"/>
  <c r="F212" i="1"/>
  <c r="C212" i="1"/>
  <c r="H212" i="1" s="1"/>
  <c r="O211" i="1"/>
  <c r="N211" i="1"/>
  <c r="H211" i="1"/>
  <c r="G211" i="1"/>
  <c r="F211" i="1"/>
  <c r="J211" i="1" s="1"/>
  <c r="M211" i="1" s="1"/>
  <c r="C211" i="1"/>
  <c r="O210" i="1"/>
  <c r="N210" i="1"/>
  <c r="G210" i="1"/>
  <c r="F210" i="1"/>
  <c r="J210" i="1" s="1"/>
  <c r="M210" i="1" s="1"/>
  <c r="C210" i="1"/>
  <c r="H210" i="1" s="1"/>
  <c r="O209" i="1"/>
  <c r="N209" i="1"/>
  <c r="H209" i="1"/>
  <c r="G209" i="1"/>
  <c r="F209" i="1"/>
  <c r="J209" i="1" s="1"/>
  <c r="M209" i="1" s="1"/>
  <c r="C209" i="1"/>
  <c r="O208" i="1"/>
  <c r="N208" i="1"/>
  <c r="G208" i="1"/>
  <c r="F208" i="1"/>
  <c r="J208" i="1" s="1"/>
  <c r="M208" i="1" s="1"/>
  <c r="C208" i="1"/>
  <c r="H208" i="1" s="1"/>
  <c r="O207" i="1"/>
  <c r="N207" i="1"/>
  <c r="H207" i="1"/>
  <c r="G207" i="1"/>
  <c r="F207" i="1"/>
  <c r="J207" i="1" s="1"/>
  <c r="M207" i="1" s="1"/>
  <c r="C207" i="1"/>
  <c r="O206" i="1"/>
  <c r="N206" i="1"/>
  <c r="G206" i="1"/>
  <c r="F206" i="1"/>
  <c r="J206" i="1" s="1"/>
  <c r="M206" i="1" s="1"/>
  <c r="C206" i="1"/>
  <c r="H206" i="1" s="1"/>
  <c r="O205" i="1"/>
  <c r="N205" i="1"/>
  <c r="H205" i="1"/>
  <c r="G205" i="1"/>
  <c r="F205" i="1"/>
  <c r="J205" i="1" s="1"/>
  <c r="M205" i="1" s="1"/>
  <c r="C205" i="1"/>
  <c r="O204" i="1"/>
  <c r="N204" i="1"/>
  <c r="G204" i="1"/>
  <c r="F204" i="1"/>
  <c r="J204" i="1" s="1"/>
  <c r="M204" i="1" s="1"/>
  <c r="C204" i="1"/>
  <c r="H204" i="1" s="1"/>
  <c r="O203" i="1"/>
  <c r="N203" i="1"/>
  <c r="H203" i="1"/>
  <c r="G203" i="1"/>
  <c r="F203" i="1"/>
  <c r="J203" i="1" s="1"/>
  <c r="M203" i="1" s="1"/>
  <c r="C203" i="1"/>
  <c r="O202" i="1"/>
  <c r="N202" i="1"/>
  <c r="G202" i="1"/>
  <c r="F202" i="1"/>
  <c r="J202" i="1" s="1"/>
  <c r="M202" i="1" s="1"/>
  <c r="C202" i="1"/>
  <c r="H202" i="1" s="1"/>
  <c r="O201" i="1"/>
  <c r="N201" i="1"/>
  <c r="H201" i="1"/>
  <c r="G201" i="1"/>
  <c r="F201" i="1"/>
  <c r="J201" i="1" s="1"/>
  <c r="M201" i="1" s="1"/>
  <c r="C201" i="1"/>
  <c r="O200" i="1"/>
  <c r="N200" i="1"/>
  <c r="G200" i="1"/>
  <c r="F200" i="1"/>
  <c r="J200" i="1" s="1"/>
  <c r="M200" i="1" s="1"/>
  <c r="C200" i="1"/>
  <c r="H200" i="1" s="1"/>
  <c r="O199" i="1"/>
  <c r="N199" i="1"/>
  <c r="H199" i="1"/>
  <c r="G199" i="1"/>
  <c r="F199" i="1"/>
  <c r="J199" i="1" s="1"/>
  <c r="M199" i="1" s="1"/>
  <c r="C199" i="1"/>
  <c r="O198" i="1"/>
  <c r="N198" i="1"/>
  <c r="G198" i="1"/>
  <c r="F198" i="1"/>
  <c r="J198" i="1" s="1"/>
  <c r="M198" i="1" s="1"/>
  <c r="C198" i="1"/>
  <c r="H198" i="1" s="1"/>
  <c r="O197" i="1"/>
  <c r="N197" i="1"/>
  <c r="H197" i="1"/>
  <c r="G197" i="1"/>
  <c r="F197" i="1"/>
  <c r="J197" i="1" s="1"/>
  <c r="M197" i="1" s="1"/>
  <c r="C197" i="1"/>
  <c r="O196" i="1"/>
  <c r="N196" i="1"/>
  <c r="G196" i="1"/>
  <c r="F196" i="1"/>
  <c r="J196" i="1" s="1"/>
  <c r="M196" i="1" s="1"/>
  <c r="C196" i="1"/>
  <c r="H196" i="1" s="1"/>
  <c r="O195" i="1"/>
  <c r="N195" i="1"/>
  <c r="H195" i="1"/>
  <c r="G195" i="1"/>
  <c r="F195" i="1"/>
  <c r="J195" i="1" s="1"/>
  <c r="M195" i="1" s="1"/>
  <c r="C195" i="1"/>
  <c r="O194" i="1"/>
  <c r="N194" i="1"/>
  <c r="G194" i="1"/>
  <c r="F194" i="1"/>
  <c r="J194" i="1" s="1"/>
  <c r="M194" i="1" s="1"/>
  <c r="C194" i="1"/>
  <c r="H194" i="1" s="1"/>
  <c r="O193" i="1"/>
  <c r="N193" i="1"/>
  <c r="H193" i="1"/>
  <c r="G193" i="1"/>
  <c r="F193" i="1"/>
  <c r="J193" i="1" s="1"/>
  <c r="M193" i="1" s="1"/>
  <c r="C193" i="1"/>
  <c r="O192" i="1"/>
  <c r="N192" i="1"/>
  <c r="G192" i="1"/>
  <c r="F192" i="1"/>
  <c r="J192" i="1" s="1"/>
  <c r="M192" i="1" s="1"/>
  <c r="C192" i="1"/>
  <c r="H192" i="1" s="1"/>
  <c r="O191" i="1"/>
  <c r="N191" i="1"/>
  <c r="H191" i="1"/>
  <c r="G191" i="1"/>
  <c r="F191" i="1"/>
  <c r="J191" i="1" s="1"/>
  <c r="M191" i="1" s="1"/>
  <c r="C191" i="1"/>
  <c r="O190" i="1"/>
  <c r="N190" i="1"/>
  <c r="G190" i="1"/>
  <c r="F190" i="1"/>
  <c r="J190" i="1" s="1"/>
  <c r="M190" i="1" s="1"/>
  <c r="C190" i="1"/>
  <c r="H190" i="1" s="1"/>
  <c r="O189" i="1"/>
  <c r="N189" i="1"/>
  <c r="H189" i="1"/>
  <c r="G189" i="1"/>
  <c r="F189" i="1"/>
  <c r="J189" i="1" s="1"/>
  <c r="M189" i="1" s="1"/>
  <c r="C189" i="1"/>
  <c r="O188" i="1"/>
  <c r="N188" i="1"/>
  <c r="G188" i="1"/>
  <c r="F188" i="1"/>
  <c r="J188" i="1" s="1"/>
  <c r="M188" i="1" s="1"/>
  <c r="C188" i="1"/>
  <c r="H188" i="1" s="1"/>
  <c r="O187" i="1"/>
  <c r="N187" i="1"/>
  <c r="H187" i="1"/>
  <c r="G187" i="1"/>
  <c r="F187" i="1"/>
  <c r="J187" i="1" s="1"/>
  <c r="M187" i="1" s="1"/>
  <c r="C187" i="1"/>
  <c r="O186" i="1"/>
  <c r="N186" i="1"/>
  <c r="J186" i="1"/>
  <c r="M186" i="1" s="1"/>
  <c r="G186" i="1"/>
  <c r="F186" i="1"/>
  <c r="C186" i="1"/>
  <c r="H186" i="1" s="1"/>
  <c r="O185" i="1"/>
  <c r="N185" i="1"/>
  <c r="H185" i="1"/>
  <c r="G185" i="1"/>
  <c r="F185" i="1"/>
  <c r="J185" i="1" s="1"/>
  <c r="M185" i="1" s="1"/>
  <c r="C185" i="1"/>
  <c r="O184" i="1"/>
  <c r="N184" i="1"/>
  <c r="J184" i="1"/>
  <c r="M184" i="1" s="1"/>
  <c r="G184" i="1"/>
  <c r="F184" i="1"/>
  <c r="C184" i="1"/>
  <c r="H184" i="1" s="1"/>
  <c r="O183" i="1"/>
  <c r="N183" i="1"/>
  <c r="H183" i="1"/>
  <c r="G183" i="1"/>
  <c r="F183" i="1"/>
  <c r="J183" i="1" s="1"/>
  <c r="M183" i="1" s="1"/>
  <c r="C183" i="1"/>
  <c r="O182" i="1"/>
  <c r="N182" i="1"/>
  <c r="G182" i="1"/>
  <c r="F182" i="1"/>
  <c r="J182" i="1" s="1"/>
  <c r="M182" i="1" s="1"/>
  <c r="C182" i="1"/>
  <c r="H182" i="1" s="1"/>
  <c r="O181" i="1"/>
  <c r="N181" i="1"/>
  <c r="H181" i="1"/>
  <c r="G181" i="1"/>
  <c r="F181" i="1"/>
  <c r="J181" i="1" s="1"/>
  <c r="M181" i="1" s="1"/>
  <c r="C181" i="1"/>
  <c r="O180" i="1"/>
  <c r="N180" i="1"/>
  <c r="G180" i="1"/>
  <c r="F180" i="1"/>
  <c r="J180" i="1" s="1"/>
  <c r="M180" i="1" s="1"/>
  <c r="C180" i="1"/>
  <c r="H180" i="1" s="1"/>
  <c r="O179" i="1"/>
  <c r="N179" i="1"/>
  <c r="M179" i="1"/>
  <c r="H179" i="1"/>
  <c r="G179" i="1"/>
  <c r="F179" i="1"/>
  <c r="J179" i="1" s="1"/>
  <c r="C179" i="1"/>
  <c r="O178" i="1"/>
  <c r="N178" i="1"/>
  <c r="J178" i="1"/>
  <c r="M178" i="1" s="1"/>
  <c r="G178" i="1"/>
  <c r="F178" i="1"/>
  <c r="C178" i="1"/>
  <c r="H178" i="1" s="1"/>
  <c r="O177" i="1"/>
  <c r="N177" i="1"/>
  <c r="H177" i="1"/>
  <c r="G177" i="1"/>
  <c r="F177" i="1"/>
  <c r="J177" i="1" s="1"/>
  <c r="M177" i="1" s="1"/>
  <c r="C177" i="1"/>
  <c r="O176" i="1"/>
  <c r="N176" i="1"/>
  <c r="J176" i="1"/>
  <c r="M176" i="1" s="1"/>
  <c r="G176" i="1"/>
  <c r="F176" i="1"/>
  <c r="C176" i="1"/>
  <c r="H176" i="1" s="1"/>
  <c r="O175" i="1"/>
  <c r="N175" i="1"/>
  <c r="H175" i="1"/>
  <c r="G175" i="1"/>
  <c r="F175" i="1"/>
  <c r="J175" i="1" s="1"/>
  <c r="M175" i="1" s="1"/>
  <c r="C175" i="1"/>
  <c r="O174" i="1"/>
  <c r="N174" i="1"/>
  <c r="G174" i="1"/>
  <c r="F174" i="1"/>
  <c r="J174" i="1" s="1"/>
  <c r="M174" i="1" s="1"/>
  <c r="C174" i="1"/>
  <c r="H174" i="1" s="1"/>
  <c r="O173" i="1"/>
  <c r="N173" i="1"/>
  <c r="H173" i="1"/>
  <c r="G173" i="1"/>
  <c r="F173" i="1"/>
  <c r="J173" i="1" s="1"/>
  <c r="M173" i="1" s="1"/>
  <c r="C173" i="1"/>
  <c r="O172" i="1"/>
  <c r="N172" i="1"/>
  <c r="G172" i="1"/>
  <c r="F172" i="1"/>
  <c r="J172" i="1" s="1"/>
  <c r="M172" i="1" s="1"/>
  <c r="C172" i="1"/>
  <c r="H172" i="1" s="1"/>
  <c r="O171" i="1"/>
  <c r="N171" i="1"/>
  <c r="M171" i="1"/>
  <c r="H171" i="1"/>
  <c r="G171" i="1"/>
  <c r="F171" i="1"/>
  <c r="J171" i="1" s="1"/>
  <c r="C171" i="1"/>
  <c r="O170" i="1"/>
  <c r="N170" i="1"/>
  <c r="J170" i="1"/>
  <c r="M170" i="1" s="1"/>
  <c r="G170" i="1"/>
  <c r="F170" i="1"/>
  <c r="C170" i="1"/>
  <c r="H170" i="1" s="1"/>
  <c r="O169" i="1"/>
  <c r="N169" i="1"/>
  <c r="H169" i="1"/>
  <c r="G169" i="1"/>
  <c r="F169" i="1"/>
  <c r="J169" i="1" s="1"/>
  <c r="M169" i="1" s="1"/>
  <c r="C169" i="1"/>
  <c r="O168" i="1"/>
  <c r="N168" i="1"/>
  <c r="J168" i="1"/>
  <c r="M168" i="1" s="1"/>
  <c r="G168" i="1"/>
  <c r="F168" i="1"/>
  <c r="C168" i="1"/>
  <c r="H168" i="1" s="1"/>
  <c r="O167" i="1"/>
  <c r="N167" i="1"/>
  <c r="H167" i="1"/>
  <c r="G167" i="1"/>
  <c r="F167" i="1"/>
  <c r="J167" i="1" s="1"/>
  <c r="M167" i="1" s="1"/>
  <c r="C167" i="1"/>
  <c r="O166" i="1"/>
  <c r="N166" i="1"/>
  <c r="G166" i="1"/>
  <c r="F166" i="1"/>
  <c r="J166" i="1" s="1"/>
  <c r="M166" i="1" s="1"/>
  <c r="C166" i="1"/>
  <c r="H166" i="1" s="1"/>
  <c r="O165" i="1"/>
  <c r="N165" i="1"/>
  <c r="H165" i="1"/>
  <c r="G165" i="1"/>
  <c r="F165" i="1"/>
  <c r="J165" i="1" s="1"/>
  <c r="M165" i="1" s="1"/>
  <c r="C165" i="1"/>
  <c r="O164" i="1"/>
  <c r="N164" i="1"/>
  <c r="G164" i="1"/>
  <c r="F164" i="1"/>
  <c r="J164" i="1" s="1"/>
  <c r="M164" i="1" s="1"/>
  <c r="C164" i="1"/>
  <c r="H164" i="1" s="1"/>
  <c r="O163" i="1"/>
  <c r="N163" i="1"/>
  <c r="M163" i="1"/>
  <c r="H163" i="1"/>
  <c r="G163" i="1"/>
  <c r="F163" i="1"/>
  <c r="J163" i="1" s="1"/>
  <c r="C163" i="1"/>
  <c r="O162" i="1"/>
  <c r="N162" i="1"/>
  <c r="J162" i="1"/>
  <c r="M162" i="1" s="1"/>
  <c r="G162" i="1"/>
  <c r="F162" i="1"/>
  <c r="C162" i="1"/>
  <c r="H162" i="1" s="1"/>
  <c r="O161" i="1"/>
  <c r="N161" i="1"/>
  <c r="H161" i="1"/>
  <c r="G161" i="1"/>
  <c r="F161" i="1"/>
  <c r="J161" i="1" s="1"/>
  <c r="M161" i="1" s="1"/>
  <c r="C161" i="1"/>
  <c r="O160" i="1"/>
  <c r="N160" i="1"/>
  <c r="J160" i="1"/>
  <c r="M160" i="1" s="1"/>
  <c r="G160" i="1"/>
  <c r="F160" i="1"/>
  <c r="C160" i="1"/>
  <c r="H160" i="1" s="1"/>
  <c r="O159" i="1"/>
  <c r="N159" i="1"/>
  <c r="H159" i="1"/>
  <c r="G159" i="1"/>
  <c r="F159" i="1"/>
  <c r="J159" i="1" s="1"/>
  <c r="M159" i="1" s="1"/>
  <c r="C159" i="1"/>
  <c r="O158" i="1"/>
  <c r="N158" i="1"/>
  <c r="G158" i="1"/>
  <c r="F158" i="1"/>
  <c r="J158" i="1" s="1"/>
  <c r="M158" i="1" s="1"/>
  <c r="C158" i="1"/>
  <c r="H158" i="1" s="1"/>
  <c r="O157" i="1"/>
  <c r="N157" i="1"/>
  <c r="H157" i="1"/>
  <c r="G157" i="1"/>
  <c r="F157" i="1"/>
  <c r="J157" i="1" s="1"/>
  <c r="M157" i="1" s="1"/>
  <c r="C157" i="1"/>
  <c r="O156" i="1"/>
  <c r="N156" i="1"/>
  <c r="G156" i="1"/>
  <c r="F156" i="1"/>
  <c r="J156" i="1" s="1"/>
  <c r="M156" i="1" s="1"/>
  <c r="C156" i="1"/>
  <c r="H156" i="1" s="1"/>
  <c r="O155" i="1"/>
  <c r="N155" i="1"/>
  <c r="M155" i="1"/>
  <c r="H155" i="1"/>
  <c r="G155" i="1"/>
  <c r="F155" i="1"/>
  <c r="J155" i="1" s="1"/>
  <c r="C155" i="1"/>
  <c r="O154" i="1"/>
  <c r="N154" i="1"/>
  <c r="J154" i="1"/>
  <c r="M154" i="1" s="1"/>
  <c r="G154" i="1"/>
  <c r="F154" i="1"/>
  <c r="C154" i="1"/>
  <c r="H154" i="1" s="1"/>
  <c r="O153" i="1"/>
  <c r="N153" i="1"/>
  <c r="H153" i="1"/>
  <c r="G153" i="1"/>
  <c r="F153" i="1"/>
  <c r="J153" i="1" s="1"/>
  <c r="M153" i="1" s="1"/>
  <c r="C153" i="1"/>
  <c r="O152" i="1"/>
  <c r="N152" i="1"/>
  <c r="J152" i="1"/>
  <c r="M152" i="1" s="1"/>
  <c r="G152" i="1"/>
  <c r="F152" i="1"/>
  <c r="C152" i="1"/>
  <c r="H152" i="1" s="1"/>
  <c r="O151" i="1"/>
  <c r="N151" i="1"/>
  <c r="H151" i="1"/>
  <c r="G151" i="1"/>
  <c r="F151" i="1"/>
  <c r="J151" i="1" s="1"/>
  <c r="M151" i="1" s="1"/>
  <c r="C151" i="1"/>
  <c r="O150" i="1"/>
  <c r="N150" i="1"/>
  <c r="G150" i="1"/>
  <c r="F150" i="1"/>
  <c r="J150" i="1" s="1"/>
  <c r="M150" i="1" s="1"/>
  <c r="C150" i="1"/>
  <c r="H150" i="1" s="1"/>
  <c r="O149" i="1"/>
  <c r="N149" i="1"/>
  <c r="M149" i="1"/>
  <c r="H149" i="1"/>
  <c r="G149" i="1"/>
  <c r="F149" i="1"/>
  <c r="J149" i="1" s="1"/>
  <c r="C149" i="1"/>
  <c r="O148" i="1"/>
  <c r="N148" i="1"/>
  <c r="G148" i="1"/>
  <c r="F148" i="1"/>
  <c r="J148" i="1" s="1"/>
  <c r="M148" i="1" s="1"/>
  <c r="C148" i="1"/>
  <c r="H148" i="1" s="1"/>
  <c r="O147" i="1"/>
  <c r="N147" i="1"/>
  <c r="M147" i="1"/>
  <c r="H147" i="1"/>
  <c r="G147" i="1"/>
  <c r="F147" i="1"/>
  <c r="J147" i="1" s="1"/>
  <c r="C147" i="1"/>
  <c r="O146" i="1"/>
  <c r="N146" i="1"/>
  <c r="J146" i="1"/>
  <c r="M146" i="1" s="1"/>
  <c r="G146" i="1"/>
  <c r="F146" i="1"/>
  <c r="C146" i="1"/>
  <c r="H146" i="1" s="1"/>
  <c r="O145" i="1"/>
  <c r="N145" i="1"/>
  <c r="H145" i="1"/>
  <c r="G145" i="1"/>
  <c r="F145" i="1"/>
  <c r="J145" i="1" s="1"/>
  <c r="M145" i="1" s="1"/>
  <c r="C145" i="1"/>
  <c r="O144" i="1"/>
  <c r="N144" i="1"/>
  <c r="J144" i="1"/>
  <c r="M144" i="1" s="1"/>
  <c r="G144" i="1"/>
  <c r="F144" i="1"/>
  <c r="C144" i="1"/>
  <c r="H144" i="1" s="1"/>
  <c r="O143" i="1"/>
  <c r="N143" i="1"/>
  <c r="H143" i="1"/>
  <c r="G143" i="1"/>
  <c r="F143" i="1"/>
  <c r="J143" i="1" s="1"/>
  <c r="M143" i="1" s="1"/>
  <c r="C143" i="1"/>
  <c r="O142" i="1"/>
  <c r="N142" i="1"/>
  <c r="G142" i="1"/>
  <c r="F142" i="1"/>
  <c r="J142" i="1" s="1"/>
  <c r="M142" i="1" s="1"/>
  <c r="C142" i="1"/>
  <c r="H142" i="1" s="1"/>
  <c r="O141" i="1"/>
  <c r="N141" i="1"/>
  <c r="M141" i="1"/>
  <c r="H141" i="1"/>
  <c r="G141" i="1"/>
  <c r="F141" i="1"/>
  <c r="J141" i="1" s="1"/>
  <c r="C141" i="1"/>
  <c r="O140" i="1"/>
  <c r="N140" i="1"/>
  <c r="G140" i="1"/>
  <c r="F140" i="1"/>
  <c r="J140" i="1" s="1"/>
  <c r="M140" i="1" s="1"/>
  <c r="C140" i="1"/>
  <c r="H140" i="1" s="1"/>
  <c r="W139" i="1"/>
  <c r="O139" i="1"/>
  <c r="N139" i="1"/>
  <c r="J139" i="1"/>
  <c r="M139" i="1" s="1"/>
  <c r="G139" i="1"/>
  <c r="F139" i="1"/>
  <c r="C139" i="1"/>
  <c r="H139" i="1" s="1"/>
  <c r="W138" i="1"/>
  <c r="O138" i="1"/>
  <c r="N138" i="1"/>
  <c r="M138" i="1"/>
  <c r="H138" i="1"/>
  <c r="G138" i="1"/>
  <c r="F138" i="1"/>
  <c r="J138" i="1" s="1"/>
  <c r="C138" i="1"/>
  <c r="W137" i="1"/>
  <c r="O137" i="1"/>
  <c r="N137" i="1"/>
  <c r="G137" i="1"/>
  <c r="F137" i="1"/>
  <c r="J137" i="1" s="1"/>
  <c r="M137" i="1" s="1"/>
  <c r="C137" i="1"/>
  <c r="H137" i="1" s="1"/>
  <c r="W136" i="1"/>
  <c r="O136" i="1"/>
  <c r="N136" i="1"/>
  <c r="J136" i="1"/>
  <c r="M136" i="1" s="1"/>
  <c r="G136" i="1"/>
  <c r="F136" i="1"/>
  <c r="C136" i="1"/>
  <c r="H136" i="1" s="1"/>
  <c r="W135" i="1"/>
  <c r="O135" i="1"/>
  <c r="N135" i="1"/>
  <c r="J135" i="1"/>
  <c r="M135" i="1" s="1"/>
  <c r="H135" i="1"/>
  <c r="G135" i="1"/>
  <c r="F135" i="1"/>
  <c r="C135" i="1"/>
  <c r="W134" i="1"/>
  <c r="O134" i="1"/>
  <c r="N134" i="1"/>
  <c r="H134" i="1"/>
  <c r="G134" i="1"/>
  <c r="F134" i="1"/>
  <c r="J134" i="1" s="1"/>
  <c r="M134" i="1" s="1"/>
  <c r="C134" i="1"/>
  <c r="W133" i="1"/>
  <c r="O133" i="1"/>
  <c r="N133" i="1"/>
  <c r="J133" i="1"/>
  <c r="M133" i="1" s="1"/>
  <c r="G133" i="1"/>
  <c r="F133" i="1"/>
  <c r="C133" i="1"/>
  <c r="H133" i="1" s="1"/>
  <c r="W132" i="1"/>
  <c r="O132" i="1"/>
  <c r="N132" i="1"/>
  <c r="G132" i="1"/>
  <c r="F132" i="1"/>
  <c r="J132" i="1" s="1"/>
  <c r="M132" i="1" s="1"/>
  <c r="C132" i="1"/>
  <c r="H132" i="1" s="1"/>
  <c r="W131" i="1"/>
  <c r="O131" i="1"/>
  <c r="N131" i="1"/>
  <c r="M131" i="1"/>
  <c r="J131" i="1"/>
  <c r="H131" i="1"/>
  <c r="G131" i="1"/>
  <c r="F131" i="1"/>
  <c r="C131" i="1"/>
  <c r="W130" i="1"/>
  <c r="O130" i="1"/>
  <c r="N130" i="1"/>
  <c r="H130" i="1"/>
  <c r="G130" i="1"/>
  <c r="F130" i="1"/>
  <c r="J130" i="1" s="1"/>
  <c r="M130" i="1" s="1"/>
  <c r="C130" i="1"/>
  <c r="W129" i="1"/>
  <c r="O129" i="1"/>
  <c r="N129" i="1"/>
  <c r="J129" i="1"/>
  <c r="M129" i="1" s="1"/>
  <c r="G129" i="1"/>
  <c r="F129" i="1"/>
  <c r="C129" i="1"/>
  <c r="H129" i="1" s="1"/>
  <c r="W128" i="1"/>
  <c r="O128" i="1"/>
  <c r="N128" i="1"/>
  <c r="G128" i="1"/>
  <c r="F128" i="1"/>
  <c r="J128" i="1" s="1"/>
  <c r="M128" i="1" s="1"/>
  <c r="C128" i="1"/>
  <c r="H128" i="1" s="1"/>
  <c r="W127" i="1"/>
  <c r="O127" i="1"/>
  <c r="N127" i="1"/>
  <c r="M127" i="1"/>
  <c r="J127" i="1"/>
  <c r="G127" i="1"/>
  <c r="F127" i="1"/>
  <c r="C127" i="1"/>
  <c r="H127" i="1" s="1"/>
  <c r="W126" i="1"/>
  <c r="O126" i="1"/>
  <c r="N126" i="1"/>
  <c r="H126" i="1"/>
  <c r="G126" i="1"/>
  <c r="F126" i="1"/>
  <c r="J126" i="1" s="1"/>
  <c r="M126" i="1" s="1"/>
  <c r="C126" i="1"/>
  <c r="W125" i="1"/>
  <c r="O125" i="1"/>
  <c r="N125" i="1"/>
  <c r="G125" i="1"/>
  <c r="F125" i="1"/>
  <c r="J125" i="1" s="1"/>
  <c r="M125" i="1" s="1"/>
  <c r="C125" i="1"/>
  <c r="H125" i="1" s="1"/>
  <c r="W124" i="1"/>
  <c r="O124" i="1"/>
  <c r="N124" i="1"/>
  <c r="J124" i="1"/>
  <c r="M124" i="1" s="1"/>
  <c r="H124" i="1"/>
  <c r="G124" i="1"/>
  <c r="F124" i="1"/>
  <c r="C124" i="1"/>
  <c r="W123" i="1"/>
  <c r="O123" i="1"/>
  <c r="N123" i="1"/>
  <c r="J123" i="1"/>
  <c r="M123" i="1" s="1"/>
  <c r="G123" i="1"/>
  <c r="F123" i="1"/>
  <c r="C123" i="1"/>
  <c r="H123" i="1" s="1"/>
  <c r="W122" i="1"/>
  <c r="O122" i="1"/>
  <c r="N122" i="1"/>
  <c r="H122" i="1"/>
  <c r="G122" i="1"/>
  <c r="F122" i="1"/>
  <c r="J122" i="1" s="1"/>
  <c r="M122" i="1" s="1"/>
  <c r="C122" i="1"/>
  <c r="W121" i="1"/>
  <c r="O121" i="1"/>
  <c r="N121" i="1"/>
  <c r="G121" i="1"/>
  <c r="F121" i="1"/>
  <c r="J121" i="1" s="1"/>
  <c r="M121" i="1" s="1"/>
  <c r="C121" i="1"/>
  <c r="H121" i="1" s="1"/>
  <c r="W120" i="1"/>
  <c r="O120" i="1"/>
  <c r="N120" i="1"/>
  <c r="H120" i="1"/>
  <c r="G120" i="1"/>
  <c r="F120" i="1"/>
  <c r="J120" i="1" s="1"/>
  <c r="M120" i="1" s="1"/>
  <c r="C120" i="1"/>
  <c r="W119" i="1"/>
  <c r="O119" i="1"/>
  <c r="N119" i="1"/>
  <c r="J119" i="1"/>
  <c r="M119" i="1" s="1"/>
  <c r="G119" i="1"/>
  <c r="F119" i="1"/>
  <c r="C119" i="1"/>
  <c r="H119" i="1" s="1"/>
  <c r="W118" i="1"/>
  <c r="O118" i="1"/>
  <c r="N118" i="1"/>
  <c r="H118" i="1"/>
  <c r="G118" i="1"/>
  <c r="K118" i="1" s="1"/>
  <c r="F118" i="1"/>
  <c r="J118" i="1" s="1"/>
  <c r="M118" i="1" s="1"/>
  <c r="C118" i="1"/>
  <c r="W117" i="1"/>
  <c r="O117" i="1"/>
  <c r="N117" i="1"/>
  <c r="J117" i="1"/>
  <c r="M117" i="1" s="1"/>
  <c r="G117" i="1"/>
  <c r="K117" i="1" s="1"/>
  <c r="P117" i="1" s="1"/>
  <c r="F117" i="1"/>
  <c r="C117" i="1"/>
  <c r="H117" i="1" s="1"/>
  <c r="W116" i="1"/>
  <c r="O116" i="1"/>
  <c r="N116" i="1"/>
  <c r="J116" i="1"/>
  <c r="M116" i="1" s="1"/>
  <c r="G116" i="1"/>
  <c r="F116" i="1"/>
  <c r="C116" i="1"/>
  <c r="H116" i="1" s="1"/>
  <c r="W115" i="1"/>
  <c r="O115" i="1"/>
  <c r="N115" i="1"/>
  <c r="M115" i="1"/>
  <c r="J115" i="1"/>
  <c r="H115" i="1"/>
  <c r="G115" i="1"/>
  <c r="F115" i="1"/>
  <c r="C115" i="1"/>
  <c r="W114" i="1"/>
  <c r="O114" i="1"/>
  <c r="N114" i="1"/>
  <c r="H114" i="1"/>
  <c r="G114" i="1"/>
  <c r="F114" i="1"/>
  <c r="J114" i="1" s="1"/>
  <c r="M114" i="1" s="1"/>
  <c r="C114" i="1"/>
  <c r="W113" i="1"/>
  <c r="O113" i="1"/>
  <c r="N113" i="1"/>
  <c r="J113" i="1"/>
  <c r="M113" i="1" s="1"/>
  <c r="G113" i="1"/>
  <c r="F113" i="1"/>
  <c r="C113" i="1"/>
  <c r="H113" i="1" s="1"/>
  <c r="W112" i="1"/>
  <c r="O112" i="1"/>
  <c r="N112" i="1"/>
  <c r="G112" i="1"/>
  <c r="F112" i="1"/>
  <c r="J112" i="1" s="1"/>
  <c r="M112" i="1" s="1"/>
  <c r="C112" i="1"/>
  <c r="H112" i="1" s="1"/>
  <c r="W111" i="1"/>
  <c r="O111" i="1"/>
  <c r="N111" i="1"/>
  <c r="M111" i="1"/>
  <c r="J111" i="1"/>
  <c r="G111" i="1"/>
  <c r="F111" i="1"/>
  <c r="C111" i="1"/>
  <c r="H111" i="1" s="1"/>
  <c r="W110" i="1"/>
  <c r="O110" i="1"/>
  <c r="N110" i="1"/>
  <c r="H110" i="1"/>
  <c r="G110" i="1"/>
  <c r="K110" i="1" s="1"/>
  <c r="F110" i="1"/>
  <c r="J110" i="1" s="1"/>
  <c r="M110" i="1" s="1"/>
  <c r="C110" i="1"/>
  <c r="W109" i="1"/>
  <c r="O109" i="1"/>
  <c r="N109" i="1"/>
  <c r="M109" i="1"/>
  <c r="G109" i="1"/>
  <c r="F109" i="1"/>
  <c r="J109" i="1" s="1"/>
  <c r="C109" i="1"/>
  <c r="H109" i="1" s="1"/>
  <c r="W108" i="1"/>
  <c r="O108" i="1"/>
  <c r="N108" i="1"/>
  <c r="J108" i="1"/>
  <c r="M108" i="1" s="1"/>
  <c r="G108" i="1"/>
  <c r="F108" i="1"/>
  <c r="C108" i="1"/>
  <c r="H108" i="1" s="1"/>
  <c r="W107" i="1"/>
  <c r="O107" i="1"/>
  <c r="N107" i="1"/>
  <c r="M107" i="1"/>
  <c r="J107" i="1"/>
  <c r="G107" i="1"/>
  <c r="F107" i="1"/>
  <c r="C107" i="1"/>
  <c r="H107" i="1" s="1"/>
  <c r="W106" i="1"/>
  <c r="O106" i="1"/>
  <c r="N106" i="1"/>
  <c r="H106" i="1"/>
  <c r="G106" i="1"/>
  <c r="F106" i="1"/>
  <c r="J106" i="1" s="1"/>
  <c r="M106" i="1" s="1"/>
  <c r="C106" i="1"/>
  <c r="W105" i="1"/>
  <c r="O105" i="1"/>
  <c r="N105" i="1"/>
  <c r="J105" i="1"/>
  <c r="M105" i="1" s="1"/>
  <c r="G105" i="1"/>
  <c r="F105" i="1"/>
  <c r="C105" i="1"/>
  <c r="H105" i="1" s="1"/>
  <c r="W104" i="1"/>
  <c r="O104" i="1"/>
  <c r="N104" i="1"/>
  <c r="H104" i="1"/>
  <c r="G104" i="1"/>
  <c r="F104" i="1"/>
  <c r="J104" i="1" s="1"/>
  <c r="M104" i="1" s="1"/>
  <c r="C104" i="1"/>
  <c r="W103" i="1"/>
  <c r="O103" i="1"/>
  <c r="N103" i="1"/>
  <c r="J103" i="1"/>
  <c r="M103" i="1" s="1"/>
  <c r="H103" i="1"/>
  <c r="G103" i="1"/>
  <c r="F103" i="1"/>
  <c r="C103" i="1"/>
  <c r="W102" i="1"/>
  <c r="O102" i="1"/>
  <c r="N102" i="1"/>
  <c r="H102" i="1"/>
  <c r="G102" i="1"/>
  <c r="F102" i="1"/>
  <c r="J102" i="1" s="1"/>
  <c r="M102" i="1" s="1"/>
  <c r="C102" i="1"/>
  <c r="W101" i="1"/>
  <c r="O101" i="1"/>
  <c r="N101" i="1"/>
  <c r="J101" i="1"/>
  <c r="M101" i="1" s="1"/>
  <c r="G101" i="1"/>
  <c r="K101" i="1" s="1"/>
  <c r="P101" i="1" s="1"/>
  <c r="F101" i="1"/>
  <c r="C101" i="1"/>
  <c r="H101" i="1" s="1"/>
  <c r="W100" i="1"/>
  <c r="O100" i="1"/>
  <c r="N100" i="1"/>
  <c r="J100" i="1"/>
  <c r="M100" i="1" s="1"/>
  <c r="G100" i="1"/>
  <c r="F100" i="1"/>
  <c r="C100" i="1"/>
  <c r="H100" i="1" s="1"/>
  <c r="W99" i="1"/>
  <c r="O99" i="1"/>
  <c r="N99" i="1"/>
  <c r="M99" i="1"/>
  <c r="J99" i="1"/>
  <c r="H99" i="1"/>
  <c r="G99" i="1"/>
  <c r="F99" i="1"/>
  <c r="C99" i="1"/>
  <c r="W98" i="1"/>
  <c r="O98" i="1"/>
  <c r="N98" i="1"/>
  <c r="H98" i="1"/>
  <c r="G98" i="1"/>
  <c r="F98" i="1"/>
  <c r="J98" i="1" s="1"/>
  <c r="M98" i="1" s="1"/>
  <c r="C98" i="1"/>
  <c r="W97" i="1"/>
  <c r="O97" i="1"/>
  <c r="N97" i="1"/>
  <c r="G97" i="1"/>
  <c r="F97" i="1"/>
  <c r="J97" i="1" s="1"/>
  <c r="M97" i="1" s="1"/>
  <c r="C97" i="1"/>
  <c r="H97" i="1" s="1"/>
  <c r="W96" i="1"/>
  <c r="O96" i="1"/>
  <c r="N96" i="1"/>
  <c r="J96" i="1"/>
  <c r="M96" i="1" s="1"/>
  <c r="G96" i="1"/>
  <c r="F96" i="1"/>
  <c r="C96" i="1"/>
  <c r="H96" i="1" s="1"/>
  <c r="W95" i="1"/>
  <c r="O95" i="1"/>
  <c r="N95" i="1"/>
  <c r="M95" i="1"/>
  <c r="J95" i="1"/>
  <c r="G95" i="1"/>
  <c r="F95" i="1"/>
  <c r="C95" i="1"/>
  <c r="H95" i="1" s="1"/>
  <c r="W94" i="1"/>
  <c r="O94" i="1"/>
  <c r="N94" i="1"/>
  <c r="H94" i="1"/>
  <c r="G94" i="1"/>
  <c r="F94" i="1"/>
  <c r="J94" i="1" s="1"/>
  <c r="M94" i="1" s="1"/>
  <c r="C94" i="1"/>
  <c r="W93" i="1"/>
  <c r="O93" i="1"/>
  <c r="N93" i="1"/>
  <c r="G93" i="1"/>
  <c r="K93" i="1" s="1"/>
  <c r="F93" i="1"/>
  <c r="J93" i="1" s="1"/>
  <c r="M93" i="1" s="1"/>
  <c r="C93" i="1"/>
  <c r="H93" i="1" s="1"/>
  <c r="W92" i="1"/>
  <c r="O92" i="1"/>
  <c r="N92" i="1"/>
  <c r="J92" i="1"/>
  <c r="M92" i="1" s="1"/>
  <c r="H92" i="1"/>
  <c r="G92" i="1"/>
  <c r="F92" i="1"/>
  <c r="C92" i="1"/>
  <c r="W91" i="1"/>
  <c r="O91" i="1"/>
  <c r="N91" i="1"/>
  <c r="J91" i="1"/>
  <c r="M91" i="1" s="1"/>
  <c r="G91" i="1"/>
  <c r="F91" i="1"/>
  <c r="C91" i="1"/>
  <c r="H91" i="1" s="1"/>
  <c r="W90" i="1"/>
  <c r="O90" i="1"/>
  <c r="N90" i="1"/>
  <c r="M90" i="1"/>
  <c r="H90" i="1"/>
  <c r="G90" i="1"/>
  <c r="F90" i="1"/>
  <c r="J90" i="1" s="1"/>
  <c r="C90" i="1"/>
  <c r="W89" i="1"/>
  <c r="O89" i="1"/>
  <c r="N89" i="1"/>
  <c r="G89" i="1"/>
  <c r="K89" i="1" s="1"/>
  <c r="F89" i="1"/>
  <c r="J89" i="1" s="1"/>
  <c r="M89" i="1" s="1"/>
  <c r="C89" i="1"/>
  <c r="H89" i="1" s="1"/>
  <c r="W88" i="1"/>
  <c r="O88" i="1"/>
  <c r="N88" i="1"/>
  <c r="J88" i="1"/>
  <c r="M88" i="1" s="1"/>
  <c r="G88" i="1"/>
  <c r="F88" i="1"/>
  <c r="C88" i="1"/>
  <c r="H88" i="1" s="1"/>
  <c r="W87" i="1"/>
  <c r="O87" i="1"/>
  <c r="N87" i="1"/>
  <c r="M87" i="1"/>
  <c r="J87" i="1"/>
  <c r="G87" i="1"/>
  <c r="F87" i="1"/>
  <c r="C87" i="1"/>
  <c r="H87" i="1" s="1"/>
  <c r="W86" i="1"/>
  <c r="O86" i="1"/>
  <c r="N86" i="1"/>
  <c r="J86" i="1"/>
  <c r="M86" i="1" s="1"/>
  <c r="G86" i="1"/>
  <c r="F86" i="1"/>
  <c r="C86" i="1"/>
  <c r="H86" i="1" s="1"/>
  <c r="W85" i="1"/>
  <c r="O85" i="1"/>
  <c r="N85" i="1"/>
  <c r="M85" i="1"/>
  <c r="J85" i="1"/>
  <c r="H85" i="1"/>
  <c r="G85" i="1"/>
  <c r="K85" i="1" s="1"/>
  <c r="F85" i="1"/>
  <c r="C85" i="1"/>
  <c r="W84" i="1"/>
  <c r="O84" i="1"/>
  <c r="N84" i="1"/>
  <c r="H84" i="1"/>
  <c r="G84" i="1"/>
  <c r="K84" i="1" s="1"/>
  <c r="P84" i="1" s="1"/>
  <c r="F84" i="1"/>
  <c r="J84" i="1" s="1"/>
  <c r="M84" i="1" s="1"/>
  <c r="C84" i="1"/>
  <c r="W83" i="1"/>
  <c r="O83" i="1"/>
  <c r="N83" i="1"/>
  <c r="G83" i="1"/>
  <c r="F83" i="1"/>
  <c r="J83" i="1" s="1"/>
  <c r="M83" i="1" s="1"/>
  <c r="C83" i="1"/>
  <c r="H83" i="1" s="1"/>
  <c r="W82" i="1"/>
  <c r="O82" i="1"/>
  <c r="N82" i="1"/>
  <c r="J82" i="1"/>
  <c r="M82" i="1" s="1"/>
  <c r="G82" i="1"/>
  <c r="F82" i="1"/>
  <c r="C82" i="1"/>
  <c r="H82" i="1" s="1"/>
  <c r="W81" i="1"/>
  <c r="O81" i="1"/>
  <c r="N81" i="1"/>
  <c r="M81" i="1"/>
  <c r="J81" i="1"/>
  <c r="H81" i="1"/>
  <c r="G81" i="1"/>
  <c r="K81" i="1" s="1"/>
  <c r="P81" i="1" s="1"/>
  <c r="F81" i="1"/>
  <c r="C81" i="1"/>
  <c r="W80" i="1"/>
  <c r="O80" i="1"/>
  <c r="N80" i="1"/>
  <c r="H80" i="1"/>
  <c r="G80" i="1"/>
  <c r="K80" i="1" s="1"/>
  <c r="F80" i="1"/>
  <c r="J80" i="1" s="1"/>
  <c r="M80" i="1" s="1"/>
  <c r="C80" i="1"/>
  <c r="W79" i="1"/>
  <c r="O79" i="1"/>
  <c r="N79" i="1"/>
  <c r="G79" i="1"/>
  <c r="F79" i="1"/>
  <c r="J79" i="1" s="1"/>
  <c r="M79" i="1" s="1"/>
  <c r="C79" i="1"/>
  <c r="H79" i="1" s="1"/>
  <c r="W78" i="1"/>
  <c r="O78" i="1"/>
  <c r="N78" i="1"/>
  <c r="J78" i="1"/>
  <c r="M78" i="1" s="1"/>
  <c r="G78" i="1"/>
  <c r="F78" i="1"/>
  <c r="C78" i="1"/>
  <c r="H78" i="1" s="1"/>
  <c r="W77" i="1"/>
  <c r="O77" i="1"/>
  <c r="N77" i="1"/>
  <c r="M77" i="1"/>
  <c r="J77" i="1"/>
  <c r="H77" i="1"/>
  <c r="G77" i="1"/>
  <c r="K77" i="1" s="1"/>
  <c r="F77" i="1"/>
  <c r="C77" i="1"/>
  <c r="W76" i="1"/>
  <c r="O76" i="1"/>
  <c r="N76" i="1"/>
  <c r="H76" i="1"/>
  <c r="G76" i="1"/>
  <c r="K76" i="1" s="1"/>
  <c r="F76" i="1"/>
  <c r="J76" i="1" s="1"/>
  <c r="M76" i="1" s="1"/>
  <c r="C76" i="1"/>
  <c r="W75" i="1"/>
  <c r="O75" i="1"/>
  <c r="N75" i="1"/>
  <c r="G75" i="1"/>
  <c r="F75" i="1"/>
  <c r="J75" i="1" s="1"/>
  <c r="M75" i="1" s="1"/>
  <c r="C75" i="1"/>
  <c r="H75" i="1" s="1"/>
  <c r="W74" i="1"/>
  <c r="O74" i="1"/>
  <c r="N74" i="1"/>
  <c r="J74" i="1"/>
  <c r="M74" i="1" s="1"/>
  <c r="G74" i="1"/>
  <c r="F74" i="1"/>
  <c r="C74" i="1"/>
  <c r="H74" i="1" s="1"/>
  <c r="W73" i="1"/>
  <c r="O73" i="1"/>
  <c r="N73" i="1"/>
  <c r="M73" i="1"/>
  <c r="J73" i="1"/>
  <c r="H73" i="1"/>
  <c r="G73" i="1"/>
  <c r="K73" i="1" s="1"/>
  <c r="P73" i="1" s="1"/>
  <c r="F73" i="1"/>
  <c r="C73" i="1"/>
  <c r="W72" i="1"/>
  <c r="O72" i="1"/>
  <c r="N72" i="1"/>
  <c r="H72" i="1"/>
  <c r="G72" i="1"/>
  <c r="K72" i="1" s="1"/>
  <c r="F72" i="1"/>
  <c r="J72" i="1" s="1"/>
  <c r="M72" i="1" s="1"/>
  <c r="C72" i="1"/>
  <c r="W71" i="1"/>
  <c r="O71" i="1"/>
  <c r="N71" i="1"/>
  <c r="K71" i="1"/>
  <c r="G71" i="1"/>
  <c r="F71" i="1"/>
  <c r="J71" i="1" s="1"/>
  <c r="M71" i="1" s="1"/>
  <c r="P71" i="1" s="1"/>
  <c r="C71" i="1"/>
  <c r="H71" i="1" s="1"/>
  <c r="W70" i="1"/>
  <c r="O70" i="1"/>
  <c r="N70" i="1"/>
  <c r="J70" i="1"/>
  <c r="M70" i="1" s="1"/>
  <c r="G70" i="1"/>
  <c r="F70" i="1"/>
  <c r="C70" i="1"/>
  <c r="H70" i="1" s="1"/>
  <c r="W69" i="1"/>
  <c r="O69" i="1"/>
  <c r="N69" i="1"/>
  <c r="M69" i="1"/>
  <c r="J69" i="1"/>
  <c r="H69" i="1"/>
  <c r="G69" i="1"/>
  <c r="K69" i="1" s="1"/>
  <c r="P69" i="1" s="1"/>
  <c r="F69" i="1"/>
  <c r="C69" i="1"/>
  <c r="W68" i="1"/>
  <c r="O68" i="1"/>
  <c r="N68" i="1"/>
  <c r="H68" i="1"/>
  <c r="G68" i="1"/>
  <c r="K68" i="1" s="1"/>
  <c r="F68" i="1"/>
  <c r="J68" i="1" s="1"/>
  <c r="M68" i="1" s="1"/>
  <c r="C68" i="1"/>
  <c r="W67" i="1"/>
  <c r="O67" i="1"/>
  <c r="N67" i="1"/>
  <c r="K67" i="1"/>
  <c r="P67" i="1" s="1"/>
  <c r="G67" i="1"/>
  <c r="F67" i="1"/>
  <c r="J67" i="1" s="1"/>
  <c r="M67" i="1" s="1"/>
  <c r="C67" i="1"/>
  <c r="H67" i="1" s="1"/>
  <c r="W66" i="1"/>
  <c r="O66" i="1"/>
  <c r="N66" i="1"/>
  <c r="J66" i="1"/>
  <c r="M66" i="1" s="1"/>
  <c r="G66" i="1"/>
  <c r="F66" i="1"/>
  <c r="C66" i="1"/>
  <c r="H66" i="1" s="1"/>
  <c r="W65" i="1"/>
  <c r="O65" i="1"/>
  <c r="N65" i="1"/>
  <c r="M65" i="1"/>
  <c r="J65" i="1"/>
  <c r="H65" i="1"/>
  <c r="G65" i="1"/>
  <c r="K65" i="1" s="1"/>
  <c r="P65" i="1" s="1"/>
  <c r="F65" i="1"/>
  <c r="C65" i="1"/>
  <c r="W64" i="1"/>
  <c r="O64" i="1"/>
  <c r="N64" i="1"/>
  <c r="H64" i="1"/>
  <c r="G64" i="1"/>
  <c r="K64" i="1" s="1"/>
  <c r="F64" i="1"/>
  <c r="J64" i="1" s="1"/>
  <c r="M64" i="1" s="1"/>
  <c r="C64" i="1"/>
  <c r="W63" i="1"/>
  <c r="O63" i="1"/>
  <c r="N63" i="1"/>
  <c r="K63" i="1"/>
  <c r="G63" i="1"/>
  <c r="F63" i="1"/>
  <c r="J63" i="1" s="1"/>
  <c r="M63" i="1" s="1"/>
  <c r="C63" i="1"/>
  <c r="H63" i="1" s="1"/>
  <c r="W62" i="1"/>
  <c r="O62" i="1"/>
  <c r="N62" i="1"/>
  <c r="J62" i="1"/>
  <c r="M62" i="1" s="1"/>
  <c r="G62" i="1"/>
  <c r="F62" i="1"/>
  <c r="C62" i="1"/>
  <c r="H62" i="1" s="1"/>
  <c r="W61" i="1"/>
  <c r="O61" i="1"/>
  <c r="N61" i="1"/>
  <c r="M61" i="1"/>
  <c r="J61" i="1"/>
  <c r="H61" i="1"/>
  <c r="G61" i="1"/>
  <c r="K61" i="1" s="1"/>
  <c r="P61" i="1" s="1"/>
  <c r="F61" i="1"/>
  <c r="C61" i="1"/>
  <c r="W60" i="1"/>
  <c r="O60" i="1"/>
  <c r="N60" i="1"/>
  <c r="H60" i="1"/>
  <c r="G60" i="1"/>
  <c r="K60" i="1" s="1"/>
  <c r="F60" i="1"/>
  <c r="J60" i="1" s="1"/>
  <c r="M60" i="1" s="1"/>
  <c r="C60" i="1"/>
  <c r="W59" i="1"/>
  <c r="O59" i="1"/>
  <c r="N59" i="1"/>
  <c r="K59" i="1"/>
  <c r="P59" i="1" s="1"/>
  <c r="G59" i="1"/>
  <c r="F59" i="1"/>
  <c r="J59" i="1" s="1"/>
  <c r="M59" i="1" s="1"/>
  <c r="C59" i="1"/>
  <c r="H59" i="1" s="1"/>
  <c r="W58" i="1"/>
  <c r="O58" i="1"/>
  <c r="N58" i="1"/>
  <c r="J58" i="1"/>
  <c r="M58" i="1" s="1"/>
  <c r="G58" i="1"/>
  <c r="F58" i="1"/>
  <c r="C58" i="1"/>
  <c r="H58" i="1" s="1"/>
  <c r="W57" i="1"/>
  <c r="O57" i="1"/>
  <c r="N57" i="1"/>
  <c r="M57" i="1"/>
  <c r="J57" i="1"/>
  <c r="H57" i="1"/>
  <c r="G57" i="1"/>
  <c r="K57" i="1" s="1"/>
  <c r="P57" i="1" s="1"/>
  <c r="F57" i="1"/>
  <c r="C57" i="1"/>
  <c r="W56" i="1"/>
  <c r="O56" i="1"/>
  <c r="N56" i="1"/>
  <c r="H56" i="1"/>
  <c r="G56" i="1"/>
  <c r="K56" i="1" s="1"/>
  <c r="F56" i="1"/>
  <c r="J56" i="1" s="1"/>
  <c r="M56" i="1" s="1"/>
  <c r="C56" i="1"/>
  <c r="W55" i="1"/>
  <c r="O55" i="1"/>
  <c r="N55" i="1"/>
  <c r="K55" i="1"/>
  <c r="G55" i="1"/>
  <c r="F55" i="1"/>
  <c r="J55" i="1" s="1"/>
  <c r="M55" i="1" s="1"/>
  <c r="C55" i="1"/>
  <c r="H55" i="1" s="1"/>
  <c r="W54" i="1"/>
  <c r="O54" i="1"/>
  <c r="N54" i="1"/>
  <c r="J54" i="1"/>
  <c r="M54" i="1" s="1"/>
  <c r="G54" i="1"/>
  <c r="F54" i="1"/>
  <c r="C54" i="1"/>
  <c r="H54" i="1" s="1"/>
  <c r="W53" i="1"/>
  <c r="O53" i="1"/>
  <c r="N53" i="1"/>
  <c r="M53" i="1"/>
  <c r="J53" i="1"/>
  <c r="H53" i="1"/>
  <c r="G53" i="1"/>
  <c r="K53" i="1" s="1"/>
  <c r="P53" i="1" s="1"/>
  <c r="F53" i="1"/>
  <c r="C53" i="1"/>
  <c r="W52" i="1"/>
  <c r="O52" i="1"/>
  <c r="N52" i="1"/>
  <c r="H52" i="1"/>
  <c r="G52" i="1"/>
  <c r="K52" i="1" s="1"/>
  <c r="F52" i="1"/>
  <c r="J52" i="1" s="1"/>
  <c r="M52" i="1" s="1"/>
  <c r="C52" i="1"/>
  <c r="W51" i="1"/>
  <c r="O51" i="1"/>
  <c r="N51" i="1"/>
  <c r="K51" i="1"/>
  <c r="P51" i="1" s="1"/>
  <c r="G51" i="1"/>
  <c r="F51" i="1"/>
  <c r="J51" i="1" s="1"/>
  <c r="M51" i="1" s="1"/>
  <c r="C51" i="1"/>
  <c r="H51" i="1" s="1"/>
  <c r="W50" i="1"/>
  <c r="O50" i="1"/>
  <c r="N50" i="1"/>
  <c r="J50" i="1"/>
  <c r="M50" i="1" s="1"/>
  <c r="G50" i="1"/>
  <c r="F50" i="1"/>
  <c r="C50" i="1"/>
  <c r="H50" i="1" s="1"/>
  <c r="W49" i="1"/>
  <c r="O49" i="1"/>
  <c r="N49" i="1"/>
  <c r="M49" i="1"/>
  <c r="J49" i="1"/>
  <c r="H49" i="1"/>
  <c r="G49" i="1"/>
  <c r="K49" i="1" s="1"/>
  <c r="P49" i="1" s="1"/>
  <c r="F49" i="1"/>
  <c r="C49" i="1"/>
  <c r="W48" i="1"/>
  <c r="O48" i="1"/>
  <c r="N48" i="1"/>
  <c r="H48" i="1"/>
  <c r="G48" i="1"/>
  <c r="K48" i="1" s="1"/>
  <c r="F48" i="1"/>
  <c r="J48" i="1" s="1"/>
  <c r="M48" i="1" s="1"/>
  <c r="C48" i="1"/>
  <c r="W47" i="1"/>
  <c r="O47" i="1"/>
  <c r="N47" i="1"/>
  <c r="K47" i="1"/>
  <c r="G47" i="1"/>
  <c r="F47" i="1"/>
  <c r="J47" i="1" s="1"/>
  <c r="M47" i="1" s="1"/>
  <c r="C47" i="1"/>
  <c r="H47" i="1" s="1"/>
  <c r="W46" i="1"/>
  <c r="O46" i="1"/>
  <c r="N46" i="1"/>
  <c r="J46" i="1"/>
  <c r="M46" i="1" s="1"/>
  <c r="G46" i="1"/>
  <c r="F46" i="1"/>
  <c r="C46" i="1"/>
  <c r="H46" i="1" s="1"/>
  <c r="W45" i="1"/>
  <c r="O45" i="1"/>
  <c r="N45" i="1"/>
  <c r="M45" i="1"/>
  <c r="J45" i="1"/>
  <c r="H45" i="1"/>
  <c r="G45" i="1"/>
  <c r="K45" i="1" s="1"/>
  <c r="P45" i="1" s="1"/>
  <c r="F45" i="1"/>
  <c r="C45" i="1"/>
  <c r="W44" i="1"/>
  <c r="O44" i="1"/>
  <c r="N44" i="1"/>
  <c r="H44" i="1"/>
  <c r="G44" i="1"/>
  <c r="K44" i="1" s="1"/>
  <c r="F44" i="1"/>
  <c r="J44" i="1" s="1"/>
  <c r="M44" i="1" s="1"/>
  <c r="C44" i="1"/>
  <c r="W43" i="1"/>
  <c r="O43" i="1"/>
  <c r="N43" i="1"/>
  <c r="K43" i="1"/>
  <c r="P43" i="1" s="1"/>
  <c r="G43" i="1"/>
  <c r="F43" i="1"/>
  <c r="J43" i="1" s="1"/>
  <c r="M43" i="1" s="1"/>
  <c r="C43" i="1"/>
  <c r="H43" i="1" s="1"/>
  <c r="W42" i="1"/>
  <c r="O42" i="1"/>
  <c r="N42" i="1"/>
  <c r="J42" i="1"/>
  <c r="M42" i="1" s="1"/>
  <c r="G42" i="1"/>
  <c r="F42" i="1"/>
  <c r="C42" i="1"/>
  <c r="H42" i="1" s="1"/>
  <c r="W41" i="1"/>
  <c r="O41" i="1"/>
  <c r="N41" i="1"/>
  <c r="M41" i="1"/>
  <c r="J41" i="1"/>
  <c r="H41" i="1"/>
  <c r="G41" i="1"/>
  <c r="K41" i="1" s="1"/>
  <c r="P41" i="1" s="1"/>
  <c r="F41" i="1"/>
  <c r="C41" i="1"/>
  <c r="W40" i="1"/>
  <c r="O40" i="1"/>
  <c r="N40" i="1"/>
  <c r="H40" i="1"/>
  <c r="G40" i="1"/>
  <c r="K40" i="1" s="1"/>
  <c r="F40" i="1"/>
  <c r="J40" i="1" s="1"/>
  <c r="M40" i="1" s="1"/>
  <c r="C40" i="1"/>
  <c r="W39" i="1"/>
  <c r="O39" i="1"/>
  <c r="N39" i="1"/>
  <c r="K39" i="1"/>
  <c r="G39" i="1"/>
  <c r="F39" i="1"/>
  <c r="J39" i="1" s="1"/>
  <c r="M39" i="1" s="1"/>
  <c r="C39" i="1"/>
  <c r="H39" i="1" s="1"/>
  <c r="W38" i="1"/>
  <c r="O38" i="1"/>
  <c r="N38" i="1"/>
  <c r="J38" i="1"/>
  <c r="M38" i="1" s="1"/>
  <c r="G38" i="1"/>
  <c r="F38" i="1"/>
  <c r="C38" i="1"/>
  <c r="H38" i="1" s="1"/>
  <c r="W37" i="1"/>
  <c r="O37" i="1"/>
  <c r="N37" i="1"/>
  <c r="M37" i="1"/>
  <c r="J37" i="1"/>
  <c r="H37" i="1"/>
  <c r="G37" i="1"/>
  <c r="K37" i="1" s="1"/>
  <c r="P37" i="1" s="1"/>
  <c r="F37" i="1"/>
  <c r="C37" i="1"/>
  <c r="W36" i="1"/>
  <c r="O36" i="1"/>
  <c r="N36" i="1"/>
  <c r="K36" i="1"/>
  <c r="P36" i="1" s="1"/>
  <c r="H36" i="1"/>
  <c r="G36" i="1"/>
  <c r="F36" i="1"/>
  <c r="J36" i="1" s="1"/>
  <c r="M36" i="1" s="1"/>
  <c r="C36" i="1"/>
  <c r="W35" i="1"/>
  <c r="O35" i="1"/>
  <c r="N35" i="1"/>
  <c r="K35" i="1"/>
  <c r="P35" i="1" s="1"/>
  <c r="J35" i="1"/>
  <c r="M35" i="1" s="1"/>
  <c r="G35" i="1"/>
  <c r="F35" i="1"/>
  <c r="C35" i="1"/>
  <c r="H35" i="1" s="1"/>
  <c r="W34" i="1"/>
  <c r="O34" i="1"/>
  <c r="N34" i="1"/>
  <c r="J34" i="1"/>
  <c r="M34" i="1" s="1"/>
  <c r="H34" i="1"/>
  <c r="G34" i="1"/>
  <c r="F34" i="1"/>
  <c r="C34" i="1"/>
  <c r="W33" i="1"/>
  <c r="O33" i="1"/>
  <c r="N33" i="1"/>
  <c r="M33" i="1"/>
  <c r="J33" i="1"/>
  <c r="H33" i="1"/>
  <c r="G33" i="1"/>
  <c r="K33" i="1" s="1"/>
  <c r="F33" i="1"/>
  <c r="C33" i="1"/>
  <c r="W32" i="1"/>
  <c r="O32" i="1"/>
  <c r="N32" i="1"/>
  <c r="K32" i="1"/>
  <c r="H32" i="1"/>
  <c r="G32" i="1"/>
  <c r="F32" i="1"/>
  <c r="J32" i="1" s="1"/>
  <c r="M32" i="1" s="1"/>
  <c r="C32" i="1"/>
  <c r="Z31" i="1"/>
  <c r="W31" i="1"/>
  <c r="O31" i="1"/>
  <c r="N31" i="1"/>
  <c r="K31" i="1"/>
  <c r="P31" i="1" s="1"/>
  <c r="H31" i="1"/>
  <c r="G31" i="1"/>
  <c r="F31" i="1"/>
  <c r="J31" i="1" s="1"/>
  <c r="M31" i="1" s="1"/>
  <c r="C31" i="1"/>
  <c r="Z30" i="1"/>
  <c r="W30" i="1"/>
  <c r="O30" i="1"/>
  <c r="N30" i="1"/>
  <c r="K30" i="1"/>
  <c r="H30" i="1"/>
  <c r="G30" i="1"/>
  <c r="F30" i="1"/>
  <c r="J30" i="1" s="1"/>
  <c r="M30" i="1" s="1"/>
  <c r="C30" i="1"/>
  <c r="Z29" i="1"/>
  <c r="W29" i="1"/>
  <c r="O29" i="1"/>
  <c r="N29" i="1"/>
  <c r="K29" i="1"/>
  <c r="P29" i="1" s="1"/>
  <c r="H29" i="1"/>
  <c r="G29" i="1"/>
  <c r="F29" i="1"/>
  <c r="J29" i="1" s="1"/>
  <c r="M29" i="1" s="1"/>
  <c r="C29" i="1"/>
  <c r="Z28" i="1"/>
  <c r="W28" i="1"/>
  <c r="O28" i="1"/>
  <c r="N28" i="1"/>
  <c r="K28" i="1"/>
  <c r="H28" i="1"/>
  <c r="G28" i="1"/>
  <c r="F28" i="1"/>
  <c r="J28" i="1" s="1"/>
  <c r="M28" i="1" s="1"/>
  <c r="C28" i="1"/>
  <c r="Z27" i="1"/>
  <c r="W27" i="1"/>
  <c r="O27" i="1"/>
  <c r="N27" i="1"/>
  <c r="K27" i="1"/>
  <c r="P27" i="1" s="1"/>
  <c r="H27" i="1"/>
  <c r="G27" i="1"/>
  <c r="F27" i="1"/>
  <c r="J27" i="1" s="1"/>
  <c r="M27" i="1" s="1"/>
  <c r="C27" i="1"/>
  <c r="Z26" i="1"/>
  <c r="W26" i="1"/>
  <c r="O26" i="1"/>
  <c r="N26" i="1"/>
  <c r="K26" i="1"/>
  <c r="H26" i="1"/>
  <c r="G26" i="1"/>
  <c r="F26" i="1"/>
  <c r="J26" i="1" s="1"/>
  <c r="M26" i="1" s="1"/>
  <c r="P26" i="1" s="1"/>
  <c r="C26" i="1"/>
  <c r="Z25" i="1"/>
  <c r="W25" i="1"/>
  <c r="O25" i="1"/>
  <c r="N25" i="1"/>
  <c r="K25" i="1"/>
  <c r="H25" i="1"/>
  <c r="G25" i="1"/>
  <c r="F25" i="1"/>
  <c r="J25" i="1" s="1"/>
  <c r="M25" i="1" s="1"/>
  <c r="P25" i="1" s="1"/>
  <c r="C25" i="1"/>
  <c r="Z24" i="1"/>
  <c r="W24" i="1"/>
  <c r="O24" i="1"/>
  <c r="N24" i="1"/>
  <c r="K24" i="1"/>
  <c r="H24" i="1"/>
  <c r="G24" i="1"/>
  <c r="F24" i="1"/>
  <c r="J24" i="1" s="1"/>
  <c r="M24" i="1" s="1"/>
  <c r="C24" i="1"/>
  <c r="Z23" i="1"/>
  <c r="W23" i="1"/>
  <c r="O23" i="1"/>
  <c r="N23" i="1"/>
  <c r="K23" i="1"/>
  <c r="P23" i="1" s="1"/>
  <c r="H23" i="1"/>
  <c r="G23" i="1"/>
  <c r="F23" i="1"/>
  <c r="J23" i="1" s="1"/>
  <c r="M23" i="1" s="1"/>
  <c r="C23" i="1"/>
  <c r="Z22" i="1"/>
  <c r="W22" i="1"/>
  <c r="O22" i="1"/>
  <c r="N22" i="1"/>
  <c r="K22" i="1"/>
  <c r="H22" i="1"/>
  <c r="G22" i="1"/>
  <c r="F22" i="1"/>
  <c r="J22" i="1" s="1"/>
  <c r="M22" i="1" s="1"/>
  <c r="C22" i="1"/>
  <c r="Z21" i="1"/>
  <c r="W21" i="1"/>
  <c r="O21" i="1"/>
  <c r="N21" i="1"/>
  <c r="K21" i="1"/>
  <c r="P21" i="1" s="1"/>
  <c r="H21" i="1"/>
  <c r="G21" i="1"/>
  <c r="F21" i="1"/>
  <c r="J21" i="1" s="1"/>
  <c r="M21" i="1" s="1"/>
  <c r="C21" i="1"/>
  <c r="Z20" i="1"/>
  <c r="W20" i="1"/>
  <c r="O20" i="1"/>
  <c r="N20" i="1"/>
  <c r="K20" i="1"/>
  <c r="H20" i="1"/>
  <c r="G20" i="1"/>
  <c r="F20" i="1"/>
  <c r="J20" i="1" s="1"/>
  <c r="M20" i="1" s="1"/>
  <c r="C20" i="1"/>
  <c r="Z19" i="1"/>
  <c r="W19" i="1"/>
  <c r="O19" i="1"/>
  <c r="N19" i="1"/>
  <c r="K19" i="1"/>
  <c r="P19" i="1" s="1"/>
  <c r="H19" i="1"/>
  <c r="G19" i="1"/>
  <c r="F19" i="1"/>
  <c r="J19" i="1" s="1"/>
  <c r="M19" i="1" s="1"/>
  <c r="C19" i="1"/>
  <c r="Z18" i="1"/>
  <c r="W18" i="1"/>
  <c r="O18" i="1"/>
  <c r="N18" i="1"/>
  <c r="K18" i="1"/>
  <c r="H18" i="1"/>
  <c r="G18" i="1"/>
  <c r="F18" i="1"/>
  <c r="J18" i="1" s="1"/>
  <c r="M18" i="1" s="1"/>
  <c r="C18" i="1"/>
  <c r="Z17" i="1"/>
  <c r="W17" i="1"/>
  <c r="O17" i="1"/>
  <c r="N17" i="1"/>
  <c r="K17" i="1"/>
  <c r="P17" i="1" s="1"/>
  <c r="H17" i="1"/>
  <c r="G17" i="1"/>
  <c r="F17" i="1"/>
  <c r="J17" i="1" s="1"/>
  <c r="M17" i="1" s="1"/>
  <c r="C17" i="1"/>
  <c r="Z16" i="1"/>
  <c r="W16" i="1"/>
  <c r="O16" i="1"/>
  <c r="N16" i="1"/>
  <c r="K16" i="1"/>
  <c r="H16" i="1"/>
  <c r="G16" i="1"/>
  <c r="F16" i="1"/>
  <c r="J16" i="1" s="1"/>
  <c r="M16" i="1" s="1"/>
  <c r="C16" i="1"/>
  <c r="Z15" i="1"/>
  <c r="W15" i="1"/>
  <c r="O15" i="1"/>
  <c r="N15" i="1"/>
  <c r="K15" i="1"/>
  <c r="P15" i="1" s="1"/>
  <c r="H15" i="1"/>
  <c r="G15" i="1"/>
  <c r="F15" i="1"/>
  <c r="J15" i="1" s="1"/>
  <c r="M15" i="1" s="1"/>
  <c r="C15" i="1"/>
  <c r="Z14" i="1"/>
  <c r="W14" i="1"/>
  <c r="O14" i="1"/>
  <c r="N14" i="1"/>
  <c r="K14" i="1"/>
  <c r="H14" i="1"/>
  <c r="G14" i="1"/>
  <c r="F14" i="1"/>
  <c r="J14" i="1" s="1"/>
  <c r="M14" i="1" s="1"/>
  <c r="C14" i="1"/>
  <c r="Z13" i="1"/>
  <c r="W13" i="1"/>
  <c r="O13" i="1"/>
  <c r="N13" i="1"/>
  <c r="K13" i="1"/>
  <c r="P13" i="1" s="1"/>
  <c r="H13" i="1"/>
  <c r="G13" i="1"/>
  <c r="F13" i="1"/>
  <c r="J13" i="1" s="1"/>
  <c r="M13" i="1" s="1"/>
  <c r="C13" i="1"/>
  <c r="Z12" i="1"/>
  <c r="W12" i="1"/>
  <c r="O12" i="1"/>
  <c r="N12" i="1"/>
  <c r="M12" i="1"/>
  <c r="J12" i="1"/>
  <c r="H12" i="1"/>
  <c r="G12" i="1"/>
  <c r="K12" i="1" s="1"/>
  <c r="P12" i="1" s="1"/>
  <c r="F12" i="1"/>
  <c r="C12" i="1"/>
  <c r="Z11" i="1"/>
  <c r="W11" i="1"/>
  <c r="O11" i="1"/>
  <c r="N11" i="1"/>
  <c r="J11" i="1"/>
  <c r="M11" i="1" s="1"/>
  <c r="H11" i="1"/>
  <c r="G11" i="1"/>
  <c r="F11" i="1"/>
  <c r="C11" i="1"/>
  <c r="Z10" i="1"/>
  <c r="W10" i="1"/>
  <c r="O10" i="1"/>
  <c r="N10" i="1"/>
  <c r="J10" i="1"/>
  <c r="M10" i="1" s="1"/>
  <c r="H10" i="1"/>
  <c r="G10" i="1"/>
  <c r="F10" i="1"/>
  <c r="C10" i="1"/>
  <c r="Z9" i="1"/>
  <c r="W9" i="1"/>
  <c r="O9" i="1"/>
  <c r="N9" i="1"/>
  <c r="J9" i="1"/>
  <c r="M9" i="1" s="1"/>
  <c r="H9" i="1"/>
  <c r="G9" i="1"/>
  <c r="F9" i="1"/>
  <c r="C9" i="1"/>
  <c r="Z8" i="1"/>
  <c r="W8" i="1"/>
  <c r="O8" i="1"/>
  <c r="N8" i="1"/>
  <c r="J8" i="1"/>
  <c r="M8" i="1" s="1"/>
  <c r="H8" i="1"/>
  <c r="G8" i="1"/>
  <c r="F8" i="1"/>
  <c r="C8" i="1"/>
  <c r="AC7" i="1"/>
  <c r="AC11" i="1" s="1"/>
  <c r="AC12" i="1" s="1"/>
  <c r="Z7" i="1"/>
  <c r="W7" i="1"/>
  <c r="O7" i="1"/>
  <c r="N7" i="1"/>
  <c r="K7" i="1"/>
  <c r="P7" i="1" s="1"/>
  <c r="J7" i="1"/>
  <c r="M7" i="1" s="1"/>
  <c r="G7" i="1"/>
  <c r="F7" i="1"/>
  <c r="C7" i="1"/>
  <c r="H7" i="1" s="1"/>
  <c r="Z6" i="1"/>
  <c r="W6" i="1"/>
  <c r="O6" i="1"/>
  <c r="N6" i="1"/>
  <c r="K6" i="1"/>
  <c r="J6" i="1"/>
  <c r="M6" i="1" s="1"/>
  <c r="G6" i="1"/>
  <c r="F6" i="1"/>
  <c r="C6" i="1"/>
  <c r="H6" i="1" s="1"/>
  <c r="Z5" i="1"/>
  <c r="W5" i="1"/>
  <c r="O5" i="1"/>
  <c r="N5" i="1"/>
  <c r="K5" i="1"/>
  <c r="J5" i="1"/>
  <c r="M5" i="1" s="1"/>
  <c r="G5" i="1"/>
  <c r="F5" i="1"/>
  <c r="C5" i="1"/>
  <c r="H5" i="1" s="1"/>
  <c r="Z4" i="1"/>
  <c r="W4" i="1"/>
  <c r="O4" i="1"/>
  <c r="N4" i="1"/>
  <c r="K4" i="1"/>
  <c r="J4" i="1"/>
  <c r="M4" i="1" s="1"/>
  <c r="G4" i="1"/>
  <c r="F4" i="1"/>
  <c r="C4" i="1"/>
  <c r="H4" i="1" s="1"/>
  <c r="S2" i="1"/>
  <c r="N2" i="1"/>
  <c r="P85" i="1" l="1"/>
  <c r="P14" i="1"/>
  <c r="P18" i="1"/>
  <c r="P22" i="1"/>
  <c r="P30" i="1"/>
  <c r="P33" i="1"/>
  <c r="P48" i="1"/>
  <c r="P56" i="1"/>
  <c r="P64" i="1"/>
  <c r="P72" i="1"/>
  <c r="P77" i="1"/>
  <c r="P110" i="1"/>
  <c r="P40" i="1"/>
  <c r="P5" i="1"/>
  <c r="P76" i="1"/>
  <c r="P89" i="1"/>
  <c r="P4" i="1"/>
  <c r="P6" i="1"/>
  <c r="P16" i="1"/>
  <c r="P20" i="1"/>
  <c r="P24" i="1"/>
  <c r="P28" i="1"/>
  <c r="P32" i="1"/>
  <c r="P39" i="1"/>
  <c r="P44" i="1"/>
  <c r="P47" i="1"/>
  <c r="P52" i="1"/>
  <c r="P55" i="1"/>
  <c r="P60" i="1"/>
  <c r="P63" i="1"/>
  <c r="P68" i="1"/>
  <c r="P80" i="1"/>
  <c r="P93" i="1"/>
  <c r="P118" i="1"/>
  <c r="K303" i="1"/>
  <c r="P303" i="1" s="1"/>
  <c r="K301" i="1"/>
  <c r="P301" i="1" s="1"/>
  <c r="K299" i="1"/>
  <c r="P299" i="1" s="1"/>
  <c r="K297" i="1"/>
  <c r="P297" i="1" s="1"/>
  <c r="K295" i="1"/>
  <c r="P295" i="1" s="1"/>
  <c r="K293" i="1"/>
  <c r="P293" i="1" s="1"/>
  <c r="K291" i="1"/>
  <c r="P291" i="1" s="1"/>
  <c r="K289" i="1"/>
  <c r="P289" i="1" s="1"/>
  <c r="I1" i="2"/>
  <c r="K263" i="1"/>
  <c r="P263" i="1" s="1"/>
  <c r="K255" i="1"/>
  <c r="P255" i="1" s="1"/>
  <c r="K247" i="1"/>
  <c r="P247" i="1" s="1"/>
  <c r="K235" i="1"/>
  <c r="P235" i="1" s="1"/>
  <c r="K227" i="1"/>
  <c r="P227" i="1" s="1"/>
  <c r="K223" i="1"/>
  <c r="P223" i="1" s="1"/>
  <c r="K222" i="1"/>
  <c r="P222" i="1" s="1"/>
  <c r="K219" i="1"/>
  <c r="P219" i="1" s="1"/>
  <c r="K218" i="1"/>
  <c r="P218" i="1" s="1"/>
  <c r="K215" i="1"/>
  <c r="P215" i="1" s="1"/>
  <c r="K214" i="1"/>
  <c r="P214" i="1" s="1"/>
  <c r="K211" i="1"/>
  <c r="P211" i="1" s="1"/>
  <c r="K210" i="1"/>
  <c r="P210" i="1" s="1"/>
  <c r="K285" i="1"/>
  <c r="P285" i="1" s="1"/>
  <c r="K281" i="1"/>
  <c r="P281" i="1" s="1"/>
  <c r="K277" i="1"/>
  <c r="P277" i="1" s="1"/>
  <c r="K273" i="1"/>
  <c r="P273" i="1" s="1"/>
  <c r="K269" i="1"/>
  <c r="P269" i="1" s="1"/>
  <c r="K265" i="1"/>
  <c r="P265" i="1" s="1"/>
  <c r="K257" i="1"/>
  <c r="P257" i="1" s="1"/>
  <c r="K249" i="1"/>
  <c r="P249" i="1" s="1"/>
  <c r="K224" i="1"/>
  <c r="P224" i="1" s="1"/>
  <c r="K220" i="1"/>
  <c r="P220" i="1" s="1"/>
  <c r="K216" i="1"/>
  <c r="P216" i="1" s="1"/>
  <c r="K212" i="1"/>
  <c r="P212" i="1" s="1"/>
  <c r="K287" i="1"/>
  <c r="P287" i="1" s="1"/>
  <c r="K283" i="1"/>
  <c r="P283" i="1" s="1"/>
  <c r="K279" i="1"/>
  <c r="P279" i="1" s="1"/>
  <c r="K275" i="1"/>
  <c r="P275" i="1" s="1"/>
  <c r="K271" i="1"/>
  <c r="P271" i="1" s="1"/>
  <c r="K267" i="1"/>
  <c r="P267" i="1" s="1"/>
  <c r="K261" i="1"/>
  <c r="P261" i="1" s="1"/>
  <c r="K253" i="1"/>
  <c r="P253" i="1" s="1"/>
  <c r="K245" i="1"/>
  <c r="P245" i="1" s="1"/>
  <c r="K237" i="1"/>
  <c r="P237" i="1" s="1"/>
  <c r="K229" i="1"/>
  <c r="P229" i="1" s="1"/>
  <c r="K208" i="1"/>
  <c r="P208" i="1" s="1"/>
  <c r="K206" i="1"/>
  <c r="P206" i="1" s="1"/>
  <c r="K204" i="1"/>
  <c r="P204" i="1" s="1"/>
  <c r="K202" i="1"/>
  <c r="P202" i="1" s="1"/>
  <c r="K200" i="1"/>
  <c r="P200" i="1" s="1"/>
  <c r="K194" i="1"/>
  <c r="P194" i="1" s="1"/>
  <c r="K186" i="1"/>
  <c r="P186" i="1" s="1"/>
  <c r="K178" i="1"/>
  <c r="P178" i="1" s="1"/>
  <c r="K170" i="1"/>
  <c r="P170" i="1" s="1"/>
  <c r="K162" i="1"/>
  <c r="P162" i="1" s="1"/>
  <c r="K192" i="1"/>
  <c r="P192" i="1" s="1"/>
  <c r="K180" i="1"/>
  <c r="P180" i="1" s="1"/>
  <c r="K172" i="1"/>
  <c r="P172" i="1" s="1"/>
  <c r="K164" i="1"/>
  <c r="P164" i="1" s="1"/>
  <c r="K156" i="1"/>
  <c r="P156" i="1" s="1"/>
  <c r="K198" i="1"/>
  <c r="P198" i="1" s="1"/>
  <c r="K190" i="1"/>
  <c r="P190" i="1" s="1"/>
  <c r="K182" i="1"/>
  <c r="P182" i="1" s="1"/>
  <c r="K174" i="1"/>
  <c r="P174" i="1" s="1"/>
  <c r="K166" i="1"/>
  <c r="P166" i="1" s="1"/>
  <c r="K158" i="1"/>
  <c r="P158" i="1" s="1"/>
  <c r="K150" i="1"/>
  <c r="P150" i="1" s="1"/>
  <c r="K142" i="1"/>
  <c r="P142" i="1" s="1"/>
  <c r="K120" i="1"/>
  <c r="P120" i="1" s="1"/>
  <c r="K196" i="1"/>
  <c r="P196" i="1" s="1"/>
  <c r="K188" i="1"/>
  <c r="P188" i="1" s="1"/>
  <c r="K184" i="1"/>
  <c r="P184" i="1" s="1"/>
  <c r="K176" i="1"/>
  <c r="P176" i="1" s="1"/>
  <c r="K168" i="1"/>
  <c r="P168" i="1" s="1"/>
  <c r="K160" i="1"/>
  <c r="P160" i="1" s="1"/>
  <c r="K152" i="1"/>
  <c r="P152" i="1" s="1"/>
  <c r="K144" i="1"/>
  <c r="P144" i="1" s="1"/>
  <c r="K136" i="1"/>
  <c r="P136" i="1" s="1"/>
  <c r="K124" i="1"/>
  <c r="P124" i="1" s="1"/>
  <c r="K108" i="1"/>
  <c r="P108" i="1" s="1"/>
  <c r="K92" i="1"/>
  <c r="P92" i="1" s="1"/>
  <c r="K46" i="1"/>
  <c r="P46" i="1" s="1"/>
  <c r="K50" i="1"/>
  <c r="P50" i="1" s="1"/>
  <c r="K54" i="1"/>
  <c r="P54" i="1" s="1"/>
  <c r="K58" i="1"/>
  <c r="P58" i="1" s="1"/>
  <c r="K62" i="1"/>
  <c r="P62" i="1" s="1"/>
  <c r="K66" i="1"/>
  <c r="P66" i="1" s="1"/>
  <c r="K70" i="1"/>
  <c r="P70" i="1" s="1"/>
  <c r="K74" i="1"/>
  <c r="P74" i="1" s="1"/>
  <c r="K78" i="1"/>
  <c r="P78" i="1" s="1"/>
  <c r="K82" i="1"/>
  <c r="P82" i="1" s="1"/>
  <c r="K86" i="1"/>
  <c r="P86" i="1" s="1"/>
  <c r="K87" i="1"/>
  <c r="P87" i="1" s="1"/>
  <c r="K88" i="1"/>
  <c r="P88" i="1" s="1"/>
  <c r="K96" i="1"/>
  <c r="P96" i="1" s="1"/>
  <c r="K100" i="1"/>
  <c r="P100" i="1" s="1"/>
  <c r="K104" i="1"/>
  <c r="P104" i="1" s="1"/>
  <c r="K105" i="1"/>
  <c r="P105" i="1" s="1"/>
  <c r="K106" i="1"/>
  <c r="P106" i="1" s="1"/>
  <c r="K111" i="1"/>
  <c r="P111" i="1" s="1"/>
  <c r="K114" i="1"/>
  <c r="P114" i="1" s="1"/>
  <c r="K115" i="1"/>
  <c r="P115" i="1" s="1"/>
  <c r="K121" i="1"/>
  <c r="P121" i="1" s="1"/>
  <c r="K122" i="1"/>
  <c r="P122" i="1" s="1"/>
  <c r="K125" i="1"/>
  <c r="P125" i="1" s="1"/>
  <c r="K127" i="1"/>
  <c r="P127" i="1" s="1"/>
  <c r="K132" i="1"/>
  <c r="P132" i="1" s="1"/>
  <c r="K133" i="1"/>
  <c r="P133" i="1" s="1"/>
  <c r="K8" i="1"/>
  <c r="P8" i="1" s="1"/>
  <c r="K9" i="1"/>
  <c r="P9" i="1" s="1"/>
  <c r="K10" i="1"/>
  <c r="P10" i="1" s="1"/>
  <c r="K11" i="1"/>
  <c r="P11" i="1" s="1"/>
  <c r="K34" i="1"/>
  <c r="P34" i="1" s="1"/>
  <c r="K38" i="1"/>
  <c r="P38" i="1" s="1"/>
  <c r="K42" i="1"/>
  <c r="P42" i="1" s="1"/>
  <c r="K90" i="1"/>
  <c r="P90" i="1" s="1"/>
  <c r="K95" i="1"/>
  <c r="P95" i="1" s="1"/>
  <c r="K98" i="1"/>
  <c r="P98" i="1" s="1"/>
  <c r="K99" i="1"/>
  <c r="P99" i="1" s="1"/>
  <c r="K126" i="1"/>
  <c r="P126" i="1" s="1"/>
  <c r="K129" i="1"/>
  <c r="P129" i="1" s="1"/>
  <c r="K140" i="1"/>
  <c r="P140" i="1" s="1"/>
  <c r="K148" i="1"/>
  <c r="P148" i="1" s="1"/>
  <c r="K94" i="1"/>
  <c r="P94" i="1" s="1"/>
  <c r="K102" i="1"/>
  <c r="P102" i="1" s="1"/>
  <c r="K103" i="1"/>
  <c r="P103" i="1" s="1"/>
  <c r="K113" i="1"/>
  <c r="P113" i="1" s="1"/>
  <c r="K128" i="1"/>
  <c r="P128" i="1" s="1"/>
  <c r="K130" i="1"/>
  <c r="P130" i="1" s="1"/>
  <c r="K131" i="1"/>
  <c r="P131" i="1" s="1"/>
  <c r="K143" i="1"/>
  <c r="P143" i="1" s="1"/>
  <c r="K151" i="1"/>
  <c r="P151" i="1" s="1"/>
  <c r="K75" i="1"/>
  <c r="P75" i="1" s="1"/>
  <c r="K79" i="1"/>
  <c r="P79" i="1" s="1"/>
  <c r="K83" i="1"/>
  <c r="P83" i="1" s="1"/>
  <c r="K97" i="1"/>
  <c r="P97" i="1" s="1"/>
  <c r="K109" i="1"/>
  <c r="P109" i="1" s="1"/>
  <c r="K112" i="1"/>
  <c r="P112" i="1" s="1"/>
  <c r="K116" i="1"/>
  <c r="P116" i="1" s="1"/>
  <c r="K134" i="1"/>
  <c r="P134" i="1" s="1"/>
  <c r="K137" i="1"/>
  <c r="P137" i="1" s="1"/>
  <c r="K145" i="1"/>
  <c r="P145" i="1" s="1"/>
  <c r="K146" i="1"/>
  <c r="P146" i="1" s="1"/>
  <c r="K154" i="1"/>
  <c r="P154" i="1" s="1"/>
  <c r="K159" i="1"/>
  <c r="P159" i="1" s="1"/>
  <c r="K91" i="1"/>
  <c r="P91" i="1" s="1"/>
  <c r="K107" i="1"/>
  <c r="P107" i="1" s="1"/>
  <c r="K123" i="1"/>
  <c r="P123" i="1" s="1"/>
  <c r="K138" i="1"/>
  <c r="P138" i="1" s="1"/>
  <c r="K139" i="1"/>
  <c r="P139" i="1" s="1"/>
  <c r="K141" i="1"/>
  <c r="P141" i="1" s="1"/>
  <c r="K149" i="1"/>
  <c r="P149" i="1" s="1"/>
  <c r="K157" i="1"/>
  <c r="P157" i="1" s="1"/>
  <c r="K165" i="1"/>
  <c r="P165" i="1" s="1"/>
  <c r="K173" i="1"/>
  <c r="P173" i="1" s="1"/>
  <c r="K181" i="1"/>
  <c r="P181" i="1" s="1"/>
  <c r="K193" i="1"/>
  <c r="P193" i="1" s="1"/>
  <c r="K205" i="1"/>
  <c r="P205" i="1" s="1"/>
  <c r="K217" i="1"/>
  <c r="P217" i="1" s="1"/>
  <c r="R225" i="1"/>
  <c r="K231" i="1"/>
  <c r="P231" i="1" s="1"/>
  <c r="K251" i="1"/>
  <c r="P251" i="1" s="1"/>
  <c r="K119" i="1"/>
  <c r="P119" i="1" s="1"/>
  <c r="K135" i="1"/>
  <c r="P135" i="1" s="1"/>
  <c r="K147" i="1"/>
  <c r="P147" i="1" s="1"/>
  <c r="K155" i="1"/>
  <c r="P155" i="1" s="1"/>
  <c r="K163" i="1"/>
  <c r="P163" i="1" s="1"/>
  <c r="K171" i="1"/>
  <c r="P171" i="1" s="1"/>
  <c r="K179" i="1"/>
  <c r="P179" i="1" s="1"/>
  <c r="K187" i="1"/>
  <c r="P187" i="1" s="1"/>
  <c r="K195" i="1"/>
  <c r="P195" i="1" s="1"/>
  <c r="K203" i="1"/>
  <c r="P203" i="1" s="1"/>
  <c r="K213" i="1"/>
  <c r="P213" i="1" s="1"/>
  <c r="K233" i="1"/>
  <c r="P233" i="1" s="1"/>
  <c r="K153" i="1"/>
  <c r="P153" i="1" s="1"/>
  <c r="K161" i="1"/>
  <c r="P161" i="1" s="1"/>
  <c r="K169" i="1"/>
  <c r="P169" i="1" s="1"/>
  <c r="K177" i="1"/>
  <c r="P177" i="1" s="1"/>
  <c r="K185" i="1"/>
  <c r="P185" i="1" s="1"/>
  <c r="K189" i="1"/>
  <c r="P189" i="1" s="1"/>
  <c r="K197" i="1"/>
  <c r="P197" i="1" s="1"/>
  <c r="K201" i="1"/>
  <c r="P201" i="1" s="1"/>
  <c r="K209" i="1"/>
  <c r="P209" i="1" s="1"/>
  <c r="K225" i="1"/>
  <c r="P225" i="1" s="1"/>
  <c r="K239" i="1"/>
  <c r="P239" i="1" s="1"/>
  <c r="K243" i="1"/>
  <c r="P243" i="1" s="1"/>
  <c r="K259" i="1"/>
  <c r="P259" i="1" s="1"/>
  <c r="K167" i="1"/>
  <c r="P167" i="1" s="1"/>
  <c r="K175" i="1"/>
  <c r="P175" i="1" s="1"/>
  <c r="K183" i="1"/>
  <c r="P183" i="1" s="1"/>
  <c r="K191" i="1"/>
  <c r="P191" i="1" s="1"/>
  <c r="K199" i="1"/>
  <c r="P199" i="1" s="1"/>
  <c r="K207" i="1"/>
  <c r="P207" i="1" s="1"/>
  <c r="K221" i="1"/>
  <c r="P221" i="1" s="1"/>
  <c r="K241" i="1"/>
  <c r="P241" i="1" s="1"/>
  <c r="K232" i="1"/>
  <c r="P232" i="1" s="1"/>
  <c r="K240" i="1"/>
  <c r="P240" i="1" s="1"/>
  <c r="K244" i="1"/>
  <c r="P244" i="1" s="1"/>
  <c r="K252" i="1"/>
  <c r="P252" i="1" s="1"/>
  <c r="K260" i="1"/>
  <c r="P260" i="1" s="1"/>
  <c r="K266" i="1"/>
  <c r="P266" i="1" s="1"/>
  <c r="K270" i="1"/>
  <c r="P270" i="1" s="1"/>
  <c r="K274" i="1"/>
  <c r="P274" i="1" s="1"/>
  <c r="K278" i="1"/>
  <c r="P278" i="1" s="1"/>
  <c r="K282" i="1"/>
  <c r="P282" i="1" s="1"/>
  <c r="K286" i="1"/>
  <c r="P286" i="1" s="1"/>
  <c r="L5" i="2"/>
  <c r="L11" i="2"/>
  <c r="K226" i="1"/>
  <c r="P226" i="1" s="1"/>
  <c r="K234" i="1"/>
  <c r="P234" i="1" s="1"/>
  <c r="K242" i="1"/>
  <c r="P242" i="1" s="1"/>
  <c r="K250" i="1"/>
  <c r="P250" i="1" s="1"/>
  <c r="K258" i="1"/>
  <c r="P258" i="1" s="1"/>
  <c r="L7" i="2"/>
  <c r="L12" i="2"/>
  <c r="L13" i="2"/>
  <c r="L17" i="2"/>
  <c r="L20" i="2"/>
  <c r="L28" i="2"/>
  <c r="L33" i="2"/>
  <c r="L36" i="2"/>
  <c r="L37" i="2"/>
  <c r="K228" i="1"/>
  <c r="P228" i="1" s="1"/>
  <c r="K236" i="1"/>
  <c r="P236" i="1" s="1"/>
  <c r="K248" i="1"/>
  <c r="P248" i="1" s="1"/>
  <c r="K256" i="1"/>
  <c r="P256" i="1" s="1"/>
  <c r="K264" i="1"/>
  <c r="P264" i="1" s="1"/>
  <c r="K268" i="1"/>
  <c r="P268" i="1" s="1"/>
  <c r="K272" i="1"/>
  <c r="P272" i="1" s="1"/>
  <c r="K276" i="1"/>
  <c r="P276" i="1" s="1"/>
  <c r="K280" i="1"/>
  <c r="P280" i="1" s="1"/>
  <c r="K284" i="1"/>
  <c r="P284" i="1" s="1"/>
  <c r="K288" i="1"/>
  <c r="P288" i="1" s="1"/>
  <c r="K290" i="1"/>
  <c r="P290" i="1" s="1"/>
  <c r="K292" i="1"/>
  <c r="P292" i="1" s="1"/>
  <c r="K294" i="1"/>
  <c r="P294" i="1" s="1"/>
  <c r="K296" i="1"/>
  <c r="P296" i="1" s="1"/>
  <c r="K298" i="1"/>
  <c r="P298" i="1" s="1"/>
  <c r="K300" i="1"/>
  <c r="P300" i="1" s="1"/>
  <c r="K302" i="1"/>
  <c r="P302" i="1" s="1"/>
  <c r="L2" i="2"/>
  <c r="L3" i="2"/>
  <c r="L8" i="2"/>
  <c r="L10" i="2"/>
  <c r="K230" i="1"/>
  <c r="P230" i="1" s="1"/>
  <c r="K238" i="1"/>
  <c r="P238" i="1" s="1"/>
  <c r="K246" i="1"/>
  <c r="P246" i="1" s="1"/>
  <c r="K254" i="1"/>
  <c r="P254" i="1" s="1"/>
  <c r="K262" i="1"/>
  <c r="P262" i="1" s="1"/>
  <c r="L4" i="2"/>
  <c r="L6" i="2"/>
  <c r="L9" i="2"/>
  <c r="L15" i="2"/>
  <c r="L23" i="2"/>
  <c r="L31" i="2"/>
  <c r="K26" i="2"/>
  <c r="L26" i="2" s="1"/>
  <c r="L43" i="2"/>
  <c r="L51" i="2"/>
  <c r="L59" i="2"/>
  <c r="L67" i="2"/>
  <c r="L75" i="2"/>
  <c r="L83" i="2"/>
  <c r="L93" i="2"/>
  <c r="L102" i="2"/>
  <c r="L22" i="2"/>
  <c r="L27" i="2"/>
  <c r="L38" i="2"/>
  <c r="L41" i="2"/>
  <c r="L46" i="2"/>
  <c r="L49" i="2"/>
  <c r="L54" i="2"/>
  <c r="L57" i="2"/>
  <c r="L62" i="2"/>
  <c r="L65" i="2"/>
  <c r="L70" i="2"/>
  <c r="L73" i="2"/>
  <c r="L78" i="2"/>
  <c r="L81" i="2"/>
  <c r="L86" i="2"/>
  <c r="L89" i="2"/>
  <c r="L122" i="2"/>
  <c r="K18" i="2"/>
  <c r="L18" i="2" s="1"/>
  <c r="K34" i="2"/>
  <c r="L34" i="2" s="1"/>
  <c r="L39" i="2"/>
  <c r="L47" i="2"/>
  <c r="L55" i="2"/>
  <c r="L63" i="2"/>
  <c r="L71" i="2"/>
  <c r="L79" i="2"/>
  <c r="L87" i="2"/>
  <c r="L92" i="2"/>
  <c r="L95" i="2"/>
  <c r="L98" i="2"/>
  <c r="L100" i="2"/>
  <c r="L114" i="2"/>
  <c r="L117" i="2"/>
  <c r="L14" i="2"/>
  <c r="L19" i="2"/>
  <c r="L30" i="2"/>
  <c r="L35" i="2"/>
  <c r="L42" i="2"/>
  <c r="L45" i="2"/>
  <c r="L50" i="2"/>
  <c r="L53" i="2"/>
  <c r="L58" i="2"/>
  <c r="L61" i="2"/>
  <c r="L66" i="2"/>
  <c r="L69" i="2"/>
  <c r="L74" i="2"/>
  <c r="L77" i="2"/>
  <c r="L82" i="2"/>
  <c r="L85" i="2"/>
  <c r="L90" i="2"/>
  <c r="L101" i="2"/>
  <c r="L125" i="2"/>
  <c r="L130" i="2"/>
  <c r="L133" i="2"/>
  <c r="L138" i="2"/>
  <c r="L141" i="2"/>
  <c r="L146" i="2"/>
  <c r="L149" i="2"/>
  <c r="L154" i="2"/>
  <c r="L157" i="2"/>
  <c r="L162" i="2"/>
  <c r="L165" i="2"/>
  <c r="L170" i="2"/>
  <c r="L173" i="2"/>
  <c r="L178" i="2"/>
  <c r="L181" i="2"/>
  <c r="L186" i="2"/>
  <c r="L189" i="2"/>
  <c r="L194" i="2"/>
  <c r="L198" i="2"/>
  <c r="L202" i="2"/>
  <c r="L206" i="2"/>
  <c r="L210" i="2"/>
  <c r="L214" i="2"/>
  <c r="L218" i="2"/>
  <c r="L222" i="2"/>
  <c r="K97" i="2"/>
  <c r="L97" i="2" s="1"/>
  <c r="L103" i="2"/>
  <c r="K105" i="2"/>
  <c r="L105" i="2" s="1"/>
  <c r="L106" i="2"/>
  <c r="L115" i="2"/>
  <c r="L123" i="2"/>
  <c r="L131" i="2"/>
  <c r="L139" i="2"/>
  <c r="L147" i="2"/>
  <c r="L155" i="2"/>
  <c r="L163" i="2"/>
  <c r="L171" i="2"/>
  <c r="L179" i="2"/>
  <c r="L187" i="2"/>
  <c r="L195" i="2"/>
  <c r="L199" i="2"/>
  <c r="L203" i="2"/>
  <c r="L207" i="2"/>
  <c r="L211" i="2"/>
  <c r="L215" i="2"/>
  <c r="L219" i="2"/>
  <c r="L94" i="2"/>
  <c r="L107" i="2"/>
  <c r="L109" i="2"/>
  <c r="L110" i="2"/>
  <c r="L113" i="2"/>
  <c r="L118" i="2"/>
  <c r="L121" i="2"/>
  <c r="L126" i="2"/>
  <c r="L129" i="2"/>
  <c r="L134" i="2"/>
  <c r="L137" i="2"/>
  <c r="L142" i="2"/>
  <c r="L145" i="2"/>
  <c r="L150" i="2"/>
  <c r="L153" i="2"/>
  <c r="L158" i="2"/>
  <c r="L161" i="2"/>
  <c r="L166" i="2"/>
  <c r="L169" i="2"/>
  <c r="L174" i="2"/>
  <c r="L177" i="2"/>
  <c r="L182" i="2"/>
  <c r="L185" i="2"/>
  <c r="L190" i="2"/>
  <c r="L193" i="2"/>
  <c r="L196" i="2"/>
  <c r="L200" i="2"/>
  <c r="L204" i="2"/>
  <c r="L208" i="2"/>
  <c r="L212" i="2"/>
  <c r="L216" i="2"/>
  <c r="L220" i="2"/>
  <c r="L111" i="2"/>
  <c r="L119" i="2"/>
  <c r="L127" i="2"/>
  <c r="L135" i="2"/>
  <c r="L143" i="2"/>
  <c r="L151" i="2"/>
  <c r="L159" i="2"/>
  <c r="L167" i="2"/>
  <c r="L175" i="2"/>
  <c r="L183" i="2"/>
  <c r="L191" i="2"/>
  <c r="L197" i="2"/>
  <c r="L201" i="2"/>
  <c r="L205" i="2"/>
  <c r="L209" i="2"/>
  <c r="L213" i="2"/>
  <c r="L217" i="2"/>
  <c r="L223" i="2" l="1"/>
  <c r="L221" i="2"/>
  <c r="L192" i="2"/>
  <c r="L184" i="2"/>
  <c r="L176" i="2"/>
  <c r="L168" i="2"/>
  <c r="L160" i="2"/>
  <c r="L152" i="2"/>
  <c r="L144" i="2"/>
  <c r="L136" i="2"/>
  <c r="L128" i="2"/>
  <c r="L120" i="2"/>
  <c r="L112" i="2"/>
  <c r="L99" i="2"/>
  <c r="L108" i="2"/>
  <c r="L188" i="2"/>
  <c r="L180" i="2"/>
  <c r="L172" i="2"/>
  <c r="L164" i="2"/>
  <c r="L156" i="2"/>
  <c r="L148" i="2"/>
  <c r="L140" i="2"/>
  <c r="L132" i="2"/>
  <c r="L84" i="2"/>
  <c r="L76" i="2"/>
  <c r="L68" i="2"/>
  <c r="L60" i="2"/>
  <c r="L52" i="2"/>
  <c r="L44" i="2"/>
  <c r="L32" i="2"/>
  <c r="L25" i="2"/>
  <c r="L16" i="2"/>
  <c r="L116" i="2"/>
  <c r="L91" i="2"/>
  <c r="L29" i="2"/>
  <c r="L124" i="2"/>
  <c r="L96" i="2"/>
  <c r="L88" i="2"/>
  <c r="L80" i="2"/>
  <c r="L72" i="2"/>
  <c r="L64" i="2"/>
  <c r="L56" i="2"/>
  <c r="L48" i="2"/>
  <c r="L40" i="2"/>
  <c r="L24" i="2"/>
  <c r="L104" i="2"/>
  <c r="L21" i="2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<sst xmlns="http://schemas.openxmlformats.org/spreadsheetml/2006/main" count="40" uniqueCount="33">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</sst>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zoomScale="85" zoomScaleNormal="85" workbookViewId="0">
      <selection activeCell="S5" sqref="S5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-0.33889000000000002</v>
      </c>
      <c r="AC3" t="s">
        <v>24</v>
      </c>
    </row>
    <row r="4" spans="1:29" x14ac:dyDescent="0.3">
      <c r="A4">
        <v>2.9499999999999998E-2</v>
      </c>
      <c r="B4">
        <v>0.92400000000000004</v>
      </c>
      <c r="C4">
        <f t="shared" ref="C4:C67" si="0">A4*B4</f>
        <v>2.7258000000000001E-2</v>
      </c>
      <c r="D4">
        <v>1.6199999999999999E-2</v>
      </c>
      <c r="E4">
        <v>3.81E-3</v>
      </c>
      <c r="F4">
        <f t="shared" ref="F4:F67" si="1">A4*200</f>
        <v>5.8999999999999995</v>
      </c>
      <c r="G4">
        <f t="shared" ref="G4:G67" si="2">-B4</f>
        <v>-0.92400000000000004</v>
      </c>
      <c r="H4">
        <f t="shared" ref="H4:H67" si="3">-C4*200</f>
        <v>-5.4516</v>
      </c>
      <c r="I4">
        <v>1</v>
      </c>
      <c r="J4">
        <f t="shared" ref="J4:J67" si="4">LN(F4/1000)</f>
        <v>-5.132802928070463</v>
      </c>
      <c r="K4">
        <f t="shared" ref="K4:K67" si="5">((-G4)-$N$2)</f>
        <v>-0.29772515177521741</v>
      </c>
      <c r="L4">
        <v>1</v>
      </c>
      <c r="M4">
        <f t="shared" ref="M4:M67" si="6">-1*($S$4+($S$5*J4))</f>
        <v>0.29790992695356705</v>
      </c>
      <c r="N4">
        <f t="shared" ref="N4:N67" si="7">D4*A4</f>
        <v>4.7789999999999996E-4</v>
      </c>
      <c r="O4">
        <f t="shared" ref="O4:O67" si="8">E4*A4</f>
        <v>1.12395E-4</v>
      </c>
      <c r="P4">
        <f t="shared" ref="P4:P67" si="9">-K4-M4-N4-O4</f>
        <v>-7.7507017834963876E-4</v>
      </c>
      <c r="R4" s="2" t="s">
        <v>25</v>
      </c>
      <c r="S4">
        <v>-0.5101</v>
      </c>
      <c r="V4">
        <v>-6</v>
      </c>
      <c r="W4">
        <f t="shared" ref="W4:W35" si="10">V4*$S$5+$S$4</f>
        <v>-0.26205999999999996</v>
      </c>
      <c r="Y4">
        <v>0</v>
      </c>
      <c r="Z4">
        <f t="shared" ref="Z4:Z31" si="11">$AB$4*Y4+$AB$3</f>
        <v>-0.33889000000000002</v>
      </c>
      <c r="AB4">
        <v>8.4570399999999992</v>
      </c>
      <c r="AC4" t="s">
        <v>26</v>
      </c>
    </row>
    <row r="5" spans="1:29" x14ac:dyDescent="0.3">
      <c r="A5">
        <v>8.1000000000000003E-2</v>
      </c>
      <c r="B5">
        <v>0.90700000000000003</v>
      </c>
      <c r="C5">
        <f t="shared" si="0"/>
        <v>7.3467000000000005E-2</v>
      </c>
      <c r="D5">
        <v>1.6199999999999999E-2</v>
      </c>
      <c r="E5">
        <v>3.81E-3</v>
      </c>
      <c r="F5">
        <f t="shared" si="1"/>
        <v>16.2</v>
      </c>
      <c r="G5">
        <f t="shared" si="2"/>
        <v>-0.90700000000000003</v>
      </c>
      <c r="H5">
        <f t="shared" si="3"/>
        <v>-14.6934</v>
      </c>
      <c r="I5">
        <v>1</v>
      </c>
      <c r="J5">
        <f t="shared" si="4"/>
        <v>-4.1227440367437991</v>
      </c>
      <c r="K5">
        <f t="shared" si="5"/>
        <v>-0.31472515177521743</v>
      </c>
      <c r="L5">
        <v>1</v>
      </c>
      <c r="M5">
        <f t="shared" si="6"/>
        <v>0.33966576152101136</v>
      </c>
      <c r="N5">
        <f t="shared" si="7"/>
        <v>1.3121999999999999E-3</v>
      </c>
      <c r="O5">
        <f t="shared" si="8"/>
        <v>3.0861000000000001E-4</v>
      </c>
      <c r="P5">
        <f t="shared" si="9"/>
        <v>-2.6561419745793929E-2</v>
      </c>
      <c r="R5" s="2" t="s">
        <v>27</v>
      </c>
      <c r="S5">
        <v>-4.1340000000000002E-2</v>
      </c>
      <c r="V5">
        <v>-5.9</v>
      </c>
      <c r="W5">
        <f t="shared" si="10"/>
        <v>-0.26619399999999999</v>
      </c>
      <c r="Y5">
        <v>0.01</v>
      </c>
      <c r="Z5">
        <f t="shared" si="11"/>
        <v>-0.25431960000000003</v>
      </c>
    </row>
    <row r="6" spans="1:29" x14ac:dyDescent="0.3">
      <c r="A6">
        <v>0.13100000000000001</v>
      </c>
      <c r="B6">
        <v>0.86499999999999999</v>
      </c>
      <c r="C6">
        <f t="shared" si="0"/>
        <v>0.113315</v>
      </c>
      <c r="D6">
        <v>1.6199999999999999E-2</v>
      </c>
      <c r="E6">
        <v>3.81E-3</v>
      </c>
      <c r="F6">
        <f t="shared" si="1"/>
        <v>26.200000000000003</v>
      </c>
      <c r="G6">
        <f t="shared" si="2"/>
        <v>-0.86499999999999999</v>
      </c>
      <c r="H6">
        <f t="shared" si="3"/>
        <v>-22.663</v>
      </c>
      <c r="I6">
        <v>1</v>
      </c>
      <c r="J6">
        <f t="shared" si="4"/>
        <v>-3.6419958682150857</v>
      </c>
      <c r="K6">
        <f t="shared" si="5"/>
        <v>-0.35672515177521746</v>
      </c>
      <c r="L6">
        <v>1</v>
      </c>
      <c r="M6">
        <f t="shared" si="6"/>
        <v>0.35953989080798832</v>
      </c>
      <c r="N6">
        <f t="shared" si="7"/>
        <v>2.1221999999999999E-3</v>
      </c>
      <c r="O6">
        <f t="shared" si="8"/>
        <v>4.9910999999999998E-4</v>
      </c>
      <c r="P6">
        <f t="shared" si="9"/>
        <v>-5.4360490327708512E-3</v>
      </c>
      <c r="V6">
        <v>-5.8</v>
      </c>
      <c r="W6">
        <f t="shared" si="10"/>
        <v>-0.27032800000000001</v>
      </c>
      <c r="Y6">
        <v>0.02</v>
      </c>
      <c r="Z6">
        <f t="shared" si="11"/>
        <v>-0.16974920000000004</v>
      </c>
      <c r="AB6" t="s">
        <v>28</v>
      </c>
    </row>
    <row r="7" spans="1:29" x14ac:dyDescent="0.3">
      <c r="A7">
        <v>0.183</v>
      </c>
      <c r="B7">
        <v>0.84899999999999998</v>
      </c>
      <c r="C7">
        <f t="shared" si="0"/>
        <v>0.15536700000000001</v>
      </c>
      <c r="D7">
        <v>1.6199999999999999E-2</v>
      </c>
      <c r="E7">
        <v>3.81E-3</v>
      </c>
      <c r="F7">
        <f t="shared" si="1"/>
        <v>36.6</v>
      </c>
      <c r="G7">
        <f t="shared" si="2"/>
        <v>-0.84899999999999998</v>
      </c>
      <c r="H7">
        <f t="shared" si="3"/>
        <v>-31.073399999999999</v>
      </c>
      <c r="I7">
        <v>1</v>
      </c>
      <c r="J7">
        <f t="shared" si="4"/>
        <v>-3.3077070385748164</v>
      </c>
      <c r="K7">
        <f t="shared" si="5"/>
        <v>-0.37272515177521748</v>
      </c>
      <c r="L7">
        <v>1</v>
      </c>
      <c r="M7">
        <f t="shared" si="6"/>
        <v>0.37335939102531712</v>
      </c>
      <c r="N7">
        <f t="shared" si="7"/>
        <v>2.9646E-3</v>
      </c>
      <c r="O7">
        <f t="shared" si="8"/>
        <v>6.9722999999999996E-4</v>
      </c>
      <c r="P7">
        <f t="shared" si="9"/>
        <v>-4.2960692500996437E-3</v>
      </c>
      <c r="V7">
        <v>-5.7</v>
      </c>
      <c r="W7">
        <f t="shared" si="10"/>
        <v>-0.27446199999999998</v>
      </c>
      <c r="Y7">
        <v>0.03</v>
      </c>
      <c r="Z7">
        <f t="shared" si="11"/>
        <v>-8.5178800000000054E-2</v>
      </c>
      <c r="AB7" t="s">
        <v>29</v>
      </c>
      <c r="AC7">
        <f>-AB3/AB4</f>
        <v>4.0071940064135919E-2</v>
      </c>
    </row>
    <row r="8" spans="1:29" x14ac:dyDescent="0.3">
      <c r="A8">
        <v>0.23400000000000001</v>
      </c>
      <c r="B8">
        <v>0.83799999999999997</v>
      </c>
      <c r="C8">
        <f t="shared" si="0"/>
        <v>0.19609200000000002</v>
      </c>
      <c r="D8">
        <v>1.6199999999999999E-2</v>
      </c>
      <c r="E8">
        <v>3.81E-3</v>
      </c>
      <c r="F8">
        <f t="shared" si="1"/>
        <v>46.800000000000004</v>
      </c>
      <c r="G8">
        <f t="shared" si="2"/>
        <v>-0.83799999999999997</v>
      </c>
      <c r="H8">
        <f t="shared" si="3"/>
        <v>-39.218400000000003</v>
      </c>
      <c r="I8">
        <v>1</v>
      </c>
      <c r="J8">
        <f t="shared" si="4"/>
        <v>-3.0618720760585361</v>
      </c>
      <c r="K8">
        <f t="shared" si="5"/>
        <v>-0.38372515177521749</v>
      </c>
      <c r="L8">
        <v>1</v>
      </c>
      <c r="M8">
        <f t="shared" si="6"/>
        <v>0.38352220837574014</v>
      </c>
      <c r="N8">
        <f t="shared" si="7"/>
        <v>3.7908E-3</v>
      </c>
      <c r="O8">
        <f t="shared" si="8"/>
        <v>8.9154000000000002E-4</v>
      </c>
      <c r="P8">
        <f t="shared" si="9"/>
        <v>-4.479396600522649E-3</v>
      </c>
      <c r="V8">
        <v>-5.6</v>
      </c>
      <c r="W8">
        <f t="shared" si="10"/>
        <v>-0.27859600000000001</v>
      </c>
      <c r="Y8">
        <v>0.04</v>
      </c>
      <c r="Z8">
        <f t="shared" si="11"/>
        <v>-6.0840000000006444E-4</v>
      </c>
    </row>
    <row r="9" spans="1:29" x14ac:dyDescent="0.3">
      <c r="A9">
        <v>0.28699999999999998</v>
      </c>
      <c r="B9">
        <v>0.83</v>
      </c>
      <c r="C9">
        <f t="shared" si="0"/>
        <v>0.23820999999999998</v>
      </c>
      <c r="D9">
        <v>1.6199999999999999E-2</v>
      </c>
      <c r="E9">
        <v>3.81E-3</v>
      </c>
      <c r="F9">
        <f t="shared" si="1"/>
        <v>57.4</v>
      </c>
      <c r="G9">
        <f t="shared" si="2"/>
        <v>-0.83</v>
      </c>
      <c r="H9">
        <f t="shared" si="3"/>
        <v>-47.641999999999996</v>
      </c>
      <c r="I9">
        <v>1</v>
      </c>
      <c r="J9">
        <f t="shared" si="4"/>
        <v>-2.8577109756566164</v>
      </c>
      <c r="K9">
        <f t="shared" si="5"/>
        <v>-0.39172515177521749</v>
      </c>
      <c r="L9">
        <v>1</v>
      </c>
      <c r="M9">
        <f t="shared" si="6"/>
        <v>0.39196222826635546</v>
      </c>
      <c r="N9">
        <f t="shared" si="7"/>
        <v>4.6493999999999997E-3</v>
      </c>
      <c r="O9">
        <f t="shared" si="8"/>
        <v>1.0934699999999998E-3</v>
      </c>
      <c r="P9">
        <f t="shared" si="9"/>
        <v>-5.9799464911379661E-3</v>
      </c>
      <c r="V9">
        <v>-5.5</v>
      </c>
      <c r="W9">
        <f t="shared" si="10"/>
        <v>-0.28272999999999998</v>
      </c>
      <c r="Y9">
        <v>0.05</v>
      </c>
      <c r="Z9">
        <f t="shared" si="11"/>
        <v>8.3961999999999981E-2</v>
      </c>
      <c r="AB9" t="s">
        <v>30</v>
      </c>
      <c r="AC9">
        <v>3.8800000000000001E-2</v>
      </c>
    </row>
    <row r="10" spans="1:29" x14ac:dyDescent="0.3">
      <c r="A10">
        <v>0.33800000000000002</v>
      </c>
      <c r="B10">
        <v>0.82299999999999995</v>
      </c>
      <c r="C10">
        <f t="shared" si="0"/>
        <v>0.27817399999999998</v>
      </c>
      <c r="D10">
        <v>1.6199999999999999E-2</v>
      </c>
      <c r="E10">
        <v>3.81E-3</v>
      </c>
      <c r="F10">
        <f t="shared" si="1"/>
        <v>67.600000000000009</v>
      </c>
      <c r="G10">
        <f t="shared" si="2"/>
        <v>-0.82299999999999995</v>
      </c>
      <c r="H10">
        <f t="shared" si="3"/>
        <v>-55.634799999999998</v>
      </c>
      <c r="I10">
        <v>1</v>
      </c>
      <c r="J10">
        <f t="shared" si="4"/>
        <v>-2.6941472959332184</v>
      </c>
      <c r="K10">
        <f t="shared" si="5"/>
        <v>-0.3987251517752175</v>
      </c>
      <c r="L10">
        <v>1</v>
      </c>
      <c r="M10">
        <f t="shared" si="6"/>
        <v>0.39872395078612077</v>
      </c>
      <c r="N10">
        <f t="shared" si="7"/>
        <v>5.4755999999999997E-3</v>
      </c>
      <c r="O10">
        <f t="shared" si="8"/>
        <v>1.2877800000000001E-3</v>
      </c>
      <c r="P10">
        <f t="shared" si="9"/>
        <v>-6.7621790109032714E-3</v>
      </c>
      <c r="V10">
        <v>-5.4</v>
      </c>
      <c r="W10">
        <f t="shared" si="10"/>
        <v>-0.28686400000000001</v>
      </c>
      <c r="Y10">
        <v>0.06</v>
      </c>
      <c r="Z10">
        <f t="shared" si="11"/>
        <v>0.16853239999999992</v>
      </c>
    </row>
    <row r="11" spans="1:29" x14ac:dyDescent="0.3">
      <c r="A11">
        <v>0.39</v>
      </c>
      <c r="B11">
        <v>0.81699999999999995</v>
      </c>
      <c r="C11">
        <f t="shared" si="0"/>
        <v>0.31862999999999997</v>
      </c>
      <c r="D11">
        <v>1.6199999999999999E-2</v>
      </c>
      <c r="E11">
        <v>3.81E-3</v>
      </c>
      <c r="F11">
        <f t="shared" si="1"/>
        <v>78</v>
      </c>
      <c r="G11">
        <f t="shared" si="2"/>
        <v>-0.81699999999999995</v>
      </c>
      <c r="H11">
        <f t="shared" si="3"/>
        <v>-63.725999999999992</v>
      </c>
      <c r="I11">
        <v>1</v>
      </c>
      <c r="J11">
        <f t="shared" si="4"/>
        <v>-2.5510464522925451</v>
      </c>
      <c r="K11">
        <f t="shared" si="5"/>
        <v>-0.40472515177521751</v>
      </c>
      <c r="L11">
        <v>1</v>
      </c>
      <c r="M11">
        <f t="shared" si="6"/>
        <v>0.40463973966222616</v>
      </c>
      <c r="N11">
        <f t="shared" si="7"/>
        <v>6.3179999999999998E-3</v>
      </c>
      <c r="O11">
        <f t="shared" si="8"/>
        <v>1.4859000000000001E-3</v>
      </c>
      <c r="P11">
        <f t="shared" si="9"/>
        <v>-7.7184878870086545E-3</v>
      </c>
      <c r="V11">
        <v>-5.3</v>
      </c>
      <c r="W11">
        <f t="shared" si="10"/>
        <v>-0.29099799999999998</v>
      </c>
      <c r="Y11">
        <v>7.0000000000000007E-2</v>
      </c>
      <c r="Z11">
        <f t="shared" si="11"/>
        <v>0.25310279999999996</v>
      </c>
      <c r="AB11" t="s">
        <v>31</v>
      </c>
      <c r="AC11">
        <f>AC7-AC9</f>
        <v>1.271940064135918E-3</v>
      </c>
    </row>
    <row r="12" spans="1:29" x14ac:dyDescent="0.3">
      <c r="A12">
        <v>0.441</v>
      </c>
      <c r="B12">
        <v>0.81200000000000006</v>
      </c>
      <c r="C12">
        <f t="shared" si="0"/>
        <v>0.35809200000000002</v>
      </c>
      <c r="D12">
        <v>1.6199999999999999E-2</v>
      </c>
      <c r="E12">
        <v>3.81E-3</v>
      </c>
      <c r="F12">
        <f t="shared" si="1"/>
        <v>88.2</v>
      </c>
      <c r="G12">
        <f t="shared" si="2"/>
        <v>-0.81200000000000006</v>
      </c>
      <c r="H12">
        <f t="shared" si="3"/>
        <v>-71.618400000000008</v>
      </c>
      <c r="I12">
        <v>1</v>
      </c>
      <c r="J12">
        <f t="shared" si="4"/>
        <v>-2.4281483159693913</v>
      </c>
      <c r="K12">
        <f t="shared" si="5"/>
        <v>-0.4097251517752174</v>
      </c>
      <c r="L12">
        <v>1</v>
      </c>
      <c r="M12">
        <f t="shared" si="6"/>
        <v>0.40972034861782536</v>
      </c>
      <c r="N12">
        <f t="shared" si="7"/>
        <v>7.1441999999999999E-3</v>
      </c>
      <c r="O12">
        <f t="shared" si="8"/>
        <v>1.6802100000000001E-3</v>
      </c>
      <c r="P12">
        <f t="shared" si="9"/>
        <v>-8.819606842607958E-3</v>
      </c>
      <c r="V12">
        <v>-5.2</v>
      </c>
      <c r="W12">
        <f t="shared" si="10"/>
        <v>-0.29513199999999995</v>
      </c>
      <c r="Y12">
        <v>0.08</v>
      </c>
      <c r="Z12">
        <f t="shared" si="11"/>
        <v>0.3376731999999999</v>
      </c>
      <c r="AC12">
        <f>AC11*3</f>
        <v>3.8158201924077539E-3</v>
      </c>
    </row>
    <row r="13" spans="1:29" x14ac:dyDescent="0.3">
      <c r="A13">
        <v>0.49399999999999999</v>
      </c>
      <c r="B13">
        <v>0.80800000000000005</v>
      </c>
      <c r="C13">
        <f t="shared" si="0"/>
        <v>0.39915200000000001</v>
      </c>
      <c r="D13">
        <v>1.6199999999999999E-2</v>
      </c>
      <c r="E13">
        <v>3.81E-3</v>
      </c>
      <c r="F13">
        <f t="shared" si="1"/>
        <v>98.8</v>
      </c>
      <c r="G13">
        <f t="shared" si="2"/>
        <v>-0.80800000000000005</v>
      </c>
      <c r="H13">
        <f t="shared" si="3"/>
        <v>-79.830399999999997</v>
      </c>
      <c r="I13">
        <v>1</v>
      </c>
      <c r="J13">
        <f t="shared" si="4"/>
        <v>-2.3146576742283149</v>
      </c>
      <c r="K13">
        <f t="shared" si="5"/>
        <v>-0.4137251517752174</v>
      </c>
      <c r="L13">
        <v>1</v>
      </c>
      <c r="M13">
        <f t="shared" si="6"/>
        <v>0.41441205174740148</v>
      </c>
      <c r="N13">
        <f t="shared" si="7"/>
        <v>8.0027999999999992E-3</v>
      </c>
      <c r="O13">
        <f t="shared" si="8"/>
        <v>1.88214E-3</v>
      </c>
      <c r="P13">
        <f t="shared" si="9"/>
        <v>-1.0571839972184072E-2</v>
      </c>
      <c r="V13">
        <v>-5.0999999999999996</v>
      </c>
      <c r="W13">
        <f t="shared" si="10"/>
        <v>-0.29926600000000003</v>
      </c>
      <c r="Y13">
        <v>0.09</v>
      </c>
      <c r="Z13">
        <f t="shared" si="11"/>
        <v>0.42224359999999983</v>
      </c>
    </row>
    <row r="14" spans="1:29" x14ac:dyDescent="0.3">
      <c r="A14">
        <v>0.54500000000000004</v>
      </c>
      <c r="B14">
        <v>0.80300000000000005</v>
      </c>
      <c r="C14">
        <f t="shared" si="0"/>
        <v>0.43763500000000005</v>
      </c>
      <c r="D14">
        <v>1.6199999999999999E-2</v>
      </c>
      <c r="E14">
        <v>3.81E-3</v>
      </c>
      <c r="F14">
        <f t="shared" si="1"/>
        <v>109.00000000000001</v>
      </c>
      <c r="G14">
        <f t="shared" si="2"/>
        <v>-0.80300000000000005</v>
      </c>
      <c r="H14">
        <f t="shared" si="3"/>
        <v>-87.527000000000015</v>
      </c>
      <c r="I14">
        <v>1</v>
      </c>
      <c r="J14">
        <f t="shared" si="4"/>
        <v>-2.2164073967529934</v>
      </c>
      <c r="K14">
        <f t="shared" si="5"/>
        <v>-0.41872515177521741</v>
      </c>
      <c r="L14">
        <v>1</v>
      </c>
      <c r="M14">
        <f t="shared" si="6"/>
        <v>0.41847371821823126</v>
      </c>
      <c r="N14">
        <f t="shared" si="7"/>
        <v>8.829E-3</v>
      </c>
      <c r="O14">
        <f t="shared" si="8"/>
        <v>2.0764500000000001E-3</v>
      </c>
      <c r="P14">
        <f t="shared" si="9"/>
        <v>-1.0654016443013854E-2</v>
      </c>
      <c r="V14">
        <v>-5</v>
      </c>
      <c r="W14">
        <f t="shared" si="10"/>
        <v>-0.3034</v>
      </c>
      <c r="Y14">
        <v>0.1</v>
      </c>
      <c r="Z14">
        <f t="shared" si="11"/>
        <v>0.50681399999999999</v>
      </c>
    </row>
    <row r="15" spans="1:29" x14ac:dyDescent="0.3">
      <c r="A15">
        <v>0.6</v>
      </c>
      <c r="B15">
        <v>0.79900000000000004</v>
      </c>
      <c r="C15">
        <f t="shared" si="0"/>
        <v>0.47939999999999999</v>
      </c>
      <c r="D15">
        <v>1.6199999999999999E-2</v>
      </c>
      <c r="E15">
        <v>3.81E-3</v>
      </c>
      <c r="F15">
        <f t="shared" si="1"/>
        <v>120</v>
      </c>
      <c r="G15">
        <f t="shared" si="2"/>
        <v>-0.79900000000000004</v>
      </c>
      <c r="H15">
        <f t="shared" si="3"/>
        <v>-95.88</v>
      </c>
      <c r="I15">
        <v>1</v>
      </c>
      <c r="J15">
        <f t="shared" si="4"/>
        <v>-2.120263536200091</v>
      </c>
      <c r="K15">
        <f t="shared" si="5"/>
        <v>-0.42272515177521741</v>
      </c>
      <c r="L15">
        <v>1</v>
      </c>
      <c r="M15">
        <f t="shared" si="6"/>
        <v>0.42244830541348821</v>
      </c>
      <c r="N15">
        <f t="shared" si="7"/>
        <v>9.7199999999999995E-3</v>
      </c>
      <c r="O15">
        <f t="shared" si="8"/>
        <v>2.2859999999999998E-3</v>
      </c>
      <c r="P15">
        <f t="shared" si="9"/>
        <v>-1.17291536382708E-2</v>
      </c>
      <c r="V15">
        <v>-4.9000000000000004</v>
      </c>
      <c r="W15">
        <f t="shared" si="10"/>
        <v>-0.30753399999999997</v>
      </c>
      <c r="Y15">
        <v>0.11</v>
      </c>
      <c r="Z15">
        <f t="shared" si="11"/>
        <v>0.59138439999999992</v>
      </c>
    </row>
    <row r="16" spans="1:29" x14ac:dyDescent="0.3">
      <c r="A16">
        <v>0.65</v>
      </c>
      <c r="B16">
        <v>0.79600000000000004</v>
      </c>
      <c r="C16">
        <f t="shared" si="0"/>
        <v>0.51740000000000008</v>
      </c>
      <c r="D16">
        <v>1.6199999999999999E-2</v>
      </c>
      <c r="E16">
        <v>3.81E-3</v>
      </c>
      <c r="F16">
        <f t="shared" si="1"/>
        <v>130</v>
      </c>
      <c r="G16">
        <f t="shared" si="2"/>
        <v>-0.79600000000000004</v>
      </c>
      <c r="H16">
        <f t="shared" si="3"/>
        <v>-103.48000000000002</v>
      </c>
      <c r="I16">
        <v>1</v>
      </c>
      <c r="J16">
        <f t="shared" si="4"/>
        <v>-2.0402208285265546</v>
      </c>
      <c r="K16">
        <f t="shared" si="5"/>
        <v>-0.42572515177521741</v>
      </c>
      <c r="L16">
        <v>1</v>
      </c>
      <c r="M16">
        <f t="shared" si="6"/>
        <v>0.42575727094871224</v>
      </c>
      <c r="N16">
        <f t="shared" si="7"/>
        <v>1.0529999999999999E-2</v>
      </c>
      <c r="O16">
        <f t="shared" si="8"/>
        <v>2.4765E-3</v>
      </c>
      <c r="P16">
        <f t="shared" si="9"/>
        <v>-1.3038619173494826E-2</v>
      </c>
      <c r="V16">
        <v>-4.8</v>
      </c>
      <c r="W16">
        <f t="shared" si="10"/>
        <v>-0.311668</v>
      </c>
      <c r="Y16">
        <v>0.12</v>
      </c>
      <c r="Z16">
        <f t="shared" si="11"/>
        <v>0.67595479999999986</v>
      </c>
    </row>
    <row r="17" spans="1:26" x14ac:dyDescent="0.3">
      <c r="A17">
        <v>0.70499999999999996</v>
      </c>
      <c r="B17">
        <v>0.79200000000000004</v>
      </c>
      <c r="C17">
        <f t="shared" si="0"/>
        <v>0.55835999999999997</v>
      </c>
      <c r="D17">
        <v>1.6199999999999999E-2</v>
      </c>
      <c r="E17">
        <v>3.81E-3</v>
      </c>
      <c r="F17">
        <f t="shared" si="1"/>
        <v>141</v>
      </c>
      <c r="G17">
        <f t="shared" si="2"/>
        <v>-0.79200000000000004</v>
      </c>
      <c r="H17">
        <f t="shared" si="3"/>
        <v>-111.672</v>
      </c>
      <c r="I17">
        <v>1</v>
      </c>
      <c r="J17">
        <f t="shared" si="4"/>
        <v>-1.9589953886039688</v>
      </c>
      <c r="K17">
        <f t="shared" si="5"/>
        <v>-0.42972515177521742</v>
      </c>
      <c r="L17">
        <v>1</v>
      </c>
      <c r="M17">
        <f t="shared" si="6"/>
        <v>0.42911513063511192</v>
      </c>
      <c r="N17">
        <f t="shared" si="7"/>
        <v>1.1420999999999999E-2</v>
      </c>
      <c r="O17">
        <f t="shared" si="8"/>
        <v>2.6860499999999997E-3</v>
      </c>
      <c r="P17">
        <f t="shared" si="9"/>
        <v>-1.3497028859894501E-2</v>
      </c>
      <c r="V17">
        <v>-4.7</v>
      </c>
      <c r="W17">
        <f t="shared" si="10"/>
        <v>-0.31580199999999997</v>
      </c>
      <c r="Y17">
        <v>0.13</v>
      </c>
      <c r="Z17">
        <f t="shared" si="11"/>
        <v>0.7605251999999999</v>
      </c>
    </row>
    <row r="18" spans="1:26" x14ac:dyDescent="0.3">
      <c r="A18">
        <v>0.76</v>
      </c>
      <c r="B18">
        <v>0.78900000000000003</v>
      </c>
      <c r="C18">
        <f t="shared" si="0"/>
        <v>0.59964000000000006</v>
      </c>
      <c r="D18">
        <v>1.6199999999999999E-2</v>
      </c>
      <c r="E18">
        <v>3.81E-3</v>
      </c>
      <c r="F18">
        <f t="shared" si="1"/>
        <v>152</v>
      </c>
      <c r="G18">
        <f t="shared" si="2"/>
        <v>-0.78900000000000003</v>
      </c>
      <c r="H18">
        <f t="shared" si="3"/>
        <v>-119.92800000000001</v>
      </c>
      <c r="I18">
        <v>1</v>
      </c>
      <c r="J18">
        <f t="shared" si="4"/>
        <v>-1.8838747581358606</v>
      </c>
      <c r="K18">
        <f t="shared" si="5"/>
        <v>-0.43272515177521742</v>
      </c>
      <c r="L18">
        <v>1</v>
      </c>
      <c r="M18">
        <f t="shared" si="6"/>
        <v>0.43222061749866353</v>
      </c>
      <c r="N18">
        <f t="shared" si="7"/>
        <v>1.2312E-2</v>
      </c>
      <c r="O18">
        <f t="shared" si="8"/>
        <v>2.8955999999999999E-3</v>
      </c>
      <c r="P18">
        <f t="shared" si="9"/>
        <v>-1.4703065723446108E-2</v>
      </c>
      <c r="V18">
        <v>-4.5999999999999996</v>
      </c>
      <c r="W18">
        <f t="shared" si="10"/>
        <v>-0.319936</v>
      </c>
      <c r="Y18">
        <v>0.14000000000000001</v>
      </c>
      <c r="Z18">
        <f t="shared" si="11"/>
        <v>0.84509559999999995</v>
      </c>
    </row>
    <row r="19" spans="1:26" x14ac:dyDescent="0.3">
      <c r="A19">
        <v>0.81</v>
      </c>
      <c r="B19">
        <v>0.78600000000000003</v>
      </c>
      <c r="C19">
        <f t="shared" si="0"/>
        <v>0.63666000000000011</v>
      </c>
      <c r="D19">
        <v>1.6199999999999999E-2</v>
      </c>
      <c r="E19">
        <v>3.81E-3</v>
      </c>
      <c r="F19">
        <f t="shared" si="1"/>
        <v>162</v>
      </c>
      <c r="G19">
        <f t="shared" si="2"/>
        <v>-0.78600000000000003</v>
      </c>
      <c r="H19">
        <f t="shared" si="3"/>
        <v>-127.33200000000002</v>
      </c>
      <c r="I19">
        <v>1</v>
      </c>
      <c r="J19">
        <f t="shared" si="4"/>
        <v>-1.820158943749753</v>
      </c>
      <c r="K19">
        <f t="shared" si="5"/>
        <v>-0.43572515177521742</v>
      </c>
      <c r="L19">
        <v>1</v>
      </c>
      <c r="M19">
        <f t="shared" si="6"/>
        <v>0.43485462926538521</v>
      </c>
      <c r="N19">
        <f t="shared" si="7"/>
        <v>1.3122E-2</v>
      </c>
      <c r="O19">
        <f t="shared" si="8"/>
        <v>3.0861E-3</v>
      </c>
      <c r="P19">
        <f t="shared" si="9"/>
        <v>-1.5337577490167783E-2</v>
      </c>
      <c r="V19">
        <v>-4.5000000000000098</v>
      </c>
      <c r="W19">
        <f t="shared" si="10"/>
        <v>-0.32406999999999958</v>
      </c>
      <c r="Y19">
        <v>0.15</v>
      </c>
      <c r="Z19">
        <f t="shared" si="11"/>
        <v>0.92966599999999977</v>
      </c>
    </row>
    <row r="20" spans="1:26" x14ac:dyDescent="0.3">
      <c r="A20">
        <v>0.86</v>
      </c>
      <c r="B20">
        <v>0.78300000000000003</v>
      </c>
      <c r="C20">
        <f t="shared" si="0"/>
        <v>0.67337999999999998</v>
      </c>
      <c r="D20">
        <v>1.6199999999999999E-2</v>
      </c>
      <c r="E20">
        <v>3.81E-3</v>
      </c>
      <c r="F20">
        <f t="shared" si="1"/>
        <v>172</v>
      </c>
      <c r="G20">
        <f t="shared" si="2"/>
        <v>-0.78300000000000003</v>
      </c>
      <c r="H20">
        <f t="shared" si="3"/>
        <v>-134.67599999999999</v>
      </c>
      <c r="I20">
        <v>1</v>
      </c>
      <c r="J20">
        <f t="shared" si="4"/>
        <v>-1.7602608021686841</v>
      </c>
      <c r="K20">
        <f t="shared" si="5"/>
        <v>-0.43872515177521743</v>
      </c>
      <c r="L20">
        <v>1</v>
      </c>
      <c r="M20">
        <f t="shared" si="6"/>
        <v>0.43733081843834659</v>
      </c>
      <c r="N20">
        <f t="shared" si="7"/>
        <v>1.3931999999999998E-2</v>
      </c>
      <c r="O20">
        <f t="shared" si="8"/>
        <v>3.2766000000000002E-3</v>
      </c>
      <c r="P20">
        <f t="shared" si="9"/>
        <v>-1.5814266663129163E-2</v>
      </c>
      <c r="V20">
        <v>-4.4000000000000101</v>
      </c>
      <c r="W20">
        <f t="shared" si="10"/>
        <v>-0.32820399999999961</v>
      </c>
      <c r="Y20">
        <v>0.16</v>
      </c>
      <c r="Z20">
        <f t="shared" si="11"/>
        <v>1.0142363999999997</v>
      </c>
    </row>
    <row r="21" spans="1:26" x14ac:dyDescent="0.3">
      <c r="A21">
        <v>0.91500000000000004</v>
      </c>
      <c r="B21">
        <v>0.78</v>
      </c>
      <c r="C21">
        <f t="shared" si="0"/>
        <v>0.7137</v>
      </c>
      <c r="D21">
        <v>1.6199999999999999E-2</v>
      </c>
      <c r="E21">
        <v>3.81E-3</v>
      </c>
      <c r="F21">
        <f t="shared" si="1"/>
        <v>183</v>
      </c>
      <c r="G21">
        <f t="shared" si="2"/>
        <v>-0.78</v>
      </c>
      <c r="H21">
        <f t="shared" si="3"/>
        <v>-142.74</v>
      </c>
      <c r="I21">
        <v>1</v>
      </c>
      <c r="J21">
        <f t="shared" si="4"/>
        <v>-1.6982691261407161</v>
      </c>
      <c r="K21">
        <f t="shared" si="5"/>
        <v>-0.44172515177521743</v>
      </c>
      <c r="L21">
        <v>1</v>
      </c>
      <c r="M21">
        <f t="shared" si="6"/>
        <v>0.43989355432534277</v>
      </c>
      <c r="N21">
        <f t="shared" si="7"/>
        <v>1.4822999999999999E-2</v>
      </c>
      <c r="O21">
        <f t="shared" si="8"/>
        <v>3.4861500000000004E-3</v>
      </c>
      <c r="P21">
        <f t="shared" si="9"/>
        <v>-1.6477552550125344E-2</v>
      </c>
      <c r="V21">
        <v>-4.3000000000000096</v>
      </c>
      <c r="W21">
        <f t="shared" si="10"/>
        <v>-0.33233799999999958</v>
      </c>
      <c r="Y21">
        <v>0.17</v>
      </c>
      <c r="Z21">
        <f t="shared" si="11"/>
        <v>1.0988067999999998</v>
      </c>
    </row>
    <row r="22" spans="1:26" x14ac:dyDescent="0.3">
      <c r="A22">
        <v>0.96499999999999997</v>
      </c>
      <c r="B22">
        <v>0.77700000000000002</v>
      </c>
      <c r="C22">
        <f t="shared" si="0"/>
        <v>0.74980499999999994</v>
      </c>
      <c r="D22">
        <v>1.6199999999999999E-2</v>
      </c>
      <c r="E22">
        <v>3.81E-3</v>
      </c>
      <c r="F22">
        <f t="shared" si="1"/>
        <v>193</v>
      </c>
      <c r="G22">
        <f t="shared" si="2"/>
        <v>-0.77700000000000002</v>
      </c>
      <c r="H22">
        <f t="shared" si="3"/>
        <v>-149.96099999999998</v>
      </c>
      <c r="I22">
        <v>1</v>
      </c>
      <c r="J22">
        <f t="shared" si="4"/>
        <v>-1.6450650900772514</v>
      </c>
      <c r="K22">
        <f t="shared" si="5"/>
        <v>-0.44472515177521743</v>
      </c>
      <c r="L22">
        <v>1</v>
      </c>
      <c r="M22">
        <f t="shared" si="6"/>
        <v>0.44209300917620642</v>
      </c>
      <c r="N22">
        <f t="shared" si="7"/>
        <v>1.5632999999999998E-2</v>
      </c>
      <c r="O22">
        <f t="shared" si="8"/>
        <v>3.6766500000000001E-3</v>
      </c>
      <c r="P22">
        <f t="shared" si="9"/>
        <v>-1.6677507400988986E-2</v>
      </c>
      <c r="V22">
        <v>-4.2000000000000099</v>
      </c>
      <c r="W22">
        <f t="shared" si="10"/>
        <v>-0.33647199999999955</v>
      </c>
      <c r="Y22">
        <v>0.18</v>
      </c>
      <c r="Z22">
        <f t="shared" si="11"/>
        <v>1.1833771999999998</v>
      </c>
    </row>
    <row r="23" spans="1:26" x14ac:dyDescent="0.3">
      <c r="A23">
        <v>1.02</v>
      </c>
      <c r="B23">
        <v>0.77400000000000002</v>
      </c>
      <c r="C23">
        <f t="shared" si="0"/>
        <v>0.78948000000000007</v>
      </c>
      <c r="D23">
        <v>1.6199999999999999E-2</v>
      </c>
      <c r="E23">
        <v>3.81E-3</v>
      </c>
      <c r="F23">
        <f t="shared" si="1"/>
        <v>204</v>
      </c>
      <c r="G23">
        <f t="shared" si="2"/>
        <v>-0.77400000000000002</v>
      </c>
      <c r="H23">
        <f t="shared" si="3"/>
        <v>-157.89600000000002</v>
      </c>
      <c r="I23">
        <v>1</v>
      </c>
      <c r="J23">
        <f t="shared" si="4"/>
        <v>-1.5896352851379207</v>
      </c>
      <c r="K23">
        <f t="shared" si="5"/>
        <v>-0.44772515177521743</v>
      </c>
      <c r="L23">
        <v>1</v>
      </c>
      <c r="M23">
        <f t="shared" si="6"/>
        <v>0.44438447731239838</v>
      </c>
      <c r="N23">
        <f t="shared" si="7"/>
        <v>1.6524E-2</v>
      </c>
      <c r="O23">
        <f t="shared" si="8"/>
        <v>3.8862000000000002E-3</v>
      </c>
      <c r="P23">
        <f t="shared" si="9"/>
        <v>-1.7069525537180951E-2</v>
      </c>
      <c r="V23">
        <v>-4.1000000000000103</v>
      </c>
      <c r="W23">
        <f t="shared" si="10"/>
        <v>-0.34060599999999958</v>
      </c>
      <c r="Y23">
        <v>0.19</v>
      </c>
      <c r="Z23">
        <f t="shared" si="11"/>
        <v>1.2679475999999998</v>
      </c>
    </row>
    <row r="24" spans="1:26" x14ac:dyDescent="0.3">
      <c r="A24">
        <v>1.07</v>
      </c>
      <c r="B24">
        <v>0.77200000000000002</v>
      </c>
      <c r="C24">
        <f t="shared" si="0"/>
        <v>0.82604000000000011</v>
      </c>
      <c r="D24">
        <v>1.6199999999999999E-2</v>
      </c>
      <c r="E24">
        <v>3.81E-3</v>
      </c>
      <c r="F24">
        <f t="shared" si="1"/>
        <v>214</v>
      </c>
      <c r="G24">
        <f t="shared" si="2"/>
        <v>-0.77200000000000002</v>
      </c>
      <c r="H24">
        <f t="shared" si="3"/>
        <v>-165.20800000000003</v>
      </c>
      <c r="I24">
        <v>1</v>
      </c>
      <c r="J24">
        <f t="shared" si="4"/>
        <v>-1.5417792639602856</v>
      </c>
      <c r="K24">
        <f t="shared" si="5"/>
        <v>-0.44972515177521744</v>
      </c>
      <c r="L24">
        <v>1</v>
      </c>
      <c r="M24">
        <f t="shared" si="6"/>
        <v>0.44636284522788178</v>
      </c>
      <c r="N24">
        <f t="shared" si="7"/>
        <v>1.7333999999999999E-2</v>
      </c>
      <c r="O24">
        <f t="shared" si="8"/>
        <v>4.0766999999999999E-3</v>
      </c>
      <c r="P24">
        <f t="shared" si="9"/>
        <v>-1.8048393452664339E-2</v>
      </c>
      <c r="V24">
        <v>-4.0000000000000098</v>
      </c>
      <c r="W24">
        <f t="shared" si="10"/>
        <v>-0.3447399999999996</v>
      </c>
      <c r="Y24">
        <v>0.2</v>
      </c>
      <c r="Z24">
        <f t="shared" si="11"/>
        <v>1.3525179999999999</v>
      </c>
    </row>
    <row r="25" spans="1:26" x14ac:dyDescent="0.3">
      <c r="A25">
        <v>1.1200000000000001</v>
      </c>
      <c r="B25">
        <v>0.76900000000000002</v>
      </c>
      <c r="C25">
        <f t="shared" si="0"/>
        <v>0.86128000000000005</v>
      </c>
      <c r="D25">
        <v>1.6199999999999999E-2</v>
      </c>
      <c r="E25">
        <v>3.81E-3</v>
      </c>
      <c r="F25">
        <f t="shared" si="1"/>
        <v>224.00000000000003</v>
      </c>
      <c r="G25">
        <f t="shared" si="2"/>
        <v>-0.76900000000000002</v>
      </c>
      <c r="H25">
        <f t="shared" si="3"/>
        <v>-172.256</v>
      </c>
      <c r="I25">
        <v>1</v>
      </c>
      <c r="J25">
        <f t="shared" si="4"/>
        <v>-1.496109227127097</v>
      </c>
      <c r="K25">
        <f t="shared" si="5"/>
        <v>-0.45272515177521744</v>
      </c>
      <c r="L25">
        <v>1</v>
      </c>
      <c r="M25">
        <f t="shared" si="6"/>
        <v>0.4482508445505658</v>
      </c>
      <c r="N25">
        <f t="shared" si="7"/>
        <v>1.8144E-2</v>
      </c>
      <c r="O25">
        <f t="shared" si="8"/>
        <v>4.2672000000000005E-3</v>
      </c>
      <c r="P25">
        <f t="shared" si="9"/>
        <v>-1.7936892775348358E-2</v>
      </c>
      <c r="V25">
        <v>-3.9000000000000101</v>
      </c>
      <c r="W25">
        <f t="shared" si="10"/>
        <v>-0.34887399999999957</v>
      </c>
      <c r="Y25">
        <v>0.21</v>
      </c>
      <c r="Z25">
        <f t="shared" si="11"/>
        <v>1.4370883999999999</v>
      </c>
    </row>
    <row r="26" spans="1:26" x14ac:dyDescent="0.3">
      <c r="A26">
        <v>1.17</v>
      </c>
      <c r="B26">
        <v>0.76700000000000002</v>
      </c>
      <c r="C26">
        <f t="shared" si="0"/>
        <v>0.89738999999999991</v>
      </c>
      <c r="D26">
        <v>1.6199999999999999E-2</v>
      </c>
      <c r="E26">
        <v>3.81E-3</v>
      </c>
      <c r="F26">
        <f t="shared" si="1"/>
        <v>234</v>
      </c>
      <c r="G26">
        <f t="shared" si="2"/>
        <v>-0.76700000000000002</v>
      </c>
      <c r="H26">
        <f t="shared" si="3"/>
        <v>-179.47799999999998</v>
      </c>
      <c r="I26">
        <v>1</v>
      </c>
      <c r="J26">
        <f t="shared" si="4"/>
        <v>-1.4524341636244356</v>
      </c>
      <c r="K26">
        <f t="shared" si="5"/>
        <v>-0.45472515177521744</v>
      </c>
      <c r="L26">
        <v>1</v>
      </c>
      <c r="M26">
        <f t="shared" si="6"/>
        <v>0.45005637167576584</v>
      </c>
      <c r="N26">
        <f t="shared" si="7"/>
        <v>1.8953999999999999E-2</v>
      </c>
      <c r="O26">
        <f t="shared" si="8"/>
        <v>4.4576999999999993E-3</v>
      </c>
      <c r="P26">
        <f t="shared" si="9"/>
        <v>-1.87429199005484E-2</v>
      </c>
      <c r="V26">
        <v>-3.80000000000001</v>
      </c>
      <c r="W26">
        <f t="shared" si="10"/>
        <v>-0.35300799999999954</v>
      </c>
      <c r="Y26">
        <v>0.22</v>
      </c>
      <c r="Z26">
        <f t="shared" si="11"/>
        <v>1.5216588</v>
      </c>
    </row>
    <row r="27" spans="1:26" x14ac:dyDescent="0.3">
      <c r="A27">
        <v>1.22</v>
      </c>
      <c r="B27">
        <v>0.76500000000000001</v>
      </c>
      <c r="C27">
        <f t="shared" si="0"/>
        <v>0.93330000000000002</v>
      </c>
      <c r="D27">
        <v>1.6199999999999999E-2</v>
      </c>
      <c r="E27">
        <v>3.81E-3</v>
      </c>
      <c r="F27">
        <f t="shared" si="1"/>
        <v>244</v>
      </c>
      <c r="G27">
        <f t="shared" si="2"/>
        <v>-0.76500000000000001</v>
      </c>
      <c r="H27">
        <f t="shared" si="3"/>
        <v>-186.66</v>
      </c>
      <c r="I27">
        <v>1</v>
      </c>
      <c r="J27">
        <f t="shared" si="4"/>
        <v>-1.4105870536889351</v>
      </c>
      <c r="K27">
        <f t="shared" si="5"/>
        <v>-0.45672515177521744</v>
      </c>
      <c r="L27">
        <v>1</v>
      </c>
      <c r="M27">
        <f t="shared" si="6"/>
        <v>0.45178633120049944</v>
      </c>
      <c r="N27">
        <f t="shared" si="7"/>
        <v>1.9763999999999997E-2</v>
      </c>
      <c r="O27">
        <f t="shared" si="8"/>
        <v>4.6481999999999999E-3</v>
      </c>
      <c r="P27">
        <f t="shared" si="9"/>
        <v>-1.9473379425281989E-2</v>
      </c>
      <c r="V27">
        <v>-3.7000000000000099</v>
      </c>
      <c r="W27">
        <f t="shared" si="10"/>
        <v>-0.35714199999999957</v>
      </c>
      <c r="Y27">
        <v>0.23</v>
      </c>
      <c r="Z27">
        <f t="shared" si="11"/>
        <v>1.6062292</v>
      </c>
    </row>
    <row r="28" spans="1:26" x14ac:dyDescent="0.3">
      <c r="A28">
        <v>1.27</v>
      </c>
      <c r="B28">
        <v>0.76200000000000001</v>
      </c>
      <c r="C28">
        <f t="shared" si="0"/>
        <v>0.96774000000000004</v>
      </c>
      <c r="D28">
        <v>1.6199999999999999E-2</v>
      </c>
      <c r="E28">
        <v>3.81E-3</v>
      </c>
      <c r="F28">
        <f t="shared" si="1"/>
        <v>254</v>
      </c>
      <c r="G28">
        <f t="shared" si="2"/>
        <v>-0.76200000000000001</v>
      </c>
      <c r="H28">
        <f t="shared" si="3"/>
        <v>-193.548</v>
      </c>
      <c r="I28">
        <v>1</v>
      </c>
      <c r="J28">
        <f t="shared" si="4"/>
        <v>-1.3704210119636004</v>
      </c>
      <c r="K28">
        <f t="shared" si="5"/>
        <v>-0.45972515177521744</v>
      </c>
      <c r="L28">
        <v>1</v>
      </c>
      <c r="M28">
        <f t="shared" si="6"/>
        <v>0.45344679536542476</v>
      </c>
      <c r="N28">
        <f t="shared" si="7"/>
        <v>2.0573999999999999E-2</v>
      </c>
      <c r="O28">
        <f t="shared" si="8"/>
        <v>4.8387000000000005E-3</v>
      </c>
      <c r="P28">
        <f t="shared" si="9"/>
        <v>-1.9134343590207315E-2</v>
      </c>
      <c r="V28">
        <v>-3.6000000000000099</v>
      </c>
      <c r="W28">
        <f t="shared" si="10"/>
        <v>-0.3612759999999996</v>
      </c>
      <c r="Y28">
        <v>0.24</v>
      </c>
      <c r="Z28">
        <f t="shared" si="11"/>
        <v>1.6907995999999996</v>
      </c>
    </row>
    <row r="29" spans="1:26" x14ac:dyDescent="0.3">
      <c r="A29">
        <v>1.32</v>
      </c>
      <c r="B29">
        <v>0.76</v>
      </c>
      <c r="C29">
        <f t="shared" si="0"/>
        <v>1.0032000000000001</v>
      </c>
      <c r="D29">
        <v>1.6199999999999999E-2</v>
      </c>
      <c r="E29">
        <v>3.81E-3</v>
      </c>
      <c r="F29">
        <f t="shared" si="1"/>
        <v>264</v>
      </c>
      <c r="G29">
        <f t="shared" si="2"/>
        <v>-0.76</v>
      </c>
      <c r="H29">
        <f t="shared" si="3"/>
        <v>-200.64000000000001</v>
      </c>
      <c r="I29">
        <v>1</v>
      </c>
      <c r="J29">
        <f t="shared" si="4"/>
        <v>-1.3318061758358208</v>
      </c>
      <c r="K29">
        <f t="shared" si="5"/>
        <v>-0.46172515177521745</v>
      </c>
      <c r="L29">
        <v>1</v>
      </c>
      <c r="M29">
        <f t="shared" si="6"/>
        <v>0.45504313269094715</v>
      </c>
      <c r="N29">
        <f t="shared" si="7"/>
        <v>2.1384E-2</v>
      </c>
      <c r="O29">
        <f t="shared" si="8"/>
        <v>5.0292000000000002E-3</v>
      </c>
      <c r="P29">
        <f t="shared" si="9"/>
        <v>-1.9731180915729705E-2</v>
      </c>
      <c r="V29">
        <v>-3.5000000000000102</v>
      </c>
      <c r="W29">
        <f t="shared" si="10"/>
        <v>-0.36540999999999957</v>
      </c>
      <c r="Y29">
        <v>0.25</v>
      </c>
      <c r="Z29">
        <f t="shared" si="11"/>
        <v>1.7753699999999997</v>
      </c>
    </row>
    <row r="30" spans="1:26" x14ac:dyDescent="0.3">
      <c r="A30">
        <v>1.38</v>
      </c>
      <c r="B30">
        <v>0.75700000000000001</v>
      </c>
      <c r="C30">
        <f t="shared" si="0"/>
        <v>1.0446599999999999</v>
      </c>
      <c r="D30">
        <v>1.6199999999999999E-2</v>
      </c>
      <c r="E30">
        <v>3.81E-3</v>
      </c>
      <c r="F30">
        <f t="shared" si="1"/>
        <v>276</v>
      </c>
      <c r="G30">
        <f t="shared" si="2"/>
        <v>-0.75700000000000001</v>
      </c>
      <c r="H30">
        <f t="shared" si="3"/>
        <v>-208.93199999999999</v>
      </c>
      <c r="I30">
        <v>1</v>
      </c>
      <c r="J30">
        <f t="shared" si="4"/>
        <v>-1.287354413264987</v>
      </c>
      <c r="K30">
        <f t="shared" si="5"/>
        <v>-0.46472515177521745</v>
      </c>
      <c r="L30">
        <v>1</v>
      </c>
      <c r="M30">
        <f t="shared" si="6"/>
        <v>0.45688076855562543</v>
      </c>
      <c r="N30">
        <f t="shared" si="7"/>
        <v>2.2355999999999997E-2</v>
      </c>
      <c r="O30">
        <f t="shared" si="8"/>
        <v>5.2578E-3</v>
      </c>
      <c r="P30">
        <f t="shared" si="9"/>
        <v>-1.9769416780407976E-2</v>
      </c>
      <c r="V30">
        <v>-3.4000000000000101</v>
      </c>
      <c r="W30">
        <f t="shared" si="10"/>
        <v>-0.36954399999999954</v>
      </c>
      <c r="Y30">
        <v>0.26</v>
      </c>
      <c r="Z30">
        <f t="shared" si="11"/>
        <v>1.8599403999999997</v>
      </c>
    </row>
    <row r="31" spans="1:26" x14ac:dyDescent="0.3">
      <c r="A31">
        <v>1.43</v>
      </c>
      <c r="B31">
        <v>0.755</v>
      </c>
      <c r="C31">
        <f t="shared" si="0"/>
        <v>1.07965</v>
      </c>
      <c r="D31">
        <v>1.6199999999999999E-2</v>
      </c>
      <c r="E31">
        <v>3.81E-3</v>
      </c>
      <c r="F31">
        <f t="shared" si="1"/>
        <v>286</v>
      </c>
      <c r="G31">
        <f t="shared" si="2"/>
        <v>-0.755</v>
      </c>
      <c r="H31">
        <f t="shared" si="3"/>
        <v>-215.93</v>
      </c>
      <c r="I31">
        <v>1</v>
      </c>
      <c r="J31">
        <f t="shared" si="4"/>
        <v>-1.2517634681622845</v>
      </c>
      <c r="K31">
        <f t="shared" si="5"/>
        <v>-0.46672515177521745</v>
      </c>
      <c r="L31">
        <v>1</v>
      </c>
      <c r="M31">
        <f t="shared" si="6"/>
        <v>0.45835209822617118</v>
      </c>
      <c r="N31">
        <f t="shared" si="7"/>
        <v>2.3165999999999999E-2</v>
      </c>
      <c r="O31">
        <f t="shared" si="8"/>
        <v>5.4482999999999997E-3</v>
      </c>
      <c r="P31">
        <f t="shared" si="9"/>
        <v>-2.0241246450953727E-2</v>
      </c>
      <c r="V31">
        <v>-3.30000000000001</v>
      </c>
      <c r="W31">
        <f t="shared" si="10"/>
        <v>-0.37367799999999957</v>
      </c>
      <c r="Y31">
        <v>0.27</v>
      </c>
      <c r="Z31">
        <f t="shared" si="11"/>
        <v>1.9445107999999998</v>
      </c>
    </row>
    <row r="32" spans="1:26" x14ac:dyDescent="0.3">
      <c r="A32">
        <v>1.48</v>
      </c>
      <c r="B32">
        <v>0.753</v>
      </c>
      <c r="C32">
        <f t="shared" si="0"/>
        <v>1.1144400000000001</v>
      </c>
      <c r="D32">
        <v>1.6199999999999999E-2</v>
      </c>
      <c r="E32">
        <v>3.81E-3</v>
      </c>
      <c r="F32">
        <f t="shared" si="1"/>
        <v>296</v>
      </c>
      <c r="G32">
        <f t="shared" si="2"/>
        <v>-0.753</v>
      </c>
      <c r="H32">
        <f t="shared" si="3"/>
        <v>-222.88800000000003</v>
      </c>
      <c r="I32">
        <v>1</v>
      </c>
      <c r="J32">
        <f t="shared" si="4"/>
        <v>-1.2173958246580767</v>
      </c>
      <c r="K32">
        <f t="shared" si="5"/>
        <v>-0.46872515177521745</v>
      </c>
      <c r="L32">
        <v>1</v>
      </c>
      <c r="M32">
        <f t="shared" si="6"/>
        <v>0.45977285660863509</v>
      </c>
      <c r="N32">
        <f t="shared" si="7"/>
        <v>2.3975999999999997E-2</v>
      </c>
      <c r="O32">
        <f t="shared" si="8"/>
        <v>5.6388000000000002E-3</v>
      </c>
      <c r="P32">
        <f t="shared" si="9"/>
        <v>-2.0662504833417639E-2</v>
      </c>
      <c r="V32">
        <v>-3.2000000000000099</v>
      </c>
      <c r="W32">
        <f t="shared" si="10"/>
        <v>-0.37781199999999959</v>
      </c>
    </row>
    <row r="33" spans="1:23" x14ac:dyDescent="0.3">
      <c r="A33">
        <v>1.53</v>
      </c>
      <c r="B33">
        <v>0.75</v>
      </c>
      <c r="C33">
        <f t="shared" si="0"/>
        <v>1.1475</v>
      </c>
      <c r="D33">
        <v>1.6199999999999999E-2</v>
      </c>
      <c r="E33">
        <v>3.81E-3</v>
      </c>
      <c r="F33">
        <f t="shared" si="1"/>
        <v>306</v>
      </c>
      <c r="G33">
        <f t="shared" si="2"/>
        <v>-0.75</v>
      </c>
      <c r="H33">
        <f t="shared" si="3"/>
        <v>-229.5</v>
      </c>
      <c r="I33">
        <v>1</v>
      </c>
      <c r="J33">
        <f t="shared" si="4"/>
        <v>-1.1841701770297564</v>
      </c>
      <c r="K33">
        <f t="shared" si="5"/>
        <v>-0.47172515177521745</v>
      </c>
      <c r="L33">
        <v>1</v>
      </c>
      <c r="M33">
        <f t="shared" si="6"/>
        <v>0.46114640488158987</v>
      </c>
      <c r="N33">
        <f t="shared" si="7"/>
        <v>2.4785999999999999E-2</v>
      </c>
      <c r="O33">
        <f t="shared" si="8"/>
        <v>5.8292999999999999E-3</v>
      </c>
      <c r="P33">
        <f t="shared" si="9"/>
        <v>-2.0036553106372409E-2</v>
      </c>
      <c r="V33">
        <v>-3.1000000000000099</v>
      </c>
      <c r="W33">
        <f t="shared" si="10"/>
        <v>-0.38194599999999956</v>
      </c>
    </row>
    <row r="34" spans="1:23" x14ac:dyDescent="0.3">
      <c r="A34">
        <v>1.58</v>
      </c>
      <c r="B34">
        <v>0.748</v>
      </c>
      <c r="C34">
        <f t="shared" si="0"/>
        <v>1.18184</v>
      </c>
      <c r="D34">
        <v>1.6199999999999999E-2</v>
      </c>
      <c r="E34">
        <v>3.81E-3</v>
      </c>
      <c r="F34">
        <f t="shared" si="1"/>
        <v>316</v>
      </c>
      <c r="G34">
        <f t="shared" si="2"/>
        <v>-0.748</v>
      </c>
      <c r="H34">
        <f t="shared" si="3"/>
        <v>-236.36799999999999</v>
      </c>
      <c r="I34">
        <v>1</v>
      </c>
      <c r="J34">
        <f t="shared" si="4"/>
        <v>-1.152013065395225</v>
      </c>
      <c r="K34">
        <f t="shared" si="5"/>
        <v>-0.47372515177521746</v>
      </c>
      <c r="L34">
        <v>1</v>
      </c>
      <c r="M34">
        <f t="shared" si="6"/>
        <v>0.46247577987656141</v>
      </c>
      <c r="N34">
        <f t="shared" si="7"/>
        <v>2.5596000000000001E-2</v>
      </c>
      <c r="O34">
        <f t="shared" si="8"/>
        <v>6.0198000000000005E-3</v>
      </c>
      <c r="P34">
        <f t="shared" si="9"/>
        <v>-2.0366428101343953E-2</v>
      </c>
      <c r="V34">
        <v>-3.0000000000000102</v>
      </c>
      <c r="W34">
        <f t="shared" si="10"/>
        <v>-0.38607999999999959</v>
      </c>
    </row>
    <row r="35" spans="1:23" x14ac:dyDescent="0.3">
      <c r="A35">
        <v>1.64</v>
      </c>
      <c r="B35">
        <v>0.746</v>
      </c>
      <c r="C35">
        <f t="shared" si="0"/>
        <v>1.2234399999999999</v>
      </c>
      <c r="D35">
        <v>1.6199999999999999E-2</v>
      </c>
      <c r="E35">
        <v>3.81E-3</v>
      </c>
      <c r="F35">
        <f t="shared" si="1"/>
        <v>328</v>
      </c>
      <c r="G35">
        <f t="shared" si="2"/>
        <v>-0.746</v>
      </c>
      <c r="H35">
        <f t="shared" si="3"/>
        <v>-244.68799999999996</v>
      </c>
      <c r="I35">
        <v>1</v>
      </c>
      <c r="J35">
        <f t="shared" si="4"/>
        <v>-1.1147416705979933</v>
      </c>
      <c r="K35">
        <f t="shared" si="5"/>
        <v>-0.47572515177521746</v>
      </c>
      <c r="L35">
        <v>1</v>
      </c>
      <c r="M35">
        <f t="shared" si="6"/>
        <v>0.46401657933747897</v>
      </c>
      <c r="N35">
        <f t="shared" si="7"/>
        <v>2.6567999999999998E-2</v>
      </c>
      <c r="O35">
        <f t="shared" si="8"/>
        <v>6.2483999999999994E-3</v>
      </c>
      <c r="P35">
        <f t="shared" si="9"/>
        <v>-2.1107827562261511E-2</v>
      </c>
      <c r="V35">
        <v>-2.9000000000000101</v>
      </c>
      <c r="W35">
        <f t="shared" si="10"/>
        <v>-0.39021399999999956</v>
      </c>
    </row>
    <row r="36" spans="1:23" x14ac:dyDescent="0.3">
      <c r="A36">
        <v>1.69</v>
      </c>
      <c r="B36">
        <v>0.74399999999999999</v>
      </c>
      <c r="C36">
        <f t="shared" si="0"/>
        <v>1.25736</v>
      </c>
      <c r="D36">
        <v>1.6199999999999999E-2</v>
      </c>
      <c r="E36">
        <v>3.81E-3</v>
      </c>
      <c r="F36">
        <f t="shared" si="1"/>
        <v>338</v>
      </c>
      <c r="G36">
        <f t="shared" si="2"/>
        <v>-0.74399999999999999</v>
      </c>
      <c r="H36">
        <f t="shared" si="3"/>
        <v>-251.47200000000001</v>
      </c>
      <c r="I36">
        <v>1</v>
      </c>
      <c r="J36">
        <f t="shared" si="4"/>
        <v>-1.0847093834991182</v>
      </c>
      <c r="K36">
        <f t="shared" si="5"/>
        <v>-0.47772515177521746</v>
      </c>
      <c r="L36">
        <v>1</v>
      </c>
      <c r="M36">
        <f t="shared" si="6"/>
        <v>0.46525811408614648</v>
      </c>
      <c r="N36">
        <f t="shared" si="7"/>
        <v>2.7377999999999996E-2</v>
      </c>
      <c r="O36">
        <f t="shared" si="8"/>
        <v>6.4389E-3</v>
      </c>
      <c r="P36">
        <f t="shared" si="9"/>
        <v>-2.1349862310929016E-2</v>
      </c>
      <c r="V36">
        <v>-2.80000000000001</v>
      </c>
      <c r="W36">
        <f t="shared" ref="W36:W67" si="12">V36*$S$5+$S$4</f>
        <v>-0.39434799999999959</v>
      </c>
    </row>
    <row r="37" spans="1:23" x14ac:dyDescent="0.3">
      <c r="A37">
        <v>1.74</v>
      </c>
      <c r="B37">
        <v>0.74199999999999999</v>
      </c>
      <c r="C37">
        <f t="shared" si="0"/>
        <v>1.29108</v>
      </c>
      <c r="D37">
        <v>1.6199999999999999E-2</v>
      </c>
      <c r="E37">
        <v>3.81E-3</v>
      </c>
      <c r="F37">
        <f t="shared" si="1"/>
        <v>348</v>
      </c>
      <c r="G37">
        <f t="shared" si="2"/>
        <v>-0.74199999999999999</v>
      </c>
      <c r="H37">
        <f t="shared" si="3"/>
        <v>-258.21600000000001</v>
      </c>
      <c r="I37">
        <v>1</v>
      </c>
      <c r="J37">
        <f t="shared" si="4"/>
        <v>-1.0555527992076628</v>
      </c>
      <c r="K37">
        <f t="shared" si="5"/>
        <v>-0.47972515177521746</v>
      </c>
      <c r="L37">
        <v>1</v>
      </c>
      <c r="M37">
        <f t="shared" si="6"/>
        <v>0.46646344728075523</v>
      </c>
      <c r="N37">
        <f t="shared" si="7"/>
        <v>2.8187999999999998E-2</v>
      </c>
      <c r="O37">
        <f t="shared" si="8"/>
        <v>6.6293999999999997E-3</v>
      </c>
      <c r="P37">
        <f t="shared" si="9"/>
        <v>-2.1555695505537764E-2</v>
      </c>
      <c r="V37">
        <v>-2.7000000000000099</v>
      </c>
      <c r="W37">
        <f t="shared" si="12"/>
        <v>-0.39848199999999956</v>
      </c>
    </row>
    <row r="38" spans="1:23" x14ac:dyDescent="0.3">
      <c r="A38">
        <v>1.79</v>
      </c>
      <c r="B38">
        <v>0.73899999999999999</v>
      </c>
      <c r="C38">
        <f t="shared" si="0"/>
        <v>1.32281</v>
      </c>
      <c r="D38">
        <v>1.6199999999999999E-2</v>
      </c>
      <c r="E38">
        <v>3.81E-3</v>
      </c>
      <c r="F38">
        <f t="shared" si="1"/>
        <v>358</v>
      </c>
      <c r="G38">
        <f t="shared" si="2"/>
        <v>-0.73899999999999999</v>
      </c>
      <c r="H38">
        <f t="shared" si="3"/>
        <v>-264.56200000000001</v>
      </c>
      <c r="I38">
        <v>1</v>
      </c>
      <c r="J38">
        <f t="shared" si="4"/>
        <v>-1.0272222925814367</v>
      </c>
      <c r="K38">
        <f t="shared" si="5"/>
        <v>-0.48272515177521746</v>
      </c>
      <c r="L38">
        <v>1</v>
      </c>
      <c r="M38">
        <f t="shared" si="6"/>
        <v>0.4676346304246834</v>
      </c>
      <c r="N38">
        <f t="shared" si="7"/>
        <v>2.8997999999999999E-2</v>
      </c>
      <c r="O38">
        <f t="shared" si="8"/>
        <v>6.8199000000000003E-3</v>
      </c>
      <c r="P38">
        <f t="shared" si="9"/>
        <v>-2.072737864946593E-2</v>
      </c>
      <c r="V38">
        <v>-2.6000000000000099</v>
      </c>
      <c r="W38">
        <f t="shared" si="12"/>
        <v>-0.40261599999999959</v>
      </c>
    </row>
    <row r="39" spans="1:23" x14ac:dyDescent="0.3">
      <c r="A39">
        <v>1.84</v>
      </c>
      <c r="B39">
        <v>0.73699999999999999</v>
      </c>
      <c r="C39">
        <f t="shared" si="0"/>
        <v>1.35608</v>
      </c>
      <c r="D39">
        <v>1.6199999999999999E-2</v>
      </c>
      <c r="E39">
        <v>3.81E-3</v>
      </c>
      <c r="F39">
        <f t="shared" si="1"/>
        <v>368</v>
      </c>
      <c r="G39">
        <f t="shared" si="2"/>
        <v>-0.73699999999999999</v>
      </c>
      <c r="H39">
        <f t="shared" si="3"/>
        <v>-271.21600000000001</v>
      </c>
      <c r="I39">
        <v>1</v>
      </c>
      <c r="J39">
        <f t="shared" si="4"/>
        <v>-0.99967234081320611</v>
      </c>
      <c r="K39">
        <f t="shared" si="5"/>
        <v>-0.48472515177521747</v>
      </c>
      <c r="L39">
        <v>1</v>
      </c>
      <c r="M39">
        <f t="shared" si="6"/>
        <v>0.46877354543078203</v>
      </c>
      <c r="N39">
        <f t="shared" si="7"/>
        <v>2.9808000000000001E-2</v>
      </c>
      <c r="O39">
        <f t="shared" si="8"/>
        <v>7.0104E-3</v>
      </c>
      <c r="P39">
        <f t="shared" si="9"/>
        <v>-2.0866793655564569E-2</v>
      </c>
      <c r="V39">
        <v>-2.5000000000000102</v>
      </c>
      <c r="W39">
        <f t="shared" si="12"/>
        <v>-0.40674999999999956</v>
      </c>
    </row>
    <row r="40" spans="1:23" x14ac:dyDescent="0.3">
      <c r="A40">
        <v>1.89</v>
      </c>
      <c r="B40">
        <v>0.73499999999999999</v>
      </c>
      <c r="C40">
        <f t="shared" si="0"/>
        <v>1.3891499999999999</v>
      </c>
      <c r="D40">
        <v>1.6199999999999999E-2</v>
      </c>
      <c r="E40">
        <v>3.81E-3</v>
      </c>
      <c r="F40">
        <f t="shared" si="1"/>
        <v>378</v>
      </c>
      <c r="G40">
        <f t="shared" si="2"/>
        <v>-0.73499999999999999</v>
      </c>
      <c r="H40">
        <f t="shared" si="3"/>
        <v>-277.83</v>
      </c>
      <c r="I40">
        <v>1</v>
      </c>
      <c r="J40">
        <f t="shared" si="4"/>
        <v>-0.97286108336254939</v>
      </c>
      <c r="K40">
        <f t="shared" si="5"/>
        <v>-0.48672515177521747</v>
      </c>
      <c r="L40">
        <v>1</v>
      </c>
      <c r="M40">
        <f t="shared" si="6"/>
        <v>0.46988192281379221</v>
      </c>
      <c r="N40">
        <f t="shared" si="7"/>
        <v>3.0617999999999996E-2</v>
      </c>
      <c r="O40">
        <f t="shared" si="8"/>
        <v>7.2008999999999997E-3</v>
      </c>
      <c r="P40">
        <f t="shared" si="9"/>
        <v>-2.0975671038574735E-2</v>
      </c>
      <c r="V40">
        <v>-2.4000000000000101</v>
      </c>
      <c r="W40">
        <f t="shared" si="12"/>
        <v>-0.41088399999999958</v>
      </c>
    </row>
    <row r="41" spans="1:23" x14ac:dyDescent="0.3">
      <c r="A41">
        <v>1.95</v>
      </c>
      <c r="B41">
        <v>0.73299999999999998</v>
      </c>
      <c r="C41">
        <f t="shared" si="0"/>
        <v>1.4293499999999999</v>
      </c>
      <c r="D41">
        <v>1.6199999999999999E-2</v>
      </c>
      <c r="E41">
        <v>3.81E-3</v>
      </c>
      <c r="F41">
        <f t="shared" si="1"/>
        <v>390</v>
      </c>
      <c r="G41">
        <f t="shared" si="2"/>
        <v>-0.73299999999999998</v>
      </c>
      <c r="H41">
        <f t="shared" si="3"/>
        <v>-285.87</v>
      </c>
      <c r="I41">
        <v>1</v>
      </c>
      <c r="J41">
        <f t="shared" si="4"/>
        <v>-0.94160853985844495</v>
      </c>
      <c r="K41">
        <f t="shared" si="5"/>
        <v>-0.48872515177521747</v>
      </c>
      <c r="L41">
        <v>1</v>
      </c>
      <c r="M41">
        <f t="shared" si="6"/>
        <v>0.47117390296225187</v>
      </c>
      <c r="N41">
        <f t="shared" si="7"/>
        <v>3.159E-2</v>
      </c>
      <c r="O41">
        <f t="shared" si="8"/>
        <v>7.4294999999999995E-3</v>
      </c>
      <c r="P41">
        <f t="shared" si="9"/>
        <v>-2.1468251187034396E-2</v>
      </c>
      <c r="V41">
        <v>-2.30000000000001</v>
      </c>
      <c r="W41">
        <f t="shared" si="12"/>
        <v>-0.41501799999999955</v>
      </c>
    </row>
    <row r="42" spans="1:23" x14ac:dyDescent="0.3">
      <c r="A42">
        <v>2</v>
      </c>
      <c r="B42">
        <v>0.73099999999999998</v>
      </c>
      <c r="C42">
        <f t="shared" si="0"/>
        <v>1.462</v>
      </c>
      <c r="D42">
        <v>1.6199999999999999E-2</v>
      </c>
      <c r="E42">
        <v>3.81E-3</v>
      </c>
      <c r="F42">
        <f t="shared" si="1"/>
        <v>400</v>
      </c>
      <c r="G42">
        <f t="shared" si="2"/>
        <v>-0.73099999999999998</v>
      </c>
      <c r="H42">
        <f t="shared" si="3"/>
        <v>-292.39999999999998</v>
      </c>
      <c r="I42">
        <v>1</v>
      </c>
      <c r="J42">
        <f t="shared" si="4"/>
        <v>-0.916290731874155</v>
      </c>
      <c r="K42">
        <f t="shared" si="5"/>
        <v>-0.49072515177521747</v>
      </c>
      <c r="L42">
        <v>1</v>
      </c>
      <c r="M42">
        <f t="shared" si="6"/>
        <v>0.47222054114432244</v>
      </c>
      <c r="N42">
        <f t="shared" si="7"/>
        <v>3.2399999999999998E-2</v>
      </c>
      <c r="O42">
        <f t="shared" si="8"/>
        <v>7.62E-3</v>
      </c>
      <c r="P42">
        <f t="shared" si="9"/>
        <v>-2.1515389369104965E-2</v>
      </c>
      <c r="V42">
        <v>-2.2000000000000099</v>
      </c>
      <c r="W42">
        <f t="shared" si="12"/>
        <v>-0.41915199999999958</v>
      </c>
    </row>
    <row r="43" spans="1:23" x14ac:dyDescent="0.3">
      <c r="A43">
        <v>2.0499999999999998</v>
      </c>
      <c r="B43">
        <v>0.72899999999999998</v>
      </c>
      <c r="C43">
        <f t="shared" si="0"/>
        <v>1.4944499999999998</v>
      </c>
      <c r="D43">
        <v>1.6199999999999999E-2</v>
      </c>
      <c r="E43">
        <v>3.81E-3</v>
      </c>
      <c r="F43">
        <f t="shared" si="1"/>
        <v>409.99999999999994</v>
      </c>
      <c r="G43">
        <f t="shared" si="2"/>
        <v>-0.72899999999999998</v>
      </c>
      <c r="H43">
        <f t="shared" si="3"/>
        <v>-298.89</v>
      </c>
      <c r="I43">
        <v>1</v>
      </c>
      <c r="J43">
        <f t="shared" si="4"/>
        <v>-0.89159811928378374</v>
      </c>
      <c r="K43">
        <f t="shared" si="5"/>
        <v>-0.49272515177521747</v>
      </c>
      <c r="L43">
        <v>1</v>
      </c>
      <c r="M43">
        <f t="shared" si="6"/>
        <v>0.47324133374880839</v>
      </c>
      <c r="N43">
        <f t="shared" si="7"/>
        <v>3.3209999999999996E-2</v>
      </c>
      <c r="O43">
        <f t="shared" si="8"/>
        <v>7.8104999999999997E-3</v>
      </c>
      <c r="P43">
        <f t="shared" si="9"/>
        <v>-2.1536681973590911E-2</v>
      </c>
      <c r="V43">
        <v>-2.1000000000000099</v>
      </c>
      <c r="W43">
        <f t="shared" si="12"/>
        <v>-0.42328599999999961</v>
      </c>
    </row>
    <row r="44" spans="1:23" x14ac:dyDescent="0.3">
      <c r="A44">
        <v>2.1</v>
      </c>
      <c r="B44">
        <v>0.72699999999999998</v>
      </c>
      <c r="C44">
        <f t="shared" si="0"/>
        <v>1.5266999999999999</v>
      </c>
      <c r="D44">
        <v>1.6199999999999999E-2</v>
      </c>
      <c r="E44">
        <v>3.81E-3</v>
      </c>
      <c r="F44">
        <f t="shared" si="1"/>
        <v>420</v>
      </c>
      <c r="G44">
        <f t="shared" si="2"/>
        <v>-0.72699999999999998</v>
      </c>
      <c r="H44">
        <f t="shared" si="3"/>
        <v>-305.33999999999997</v>
      </c>
      <c r="I44">
        <v>1</v>
      </c>
      <c r="J44">
        <f t="shared" si="4"/>
        <v>-0.86750056770472306</v>
      </c>
      <c r="K44">
        <f t="shared" si="5"/>
        <v>-0.49472515177521748</v>
      </c>
      <c r="L44">
        <v>1</v>
      </c>
      <c r="M44">
        <f t="shared" si="6"/>
        <v>0.47423752653108675</v>
      </c>
      <c r="N44">
        <f t="shared" si="7"/>
        <v>3.4020000000000002E-2</v>
      </c>
      <c r="O44">
        <f t="shared" si="8"/>
        <v>8.0010000000000012E-3</v>
      </c>
      <c r="P44">
        <f t="shared" si="9"/>
        <v>-2.1533374755869278E-2</v>
      </c>
      <c r="V44">
        <v>-2.0000000000000102</v>
      </c>
      <c r="W44">
        <f t="shared" si="12"/>
        <v>-0.42741999999999958</v>
      </c>
    </row>
    <row r="45" spans="1:23" x14ac:dyDescent="0.3">
      <c r="A45">
        <v>2.15</v>
      </c>
      <c r="B45">
        <v>0.72499999999999998</v>
      </c>
      <c r="C45">
        <f t="shared" si="0"/>
        <v>1.5587499999999999</v>
      </c>
      <c r="D45">
        <v>1.6199999999999999E-2</v>
      </c>
      <c r="E45">
        <v>3.81E-3</v>
      </c>
      <c r="F45">
        <f t="shared" si="1"/>
        <v>430</v>
      </c>
      <c r="G45">
        <f t="shared" si="2"/>
        <v>-0.72499999999999998</v>
      </c>
      <c r="H45">
        <f t="shared" si="3"/>
        <v>-311.75</v>
      </c>
      <c r="I45">
        <v>1</v>
      </c>
      <c r="J45">
        <f t="shared" si="4"/>
        <v>-0.84397007029452897</v>
      </c>
      <c r="K45">
        <f t="shared" si="5"/>
        <v>-0.49672515177521748</v>
      </c>
      <c r="L45">
        <v>1</v>
      </c>
      <c r="M45">
        <f t="shared" si="6"/>
        <v>0.47521027729402415</v>
      </c>
      <c r="N45">
        <f t="shared" si="7"/>
        <v>3.483E-2</v>
      </c>
      <c r="O45">
        <f t="shared" si="8"/>
        <v>8.1914999999999991E-3</v>
      </c>
      <c r="P45">
        <f t="shared" si="9"/>
        <v>-2.1506625518806673E-2</v>
      </c>
      <c r="V45">
        <v>-1.9000000000000099</v>
      </c>
      <c r="W45">
        <f t="shared" si="12"/>
        <v>-0.4315539999999996</v>
      </c>
    </row>
    <row r="46" spans="1:23" x14ac:dyDescent="0.3">
      <c r="A46">
        <v>2.2000000000000002</v>
      </c>
      <c r="B46">
        <v>0.72299999999999998</v>
      </c>
      <c r="C46">
        <f t="shared" si="0"/>
        <v>1.5906</v>
      </c>
      <c r="D46">
        <v>1.6199999999999999E-2</v>
      </c>
      <c r="E46">
        <v>3.81E-3</v>
      </c>
      <c r="F46">
        <f t="shared" si="1"/>
        <v>440.00000000000006</v>
      </c>
      <c r="G46">
        <f t="shared" si="2"/>
        <v>-0.72299999999999998</v>
      </c>
      <c r="H46">
        <f t="shared" si="3"/>
        <v>-318.12</v>
      </c>
      <c r="I46">
        <v>1</v>
      </c>
      <c r="J46">
        <f t="shared" si="4"/>
        <v>-0.82098055206983012</v>
      </c>
      <c r="K46">
        <f t="shared" si="5"/>
        <v>-0.49872515177521748</v>
      </c>
      <c r="L46">
        <v>1</v>
      </c>
      <c r="M46">
        <f t="shared" si="6"/>
        <v>0.47616066397743323</v>
      </c>
      <c r="N46">
        <f t="shared" si="7"/>
        <v>3.5639999999999998E-2</v>
      </c>
      <c r="O46">
        <f t="shared" si="8"/>
        <v>8.3820000000000006E-3</v>
      </c>
      <c r="P46">
        <f t="shared" si="9"/>
        <v>-2.1457512202215749E-2</v>
      </c>
      <c r="V46">
        <v>-1.80000000000001</v>
      </c>
      <c r="W46">
        <f t="shared" si="12"/>
        <v>-0.43568799999999958</v>
      </c>
    </row>
    <row r="47" spans="1:23" x14ac:dyDescent="0.3">
      <c r="A47">
        <v>2.2599999999999998</v>
      </c>
      <c r="B47">
        <v>0.72099999999999997</v>
      </c>
      <c r="C47">
        <f t="shared" si="0"/>
        <v>1.6294599999999997</v>
      </c>
      <c r="D47">
        <v>1.6199999999999999E-2</v>
      </c>
      <c r="E47">
        <v>3.81E-3</v>
      </c>
      <c r="F47">
        <f t="shared" si="1"/>
        <v>451.99999999999994</v>
      </c>
      <c r="G47">
        <f t="shared" si="2"/>
        <v>-0.72099999999999997</v>
      </c>
      <c r="H47">
        <f t="shared" si="3"/>
        <v>-325.89199999999994</v>
      </c>
      <c r="I47">
        <v>1</v>
      </c>
      <c r="J47">
        <f t="shared" si="4"/>
        <v>-0.79407309914990598</v>
      </c>
      <c r="K47">
        <f t="shared" si="5"/>
        <v>-0.50072515177521748</v>
      </c>
      <c r="L47">
        <v>1</v>
      </c>
      <c r="M47">
        <f t="shared" si="6"/>
        <v>0.47727301808114286</v>
      </c>
      <c r="N47">
        <f t="shared" si="7"/>
        <v>3.6611999999999992E-2</v>
      </c>
      <c r="O47">
        <f t="shared" si="8"/>
        <v>8.6105999999999995E-3</v>
      </c>
      <c r="P47">
        <f t="shared" si="9"/>
        <v>-2.1770466305925374E-2</v>
      </c>
      <c r="V47">
        <v>-1.7000000000000199</v>
      </c>
      <c r="W47">
        <f t="shared" si="12"/>
        <v>-0.43982199999999916</v>
      </c>
    </row>
    <row r="48" spans="1:23" x14ac:dyDescent="0.3">
      <c r="A48">
        <v>2.31</v>
      </c>
      <c r="B48">
        <v>0.71899999999999997</v>
      </c>
      <c r="C48">
        <f t="shared" si="0"/>
        <v>1.66089</v>
      </c>
      <c r="D48">
        <v>1.6199999999999999E-2</v>
      </c>
      <c r="E48">
        <v>3.81E-3</v>
      </c>
      <c r="F48">
        <f t="shared" si="1"/>
        <v>462</v>
      </c>
      <c r="G48">
        <f t="shared" si="2"/>
        <v>-0.71899999999999997</v>
      </c>
      <c r="H48">
        <f t="shared" si="3"/>
        <v>-332.178</v>
      </c>
      <c r="I48">
        <v>1</v>
      </c>
      <c r="J48">
        <f t="shared" si="4"/>
        <v>-0.77219038790039818</v>
      </c>
      <c r="K48">
        <f t="shared" si="5"/>
        <v>-0.50272515177521748</v>
      </c>
      <c r="L48">
        <v>1</v>
      </c>
      <c r="M48">
        <f t="shared" si="6"/>
        <v>0.47817764936419754</v>
      </c>
      <c r="N48">
        <f t="shared" si="7"/>
        <v>3.7421999999999997E-2</v>
      </c>
      <c r="O48">
        <f t="shared" si="8"/>
        <v>8.8011000000000009E-3</v>
      </c>
      <c r="P48">
        <f t="shared" si="9"/>
        <v>-2.1675597588980057E-2</v>
      </c>
      <c r="V48">
        <v>-1.6000000000000201</v>
      </c>
      <c r="W48">
        <f t="shared" si="12"/>
        <v>-0.44395599999999918</v>
      </c>
    </row>
    <row r="49" spans="1:23" x14ac:dyDescent="0.3">
      <c r="A49">
        <v>2.36</v>
      </c>
      <c r="B49">
        <v>0.71699999999999997</v>
      </c>
      <c r="C49">
        <f t="shared" si="0"/>
        <v>1.6921199999999998</v>
      </c>
      <c r="D49">
        <v>1.6199999999999999E-2</v>
      </c>
      <c r="E49">
        <v>3.81E-3</v>
      </c>
      <c r="F49">
        <f t="shared" si="1"/>
        <v>472</v>
      </c>
      <c r="G49">
        <f t="shared" si="2"/>
        <v>-0.71699999999999997</v>
      </c>
      <c r="H49">
        <f t="shared" si="3"/>
        <v>-338.42399999999998</v>
      </c>
      <c r="I49">
        <v>1</v>
      </c>
      <c r="J49">
        <f t="shared" si="4"/>
        <v>-0.7507762933965817</v>
      </c>
      <c r="K49">
        <f t="shared" si="5"/>
        <v>-0.50472515177521748</v>
      </c>
      <c r="L49">
        <v>1</v>
      </c>
      <c r="M49">
        <f t="shared" si="6"/>
        <v>0.47906290803098533</v>
      </c>
      <c r="N49">
        <f t="shared" si="7"/>
        <v>3.8231999999999995E-2</v>
      </c>
      <c r="O49">
        <f t="shared" si="8"/>
        <v>8.9915999999999989E-3</v>
      </c>
      <c r="P49">
        <f t="shared" si="9"/>
        <v>-2.1561356255767845E-2</v>
      </c>
      <c r="V49">
        <v>-1.50000000000002</v>
      </c>
      <c r="W49">
        <f t="shared" si="12"/>
        <v>-0.44808999999999916</v>
      </c>
    </row>
    <row r="50" spans="1:23" x14ac:dyDescent="0.3">
      <c r="A50">
        <v>2.41</v>
      </c>
      <c r="B50">
        <v>0.71499999999999997</v>
      </c>
      <c r="C50">
        <f t="shared" si="0"/>
        <v>1.72315</v>
      </c>
      <c r="D50">
        <v>1.6199999999999999E-2</v>
      </c>
      <c r="E50">
        <v>3.81E-3</v>
      </c>
      <c r="F50">
        <f t="shared" si="1"/>
        <v>482</v>
      </c>
      <c r="G50">
        <f t="shared" si="2"/>
        <v>-0.71499999999999997</v>
      </c>
      <c r="H50">
        <f t="shared" si="3"/>
        <v>-344.63</v>
      </c>
      <c r="I50">
        <v>1</v>
      </c>
      <c r="J50">
        <f t="shared" si="4"/>
        <v>-0.72981116493153675</v>
      </c>
      <c r="K50">
        <f t="shared" si="5"/>
        <v>-0.50672515177521749</v>
      </c>
      <c r="L50">
        <v>1</v>
      </c>
      <c r="M50">
        <f t="shared" si="6"/>
        <v>0.47992960644173027</v>
      </c>
      <c r="N50">
        <f t="shared" si="7"/>
        <v>3.9042E-2</v>
      </c>
      <c r="O50">
        <f t="shared" si="8"/>
        <v>9.1821000000000003E-3</v>
      </c>
      <c r="P50">
        <f t="shared" si="9"/>
        <v>-2.1428554666512785E-2</v>
      </c>
      <c r="V50">
        <v>-1.4000000000000199</v>
      </c>
      <c r="W50">
        <f t="shared" si="12"/>
        <v>-0.45222399999999918</v>
      </c>
    </row>
    <row r="51" spans="1:23" x14ac:dyDescent="0.3">
      <c r="A51">
        <v>2.46</v>
      </c>
      <c r="B51">
        <v>0.71299999999999997</v>
      </c>
      <c r="C51">
        <f t="shared" si="0"/>
        <v>1.7539799999999999</v>
      </c>
      <c r="D51">
        <v>1.6199999999999999E-2</v>
      </c>
      <c r="E51">
        <v>3.81E-3</v>
      </c>
      <c r="F51">
        <f t="shared" si="1"/>
        <v>492</v>
      </c>
      <c r="G51">
        <f t="shared" si="2"/>
        <v>-0.71299999999999997</v>
      </c>
      <c r="H51">
        <f t="shared" si="3"/>
        <v>-350.79599999999999</v>
      </c>
      <c r="I51">
        <v>1</v>
      </c>
      <c r="J51">
        <f t="shared" si="4"/>
        <v>-0.70927656248982895</v>
      </c>
      <c r="K51">
        <f t="shared" si="5"/>
        <v>-0.50872515177521749</v>
      </c>
      <c r="L51">
        <v>1</v>
      </c>
      <c r="M51">
        <f t="shared" si="6"/>
        <v>0.48077850690667046</v>
      </c>
      <c r="N51">
        <f t="shared" si="7"/>
        <v>3.9851999999999999E-2</v>
      </c>
      <c r="O51">
        <f t="shared" si="8"/>
        <v>9.3726E-3</v>
      </c>
      <c r="P51">
        <f t="shared" si="9"/>
        <v>-2.1277955131452968E-2</v>
      </c>
      <c r="V51">
        <v>-1.30000000000002</v>
      </c>
      <c r="W51">
        <f t="shared" si="12"/>
        <v>-0.45635799999999915</v>
      </c>
    </row>
    <row r="52" spans="1:23" x14ac:dyDescent="0.3">
      <c r="A52">
        <v>2.5099999999999998</v>
      </c>
      <c r="B52">
        <v>0.71099999999999997</v>
      </c>
      <c r="C52">
        <f t="shared" si="0"/>
        <v>1.7846099999999998</v>
      </c>
      <c r="D52">
        <v>1.6199999999999999E-2</v>
      </c>
      <c r="E52">
        <v>3.81E-3</v>
      </c>
      <c r="F52">
        <f t="shared" si="1"/>
        <v>501.99999999999994</v>
      </c>
      <c r="G52">
        <f t="shared" si="2"/>
        <v>-0.71099999999999997</v>
      </c>
      <c r="H52">
        <f t="shared" si="3"/>
        <v>-356.92199999999997</v>
      </c>
      <c r="I52">
        <v>1</v>
      </c>
      <c r="J52">
        <f t="shared" si="4"/>
        <v>-0.68915515929040805</v>
      </c>
      <c r="K52">
        <f t="shared" si="5"/>
        <v>-0.51072515177521749</v>
      </c>
      <c r="L52">
        <v>1</v>
      </c>
      <c r="M52">
        <f t="shared" si="6"/>
        <v>0.48161032571493451</v>
      </c>
      <c r="N52">
        <f t="shared" si="7"/>
        <v>4.0661999999999997E-2</v>
      </c>
      <c r="O52">
        <f t="shared" si="8"/>
        <v>9.5630999999999997E-3</v>
      </c>
      <c r="P52">
        <f t="shared" si="9"/>
        <v>-2.1110273939717011E-2</v>
      </c>
      <c r="V52">
        <v>-1.2000000000000199</v>
      </c>
      <c r="W52">
        <f t="shared" si="12"/>
        <v>-0.46049199999999918</v>
      </c>
    </row>
    <row r="53" spans="1:23" x14ac:dyDescent="0.3">
      <c r="A53">
        <v>2.56</v>
      </c>
      <c r="B53">
        <v>0.70899999999999996</v>
      </c>
      <c r="C53">
        <f t="shared" si="0"/>
        <v>1.81504</v>
      </c>
      <c r="D53">
        <v>1.6199999999999999E-2</v>
      </c>
      <c r="E53">
        <v>3.81E-3</v>
      </c>
      <c r="F53">
        <f t="shared" si="1"/>
        <v>512</v>
      </c>
      <c r="G53">
        <f t="shared" si="2"/>
        <v>-0.70899999999999996</v>
      </c>
      <c r="H53">
        <f t="shared" si="3"/>
        <v>-363.00799999999998</v>
      </c>
      <c r="I53">
        <v>1</v>
      </c>
      <c r="J53">
        <f t="shared" si="4"/>
        <v>-0.66943065394262924</v>
      </c>
      <c r="K53">
        <f t="shared" si="5"/>
        <v>-0.51272515177521749</v>
      </c>
      <c r="L53">
        <v>1</v>
      </c>
      <c r="M53">
        <f t="shared" si="6"/>
        <v>0.48242573676601169</v>
      </c>
      <c r="N53">
        <f t="shared" si="7"/>
        <v>4.1472000000000002E-2</v>
      </c>
      <c r="O53">
        <f t="shared" si="8"/>
        <v>9.7535999999999994E-3</v>
      </c>
      <c r="P53">
        <f t="shared" si="9"/>
        <v>-2.0926184990794204E-2</v>
      </c>
      <c r="V53">
        <v>-1.1000000000000201</v>
      </c>
      <c r="W53">
        <f t="shared" si="12"/>
        <v>-0.46462599999999915</v>
      </c>
    </row>
    <row r="54" spans="1:23" x14ac:dyDescent="0.3">
      <c r="A54">
        <v>2.62</v>
      </c>
      <c r="B54">
        <v>0.70699999999999996</v>
      </c>
      <c r="C54">
        <f t="shared" si="0"/>
        <v>1.8523399999999999</v>
      </c>
      <c r="D54">
        <v>1.6199999999999999E-2</v>
      </c>
      <c r="E54">
        <v>3.81E-3</v>
      </c>
      <c r="F54">
        <f t="shared" si="1"/>
        <v>524</v>
      </c>
      <c r="G54">
        <f t="shared" si="2"/>
        <v>-0.70699999999999996</v>
      </c>
      <c r="H54">
        <f t="shared" si="3"/>
        <v>-370.46799999999996</v>
      </c>
      <c r="I54">
        <v>1</v>
      </c>
      <c r="J54">
        <f t="shared" si="4"/>
        <v>-0.64626359466109484</v>
      </c>
      <c r="K54">
        <f t="shared" si="5"/>
        <v>-0.51472515177521749</v>
      </c>
      <c r="L54">
        <v>1</v>
      </c>
      <c r="M54">
        <f t="shared" si="6"/>
        <v>0.48338346299671031</v>
      </c>
      <c r="N54">
        <f t="shared" si="7"/>
        <v>4.2444000000000003E-2</v>
      </c>
      <c r="O54">
        <f t="shared" si="8"/>
        <v>9.9822000000000001E-3</v>
      </c>
      <c r="P54">
        <f t="shared" si="9"/>
        <v>-2.1084511221492821E-2</v>
      </c>
      <c r="V54">
        <v>-1.00000000000002</v>
      </c>
      <c r="W54">
        <f t="shared" si="12"/>
        <v>-0.46875999999999918</v>
      </c>
    </row>
    <row r="55" spans="1:23" x14ac:dyDescent="0.3">
      <c r="A55">
        <v>2.67</v>
      </c>
      <c r="B55">
        <v>0.70499999999999996</v>
      </c>
      <c r="C55">
        <f t="shared" si="0"/>
        <v>1.8823499999999997</v>
      </c>
      <c r="D55">
        <v>1.6199999999999999E-2</v>
      </c>
      <c r="E55">
        <v>3.81E-3</v>
      </c>
      <c r="F55">
        <f t="shared" si="1"/>
        <v>534</v>
      </c>
      <c r="G55">
        <f t="shared" si="2"/>
        <v>-0.70499999999999996</v>
      </c>
      <c r="H55">
        <f t="shared" si="3"/>
        <v>-376.46999999999997</v>
      </c>
      <c r="I55">
        <v>1</v>
      </c>
      <c r="J55">
        <f t="shared" si="4"/>
        <v>-0.62735944002194211</v>
      </c>
      <c r="K55">
        <f t="shared" si="5"/>
        <v>-0.51672515177521749</v>
      </c>
      <c r="L55">
        <v>1</v>
      </c>
      <c r="M55">
        <f t="shared" si="6"/>
        <v>0.48416496074949289</v>
      </c>
      <c r="N55">
        <f t="shared" si="7"/>
        <v>4.3253999999999994E-2</v>
      </c>
      <c r="O55">
        <f t="shared" si="8"/>
        <v>1.01727E-2</v>
      </c>
      <c r="P55">
        <f t="shared" si="9"/>
        <v>-2.0866508974275388E-2</v>
      </c>
      <c r="V55">
        <v>-0.90000000000002001</v>
      </c>
      <c r="W55">
        <f t="shared" si="12"/>
        <v>-0.47289399999999915</v>
      </c>
    </row>
    <row r="56" spans="1:23" x14ac:dyDescent="0.3">
      <c r="A56">
        <v>2.72</v>
      </c>
      <c r="B56">
        <v>0.70299999999999996</v>
      </c>
      <c r="C56">
        <f t="shared" si="0"/>
        <v>1.9121600000000001</v>
      </c>
      <c r="D56">
        <v>1.6199999999999999E-2</v>
      </c>
      <c r="E56">
        <v>3.81E-3</v>
      </c>
      <c r="F56">
        <f t="shared" si="1"/>
        <v>544</v>
      </c>
      <c r="G56">
        <f t="shared" si="2"/>
        <v>-0.70299999999999996</v>
      </c>
      <c r="H56">
        <f t="shared" si="3"/>
        <v>-382.43200000000002</v>
      </c>
      <c r="I56">
        <v>1</v>
      </c>
      <c r="J56">
        <f t="shared" si="4"/>
        <v>-0.60880603212619433</v>
      </c>
      <c r="K56">
        <f t="shared" si="5"/>
        <v>-0.5187251517752175</v>
      </c>
      <c r="L56">
        <v>1</v>
      </c>
      <c r="M56">
        <f t="shared" si="6"/>
        <v>0.48493195863190314</v>
      </c>
      <c r="N56">
        <f t="shared" si="7"/>
        <v>4.4063999999999999E-2</v>
      </c>
      <c r="O56">
        <f t="shared" si="8"/>
        <v>1.0363200000000001E-2</v>
      </c>
      <c r="P56">
        <f t="shared" si="9"/>
        <v>-2.0634006856685642E-2</v>
      </c>
      <c r="V56">
        <v>-0.80000000000002003</v>
      </c>
      <c r="W56">
        <f t="shared" si="12"/>
        <v>-0.47702799999999917</v>
      </c>
    </row>
    <row r="57" spans="1:23" x14ac:dyDescent="0.3">
      <c r="A57">
        <v>2.77</v>
      </c>
      <c r="B57">
        <v>0.70099999999999996</v>
      </c>
      <c r="C57">
        <f t="shared" si="0"/>
        <v>1.94177</v>
      </c>
      <c r="D57">
        <v>1.6199999999999999E-2</v>
      </c>
      <c r="E57">
        <v>3.81E-3</v>
      </c>
      <c r="F57">
        <f t="shared" si="1"/>
        <v>554</v>
      </c>
      <c r="G57">
        <f t="shared" si="2"/>
        <v>-0.70099999999999996</v>
      </c>
      <c r="H57">
        <f t="shared" si="3"/>
        <v>-388.35399999999998</v>
      </c>
      <c r="I57">
        <v>1</v>
      </c>
      <c r="J57">
        <f t="shared" si="4"/>
        <v>-0.59059059223485311</v>
      </c>
      <c r="K57">
        <f t="shared" si="5"/>
        <v>-0.5207251517752175</v>
      </c>
      <c r="L57">
        <v>1</v>
      </c>
      <c r="M57">
        <f t="shared" si="6"/>
        <v>0.48568498491701118</v>
      </c>
      <c r="N57">
        <f t="shared" si="7"/>
        <v>4.4873999999999997E-2</v>
      </c>
      <c r="O57">
        <f t="shared" si="8"/>
        <v>1.0553700000000001E-2</v>
      </c>
      <c r="P57">
        <f t="shared" si="9"/>
        <v>-2.0387533141793673E-2</v>
      </c>
      <c r="V57">
        <v>-0.70000000000002005</v>
      </c>
      <c r="W57">
        <f t="shared" si="12"/>
        <v>-0.48116199999999915</v>
      </c>
    </row>
    <row r="58" spans="1:23" x14ac:dyDescent="0.3">
      <c r="A58">
        <v>2.82</v>
      </c>
      <c r="B58">
        <v>0.69899999999999995</v>
      </c>
      <c r="C58">
        <f t="shared" si="0"/>
        <v>1.9711799999999997</v>
      </c>
      <c r="D58">
        <v>1.6199999999999999E-2</v>
      </c>
      <c r="E58">
        <v>3.81E-3</v>
      </c>
      <c r="F58">
        <f t="shared" si="1"/>
        <v>564</v>
      </c>
      <c r="G58">
        <f t="shared" si="2"/>
        <v>-0.69899999999999995</v>
      </c>
      <c r="H58">
        <f t="shared" si="3"/>
        <v>-394.23599999999993</v>
      </c>
      <c r="I58">
        <v>1</v>
      </c>
      <c r="J58">
        <f t="shared" si="4"/>
        <v>-0.57270102748407825</v>
      </c>
      <c r="K58">
        <f t="shared" si="5"/>
        <v>-0.5227251517752175</v>
      </c>
      <c r="L58">
        <v>1</v>
      </c>
      <c r="M58">
        <f t="shared" si="6"/>
        <v>0.48642453952380821</v>
      </c>
      <c r="N58">
        <f t="shared" si="7"/>
        <v>4.5683999999999995E-2</v>
      </c>
      <c r="O58">
        <f t="shared" si="8"/>
        <v>1.0744199999999999E-2</v>
      </c>
      <c r="P58">
        <f t="shared" si="9"/>
        <v>-2.0127587748590702E-2</v>
      </c>
      <c r="V58">
        <v>-0.60000000000001996</v>
      </c>
      <c r="W58">
        <f t="shared" si="12"/>
        <v>-0.48529599999999917</v>
      </c>
    </row>
    <row r="59" spans="1:23" x14ac:dyDescent="0.3">
      <c r="A59">
        <v>2.87</v>
      </c>
      <c r="B59">
        <v>0.69699999999999995</v>
      </c>
      <c r="C59">
        <f t="shared" si="0"/>
        <v>2.0003899999999999</v>
      </c>
      <c r="D59">
        <v>1.6199999999999999E-2</v>
      </c>
      <c r="E59">
        <v>3.81E-3</v>
      </c>
      <c r="F59">
        <f t="shared" si="1"/>
        <v>574</v>
      </c>
      <c r="G59">
        <f t="shared" si="2"/>
        <v>-0.69699999999999995</v>
      </c>
      <c r="H59">
        <f t="shared" si="3"/>
        <v>-400.07799999999997</v>
      </c>
      <c r="I59">
        <v>1</v>
      </c>
      <c r="J59">
        <f t="shared" si="4"/>
        <v>-0.55512588266257068</v>
      </c>
      <c r="K59">
        <f t="shared" si="5"/>
        <v>-0.5247251517752175</v>
      </c>
      <c r="L59">
        <v>1</v>
      </c>
      <c r="M59">
        <f t="shared" si="6"/>
        <v>0.48715109601072931</v>
      </c>
      <c r="N59">
        <f t="shared" si="7"/>
        <v>4.6494000000000001E-2</v>
      </c>
      <c r="O59">
        <f t="shared" si="8"/>
        <v>1.09347E-2</v>
      </c>
      <c r="P59">
        <f t="shared" si="9"/>
        <v>-1.9854644235511809E-2</v>
      </c>
      <c r="V59">
        <v>-0.50000000000001998</v>
      </c>
      <c r="W59">
        <f t="shared" si="12"/>
        <v>-0.48942999999999914</v>
      </c>
    </row>
    <row r="60" spans="1:23" x14ac:dyDescent="0.3">
      <c r="A60">
        <v>2.92</v>
      </c>
      <c r="B60">
        <v>0.69499999999999995</v>
      </c>
      <c r="C60">
        <f t="shared" si="0"/>
        <v>2.0293999999999999</v>
      </c>
      <c r="D60">
        <v>1.6199999999999999E-2</v>
      </c>
      <c r="E60">
        <v>3.81E-3</v>
      </c>
      <c r="F60">
        <f t="shared" si="1"/>
        <v>584</v>
      </c>
      <c r="G60">
        <f t="shared" si="2"/>
        <v>-0.69499999999999995</v>
      </c>
      <c r="H60">
        <f t="shared" si="3"/>
        <v>-405.88</v>
      </c>
      <c r="I60">
        <v>1</v>
      </c>
      <c r="J60">
        <f t="shared" si="4"/>
        <v>-0.53785429615391001</v>
      </c>
      <c r="K60">
        <f t="shared" si="5"/>
        <v>-0.5267251517752175</v>
      </c>
      <c r="L60">
        <v>1</v>
      </c>
      <c r="M60">
        <f t="shared" si="6"/>
        <v>0.48786510339699735</v>
      </c>
      <c r="N60">
        <f t="shared" si="7"/>
        <v>4.7303999999999999E-2</v>
      </c>
      <c r="O60">
        <f t="shared" si="8"/>
        <v>1.11252E-2</v>
      </c>
      <c r="P60">
        <f t="shared" si="9"/>
        <v>-1.9569151621779843E-2</v>
      </c>
      <c r="V60">
        <v>-0.40000000000002001</v>
      </c>
      <c r="W60">
        <f t="shared" si="12"/>
        <v>-0.49356399999999917</v>
      </c>
    </row>
    <row r="61" spans="1:23" x14ac:dyDescent="0.3">
      <c r="A61">
        <v>2.98</v>
      </c>
      <c r="B61">
        <v>0.69299999999999995</v>
      </c>
      <c r="C61">
        <f t="shared" si="0"/>
        <v>2.06514</v>
      </c>
      <c r="D61">
        <v>1.6199999999999999E-2</v>
      </c>
      <c r="E61">
        <v>3.81E-3</v>
      </c>
      <c r="F61">
        <f t="shared" si="1"/>
        <v>596</v>
      </c>
      <c r="G61">
        <f t="shared" si="2"/>
        <v>-0.69299999999999995</v>
      </c>
      <c r="H61">
        <f t="shared" si="3"/>
        <v>-413.02800000000002</v>
      </c>
      <c r="I61">
        <v>1</v>
      </c>
      <c r="J61">
        <f t="shared" si="4"/>
        <v>-0.51751461191678738</v>
      </c>
      <c r="K61">
        <f t="shared" si="5"/>
        <v>-0.52872515177521751</v>
      </c>
      <c r="L61">
        <v>1</v>
      </c>
      <c r="M61">
        <f t="shared" si="6"/>
        <v>0.48870594594336003</v>
      </c>
      <c r="N61">
        <f t="shared" si="7"/>
        <v>4.8275999999999999E-2</v>
      </c>
      <c r="O61">
        <f t="shared" si="8"/>
        <v>1.1353800000000001E-2</v>
      </c>
      <c r="P61">
        <f t="shared" si="9"/>
        <v>-1.9610594168142526E-2</v>
      </c>
      <c r="V61">
        <v>-0.30000000000001997</v>
      </c>
      <c r="W61">
        <f t="shared" si="12"/>
        <v>-0.4976979999999992</v>
      </c>
    </row>
    <row r="62" spans="1:23" x14ac:dyDescent="0.3">
      <c r="A62">
        <v>3.03</v>
      </c>
      <c r="B62">
        <v>0.69099999999999995</v>
      </c>
      <c r="C62">
        <f t="shared" si="0"/>
        <v>2.0937299999999999</v>
      </c>
      <c r="D62">
        <v>1.6199999999999999E-2</v>
      </c>
      <c r="E62">
        <v>3.81E-3</v>
      </c>
      <c r="F62">
        <f t="shared" si="1"/>
        <v>606</v>
      </c>
      <c r="G62">
        <f t="shared" si="2"/>
        <v>-0.69099999999999995</v>
      </c>
      <c r="H62">
        <f t="shared" si="3"/>
        <v>-418.74599999999998</v>
      </c>
      <c r="I62">
        <v>1</v>
      </c>
      <c r="J62">
        <f t="shared" si="4"/>
        <v>-0.50087529291282262</v>
      </c>
      <c r="K62">
        <f t="shared" si="5"/>
        <v>-0.53072515177521751</v>
      </c>
      <c r="L62">
        <v>1</v>
      </c>
      <c r="M62">
        <f t="shared" si="6"/>
        <v>0.48939381539098392</v>
      </c>
      <c r="N62">
        <f t="shared" si="7"/>
        <v>4.9085999999999991E-2</v>
      </c>
      <c r="O62">
        <f t="shared" si="8"/>
        <v>1.1544299999999999E-2</v>
      </c>
      <c r="P62">
        <f t="shared" si="9"/>
        <v>-1.9298963615766405E-2</v>
      </c>
      <c r="V62">
        <v>-0.20000000000002</v>
      </c>
      <c r="W62">
        <f t="shared" si="12"/>
        <v>-0.50183199999999917</v>
      </c>
    </row>
    <row r="63" spans="1:23" x14ac:dyDescent="0.3">
      <c r="A63">
        <v>3.08</v>
      </c>
      <c r="B63">
        <v>0.68899999999999995</v>
      </c>
      <c r="C63">
        <f t="shared" si="0"/>
        <v>2.1221199999999998</v>
      </c>
      <c r="D63">
        <v>1.6199999999999999E-2</v>
      </c>
      <c r="E63">
        <v>3.81E-3</v>
      </c>
      <c r="F63">
        <f t="shared" si="1"/>
        <v>616</v>
      </c>
      <c r="G63">
        <f t="shared" si="2"/>
        <v>-0.68899999999999995</v>
      </c>
      <c r="H63">
        <f t="shared" si="3"/>
        <v>-424.42399999999998</v>
      </c>
      <c r="I63">
        <v>1</v>
      </c>
      <c r="J63">
        <f t="shared" si="4"/>
        <v>-0.48450831544861728</v>
      </c>
      <c r="K63">
        <f t="shared" si="5"/>
        <v>-0.53272515177521751</v>
      </c>
      <c r="L63">
        <v>1</v>
      </c>
      <c r="M63">
        <f t="shared" si="6"/>
        <v>0.49007042623935415</v>
      </c>
      <c r="N63">
        <f t="shared" si="7"/>
        <v>4.9895999999999996E-2</v>
      </c>
      <c r="O63">
        <f t="shared" si="8"/>
        <v>1.17348E-2</v>
      </c>
      <c r="P63">
        <f t="shared" si="9"/>
        <v>-1.8976074464136638E-2</v>
      </c>
      <c r="V63">
        <v>-0.10000000000002</v>
      </c>
      <c r="W63">
        <f t="shared" si="12"/>
        <v>-0.50596599999999914</v>
      </c>
    </row>
    <row r="64" spans="1:23" x14ac:dyDescent="0.3">
      <c r="A64">
        <v>3.13</v>
      </c>
      <c r="B64">
        <v>0.68700000000000006</v>
      </c>
      <c r="C64">
        <f t="shared" si="0"/>
        <v>2.1503100000000002</v>
      </c>
      <c r="D64">
        <v>1.6199999999999999E-2</v>
      </c>
      <c r="E64">
        <v>3.81E-3</v>
      </c>
      <c r="F64">
        <f t="shared" si="1"/>
        <v>626</v>
      </c>
      <c r="G64">
        <f t="shared" si="2"/>
        <v>-0.68700000000000006</v>
      </c>
      <c r="H64">
        <f t="shared" si="3"/>
        <v>-430.06200000000001</v>
      </c>
      <c r="I64">
        <v>1</v>
      </c>
      <c r="J64">
        <f t="shared" si="4"/>
        <v>-0.46840490788203853</v>
      </c>
      <c r="K64">
        <f t="shared" si="5"/>
        <v>-0.5347251517752174</v>
      </c>
      <c r="L64">
        <v>1</v>
      </c>
      <c r="M64">
        <f t="shared" si="6"/>
        <v>0.4907361411081565</v>
      </c>
      <c r="N64">
        <f t="shared" si="7"/>
        <v>5.0705999999999994E-2</v>
      </c>
      <c r="O64">
        <f t="shared" si="8"/>
        <v>1.19253E-2</v>
      </c>
      <c r="P64">
        <f t="shared" si="9"/>
        <v>-1.8642289332939092E-2</v>
      </c>
      <c r="V64">
        <v>-2.0428103653102899E-14</v>
      </c>
      <c r="W64">
        <f t="shared" si="12"/>
        <v>-0.51009999999999911</v>
      </c>
    </row>
    <row r="65" spans="1:23" x14ac:dyDescent="0.3">
      <c r="A65">
        <v>3.18</v>
      </c>
      <c r="B65">
        <v>0.68500000000000005</v>
      </c>
      <c r="C65">
        <f t="shared" si="0"/>
        <v>2.1783000000000001</v>
      </c>
      <c r="D65">
        <v>1.6199999999999999E-2</v>
      </c>
      <c r="E65">
        <v>3.81E-3</v>
      </c>
      <c r="F65">
        <f t="shared" si="1"/>
        <v>636</v>
      </c>
      <c r="G65">
        <f t="shared" si="2"/>
        <v>-0.68500000000000005</v>
      </c>
      <c r="H65">
        <f t="shared" si="3"/>
        <v>-435.66</v>
      </c>
      <c r="I65">
        <v>1</v>
      </c>
      <c r="J65">
        <f t="shared" si="4"/>
        <v>-0.45255671564201488</v>
      </c>
      <c r="K65">
        <f t="shared" si="5"/>
        <v>-0.5367251517752174</v>
      </c>
      <c r="L65">
        <v>1</v>
      </c>
      <c r="M65">
        <f t="shared" si="6"/>
        <v>0.49139130537535908</v>
      </c>
      <c r="N65">
        <f t="shared" si="7"/>
        <v>5.1515999999999999E-2</v>
      </c>
      <c r="O65">
        <f t="shared" si="8"/>
        <v>1.2115800000000001E-2</v>
      </c>
      <c r="P65">
        <f t="shared" si="9"/>
        <v>-1.8297953600141678E-2</v>
      </c>
      <c r="V65">
        <v>9.9999999999980105E-2</v>
      </c>
      <c r="W65">
        <f t="shared" si="12"/>
        <v>-0.51423399999999919</v>
      </c>
    </row>
    <row r="66" spans="1:23" x14ac:dyDescent="0.3">
      <c r="A66">
        <v>3.23</v>
      </c>
      <c r="B66">
        <v>0.68300000000000005</v>
      </c>
      <c r="C66">
        <f t="shared" si="0"/>
        <v>2.2060900000000001</v>
      </c>
      <c r="D66">
        <v>1.6199999999999999E-2</v>
      </c>
      <c r="E66">
        <v>3.81E-3</v>
      </c>
      <c r="F66">
        <f t="shared" si="1"/>
        <v>646</v>
      </c>
      <c r="G66">
        <f t="shared" si="2"/>
        <v>-0.68300000000000005</v>
      </c>
      <c r="H66">
        <f t="shared" si="3"/>
        <v>-441.21800000000002</v>
      </c>
      <c r="I66">
        <v>1</v>
      </c>
      <c r="J66">
        <f t="shared" si="4"/>
        <v>-0.43695577519953516</v>
      </c>
      <c r="K66">
        <f t="shared" si="5"/>
        <v>-0.5387251517752174</v>
      </c>
      <c r="L66">
        <v>1</v>
      </c>
      <c r="M66">
        <f t="shared" si="6"/>
        <v>0.49203624825325121</v>
      </c>
      <c r="N66">
        <f t="shared" si="7"/>
        <v>5.2325999999999998E-2</v>
      </c>
      <c r="O66">
        <f t="shared" si="8"/>
        <v>1.2306299999999999E-2</v>
      </c>
      <c r="P66">
        <f t="shared" si="9"/>
        <v>-1.79433964780338E-2</v>
      </c>
      <c r="V66">
        <v>0.19999999999998</v>
      </c>
      <c r="W66">
        <f t="shared" si="12"/>
        <v>-0.51836799999999916</v>
      </c>
    </row>
    <row r="67" spans="1:23" x14ac:dyDescent="0.3">
      <c r="A67">
        <v>3.28</v>
      </c>
      <c r="B67">
        <v>0.68100000000000005</v>
      </c>
      <c r="C67">
        <f t="shared" si="0"/>
        <v>2.2336800000000001</v>
      </c>
      <c r="D67">
        <v>1.6199999999999999E-2</v>
      </c>
      <c r="E67">
        <v>3.81E-3</v>
      </c>
      <c r="F67">
        <f t="shared" si="1"/>
        <v>656</v>
      </c>
      <c r="G67">
        <f t="shared" si="2"/>
        <v>-0.68100000000000005</v>
      </c>
      <c r="H67">
        <f t="shared" si="3"/>
        <v>-446.73600000000005</v>
      </c>
      <c r="I67">
        <v>1</v>
      </c>
      <c r="J67">
        <f t="shared" si="4"/>
        <v>-0.42159449003804794</v>
      </c>
      <c r="K67">
        <f t="shared" si="5"/>
        <v>-0.54072515177521741</v>
      </c>
      <c r="L67">
        <v>1</v>
      </c>
      <c r="M67">
        <f t="shared" si="6"/>
        <v>0.49267128378182712</v>
      </c>
      <c r="N67">
        <f t="shared" si="7"/>
        <v>5.3135999999999996E-2</v>
      </c>
      <c r="O67">
        <f t="shared" si="8"/>
        <v>1.2496799999999999E-2</v>
      </c>
      <c r="P67">
        <f t="shared" si="9"/>
        <v>-1.7578932006609708E-2</v>
      </c>
      <c r="V67">
        <v>0.29999999999998</v>
      </c>
      <c r="W67">
        <f t="shared" si="12"/>
        <v>-0.52250199999999913</v>
      </c>
    </row>
    <row r="68" spans="1:23" x14ac:dyDescent="0.3">
      <c r="A68">
        <v>3.33</v>
      </c>
      <c r="B68">
        <v>0.67900000000000005</v>
      </c>
      <c r="C68">
        <f t="shared" ref="C68:C131" si="13">A68*B68</f>
        <v>2.2610700000000001</v>
      </c>
      <c r="D68">
        <v>1.6199999999999999E-2</v>
      </c>
      <c r="E68">
        <v>3.81E-3</v>
      </c>
      <c r="F68">
        <f t="shared" ref="F68:F131" si="14">A68*200</f>
        <v>666</v>
      </c>
      <c r="G68">
        <f t="shared" ref="G68:G131" si="15">-B68</f>
        <v>-0.67900000000000005</v>
      </c>
      <c r="H68">
        <f t="shared" ref="H68:H131" si="16">-C68*200</f>
        <v>-452.21400000000006</v>
      </c>
      <c r="I68">
        <v>1</v>
      </c>
      <c r="J68">
        <f t="shared" ref="J68:J131" si="17">LN(F68/1000)</f>
        <v>-0.40646560844174784</v>
      </c>
      <c r="K68">
        <f t="shared" ref="K68:K131" si="18">((-G68)-$N$2)</f>
        <v>-0.54272515177521741</v>
      </c>
      <c r="L68">
        <v>1</v>
      </c>
      <c r="M68">
        <f t="shared" ref="M68:M131" si="19">-1*($S$4+($S$5*J68))</f>
        <v>0.49329671174701817</v>
      </c>
      <c r="N68">
        <f t="shared" ref="N68:N131" si="20">D68*A68</f>
        <v>5.3946000000000001E-2</v>
      </c>
      <c r="O68">
        <f t="shared" ref="O68:O131" si="21">E68*A68</f>
        <v>1.26873E-2</v>
      </c>
      <c r="P68">
        <f t="shared" ref="P68:P131" si="22">-K68-M68-N68-O68</f>
        <v>-1.7204859971800761E-2</v>
      </c>
      <c r="V68">
        <v>0.39999999999997998</v>
      </c>
      <c r="W68">
        <f t="shared" ref="W68:W99" si="23">V68*$S$5+$S$4</f>
        <v>-0.52663599999999922</v>
      </c>
    </row>
    <row r="69" spans="1:23" x14ac:dyDescent="0.3">
      <c r="A69">
        <v>3.38</v>
      </c>
      <c r="B69">
        <v>0.67700000000000005</v>
      </c>
      <c r="C69">
        <f t="shared" si="13"/>
        <v>2.2882600000000002</v>
      </c>
      <c r="D69">
        <v>1.6199999999999999E-2</v>
      </c>
      <c r="E69">
        <v>3.81E-3</v>
      </c>
      <c r="F69">
        <f t="shared" si="14"/>
        <v>676</v>
      </c>
      <c r="G69">
        <f t="shared" si="15"/>
        <v>-0.67700000000000005</v>
      </c>
      <c r="H69">
        <f t="shared" si="16"/>
        <v>-457.65200000000004</v>
      </c>
      <c r="I69">
        <v>1</v>
      </c>
      <c r="J69">
        <f t="shared" si="17"/>
        <v>-0.39156220293917288</v>
      </c>
      <c r="K69">
        <f t="shared" si="18"/>
        <v>-0.54472515177521741</v>
      </c>
      <c r="L69">
        <v>1</v>
      </c>
      <c r="M69">
        <f t="shared" si="19"/>
        <v>0.49391281853049457</v>
      </c>
      <c r="N69">
        <f t="shared" si="20"/>
        <v>5.4755999999999992E-2</v>
      </c>
      <c r="O69">
        <f t="shared" si="21"/>
        <v>1.28778E-2</v>
      </c>
      <c r="P69">
        <f t="shared" si="22"/>
        <v>-1.6821466755277154E-2</v>
      </c>
      <c r="V69">
        <v>0.49999999999998002</v>
      </c>
      <c r="W69">
        <f t="shared" si="23"/>
        <v>-0.53076999999999919</v>
      </c>
    </row>
    <row r="70" spans="1:23" x14ac:dyDescent="0.3">
      <c r="A70">
        <v>3.43</v>
      </c>
      <c r="B70">
        <v>0.67500000000000004</v>
      </c>
      <c r="C70">
        <f t="shared" si="13"/>
        <v>2.3152500000000003</v>
      </c>
      <c r="D70">
        <v>1.6199999999999999E-2</v>
      </c>
      <c r="E70">
        <v>3.81E-3</v>
      </c>
      <c r="F70">
        <f t="shared" si="14"/>
        <v>686</v>
      </c>
      <c r="G70">
        <f t="shared" si="15"/>
        <v>-0.67500000000000004</v>
      </c>
      <c r="H70">
        <f t="shared" si="16"/>
        <v>-463.05000000000007</v>
      </c>
      <c r="I70">
        <v>1</v>
      </c>
      <c r="J70">
        <f t="shared" si="17"/>
        <v>-0.37687765125625172</v>
      </c>
      <c r="K70">
        <f t="shared" si="18"/>
        <v>-0.54672515177521741</v>
      </c>
      <c r="L70">
        <v>1</v>
      </c>
      <c r="M70">
        <f t="shared" si="19"/>
        <v>0.49451987789706653</v>
      </c>
      <c r="N70">
        <f t="shared" si="20"/>
        <v>5.5565999999999997E-2</v>
      </c>
      <c r="O70">
        <f t="shared" si="21"/>
        <v>1.3068300000000001E-2</v>
      </c>
      <c r="P70">
        <f t="shared" si="22"/>
        <v>-1.6429026121849117E-2</v>
      </c>
      <c r="V70">
        <v>0.59999999999997999</v>
      </c>
      <c r="W70">
        <f t="shared" si="23"/>
        <v>-0.53490399999999916</v>
      </c>
    </row>
    <row r="71" spans="1:23" x14ac:dyDescent="0.3">
      <c r="A71">
        <v>3.48</v>
      </c>
      <c r="B71">
        <v>0.67400000000000004</v>
      </c>
      <c r="C71">
        <f t="shared" si="13"/>
        <v>2.34552</v>
      </c>
      <c r="D71">
        <v>1.6199999999999999E-2</v>
      </c>
      <c r="E71">
        <v>3.81E-3</v>
      </c>
      <c r="F71">
        <f t="shared" si="14"/>
        <v>696</v>
      </c>
      <c r="G71">
        <f t="shared" si="15"/>
        <v>-0.67400000000000004</v>
      </c>
      <c r="H71">
        <f t="shared" si="16"/>
        <v>-469.10399999999998</v>
      </c>
      <c r="I71">
        <v>1</v>
      </c>
      <c r="J71">
        <f t="shared" si="17"/>
        <v>-0.36240561864771748</v>
      </c>
      <c r="K71">
        <f t="shared" si="18"/>
        <v>-0.54772515177521741</v>
      </c>
      <c r="L71">
        <v>1</v>
      </c>
      <c r="M71">
        <f t="shared" si="19"/>
        <v>0.49511815172510337</v>
      </c>
      <c r="N71">
        <f t="shared" si="20"/>
        <v>5.6375999999999996E-2</v>
      </c>
      <c r="O71">
        <f t="shared" si="21"/>
        <v>1.3258799999999999E-2</v>
      </c>
      <c r="P71">
        <f t="shared" si="22"/>
        <v>-1.7027799949885958E-2</v>
      </c>
      <c r="V71">
        <v>0.69999999999997997</v>
      </c>
      <c r="W71">
        <f t="shared" si="23"/>
        <v>-0.53903799999999913</v>
      </c>
    </row>
    <row r="72" spans="1:23" x14ac:dyDescent="0.3">
      <c r="A72">
        <v>3.54</v>
      </c>
      <c r="B72">
        <v>0.67100000000000004</v>
      </c>
      <c r="C72">
        <f t="shared" si="13"/>
        <v>2.37534</v>
      </c>
      <c r="D72">
        <v>1.6199999999999999E-2</v>
      </c>
      <c r="E72">
        <v>3.81E-3</v>
      </c>
      <c r="F72">
        <f t="shared" si="14"/>
        <v>708</v>
      </c>
      <c r="G72">
        <f t="shared" si="15"/>
        <v>-0.67100000000000004</v>
      </c>
      <c r="H72">
        <f t="shared" si="16"/>
        <v>-475.06799999999998</v>
      </c>
      <c r="I72">
        <v>1</v>
      </c>
      <c r="J72">
        <f t="shared" si="17"/>
        <v>-0.34531118528841737</v>
      </c>
      <c r="K72">
        <f t="shared" si="18"/>
        <v>-0.55072515177521741</v>
      </c>
      <c r="L72">
        <v>1</v>
      </c>
      <c r="M72">
        <f t="shared" si="19"/>
        <v>0.49582483560017682</v>
      </c>
      <c r="N72">
        <f t="shared" si="20"/>
        <v>5.7347999999999996E-2</v>
      </c>
      <c r="O72">
        <f t="shared" si="21"/>
        <v>1.34874E-2</v>
      </c>
      <c r="P72">
        <f t="shared" si="22"/>
        <v>-1.5935083824959399E-2</v>
      </c>
      <c r="V72">
        <v>0.79999999999997995</v>
      </c>
      <c r="W72">
        <f t="shared" si="23"/>
        <v>-0.54317199999999921</v>
      </c>
    </row>
    <row r="73" spans="1:23" x14ac:dyDescent="0.3">
      <c r="A73">
        <v>3.59</v>
      </c>
      <c r="B73">
        <v>0.66900000000000004</v>
      </c>
      <c r="C73">
        <f t="shared" si="13"/>
        <v>2.40171</v>
      </c>
      <c r="D73">
        <v>1.6199999999999999E-2</v>
      </c>
      <c r="E73">
        <v>3.81E-3</v>
      </c>
      <c r="F73">
        <f t="shared" si="14"/>
        <v>718</v>
      </c>
      <c r="G73">
        <f t="shared" si="15"/>
        <v>-0.66900000000000004</v>
      </c>
      <c r="H73">
        <f t="shared" si="16"/>
        <v>-480.34199999999998</v>
      </c>
      <c r="I73">
        <v>1</v>
      </c>
      <c r="J73">
        <f t="shared" si="17"/>
        <v>-0.33128570993391293</v>
      </c>
      <c r="K73">
        <f t="shared" si="18"/>
        <v>-0.55272515177521742</v>
      </c>
      <c r="L73">
        <v>1</v>
      </c>
      <c r="M73">
        <f t="shared" si="19"/>
        <v>0.49640464875133206</v>
      </c>
      <c r="N73">
        <f t="shared" si="20"/>
        <v>5.8157999999999994E-2</v>
      </c>
      <c r="O73">
        <f t="shared" si="21"/>
        <v>1.36779E-2</v>
      </c>
      <c r="P73">
        <f t="shared" si="22"/>
        <v>-1.5515396976114634E-2</v>
      </c>
      <c r="V73">
        <v>0.89999999999998004</v>
      </c>
      <c r="W73">
        <f t="shared" si="23"/>
        <v>-0.54730599999999918</v>
      </c>
    </row>
    <row r="74" spans="1:23" x14ac:dyDescent="0.3">
      <c r="A74">
        <v>3.64</v>
      </c>
      <c r="B74">
        <v>0.66700000000000004</v>
      </c>
      <c r="C74">
        <f t="shared" si="13"/>
        <v>2.42788</v>
      </c>
      <c r="D74">
        <v>1.6199999999999999E-2</v>
      </c>
      <c r="E74">
        <v>3.81E-3</v>
      </c>
      <c r="F74">
        <f t="shared" si="14"/>
        <v>728</v>
      </c>
      <c r="G74">
        <f t="shared" si="15"/>
        <v>-0.66700000000000004</v>
      </c>
      <c r="H74">
        <f t="shared" si="16"/>
        <v>-485.57600000000002</v>
      </c>
      <c r="I74">
        <v>1</v>
      </c>
      <c r="J74">
        <f t="shared" si="17"/>
        <v>-0.3174542307854511</v>
      </c>
      <c r="K74">
        <f t="shared" si="18"/>
        <v>-0.55472515177521742</v>
      </c>
      <c r="L74">
        <v>1</v>
      </c>
      <c r="M74">
        <f t="shared" si="19"/>
        <v>0.49697644209932945</v>
      </c>
      <c r="N74">
        <f t="shared" si="20"/>
        <v>5.8968E-2</v>
      </c>
      <c r="O74">
        <f t="shared" si="21"/>
        <v>1.3868400000000001E-2</v>
      </c>
      <c r="P74">
        <f t="shared" si="22"/>
        <v>-1.5087690324112035E-2</v>
      </c>
      <c r="V74">
        <v>0.99999999999998002</v>
      </c>
      <c r="W74">
        <f t="shared" si="23"/>
        <v>-0.55143999999999915</v>
      </c>
    </row>
    <row r="75" spans="1:23" x14ac:dyDescent="0.3">
      <c r="A75">
        <v>3.69</v>
      </c>
      <c r="B75">
        <v>0.66500000000000004</v>
      </c>
      <c r="C75">
        <f t="shared" si="13"/>
        <v>2.4538500000000001</v>
      </c>
      <c r="D75">
        <v>1.6199999999999999E-2</v>
      </c>
      <c r="E75">
        <v>3.81E-3</v>
      </c>
      <c r="F75">
        <f t="shared" si="14"/>
        <v>738</v>
      </c>
      <c r="G75">
        <f t="shared" si="15"/>
        <v>-0.66500000000000004</v>
      </c>
      <c r="H75">
        <f t="shared" si="16"/>
        <v>-490.77000000000004</v>
      </c>
      <c r="I75">
        <v>1</v>
      </c>
      <c r="J75">
        <f t="shared" si="17"/>
        <v>-0.30381145438166457</v>
      </c>
      <c r="K75">
        <f t="shared" si="18"/>
        <v>-0.55672515177521742</v>
      </c>
      <c r="L75">
        <v>1</v>
      </c>
      <c r="M75">
        <f t="shared" si="19"/>
        <v>0.49754043447586199</v>
      </c>
      <c r="N75">
        <f t="shared" si="20"/>
        <v>5.9777999999999998E-2</v>
      </c>
      <c r="O75">
        <f t="shared" si="21"/>
        <v>1.4058899999999999E-2</v>
      </c>
      <c r="P75">
        <f t="shared" si="22"/>
        <v>-1.465218270064457E-2</v>
      </c>
      <c r="V75">
        <v>1.0999999999999699</v>
      </c>
      <c r="W75">
        <f t="shared" si="23"/>
        <v>-0.55557399999999879</v>
      </c>
    </row>
    <row r="76" spans="1:23" x14ac:dyDescent="0.3">
      <c r="A76">
        <v>3.75</v>
      </c>
      <c r="B76">
        <v>0.66300000000000003</v>
      </c>
      <c r="C76">
        <f t="shared" si="13"/>
        <v>2.4862500000000001</v>
      </c>
      <c r="D76">
        <v>1.6199999999999999E-2</v>
      </c>
      <c r="E76">
        <v>3.81E-3</v>
      </c>
      <c r="F76">
        <f t="shared" si="14"/>
        <v>750</v>
      </c>
      <c r="G76">
        <f t="shared" si="15"/>
        <v>-0.66300000000000003</v>
      </c>
      <c r="H76">
        <f t="shared" si="16"/>
        <v>-497.25</v>
      </c>
      <c r="I76">
        <v>1</v>
      </c>
      <c r="J76">
        <f t="shared" si="17"/>
        <v>-0.2876820724517809</v>
      </c>
      <c r="K76">
        <f t="shared" si="18"/>
        <v>-0.55872515177521742</v>
      </c>
      <c r="L76">
        <v>1</v>
      </c>
      <c r="M76">
        <f t="shared" si="19"/>
        <v>0.49820722312484339</v>
      </c>
      <c r="N76">
        <f t="shared" si="20"/>
        <v>6.0749999999999998E-2</v>
      </c>
      <c r="O76">
        <f t="shared" si="21"/>
        <v>1.42875E-2</v>
      </c>
      <c r="P76">
        <f t="shared" si="22"/>
        <v>-1.4519571349625967E-2</v>
      </c>
      <c r="V76">
        <v>1.19999999999997</v>
      </c>
      <c r="W76">
        <f t="shared" si="23"/>
        <v>-0.55970799999999876</v>
      </c>
    </row>
    <row r="77" spans="1:23" x14ac:dyDescent="0.3">
      <c r="A77">
        <v>3.8</v>
      </c>
      <c r="B77">
        <v>0.66100000000000003</v>
      </c>
      <c r="C77">
        <f t="shared" si="13"/>
        <v>2.5118</v>
      </c>
      <c r="D77">
        <v>1.6199999999999999E-2</v>
      </c>
      <c r="E77">
        <v>3.81E-3</v>
      </c>
      <c r="F77">
        <f t="shared" si="14"/>
        <v>760</v>
      </c>
      <c r="G77">
        <f t="shared" si="15"/>
        <v>-0.66100000000000003</v>
      </c>
      <c r="H77">
        <f t="shared" si="16"/>
        <v>-502.36</v>
      </c>
      <c r="I77">
        <v>1</v>
      </c>
      <c r="J77">
        <f t="shared" si="17"/>
        <v>-0.2744368457017603</v>
      </c>
      <c r="K77">
        <f t="shared" si="18"/>
        <v>-0.56072515177521742</v>
      </c>
      <c r="L77">
        <v>1</v>
      </c>
      <c r="M77">
        <f t="shared" si="19"/>
        <v>0.49875478079868923</v>
      </c>
      <c r="N77">
        <f t="shared" si="20"/>
        <v>6.1559999999999997E-2</v>
      </c>
      <c r="O77">
        <f t="shared" si="21"/>
        <v>1.4478E-2</v>
      </c>
      <c r="P77">
        <f t="shared" si="22"/>
        <v>-1.4067629023471808E-2</v>
      </c>
      <c r="V77">
        <v>1.2999999999999701</v>
      </c>
      <c r="W77">
        <f t="shared" si="23"/>
        <v>-0.56384199999999873</v>
      </c>
    </row>
    <row r="78" spans="1:23" x14ac:dyDescent="0.3">
      <c r="A78">
        <v>3.85</v>
      </c>
      <c r="B78">
        <v>0.65900000000000003</v>
      </c>
      <c r="C78">
        <f t="shared" si="13"/>
        <v>2.53715</v>
      </c>
      <c r="D78">
        <v>1.6199999999999999E-2</v>
      </c>
      <c r="E78">
        <v>3.81E-3</v>
      </c>
      <c r="F78">
        <f t="shared" si="14"/>
        <v>770</v>
      </c>
      <c r="G78">
        <f t="shared" si="15"/>
        <v>-0.65900000000000003</v>
      </c>
      <c r="H78">
        <f t="shared" si="16"/>
        <v>-507.43</v>
      </c>
      <c r="I78">
        <v>1</v>
      </c>
      <c r="J78">
        <f t="shared" si="17"/>
        <v>-0.26136476413440751</v>
      </c>
      <c r="K78">
        <f t="shared" si="18"/>
        <v>-0.56272515177521742</v>
      </c>
      <c r="L78">
        <v>1</v>
      </c>
      <c r="M78">
        <f t="shared" si="19"/>
        <v>0.49929518065068357</v>
      </c>
      <c r="N78">
        <f t="shared" si="20"/>
        <v>6.2369999999999995E-2</v>
      </c>
      <c r="O78">
        <f t="shared" si="21"/>
        <v>1.4668500000000001E-2</v>
      </c>
      <c r="P78">
        <f t="shared" si="22"/>
        <v>-1.3608528875466139E-2</v>
      </c>
      <c r="V78">
        <v>1.3999999999999699</v>
      </c>
      <c r="W78">
        <f t="shared" si="23"/>
        <v>-0.5679759999999987</v>
      </c>
    </row>
    <row r="79" spans="1:23" x14ac:dyDescent="0.3">
      <c r="A79">
        <v>3.9</v>
      </c>
      <c r="B79">
        <v>0.65700000000000003</v>
      </c>
      <c r="C79">
        <f t="shared" si="13"/>
        <v>2.5623</v>
      </c>
      <c r="D79">
        <v>1.6199999999999999E-2</v>
      </c>
      <c r="E79">
        <v>3.81E-3</v>
      </c>
      <c r="F79">
        <f t="shared" si="14"/>
        <v>780</v>
      </c>
      <c r="G79">
        <f t="shared" si="15"/>
        <v>-0.65700000000000003</v>
      </c>
      <c r="H79">
        <f t="shared" si="16"/>
        <v>-512.46</v>
      </c>
      <c r="I79">
        <v>1</v>
      </c>
      <c r="J79">
        <f t="shared" si="17"/>
        <v>-0.24846135929849961</v>
      </c>
      <c r="K79">
        <f t="shared" si="18"/>
        <v>-0.56472515177521743</v>
      </c>
      <c r="L79">
        <v>1</v>
      </c>
      <c r="M79">
        <f t="shared" si="19"/>
        <v>0.49982860740660001</v>
      </c>
      <c r="N79">
        <f t="shared" si="20"/>
        <v>6.318E-2</v>
      </c>
      <c r="O79">
        <f t="shared" si="21"/>
        <v>1.4858999999999999E-2</v>
      </c>
      <c r="P79">
        <f t="shared" si="22"/>
        <v>-1.3142455631382584E-2</v>
      </c>
      <c r="V79">
        <v>1.49999999999997</v>
      </c>
      <c r="W79">
        <f t="shared" si="23"/>
        <v>-0.57210999999999879</v>
      </c>
    </row>
    <row r="80" spans="1:23" x14ac:dyDescent="0.3">
      <c r="A80">
        <v>3.95</v>
      </c>
      <c r="B80">
        <v>0.65600000000000003</v>
      </c>
      <c r="C80">
        <f t="shared" si="13"/>
        <v>2.5912000000000002</v>
      </c>
      <c r="D80">
        <v>1.6199999999999999E-2</v>
      </c>
      <c r="E80">
        <v>3.81E-3</v>
      </c>
      <c r="F80">
        <f t="shared" si="14"/>
        <v>790</v>
      </c>
      <c r="G80">
        <f t="shared" si="15"/>
        <v>-0.65600000000000003</v>
      </c>
      <c r="H80">
        <f t="shared" si="16"/>
        <v>-518.24</v>
      </c>
      <c r="I80">
        <v>1</v>
      </c>
      <c r="J80">
        <f t="shared" si="17"/>
        <v>-0.23572233352106983</v>
      </c>
      <c r="K80">
        <f t="shared" si="18"/>
        <v>-0.56572515177521743</v>
      </c>
      <c r="L80">
        <v>1</v>
      </c>
      <c r="M80">
        <f t="shared" si="19"/>
        <v>0.50035523873223897</v>
      </c>
      <c r="N80">
        <f t="shared" si="20"/>
        <v>6.3990000000000005E-2</v>
      </c>
      <c r="O80">
        <f t="shared" si="21"/>
        <v>1.50495E-2</v>
      </c>
      <c r="P80">
        <f t="shared" si="22"/>
        <v>-1.366958695702155E-2</v>
      </c>
      <c r="V80">
        <v>1.5999999999999699</v>
      </c>
      <c r="W80">
        <f t="shared" si="23"/>
        <v>-0.57624399999999876</v>
      </c>
    </row>
    <row r="81" spans="1:23" x14ac:dyDescent="0.3">
      <c r="A81">
        <v>4</v>
      </c>
      <c r="B81">
        <v>0.65300000000000002</v>
      </c>
      <c r="C81">
        <f t="shared" si="13"/>
        <v>2.6120000000000001</v>
      </c>
      <c r="D81">
        <v>1.6199999999999999E-2</v>
      </c>
      <c r="E81">
        <v>3.81E-3</v>
      </c>
      <c r="F81">
        <f t="shared" si="14"/>
        <v>800</v>
      </c>
      <c r="G81">
        <f t="shared" si="15"/>
        <v>-0.65300000000000002</v>
      </c>
      <c r="H81">
        <f t="shared" si="16"/>
        <v>-522.4</v>
      </c>
      <c r="I81">
        <v>1</v>
      </c>
      <c r="J81">
        <f t="shared" si="17"/>
        <v>-0.22314355131420971</v>
      </c>
      <c r="K81">
        <f t="shared" si="18"/>
        <v>-0.56872515177521743</v>
      </c>
      <c r="L81">
        <v>1</v>
      </c>
      <c r="M81">
        <f t="shared" si="19"/>
        <v>0.50087524558867058</v>
      </c>
      <c r="N81">
        <f t="shared" si="20"/>
        <v>6.4799999999999996E-2</v>
      </c>
      <c r="O81">
        <f t="shared" si="21"/>
        <v>1.524E-2</v>
      </c>
      <c r="P81">
        <f t="shared" si="22"/>
        <v>-1.2190093813453148E-2</v>
      </c>
      <c r="V81">
        <v>1.69999999999997</v>
      </c>
      <c r="W81">
        <f t="shared" si="23"/>
        <v>-0.58037799999999873</v>
      </c>
    </row>
    <row r="82" spans="1:23" x14ac:dyDescent="0.3">
      <c r="A82">
        <v>4.0599999999999996</v>
      </c>
      <c r="B82">
        <v>0.65200000000000002</v>
      </c>
      <c r="C82">
        <f t="shared" si="13"/>
        <v>2.6471199999999997</v>
      </c>
      <c r="D82">
        <v>1.6199999999999999E-2</v>
      </c>
      <c r="E82">
        <v>3.81E-3</v>
      </c>
      <c r="F82">
        <f t="shared" si="14"/>
        <v>811.99999999999989</v>
      </c>
      <c r="G82">
        <f t="shared" si="15"/>
        <v>-0.65200000000000002</v>
      </c>
      <c r="H82">
        <f t="shared" si="16"/>
        <v>-529.42399999999998</v>
      </c>
      <c r="I82">
        <v>1</v>
      </c>
      <c r="J82">
        <f t="shared" si="17"/>
        <v>-0.20825493882045931</v>
      </c>
      <c r="K82">
        <f t="shared" si="18"/>
        <v>-0.56972515177521743</v>
      </c>
      <c r="L82">
        <v>1</v>
      </c>
      <c r="M82">
        <f t="shared" si="19"/>
        <v>0.50149074082916223</v>
      </c>
      <c r="N82">
        <f t="shared" si="20"/>
        <v>6.5771999999999983E-2</v>
      </c>
      <c r="O82">
        <f t="shared" si="21"/>
        <v>1.5468599999999999E-2</v>
      </c>
      <c r="P82">
        <f t="shared" si="22"/>
        <v>-1.3006189053944781E-2</v>
      </c>
      <c r="V82">
        <v>1.7999999999999701</v>
      </c>
      <c r="W82">
        <f t="shared" si="23"/>
        <v>-0.58451199999999881</v>
      </c>
    </row>
    <row r="83" spans="1:23" x14ac:dyDescent="0.3">
      <c r="A83">
        <v>4.1100000000000003</v>
      </c>
      <c r="B83">
        <v>0.65</v>
      </c>
      <c r="C83">
        <f t="shared" si="13"/>
        <v>2.6715000000000004</v>
      </c>
      <c r="D83">
        <v>1.6199999999999999E-2</v>
      </c>
      <c r="E83">
        <v>3.81E-3</v>
      </c>
      <c r="F83">
        <f t="shared" si="14"/>
        <v>822.00000000000011</v>
      </c>
      <c r="G83">
        <f t="shared" si="15"/>
        <v>-0.65</v>
      </c>
      <c r="H83">
        <f t="shared" si="16"/>
        <v>-534.30000000000007</v>
      </c>
      <c r="I83">
        <v>1</v>
      </c>
      <c r="J83">
        <f t="shared" si="17"/>
        <v>-0.19601488392595706</v>
      </c>
      <c r="K83">
        <f t="shared" si="18"/>
        <v>-0.57172515177521743</v>
      </c>
      <c r="L83">
        <v>1</v>
      </c>
      <c r="M83">
        <f t="shared" si="19"/>
        <v>0.50199674469850097</v>
      </c>
      <c r="N83">
        <f t="shared" si="20"/>
        <v>6.6582000000000002E-2</v>
      </c>
      <c r="O83">
        <f t="shared" si="21"/>
        <v>1.5659100000000002E-2</v>
      </c>
      <c r="P83">
        <f t="shared" si="22"/>
        <v>-1.2512692923283546E-2</v>
      </c>
      <c r="V83">
        <v>1.8999999999999699</v>
      </c>
      <c r="W83">
        <f t="shared" si="23"/>
        <v>-0.58864599999999878</v>
      </c>
    </row>
    <row r="84" spans="1:23" x14ac:dyDescent="0.3">
      <c r="A84">
        <v>4.16</v>
      </c>
      <c r="B84">
        <v>0.64800000000000002</v>
      </c>
      <c r="C84">
        <f t="shared" si="13"/>
        <v>2.6956800000000003</v>
      </c>
      <c r="D84">
        <v>1.6199999999999999E-2</v>
      </c>
      <c r="E84">
        <v>3.81E-3</v>
      </c>
      <c r="F84">
        <f t="shared" si="14"/>
        <v>832</v>
      </c>
      <c r="G84">
        <f t="shared" si="15"/>
        <v>-0.64800000000000002</v>
      </c>
      <c r="H84">
        <f t="shared" si="16"/>
        <v>-539.13600000000008</v>
      </c>
      <c r="I84">
        <v>1</v>
      </c>
      <c r="J84">
        <f t="shared" si="17"/>
        <v>-0.1839228381609285</v>
      </c>
      <c r="K84">
        <f t="shared" si="18"/>
        <v>-0.57372515177521743</v>
      </c>
      <c r="L84">
        <v>1</v>
      </c>
      <c r="M84">
        <f t="shared" si="19"/>
        <v>0.5024966298704272</v>
      </c>
      <c r="N84">
        <f t="shared" si="20"/>
        <v>6.7391999999999994E-2</v>
      </c>
      <c r="O84">
        <f t="shared" si="21"/>
        <v>1.5849600000000002E-2</v>
      </c>
      <c r="P84">
        <f t="shared" si="22"/>
        <v>-1.2013078095209764E-2</v>
      </c>
      <c r="V84">
        <v>1.99999999999997</v>
      </c>
      <c r="W84">
        <f t="shared" si="23"/>
        <v>-0.59277999999999875</v>
      </c>
    </row>
    <row r="85" spans="1:23" x14ac:dyDescent="0.3">
      <c r="A85">
        <v>4.21</v>
      </c>
      <c r="B85">
        <v>0.64600000000000002</v>
      </c>
      <c r="C85">
        <f t="shared" si="13"/>
        <v>2.7196600000000002</v>
      </c>
      <c r="D85">
        <v>1.6199999999999999E-2</v>
      </c>
      <c r="E85">
        <v>3.81E-3</v>
      </c>
      <c r="F85">
        <f t="shared" si="14"/>
        <v>842</v>
      </c>
      <c r="G85">
        <f t="shared" si="15"/>
        <v>-0.64600000000000002</v>
      </c>
      <c r="H85">
        <f t="shared" si="16"/>
        <v>-543.93200000000002</v>
      </c>
      <c r="I85">
        <v>1</v>
      </c>
      <c r="J85">
        <f t="shared" si="17"/>
        <v>-0.17197526473981037</v>
      </c>
      <c r="K85">
        <f t="shared" si="18"/>
        <v>-0.57572515177521744</v>
      </c>
      <c r="L85">
        <v>1</v>
      </c>
      <c r="M85">
        <f t="shared" si="19"/>
        <v>0.50299054255565623</v>
      </c>
      <c r="N85">
        <f t="shared" si="20"/>
        <v>6.8201999999999999E-2</v>
      </c>
      <c r="O85">
        <f t="shared" si="21"/>
        <v>1.6040100000000002E-2</v>
      </c>
      <c r="P85">
        <f t="shared" si="22"/>
        <v>-1.1507490780438792E-2</v>
      </c>
      <c r="V85">
        <v>2.0999999999999699</v>
      </c>
      <c r="W85">
        <f t="shared" si="23"/>
        <v>-0.59691399999999872</v>
      </c>
    </row>
    <row r="86" spans="1:23" x14ac:dyDescent="0.3">
      <c r="A86">
        <v>4.26</v>
      </c>
      <c r="B86">
        <v>0.64400000000000002</v>
      </c>
      <c r="C86">
        <f t="shared" si="13"/>
        <v>2.7434400000000001</v>
      </c>
      <c r="D86">
        <v>1.6199999999999999E-2</v>
      </c>
      <c r="E86">
        <v>3.81E-3</v>
      </c>
      <c r="F86">
        <f t="shared" si="14"/>
        <v>852</v>
      </c>
      <c r="G86">
        <f t="shared" si="15"/>
        <v>-0.64400000000000002</v>
      </c>
      <c r="H86">
        <f t="shared" si="16"/>
        <v>-548.68799999999999</v>
      </c>
      <c r="I86">
        <v>1</v>
      </c>
      <c r="J86">
        <f t="shared" si="17"/>
        <v>-0.16016875215282134</v>
      </c>
      <c r="K86">
        <f t="shared" si="18"/>
        <v>-0.57772515177521744</v>
      </c>
      <c r="L86">
        <v>1</v>
      </c>
      <c r="M86">
        <f t="shared" si="19"/>
        <v>0.50347862378600239</v>
      </c>
      <c r="N86">
        <f t="shared" si="20"/>
        <v>6.901199999999999E-2</v>
      </c>
      <c r="O86">
        <f t="shared" si="21"/>
        <v>1.6230599999999998E-2</v>
      </c>
      <c r="P86">
        <f t="shared" si="22"/>
        <v>-1.0996072010784938E-2</v>
      </c>
      <c r="V86">
        <v>2.19999999999997</v>
      </c>
      <c r="W86">
        <f t="shared" si="23"/>
        <v>-0.60104799999999881</v>
      </c>
    </row>
    <row r="87" spans="1:23" x14ac:dyDescent="0.3">
      <c r="A87">
        <v>4.3099999999999996</v>
      </c>
      <c r="B87">
        <v>0.64200000000000002</v>
      </c>
      <c r="C87">
        <f t="shared" si="13"/>
        <v>2.76702</v>
      </c>
      <c r="D87">
        <v>1.6199999999999999E-2</v>
      </c>
      <c r="E87">
        <v>3.81E-3</v>
      </c>
      <c r="F87">
        <f t="shared" si="14"/>
        <v>861.99999999999989</v>
      </c>
      <c r="G87">
        <f t="shared" si="15"/>
        <v>-0.64200000000000002</v>
      </c>
      <c r="H87">
        <f t="shared" si="16"/>
        <v>-553.404</v>
      </c>
      <c r="I87">
        <v>1</v>
      </c>
      <c r="J87">
        <f t="shared" si="17"/>
        <v>-0.14850000831844409</v>
      </c>
      <c r="K87">
        <f t="shared" si="18"/>
        <v>-0.57972515177521744</v>
      </c>
      <c r="L87">
        <v>1</v>
      </c>
      <c r="M87">
        <f t="shared" si="19"/>
        <v>0.50396100965611557</v>
      </c>
      <c r="N87">
        <f t="shared" si="20"/>
        <v>6.9821999999999995E-2</v>
      </c>
      <c r="O87">
        <f t="shared" si="21"/>
        <v>1.6421099999999998E-2</v>
      </c>
      <c r="P87">
        <f t="shared" si="22"/>
        <v>-1.0478957880898119E-2</v>
      </c>
      <c r="V87">
        <v>2.2999999999999701</v>
      </c>
      <c r="W87">
        <f t="shared" si="23"/>
        <v>-0.60518199999999878</v>
      </c>
    </row>
    <row r="88" spans="1:23" x14ac:dyDescent="0.3">
      <c r="A88">
        <v>4.3600000000000003</v>
      </c>
      <c r="B88">
        <v>0.63900000000000001</v>
      </c>
      <c r="C88">
        <f t="shared" si="13"/>
        <v>2.7860400000000003</v>
      </c>
      <c r="D88">
        <v>1.6199999999999999E-2</v>
      </c>
      <c r="E88">
        <v>3.81E-3</v>
      </c>
      <c r="F88">
        <f t="shared" si="14"/>
        <v>872.00000000000011</v>
      </c>
      <c r="G88">
        <f t="shared" si="15"/>
        <v>-0.63900000000000001</v>
      </c>
      <c r="H88">
        <f t="shared" si="16"/>
        <v>-557.20800000000008</v>
      </c>
      <c r="I88">
        <v>1</v>
      </c>
      <c r="J88">
        <f t="shared" si="17"/>
        <v>-0.13696585507315731</v>
      </c>
      <c r="K88">
        <f t="shared" si="18"/>
        <v>-0.58272515177521744</v>
      </c>
      <c r="L88">
        <v>1</v>
      </c>
      <c r="M88">
        <f t="shared" si="19"/>
        <v>0.50443783155127564</v>
      </c>
      <c r="N88">
        <f t="shared" si="20"/>
        <v>7.0632E-2</v>
      </c>
      <c r="O88">
        <f t="shared" si="21"/>
        <v>1.6611600000000001E-2</v>
      </c>
      <c r="P88">
        <f t="shared" si="22"/>
        <v>-8.9562797760581979E-3</v>
      </c>
      <c r="V88">
        <v>2.3999999999999702</v>
      </c>
      <c r="W88">
        <f t="shared" si="23"/>
        <v>-0.60931599999999875</v>
      </c>
    </row>
    <row r="89" spans="1:23" x14ac:dyDescent="0.3">
      <c r="A89">
        <v>4.42</v>
      </c>
      <c r="B89">
        <v>0.63700000000000001</v>
      </c>
      <c r="C89">
        <f t="shared" si="13"/>
        <v>2.8155399999999999</v>
      </c>
      <c r="D89">
        <v>1.6199999999999999E-2</v>
      </c>
      <c r="E89">
        <v>3.81E-3</v>
      </c>
      <c r="F89">
        <f t="shared" si="14"/>
        <v>884</v>
      </c>
      <c r="G89">
        <f t="shared" si="15"/>
        <v>-0.63700000000000001</v>
      </c>
      <c r="H89">
        <f t="shared" si="16"/>
        <v>-563.10799999999995</v>
      </c>
      <c r="I89">
        <v>1</v>
      </c>
      <c r="J89">
        <f t="shared" si="17"/>
        <v>-0.1232982163444936</v>
      </c>
      <c r="K89">
        <f t="shared" si="18"/>
        <v>-0.58472515177521744</v>
      </c>
      <c r="L89">
        <v>1</v>
      </c>
      <c r="M89">
        <f t="shared" si="19"/>
        <v>0.50500285173631865</v>
      </c>
      <c r="N89">
        <f t="shared" si="20"/>
        <v>7.1604000000000001E-2</v>
      </c>
      <c r="O89">
        <f t="shared" si="21"/>
        <v>1.68402E-2</v>
      </c>
      <c r="P89">
        <f t="shared" si="22"/>
        <v>-8.7218999611012038E-3</v>
      </c>
      <c r="V89">
        <v>2.4999999999999698</v>
      </c>
      <c r="W89">
        <f t="shared" si="23"/>
        <v>-0.61344999999999872</v>
      </c>
    </row>
    <row r="90" spans="1:23" x14ac:dyDescent="0.3">
      <c r="A90">
        <v>4.47</v>
      </c>
      <c r="B90">
        <v>0.63500000000000001</v>
      </c>
      <c r="C90">
        <f t="shared" si="13"/>
        <v>2.8384499999999999</v>
      </c>
      <c r="D90">
        <v>1.6199999999999999E-2</v>
      </c>
      <c r="E90">
        <v>3.81E-3</v>
      </c>
      <c r="F90">
        <f t="shared" si="14"/>
        <v>894</v>
      </c>
      <c r="G90">
        <f t="shared" si="15"/>
        <v>-0.63500000000000001</v>
      </c>
      <c r="H90">
        <f t="shared" si="16"/>
        <v>-567.68999999999994</v>
      </c>
      <c r="I90">
        <v>1</v>
      </c>
      <c r="J90">
        <f t="shared" si="17"/>
        <v>-0.11204950380862289</v>
      </c>
      <c r="K90">
        <f t="shared" si="18"/>
        <v>-0.58672515177521745</v>
      </c>
      <c r="L90">
        <v>1</v>
      </c>
      <c r="M90">
        <f t="shared" si="19"/>
        <v>0.50546787351255151</v>
      </c>
      <c r="N90">
        <f t="shared" si="20"/>
        <v>7.2413999999999992E-2</v>
      </c>
      <c r="O90">
        <f t="shared" si="21"/>
        <v>1.7030699999999999E-2</v>
      </c>
      <c r="P90">
        <f t="shared" si="22"/>
        <v>-8.1874217373340587E-3</v>
      </c>
      <c r="V90">
        <v>2.5999999999999699</v>
      </c>
      <c r="W90">
        <f t="shared" si="23"/>
        <v>-0.6175839999999988</v>
      </c>
    </row>
    <row r="91" spans="1:23" x14ac:dyDescent="0.3">
      <c r="A91">
        <v>4.5199999999999996</v>
      </c>
      <c r="B91">
        <v>0.63400000000000001</v>
      </c>
      <c r="C91">
        <f t="shared" si="13"/>
        <v>2.8656799999999998</v>
      </c>
      <c r="D91">
        <v>1.6199999999999999E-2</v>
      </c>
      <c r="E91">
        <v>3.81E-3</v>
      </c>
      <c r="F91">
        <f t="shared" si="14"/>
        <v>903.99999999999989</v>
      </c>
      <c r="G91">
        <f t="shared" si="15"/>
        <v>-0.63400000000000001</v>
      </c>
      <c r="H91">
        <f t="shared" si="16"/>
        <v>-573.13599999999997</v>
      </c>
      <c r="I91">
        <v>1</v>
      </c>
      <c r="J91">
        <f t="shared" si="17"/>
        <v>-0.10092591858996065</v>
      </c>
      <c r="K91">
        <f t="shared" si="18"/>
        <v>-0.58772515177521745</v>
      </c>
      <c r="L91">
        <v>1</v>
      </c>
      <c r="M91">
        <f t="shared" si="19"/>
        <v>0.50592772252549101</v>
      </c>
      <c r="N91">
        <f t="shared" si="20"/>
        <v>7.3223999999999984E-2</v>
      </c>
      <c r="O91">
        <f t="shared" si="21"/>
        <v>1.7221199999999999E-2</v>
      </c>
      <c r="P91">
        <f t="shared" si="22"/>
        <v>-8.6477707502735437E-3</v>
      </c>
      <c r="V91">
        <v>2.69999999999997</v>
      </c>
      <c r="W91">
        <f t="shared" si="23"/>
        <v>-0.62171799999999877</v>
      </c>
    </row>
    <row r="92" spans="1:23" x14ac:dyDescent="0.3">
      <c r="A92">
        <v>4.57</v>
      </c>
      <c r="B92">
        <v>0.63200000000000001</v>
      </c>
      <c r="C92">
        <f t="shared" si="13"/>
        <v>2.8882400000000001</v>
      </c>
      <c r="D92">
        <v>1.6199999999999999E-2</v>
      </c>
      <c r="E92">
        <v>3.81E-3</v>
      </c>
      <c r="F92">
        <f t="shared" si="14"/>
        <v>914</v>
      </c>
      <c r="G92">
        <f t="shared" si="15"/>
        <v>-0.63200000000000001</v>
      </c>
      <c r="H92">
        <f t="shared" si="16"/>
        <v>-577.64800000000002</v>
      </c>
      <c r="I92">
        <v>1</v>
      </c>
      <c r="J92">
        <f t="shared" si="17"/>
        <v>-8.9924707527987008E-2</v>
      </c>
      <c r="K92">
        <f t="shared" si="18"/>
        <v>-0.58972515177521745</v>
      </c>
      <c r="L92">
        <v>1</v>
      </c>
      <c r="M92">
        <f t="shared" si="19"/>
        <v>0.50638251259079303</v>
      </c>
      <c r="N92">
        <f t="shared" si="20"/>
        <v>7.4034000000000003E-2</v>
      </c>
      <c r="O92">
        <f t="shared" si="21"/>
        <v>1.7411700000000002E-2</v>
      </c>
      <c r="P92">
        <f t="shared" si="22"/>
        <v>-8.1030608155755884E-3</v>
      </c>
      <c r="V92">
        <v>2.7999999999999701</v>
      </c>
      <c r="W92">
        <f t="shared" si="23"/>
        <v>-0.62585199999999874</v>
      </c>
    </row>
    <row r="93" spans="1:23" x14ac:dyDescent="0.3">
      <c r="A93">
        <v>4.62</v>
      </c>
      <c r="B93">
        <v>0.63</v>
      </c>
      <c r="C93">
        <f t="shared" si="13"/>
        <v>2.9106000000000001</v>
      </c>
      <c r="D93">
        <v>1.6199999999999999E-2</v>
      </c>
      <c r="E93">
        <v>3.81E-3</v>
      </c>
      <c r="F93">
        <f t="shared" si="14"/>
        <v>924</v>
      </c>
      <c r="G93">
        <f t="shared" si="15"/>
        <v>-0.63</v>
      </c>
      <c r="H93">
        <f t="shared" si="16"/>
        <v>-582.12</v>
      </c>
      <c r="I93">
        <v>1</v>
      </c>
      <c r="J93">
        <f t="shared" si="17"/>
        <v>-7.9043207340452851E-2</v>
      </c>
      <c r="K93">
        <f t="shared" si="18"/>
        <v>-0.59172515177521745</v>
      </c>
      <c r="L93">
        <v>1</v>
      </c>
      <c r="M93">
        <f t="shared" si="19"/>
        <v>0.50683235380854563</v>
      </c>
      <c r="N93">
        <f t="shared" si="20"/>
        <v>7.4843999999999994E-2</v>
      </c>
      <c r="O93">
        <f t="shared" si="21"/>
        <v>1.7602200000000002E-2</v>
      </c>
      <c r="P93">
        <f t="shared" si="22"/>
        <v>-7.5534020333281778E-3</v>
      </c>
      <c r="V93">
        <v>2.8999999999999702</v>
      </c>
      <c r="W93">
        <f t="shared" si="23"/>
        <v>-0.62998599999999882</v>
      </c>
    </row>
    <row r="94" spans="1:23" x14ac:dyDescent="0.3">
      <c r="A94">
        <v>4.67</v>
      </c>
      <c r="B94">
        <v>0.628</v>
      </c>
      <c r="C94">
        <f t="shared" si="13"/>
        <v>2.93276</v>
      </c>
      <c r="D94">
        <v>1.6199999999999999E-2</v>
      </c>
      <c r="E94">
        <v>3.81E-3</v>
      </c>
      <c r="F94">
        <f t="shared" si="14"/>
        <v>934</v>
      </c>
      <c r="G94">
        <f t="shared" si="15"/>
        <v>-0.628</v>
      </c>
      <c r="H94">
        <f t="shared" si="16"/>
        <v>-586.55200000000002</v>
      </c>
      <c r="I94">
        <v>1</v>
      </c>
      <c r="J94">
        <f t="shared" si="17"/>
        <v>-6.8278840753294379E-2</v>
      </c>
      <c r="K94">
        <f t="shared" si="18"/>
        <v>-0.59372515177521745</v>
      </c>
      <c r="L94">
        <v>1</v>
      </c>
      <c r="M94">
        <f t="shared" si="19"/>
        <v>0.5072773527232588</v>
      </c>
      <c r="N94">
        <f t="shared" si="20"/>
        <v>7.5653999999999999E-2</v>
      </c>
      <c r="O94">
        <f t="shared" si="21"/>
        <v>1.7792699999999998E-2</v>
      </c>
      <c r="P94">
        <f t="shared" si="22"/>
        <v>-6.9989009480413457E-3</v>
      </c>
      <c r="V94">
        <v>2.9999999999999698</v>
      </c>
      <c r="W94">
        <f t="shared" si="23"/>
        <v>-0.6341199999999988</v>
      </c>
    </row>
    <row r="95" spans="1:23" x14ac:dyDescent="0.3">
      <c r="A95">
        <v>4.72</v>
      </c>
      <c r="B95">
        <v>0.626</v>
      </c>
      <c r="C95">
        <f t="shared" si="13"/>
        <v>2.95472</v>
      </c>
      <c r="D95">
        <v>1.6199999999999999E-2</v>
      </c>
      <c r="E95">
        <v>3.81E-3</v>
      </c>
      <c r="F95">
        <f t="shared" si="14"/>
        <v>944</v>
      </c>
      <c r="G95">
        <f t="shared" si="15"/>
        <v>-0.626</v>
      </c>
      <c r="H95">
        <f t="shared" si="16"/>
        <v>-590.94399999999996</v>
      </c>
      <c r="I95">
        <v>1</v>
      </c>
      <c r="J95">
        <f t="shared" si="17"/>
        <v>-5.7629112836636416E-2</v>
      </c>
      <c r="K95">
        <f t="shared" si="18"/>
        <v>-0.59572515177521745</v>
      </c>
      <c r="L95">
        <v>1</v>
      </c>
      <c r="M95">
        <f t="shared" si="19"/>
        <v>0.50771761247533342</v>
      </c>
      <c r="N95">
        <f t="shared" si="20"/>
        <v>7.646399999999999E-2</v>
      </c>
      <c r="O95">
        <f t="shared" si="21"/>
        <v>1.7983199999999998E-2</v>
      </c>
      <c r="P95">
        <f t="shared" si="22"/>
        <v>-6.4396607001159581E-3</v>
      </c>
      <c r="V95">
        <v>3.0999999999999699</v>
      </c>
      <c r="W95">
        <f t="shared" si="23"/>
        <v>-0.63825399999999877</v>
      </c>
    </row>
    <row r="96" spans="1:23" x14ac:dyDescent="0.3">
      <c r="A96">
        <v>4.78</v>
      </c>
      <c r="B96">
        <v>0.624</v>
      </c>
      <c r="C96">
        <f t="shared" si="13"/>
        <v>2.98272</v>
      </c>
      <c r="D96">
        <v>1.6199999999999999E-2</v>
      </c>
      <c r="E96">
        <v>3.81E-3</v>
      </c>
      <c r="F96">
        <f t="shared" si="14"/>
        <v>956</v>
      </c>
      <c r="G96">
        <f t="shared" si="15"/>
        <v>-0.624</v>
      </c>
      <c r="H96">
        <f t="shared" si="16"/>
        <v>-596.54399999999998</v>
      </c>
      <c r="I96">
        <v>1</v>
      </c>
      <c r="J96">
        <f t="shared" si="17"/>
        <v>-4.4997365930735805E-2</v>
      </c>
      <c r="K96">
        <f t="shared" si="18"/>
        <v>-0.59772515177521746</v>
      </c>
      <c r="L96">
        <v>1</v>
      </c>
      <c r="M96">
        <f t="shared" si="19"/>
        <v>0.50823980889242337</v>
      </c>
      <c r="N96">
        <f t="shared" si="20"/>
        <v>7.7436000000000005E-2</v>
      </c>
      <c r="O96">
        <f t="shared" si="21"/>
        <v>1.82118E-2</v>
      </c>
      <c r="P96">
        <f t="shared" si="22"/>
        <v>-6.1624571172059217E-3</v>
      </c>
      <c r="V96">
        <v>3.19999999999997</v>
      </c>
      <c r="W96">
        <f t="shared" si="23"/>
        <v>-0.64238799999999874</v>
      </c>
    </row>
    <row r="97" spans="1:23" x14ac:dyDescent="0.3">
      <c r="A97">
        <v>4.84</v>
      </c>
      <c r="B97">
        <v>0.621</v>
      </c>
      <c r="C97">
        <f t="shared" si="13"/>
        <v>3.0056400000000001</v>
      </c>
      <c r="D97">
        <v>1.6199999999999999E-2</v>
      </c>
      <c r="E97">
        <v>3.81E-3</v>
      </c>
      <c r="F97">
        <f t="shared" si="14"/>
        <v>968</v>
      </c>
      <c r="G97">
        <f t="shared" si="15"/>
        <v>-0.621</v>
      </c>
      <c r="H97">
        <f t="shared" si="16"/>
        <v>-601.12800000000004</v>
      </c>
      <c r="I97">
        <v>1</v>
      </c>
      <c r="J97">
        <f t="shared" si="17"/>
        <v>-3.2523191705560062E-2</v>
      </c>
      <c r="K97">
        <f t="shared" si="18"/>
        <v>-0.60072515177521746</v>
      </c>
      <c r="L97">
        <v>1</v>
      </c>
      <c r="M97">
        <f t="shared" si="19"/>
        <v>0.50875549125489217</v>
      </c>
      <c r="N97">
        <f t="shared" si="20"/>
        <v>7.8407999999999992E-2</v>
      </c>
      <c r="O97">
        <f t="shared" si="21"/>
        <v>1.8440399999999999E-2</v>
      </c>
      <c r="P97">
        <f t="shared" si="22"/>
        <v>-4.8787394796746993E-3</v>
      </c>
      <c r="V97">
        <v>3.2999999999999701</v>
      </c>
      <c r="W97">
        <f t="shared" si="23"/>
        <v>-0.64652199999999871</v>
      </c>
    </row>
    <row r="98" spans="1:23" x14ac:dyDescent="0.3">
      <c r="A98">
        <v>4.8899999999999997</v>
      </c>
      <c r="B98">
        <v>0.61899999999999999</v>
      </c>
      <c r="C98">
        <f t="shared" si="13"/>
        <v>3.02691</v>
      </c>
      <c r="D98">
        <v>1.6199999999999999E-2</v>
      </c>
      <c r="E98">
        <v>3.81E-3</v>
      </c>
      <c r="F98">
        <f t="shared" si="14"/>
        <v>977.99999999999989</v>
      </c>
      <c r="G98">
        <f t="shared" si="15"/>
        <v>-0.61899999999999999</v>
      </c>
      <c r="H98">
        <f t="shared" si="16"/>
        <v>-605.38199999999995</v>
      </c>
      <c r="I98">
        <v>1</v>
      </c>
      <c r="J98">
        <f t="shared" si="17"/>
        <v>-2.2245608947319851E-2</v>
      </c>
      <c r="K98">
        <f t="shared" si="18"/>
        <v>-0.60272515177521746</v>
      </c>
      <c r="L98">
        <v>1</v>
      </c>
      <c r="M98">
        <f t="shared" si="19"/>
        <v>0.50918036652611776</v>
      </c>
      <c r="N98">
        <f t="shared" si="20"/>
        <v>7.9217999999999997E-2</v>
      </c>
      <c r="O98">
        <f t="shared" si="21"/>
        <v>1.8630899999999999E-2</v>
      </c>
      <c r="P98">
        <f t="shared" si="22"/>
        <v>-4.3041147509002911E-3</v>
      </c>
      <c r="V98">
        <v>3.3999999999999702</v>
      </c>
      <c r="W98">
        <f t="shared" si="23"/>
        <v>-0.65065599999999879</v>
      </c>
    </row>
    <row r="99" spans="1:23" x14ac:dyDescent="0.3">
      <c r="A99">
        <v>4.9400000000000004</v>
      </c>
      <c r="B99">
        <v>0.61699999999999999</v>
      </c>
      <c r="C99">
        <f t="shared" si="13"/>
        <v>3.0479800000000004</v>
      </c>
      <c r="D99">
        <v>1.6199999999999999E-2</v>
      </c>
      <c r="E99">
        <v>3.81E-3</v>
      </c>
      <c r="F99">
        <f t="shared" si="14"/>
        <v>988.00000000000011</v>
      </c>
      <c r="G99">
        <f t="shared" si="15"/>
        <v>-0.61699999999999999</v>
      </c>
      <c r="H99">
        <f t="shared" si="16"/>
        <v>-609.59600000000012</v>
      </c>
      <c r="I99">
        <v>1</v>
      </c>
      <c r="J99">
        <f t="shared" si="17"/>
        <v>-1.2072581234269136E-2</v>
      </c>
      <c r="K99">
        <f t="shared" si="18"/>
        <v>-0.60472515177521746</v>
      </c>
      <c r="L99">
        <v>1</v>
      </c>
      <c r="M99">
        <f t="shared" si="19"/>
        <v>0.50960091949177533</v>
      </c>
      <c r="N99">
        <f t="shared" si="20"/>
        <v>8.0028000000000002E-2</v>
      </c>
      <c r="O99">
        <f t="shared" si="21"/>
        <v>1.8821400000000002E-2</v>
      </c>
      <c r="P99">
        <f t="shared" si="22"/>
        <v>-3.72516771655787E-3</v>
      </c>
      <c r="V99">
        <v>3.4999999999999698</v>
      </c>
      <c r="W99">
        <f t="shared" si="23"/>
        <v>-0.65478999999999876</v>
      </c>
    </row>
    <row r="100" spans="1:23" x14ac:dyDescent="0.3">
      <c r="A100">
        <v>4.99</v>
      </c>
      <c r="B100">
        <v>0.61499999999999999</v>
      </c>
      <c r="C100">
        <f t="shared" si="13"/>
        <v>3.0688500000000003</v>
      </c>
      <c r="D100">
        <v>1.6199999999999999E-2</v>
      </c>
      <c r="E100">
        <v>3.81E-3</v>
      </c>
      <c r="F100">
        <f t="shared" si="14"/>
        <v>998</v>
      </c>
      <c r="G100">
        <f t="shared" si="15"/>
        <v>-0.61499999999999999</v>
      </c>
      <c r="H100">
        <f t="shared" si="16"/>
        <v>-613.7700000000001</v>
      </c>
      <c r="I100">
        <v>1</v>
      </c>
      <c r="J100">
        <f t="shared" si="17"/>
        <v>-2.0020026706730793E-3</v>
      </c>
      <c r="K100">
        <f t="shared" si="18"/>
        <v>-0.60672515177521746</v>
      </c>
      <c r="L100">
        <v>1</v>
      </c>
      <c r="M100">
        <f t="shared" si="19"/>
        <v>0.51001723720959435</v>
      </c>
      <c r="N100">
        <f t="shared" si="20"/>
        <v>8.0837999999999993E-2</v>
      </c>
      <c r="O100">
        <f t="shared" si="21"/>
        <v>1.9011900000000002E-2</v>
      </c>
      <c r="P100">
        <f t="shared" si="22"/>
        <v>-3.1419854343768851E-3</v>
      </c>
      <c r="V100">
        <v>3.5999999999999699</v>
      </c>
      <c r="W100">
        <f t="shared" ref="W100:W131" si="24">V100*$S$5+$S$4</f>
        <v>-0.65892399999999873</v>
      </c>
    </row>
    <row r="101" spans="1:23" x14ac:dyDescent="0.3">
      <c r="A101">
        <v>5.05</v>
      </c>
      <c r="B101">
        <v>0.61299999999999999</v>
      </c>
      <c r="C101">
        <f t="shared" si="13"/>
        <v>3.09565</v>
      </c>
      <c r="D101">
        <v>1.6199999999999999E-2</v>
      </c>
      <c r="E101">
        <v>3.81E-3</v>
      </c>
      <c r="F101">
        <f t="shared" si="14"/>
        <v>1010</v>
      </c>
      <c r="G101">
        <f t="shared" si="15"/>
        <v>-0.61299999999999999</v>
      </c>
      <c r="H101">
        <f t="shared" si="16"/>
        <v>-619.13</v>
      </c>
      <c r="I101">
        <v>1</v>
      </c>
      <c r="J101">
        <f t="shared" si="17"/>
        <v>9.950330853168092E-3</v>
      </c>
      <c r="K101">
        <f t="shared" si="18"/>
        <v>-0.60872515177521747</v>
      </c>
      <c r="L101">
        <v>1</v>
      </c>
      <c r="M101">
        <f t="shared" si="19"/>
        <v>0.51051134667747</v>
      </c>
      <c r="N101">
        <f t="shared" si="20"/>
        <v>8.1809999999999994E-2</v>
      </c>
      <c r="O101">
        <f t="shared" si="21"/>
        <v>1.9240500000000001E-2</v>
      </c>
      <c r="P101">
        <f t="shared" si="22"/>
        <v>-2.8366949022525303E-3</v>
      </c>
      <c r="V101">
        <v>3.69999999999997</v>
      </c>
      <c r="W101">
        <f t="shared" si="24"/>
        <v>-0.66305799999999881</v>
      </c>
    </row>
    <row r="102" spans="1:23" x14ac:dyDescent="0.3">
      <c r="A102">
        <v>5.0999999999999996</v>
      </c>
      <c r="B102">
        <v>0.61099999999999999</v>
      </c>
      <c r="C102">
        <f t="shared" si="13"/>
        <v>3.1160999999999999</v>
      </c>
      <c r="D102">
        <v>1.6199999999999999E-2</v>
      </c>
      <c r="E102">
        <v>3.81E-3</v>
      </c>
      <c r="F102">
        <f t="shared" si="14"/>
        <v>1019.9999999999999</v>
      </c>
      <c r="G102">
        <f t="shared" si="15"/>
        <v>-0.61099999999999999</v>
      </c>
      <c r="H102">
        <f t="shared" si="16"/>
        <v>-623.22</v>
      </c>
      <c r="I102">
        <v>1</v>
      </c>
      <c r="J102">
        <f t="shared" si="17"/>
        <v>1.9802627296179511E-2</v>
      </c>
      <c r="K102">
        <f t="shared" si="18"/>
        <v>-0.61072515177521747</v>
      </c>
      <c r="L102">
        <v>1</v>
      </c>
      <c r="M102">
        <f t="shared" si="19"/>
        <v>0.51091864061242409</v>
      </c>
      <c r="N102">
        <f t="shared" si="20"/>
        <v>8.2619999999999985E-2</v>
      </c>
      <c r="O102">
        <f t="shared" si="21"/>
        <v>1.9431E-2</v>
      </c>
      <c r="P102">
        <f t="shared" si="22"/>
        <v>-2.2444888372066089E-3</v>
      </c>
      <c r="V102">
        <v>3.7999999999999701</v>
      </c>
      <c r="W102">
        <f t="shared" si="24"/>
        <v>-0.66719199999999879</v>
      </c>
    </row>
    <row r="103" spans="1:23" x14ac:dyDescent="0.3">
      <c r="A103">
        <v>5.15</v>
      </c>
      <c r="B103">
        <v>0.60899999999999999</v>
      </c>
      <c r="C103">
        <f t="shared" si="13"/>
        <v>3.1363500000000002</v>
      </c>
      <c r="D103">
        <v>1.6199999999999999E-2</v>
      </c>
      <c r="E103">
        <v>3.81E-3</v>
      </c>
      <c r="F103">
        <f t="shared" si="14"/>
        <v>1030</v>
      </c>
      <c r="G103">
        <f t="shared" si="15"/>
        <v>-0.60899999999999999</v>
      </c>
      <c r="H103">
        <f t="shared" si="16"/>
        <v>-627.27</v>
      </c>
      <c r="I103">
        <v>1</v>
      </c>
      <c r="J103">
        <f t="shared" si="17"/>
        <v>2.9558802241544429E-2</v>
      </c>
      <c r="K103">
        <f t="shared" si="18"/>
        <v>-0.61272515177521747</v>
      </c>
      <c r="L103">
        <v>1</v>
      </c>
      <c r="M103">
        <f t="shared" si="19"/>
        <v>0.51132196088466542</v>
      </c>
      <c r="N103">
        <f t="shared" si="20"/>
        <v>8.3430000000000004E-2</v>
      </c>
      <c r="O103">
        <f t="shared" si="21"/>
        <v>1.96215E-2</v>
      </c>
      <c r="P103">
        <f t="shared" si="22"/>
        <v>-1.6483091094479513E-3</v>
      </c>
      <c r="V103">
        <v>3.8999999999999599</v>
      </c>
      <c r="W103">
        <f t="shared" si="24"/>
        <v>-0.67132599999999831</v>
      </c>
    </row>
    <row r="104" spans="1:23" x14ac:dyDescent="0.3">
      <c r="A104">
        <v>5.2</v>
      </c>
      <c r="B104">
        <v>0.60699999999999998</v>
      </c>
      <c r="C104">
        <f t="shared" si="13"/>
        <v>3.1564000000000001</v>
      </c>
      <c r="D104">
        <v>1.6199999999999999E-2</v>
      </c>
      <c r="E104">
        <v>3.81E-3</v>
      </c>
      <c r="F104">
        <f t="shared" si="14"/>
        <v>1040</v>
      </c>
      <c r="G104">
        <f t="shared" si="15"/>
        <v>-0.60699999999999998</v>
      </c>
      <c r="H104">
        <f t="shared" si="16"/>
        <v>-631.28</v>
      </c>
      <c r="I104">
        <v>1</v>
      </c>
      <c r="J104">
        <f t="shared" si="17"/>
        <v>3.9220713153281329E-2</v>
      </c>
      <c r="K104">
        <f t="shared" si="18"/>
        <v>-0.61472515177521747</v>
      </c>
      <c r="L104">
        <v>1</v>
      </c>
      <c r="M104">
        <f t="shared" si="19"/>
        <v>0.51172138428175662</v>
      </c>
      <c r="N104">
        <f t="shared" si="20"/>
        <v>8.4239999999999995E-2</v>
      </c>
      <c r="O104">
        <f t="shared" si="21"/>
        <v>1.9812E-2</v>
      </c>
      <c r="P104">
        <f t="shared" si="22"/>
        <v>-1.0482325065391436E-3</v>
      </c>
      <c r="V104">
        <v>3.99999999999996</v>
      </c>
      <c r="W104">
        <f t="shared" si="24"/>
        <v>-0.6754599999999984</v>
      </c>
    </row>
    <row r="105" spans="1:23" x14ac:dyDescent="0.3">
      <c r="A105">
        <v>5.25</v>
      </c>
      <c r="B105">
        <v>0.60499999999999998</v>
      </c>
      <c r="C105">
        <f t="shared" si="13"/>
        <v>3.17625</v>
      </c>
      <c r="D105">
        <v>1.6199999999999999E-2</v>
      </c>
      <c r="E105">
        <v>3.81E-3</v>
      </c>
      <c r="F105">
        <f t="shared" si="14"/>
        <v>1050</v>
      </c>
      <c r="G105">
        <f t="shared" si="15"/>
        <v>-0.60499999999999998</v>
      </c>
      <c r="H105">
        <f t="shared" si="16"/>
        <v>-635.25</v>
      </c>
      <c r="I105">
        <v>1</v>
      </c>
      <c r="J105">
        <f t="shared" si="17"/>
        <v>4.8790164169432049E-2</v>
      </c>
      <c r="K105">
        <f t="shared" si="18"/>
        <v>-0.61672515177521747</v>
      </c>
      <c r="L105">
        <v>1</v>
      </c>
      <c r="M105">
        <f t="shared" si="19"/>
        <v>0.51211698538676431</v>
      </c>
      <c r="N105">
        <f t="shared" si="20"/>
        <v>8.5050000000000001E-2</v>
      </c>
      <c r="O105">
        <f t="shared" si="21"/>
        <v>2.0002499999999999E-2</v>
      </c>
      <c r="P105">
        <f t="shared" si="22"/>
        <v>-4.4433361154683909E-4</v>
      </c>
      <c r="V105">
        <v>4.0999999999999996</v>
      </c>
      <c r="W105">
        <f t="shared" si="24"/>
        <v>-0.67959400000000003</v>
      </c>
    </row>
    <row r="106" spans="1:23" x14ac:dyDescent="0.3">
      <c r="A106">
        <v>5.3</v>
      </c>
      <c r="B106">
        <v>0.60299999999999998</v>
      </c>
      <c r="C106">
        <f t="shared" si="13"/>
        <v>3.1959</v>
      </c>
      <c r="D106">
        <v>1.6199999999999999E-2</v>
      </c>
      <c r="E106">
        <v>3.81E-3</v>
      </c>
      <c r="F106">
        <f t="shared" si="14"/>
        <v>1060</v>
      </c>
      <c r="G106">
        <f t="shared" si="15"/>
        <v>-0.60299999999999998</v>
      </c>
      <c r="H106">
        <f t="shared" si="16"/>
        <v>-639.17999999999995</v>
      </c>
      <c r="I106">
        <v>1</v>
      </c>
      <c r="J106">
        <f t="shared" si="17"/>
        <v>5.8268908123975824E-2</v>
      </c>
      <c r="K106">
        <f t="shared" si="18"/>
        <v>-0.61872515177521747</v>
      </c>
      <c r="L106">
        <v>1</v>
      </c>
      <c r="M106">
        <f t="shared" si="19"/>
        <v>0.51250883666184521</v>
      </c>
      <c r="N106">
        <f t="shared" si="20"/>
        <v>8.5859999999999992E-2</v>
      </c>
      <c r="O106">
        <f t="shared" si="21"/>
        <v>2.0192999999999999E-2</v>
      </c>
      <c r="P106">
        <f t="shared" si="22"/>
        <v>1.6331511337227059E-4</v>
      </c>
      <c r="V106">
        <v>4.2</v>
      </c>
      <c r="W106">
        <f t="shared" si="24"/>
        <v>-0.683728</v>
      </c>
    </row>
    <row r="107" spans="1:23" x14ac:dyDescent="0.3">
      <c r="A107">
        <v>5.35</v>
      </c>
      <c r="B107">
        <v>0.60099999999999998</v>
      </c>
      <c r="C107">
        <f t="shared" si="13"/>
        <v>3.2153499999999995</v>
      </c>
      <c r="D107">
        <v>1.6199999999999999E-2</v>
      </c>
      <c r="E107">
        <v>3.81E-3</v>
      </c>
      <c r="F107">
        <f t="shared" si="14"/>
        <v>1070</v>
      </c>
      <c r="G107">
        <f t="shared" si="15"/>
        <v>-0.60099999999999998</v>
      </c>
      <c r="H107">
        <f t="shared" si="16"/>
        <v>-643.06999999999994</v>
      </c>
      <c r="I107">
        <v>1</v>
      </c>
      <c r="J107">
        <f t="shared" si="17"/>
        <v>6.7658648473814864E-2</v>
      </c>
      <c r="K107">
        <f t="shared" si="18"/>
        <v>-0.62072515177521748</v>
      </c>
      <c r="L107">
        <v>1</v>
      </c>
      <c r="M107">
        <f t="shared" si="19"/>
        <v>0.51289700852790754</v>
      </c>
      <c r="N107">
        <f t="shared" si="20"/>
        <v>8.6669999999999983E-2</v>
      </c>
      <c r="O107">
        <f t="shared" si="21"/>
        <v>2.0383499999999999E-2</v>
      </c>
      <c r="P107">
        <f t="shared" si="22"/>
        <v>7.7464324730995571E-4</v>
      </c>
      <c r="V107">
        <v>4.3</v>
      </c>
      <c r="W107">
        <f t="shared" si="24"/>
        <v>-0.68786199999999997</v>
      </c>
    </row>
    <row r="108" spans="1:23" x14ac:dyDescent="0.3">
      <c r="A108">
        <v>5.4</v>
      </c>
      <c r="B108">
        <v>0.59799999999999998</v>
      </c>
      <c r="C108">
        <f t="shared" si="13"/>
        <v>3.2292000000000001</v>
      </c>
      <c r="D108">
        <v>1.6199999999999999E-2</v>
      </c>
      <c r="E108">
        <v>3.81E-3</v>
      </c>
      <c r="F108">
        <f t="shared" si="14"/>
        <v>1080</v>
      </c>
      <c r="G108">
        <f t="shared" si="15"/>
        <v>-0.59799999999999998</v>
      </c>
      <c r="H108">
        <f t="shared" si="16"/>
        <v>-645.84</v>
      </c>
      <c r="I108">
        <v>1</v>
      </c>
      <c r="J108">
        <f t="shared" si="17"/>
        <v>7.6961041136128394E-2</v>
      </c>
      <c r="K108">
        <f t="shared" si="18"/>
        <v>-0.62372515177521748</v>
      </c>
      <c r="L108">
        <v>1</v>
      </c>
      <c r="M108">
        <f t="shared" si="19"/>
        <v>0.51328156944056758</v>
      </c>
      <c r="N108">
        <f t="shared" si="20"/>
        <v>8.7480000000000002E-2</v>
      </c>
      <c r="O108">
        <f t="shared" si="21"/>
        <v>2.0574000000000002E-2</v>
      </c>
      <c r="P108">
        <f t="shared" si="22"/>
        <v>2.3895823346498993E-3</v>
      </c>
      <c r="V108">
        <v>4.4000000000000004</v>
      </c>
      <c r="W108">
        <f t="shared" si="24"/>
        <v>-0.69199600000000006</v>
      </c>
    </row>
    <row r="109" spans="1:23" x14ac:dyDescent="0.3">
      <c r="A109">
        <v>5.45</v>
      </c>
      <c r="B109">
        <v>0.59599999999999997</v>
      </c>
      <c r="C109">
        <f t="shared" si="13"/>
        <v>3.2481999999999998</v>
      </c>
      <c r="D109">
        <v>1.6199999999999999E-2</v>
      </c>
      <c r="E109">
        <v>3.81E-3</v>
      </c>
      <c r="F109">
        <f t="shared" si="14"/>
        <v>1090</v>
      </c>
      <c r="G109">
        <f t="shared" si="15"/>
        <v>-0.59599999999999997</v>
      </c>
      <c r="H109">
        <f t="shared" si="16"/>
        <v>-649.64</v>
      </c>
      <c r="I109">
        <v>1</v>
      </c>
      <c r="J109">
        <f t="shared" si="17"/>
        <v>8.6177696241052412E-2</v>
      </c>
      <c r="K109">
        <f t="shared" si="18"/>
        <v>-0.62572515177521748</v>
      </c>
      <c r="L109">
        <v>1</v>
      </c>
      <c r="M109">
        <f t="shared" si="19"/>
        <v>0.51366258596260506</v>
      </c>
      <c r="N109">
        <f t="shared" si="20"/>
        <v>8.8289999999999993E-2</v>
      </c>
      <c r="O109">
        <f t="shared" si="21"/>
        <v>2.0764500000000002E-2</v>
      </c>
      <c r="P109">
        <f t="shared" si="22"/>
        <v>3.0080658126124295E-3</v>
      </c>
      <c r="V109">
        <v>4.5</v>
      </c>
      <c r="W109">
        <f t="shared" si="24"/>
        <v>-0.69613000000000003</v>
      </c>
    </row>
    <row r="110" spans="1:23" x14ac:dyDescent="0.3">
      <c r="A110">
        <v>5.5</v>
      </c>
      <c r="B110">
        <v>0.59399999999999997</v>
      </c>
      <c r="C110">
        <f t="shared" si="13"/>
        <v>3.2669999999999999</v>
      </c>
      <c r="D110">
        <v>1.6199999999999999E-2</v>
      </c>
      <c r="E110">
        <v>3.81E-3</v>
      </c>
      <c r="F110">
        <f t="shared" si="14"/>
        <v>1100</v>
      </c>
      <c r="G110">
        <f t="shared" si="15"/>
        <v>-0.59399999999999997</v>
      </c>
      <c r="H110">
        <f t="shared" si="16"/>
        <v>-653.4</v>
      </c>
      <c r="I110">
        <v>1</v>
      </c>
      <c r="J110">
        <f t="shared" si="17"/>
        <v>9.5310179804324935E-2</v>
      </c>
      <c r="K110">
        <f t="shared" si="18"/>
        <v>-0.62772515177521748</v>
      </c>
      <c r="L110">
        <v>1</v>
      </c>
      <c r="M110">
        <f t="shared" si="19"/>
        <v>0.51404012283311085</v>
      </c>
      <c r="N110">
        <f t="shared" si="20"/>
        <v>8.9099999999999999E-2</v>
      </c>
      <c r="O110">
        <f t="shared" si="21"/>
        <v>2.0955000000000001E-2</v>
      </c>
      <c r="P110">
        <f t="shared" si="22"/>
        <v>3.6300289421066362E-3</v>
      </c>
      <c r="V110">
        <v>4.5999999999999996</v>
      </c>
      <c r="W110">
        <f t="shared" si="24"/>
        <v>-0.700264</v>
      </c>
    </row>
    <row r="111" spans="1:23" x14ac:dyDescent="0.3">
      <c r="A111">
        <v>5.6</v>
      </c>
      <c r="B111">
        <v>0.59199999999999997</v>
      </c>
      <c r="C111">
        <f t="shared" si="13"/>
        <v>3.3151999999999995</v>
      </c>
      <c r="D111">
        <v>1.6199999999999999E-2</v>
      </c>
      <c r="E111">
        <v>3.81E-3</v>
      </c>
      <c r="F111">
        <f t="shared" si="14"/>
        <v>1120</v>
      </c>
      <c r="G111">
        <f t="shared" si="15"/>
        <v>-0.59199999999999997</v>
      </c>
      <c r="H111">
        <f t="shared" si="16"/>
        <v>-663.03999999999985</v>
      </c>
      <c r="I111">
        <v>1</v>
      </c>
      <c r="J111">
        <f t="shared" si="17"/>
        <v>0.11332868530700327</v>
      </c>
      <c r="K111">
        <f t="shared" si="18"/>
        <v>-0.62972515177521748</v>
      </c>
      <c r="L111">
        <v>1</v>
      </c>
      <c r="M111">
        <f t="shared" si="19"/>
        <v>0.51478500785059156</v>
      </c>
      <c r="N111">
        <f t="shared" si="20"/>
        <v>9.0719999999999995E-2</v>
      </c>
      <c r="O111">
        <f t="shared" si="21"/>
        <v>2.1335999999999997E-2</v>
      </c>
      <c r="P111">
        <f t="shared" si="22"/>
        <v>2.8841439246259336E-3</v>
      </c>
      <c r="V111">
        <v>4.7</v>
      </c>
      <c r="W111">
        <f t="shared" si="24"/>
        <v>-0.70439800000000008</v>
      </c>
    </row>
    <row r="112" spans="1:23" x14ac:dyDescent="0.3">
      <c r="A112">
        <v>5.65</v>
      </c>
      <c r="B112">
        <v>0.59</v>
      </c>
      <c r="C112">
        <f t="shared" si="13"/>
        <v>3.3334999999999999</v>
      </c>
      <c r="D112">
        <v>1.6199999999999999E-2</v>
      </c>
      <c r="E112">
        <v>3.81E-3</v>
      </c>
      <c r="F112">
        <f t="shared" si="14"/>
        <v>1130</v>
      </c>
      <c r="G112">
        <f t="shared" si="15"/>
        <v>-0.59</v>
      </c>
      <c r="H112">
        <f t="shared" si="16"/>
        <v>-666.69999999999993</v>
      </c>
      <c r="I112">
        <v>1</v>
      </c>
      <c r="J112">
        <f t="shared" si="17"/>
        <v>0.12221763272424911</v>
      </c>
      <c r="K112">
        <f t="shared" si="18"/>
        <v>-0.63172515177521749</v>
      </c>
      <c r="L112">
        <v>1</v>
      </c>
      <c r="M112">
        <f t="shared" si="19"/>
        <v>0.51515247693682042</v>
      </c>
      <c r="N112">
        <f t="shared" si="20"/>
        <v>9.153E-2</v>
      </c>
      <c r="O112">
        <f t="shared" si="21"/>
        <v>2.15265E-2</v>
      </c>
      <c r="P112">
        <f t="shared" si="22"/>
        <v>3.5161748383970605E-3</v>
      </c>
      <c r="V112">
        <v>4.8</v>
      </c>
      <c r="W112">
        <f t="shared" si="24"/>
        <v>-0.70853199999999994</v>
      </c>
    </row>
    <row r="113" spans="1:23" x14ac:dyDescent="0.3">
      <c r="A113">
        <v>5.7</v>
      </c>
      <c r="B113">
        <v>0.58699999999999997</v>
      </c>
      <c r="C113">
        <f t="shared" si="13"/>
        <v>3.3458999999999999</v>
      </c>
      <c r="D113">
        <v>1.6199999999999999E-2</v>
      </c>
      <c r="E113">
        <v>3.81E-3</v>
      </c>
      <c r="F113">
        <f t="shared" si="14"/>
        <v>1140</v>
      </c>
      <c r="G113">
        <f t="shared" si="15"/>
        <v>-0.58699999999999997</v>
      </c>
      <c r="H113">
        <f t="shared" si="16"/>
        <v>-669.18</v>
      </c>
      <c r="I113">
        <v>1</v>
      </c>
      <c r="J113">
        <f t="shared" si="17"/>
        <v>0.131028262406404</v>
      </c>
      <c r="K113">
        <f t="shared" si="18"/>
        <v>-0.63472515177521749</v>
      </c>
      <c r="L113">
        <v>1</v>
      </c>
      <c r="M113">
        <f t="shared" si="19"/>
        <v>0.51551670836788077</v>
      </c>
      <c r="N113">
        <f t="shared" si="20"/>
        <v>9.2339999999999992E-2</v>
      </c>
      <c r="O113">
        <f t="shared" si="21"/>
        <v>2.1717E-2</v>
      </c>
      <c r="P113">
        <f t="shared" si="22"/>
        <v>5.1514434073367255E-3</v>
      </c>
      <c r="V113">
        <v>4.9000000000000004</v>
      </c>
      <c r="W113">
        <f t="shared" si="24"/>
        <v>-0.71266600000000002</v>
      </c>
    </row>
    <row r="114" spans="1:23" x14ac:dyDescent="0.3">
      <c r="A114">
        <v>5.75</v>
      </c>
      <c r="B114">
        <v>0.58499999999999996</v>
      </c>
      <c r="C114">
        <f t="shared" si="13"/>
        <v>3.3637499999999996</v>
      </c>
      <c r="D114">
        <v>1.6199999999999999E-2</v>
      </c>
      <c r="E114">
        <v>3.81E-3</v>
      </c>
      <c r="F114">
        <f t="shared" si="14"/>
        <v>1150</v>
      </c>
      <c r="G114">
        <f t="shared" si="15"/>
        <v>-0.58499999999999996</v>
      </c>
      <c r="H114">
        <f t="shared" si="16"/>
        <v>-672.74999999999989</v>
      </c>
      <c r="I114">
        <v>1</v>
      </c>
      <c r="J114">
        <f t="shared" si="17"/>
        <v>0.13976194237515863</v>
      </c>
      <c r="K114">
        <f t="shared" si="18"/>
        <v>-0.63672515177521749</v>
      </c>
      <c r="L114">
        <v>1</v>
      </c>
      <c r="M114">
        <f t="shared" si="19"/>
        <v>0.51587775869778907</v>
      </c>
      <c r="N114">
        <f t="shared" si="20"/>
        <v>9.3149999999999997E-2</v>
      </c>
      <c r="O114">
        <f t="shared" si="21"/>
        <v>2.19075E-2</v>
      </c>
      <c r="P114">
        <f t="shared" si="22"/>
        <v>5.7898930774284256E-3</v>
      </c>
      <c r="V114">
        <v>5</v>
      </c>
      <c r="W114">
        <f t="shared" si="24"/>
        <v>-0.71679999999999999</v>
      </c>
    </row>
    <row r="115" spans="1:23" x14ac:dyDescent="0.3">
      <c r="A115">
        <v>5.8</v>
      </c>
      <c r="B115">
        <v>0.58299999999999996</v>
      </c>
      <c r="C115">
        <f t="shared" si="13"/>
        <v>3.3813999999999997</v>
      </c>
      <c r="D115">
        <v>1.6199999999999999E-2</v>
      </c>
      <c r="E115">
        <v>3.81E-3</v>
      </c>
      <c r="F115">
        <f t="shared" si="14"/>
        <v>1160</v>
      </c>
      <c r="G115">
        <f t="shared" si="15"/>
        <v>-0.58299999999999996</v>
      </c>
      <c r="H115">
        <f t="shared" si="16"/>
        <v>-676.28</v>
      </c>
      <c r="I115">
        <v>1</v>
      </c>
      <c r="J115">
        <f t="shared" si="17"/>
        <v>0.14842000511827322</v>
      </c>
      <c r="K115">
        <f t="shared" si="18"/>
        <v>-0.63872515177521749</v>
      </c>
      <c r="L115">
        <v>1</v>
      </c>
      <c r="M115">
        <f t="shared" si="19"/>
        <v>0.5162356830115894</v>
      </c>
      <c r="N115">
        <f t="shared" si="20"/>
        <v>9.3959999999999988E-2</v>
      </c>
      <c r="O115">
        <f t="shared" si="21"/>
        <v>2.2098E-2</v>
      </c>
      <c r="P115">
        <f t="shared" si="22"/>
        <v>6.4314687636281079E-3</v>
      </c>
      <c r="V115">
        <v>5.0999999999999996</v>
      </c>
      <c r="W115">
        <f t="shared" si="24"/>
        <v>-0.72093399999999996</v>
      </c>
    </row>
    <row r="116" spans="1:23" x14ac:dyDescent="0.3">
      <c r="A116">
        <v>5.85</v>
      </c>
      <c r="B116">
        <v>0.58099999999999996</v>
      </c>
      <c r="C116">
        <f t="shared" si="13"/>
        <v>3.3988499999999995</v>
      </c>
      <c r="D116">
        <v>1.6199999999999999E-2</v>
      </c>
      <c r="E116">
        <v>3.81E-3</v>
      </c>
      <c r="F116">
        <f t="shared" si="14"/>
        <v>1170</v>
      </c>
      <c r="G116">
        <f t="shared" si="15"/>
        <v>-0.58099999999999996</v>
      </c>
      <c r="H116">
        <f t="shared" si="16"/>
        <v>-679.76999999999987</v>
      </c>
      <c r="I116">
        <v>1</v>
      </c>
      <c r="J116">
        <f t="shared" si="17"/>
        <v>0.15700374880966469</v>
      </c>
      <c r="K116">
        <f t="shared" si="18"/>
        <v>-0.64072515177521749</v>
      </c>
      <c r="L116">
        <v>1</v>
      </c>
      <c r="M116">
        <f t="shared" si="19"/>
        <v>0.51659053497579155</v>
      </c>
      <c r="N116">
        <f t="shared" si="20"/>
        <v>9.4769999999999993E-2</v>
      </c>
      <c r="O116">
        <f t="shared" si="21"/>
        <v>2.2288499999999999E-2</v>
      </c>
      <c r="P116">
        <f t="shared" si="22"/>
        <v>7.0761167994259529E-3</v>
      </c>
      <c r="V116">
        <v>5.2</v>
      </c>
      <c r="W116">
        <f t="shared" si="24"/>
        <v>-0.72506800000000005</v>
      </c>
    </row>
    <row r="117" spans="1:23" x14ac:dyDescent="0.3">
      <c r="A117">
        <v>5.9</v>
      </c>
      <c r="B117">
        <v>0.57899999999999996</v>
      </c>
      <c r="C117">
        <f t="shared" si="13"/>
        <v>3.4161000000000001</v>
      </c>
      <c r="D117">
        <v>1.6199999999999999E-2</v>
      </c>
      <c r="E117">
        <v>3.81E-3</v>
      </c>
      <c r="F117">
        <f t="shared" si="14"/>
        <v>1180</v>
      </c>
      <c r="G117">
        <f t="shared" si="15"/>
        <v>-0.57899999999999996</v>
      </c>
      <c r="H117">
        <f t="shared" si="16"/>
        <v>-683.22</v>
      </c>
      <c r="I117">
        <v>1</v>
      </c>
      <c r="J117">
        <f t="shared" si="17"/>
        <v>0.16551443847757333</v>
      </c>
      <c r="K117">
        <f t="shared" si="18"/>
        <v>-0.6427251517752175</v>
      </c>
      <c r="L117">
        <v>1</v>
      </c>
      <c r="M117">
        <f t="shared" si="19"/>
        <v>0.51694236688666284</v>
      </c>
      <c r="N117">
        <f t="shared" si="20"/>
        <v>9.5579999999999998E-2</v>
      </c>
      <c r="O117">
        <f t="shared" si="21"/>
        <v>2.2479000000000002E-2</v>
      </c>
      <c r="P117">
        <f t="shared" si="22"/>
        <v>7.7237848885546544E-3</v>
      </c>
      <c r="V117">
        <v>5.3</v>
      </c>
      <c r="W117">
        <f t="shared" si="24"/>
        <v>-0.72920200000000002</v>
      </c>
    </row>
    <row r="118" spans="1:23" x14ac:dyDescent="0.3">
      <c r="A118">
        <v>5.95</v>
      </c>
      <c r="B118">
        <v>0.57699999999999996</v>
      </c>
      <c r="C118">
        <f t="shared" si="13"/>
        <v>3.4331499999999999</v>
      </c>
      <c r="D118">
        <v>1.6199999999999999E-2</v>
      </c>
      <c r="E118">
        <v>3.81E-3</v>
      </c>
      <c r="F118">
        <f t="shared" si="14"/>
        <v>1190</v>
      </c>
      <c r="G118">
        <f t="shared" si="15"/>
        <v>-0.57699999999999996</v>
      </c>
      <c r="H118">
        <f t="shared" si="16"/>
        <v>-686.63</v>
      </c>
      <c r="I118">
        <v>1</v>
      </c>
      <c r="J118">
        <f t="shared" si="17"/>
        <v>0.17395330712343798</v>
      </c>
      <c r="K118">
        <f t="shared" si="18"/>
        <v>-0.6447251517752175</v>
      </c>
      <c r="L118">
        <v>1</v>
      </c>
      <c r="M118">
        <f t="shared" si="19"/>
        <v>0.51729122971648289</v>
      </c>
      <c r="N118">
        <f t="shared" si="20"/>
        <v>9.6390000000000003E-2</v>
      </c>
      <c r="O118">
        <f t="shared" si="21"/>
        <v>2.2669500000000002E-2</v>
      </c>
      <c r="P118">
        <f t="shared" si="22"/>
        <v>8.3744220587345999E-3</v>
      </c>
      <c r="V118">
        <v>5.4</v>
      </c>
      <c r="W118">
        <f t="shared" si="24"/>
        <v>-0.73333599999999999</v>
      </c>
    </row>
    <row r="119" spans="1:23" x14ac:dyDescent="0.3">
      <c r="A119">
        <v>6</v>
      </c>
      <c r="B119">
        <v>0.57499999999999996</v>
      </c>
      <c r="C119">
        <f t="shared" si="13"/>
        <v>3.4499999999999997</v>
      </c>
      <c r="D119">
        <v>1.6199999999999999E-2</v>
      </c>
      <c r="E119">
        <v>3.81E-3</v>
      </c>
      <c r="F119">
        <f t="shared" si="14"/>
        <v>1200</v>
      </c>
      <c r="G119">
        <f t="shared" si="15"/>
        <v>-0.57499999999999996</v>
      </c>
      <c r="H119">
        <f t="shared" si="16"/>
        <v>-690</v>
      </c>
      <c r="I119">
        <v>1</v>
      </c>
      <c r="J119">
        <f t="shared" si="17"/>
        <v>0.18232155679395459</v>
      </c>
      <c r="K119">
        <f t="shared" si="18"/>
        <v>-0.6467251517752175</v>
      </c>
      <c r="L119">
        <v>1</v>
      </c>
      <c r="M119">
        <f t="shared" si="19"/>
        <v>0.51763717315786206</v>
      </c>
      <c r="N119">
        <f t="shared" si="20"/>
        <v>9.7199999999999995E-2</v>
      </c>
      <c r="O119">
        <f t="shared" si="21"/>
        <v>2.2859999999999998E-2</v>
      </c>
      <c r="P119">
        <f t="shared" si="22"/>
        <v>9.0279786173554435E-3</v>
      </c>
      <c r="V119">
        <v>5.5</v>
      </c>
      <c r="W119">
        <f t="shared" si="24"/>
        <v>-0.73747000000000007</v>
      </c>
    </row>
    <row r="120" spans="1:23" x14ac:dyDescent="0.3">
      <c r="A120">
        <v>6.05</v>
      </c>
      <c r="B120">
        <v>0.57299999999999995</v>
      </c>
      <c r="C120">
        <f t="shared" si="13"/>
        <v>3.4666499999999996</v>
      </c>
      <c r="D120">
        <v>1.6199999999999999E-2</v>
      </c>
      <c r="E120">
        <v>3.81E-3</v>
      </c>
      <c r="F120">
        <f t="shared" si="14"/>
        <v>1210</v>
      </c>
      <c r="G120">
        <f t="shared" si="15"/>
        <v>-0.57299999999999995</v>
      </c>
      <c r="H120">
        <f t="shared" si="16"/>
        <v>-693.32999999999993</v>
      </c>
      <c r="I120">
        <v>1</v>
      </c>
      <c r="J120">
        <f t="shared" si="17"/>
        <v>0.1906203596086497</v>
      </c>
      <c r="K120">
        <f t="shared" si="18"/>
        <v>-0.6487251517752175</v>
      </c>
      <c r="L120">
        <v>1</v>
      </c>
      <c r="M120">
        <f t="shared" si="19"/>
        <v>0.51798024566622158</v>
      </c>
      <c r="N120">
        <f t="shared" si="20"/>
        <v>9.8009999999999986E-2</v>
      </c>
      <c r="O120">
        <f t="shared" si="21"/>
        <v>2.3050499999999998E-2</v>
      </c>
      <c r="P120">
        <f t="shared" si="22"/>
        <v>9.6844061089959334E-3</v>
      </c>
      <c r="V120">
        <v>5.6</v>
      </c>
      <c r="W120">
        <f t="shared" si="24"/>
        <v>-0.74160399999999993</v>
      </c>
    </row>
    <row r="121" spans="1:23" x14ac:dyDescent="0.3">
      <c r="A121">
        <v>6.1</v>
      </c>
      <c r="B121">
        <v>0.57099999999999995</v>
      </c>
      <c r="C121">
        <f t="shared" si="13"/>
        <v>3.4830999999999994</v>
      </c>
      <c r="D121">
        <v>1.6199999999999999E-2</v>
      </c>
      <c r="E121">
        <v>3.81E-3</v>
      </c>
      <c r="F121">
        <f t="shared" si="14"/>
        <v>1220</v>
      </c>
      <c r="G121">
        <f t="shared" si="15"/>
        <v>-0.57099999999999995</v>
      </c>
      <c r="H121">
        <f t="shared" si="16"/>
        <v>-696.61999999999989</v>
      </c>
      <c r="I121">
        <v>1</v>
      </c>
      <c r="J121">
        <f t="shared" si="17"/>
        <v>0.19885085874516517</v>
      </c>
      <c r="K121">
        <f t="shared" si="18"/>
        <v>-0.6507251517752175</v>
      </c>
      <c r="L121">
        <v>1</v>
      </c>
      <c r="M121">
        <f t="shared" si="19"/>
        <v>0.51832049450052509</v>
      </c>
      <c r="N121">
        <f t="shared" si="20"/>
        <v>9.8819999999999991E-2</v>
      </c>
      <c r="O121">
        <f t="shared" si="21"/>
        <v>2.3240999999999998E-2</v>
      </c>
      <c r="P121">
        <f t="shared" si="22"/>
        <v>1.0343657274692428E-2</v>
      </c>
      <c r="V121">
        <v>5.7</v>
      </c>
      <c r="W121">
        <f t="shared" si="24"/>
        <v>-0.74573800000000001</v>
      </c>
    </row>
    <row r="122" spans="1:23" x14ac:dyDescent="0.3">
      <c r="A122">
        <v>6.15</v>
      </c>
      <c r="B122">
        <v>0.56799999999999995</v>
      </c>
      <c r="C122">
        <f t="shared" si="13"/>
        <v>3.4931999999999999</v>
      </c>
      <c r="D122">
        <v>1.6199999999999999E-2</v>
      </c>
      <c r="E122">
        <v>3.81E-3</v>
      </c>
      <c r="F122">
        <f t="shared" si="14"/>
        <v>1230</v>
      </c>
      <c r="G122">
        <f t="shared" si="15"/>
        <v>-0.56799999999999995</v>
      </c>
      <c r="H122">
        <f t="shared" si="16"/>
        <v>-698.64</v>
      </c>
      <c r="I122">
        <v>1</v>
      </c>
      <c r="J122">
        <f t="shared" si="17"/>
        <v>0.20701416938432612</v>
      </c>
      <c r="K122">
        <f t="shared" si="18"/>
        <v>-0.65372515177521751</v>
      </c>
      <c r="L122">
        <v>1</v>
      </c>
      <c r="M122">
        <f t="shared" si="19"/>
        <v>0.51865796576234802</v>
      </c>
      <c r="N122">
        <f t="shared" si="20"/>
        <v>9.9629999999999996E-2</v>
      </c>
      <c r="O122">
        <f t="shared" si="21"/>
        <v>2.3431500000000001E-2</v>
      </c>
      <c r="P122">
        <f t="shared" si="22"/>
        <v>1.2005686012869492E-2</v>
      </c>
      <c r="V122">
        <v>5.8</v>
      </c>
      <c r="W122">
        <f t="shared" si="24"/>
        <v>-0.74987199999999998</v>
      </c>
    </row>
    <row r="123" spans="1:23" x14ac:dyDescent="0.3">
      <c r="A123">
        <v>6.2</v>
      </c>
      <c r="B123">
        <v>0.56599999999999995</v>
      </c>
      <c r="C123">
        <f t="shared" si="13"/>
        <v>3.5091999999999999</v>
      </c>
      <c r="D123">
        <v>1.6199999999999999E-2</v>
      </c>
      <c r="E123">
        <v>3.81E-3</v>
      </c>
      <c r="F123">
        <f t="shared" si="14"/>
        <v>1240</v>
      </c>
      <c r="G123">
        <f t="shared" si="15"/>
        <v>-0.56599999999999995</v>
      </c>
      <c r="H123">
        <f t="shared" si="16"/>
        <v>-701.83999999999992</v>
      </c>
      <c r="I123">
        <v>1</v>
      </c>
      <c r="J123">
        <f t="shared" si="17"/>
        <v>0.21511137961694549</v>
      </c>
      <c r="K123">
        <f t="shared" si="18"/>
        <v>-0.65572515177521751</v>
      </c>
      <c r="L123">
        <v>1</v>
      </c>
      <c r="M123">
        <f t="shared" si="19"/>
        <v>0.51899270443336454</v>
      </c>
      <c r="N123">
        <f t="shared" si="20"/>
        <v>0.10044</v>
      </c>
      <c r="O123">
        <f t="shared" si="21"/>
        <v>2.3622000000000001E-2</v>
      </c>
      <c r="P123">
        <f t="shared" si="22"/>
        <v>1.2670447341852967E-2</v>
      </c>
      <c r="V123">
        <v>5.9</v>
      </c>
      <c r="W123">
        <f t="shared" si="24"/>
        <v>-0.75400599999999995</v>
      </c>
    </row>
    <row r="124" spans="1:23" x14ac:dyDescent="0.3">
      <c r="A124">
        <v>6.25</v>
      </c>
      <c r="B124">
        <v>0.56399999999999995</v>
      </c>
      <c r="C124">
        <f t="shared" si="13"/>
        <v>3.5249999999999995</v>
      </c>
      <c r="D124">
        <v>1.6199999999999999E-2</v>
      </c>
      <c r="E124">
        <v>3.81E-3</v>
      </c>
      <c r="F124">
        <f t="shared" si="14"/>
        <v>1250</v>
      </c>
      <c r="G124">
        <f t="shared" si="15"/>
        <v>-0.56399999999999995</v>
      </c>
      <c r="H124">
        <f t="shared" si="16"/>
        <v>-704.99999999999989</v>
      </c>
      <c r="I124">
        <v>1</v>
      </c>
      <c r="J124">
        <f t="shared" si="17"/>
        <v>0.22314355131420976</v>
      </c>
      <c r="K124">
        <f t="shared" si="18"/>
        <v>-0.65772515177521751</v>
      </c>
      <c r="L124">
        <v>1</v>
      </c>
      <c r="M124">
        <f t="shared" si="19"/>
        <v>0.51932475441132941</v>
      </c>
      <c r="N124">
        <f t="shared" si="20"/>
        <v>0.10124999999999999</v>
      </c>
      <c r="O124">
        <f t="shared" si="21"/>
        <v>2.38125E-2</v>
      </c>
      <c r="P124">
        <f t="shared" si="22"/>
        <v>1.3337897363888102E-2</v>
      </c>
      <c r="V124">
        <v>6</v>
      </c>
      <c r="W124">
        <f t="shared" si="24"/>
        <v>-0.75814000000000004</v>
      </c>
    </row>
    <row r="125" spans="1:23" x14ac:dyDescent="0.3">
      <c r="A125">
        <v>6.3</v>
      </c>
      <c r="B125">
        <v>0.56200000000000006</v>
      </c>
      <c r="C125">
        <f t="shared" si="13"/>
        <v>3.5406000000000004</v>
      </c>
      <c r="D125">
        <v>1.6199999999999999E-2</v>
      </c>
      <c r="E125">
        <v>3.81E-3</v>
      </c>
      <c r="F125">
        <f t="shared" si="14"/>
        <v>1260</v>
      </c>
      <c r="G125">
        <f t="shared" si="15"/>
        <v>-0.56200000000000006</v>
      </c>
      <c r="H125">
        <f t="shared" si="16"/>
        <v>-708.12000000000012</v>
      </c>
      <c r="I125">
        <v>1</v>
      </c>
      <c r="J125">
        <f t="shared" si="17"/>
        <v>0.23111172096338664</v>
      </c>
      <c r="K125">
        <f t="shared" si="18"/>
        <v>-0.6597251517752174</v>
      </c>
      <c r="L125">
        <v>1</v>
      </c>
      <c r="M125">
        <f t="shared" si="19"/>
        <v>0.51965415854462638</v>
      </c>
      <c r="N125">
        <f t="shared" si="20"/>
        <v>0.10206</v>
      </c>
      <c r="O125">
        <f t="shared" si="21"/>
        <v>2.4003E-2</v>
      </c>
      <c r="P125">
        <f t="shared" si="22"/>
        <v>1.4007993230591025E-2</v>
      </c>
      <c r="V125">
        <v>6.1</v>
      </c>
      <c r="W125">
        <f t="shared" si="24"/>
        <v>-0.76227400000000001</v>
      </c>
    </row>
    <row r="126" spans="1:23" x14ac:dyDescent="0.3">
      <c r="A126">
        <v>6.35</v>
      </c>
      <c r="B126">
        <v>0.56000000000000005</v>
      </c>
      <c r="C126">
        <f t="shared" si="13"/>
        <v>3.556</v>
      </c>
      <c r="D126">
        <v>1.6199999999999999E-2</v>
      </c>
      <c r="E126">
        <v>3.81E-3</v>
      </c>
      <c r="F126">
        <f t="shared" si="14"/>
        <v>1270</v>
      </c>
      <c r="G126">
        <f t="shared" si="15"/>
        <v>-0.56000000000000005</v>
      </c>
      <c r="H126">
        <f t="shared" si="16"/>
        <v>-711.2</v>
      </c>
      <c r="I126">
        <v>1</v>
      </c>
      <c r="J126">
        <f t="shared" si="17"/>
        <v>0.23901690047049992</v>
      </c>
      <c r="K126">
        <f t="shared" si="18"/>
        <v>-0.6617251517752174</v>
      </c>
      <c r="L126">
        <v>1</v>
      </c>
      <c r="M126">
        <f t="shared" si="19"/>
        <v>0.51998095866545047</v>
      </c>
      <c r="N126">
        <f t="shared" si="20"/>
        <v>0.10286999999999999</v>
      </c>
      <c r="O126">
        <f t="shared" si="21"/>
        <v>2.41935E-2</v>
      </c>
      <c r="P126">
        <f t="shared" si="22"/>
        <v>1.4680693109766947E-2</v>
      </c>
      <c r="V126">
        <v>6.2</v>
      </c>
      <c r="W126">
        <f t="shared" si="24"/>
        <v>-0.76640799999999998</v>
      </c>
    </row>
    <row r="127" spans="1:23" x14ac:dyDescent="0.3">
      <c r="A127">
        <v>6.4</v>
      </c>
      <c r="B127">
        <v>0.55800000000000005</v>
      </c>
      <c r="C127">
        <f t="shared" si="13"/>
        <v>3.5712000000000006</v>
      </c>
      <c r="D127">
        <v>1.6199999999999999E-2</v>
      </c>
      <c r="E127">
        <v>3.81E-3</v>
      </c>
      <c r="F127">
        <f t="shared" si="14"/>
        <v>1280</v>
      </c>
      <c r="G127">
        <f t="shared" si="15"/>
        <v>-0.55800000000000005</v>
      </c>
      <c r="H127">
        <f t="shared" si="16"/>
        <v>-714.24000000000012</v>
      </c>
      <c r="I127">
        <v>1</v>
      </c>
      <c r="J127">
        <f t="shared" si="17"/>
        <v>0.24686007793152581</v>
      </c>
      <c r="K127">
        <f t="shared" si="18"/>
        <v>-0.6637251517752174</v>
      </c>
      <c r="L127">
        <v>1</v>
      </c>
      <c r="M127">
        <f t="shared" si="19"/>
        <v>0.52030519562168931</v>
      </c>
      <c r="N127">
        <f t="shared" si="20"/>
        <v>0.10367999999999999</v>
      </c>
      <c r="O127">
        <f t="shared" si="21"/>
        <v>2.4384000000000003E-2</v>
      </c>
      <c r="P127">
        <f t="shared" si="22"/>
        <v>1.5355956153528097E-2</v>
      </c>
      <c r="V127">
        <v>6.3</v>
      </c>
      <c r="W127">
        <f t="shared" si="24"/>
        <v>-0.77054200000000006</v>
      </c>
    </row>
    <row r="128" spans="1:23" x14ac:dyDescent="0.3">
      <c r="A128">
        <v>6.45</v>
      </c>
      <c r="B128">
        <v>0.55600000000000005</v>
      </c>
      <c r="C128">
        <f t="shared" si="13"/>
        <v>3.5862000000000003</v>
      </c>
      <c r="D128">
        <v>1.6199999999999999E-2</v>
      </c>
      <c r="E128">
        <v>3.81E-3</v>
      </c>
      <c r="F128">
        <f t="shared" si="14"/>
        <v>1290</v>
      </c>
      <c r="G128">
        <f t="shared" si="15"/>
        <v>-0.55600000000000005</v>
      </c>
      <c r="H128">
        <f t="shared" si="16"/>
        <v>-717.24</v>
      </c>
      <c r="I128">
        <v>1</v>
      </c>
      <c r="J128">
        <f t="shared" si="17"/>
        <v>0.25464221837358075</v>
      </c>
      <c r="K128">
        <f t="shared" si="18"/>
        <v>-0.66572515177521741</v>
      </c>
      <c r="L128">
        <v>1</v>
      </c>
      <c r="M128">
        <f t="shared" si="19"/>
        <v>0.52062690930756383</v>
      </c>
      <c r="N128">
        <f t="shared" si="20"/>
        <v>0.10449</v>
      </c>
      <c r="O128">
        <f t="shared" si="21"/>
        <v>2.4574499999999999E-2</v>
      </c>
      <c r="P128">
        <f t="shared" si="22"/>
        <v>1.6033742467653572E-2</v>
      </c>
      <c r="V128">
        <v>6.4</v>
      </c>
      <c r="W128">
        <f t="shared" si="24"/>
        <v>-0.77467600000000003</v>
      </c>
    </row>
    <row r="129" spans="1:23" x14ac:dyDescent="0.3">
      <c r="A129">
        <v>6.5</v>
      </c>
      <c r="B129">
        <v>0.55300000000000005</v>
      </c>
      <c r="C129">
        <f t="shared" si="13"/>
        <v>3.5945000000000005</v>
      </c>
      <c r="D129">
        <v>1.6199999999999999E-2</v>
      </c>
      <c r="E129">
        <v>3.81E-3</v>
      </c>
      <c r="F129">
        <f t="shared" si="14"/>
        <v>1300</v>
      </c>
      <c r="G129">
        <f t="shared" si="15"/>
        <v>-0.55300000000000005</v>
      </c>
      <c r="H129">
        <f t="shared" si="16"/>
        <v>-718.90000000000009</v>
      </c>
      <c r="I129">
        <v>1</v>
      </c>
      <c r="J129">
        <f t="shared" si="17"/>
        <v>0.26236426446749106</v>
      </c>
      <c r="K129">
        <f t="shared" si="18"/>
        <v>-0.66872515177521741</v>
      </c>
      <c r="L129">
        <v>1</v>
      </c>
      <c r="M129">
        <f t="shared" si="19"/>
        <v>0.52094613869308604</v>
      </c>
      <c r="N129">
        <f t="shared" si="20"/>
        <v>0.10529999999999999</v>
      </c>
      <c r="O129">
        <f t="shared" si="21"/>
        <v>2.4764999999999999E-2</v>
      </c>
      <c r="P129">
        <f t="shared" si="22"/>
        <v>1.7714013082131382E-2</v>
      </c>
      <c r="V129">
        <v>6.5</v>
      </c>
      <c r="W129">
        <f t="shared" si="24"/>
        <v>-0.77881</v>
      </c>
    </row>
    <row r="130" spans="1:23" x14ac:dyDescent="0.3">
      <c r="A130">
        <v>6.55</v>
      </c>
      <c r="B130">
        <v>0.55100000000000005</v>
      </c>
      <c r="C130">
        <f t="shared" si="13"/>
        <v>3.6090500000000003</v>
      </c>
      <c r="D130">
        <v>1.6199999999999999E-2</v>
      </c>
      <c r="E130">
        <v>3.81E-3</v>
      </c>
      <c r="F130">
        <f t="shared" si="14"/>
        <v>1310</v>
      </c>
      <c r="G130">
        <f t="shared" si="15"/>
        <v>-0.55100000000000005</v>
      </c>
      <c r="H130">
        <f t="shared" si="16"/>
        <v>-721.81000000000006</v>
      </c>
      <c r="I130">
        <v>1</v>
      </c>
      <c r="J130">
        <f t="shared" si="17"/>
        <v>0.27002713721306021</v>
      </c>
      <c r="K130">
        <f t="shared" si="18"/>
        <v>-0.67072515177521741</v>
      </c>
      <c r="L130">
        <v>1</v>
      </c>
      <c r="M130">
        <f t="shared" si="19"/>
        <v>0.52126292185238787</v>
      </c>
      <c r="N130">
        <f t="shared" si="20"/>
        <v>0.10611</v>
      </c>
      <c r="O130">
        <f t="shared" si="21"/>
        <v>2.4955499999999999E-2</v>
      </c>
      <c r="P130">
        <f t="shared" si="22"/>
        <v>1.8396729922829543E-2</v>
      </c>
      <c r="V130">
        <v>6.6</v>
      </c>
      <c r="W130">
        <f t="shared" si="24"/>
        <v>-0.78294399999999997</v>
      </c>
    </row>
    <row r="131" spans="1:23" x14ac:dyDescent="0.3">
      <c r="A131">
        <v>6.6</v>
      </c>
      <c r="B131">
        <v>0.54900000000000004</v>
      </c>
      <c r="C131">
        <f t="shared" si="13"/>
        <v>3.6234000000000002</v>
      </c>
      <c r="D131">
        <v>1.6199999999999999E-2</v>
      </c>
      <c r="E131">
        <v>3.81E-3</v>
      </c>
      <c r="F131">
        <f t="shared" si="14"/>
        <v>1320</v>
      </c>
      <c r="G131">
        <f t="shared" si="15"/>
        <v>-0.54900000000000004</v>
      </c>
      <c r="H131">
        <f t="shared" si="16"/>
        <v>-724.68000000000006</v>
      </c>
      <c r="I131">
        <v>1</v>
      </c>
      <c r="J131">
        <f t="shared" si="17"/>
        <v>0.27763173659827955</v>
      </c>
      <c r="K131">
        <f t="shared" si="18"/>
        <v>-0.67272515177521741</v>
      </c>
      <c r="L131">
        <v>1</v>
      </c>
      <c r="M131">
        <f t="shared" si="19"/>
        <v>0.52157729599097291</v>
      </c>
      <c r="N131">
        <f t="shared" si="20"/>
        <v>0.10691999999999999</v>
      </c>
      <c r="O131">
        <f t="shared" si="21"/>
        <v>2.5145999999999998E-2</v>
      </c>
      <c r="P131">
        <f t="shared" si="22"/>
        <v>1.9081855784244515E-2</v>
      </c>
      <c r="V131">
        <v>6.7</v>
      </c>
      <c r="W131">
        <f t="shared" si="24"/>
        <v>-0.78707799999999994</v>
      </c>
    </row>
    <row r="132" spans="1:23" x14ac:dyDescent="0.3">
      <c r="A132">
        <v>6.65</v>
      </c>
      <c r="B132">
        <v>0.54700000000000004</v>
      </c>
      <c r="C132">
        <f t="shared" ref="C132:C195" si="25">A132*B132</f>
        <v>3.6375500000000005</v>
      </c>
      <c r="D132">
        <v>1.6199999999999999E-2</v>
      </c>
      <c r="E132">
        <v>3.81E-3</v>
      </c>
      <c r="F132">
        <f t="shared" ref="F132:F195" si="26">A132*200</f>
        <v>1330</v>
      </c>
      <c r="G132">
        <f t="shared" ref="G132:G195" si="27">-B132</f>
        <v>-0.54700000000000004</v>
      </c>
      <c r="H132">
        <f t="shared" ref="H132:H195" si="28">-C132*200</f>
        <v>-727.5100000000001</v>
      </c>
      <c r="I132">
        <v>1</v>
      </c>
      <c r="J132">
        <f t="shared" ref="J132:J195" si="29">LN(F132/1000)</f>
        <v>0.28517894223366247</v>
      </c>
      <c r="K132">
        <f t="shared" ref="K132:K195" si="30">((-G132)-$N$2)</f>
        <v>-0.67472515177521741</v>
      </c>
      <c r="L132">
        <v>1</v>
      </c>
      <c r="M132">
        <f t="shared" ref="M132:M195" si="31">-1*($S$4+($S$5*J132))</f>
        <v>0.52188929747193957</v>
      </c>
      <c r="N132">
        <f t="shared" ref="N132:N195" si="32">D132*A132</f>
        <v>0.10773000000000001</v>
      </c>
      <c r="O132">
        <f t="shared" ref="O132:O195" si="33">E132*A132</f>
        <v>2.5336500000000001E-2</v>
      </c>
      <c r="P132">
        <f t="shared" ref="P132:P195" si="34">-K132-M132-N132-O132</f>
        <v>1.9769354303277833E-2</v>
      </c>
      <c r="V132">
        <v>6.8</v>
      </c>
      <c r="W132">
        <f t="shared" ref="W132:W139" si="35">V132*$S$5+$S$4</f>
        <v>-0.79121200000000003</v>
      </c>
    </row>
    <row r="133" spans="1:23" x14ac:dyDescent="0.3">
      <c r="A133">
        <v>6.7</v>
      </c>
      <c r="B133">
        <v>0.54500000000000004</v>
      </c>
      <c r="C133">
        <f t="shared" si="25"/>
        <v>3.6515000000000004</v>
      </c>
      <c r="D133">
        <v>1.6199999999999999E-2</v>
      </c>
      <c r="E133">
        <v>3.81E-3</v>
      </c>
      <c r="F133">
        <f t="shared" si="26"/>
        <v>1340</v>
      </c>
      <c r="G133">
        <f t="shared" si="27"/>
        <v>-0.54500000000000004</v>
      </c>
      <c r="H133">
        <f t="shared" si="28"/>
        <v>-730.30000000000007</v>
      </c>
      <c r="I133">
        <v>1</v>
      </c>
      <c r="J133">
        <f t="shared" si="29"/>
        <v>0.29266961396282004</v>
      </c>
      <c r="K133">
        <f t="shared" si="30"/>
        <v>-0.67672515177521742</v>
      </c>
      <c r="L133">
        <v>1</v>
      </c>
      <c r="M133">
        <f t="shared" si="31"/>
        <v>0.52219896184122294</v>
      </c>
      <c r="N133">
        <f t="shared" si="32"/>
        <v>0.10854</v>
      </c>
      <c r="O133">
        <f t="shared" si="33"/>
        <v>2.5527000000000001E-2</v>
      </c>
      <c r="P133">
        <f t="shared" si="34"/>
        <v>2.0459189933994475E-2</v>
      </c>
      <c r="V133">
        <v>6.9</v>
      </c>
      <c r="W133">
        <f t="shared" si="35"/>
        <v>-0.795346</v>
      </c>
    </row>
    <row r="134" spans="1:23" x14ac:dyDescent="0.3">
      <c r="A134">
        <v>6.75</v>
      </c>
      <c r="B134">
        <v>0.54300000000000004</v>
      </c>
      <c r="C134">
        <f t="shared" si="25"/>
        <v>3.6652500000000003</v>
      </c>
      <c r="D134">
        <v>1.6199999999999999E-2</v>
      </c>
      <c r="E134">
        <v>3.81E-3</v>
      </c>
      <c r="F134">
        <f t="shared" si="26"/>
        <v>1350</v>
      </c>
      <c r="G134">
        <f t="shared" si="27"/>
        <v>-0.54300000000000004</v>
      </c>
      <c r="H134">
        <f t="shared" si="28"/>
        <v>-733.05000000000007</v>
      </c>
      <c r="I134">
        <v>1</v>
      </c>
      <c r="J134">
        <f t="shared" si="29"/>
        <v>0.30010459245033816</v>
      </c>
      <c r="K134">
        <f t="shared" si="30"/>
        <v>-0.67872515177521742</v>
      </c>
      <c r="L134">
        <v>1</v>
      </c>
      <c r="M134">
        <f t="shared" si="31"/>
        <v>0.52250632385189699</v>
      </c>
      <c r="N134">
        <f t="shared" si="32"/>
        <v>0.10934999999999999</v>
      </c>
      <c r="O134">
        <f t="shared" si="33"/>
        <v>2.5717500000000001E-2</v>
      </c>
      <c r="P134">
        <f t="shared" si="34"/>
        <v>2.1151327923320435E-2</v>
      </c>
      <c r="V134">
        <v>7</v>
      </c>
      <c r="W134">
        <f t="shared" si="35"/>
        <v>-0.79947999999999997</v>
      </c>
    </row>
    <row r="135" spans="1:23" x14ac:dyDescent="0.3">
      <c r="A135">
        <v>6.8</v>
      </c>
      <c r="B135">
        <v>0.54100000000000004</v>
      </c>
      <c r="C135">
        <f t="shared" si="25"/>
        <v>3.6788000000000003</v>
      </c>
      <c r="D135">
        <v>1.6199999999999999E-2</v>
      </c>
      <c r="E135">
        <v>3.81E-3</v>
      </c>
      <c r="F135">
        <f t="shared" si="26"/>
        <v>1360</v>
      </c>
      <c r="G135">
        <f t="shared" si="27"/>
        <v>-0.54100000000000004</v>
      </c>
      <c r="H135">
        <f t="shared" si="28"/>
        <v>-735.7600000000001</v>
      </c>
      <c r="I135">
        <v>1</v>
      </c>
      <c r="J135">
        <f t="shared" si="29"/>
        <v>0.30748469974796072</v>
      </c>
      <c r="K135">
        <f t="shared" si="30"/>
        <v>-0.68072515177521742</v>
      </c>
      <c r="L135">
        <v>1</v>
      </c>
      <c r="M135">
        <f t="shared" si="31"/>
        <v>0.52281141748758064</v>
      </c>
      <c r="N135">
        <f t="shared" si="32"/>
        <v>0.11015999999999999</v>
      </c>
      <c r="O135">
        <f t="shared" si="33"/>
        <v>2.5908E-2</v>
      </c>
      <c r="P135">
        <f t="shared" si="34"/>
        <v>2.1845734287636781E-2</v>
      </c>
      <c r="V135">
        <v>7.1</v>
      </c>
      <c r="W135">
        <f t="shared" si="35"/>
        <v>-0.80361400000000005</v>
      </c>
    </row>
    <row r="136" spans="1:23" x14ac:dyDescent="0.3">
      <c r="A136">
        <v>6.85</v>
      </c>
      <c r="B136">
        <v>0.53900000000000003</v>
      </c>
      <c r="C136">
        <f t="shared" si="25"/>
        <v>3.6921500000000003</v>
      </c>
      <c r="D136">
        <v>1.6199999999999999E-2</v>
      </c>
      <c r="E136">
        <v>3.81E-3</v>
      </c>
      <c r="F136">
        <f t="shared" si="26"/>
        <v>1370</v>
      </c>
      <c r="G136">
        <f t="shared" si="27"/>
        <v>-0.53900000000000003</v>
      </c>
      <c r="H136">
        <f t="shared" si="28"/>
        <v>-738.43000000000006</v>
      </c>
      <c r="I136">
        <v>1</v>
      </c>
      <c r="J136">
        <f t="shared" si="29"/>
        <v>0.3148107398400336</v>
      </c>
      <c r="K136">
        <f t="shared" si="30"/>
        <v>-0.68272515177521742</v>
      </c>
      <c r="L136">
        <v>1</v>
      </c>
      <c r="M136">
        <f t="shared" si="31"/>
        <v>0.52311427598498694</v>
      </c>
      <c r="N136">
        <f t="shared" si="32"/>
        <v>0.11096999999999999</v>
      </c>
      <c r="O136">
        <f t="shared" si="33"/>
        <v>2.60985E-2</v>
      </c>
      <c r="P136">
        <f t="shared" si="34"/>
        <v>2.2542375790230492E-2</v>
      </c>
      <c r="V136">
        <v>7.2</v>
      </c>
      <c r="W136">
        <f t="shared" si="35"/>
        <v>-0.80774800000000002</v>
      </c>
    </row>
    <row r="137" spans="1:23" x14ac:dyDescent="0.3">
      <c r="A137">
        <v>6.95</v>
      </c>
      <c r="B137">
        <v>0.53600000000000003</v>
      </c>
      <c r="C137">
        <f t="shared" si="25"/>
        <v>3.7252000000000005</v>
      </c>
      <c r="D137">
        <v>1.6199999999999999E-2</v>
      </c>
      <c r="E137">
        <v>3.81E-3</v>
      </c>
      <c r="F137">
        <f t="shared" si="26"/>
        <v>1390</v>
      </c>
      <c r="G137">
        <f t="shared" si="27"/>
        <v>-0.53600000000000003</v>
      </c>
      <c r="H137">
        <f t="shared" si="28"/>
        <v>-745.04000000000008</v>
      </c>
      <c r="I137">
        <v>1</v>
      </c>
      <c r="J137">
        <f t="shared" si="29"/>
        <v>0.3293037471426003</v>
      </c>
      <c r="K137">
        <f t="shared" si="30"/>
        <v>-0.68572515177521742</v>
      </c>
      <c r="L137">
        <v>1</v>
      </c>
      <c r="M137">
        <f t="shared" si="31"/>
        <v>0.52371341690687512</v>
      </c>
      <c r="N137">
        <f t="shared" si="32"/>
        <v>0.11259</v>
      </c>
      <c r="O137">
        <f t="shared" si="33"/>
        <v>2.64795E-2</v>
      </c>
      <c r="P137">
        <f t="shared" si="34"/>
        <v>2.294223486834231E-2</v>
      </c>
      <c r="V137">
        <v>7.3</v>
      </c>
      <c r="W137">
        <f t="shared" si="35"/>
        <v>-0.81188199999999999</v>
      </c>
    </row>
    <row r="138" spans="1:23" x14ac:dyDescent="0.3">
      <c r="A138">
        <v>7</v>
      </c>
      <c r="B138">
        <v>0.53400000000000003</v>
      </c>
      <c r="C138">
        <f t="shared" si="25"/>
        <v>3.7380000000000004</v>
      </c>
      <c r="D138">
        <v>1.6199999999999999E-2</v>
      </c>
      <c r="E138">
        <v>3.81E-3</v>
      </c>
      <c r="F138">
        <f t="shared" si="26"/>
        <v>1400</v>
      </c>
      <c r="G138">
        <f t="shared" si="27"/>
        <v>-0.53400000000000003</v>
      </c>
      <c r="H138">
        <f t="shared" si="28"/>
        <v>-747.60000000000014</v>
      </c>
      <c r="I138">
        <v>1</v>
      </c>
      <c r="J138">
        <f t="shared" si="29"/>
        <v>0.33647223662121289</v>
      </c>
      <c r="K138">
        <f t="shared" si="30"/>
        <v>-0.68772515177521742</v>
      </c>
      <c r="L138">
        <v>1</v>
      </c>
      <c r="M138">
        <f t="shared" si="31"/>
        <v>0.52400976226192097</v>
      </c>
      <c r="N138">
        <f t="shared" si="32"/>
        <v>0.1134</v>
      </c>
      <c r="O138">
        <f t="shared" si="33"/>
        <v>2.6669999999999999E-2</v>
      </c>
      <c r="P138">
        <f t="shared" si="34"/>
        <v>2.364538951329645E-2</v>
      </c>
      <c r="V138">
        <v>7.4</v>
      </c>
      <c r="W138">
        <f t="shared" si="35"/>
        <v>-0.81601600000000007</v>
      </c>
    </row>
    <row r="139" spans="1:23" x14ac:dyDescent="0.3">
      <c r="A139">
        <v>7.05</v>
      </c>
      <c r="B139">
        <v>0.53200000000000003</v>
      </c>
      <c r="C139">
        <f t="shared" si="25"/>
        <v>3.7505999999999999</v>
      </c>
      <c r="D139">
        <v>1.6199999999999999E-2</v>
      </c>
      <c r="E139">
        <v>3.81E-3</v>
      </c>
      <c r="F139">
        <f t="shared" si="26"/>
        <v>1410</v>
      </c>
      <c r="G139">
        <f t="shared" si="27"/>
        <v>-0.53200000000000003</v>
      </c>
      <c r="H139">
        <f t="shared" si="28"/>
        <v>-750.12</v>
      </c>
      <c r="I139">
        <v>1</v>
      </c>
      <c r="J139">
        <f t="shared" si="29"/>
        <v>0.34358970439007686</v>
      </c>
      <c r="K139">
        <f t="shared" si="30"/>
        <v>-0.68972515177521743</v>
      </c>
      <c r="L139">
        <v>1</v>
      </c>
      <c r="M139">
        <f t="shared" si="31"/>
        <v>0.52430399837948582</v>
      </c>
      <c r="N139">
        <f t="shared" si="32"/>
        <v>0.11420999999999999</v>
      </c>
      <c r="O139">
        <f t="shared" si="33"/>
        <v>2.6860499999999999E-2</v>
      </c>
      <c r="P139">
        <f t="shared" si="34"/>
        <v>2.4350653395731611E-2</v>
      </c>
      <c r="V139">
        <v>7.5</v>
      </c>
      <c r="W139">
        <f t="shared" si="35"/>
        <v>-0.82014999999999993</v>
      </c>
    </row>
    <row r="140" spans="1:23" x14ac:dyDescent="0.3">
      <c r="A140">
        <v>7.1</v>
      </c>
      <c r="B140">
        <v>0.53</v>
      </c>
      <c r="C140">
        <f t="shared" si="25"/>
        <v>3.7629999999999999</v>
      </c>
      <c r="D140">
        <v>1.6199999999999999E-2</v>
      </c>
      <c r="E140">
        <v>3.81E-3</v>
      </c>
      <c r="F140">
        <f t="shared" si="26"/>
        <v>1420</v>
      </c>
      <c r="G140">
        <f t="shared" si="27"/>
        <v>-0.53</v>
      </c>
      <c r="H140">
        <f t="shared" si="28"/>
        <v>-752.6</v>
      </c>
      <c r="I140">
        <v>1</v>
      </c>
      <c r="J140">
        <f t="shared" si="29"/>
        <v>0.35065687161316933</v>
      </c>
      <c r="K140">
        <f t="shared" si="30"/>
        <v>-0.69172515177521743</v>
      </c>
      <c r="L140">
        <v>1</v>
      </c>
      <c r="M140">
        <f t="shared" si="31"/>
        <v>0.52459615507248847</v>
      </c>
      <c r="N140">
        <f t="shared" si="32"/>
        <v>0.11501999999999998</v>
      </c>
      <c r="O140">
        <f t="shared" si="33"/>
        <v>2.7050999999999999E-2</v>
      </c>
      <c r="P140">
        <f t="shared" si="34"/>
        <v>2.5057996702728978E-2</v>
      </c>
    </row>
    <row r="141" spans="1:23" x14ac:dyDescent="0.3">
      <c r="A141">
        <v>7.15</v>
      </c>
      <c r="B141">
        <v>0.52800000000000002</v>
      </c>
      <c r="C141">
        <f t="shared" si="25"/>
        <v>3.7752000000000003</v>
      </c>
      <c r="D141">
        <v>1.6199999999999999E-2</v>
      </c>
      <c r="E141">
        <v>3.81E-3</v>
      </c>
      <c r="F141">
        <f t="shared" si="26"/>
        <v>1430</v>
      </c>
      <c r="G141">
        <f t="shared" si="27"/>
        <v>-0.52800000000000002</v>
      </c>
      <c r="H141">
        <f t="shared" si="28"/>
        <v>-755.04000000000008</v>
      </c>
      <c r="I141">
        <v>1</v>
      </c>
      <c r="J141">
        <f t="shared" si="29"/>
        <v>0.35767444427181588</v>
      </c>
      <c r="K141">
        <f t="shared" si="30"/>
        <v>-0.69372515177521743</v>
      </c>
      <c r="L141">
        <v>1</v>
      </c>
      <c r="M141">
        <f t="shared" si="31"/>
        <v>0.52488626152619688</v>
      </c>
      <c r="N141">
        <f t="shared" si="32"/>
        <v>0.11583</v>
      </c>
      <c r="O141">
        <f t="shared" si="33"/>
        <v>2.7241500000000002E-2</v>
      </c>
      <c r="P141">
        <f t="shared" si="34"/>
        <v>2.5767390249020541E-2</v>
      </c>
    </row>
    <row r="142" spans="1:23" x14ac:dyDescent="0.3">
      <c r="A142">
        <v>7.2</v>
      </c>
      <c r="B142">
        <v>0.52500000000000002</v>
      </c>
      <c r="C142">
        <f t="shared" si="25"/>
        <v>3.7800000000000002</v>
      </c>
      <c r="D142">
        <v>1.6199999999999999E-2</v>
      </c>
      <c r="E142">
        <v>3.81E-3</v>
      </c>
      <c r="F142">
        <f t="shared" si="26"/>
        <v>1440</v>
      </c>
      <c r="G142">
        <f t="shared" si="27"/>
        <v>-0.52500000000000002</v>
      </c>
      <c r="H142">
        <f t="shared" si="28"/>
        <v>-756</v>
      </c>
      <c r="I142">
        <v>1</v>
      </c>
      <c r="J142">
        <f t="shared" si="29"/>
        <v>0.36464311358790924</v>
      </c>
      <c r="K142">
        <f t="shared" si="30"/>
        <v>-0.69672515177521743</v>
      </c>
      <c r="L142">
        <v>1</v>
      </c>
      <c r="M142">
        <f t="shared" si="31"/>
        <v>0.52517434631572413</v>
      </c>
      <c r="N142">
        <f t="shared" si="32"/>
        <v>0.11663999999999999</v>
      </c>
      <c r="O142">
        <f t="shared" si="33"/>
        <v>2.7432000000000002E-2</v>
      </c>
      <c r="P142">
        <f t="shared" si="34"/>
        <v>2.747880545949331E-2</v>
      </c>
    </row>
    <row r="143" spans="1:23" x14ac:dyDescent="0.3">
      <c r="A143">
        <v>7.25</v>
      </c>
      <c r="B143">
        <v>0.52300000000000002</v>
      </c>
      <c r="C143">
        <f t="shared" si="25"/>
        <v>3.79175</v>
      </c>
      <c r="D143">
        <v>1.6199999999999999E-2</v>
      </c>
      <c r="E143">
        <v>3.81E-3</v>
      </c>
      <c r="F143">
        <f t="shared" si="26"/>
        <v>1450</v>
      </c>
      <c r="G143">
        <f t="shared" si="27"/>
        <v>-0.52300000000000002</v>
      </c>
      <c r="H143">
        <f t="shared" si="28"/>
        <v>-758.35</v>
      </c>
      <c r="I143">
        <v>1</v>
      </c>
      <c r="J143">
        <f t="shared" si="29"/>
        <v>0.37156355643248301</v>
      </c>
      <c r="K143">
        <f t="shared" si="30"/>
        <v>-0.69872515177521743</v>
      </c>
      <c r="L143">
        <v>1</v>
      </c>
      <c r="M143">
        <f t="shared" si="31"/>
        <v>0.52546043742291881</v>
      </c>
      <c r="N143">
        <f t="shared" si="32"/>
        <v>0.11745</v>
      </c>
      <c r="O143">
        <f t="shared" si="33"/>
        <v>2.7622500000000001E-2</v>
      </c>
      <c r="P143">
        <f t="shared" si="34"/>
        <v>2.8192214352298621E-2</v>
      </c>
    </row>
    <row r="144" spans="1:23" x14ac:dyDescent="0.3">
      <c r="A144">
        <v>7.3</v>
      </c>
      <c r="B144">
        <v>0.52100000000000002</v>
      </c>
      <c r="C144">
        <f t="shared" si="25"/>
        <v>3.8033000000000001</v>
      </c>
      <c r="D144">
        <v>1.6199999999999999E-2</v>
      </c>
      <c r="E144">
        <v>3.81E-3</v>
      </c>
      <c r="F144">
        <f t="shared" si="26"/>
        <v>1460</v>
      </c>
      <c r="G144">
        <f t="shared" si="27"/>
        <v>-0.52100000000000002</v>
      </c>
      <c r="H144">
        <f t="shared" si="28"/>
        <v>-760.66000000000008</v>
      </c>
      <c r="I144">
        <v>1</v>
      </c>
      <c r="J144">
        <f t="shared" si="29"/>
        <v>0.37843643572024505</v>
      </c>
      <c r="K144">
        <f t="shared" si="30"/>
        <v>-0.70072515177521744</v>
      </c>
      <c r="L144">
        <v>1</v>
      </c>
      <c r="M144">
        <f t="shared" si="31"/>
        <v>0.52574456225267496</v>
      </c>
      <c r="N144">
        <f t="shared" si="32"/>
        <v>0.11825999999999999</v>
      </c>
      <c r="O144">
        <f t="shared" si="33"/>
        <v>2.7813000000000001E-2</v>
      </c>
      <c r="P144">
        <f t="shared" si="34"/>
        <v>2.8907589522542482E-2</v>
      </c>
    </row>
    <row r="145" spans="1:16" x14ac:dyDescent="0.3">
      <c r="A145">
        <v>7.35</v>
      </c>
      <c r="B145">
        <v>0.51900000000000002</v>
      </c>
      <c r="C145">
        <f t="shared" si="25"/>
        <v>3.8146499999999999</v>
      </c>
      <c r="D145">
        <v>1.6199999999999999E-2</v>
      </c>
      <c r="E145">
        <v>3.81E-3</v>
      </c>
      <c r="F145">
        <f t="shared" si="26"/>
        <v>1470</v>
      </c>
      <c r="G145">
        <f t="shared" si="27"/>
        <v>-0.51900000000000002</v>
      </c>
      <c r="H145">
        <f t="shared" si="28"/>
        <v>-762.93</v>
      </c>
      <c r="I145">
        <v>1</v>
      </c>
      <c r="J145">
        <f t="shared" si="29"/>
        <v>0.38526240079064489</v>
      </c>
      <c r="K145">
        <f t="shared" si="30"/>
        <v>-0.70272515177521744</v>
      </c>
      <c r="L145">
        <v>1</v>
      </c>
      <c r="M145">
        <f t="shared" si="31"/>
        <v>0.52602674764868529</v>
      </c>
      <c r="N145">
        <f t="shared" si="32"/>
        <v>0.11906999999999998</v>
      </c>
      <c r="O145">
        <f t="shared" si="33"/>
        <v>2.8003499999999997E-2</v>
      </c>
      <c r="P145">
        <f t="shared" si="34"/>
        <v>2.9624904126532171E-2</v>
      </c>
    </row>
    <row r="146" spans="1:16" x14ac:dyDescent="0.3">
      <c r="A146">
        <v>7.4</v>
      </c>
      <c r="B146">
        <v>0.51700000000000002</v>
      </c>
      <c r="C146">
        <f t="shared" si="25"/>
        <v>3.8258000000000001</v>
      </c>
      <c r="D146">
        <v>1.6199999999999999E-2</v>
      </c>
      <c r="E146">
        <v>3.81E-3</v>
      </c>
      <c r="F146">
        <f t="shared" si="26"/>
        <v>1480</v>
      </c>
      <c r="G146">
        <f t="shared" si="27"/>
        <v>-0.51700000000000002</v>
      </c>
      <c r="H146">
        <f t="shared" si="28"/>
        <v>-765.16</v>
      </c>
      <c r="I146">
        <v>1</v>
      </c>
      <c r="J146">
        <f t="shared" si="29"/>
        <v>0.39204208777602367</v>
      </c>
      <c r="K146">
        <f t="shared" si="30"/>
        <v>-0.70472515177521744</v>
      </c>
      <c r="L146">
        <v>1</v>
      </c>
      <c r="M146">
        <f t="shared" si="31"/>
        <v>0.5263070199086608</v>
      </c>
      <c r="N146">
        <f t="shared" si="32"/>
        <v>0.11988</v>
      </c>
      <c r="O146">
        <f t="shared" si="33"/>
        <v>2.8194E-2</v>
      </c>
      <c r="P146">
        <f t="shared" si="34"/>
        <v>3.0344131866556639E-2</v>
      </c>
    </row>
    <row r="147" spans="1:16" x14ac:dyDescent="0.3">
      <c r="A147">
        <v>7.45</v>
      </c>
      <c r="B147">
        <v>0.51500000000000001</v>
      </c>
      <c r="C147">
        <f t="shared" si="25"/>
        <v>3.8367500000000003</v>
      </c>
      <c r="D147">
        <v>1.6199999999999999E-2</v>
      </c>
      <c r="E147">
        <v>3.81E-3</v>
      </c>
      <c r="F147">
        <f t="shared" si="26"/>
        <v>1490</v>
      </c>
      <c r="G147">
        <f t="shared" si="27"/>
        <v>-0.51500000000000001</v>
      </c>
      <c r="H147">
        <f t="shared" si="28"/>
        <v>-767.35</v>
      </c>
      <c r="I147">
        <v>1</v>
      </c>
      <c r="J147">
        <f t="shared" si="29"/>
        <v>0.39877611995736778</v>
      </c>
      <c r="K147">
        <f t="shared" si="30"/>
        <v>-0.70672515177521744</v>
      </c>
      <c r="L147">
        <v>1</v>
      </c>
      <c r="M147">
        <f t="shared" si="31"/>
        <v>0.52658540479903759</v>
      </c>
      <c r="N147">
        <f t="shared" si="32"/>
        <v>0.12068999999999999</v>
      </c>
      <c r="O147">
        <f t="shared" si="33"/>
        <v>2.83845E-2</v>
      </c>
      <c r="P147">
        <f t="shared" si="34"/>
        <v>3.1065246976179857E-2</v>
      </c>
    </row>
    <row r="148" spans="1:16" x14ac:dyDescent="0.3">
      <c r="A148">
        <v>7.5</v>
      </c>
      <c r="B148">
        <v>0.51200000000000001</v>
      </c>
      <c r="C148">
        <f t="shared" si="25"/>
        <v>3.84</v>
      </c>
      <c r="D148">
        <v>1.6199999999999999E-2</v>
      </c>
      <c r="E148">
        <v>3.81E-3</v>
      </c>
      <c r="F148">
        <f t="shared" si="26"/>
        <v>1500</v>
      </c>
      <c r="G148">
        <f t="shared" si="27"/>
        <v>-0.51200000000000001</v>
      </c>
      <c r="H148">
        <f t="shared" si="28"/>
        <v>-768</v>
      </c>
      <c r="I148">
        <v>1</v>
      </c>
      <c r="J148">
        <f t="shared" si="29"/>
        <v>0.40546510810816438</v>
      </c>
      <c r="K148">
        <f t="shared" si="30"/>
        <v>-0.70972515177521744</v>
      </c>
      <c r="L148">
        <v>1</v>
      </c>
      <c r="M148">
        <f t="shared" si="31"/>
        <v>0.52686192756919148</v>
      </c>
      <c r="N148">
        <f t="shared" si="32"/>
        <v>0.1215</v>
      </c>
      <c r="O148">
        <f t="shared" si="33"/>
        <v>2.8575E-2</v>
      </c>
      <c r="P148">
        <f t="shared" si="34"/>
        <v>3.2788224206025965E-2</v>
      </c>
    </row>
    <row r="149" spans="1:16" x14ac:dyDescent="0.3">
      <c r="A149">
        <v>7.55</v>
      </c>
      <c r="B149">
        <v>0.51</v>
      </c>
      <c r="C149">
        <f t="shared" si="25"/>
        <v>3.8504999999999998</v>
      </c>
      <c r="D149">
        <v>1.6199999999999999E-2</v>
      </c>
      <c r="E149">
        <v>3.81E-3</v>
      </c>
      <c r="F149">
        <f t="shared" si="26"/>
        <v>1510</v>
      </c>
      <c r="G149">
        <f t="shared" si="27"/>
        <v>-0.51</v>
      </c>
      <c r="H149">
        <f t="shared" si="28"/>
        <v>-770.09999999999991</v>
      </c>
      <c r="I149">
        <v>1</v>
      </c>
      <c r="J149">
        <f t="shared" si="29"/>
        <v>0.41210965082683298</v>
      </c>
      <c r="K149">
        <f t="shared" si="30"/>
        <v>-0.71172515177521745</v>
      </c>
      <c r="L149">
        <v>1</v>
      </c>
      <c r="M149">
        <f t="shared" si="31"/>
        <v>0.52713661296518133</v>
      </c>
      <c r="N149">
        <f t="shared" si="32"/>
        <v>0.12230999999999999</v>
      </c>
      <c r="O149">
        <f t="shared" si="33"/>
        <v>2.8765499999999999E-2</v>
      </c>
      <c r="P149">
        <f t="shared" si="34"/>
        <v>3.351303881003613E-2</v>
      </c>
    </row>
    <row r="150" spans="1:16" x14ac:dyDescent="0.3">
      <c r="A150">
        <v>7.6</v>
      </c>
      <c r="B150">
        <v>0.50800000000000001</v>
      </c>
      <c r="C150">
        <f t="shared" si="25"/>
        <v>3.8607999999999998</v>
      </c>
      <c r="D150">
        <v>1.6199999999999999E-2</v>
      </c>
      <c r="E150">
        <v>3.81E-3</v>
      </c>
      <c r="F150">
        <f t="shared" si="26"/>
        <v>1520</v>
      </c>
      <c r="G150">
        <f t="shared" si="27"/>
        <v>-0.50800000000000001</v>
      </c>
      <c r="H150">
        <f t="shared" si="28"/>
        <v>-772.16</v>
      </c>
      <c r="I150">
        <v>1</v>
      </c>
      <c r="J150">
        <f t="shared" si="29"/>
        <v>0.41871033485818504</v>
      </c>
      <c r="K150">
        <f t="shared" si="30"/>
        <v>-0.71372515177521745</v>
      </c>
      <c r="L150">
        <v>1</v>
      </c>
      <c r="M150">
        <f t="shared" si="31"/>
        <v>0.52740948524303732</v>
      </c>
      <c r="N150">
        <f t="shared" si="32"/>
        <v>0.12311999999999999</v>
      </c>
      <c r="O150">
        <f t="shared" si="33"/>
        <v>2.8955999999999999E-2</v>
      </c>
      <c r="P150">
        <f t="shared" si="34"/>
        <v>3.4239666532180135E-2</v>
      </c>
    </row>
    <row r="151" spans="1:16" x14ac:dyDescent="0.3">
      <c r="A151">
        <v>7.65</v>
      </c>
      <c r="B151">
        <v>0.50600000000000001</v>
      </c>
      <c r="C151">
        <f t="shared" si="25"/>
        <v>3.8709000000000002</v>
      </c>
      <c r="D151">
        <v>1.6199999999999999E-2</v>
      </c>
      <c r="E151">
        <v>3.81E-3</v>
      </c>
      <c r="F151">
        <f t="shared" si="26"/>
        <v>1530</v>
      </c>
      <c r="G151">
        <f t="shared" si="27"/>
        <v>-0.50600000000000001</v>
      </c>
      <c r="H151">
        <f t="shared" si="28"/>
        <v>-774.18000000000006</v>
      </c>
      <c r="I151">
        <v>1</v>
      </c>
      <c r="J151">
        <f t="shared" si="29"/>
        <v>0.42526773540434409</v>
      </c>
      <c r="K151">
        <f t="shared" si="30"/>
        <v>-0.71572515177521745</v>
      </c>
      <c r="L151">
        <v>1</v>
      </c>
      <c r="M151">
        <f t="shared" si="31"/>
        <v>0.52768056818161557</v>
      </c>
      <c r="N151">
        <f t="shared" si="32"/>
        <v>0.12393</v>
      </c>
      <c r="O151">
        <f t="shared" si="33"/>
        <v>2.9146500000000002E-2</v>
      </c>
      <c r="P151">
        <f t="shared" si="34"/>
        <v>3.4968083593601873E-2</v>
      </c>
    </row>
    <row r="152" spans="1:16" x14ac:dyDescent="0.3">
      <c r="A152">
        <v>7.7</v>
      </c>
      <c r="B152">
        <v>0.504</v>
      </c>
      <c r="C152">
        <f t="shared" si="25"/>
        <v>3.8808000000000002</v>
      </c>
      <c r="D152">
        <v>1.6199999999999999E-2</v>
      </c>
      <c r="E152">
        <v>3.81E-3</v>
      </c>
      <c r="F152">
        <f t="shared" si="26"/>
        <v>1540</v>
      </c>
      <c r="G152">
        <f t="shared" si="27"/>
        <v>-0.504</v>
      </c>
      <c r="H152">
        <f t="shared" si="28"/>
        <v>-776.16000000000008</v>
      </c>
      <c r="I152">
        <v>1</v>
      </c>
      <c r="J152">
        <f t="shared" si="29"/>
        <v>0.43178241642553783</v>
      </c>
      <c r="K152">
        <f t="shared" si="30"/>
        <v>-0.71772515177521745</v>
      </c>
      <c r="L152">
        <v>1</v>
      </c>
      <c r="M152">
        <f t="shared" si="31"/>
        <v>0.52794988509503171</v>
      </c>
      <c r="N152">
        <f t="shared" si="32"/>
        <v>0.12473999999999999</v>
      </c>
      <c r="O152">
        <f t="shared" si="33"/>
        <v>2.9337000000000002E-2</v>
      </c>
      <c r="P152">
        <f t="shared" si="34"/>
        <v>3.5698266680185747E-2</v>
      </c>
    </row>
    <row r="153" spans="1:16" x14ac:dyDescent="0.3">
      <c r="A153">
        <v>7.75</v>
      </c>
      <c r="B153">
        <v>0.502</v>
      </c>
      <c r="C153">
        <f t="shared" si="25"/>
        <v>3.8904999999999998</v>
      </c>
      <c r="D153">
        <v>1.6199999999999999E-2</v>
      </c>
      <c r="E153">
        <v>3.81E-3</v>
      </c>
      <c r="F153">
        <f t="shared" si="26"/>
        <v>1550</v>
      </c>
      <c r="G153">
        <f t="shared" si="27"/>
        <v>-0.502</v>
      </c>
      <c r="H153">
        <f t="shared" si="28"/>
        <v>-778.1</v>
      </c>
      <c r="I153">
        <v>1</v>
      </c>
      <c r="J153">
        <f t="shared" si="29"/>
        <v>0.43825493093115531</v>
      </c>
      <c r="K153">
        <f t="shared" si="30"/>
        <v>-0.71972515177521745</v>
      </c>
      <c r="L153">
        <v>1</v>
      </c>
      <c r="M153">
        <f t="shared" si="31"/>
        <v>0.52821745884469395</v>
      </c>
      <c r="N153">
        <f t="shared" si="32"/>
        <v>0.12554999999999999</v>
      </c>
      <c r="O153">
        <f t="shared" si="33"/>
        <v>2.9527500000000002E-2</v>
      </c>
      <c r="P153">
        <f t="shared" si="34"/>
        <v>3.6430192930523506E-2</v>
      </c>
    </row>
    <row r="154" spans="1:16" x14ac:dyDescent="0.3">
      <c r="A154">
        <v>7.8</v>
      </c>
      <c r="B154">
        <v>0.5</v>
      </c>
      <c r="C154">
        <f t="shared" si="25"/>
        <v>3.9</v>
      </c>
      <c r="D154">
        <v>1.6199999999999999E-2</v>
      </c>
      <c r="E154">
        <v>3.81E-3</v>
      </c>
      <c r="F154">
        <f t="shared" si="26"/>
        <v>1560</v>
      </c>
      <c r="G154">
        <f t="shared" si="27"/>
        <v>-0.5</v>
      </c>
      <c r="H154">
        <f t="shared" si="28"/>
        <v>-780</v>
      </c>
      <c r="I154">
        <v>1</v>
      </c>
      <c r="J154">
        <f t="shared" si="29"/>
        <v>0.44468582126144574</v>
      </c>
      <c r="K154">
        <f t="shared" si="30"/>
        <v>-0.72172515177521745</v>
      </c>
      <c r="L154">
        <v>1</v>
      </c>
      <c r="M154">
        <f t="shared" si="31"/>
        <v>0.52848331185094821</v>
      </c>
      <c r="N154">
        <f t="shared" si="32"/>
        <v>0.12636</v>
      </c>
      <c r="O154">
        <f t="shared" si="33"/>
        <v>2.9717999999999998E-2</v>
      </c>
      <c r="P154">
        <f t="shared" si="34"/>
        <v>3.7163839924269249E-2</v>
      </c>
    </row>
    <row r="155" spans="1:16" x14ac:dyDescent="0.3">
      <c r="A155">
        <v>7.85</v>
      </c>
      <c r="B155">
        <v>0.497</v>
      </c>
      <c r="C155">
        <f t="shared" si="25"/>
        <v>3.9014499999999996</v>
      </c>
      <c r="D155">
        <v>1.6199999999999999E-2</v>
      </c>
      <c r="E155">
        <v>3.81E-3</v>
      </c>
      <c r="F155">
        <f t="shared" si="26"/>
        <v>1570</v>
      </c>
      <c r="G155">
        <f t="shared" si="27"/>
        <v>-0.497</v>
      </c>
      <c r="H155">
        <f t="shared" si="28"/>
        <v>-780.29</v>
      </c>
      <c r="I155">
        <v>1</v>
      </c>
      <c r="J155">
        <f t="shared" si="29"/>
        <v>0.45107561936021673</v>
      </c>
      <c r="K155">
        <f t="shared" si="30"/>
        <v>-0.72472515177521746</v>
      </c>
      <c r="L155">
        <v>1</v>
      </c>
      <c r="M155">
        <f t="shared" si="31"/>
        <v>0.5287474661043513</v>
      </c>
      <c r="N155">
        <f t="shared" si="32"/>
        <v>0.12716999999999998</v>
      </c>
      <c r="O155">
        <f t="shared" si="33"/>
        <v>2.9908499999999998E-2</v>
      </c>
      <c r="P155">
        <f t="shared" si="34"/>
        <v>3.8899185670866178E-2</v>
      </c>
    </row>
    <row r="156" spans="1:16" x14ac:dyDescent="0.3">
      <c r="A156">
        <v>7.9</v>
      </c>
      <c r="B156">
        <v>0.495</v>
      </c>
      <c r="C156">
        <f t="shared" si="25"/>
        <v>3.9105000000000003</v>
      </c>
      <c r="D156">
        <v>1.6199999999999999E-2</v>
      </c>
      <c r="E156">
        <v>3.81E-3</v>
      </c>
      <c r="F156">
        <f t="shared" si="26"/>
        <v>1580</v>
      </c>
      <c r="G156">
        <f t="shared" si="27"/>
        <v>-0.495</v>
      </c>
      <c r="H156">
        <f t="shared" si="28"/>
        <v>-782.1</v>
      </c>
      <c r="I156">
        <v>1</v>
      </c>
      <c r="J156">
        <f t="shared" si="29"/>
        <v>0.45742484703887548</v>
      </c>
      <c r="K156">
        <f t="shared" si="30"/>
        <v>-0.72672515177521746</v>
      </c>
      <c r="L156">
        <v>1</v>
      </c>
      <c r="M156">
        <f t="shared" si="31"/>
        <v>0.52900994317658712</v>
      </c>
      <c r="N156">
        <f t="shared" si="32"/>
        <v>0.12798000000000001</v>
      </c>
      <c r="O156">
        <f t="shared" si="33"/>
        <v>3.0099000000000001E-2</v>
      </c>
      <c r="P156">
        <f t="shared" si="34"/>
        <v>3.9636208598630332E-2</v>
      </c>
    </row>
    <row r="157" spans="1:16" x14ac:dyDescent="0.3">
      <c r="A157">
        <v>7.95</v>
      </c>
      <c r="B157">
        <v>0.49299999999999999</v>
      </c>
      <c r="C157">
        <f t="shared" si="25"/>
        <v>3.9193500000000001</v>
      </c>
      <c r="D157">
        <v>1.6199999999999999E-2</v>
      </c>
      <c r="E157">
        <v>3.81E-3</v>
      </c>
      <c r="F157">
        <f t="shared" si="26"/>
        <v>1590</v>
      </c>
      <c r="G157">
        <f t="shared" si="27"/>
        <v>-0.49299999999999999</v>
      </c>
      <c r="H157">
        <f t="shared" si="28"/>
        <v>-783.87</v>
      </c>
      <c r="I157">
        <v>1</v>
      </c>
      <c r="J157">
        <f t="shared" si="29"/>
        <v>0.46373401623214022</v>
      </c>
      <c r="K157">
        <f t="shared" si="30"/>
        <v>-0.72872515177521746</v>
      </c>
      <c r="L157">
        <v>1</v>
      </c>
      <c r="M157">
        <f t="shared" si="31"/>
        <v>0.52927076423103669</v>
      </c>
      <c r="N157">
        <f t="shared" si="32"/>
        <v>0.12878999999999999</v>
      </c>
      <c r="O157">
        <f t="shared" si="33"/>
        <v>3.02895E-2</v>
      </c>
      <c r="P157">
        <f t="shared" si="34"/>
        <v>4.0374887544180782E-2</v>
      </c>
    </row>
    <row r="158" spans="1:16" x14ac:dyDescent="0.3">
      <c r="A158">
        <v>8</v>
      </c>
      <c r="B158">
        <v>0.49099999999999999</v>
      </c>
      <c r="C158">
        <f t="shared" si="25"/>
        <v>3.9279999999999999</v>
      </c>
      <c r="D158">
        <v>1.6199999999999999E-2</v>
      </c>
      <c r="E158">
        <v>3.81E-3</v>
      </c>
      <c r="F158">
        <f t="shared" si="26"/>
        <v>1600</v>
      </c>
      <c r="G158">
        <f t="shared" si="27"/>
        <v>-0.49099999999999999</v>
      </c>
      <c r="H158">
        <f t="shared" si="28"/>
        <v>-785.6</v>
      </c>
      <c r="I158">
        <v>1</v>
      </c>
      <c r="J158">
        <f t="shared" si="29"/>
        <v>0.47000362924573563</v>
      </c>
      <c r="K158">
        <f t="shared" si="30"/>
        <v>-0.73072515177521746</v>
      </c>
      <c r="L158">
        <v>1</v>
      </c>
      <c r="M158">
        <f t="shared" si="31"/>
        <v>0.52952995003301873</v>
      </c>
      <c r="N158">
        <f t="shared" si="32"/>
        <v>0.12959999999999999</v>
      </c>
      <c r="O158">
        <f t="shared" si="33"/>
        <v>3.048E-2</v>
      </c>
      <c r="P158">
        <f t="shared" si="34"/>
        <v>4.1115201742198744E-2</v>
      </c>
    </row>
    <row r="159" spans="1:16" x14ac:dyDescent="0.3">
      <c r="A159">
        <v>8.1</v>
      </c>
      <c r="B159">
        <v>0.48899999999999999</v>
      </c>
      <c r="C159">
        <f t="shared" si="25"/>
        <v>3.9608999999999996</v>
      </c>
      <c r="D159">
        <v>1.6199999999999999E-2</v>
      </c>
      <c r="E159">
        <v>3.81E-3</v>
      </c>
      <c r="F159">
        <f t="shared" si="26"/>
        <v>1620</v>
      </c>
      <c r="G159">
        <f t="shared" si="27"/>
        <v>-0.48899999999999999</v>
      </c>
      <c r="H159">
        <f t="shared" si="28"/>
        <v>-792.18</v>
      </c>
      <c r="I159">
        <v>1</v>
      </c>
      <c r="J159">
        <f t="shared" si="29"/>
        <v>0.48242614924429278</v>
      </c>
      <c r="K159">
        <f t="shared" si="30"/>
        <v>-0.73272515177521746</v>
      </c>
      <c r="L159">
        <v>1</v>
      </c>
      <c r="M159">
        <f t="shared" si="31"/>
        <v>0.53004349700975906</v>
      </c>
      <c r="N159">
        <f t="shared" si="32"/>
        <v>0.13121999999999998</v>
      </c>
      <c r="O159">
        <f t="shared" si="33"/>
        <v>3.0861E-2</v>
      </c>
      <c r="P159">
        <f t="shared" si="34"/>
        <v>4.0600654765458433E-2</v>
      </c>
    </row>
    <row r="160" spans="1:16" x14ac:dyDescent="0.3">
      <c r="A160">
        <v>8.15</v>
      </c>
      <c r="B160">
        <v>0.48699999999999999</v>
      </c>
      <c r="C160">
        <f t="shared" si="25"/>
        <v>3.9690500000000002</v>
      </c>
      <c r="D160">
        <v>1.6199999999999999E-2</v>
      </c>
      <c r="E160">
        <v>3.81E-3</v>
      </c>
      <c r="F160">
        <f t="shared" si="26"/>
        <v>1630</v>
      </c>
      <c r="G160">
        <f t="shared" si="27"/>
        <v>-0.48699999999999999</v>
      </c>
      <c r="H160">
        <f t="shared" si="28"/>
        <v>-793.81000000000006</v>
      </c>
      <c r="I160">
        <v>1</v>
      </c>
      <c r="J160">
        <f t="shared" si="29"/>
        <v>0.48858001481867092</v>
      </c>
      <c r="K160">
        <f t="shared" si="30"/>
        <v>-0.73472515177521747</v>
      </c>
      <c r="L160">
        <v>1</v>
      </c>
      <c r="M160">
        <f t="shared" si="31"/>
        <v>0.53029789781260384</v>
      </c>
      <c r="N160">
        <f t="shared" si="32"/>
        <v>0.13203000000000001</v>
      </c>
      <c r="O160">
        <f t="shared" si="33"/>
        <v>3.1051500000000003E-2</v>
      </c>
      <c r="P160">
        <f t="shared" si="34"/>
        <v>4.134575396261362E-2</v>
      </c>
    </row>
    <row r="161" spans="1:16" x14ac:dyDescent="0.3">
      <c r="A161">
        <v>8.1999999999999993</v>
      </c>
      <c r="B161">
        <v>0.48399999999999999</v>
      </c>
      <c r="C161">
        <f t="shared" si="25"/>
        <v>3.9687999999999994</v>
      </c>
      <c r="D161">
        <v>1.6199999999999999E-2</v>
      </c>
      <c r="E161">
        <v>3.81E-3</v>
      </c>
      <c r="F161">
        <f t="shared" si="26"/>
        <v>1639.9999999999998</v>
      </c>
      <c r="G161">
        <f t="shared" si="27"/>
        <v>-0.48399999999999999</v>
      </c>
      <c r="H161">
        <f t="shared" si="28"/>
        <v>-793.75999999999988</v>
      </c>
      <c r="I161">
        <v>1</v>
      </c>
      <c r="J161">
        <f t="shared" si="29"/>
        <v>0.49469624183610689</v>
      </c>
      <c r="K161">
        <f t="shared" si="30"/>
        <v>-0.73772515177521747</v>
      </c>
      <c r="L161">
        <v>1</v>
      </c>
      <c r="M161">
        <f t="shared" si="31"/>
        <v>0.53055074263750468</v>
      </c>
      <c r="N161">
        <f t="shared" si="32"/>
        <v>0.13283999999999999</v>
      </c>
      <c r="O161">
        <f t="shared" si="33"/>
        <v>3.1241999999999999E-2</v>
      </c>
      <c r="P161">
        <f t="shared" si="34"/>
        <v>4.3092409137712805E-2</v>
      </c>
    </row>
    <row r="162" spans="1:16" x14ac:dyDescent="0.3">
      <c r="A162">
        <v>8.25</v>
      </c>
      <c r="B162">
        <v>0.48199999999999998</v>
      </c>
      <c r="C162">
        <f t="shared" si="25"/>
        <v>3.9764999999999997</v>
      </c>
      <c r="D162">
        <v>1.6199999999999999E-2</v>
      </c>
      <c r="E162">
        <v>3.81E-3</v>
      </c>
      <c r="F162">
        <f t="shared" si="26"/>
        <v>1650</v>
      </c>
      <c r="G162">
        <f t="shared" si="27"/>
        <v>-0.48199999999999998</v>
      </c>
      <c r="H162">
        <f t="shared" si="28"/>
        <v>-795.3</v>
      </c>
      <c r="I162">
        <v>1</v>
      </c>
      <c r="J162">
        <f t="shared" si="29"/>
        <v>0.50077528791248915</v>
      </c>
      <c r="K162">
        <f t="shared" si="30"/>
        <v>-0.73972515177521747</v>
      </c>
      <c r="L162">
        <v>1</v>
      </c>
      <c r="M162">
        <f t="shared" si="31"/>
        <v>0.53080205040230233</v>
      </c>
      <c r="N162">
        <f t="shared" si="32"/>
        <v>0.13364999999999999</v>
      </c>
      <c r="O162">
        <f t="shared" si="33"/>
        <v>3.1432500000000002E-2</v>
      </c>
      <c r="P162">
        <f t="shared" si="34"/>
        <v>4.384060137291515E-2</v>
      </c>
    </row>
    <row r="163" spans="1:16" x14ac:dyDescent="0.3">
      <c r="A163">
        <v>8.3000000000000007</v>
      </c>
      <c r="B163">
        <v>0.48</v>
      </c>
      <c r="C163">
        <f t="shared" si="25"/>
        <v>3.984</v>
      </c>
      <c r="D163">
        <v>1.6199999999999999E-2</v>
      </c>
      <c r="E163">
        <v>3.81E-3</v>
      </c>
      <c r="F163">
        <f t="shared" si="26"/>
        <v>1660.0000000000002</v>
      </c>
      <c r="G163">
        <f t="shared" si="27"/>
        <v>-0.48</v>
      </c>
      <c r="H163">
        <f t="shared" si="28"/>
        <v>-796.8</v>
      </c>
      <c r="I163">
        <v>1</v>
      </c>
      <c r="J163">
        <f t="shared" si="29"/>
        <v>0.50681760236845197</v>
      </c>
      <c r="K163">
        <f t="shared" si="30"/>
        <v>-0.74172515177521747</v>
      </c>
      <c r="L163">
        <v>1</v>
      </c>
      <c r="M163">
        <f t="shared" si="31"/>
        <v>0.53105183968191183</v>
      </c>
      <c r="N163">
        <f t="shared" si="32"/>
        <v>0.13446</v>
      </c>
      <c r="O163">
        <f t="shared" si="33"/>
        <v>3.1623000000000005E-2</v>
      </c>
      <c r="P163">
        <f t="shared" si="34"/>
        <v>4.4590312093305641E-2</v>
      </c>
    </row>
    <row r="164" spans="1:16" x14ac:dyDescent="0.3">
      <c r="A164">
        <v>8.35</v>
      </c>
      <c r="B164">
        <v>0.47799999999999998</v>
      </c>
      <c r="C164">
        <f t="shared" si="25"/>
        <v>3.9912999999999998</v>
      </c>
      <c r="D164">
        <v>1.6199999999999999E-2</v>
      </c>
      <c r="E164">
        <v>3.81E-3</v>
      </c>
      <c r="F164">
        <f t="shared" si="26"/>
        <v>1670</v>
      </c>
      <c r="G164">
        <f t="shared" si="27"/>
        <v>-0.47799999999999998</v>
      </c>
      <c r="H164">
        <f t="shared" si="28"/>
        <v>-798.26</v>
      </c>
      <c r="I164">
        <v>1</v>
      </c>
      <c r="J164">
        <f t="shared" si="29"/>
        <v>0.51282362642866375</v>
      </c>
      <c r="K164">
        <f t="shared" si="30"/>
        <v>-0.74372515177521747</v>
      </c>
      <c r="L164">
        <v>1</v>
      </c>
      <c r="M164">
        <f t="shared" si="31"/>
        <v>0.53130012871656096</v>
      </c>
      <c r="N164">
        <f t="shared" si="32"/>
        <v>0.13526999999999997</v>
      </c>
      <c r="O164">
        <f t="shared" si="33"/>
        <v>3.1813500000000001E-2</v>
      </c>
      <c r="P164">
        <f t="shared" si="34"/>
        <v>4.534152305865654E-2</v>
      </c>
    </row>
    <row r="165" spans="1:16" x14ac:dyDescent="0.3">
      <c r="A165">
        <v>8.4</v>
      </c>
      <c r="B165">
        <v>0.47599999999999998</v>
      </c>
      <c r="C165">
        <f t="shared" si="25"/>
        <v>3.9984000000000002</v>
      </c>
      <c r="D165">
        <v>1.6199999999999999E-2</v>
      </c>
      <c r="E165">
        <v>3.81E-3</v>
      </c>
      <c r="F165">
        <f t="shared" si="26"/>
        <v>1680</v>
      </c>
      <c r="G165">
        <f t="shared" si="27"/>
        <v>-0.47599999999999998</v>
      </c>
      <c r="H165">
        <f t="shared" si="28"/>
        <v>-799.68000000000006</v>
      </c>
      <c r="I165">
        <v>1</v>
      </c>
      <c r="J165">
        <f t="shared" si="29"/>
        <v>0.51879379341516751</v>
      </c>
      <c r="K165">
        <f t="shared" si="30"/>
        <v>-0.74572515177521748</v>
      </c>
      <c r="L165">
        <v>1</v>
      </c>
      <c r="M165">
        <f t="shared" si="31"/>
        <v>0.53154693541978304</v>
      </c>
      <c r="N165">
        <f t="shared" si="32"/>
        <v>0.13608000000000001</v>
      </c>
      <c r="O165">
        <f t="shared" si="33"/>
        <v>3.2004000000000005E-2</v>
      </c>
      <c r="P165">
        <f t="shared" si="34"/>
        <v>4.6094216355434425E-2</v>
      </c>
    </row>
    <row r="166" spans="1:16" x14ac:dyDescent="0.3">
      <c r="A166">
        <v>8.4499999999999993</v>
      </c>
      <c r="B166">
        <v>0.47299999999999998</v>
      </c>
      <c r="C166">
        <f t="shared" si="25"/>
        <v>3.9968499999999993</v>
      </c>
      <c r="D166">
        <v>1.6199999999999999E-2</v>
      </c>
      <c r="E166">
        <v>3.81E-3</v>
      </c>
      <c r="F166">
        <f t="shared" si="26"/>
        <v>1689.9999999999998</v>
      </c>
      <c r="G166">
        <f t="shared" si="27"/>
        <v>-0.47299999999999998</v>
      </c>
      <c r="H166">
        <f t="shared" si="28"/>
        <v>-799.36999999999989</v>
      </c>
      <c r="I166">
        <v>1</v>
      </c>
      <c r="J166">
        <f t="shared" si="29"/>
        <v>0.5247285289349819</v>
      </c>
      <c r="K166">
        <f t="shared" si="30"/>
        <v>-0.74872515177521748</v>
      </c>
      <c r="L166">
        <v>1</v>
      </c>
      <c r="M166">
        <f t="shared" si="31"/>
        <v>0.53179227738617219</v>
      </c>
      <c r="N166">
        <f t="shared" si="32"/>
        <v>0.13688999999999998</v>
      </c>
      <c r="O166">
        <f t="shared" si="33"/>
        <v>3.2194500000000001E-2</v>
      </c>
      <c r="P166">
        <f t="shared" si="34"/>
        <v>4.7848374389045309E-2</v>
      </c>
    </row>
    <row r="167" spans="1:16" x14ac:dyDescent="0.3">
      <c r="A167">
        <v>8.5</v>
      </c>
      <c r="B167">
        <v>0.47099999999999997</v>
      </c>
      <c r="C167">
        <f t="shared" si="25"/>
        <v>4.0034999999999998</v>
      </c>
      <c r="D167">
        <v>1.6199999999999999E-2</v>
      </c>
      <c r="E167">
        <v>3.81E-3</v>
      </c>
      <c r="F167">
        <f t="shared" si="26"/>
        <v>1700</v>
      </c>
      <c r="G167">
        <f t="shared" si="27"/>
        <v>-0.47099999999999997</v>
      </c>
      <c r="H167">
        <f t="shared" si="28"/>
        <v>-800.69999999999993</v>
      </c>
      <c r="I167">
        <v>1</v>
      </c>
      <c r="J167">
        <f t="shared" si="29"/>
        <v>0.53062825106217038</v>
      </c>
      <c r="K167">
        <f t="shared" si="30"/>
        <v>-0.75072515177521748</v>
      </c>
      <c r="L167">
        <v>1</v>
      </c>
      <c r="M167">
        <f t="shared" si="31"/>
        <v>0.53203617189891017</v>
      </c>
      <c r="N167">
        <f t="shared" si="32"/>
        <v>0.13769999999999999</v>
      </c>
      <c r="O167">
        <f t="shared" si="33"/>
        <v>3.2384999999999997E-2</v>
      </c>
      <c r="P167">
        <f t="shared" si="34"/>
        <v>4.8603979876307324E-2</v>
      </c>
    </row>
    <row r="168" spans="1:16" x14ac:dyDescent="0.3">
      <c r="A168">
        <v>8.5500000000000007</v>
      </c>
      <c r="B168">
        <v>0.46899999999999997</v>
      </c>
      <c r="C168">
        <f t="shared" si="25"/>
        <v>4.0099499999999999</v>
      </c>
      <c r="D168">
        <v>1.6199999999999999E-2</v>
      </c>
      <c r="E168">
        <v>3.81E-3</v>
      </c>
      <c r="F168">
        <f t="shared" si="26"/>
        <v>1710.0000000000002</v>
      </c>
      <c r="G168">
        <f t="shared" si="27"/>
        <v>-0.46899999999999997</v>
      </c>
      <c r="H168">
        <f t="shared" si="28"/>
        <v>-801.99</v>
      </c>
      <c r="I168">
        <v>1</v>
      </c>
      <c r="J168">
        <f t="shared" si="29"/>
        <v>0.53649337051456858</v>
      </c>
      <c r="K168">
        <f t="shared" si="30"/>
        <v>-0.75272515177521748</v>
      </c>
      <c r="L168">
        <v>1</v>
      </c>
      <c r="M168">
        <f t="shared" si="31"/>
        <v>0.53227863593707225</v>
      </c>
      <c r="N168">
        <f t="shared" si="32"/>
        <v>0.13850999999999999</v>
      </c>
      <c r="O168">
        <f t="shared" si="33"/>
        <v>3.25755E-2</v>
      </c>
      <c r="P168">
        <f t="shared" si="34"/>
        <v>4.9361015838145235E-2</v>
      </c>
    </row>
    <row r="169" spans="1:16" x14ac:dyDescent="0.3">
      <c r="A169">
        <v>8.6</v>
      </c>
      <c r="B169">
        <v>0.46700000000000003</v>
      </c>
      <c r="C169">
        <f t="shared" si="25"/>
        <v>4.0162000000000004</v>
      </c>
      <c r="D169">
        <v>1.6199999999999999E-2</v>
      </c>
      <c r="E169">
        <v>3.81E-3</v>
      </c>
      <c r="F169">
        <f t="shared" si="26"/>
        <v>1720</v>
      </c>
      <c r="G169">
        <f t="shared" si="27"/>
        <v>-0.46700000000000003</v>
      </c>
      <c r="H169">
        <f t="shared" si="28"/>
        <v>-803.24000000000012</v>
      </c>
      <c r="I169">
        <v>1</v>
      </c>
      <c r="J169">
        <f t="shared" si="29"/>
        <v>0.54232429082536171</v>
      </c>
      <c r="K169">
        <f t="shared" si="30"/>
        <v>-0.75472515177521737</v>
      </c>
      <c r="L169">
        <v>1</v>
      </c>
      <c r="M169">
        <f t="shared" si="31"/>
        <v>0.5325196861827205</v>
      </c>
      <c r="N169">
        <f t="shared" si="32"/>
        <v>0.13932</v>
      </c>
      <c r="O169">
        <f t="shared" si="33"/>
        <v>3.2765999999999997E-2</v>
      </c>
      <c r="P169">
        <f t="shared" si="34"/>
        <v>5.011946559249688E-2</v>
      </c>
    </row>
    <row r="170" spans="1:16" x14ac:dyDescent="0.3">
      <c r="A170">
        <v>8.65</v>
      </c>
      <c r="B170">
        <v>0.46500000000000002</v>
      </c>
      <c r="C170">
        <f t="shared" si="25"/>
        <v>4.0222500000000005</v>
      </c>
      <c r="D170">
        <v>1.6199999999999999E-2</v>
      </c>
      <c r="E170">
        <v>3.81E-3</v>
      </c>
      <c r="F170">
        <f t="shared" si="26"/>
        <v>1730</v>
      </c>
      <c r="G170">
        <f t="shared" si="27"/>
        <v>-0.46500000000000002</v>
      </c>
      <c r="H170">
        <f t="shared" si="28"/>
        <v>-804.45000000000016</v>
      </c>
      <c r="I170">
        <v>1</v>
      </c>
      <c r="J170">
        <f t="shared" si="29"/>
        <v>0.5481214085096876</v>
      </c>
      <c r="K170">
        <f t="shared" si="30"/>
        <v>-0.75672515177521738</v>
      </c>
      <c r="L170">
        <v>1</v>
      </c>
      <c r="M170">
        <f t="shared" si="31"/>
        <v>0.53275933902779049</v>
      </c>
      <c r="N170">
        <f t="shared" si="32"/>
        <v>0.14013</v>
      </c>
      <c r="O170">
        <f t="shared" si="33"/>
        <v>3.29565E-2</v>
      </c>
      <c r="P170">
        <f t="shared" si="34"/>
        <v>5.087931274742688E-2</v>
      </c>
    </row>
    <row r="171" spans="1:16" x14ac:dyDescent="0.3">
      <c r="A171">
        <v>8.6999999999999993</v>
      </c>
      <c r="B171">
        <v>0.46300000000000002</v>
      </c>
      <c r="C171">
        <f t="shared" si="25"/>
        <v>4.0281000000000002</v>
      </c>
      <c r="D171">
        <v>1.6199999999999999E-2</v>
      </c>
      <c r="E171">
        <v>3.81E-3</v>
      </c>
      <c r="F171">
        <f t="shared" si="26"/>
        <v>1739.9999999999998</v>
      </c>
      <c r="G171">
        <f t="shared" si="27"/>
        <v>-0.46300000000000002</v>
      </c>
      <c r="H171">
        <f t="shared" si="28"/>
        <v>-805.62</v>
      </c>
      <c r="I171">
        <v>1</v>
      </c>
      <c r="J171">
        <f t="shared" si="29"/>
        <v>0.55388511322643752</v>
      </c>
      <c r="K171">
        <f t="shared" si="30"/>
        <v>-0.75872515177521738</v>
      </c>
      <c r="L171">
        <v>1</v>
      </c>
      <c r="M171">
        <f t="shared" si="31"/>
        <v>0.53299761058078088</v>
      </c>
      <c r="N171">
        <f t="shared" si="32"/>
        <v>0.14093999999999998</v>
      </c>
      <c r="O171">
        <f t="shared" si="33"/>
        <v>3.3146999999999996E-2</v>
      </c>
      <c r="P171">
        <f t="shared" si="34"/>
        <v>5.1640541194436521E-2</v>
      </c>
    </row>
    <row r="172" spans="1:16" x14ac:dyDescent="0.3">
      <c r="A172">
        <v>8.75</v>
      </c>
      <c r="B172">
        <v>0.46100000000000002</v>
      </c>
      <c r="C172">
        <f t="shared" si="25"/>
        <v>4.0337500000000004</v>
      </c>
      <c r="D172">
        <v>1.6199999999999999E-2</v>
      </c>
      <c r="E172">
        <v>3.81E-3</v>
      </c>
      <c r="F172">
        <f t="shared" si="26"/>
        <v>1750</v>
      </c>
      <c r="G172">
        <f t="shared" si="27"/>
        <v>-0.46100000000000002</v>
      </c>
      <c r="H172">
        <f t="shared" si="28"/>
        <v>-806.75000000000011</v>
      </c>
      <c r="I172">
        <v>1</v>
      </c>
      <c r="J172">
        <f t="shared" si="29"/>
        <v>0.55961578793542266</v>
      </c>
      <c r="K172">
        <f t="shared" si="30"/>
        <v>-0.76072515177521738</v>
      </c>
      <c r="L172">
        <v>1</v>
      </c>
      <c r="M172">
        <f t="shared" si="31"/>
        <v>0.53323451667325039</v>
      </c>
      <c r="N172">
        <f t="shared" si="32"/>
        <v>0.14174999999999999</v>
      </c>
      <c r="O172">
        <f t="shared" si="33"/>
        <v>3.3337499999999999E-2</v>
      </c>
      <c r="P172">
        <f t="shared" si="34"/>
        <v>5.2403135101967001E-2</v>
      </c>
    </row>
    <row r="173" spans="1:16" x14ac:dyDescent="0.3">
      <c r="A173">
        <v>8.8000000000000007</v>
      </c>
      <c r="B173">
        <v>0.45900000000000002</v>
      </c>
      <c r="C173">
        <f t="shared" si="25"/>
        <v>4.0392000000000001</v>
      </c>
      <c r="D173">
        <v>1.6199999999999999E-2</v>
      </c>
      <c r="E173">
        <v>3.81E-3</v>
      </c>
      <c r="F173">
        <f t="shared" si="26"/>
        <v>1760.0000000000002</v>
      </c>
      <c r="G173">
        <f t="shared" si="27"/>
        <v>-0.45900000000000002</v>
      </c>
      <c r="H173">
        <f t="shared" si="28"/>
        <v>-807.84</v>
      </c>
      <c r="I173">
        <v>1</v>
      </c>
      <c r="J173">
        <f t="shared" si="29"/>
        <v>0.56531380905006057</v>
      </c>
      <c r="K173">
        <f t="shared" si="30"/>
        <v>-0.76272515177521738</v>
      </c>
      <c r="L173">
        <v>1</v>
      </c>
      <c r="M173">
        <f t="shared" si="31"/>
        <v>0.53347007286612946</v>
      </c>
      <c r="N173">
        <f t="shared" si="32"/>
        <v>0.14255999999999999</v>
      </c>
      <c r="O173">
        <f t="shared" si="33"/>
        <v>3.3528000000000002E-2</v>
      </c>
      <c r="P173">
        <f t="shared" si="34"/>
        <v>5.3167078909087923E-2</v>
      </c>
    </row>
    <row r="174" spans="1:16" x14ac:dyDescent="0.3">
      <c r="A174">
        <v>8.85</v>
      </c>
      <c r="B174">
        <v>0.45600000000000002</v>
      </c>
      <c r="C174">
        <f t="shared" si="25"/>
        <v>4.0355999999999996</v>
      </c>
      <c r="D174">
        <v>1.6199999999999999E-2</v>
      </c>
      <c r="E174">
        <v>3.81E-3</v>
      </c>
      <c r="F174">
        <f t="shared" si="26"/>
        <v>1770</v>
      </c>
      <c r="G174">
        <f t="shared" si="27"/>
        <v>-0.45600000000000002</v>
      </c>
      <c r="H174">
        <f t="shared" si="28"/>
        <v>-807.11999999999989</v>
      </c>
      <c r="I174">
        <v>1</v>
      </c>
      <c r="J174">
        <f t="shared" si="29"/>
        <v>0.5709795465857378</v>
      </c>
      <c r="K174">
        <f t="shared" si="30"/>
        <v>-0.76572515177521749</v>
      </c>
      <c r="L174">
        <v>1</v>
      </c>
      <c r="M174">
        <f t="shared" si="31"/>
        <v>0.53370429445585443</v>
      </c>
      <c r="N174">
        <f t="shared" si="32"/>
        <v>0.14337</v>
      </c>
      <c r="O174">
        <f t="shared" si="33"/>
        <v>3.3718499999999998E-2</v>
      </c>
      <c r="P174">
        <f t="shared" si="34"/>
        <v>5.4932357319363065E-2</v>
      </c>
    </row>
    <row r="175" spans="1:16" x14ac:dyDescent="0.3">
      <c r="A175">
        <v>8.9</v>
      </c>
      <c r="B175">
        <v>0.45400000000000001</v>
      </c>
      <c r="C175">
        <f t="shared" si="25"/>
        <v>4.0406000000000004</v>
      </c>
      <c r="D175">
        <v>1.6199999999999999E-2</v>
      </c>
      <c r="E175">
        <v>3.81E-3</v>
      </c>
      <c r="F175">
        <f t="shared" si="26"/>
        <v>1780</v>
      </c>
      <c r="G175">
        <f t="shared" si="27"/>
        <v>-0.45400000000000001</v>
      </c>
      <c r="H175">
        <f t="shared" si="28"/>
        <v>-808.12000000000012</v>
      </c>
      <c r="I175">
        <v>1</v>
      </c>
      <c r="J175">
        <f t="shared" si="29"/>
        <v>0.57661336430399379</v>
      </c>
      <c r="K175">
        <f t="shared" si="30"/>
        <v>-0.7677251517752175</v>
      </c>
      <c r="L175">
        <v>1</v>
      </c>
      <c r="M175">
        <f t="shared" si="31"/>
        <v>0.53393719648032711</v>
      </c>
      <c r="N175">
        <f t="shared" si="32"/>
        <v>0.14418</v>
      </c>
      <c r="O175">
        <f t="shared" si="33"/>
        <v>3.3909000000000002E-2</v>
      </c>
      <c r="P175">
        <f t="shared" si="34"/>
        <v>5.5698955294890377E-2</v>
      </c>
    </row>
    <row r="176" spans="1:16" x14ac:dyDescent="0.3">
      <c r="A176">
        <v>8.9499999999999993</v>
      </c>
      <c r="B176">
        <v>0.45200000000000001</v>
      </c>
      <c r="C176">
        <f t="shared" si="25"/>
        <v>4.0453999999999999</v>
      </c>
      <c r="D176">
        <v>1.6199999999999999E-2</v>
      </c>
      <c r="E176">
        <v>3.81E-3</v>
      </c>
      <c r="F176">
        <f t="shared" si="26"/>
        <v>1789.9999999999998</v>
      </c>
      <c r="G176">
        <f t="shared" si="27"/>
        <v>-0.45200000000000001</v>
      </c>
      <c r="H176">
        <f t="shared" si="28"/>
        <v>-809.07999999999993</v>
      </c>
      <c r="I176">
        <v>1</v>
      </c>
      <c r="J176">
        <f t="shared" si="29"/>
        <v>0.58221561985266357</v>
      </c>
      <c r="K176">
        <f t="shared" si="30"/>
        <v>-0.7697251517752175</v>
      </c>
      <c r="L176">
        <v>1</v>
      </c>
      <c r="M176">
        <f t="shared" si="31"/>
        <v>0.53416879372470916</v>
      </c>
      <c r="N176">
        <f t="shared" si="32"/>
        <v>0.14498999999999998</v>
      </c>
      <c r="O176">
        <f t="shared" si="33"/>
        <v>3.4099499999999998E-2</v>
      </c>
      <c r="P176">
        <f t="shared" si="34"/>
        <v>5.6466858050508363E-2</v>
      </c>
    </row>
    <row r="177" spans="1:16" x14ac:dyDescent="0.3">
      <c r="A177">
        <v>9</v>
      </c>
      <c r="B177">
        <v>0.45</v>
      </c>
      <c r="C177">
        <f t="shared" si="25"/>
        <v>4.05</v>
      </c>
      <c r="D177">
        <v>1.6199999999999999E-2</v>
      </c>
      <c r="E177">
        <v>3.81E-3</v>
      </c>
      <c r="F177">
        <f t="shared" si="26"/>
        <v>1800</v>
      </c>
      <c r="G177">
        <f t="shared" si="27"/>
        <v>-0.45</v>
      </c>
      <c r="H177">
        <f t="shared" si="28"/>
        <v>-810</v>
      </c>
      <c r="I177">
        <v>1</v>
      </c>
      <c r="J177">
        <f t="shared" si="29"/>
        <v>0.58778666490211906</v>
      </c>
      <c r="K177">
        <f t="shared" si="30"/>
        <v>-0.7717251517752175</v>
      </c>
      <c r="L177">
        <v>1</v>
      </c>
      <c r="M177">
        <f t="shared" si="31"/>
        <v>0.53439910072705366</v>
      </c>
      <c r="N177">
        <f t="shared" si="32"/>
        <v>0.14579999999999999</v>
      </c>
      <c r="O177">
        <f t="shared" si="33"/>
        <v>3.4290000000000001E-2</v>
      </c>
      <c r="P177">
        <f t="shared" si="34"/>
        <v>5.7236051048163858E-2</v>
      </c>
    </row>
    <row r="178" spans="1:16" x14ac:dyDescent="0.3">
      <c r="A178">
        <v>9.0500000000000007</v>
      </c>
      <c r="B178">
        <v>0.44800000000000001</v>
      </c>
      <c r="C178">
        <f t="shared" si="25"/>
        <v>4.0544000000000002</v>
      </c>
      <c r="D178">
        <v>1.6199999999999999E-2</v>
      </c>
      <c r="E178">
        <v>3.81E-3</v>
      </c>
      <c r="F178">
        <f t="shared" si="26"/>
        <v>1810.0000000000002</v>
      </c>
      <c r="G178">
        <f t="shared" si="27"/>
        <v>-0.44800000000000001</v>
      </c>
      <c r="H178">
        <f t="shared" si="28"/>
        <v>-810.88</v>
      </c>
      <c r="I178">
        <v>1</v>
      </c>
      <c r="J178">
        <f t="shared" si="29"/>
        <v>0.59332684527773449</v>
      </c>
      <c r="K178">
        <f t="shared" si="30"/>
        <v>-0.7737251517752175</v>
      </c>
      <c r="L178">
        <v>1</v>
      </c>
      <c r="M178">
        <f t="shared" si="31"/>
        <v>0.53462813178378155</v>
      </c>
      <c r="N178">
        <f t="shared" si="32"/>
        <v>0.14660999999999999</v>
      </c>
      <c r="O178">
        <f t="shared" si="33"/>
        <v>3.4480500000000004E-2</v>
      </c>
      <c r="P178">
        <f t="shared" si="34"/>
        <v>5.8006519991435961E-2</v>
      </c>
    </row>
    <row r="179" spans="1:16" x14ac:dyDescent="0.3">
      <c r="A179">
        <v>9.1</v>
      </c>
      <c r="B179">
        <v>0.44600000000000001</v>
      </c>
      <c r="C179">
        <f t="shared" si="25"/>
        <v>4.0586000000000002</v>
      </c>
      <c r="D179">
        <v>1.6199999999999999E-2</v>
      </c>
      <c r="E179">
        <v>3.81E-3</v>
      </c>
      <c r="F179">
        <f t="shared" si="26"/>
        <v>1820</v>
      </c>
      <c r="G179">
        <f t="shared" si="27"/>
        <v>-0.44600000000000001</v>
      </c>
      <c r="H179">
        <f t="shared" si="28"/>
        <v>-811.72</v>
      </c>
      <c r="I179">
        <v>1</v>
      </c>
      <c r="J179">
        <f t="shared" si="29"/>
        <v>0.59883650108870401</v>
      </c>
      <c r="K179">
        <f t="shared" si="30"/>
        <v>-0.7757251517752175</v>
      </c>
      <c r="L179">
        <v>1</v>
      </c>
      <c r="M179">
        <f t="shared" si="31"/>
        <v>0.53485590095500701</v>
      </c>
      <c r="N179">
        <f t="shared" si="32"/>
        <v>0.14742</v>
      </c>
      <c r="O179">
        <f t="shared" si="33"/>
        <v>3.4671E-2</v>
      </c>
      <c r="P179">
        <f t="shared" si="34"/>
        <v>5.8778250820210494E-2</v>
      </c>
    </row>
    <row r="180" spans="1:16" x14ac:dyDescent="0.3">
      <c r="A180">
        <v>9.15</v>
      </c>
      <c r="B180">
        <v>0.44400000000000001</v>
      </c>
      <c r="C180">
        <f t="shared" si="25"/>
        <v>4.0625999999999998</v>
      </c>
      <c r="D180">
        <v>1.6199999999999999E-2</v>
      </c>
      <c r="E180">
        <v>3.81E-3</v>
      </c>
      <c r="F180">
        <f t="shared" si="26"/>
        <v>1830</v>
      </c>
      <c r="G180">
        <f t="shared" si="27"/>
        <v>-0.44400000000000001</v>
      </c>
      <c r="H180">
        <f t="shared" si="28"/>
        <v>-812.52</v>
      </c>
      <c r="I180">
        <v>1</v>
      </c>
      <c r="J180">
        <f t="shared" si="29"/>
        <v>0.60431596685332956</v>
      </c>
      <c r="K180">
        <f t="shared" si="30"/>
        <v>-0.7777251517752175</v>
      </c>
      <c r="L180">
        <v>1</v>
      </c>
      <c r="M180">
        <f t="shared" si="31"/>
        <v>0.53508242206971668</v>
      </c>
      <c r="N180">
        <f t="shared" si="32"/>
        <v>0.14823</v>
      </c>
      <c r="O180">
        <f t="shared" si="33"/>
        <v>3.4861500000000004E-2</v>
      </c>
      <c r="P180">
        <f t="shared" si="34"/>
        <v>5.9551229705500822E-2</v>
      </c>
    </row>
    <row r="181" spans="1:16" x14ac:dyDescent="0.3">
      <c r="A181">
        <v>9.1999999999999993</v>
      </c>
      <c r="B181">
        <v>0.441</v>
      </c>
      <c r="C181">
        <f t="shared" si="25"/>
        <v>4.0571999999999999</v>
      </c>
      <c r="D181">
        <v>1.6199999999999999E-2</v>
      </c>
      <c r="E181">
        <v>3.81E-3</v>
      </c>
      <c r="F181">
        <f t="shared" si="26"/>
        <v>1839.9999999999998</v>
      </c>
      <c r="G181">
        <f t="shared" si="27"/>
        <v>-0.441</v>
      </c>
      <c r="H181">
        <f t="shared" si="28"/>
        <v>-811.43999999999994</v>
      </c>
      <c r="I181">
        <v>1</v>
      </c>
      <c r="J181">
        <f t="shared" si="29"/>
        <v>0.60976557162089418</v>
      </c>
      <c r="K181">
        <f t="shared" si="30"/>
        <v>-0.7807251517752174</v>
      </c>
      <c r="L181">
        <v>1</v>
      </c>
      <c r="M181">
        <f t="shared" si="31"/>
        <v>0.5353077087308078</v>
      </c>
      <c r="N181">
        <f t="shared" si="32"/>
        <v>0.14903999999999998</v>
      </c>
      <c r="O181">
        <f t="shared" si="33"/>
        <v>3.5052E-2</v>
      </c>
      <c r="P181">
        <f t="shared" si="34"/>
        <v>6.1325443044409622E-2</v>
      </c>
    </row>
    <row r="182" spans="1:16" x14ac:dyDescent="0.3">
      <c r="A182">
        <v>9.25</v>
      </c>
      <c r="B182">
        <v>0.44</v>
      </c>
      <c r="C182">
        <f t="shared" si="25"/>
        <v>4.07</v>
      </c>
      <c r="D182">
        <v>1.6199999999999999E-2</v>
      </c>
      <c r="E182">
        <v>3.81E-3</v>
      </c>
      <c r="F182">
        <f t="shared" si="26"/>
        <v>1850</v>
      </c>
      <c r="G182">
        <f t="shared" si="27"/>
        <v>-0.44</v>
      </c>
      <c r="H182">
        <f t="shared" si="28"/>
        <v>-814</v>
      </c>
      <c r="I182">
        <v>1</v>
      </c>
      <c r="J182">
        <f t="shared" si="29"/>
        <v>0.61518563909023349</v>
      </c>
      <c r="K182">
        <f t="shared" si="30"/>
        <v>-0.78172515177521751</v>
      </c>
      <c r="L182">
        <v>1</v>
      </c>
      <c r="M182">
        <f t="shared" si="31"/>
        <v>0.53553177431999022</v>
      </c>
      <c r="N182">
        <f t="shared" si="32"/>
        <v>0.14984999999999998</v>
      </c>
      <c r="O182">
        <f t="shared" si="33"/>
        <v>3.5242500000000003E-2</v>
      </c>
      <c r="P182">
        <f t="shared" si="34"/>
        <v>6.1100877455227305E-2</v>
      </c>
    </row>
    <row r="183" spans="1:16" x14ac:dyDescent="0.3">
      <c r="A183">
        <v>9.3000000000000007</v>
      </c>
      <c r="B183">
        <v>0.437</v>
      </c>
      <c r="C183">
        <f t="shared" si="25"/>
        <v>4.0641000000000007</v>
      </c>
      <c r="D183">
        <v>1.6199999999999999E-2</v>
      </c>
      <c r="E183">
        <v>3.81E-3</v>
      </c>
      <c r="F183">
        <f t="shared" si="26"/>
        <v>1860.0000000000002</v>
      </c>
      <c r="G183">
        <f t="shared" si="27"/>
        <v>-0.437</v>
      </c>
      <c r="H183">
        <f t="shared" si="28"/>
        <v>-812.82000000000016</v>
      </c>
      <c r="I183">
        <v>1</v>
      </c>
      <c r="J183">
        <f t="shared" si="29"/>
        <v>0.62057648772511009</v>
      </c>
      <c r="K183">
        <f t="shared" si="30"/>
        <v>-0.7847251517752174</v>
      </c>
      <c r="L183">
        <v>1</v>
      </c>
      <c r="M183">
        <f t="shared" si="31"/>
        <v>0.53575463200255602</v>
      </c>
      <c r="N183">
        <f t="shared" si="32"/>
        <v>0.15066000000000002</v>
      </c>
      <c r="O183">
        <f t="shared" si="33"/>
        <v>3.5433000000000006E-2</v>
      </c>
      <c r="P183">
        <f t="shared" si="34"/>
        <v>6.2877519772661358E-2</v>
      </c>
    </row>
    <row r="184" spans="1:16" x14ac:dyDescent="0.3">
      <c r="A184">
        <v>9.35</v>
      </c>
      <c r="B184">
        <v>0.435</v>
      </c>
      <c r="C184">
        <f t="shared" si="25"/>
        <v>4.0672499999999996</v>
      </c>
      <c r="D184">
        <v>1.6199999999999999E-2</v>
      </c>
      <c r="E184">
        <v>3.81E-3</v>
      </c>
      <c r="F184">
        <f t="shared" si="26"/>
        <v>1870</v>
      </c>
      <c r="G184">
        <f t="shared" si="27"/>
        <v>-0.435</v>
      </c>
      <c r="H184">
        <f t="shared" si="28"/>
        <v>-813.44999999999993</v>
      </c>
      <c r="I184">
        <v>1</v>
      </c>
      <c r="J184">
        <f t="shared" si="29"/>
        <v>0.62593843086649537</v>
      </c>
      <c r="K184">
        <f t="shared" si="30"/>
        <v>-0.7867251517752174</v>
      </c>
      <c r="L184">
        <v>1</v>
      </c>
      <c r="M184">
        <f t="shared" si="31"/>
        <v>0.53597629473202091</v>
      </c>
      <c r="N184">
        <f t="shared" si="32"/>
        <v>0.15146999999999999</v>
      </c>
      <c r="O184">
        <f t="shared" si="33"/>
        <v>3.5623499999999995E-2</v>
      </c>
      <c r="P184">
        <f t="shared" si="34"/>
        <v>6.3655357043196498E-2</v>
      </c>
    </row>
    <row r="185" spans="1:16" x14ac:dyDescent="0.3">
      <c r="A185">
        <v>9.4</v>
      </c>
      <c r="B185">
        <v>0.434</v>
      </c>
      <c r="C185">
        <f t="shared" si="25"/>
        <v>4.0796000000000001</v>
      </c>
      <c r="D185">
        <v>1.6199999999999999E-2</v>
      </c>
      <c r="E185">
        <v>3.81E-3</v>
      </c>
      <c r="F185">
        <f t="shared" si="26"/>
        <v>1880</v>
      </c>
      <c r="G185">
        <f t="shared" si="27"/>
        <v>-0.434</v>
      </c>
      <c r="H185">
        <f t="shared" si="28"/>
        <v>-815.92000000000007</v>
      </c>
      <c r="I185">
        <v>1</v>
      </c>
      <c r="J185">
        <f t="shared" si="29"/>
        <v>0.63127177684185776</v>
      </c>
      <c r="K185">
        <f t="shared" si="30"/>
        <v>-0.78772515177521751</v>
      </c>
      <c r="L185">
        <v>1</v>
      </c>
      <c r="M185">
        <f t="shared" si="31"/>
        <v>0.53619677525464238</v>
      </c>
      <c r="N185">
        <f t="shared" si="32"/>
        <v>0.15228</v>
      </c>
      <c r="O185">
        <f t="shared" si="33"/>
        <v>3.5813999999999999E-2</v>
      </c>
      <c r="P185">
        <f t="shared" si="34"/>
        <v>6.3434376520575139E-2</v>
      </c>
    </row>
    <row r="186" spans="1:16" x14ac:dyDescent="0.3">
      <c r="A186">
        <v>9.4499999999999993</v>
      </c>
      <c r="B186">
        <v>0.432</v>
      </c>
      <c r="C186">
        <f t="shared" si="25"/>
        <v>4.0823999999999998</v>
      </c>
      <c r="D186">
        <v>1.6199999999999999E-2</v>
      </c>
      <c r="E186">
        <v>3.81E-3</v>
      </c>
      <c r="F186">
        <f t="shared" si="26"/>
        <v>1889.9999999999998</v>
      </c>
      <c r="G186">
        <f t="shared" si="27"/>
        <v>-0.432</v>
      </c>
      <c r="H186">
        <f t="shared" si="28"/>
        <v>-816.48</v>
      </c>
      <c r="I186">
        <v>1</v>
      </c>
      <c r="J186">
        <f t="shared" si="29"/>
        <v>0.63657682907155089</v>
      </c>
      <c r="K186">
        <f t="shared" si="30"/>
        <v>-0.78972515177521752</v>
      </c>
      <c r="L186">
        <v>1</v>
      </c>
      <c r="M186">
        <f t="shared" si="31"/>
        <v>0.53641608611381786</v>
      </c>
      <c r="N186">
        <f t="shared" si="32"/>
        <v>0.15308999999999998</v>
      </c>
      <c r="O186">
        <f t="shared" si="33"/>
        <v>3.6004499999999995E-2</v>
      </c>
      <c r="P186">
        <f t="shared" si="34"/>
        <v>6.4214565661399686E-2</v>
      </c>
    </row>
    <row r="187" spans="1:16" x14ac:dyDescent="0.3">
      <c r="A187">
        <v>9.4</v>
      </c>
      <c r="B187">
        <v>0.433</v>
      </c>
      <c r="C187">
        <f t="shared" si="25"/>
        <v>4.0701999999999998</v>
      </c>
      <c r="D187">
        <v>1.6199999999999999E-2</v>
      </c>
      <c r="E187">
        <v>3.81E-3</v>
      </c>
      <c r="F187">
        <f t="shared" si="26"/>
        <v>1880</v>
      </c>
      <c r="G187">
        <f t="shared" si="27"/>
        <v>-0.433</v>
      </c>
      <c r="H187">
        <f t="shared" si="28"/>
        <v>-814.04</v>
      </c>
      <c r="I187">
        <v>1</v>
      </c>
      <c r="J187">
        <f t="shared" si="29"/>
        <v>0.63127177684185776</v>
      </c>
      <c r="K187">
        <f t="shared" si="30"/>
        <v>-0.7887251517752174</v>
      </c>
      <c r="L187">
        <v>1</v>
      </c>
      <c r="M187">
        <f t="shared" si="31"/>
        <v>0.53619677525464238</v>
      </c>
      <c r="N187">
        <f t="shared" si="32"/>
        <v>0.15228</v>
      </c>
      <c r="O187">
        <f t="shared" si="33"/>
        <v>3.5813999999999999E-2</v>
      </c>
      <c r="P187">
        <f t="shared" si="34"/>
        <v>6.4434376520575029E-2</v>
      </c>
    </row>
    <row r="188" spans="1:16" x14ac:dyDescent="0.3">
      <c r="A188">
        <v>9.35</v>
      </c>
      <c r="B188">
        <v>0.434</v>
      </c>
      <c r="C188">
        <f t="shared" si="25"/>
        <v>4.0579000000000001</v>
      </c>
      <c r="D188">
        <v>1.6199999999999999E-2</v>
      </c>
      <c r="E188">
        <v>3.81E-3</v>
      </c>
      <c r="F188">
        <f t="shared" si="26"/>
        <v>1870</v>
      </c>
      <c r="G188">
        <f t="shared" si="27"/>
        <v>-0.434</v>
      </c>
      <c r="H188">
        <f t="shared" si="28"/>
        <v>-811.58</v>
      </c>
      <c r="I188">
        <v>1</v>
      </c>
      <c r="J188">
        <f t="shared" si="29"/>
        <v>0.62593843086649537</v>
      </c>
      <c r="K188">
        <f t="shared" si="30"/>
        <v>-0.78772515177521751</v>
      </c>
      <c r="L188">
        <v>1</v>
      </c>
      <c r="M188">
        <f t="shared" si="31"/>
        <v>0.53597629473202091</v>
      </c>
      <c r="N188">
        <f t="shared" si="32"/>
        <v>0.15146999999999999</v>
      </c>
      <c r="O188">
        <f t="shared" si="33"/>
        <v>3.5623499999999995E-2</v>
      </c>
      <c r="P188">
        <f t="shared" si="34"/>
        <v>6.465535704319661E-2</v>
      </c>
    </row>
    <row r="189" spans="1:16" x14ac:dyDescent="0.3">
      <c r="A189">
        <v>9.4</v>
      </c>
      <c r="B189">
        <v>0.433</v>
      </c>
      <c r="C189">
        <f t="shared" si="25"/>
        <v>4.0701999999999998</v>
      </c>
      <c r="D189">
        <v>1.6199999999999999E-2</v>
      </c>
      <c r="E189">
        <v>3.81E-3</v>
      </c>
      <c r="F189">
        <f t="shared" si="26"/>
        <v>1880</v>
      </c>
      <c r="G189">
        <f t="shared" si="27"/>
        <v>-0.433</v>
      </c>
      <c r="H189">
        <f t="shared" si="28"/>
        <v>-814.04</v>
      </c>
      <c r="I189">
        <v>1</v>
      </c>
      <c r="J189">
        <f t="shared" si="29"/>
        <v>0.63127177684185776</v>
      </c>
      <c r="K189">
        <f t="shared" si="30"/>
        <v>-0.7887251517752174</v>
      </c>
      <c r="L189">
        <v>1</v>
      </c>
      <c r="M189">
        <f t="shared" si="31"/>
        <v>0.53619677525464238</v>
      </c>
      <c r="N189">
        <f t="shared" si="32"/>
        <v>0.15228</v>
      </c>
      <c r="O189">
        <f t="shared" si="33"/>
        <v>3.5813999999999999E-2</v>
      </c>
      <c r="P189">
        <f t="shared" si="34"/>
        <v>6.4434376520575029E-2</v>
      </c>
    </row>
    <row r="190" spans="1:16" x14ac:dyDescent="0.3">
      <c r="A190">
        <v>9.4499999999999993</v>
      </c>
      <c r="B190">
        <v>0.43099999999999999</v>
      </c>
      <c r="C190">
        <f t="shared" si="25"/>
        <v>4.0729499999999996</v>
      </c>
      <c r="D190">
        <v>1.6199999999999999E-2</v>
      </c>
      <c r="E190">
        <v>3.81E-3</v>
      </c>
      <c r="F190">
        <f t="shared" si="26"/>
        <v>1889.9999999999998</v>
      </c>
      <c r="G190">
        <f t="shared" si="27"/>
        <v>-0.43099999999999999</v>
      </c>
      <c r="H190">
        <f t="shared" si="28"/>
        <v>-814.58999999999992</v>
      </c>
      <c r="I190">
        <v>1</v>
      </c>
      <c r="J190">
        <f t="shared" si="29"/>
        <v>0.63657682907155089</v>
      </c>
      <c r="K190">
        <f t="shared" si="30"/>
        <v>-0.79072515177521741</v>
      </c>
      <c r="L190">
        <v>1</v>
      </c>
      <c r="M190">
        <f t="shared" si="31"/>
        <v>0.53641608611381786</v>
      </c>
      <c r="N190">
        <f t="shared" si="32"/>
        <v>0.15308999999999998</v>
      </c>
      <c r="O190">
        <f t="shared" si="33"/>
        <v>3.6004499999999995E-2</v>
      </c>
      <c r="P190">
        <f t="shared" si="34"/>
        <v>6.5214565661399576E-2</v>
      </c>
    </row>
    <row r="191" spans="1:16" x14ac:dyDescent="0.3">
      <c r="A191">
        <v>9.5</v>
      </c>
      <c r="B191">
        <v>0.42899999999999999</v>
      </c>
      <c r="C191">
        <f t="shared" si="25"/>
        <v>4.0754999999999999</v>
      </c>
      <c r="D191">
        <v>1.6199999999999999E-2</v>
      </c>
      <c r="E191">
        <v>3.81E-3</v>
      </c>
      <c r="F191">
        <f t="shared" si="26"/>
        <v>1900</v>
      </c>
      <c r="G191">
        <f t="shared" si="27"/>
        <v>-0.42899999999999999</v>
      </c>
      <c r="H191">
        <f t="shared" si="28"/>
        <v>-815.1</v>
      </c>
      <c r="I191">
        <v>1</v>
      </c>
      <c r="J191">
        <f t="shared" si="29"/>
        <v>0.64185388617239469</v>
      </c>
      <c r="K191">
        <f t="shared" si="30"/>
        <v>-0.79272515177521741</v>
      </c>
      <c r="L191">
        <v>1</v>
      </c>
      <c r="M191">
        <f t="shared" si="31"/>
        <v>0.53663423965436685</v>
      </c>
      <c r="N191">
        <f t="shared" si="32"/>
        <v>0.15389999999999998</v>
      </c>
      <c r="O191">
        <f t="shared" si="33"/>
        <v>3.6194999999999998E-2</v>
      </c>
      <c r="P191">
        <f t="shared" si="34"/>
        <v>6.5995912120850569E-2</v>
      </c>
    </row>
    <row r="192" spans="1:16" x14ac:dyDescent="0.3">
      <c r="A192">
        <v>9.5500000000000007</v>
      </c>
      <c r="B192">
        <v>0.42699999999999999</v>
      </c>
      <c r="C192">
        <f t="shared" si="25"/>
        <v>4.0778500000000006</v>
      </c>
      <c r="D192">
        <v>1.6199999999999999E-2</v>
      </c>
      <c r="E192">
        <v>3.81E-3</v>
      </c>
      <c r="F192">
        <f t="shared" si="26"/>
        <v>1910.0000000000002</v>
      </c>
      <c r="G192">
        <f t="shared" si="27"/>
        <v>-0.42699999999999999</v>
      </c>
      <c r="H192">
        <f t="shared" si="28"/>
        <v>-815.57000000000016</v>
      </c>
      <c r="I192">
        <v>1</v>
      </c>
      <c r="J192">
        <f t="shared" si="29"/>
        <v>0.64710324205853853</v>
      </c>
      <c r="K192">
        <f t="shared" si="30"/>
        <v>-0.79472515177521741</v>
      </c>
      <c r="L192">
        <v>1</v>
      </c>
      <c r="M192">
        <f t="shared" si="31"/>
        <v>0.53685124802670003</v>
      </c>
      <c r="N192">
        <f t="shared" si="32"/>
        <v>0.15471000000000001</v>
      </c>
      <c r="O192">
        <f t="shared" si="33"/>
        <v>3.6385500000000001E-2</v>
      </c>
      <c r="P192">
        <f t="shared" si="34"/>
        <v>6.6778403748517359E-2</v>
      </c>
    </row>
    <row r="193" spans="1:16" x14ac:dyDescent="0.3">
      <c r="A193">
        <v>9.6</v>
      </c>
      <c r="B193">
        <v>0.42499999999999999</v>
      </c>
      <c r="C193">
        <f t="shared" si="25"/>
        <v>4.08</v>
      </c>
      <c r="D193">
        <v>1.6199999999999999E-2</v>
      </c>
      <c r="E193">
        <v>3.81E-3</v>
      </c>
      <c r="F193">
        <f t="shared" si="26"/>
        <v>1920</v>
      </c>
      <c r="G193">
        <f t="shared" si="27"/>
        <v>-0.42499999999999999</v>
      </c>
      <c r="H193">
        <f t="shared" si="28"/>
        <v>-816</v>
      </c>
      <c r="I193">
        <v>1</v>
      </c>
      <c r="J193">
        <f t="shared" si="29"/>
        <v>0.65232518603969014</v>
      </c>
      <c r="K193">
        <f t="shared" si="30"/>
        <v>-0.79672515177521741</v>
      </c>
      <c r="L193">
        <v>1</v>
      </c>
      <c r="M193">
        <f t="shared" si="31"/>
        <v>0.53706712319088079</v>
      </c>
      <c r="N193">
        <f t="shared" si="32"/>
        <v>0.15551999999999999</v>
      </c>
      <c r="O193">
        <f t="shared" si="33"/>
        <v>3.6575999999999997E-2</v>
      </c>
      <c r="P193">
        <f t="shared" si="34"/>
        <v>6.7562028584336631E-2</v>
      </c>
    </row>
    <row r="194" spans="1:16" x14ac:dyDescent="0.3">
      <c r="A194">
        <v>9.65</v>
      </c>
      <c r="B194">
        <v>0.42299999999999999</v>
      </c>
      <c r="C194">
        <f t="shared" si="25"/>
        <v>4.08195</v>
      </c>
      <c r="D194">
        <v>1.6199999999999999E-2</v>
      </c>
      <c r="E194">
        <v>3.81E-3</v>
      </c>
      <c r="F194">
        <f t="shared" si="26"/>
        <v>1930</v>
      </c>
      <c r="G194">
        <f t="shared" si="27"/>
        <v>-0.42299999999999999</v>
      </c>
      <c r="H194">
        <f t="shared" si="28"/>
        <v>-816.39</v>
      </c>
      <c r="I194">
        <v>1</v>
      </c>
      <c r="J194">
        <f t="shared" si="29"/>
        <v>0.65752000291679413</v>
      </c>
      <c r="K194">
        <f t="shared" si="30"/>
        <v>-0.79872515177521741</v>
      </c>
      <c r="L194">
        <v>1</v>
      </c>
      <c r="M194">
        <f t="shared" si="31"/>
        <v>0.53728187692058027</v>
      </c>
      <c r="N194">
        <f t="shared" si="32"/>
        <v>0.15633</v>
      </c>
      <c r="O194">
        <f t="shared" si="33"/>
        <v>3.6766500000000001E-2</v>
      </c>
      <c r="P194">
        <f t="shared" si="34"/>
        <v>6.8346774854637138E-2</v>
      </c>
    </row>
    <row r="195" spans="1:16" x14ac:dyDescent="0.3">
      <c r="A195">
        <v>9.6999999999999993</v>
      </c>
      <c r="B195">
        <v>0.42099999999999999</v>
      </c>
      <c r="C195">
        <f t="shared" si="25"/>
        <v>4.0836999999999994</v>
      </c>
      <c r="D195">
        <v>1.6199999999999999E-2</v>
      </c>
      <c r="E195">
        <v>3.81E-3</v>
      </c>
      <c r="F195">
        <f t="shared" si="26"/>
        <v>1939.9999999999998</v>
      </c>
      <c r="G195">
        <f t="shared" si="27"/>
        <v>-0.42099999999999999</v>
      </c>
      <c r="H195">
        <f t="shared" si="28"/>
        <v>-816.7399999999999</v>
      </c>
      <c r="I195">
        <v>1</v>
      </c>
      <c r="J195">
        <f t="shared" si="29"/>
        <v>0.66268797307523664</v>
      </c>
      <c r="K195">
        <f t="shared" si="30"/>
        <v>-0.80072515177521741</v>
      </c>
      <c r="L195">
        <v>1</v>
      </c>
      <c r="M195">
        <f t="shared" si="31"/>
        <v>0.5374955208069303</v>
      </c>
      <c r="N195">
        <f t="shared" si="32"/>
        <v>0.15713999999999997</v>
      </c>
      <c r="O195">
        <f t="shared" si="33"/>
        <v>3.6956999999999997E-2</v>
      </c>
      <c r="P195">
        <f t="shared" si="34"/>
        <v>6.9132630968287145E-2</v>
      </c>
    </row>
    <row r="196" spans="1:16" x14ac:dyDescent="0.3">
      <c r="A196">
        <v>9.8000000000000007</v>
      </c>
      <c r="B196">
        <v>0.41899999999999998</v>
      </c>
      <c r="C196">
        <f t="shared" ref="C196:C259" si="36">A196*B196</f>
        <v>4.1062000000000003</v>
      </c>
      <c r="D196">
        <v>1.6199999999999999E-2</v>
      </c>
      <c r="E196">
        <v>3.81E-3</v>
      </c>
      <c r="F196">
        <f t="shared" ref="F196:F259" si="37">A196*200</f>
        <v>1960.0000000000002</v>
      </c>
      <c r="G196">
        <f t="shared" ref="G196:G259" si="38">-B196</f>
        <v>-0.41899999999999998</v>
      </c>
      <c r="H196">
        <f t="shared" ref="H196:H259" si="39">-C196*200</f>
        <v>-821.24</v>
      </c>
      <c r="I196">
        <v>1</v>
      </c>
      <c r="J196">
        <f t="shared" ref="J196:J259" si="40">LN(F196/1000)</f>
        <v>0.67294447324242601</v>
      </c>
      <c r="K196">
        <f t="shared" ref="K196:K259" si="41">((-G196)-$N$2)</f>
        <v>-0.80272515177521742</v>
      </c>
      <c r="L196">
        <v>1</v>
      </c>
      <c r="M196">
        <f t="shared" ref="M196:M259" si="42">-1*($S$4+($S$5*J196))</f>
        <v>0.53791952452384184</v>
      </c>
      <c r="N196">
        <f t="shared" ref="N196:N259" si="43">D196*A196</f>
        <v>0.15876000000000001</v>
      </c>
      <c r="O196">
        <f t="shared" ref="O196:O259" si="44">E196*A196</f>
        <v>3.7338000000000003E-2</v>
      </c>
      <c r="P196">
        <f t="shared" ref="P196:P259" si="45">-K196-M196-N196-O196</f>
        <v>6.8707627251375553E-2</v>
      </c>
    </row>
    <row r="197" spans="1:16" x14ac:dyDescent="0.3">
      <c r="A197">
        <v>9.85</v>
      </c>
      <c r="B197">
        <v>0.41599999999999998</v>
      </c>
      <c r="C197">
        <f t="shared" si="36"/>
        <v>4.0975999999999999</v>
      </c>
      <c r="D197">
        <v>1.6199999999999999E-2</v>
      </c>
      <c r="E197">
        <v>3.81E-3</v>
      </c>
      <c r="F197">
        <f t="shared" si="37"/>
        <v>1970</v>
      </c>
      <c r="G197">
        <f t="shared" si="38"/>
        <v>-0.41599999999999998</v>
      </c>
      <c r="H197">
        <f t="shared" si="39"/>
        <v>-819.52</v>
      </c>
      <c r="I197">
        <v>1</v>
      </c>
      <c r="J197">
        <f t="shared" si="40"/>
        <v>0.67803354274989713</v>
      </c>
      <c r="K197">
        <f t="shared" si="41"/>
        <v>-0.80572515177521753</v>
      </c>
      <c r="L197">
        <v>1</v>
      </c>
      <c r="M197">
        <f t="shared" si="42"/>
        <v>0.53812990665728078</v>
      </c>
      <c r="N197">
        <f t="shared" si="43"/>
        <v>0.15956999999999999</v>
      </c>
      <c r="O197">
        <f t="shared" si="44"/>
        <v>3.7528499999999999E-2</v>
      </c>
      <c r="P197">
        <f t="shared" si="45"/>
        <v>7.0496745117936771E-2</v>
      </c>
    </row>
    <row r="198" spans="1:16" x14ac:dyDescent="0.3">
      <c r="A198">
        <v>9.9</v>
      </c>
      <c r="B198">
        <v>0.41399999999999998</v>
      </c>
      <c r="C198">
        <f t="shared" si="36"/>
        <v>4.0986000000000002</v>
      </c>
      <c r="D198">
        <v>1.6199999999999999E-2</v>
      </c>
      <c r="E198">
        <v>3.81E-3</v>
      </c>
      <c r="F198">
        <f t="shared" si="37"/>
        <v>1980</v>
      </c>
      <c r="G198">
        <f t="shared" si="38"/>
        <v>-0.41399999999999998</v>
      </c>
      <c r="H198">
        <f t="shared" si="39"/>
        <v>-819.72</v>
      </c>
      <c r="I198">
        <v>1</v>
      </c>
      <c r="J198">
        <f t="shared" si="40"/>
        <v>0.68309684470644383</v>
      </c>
      <c r="K198">
        <f t="shared" si="41"/>
        <v>-0.80772515177521753</v>
      </c>
      <c r="L198">
        <v>1</v>
      </c>
      <c r="M198">
        <f t="shared" si="42"/>
        <v>0.53833922356016439</v>
      </c>
      <c r="N198">
        <f t="shared" si="43"/>
        <v>0.16037999999999999</v>
      </c>
      <c r="O198">
        <f t="shared" si="44"/>
        <v>3.7719000000000003E-2</v>
      </c>
      <c r="P198">
        <f t="shared" si="45"/>
        <v>7.1286928215053141E-2</v>
      </c>
    </row>
    <row r="199" spans="1:16" x14ac:dyDescent="0.3">
      <c r="A199">
        <v>9.9499999999999993</v>
      </c>
      <c r="B199">
        <v>0.41199999999999998</v>
      </c>
      <c r="C199">
        <f t="shared" si="36"/>
        <v>4.0993999999999993</v>
      </c>
      <c r="D199">
        <v>1.6199999999999999E-2</v>
      </c>
      <c r="E199">
        <v>3.81E-3</v>
      </c>
      <c r="F199">
        <f t="shared" si="37"/>
        <v>1989.9999999999998</v>
      </c>
      <c r="G199">
        <f t="shared" si="38"/>
        <v>-0.41199999999999998</v>
      </c>
      <c r="H199">
        <f t="shared" si="39"/>
        <v>-819.87999999999988</v>
      </c>
      <c r="I199">
        <v>1</v>
      </c>
      <c r="J199">
        <f t="shared" si="40"/>
        <v>0.68813463873640091</v>
      </c>
      <c r="K199">
        <f t="shared" si="41"/>
        <v>-0.80972515177521753</v>
      </c>
      <c r="L199">
        <v>1</v>
      </c>
      <c r="M199">
        <f t="shared" si="42"/>
        <v>0.53854748596536284</v>
      </c>
      <c r="N199">
        <f t="shared" si="43"/>
        <v>0.16118999999999997</v>
      </c>
      <c r="O199">
        <f t="shared" si="44"/>
        <v>3.7909499999999999E-2</v>
      </c>
      <c r="P199">
        <f t="shared" si="45"/>
        <v>7.2078165809854725E-2</v>
      </c>
    </row>
    <row r="200" spans="1:16" x14ac:dyDescent="0.3">
      <c r="A200">
        <v>10</v>
      </c>
      <c r="B200">
        <v>0.41</v>
      </c>
      <c r="C200">
        <f t="shared" si="36"/>
        <v>4.0999999999999996</v>
      </c>
      <c r="D200">
        <v>1.6199999999999999E-2</v>
      </c>
      <c r="E200">
        <v>3.81E-3</v>
      </c>
      <c r="F200">
        <f t="shared" si="37"/>
        <v>2000</v>
      </c>
      <c r="G200">
        <f t="shared" si="38"/>
        <v>-0.41</v>
      </c>
      <c r="H200">
        <f t="shared" si="39"/>
        <v>-819.99999999999989</v>
      </c>
      <c r="I200">
        <v>1</v>
      </c>
      <c r="J200">
        <f t="shared" si="40"/>
        <v>0.69314718055994529</v>
      </c>
      <c r="K200">
        <f t="shared" si="41"/>
        <v>-0.81172515177521753</v>
      </c>
      <c r="L200">
        <v>1</v>
      </c>
      <c r="M200">
        <f t="shared" si="42"/>
        <v>0.53875470444434814</v>
      </c>
      <c r="N200">
        <f t="shared" si="43"/>
        <v>0.16199999999999998</v>
      </c>
      <c r="O200">
        <f t="shared" si="44"/>
        <v>3.8100000000000002E-2</v>
      </c>
      <c r="P200">
        <f t="shared" si="45"/>
        <v>7.287044733086942E-2</v>
      </c>
    </row>
    <row r="201" spans="1:16" x14ac:dyDescent="0.3">
      <c r="A201">
        <v>10</v>
      </c>
      <c r="B201">
        <v>0.40799999999999997</v>
      </c>
      <c r="C201">
        <f t="shared" si="36"/>
        <v>4.08</v>
      </c>
      <c r="D201">
        <v>1.6199999999999999E-2</v>
      </c>
      <c r="E201">
        <v>3.81E-3</v>
      </c>
      <c r="F201">
        <f t="shared" si="37"/>
        <v>2000</v>
      </c>
      <c r="G201">
        <f t="shared" si="38"/>
        <v>-0.40799999999999997</v>
      </c>
      <c r="H201">
        <f t="shared" si="39"/>
        <v>-816</v>
      </c>
      <c r="I201">
        <v>1</v>
      </c>
      <c r="J201">
        <f t="shared" si="40"/>
        <v>0.69314718055994529</v>
      </c>
      <c r="K201">
        <f t="shared" si="41"/>
        <v>-0.81372515177521754</v>
      </c>
      <c r="L201">
        <v>1</v>
      </c>
      <c r="M201">
        <f t="shared" si="42"/>
        <v>0.53875470444434814</v>
      </c>
      <c r="N201">
        <f t="shared" si="43"/>
        <v>0.16199999999999998</v>
      </c>
      <c r="O201">
        <f t="shared" si="44"/>
        <v>3.8100000000000002E-2</v>
      </c>
      <c r="P201">
        <f t="shared" si="45"/>
        <v>7.4870447330869422E-2</v>
      </c>
    </row>
    <row r="202" spans="1:16" x14ac:dyDescent="0.3">
      <c r="A202">
        <v>10.1</v>
      </c>
      <c r="B202">
        <v>0.40600000000000003</v>
      </c>
      <c r="C202">
        <f t="shared" si="36"/>
        <v>4.1006</v>
      </c>
      <c r="D202">
        <v>1.6199999999999999E-2</v>
      </c>
      <c r="E202">
        <v>3.81E-3</v>
      </c>
      <c r="F202">
        <f t="shared" si="37"/>
        <v>2020</v>
      </c>
      <c r="G202">
        <f t="shared" si="38"/>
        <v>-0.40600000000000003</v>
      </c>
      <c r="H202">
        <f t="shared" si="39"/>
        <v>-820.12</v>
      </c>
      <c r="I202">
        <v>1</v>
      </c>
      <c r="J202">
        <f t="shared" si="40"/>
        <v>0.70309751141311339</v>
      </c>
      <c r="K202">
        <f t="shared" si="41"/>
        <v>-0.81572515177521743</v>
      </c>
      <c r="L202">
        <v>1</v>
      </c>
      <c r="M202">
        <f t="shared" si="42"/>
        <v>0.53916605112181815</v>
      </c>
      <c r="N202">
        <f t="shared" si="43"/>
        <v>0.16361999999999999</v>
      </c>
      <c r="O202">
        <f t="shared" si="44"/>
        <v>3.8481000000000001E-2</v>
      </c>
      <c r="P202">
        <f t="shared" si="45"/>
        <v>7.4458100653399292E-2</v>
      </c>
    </row>
    <row r="203" spans="1:16" x14ac:dyDescent="0.3">
      <c r="A203">
        <v>10.1</v>
      </c>
      <c r="B203">
        <v>0.40400000000000003</v>
      </c>
      <c r="C203">
        <f t="shared" si="36"/>
        <v>4.0804</v>
      </c>
      <c r="D203">
        <v>1.6199999999999999E-2</v>
      </c>
      <c r="E203">
        <v>3.81E-3</v>
      </c>
      <c r="F203">
        <f t="shared" si="37"/>
        <v>2020</v>
      </c>
      <c r="G203">
        <f t="shared" si="38"/>
        <v>-0.40400000000000003</v>
      </c>
      <c r="H203">
        <f t="shared" si="39"/>
        <v>-816.08</v>
      </c>
      <c r="I203">
        <v>1</v>
      </c>
      <c r="J203">
        <f t="shared" si="40"/>
        <v>0.70309751141311339</v>
      </c>
      <c r="K203">
        <f t="shared" si="41"/>
        <v>-0.81772515177521743</v>
      </c>
      <c r="L203">
        <v>1</v>
      </c>
      <c r="M203">
        <f t="shared" si="42"/>
        <v>0.53916605112181815</v>
      </c>
      <c r="N203">
        <f t="shared" si="43"/>
        <v>0.16361999999999999</v>
      </c>
      <c r="O203">
        <f t="shared" si="44"/>
        <v>3.8481000000000001E-2</v>
      </c>
      <c r="P203">
        <f t="shared" si="45"/>
        <v>7.6458100653399294E-2</v>
      </c>
    </row>
    <row r="204" spans="1:16" x14ac:dyDescent="0.3">
      <c r="A204">
        <v>10.199999999999999</v>
      </c>
      <c r="B204">
        <v>0.40200000000000002</v>
      </c>
      <c r="C204">
        <f t="shared" si="36"/>
        <v>4.1003999999999996</v>
      </c>
      <c r="D204">
        <v>1.6199999999999999E-2</v>
      </c>
      <c r="E204">
        <v>3.81E-3</v>
      </c>
      <c r="F204">
        <f t="shared" si="37"/>
        <v>2039.9999999999998</v>
      </c>
      <c r="G204">
        <f t="shared" si="38"/>
        <v>-0.40200000000000002</v>
      </c>
      <c r="H204">
        <f t="shared" si="39"/>
        <v>-820.07999999999993</v>
      </c>
      <c r="I204">
        <v>1</v>
      </c>
      <c r="J204">
        <f t="shared" si="40"/>
        <v>0.71294980785612483</v>
      </c>
      <c r="K204">
        <f t="shared" si="41"/>
        <v>-0.81972515177521743</v>
      </c>
      <c r="L204">
        <v>1</v>
      </c>
      <c r="M204">
        <f t="shared" si="42"/>
        <v>0.53957334505677224</v>
      </c>
      <c r="N204">
        <f t="shared" si="43"/>
        <v>0.16523999999999997</v>
      </c>
      <c r="O204">
        <f t="shared" si="44"/>
        <v>3.8862000000000001E-2</v>
      </c>
      <c r="P204">
        <f t="shared" si="45"/>
        <v>7.6049806718445218E-2</v>
      </c>
    </row>
    <row r="205" spans="1:16" x14ac:dyDescent="0.3">
      <c r="A205">
        <v>10.3</v>
      </c>
      <c r="B205">
        <v>0.4</v>
      </c>
      <c r="C205">
        <f t="shared" si="36"/>
        <v>4.12</v>
      </c>
      <c r="D205">
        <v>1.6199999999999999E-2</v>
      </c>
      <c r="E205">
        <v>3.81E-3</v>
      </c>
      <c r="F205">
        <f t="shared" si="37"/>
        <v>2060</v>
      </c>
      <c r="G205">
        <f t="shared" si="38"/>
        <v>-0.4</v>
      </c>
      <c r="H205">
        <f t="shared" si="39"/>
        <v>-824</v>
      </c>
      <c r="I205">
        <v>1</v>
      </c>
      <c r="J205">
        <f t="shared" si="40"/>
        <v>0.72270598280148979</v>
      </c>
      <c r="K205">
        <f t="shared" si="41"/>
        <v>-0.82172515177521743</v>
      </c>
      <c r="L205">
        <v>1</v>
      </c>
      <c r="M205">
        <f t="shared" si="42"/>
        <v>0.53997666532901356</v>
      </c>
      <c r="N205">
        <f t="shared" si="43"/>
        <v>0.16686000000000001</v>
      </c>
      <c r="O205">
        <f t="shared" si="44"/>
        <v>3.9243E-2</v>
      </c>
      <c r="P205">
        <f t="shared" si="45"/>
        <v>7.5645486446203863E-2</v>
      </c>
    </row>
    <row r="206" spans="1:16" x14ac:dyDescent="0.3">
      <c r="A206">
        <v>10.3</v>
      </c>
      <c r="B206">
        <v>0.39700000000000002</v>
      </c>
      <c r="C206">
        <f t="shared" si="36"/>
        <v>4.0891000000000002</v>
      </c>
      <c r="D206">
        <v>1.6199999999999999E-2</v>
      </c>
      <c r="E206">
        <v>3.81E-3</v>
      </c>
      <c r="F206">
        <f t="shared" si="37"/>
        <v>2060</v>
      </c>
      <c r="G206">
        <f t="shared" si="38"/>
        <v>-0.39700000000000002</v>
      </c>
      <c r="H206">
        <f t="shared" si="39"/>
        <v>-817.82</v>
      </c>
      <c r="I206">
        <v>1</v>
      </c>
      <c r="J206">
        <f t="shared" si="40"/>
        <v>0.72270598280148979</v>
      </c>
      <c r="K206">
        <f t="shared" si="41"/>
        <v>-0.82472515177521744</v>
      </c>
      <c r="L206">
        <v>1</v>
      </c>
      <c r="M206">
        <f t="shared" si="42"/>
        <v>0.53997666532901356</v>
      </c>
      <c r="N206">
        <f t="shared" si="43"/>
        <v>0.16686000000000001</v>
      </c>
      <c r="O206">
        <f t="shared" si="44"/>
        <v>3.9243E-2</v>
      </c>
      <c r="P206">
        <f t="shared" si="45"/>
        <v>7.8645486446203866E-2</v>
      </c>
    </row>
    <row r="207" spans="1:16" x14ac:dyDescent="0.3">
      <c r="A207">
        <v>10.4</v>
      </c>
      <c r="B207">
        <v>0.39500000000000002</v>
      </c>
      <c r="C207">
        <f t="shared" si="36"/>
        <v>4.1080000000000005</v>
      </c>
      <c r="D207">
        <v>1.6199999999999999E-2</v>
      </c>
      <c r="E207">
        <v>3.81E-3</v>
      </c>
      <c r="F207">
        <f t="shared" si="37"/>
        <v>2080</v>
      </c>
      <c r="G207">
        <f t="shared" si="38"/>
        <v>-0.39500000000000002</v>
      </c>
      <c r="H207">
        <f t="shared" si="39"/>
        <v>-821.60000000000014</v>
      </c>
      <c r="I207">
        <v>1</v>
      </c>
      <c r="J207">
        <f t="shared" si="40"/>
        <v>0.73236789371322664</v>
      </c>
      <c r="K207">
        <f t="shared" si="41"/>
        <v>-0.82672515177521744</v>
      </c>
      <c r="L207">
        <v>1</v>
      </c>
      <c r="M207">
        <f t="shared" si="42"/>
        <v>0.54037608872610476</v>
      </c>
      <c r="N207">
        <f t="shared" si="43"/>
        <v>0.16847999999999999</v>
      </c>
      <c r="O207">
        <f t="shared" si="44"/>
        <v>3.9623999999999999E-2</v>
      </c>
      <c r="P207">
        <f t="shared" si="45"/>
        <v>7.824506304911269E-2</v>
      </c>
    </row>
    <row r="208" spans="1:16" x14ac:dyDescent="0.3">
      <c r="A208">
        <v>10.4</v>
      </c>
      <c r="B208">
        <v>0.39300000000000002</v>
      </c>
      <c r="C208">
        <f t="shared" si="36"/>
        <v>4.0872000000000002</v>
      </c>
      <c r="D208">
        <v>1.6199999999999999E-2</v>
      </c>
      <c r="E208">
        <v>3.81E-3</v>
      </c>
      <c r="F208">
        <f t="shared" si="37"/>
        <v>2080</v>
      </c>
      <c r="G208">
        <f t="shared" si="38"/>
        <v>-0.39300000000000002</v>
      </c>
      <c r="H208">
        <f t="shared" si="39"/>
        <v>-817.44</v>
      </c>
      <c r="I208">
        <v>1</v>
      </c>
      <c r="J208">
        <f t="shared" si="40"/>
        <v>0.73236789371322664</v>
      </c>
      <c r="K208">
        <f t="shared" si="41"/>
        <v>-0.82872515177521744</v>
      </c>
      <c r="L208">
        <v>1</v>
      </c>
      <c r="M208">
        <f t="shared" si="42"/>
        <v>0.54037608872610476</v>
      </c>
      <c r="N208">
        <f t="shared" si="43"/>
        <v>0.16847999999999999</v>
      </c>
      <c r="O208">
        <f t="shared" si="44"/>
        <v>3.9623999999999999E-2</v>
      </c>
      <c r="P208">
        <f t="shared" si="45"/>
        <v>8.0245063049112692E-2</v>
      </c>
    </row>
    <row r="209" spans="1:16" x14ac:dyDescent="0.3">
      <c r="A209">
        <v>10.5</v>
      </c>
      <c r="B209">
        <v>0.39100000000000001</v>
      </c>
      <c r="C209">
        <f t="shared" si="36"/>
        <v>4.1055000000000001</v>
      </c>
      <c r="D209">
        <v>1.6199999999999999E-2</v>
      </c>
      <c r="E209">
        <v>3.81E-3</v>
      </c>
      <c r="F209">
        <f t="shared" si="37"/>
        <v>2100</v>
      </c>
      <c r="G209">
        <f t="shared" si="38"/>
        <v>-0.39100000000000001</v>
      </c>
      <c r="H209">
        <f t="shared" si="39"/>
        <v>-821.1</v>
      </c>
      <c r="I209">
        <v>1</v>
      </c>
      <c r="J209">
        <f t="shared" si="40"/>
        <v>0.74193734472937733</v>
      </c>
      <c r="K209">
        <f t="shared" si="41"/>
        <v>-0.83072515177521744</v>
      </c>
      <c r="L209">
        <v>1</v>
      </c>
      <c r="M209">
        <f t="shared" si="42"/>
        <v>0.54077168983111246</v>
      </c>
      <c r="N209">
        <f t="shared" si="43"/>
        <v>0.1701</v>
      </c>
      <c r="O209">
        <f t="shared" si="44"/>
        <v>4.0004999999999999E-2</v>
      </c>
      <c r="P209">
        <f t="shared" si="45"/>
        <v>7.9848461944104984E-2</v>
      </c>
    </row>
    <row r="210" spans="1:16" x14ac:dyDescent="0.3">
      <c r="A210">
        <v>10.5</v>
      </c>
      <c r="B210">
        <v>0.38900000000000001</v>
      </c>
      <c r="C210">
        <f t="shared" si="36"/>
        <v>4.0845000000000002</v>
      </c>
      <c r="D210">
        <v>1.6199999999999999E-2</v>
      </c>
      <c r="E210">
        <v>3.81E-3</v>
      </c>
      <c r="F210">
        <f t="shared" si="37"/>
        <v>2100</v>
      </c>
      <c r="G210">
        <f t="shared" si="38"/>
        <v>-0.38900000000000001</v>
      </c>
      <c r="H210">
        <f t="shared" si="39"/>
        <v>-816.90000000000009</v>
      </c>
      <c r="I210">
        <v>1</v>
      </c>
      <c r="J210">
        <f t="shared" si="40"/>
        <v>0.74193734472937733</v>
      </c>
      <c r="K210">
        <f t="shared" si="41"/>
        <v>-0.83272515177521744</v>
      </c>
      <c r="L210">
        <v>1</v>
      </c>
      <c r="M210">
        <f t="shared" si="42"/>
        <v>0.54077168983111246</v>
      </c>
      <c r="N210">
        <f t="shared" si="43"/>
        <v>0.1701</v>
      </c>
      <c r="O210">
        <f t="shared" si="44"/>
        <v>4.0004999999999999E-2</v>
      </c>
      <c r="P210">
        <f t="shared" si="45"/>
        <v>8.1848461944104986E-2</v>
      </c>
    </row>
    <row r="211" spans="1:16" x14ac:dyDescent="0.3">
      <c r="A211">
        <v>10.6</v>
      </c>
      <c r="B211">
        <v>0.38700000000000001</v>
      </c>
      <c r="C211">
        <f t="shared" si="36"/>
        <v>4.1021999999999998</v>
      </c>
      <c r="D211">
        <v>1.6199999999999999E-2</v>
      </c>
      <c r="E211">
        <v>3.81E-3</v>
      </c>
      <c r="F211">
        <f t="shared" si="37"/>
        <v>2120</v>
      </c>
      <c r="G211">
        <f t="shared" si="38"/>
        <v>-0.38700000000000001</v>
      </c>
      <c r="H211">
        <f t="shared" si="39"/>
        <v>-820.43999999999994</v>
      </c>
      <c r="I211">
        <v>1</v>
      </c>
      <c r="J211">
        <f t="shared" si="40"/>
        <v>0.75141608868392118</v>
      </c>
      <c r="K211">
        <f t="shared" si="41"/>
        <v>-0.83472515177521744</v>
      </c>
      <c r="L211">
        <v>1</v>
      </c>
      <c r="M211">
        <f t="shared" si="42"/>
        <v>0.54116354110619325</v>
      </c>
      <c r="N211">
        <f t="shared" si="43"/>
        <v>0.17171999999999998</v>
      </c>
      <c r="O211">
        <f t="shared" si="44"/>
        <v>4.0385999999999998E-2</v>
      </c>
      <c r="P211">
        <f t="shared" si="45"/>
        <v>8.1455610669024209E-2</v>
      </c>
    </row>
    <row r="212" spans="1:16" x14ac:dyDescent="0.3">
      <c r="A212">
        <v>10.6</v>
      </c>
      <c r="B212">
        <v>0.38500000000000001</v>
      </c>
      <c r="C212">
        <f t="shared" si="36"/>
        <v>4.0809999999999995</v>
      </c>
      <c r="D212">
        <v>1.6199999999999999E-2</v>
      </c>
      <c r="E212">
        <v>3.81E-3</v>
      </c>
      <c r="F212">
        <f t="shared" si="37"/>
        <v>2120</v>
      </c>
      <c r="G212">
        <f t="shared" si="38"/>
        <v>-0.38500000000000001</v>
      </c>
      <c r="H212">
        <f t="shared" si="39"/>
        <v>-816.19999999999993</v>
      </c>
      <c r="I212">
        <v>1</v>
      </c>
      <c r="J212">
        <f t="shared" si="40"/>
        <v>0.75141608868392118</v>
      </c>
      <c r="K212">
        <f t="shared" si="41"/>
        <v>-0.83672515177521745</v>
      </c>
      <c r="L212">
        <v>1</v>
      </c>
      <c r="M212">
        <f t="shared" si="42"/>
        <v>0.54116354110619325</v>
      </c>
      <c r="N212">
        <f t="shared" si="43"/>
        <v>0.17171999999999998</v>
      </c>
      <c r="O212">
        <f t="shared" si="44"/>
        <v>4.0385999999999998E-2</v>
      </c>
      <c r="P212">
        <f t="shared" si="45"/>
        <v>8.3455610669024211E-2</v>
      </c>
    </row>
    <row r="213" spans="1:16" x14ac:dyDescent="0.3">
      <c r="A213">
        <v>10.7</v>
      </c>
      <c r="B213">
        <v>0.38300000000000001</v>
      </c>
      <c r="C213">
        <f t="shared" si="36"/>
        <v>4.0980999999999996</v>
      </c>
      <c r="D213">
        <v>1.6199999999999999E-2</v>
      </c>
      <c r="E213">
        <v>3.81E-3</v>
      </c>
      <c r="F213">
        <f t="shared" si="37"/>
        <v>2140</v>
      </c>
      <c r="G213">
        <f t="shared" si="38"/>
        <v>-0.38300000000000001</v>
      </c>
      <c r="H213">
        <f t="shared" si="39"/>
        <v>-819.61999999999989</v>
      </c>
      <c r="I213">
        <v>1</v>
      </c>
      <c r="J213">
        <f t="shared" si="40"/>
        <v>0.76080582903376015</v>
      </c>
      <c r="K213">
        <f t="shared" si="41"/>
        <v>-0.83872515177521745</v>
      </c>
      <c r="L213">
        <v>1</v>
      </c>
      <c r="M213">
        <f t="shared" si="42"/>
        <v>0.54155171297225568</v>
      </c>
      <c r="N213">
        <f t="shared" si="43"/>
        <v>0.17333999999999997</v>
      </c>
      <c r="O213">
        <f t="shared" si="44"/>
        <v>4.0766999999999998E-2</v>
      </c>
      <c r="P213">
        <f t="shared" si="45"/>
        <v>8.3066438802961801E-2</v>
      </c>
    </row>
    <row r="214" spans="1:16" x14ac:dyDescent="0.3">
      <c r="A214">
        <v>10.7</v>
      </c>
      <c r="B214">
        <v>0.38100000000000001</v>
      </c>
      <c r="C214">
        <f t="shared" si="36"/>
        <v>4.0766999999999998</v>
      </c>
      <c r="D214">
        <v>1.6199999999999999E-2</v>
      </c>
      <c r="E214">
        <v>3.81E-3</v>
      </c>
      <c r="F214">
        <f t="shared" si="37"/>
        <v>2140</v>
      </c>
      <c r="G214">
        <f t="shared" si="38"/>
        <v>-0.38100000000000001</v>
      </c>
      <c r="H214">
        <f t="shared" si="39"/>
        <v>-815.33999999999992</v>
      </c>
      <c r="I214">
        <v>1</v>
      </c>
      <c r="J214">
        <f t="shared" si="40"/>
        <v>0.76080582903376015</v>
      </c>
      <c r="K214">
        <f t="shared" si="41"/>
        <v>-0.84072515177521745</v>
      </c>
      <c r="L214">
        <v>1</v>
      </c>
      <c r="M214">
        <f t="shared" si="42"/>
        <v>0.54155171297225568</v>
      </c>
      <c r="N214">
        <f t="shared" si="43"/>
        <v>0.17333999999999997</v>
      </c>
      <c r="O214">
        <f t="shared" si="44"/>
        <v>4.0766999999999998E-2</v>
      </c>
      <c r="P214">
        <f t="shared" si="45"/>
        <v>8.5066438802961802E-2</v>
      </c>
    </row>
    <row r="215" spans="1:16" x14ac:dyDescent="0.3">
      <c r="A215">
        <v>10.8</v>
      </c>
      <c r="B215">
        <v>0.378</v>
      </c>
      <c r="C215">
        <f t="shared" si="36"/>
        <v>4.0824000000000007</v>
      </c>
      <c r="D215">
        <v>1.6199999999999999E-2</v>
      </c>
      <c r="E215">
        <v>3.81E-3</v>
      </c>
      <c r="F215">
        <f t="shared" si="37"/>
        <v>2160</v>
      </c>
      <c r="G215">
        <f t="shared" si="38"/>
        <v>-0.378</v>
      </c>
      <c r="H215">
        <f t="shared" si="39"/>
        <v>-816.48000000000013</v>
      </c>
      <c r="I215">
        <v>1</v>
      </c>
      <c r="J215">
        <f t="shared" si="40"/>
        <v>0.77010822169607374</v>
      </c>
      <c r="K215">
        <f t="shared" si="41"/>
        <v>-0.84372515177521745</v>
      </c>
      <c r="L215">
        <v>1</v>
      </c>
      <c r="M215">
        <f t="shared" si="42"/>
        <v>0.54193627388491572</v>
      </c>
      <c r="N215">
        <f t="shared" si="43"/>
        <v>0.17496</v>
      </c>
      <c r="O215">
        <f t="shared" si="44"/>
        <v>4.1148000000000004E-2</v>
      </c>
      <c r="P215">
        <f t="shared" si="45"/>
        <v>8.5680877890301724E-2</v>
      </c>
    </row>
    <row r="216" spans="1:16" x14ac:dyDescent="0.3">
      <c r="A216">
        <v>10.8</v>
      </c>
      <c r="B216">
        <v>0.376</v>
      </c>
      <c r="C216">
        <f t="shared" si="36"/>
        <v>4.0608000000000004</v>
      </c>
      <c r="D216">
        <v>1.6199999999999999E-2</v>
      </c>
      <c r="E216">
        <v>3.81E-3</v>
      </c>
      <c r="F216">
        <f t="shared" si="37"/>
        <v>2160</v>
      </c>
      <c r="G216">
        <f t="shared" si="38"/>
        <v>-0.376</v>
      </c>
      <c r="H216">
        <f t="shared" si="39"/>
        <v>-812.16000000000008</v>
      </c>
      <c r="I216">
        <v>1</v>
      </c>
      <c r="J216">
        <f t="shared" si="40"/>
        <v>0.77010822169607374</v>
      </c>
      <c r="K216">
        <f t="shared" si="41"/>
        <v>-0.84572515177521745</v>
      </c>
      <c r="L216">
        <v>1</v>
      </c>
      <c r="M216">
        <f t="shared" si="42"/>
        <v>0.54193627388491572</v>
      </c>
      <c r="N216">
        <f t="shared" si="43"/>
        <v>0.17496</v>
      </c>
      <c r="O216">
        <f t="shared" si="44"/>
        <v>4.1148000000000004E-2</v>
      </c>
      <c r="P216">
        <f t="shared" si="45"/>
        <v>8.7680877890301726E-2</v>
      </c>
    </row>
    <row r="217" spans="1:16" x14ac:dyDescent="0.3">
      <c r="A217">
        <v>10.9</v>
      </c>
      <c r="B217">
        <v>0.374</v>
      </c>
      <c r="C217">
        <f t="shared" si="36"/>
        <v>4.0766</v>
      </c>
      <c r="D217">
        <v>1.6199999999999999E-2</v>
      </c>
      <c r="E217">
        <v>3.81E-3</v>
      </c>
      <c r="F217">
        <f t="shared" si="37"/>
        <v>2180</v>
      </c>
      <c r="G217">
        <f t="shared" si="38"/>
        <v>-0.374</v>
      </c>
      <c r="H217">
        <f t="shared" si="39"/>
        <v>-815.32</v>
      </c>
      <c r="I217">
        <v>1</v>
      </c>
      <c r="J217">
        <f t="shared" si="40"/>
        <v>0.77932487680099771</v>
      </c>
      <c r="K217">
        <f t="shared" si="41"/>
        <v>-0.84772515177521746</v>
      </c>
      <c r="L217">
        <v>1</v>
      </c>
      <c r="M217">
        <f t="shared" si="42"/>
        <v>0.5423172904069532</v>
      </c>
      <c r="N217">
        <f t="shared" si="43"/>
        <v>0.17657999999999999</v>
      </c>
      <c r="O217">
        <f t="shared" si="44"/>
        <v>4.1529000000000003E-2</v>
      </c>
      <c r="P217">
        <f t="shared" si="45"/>
        <v>8.7298861368264258E-2</v>
      </c>
    </row>
    <row r="218" spans="1:16" x14ac:dyDescent="0.3">
      <c r="A218">
        <v>10.9</v>
      </c>
      <c r="B218">
        <v>0.372</v>
      </c>
      <c r="C218">
        <f t="shared" si="36"/>
        <v>4.0548000000000002</v>
      </c>
      <c r="D218">
        <v>1.6199999999999999E-2</v>
      </c>
      <c r="E218">
        <v>3.81E-3</v>
      </c>
      <c r="F218">
        <f t="shared" si="37"/>
        <v>2180</v>
      </c>
      <c r="G218">
        <f t="shared" si="38"/>
        <v>-0.372</v>
      </c>
      <c r="H218">
        <f t="shared" si="39"/>
        <v>-810.96</v>
      </c>
      <c r="I218">
        <v>1</v>
      </c>
      <c r="J218">
        <f t="shared" si="40"/>
        <v>0.77932487680099771</v>
      </c>
      <c r="K218">
        <f t="shared" si="41"/>
        <v>-0.84972515177521746</v>
      </c>
      <c r="L218">
        <v>1</v>
      </c>
      <c r="M218">
        <f t="shared" si="42"/>
        <v>0.5423172904069532</v>
      </c>
      <c r="N218">
        <f t="shared" si="43"/>
        <v>0.17657999999999999</v>
      </c>
      <c r="O218">
        <f t="shared" si="44"/>
        <v>4.1529000000000003E-2</v>
      </c>
      <c r="P218">
        <f t="shared" si="45"/>
        <v>8.929886136826426E-2</v>
      </c>
    </row>
    <row r="219" spans="1:16" x14ac:dyDescent="0.3">
      <c r="A219">
        <v>11</v>
      </c>
      <c r="B219">
        <v>0.37</v>
      </c>
      <c r="C219">
        <f t="shared" si="36"/>
        <v>4.07</v>
      </c>
      <c r="D219">
        <v>1.6199999999999999E-2</v>
      </c>
      <c r="E219">
        <v>3.81E-3</v>
      </c>
      <c r="F219">
        <f t="shared" si="37"/>
        <v>2200</v>
      </c>
      <c r="G219">
        <f t="shared" si="38"/>
        <v>-0.37</v>
      </c>
      <c r="H219">
        <f t="shared" si="39"/>
        <v>-814</v>
      </c>
      <c r="I219">
        <v>1</v>
      </c>
      <c r="J219">
        <f t="shared" si="40"/>
        <v>0.78845736036427028</v>
      </c>
      <c r="K219">
        <f t="shared" si="41"/>
        <v>-0.85172515177521746</v>
      </c>
      <c r="L219">
        <v>1</v>
      </c>
      <c r="M219">
        <f t="shared" si="42"/>
        <v>0.54269482727745899</v>
      </c>
      <c r="N219">
        <f t="shared" si="43"/>
        <v>0.1782</v>
      </c>
      <c r="O219">
        <f t="shared" si="44"/>
        <v>4.1910000000000003E-2</v>
      </c>
      <c r="P219">
        <f t="shared" si="45"/>
        <v>8.8920324497758468E-2</v>
      </c>
    </row>
    <row r="220" spans="1:16" x14ac:dyDescent="0.3">
      <c r="A220">
        <v>11</v>
      </c>
      <c r="B220">
        <v>0.36699999999999999</v>
      </c>
      <c r="C220">
        <f t="shared" si="36"/>
        <v>4.0369999999999999</v>
      </c>
      <c r="D220">
        <v>1.6199999999999999E-2</v>
      </c>
      <c r="E220">
        <v>3.81E-3</v>
      </c>
      <c r="F220">
        <f t="shared" si="37"/>
        <v>2200</v>
      </c>
      <c r="G220">
        <f t="shared" si="38"/>
        <v>-0.36699999999999999</v>
      </c>
      <c r="H220">
        <f t="shared" si="39"/>
        <v>-807.4</v>
      </c>
      <c r="I220">
        <v>1</v>
      </c>
      <c r="J220">
        <f t="shared" si="40"/>
        <v>0.78845736036427028</v>
      </c>
      <c r="K220">
        <f t="shared" si="41"/>
        <v>-0.85472515177521746</v>
      </c>
      <c r="L220">
        <v>1</v>
      </c>
      <c r="M220">
        <f t="shared" si="42"/>
        <v>0.54269482727745899</v>
      </c>
      <c r="N220">
        <f t="shared" si="43"/>
        <v>0.1782</v>
      </c>
      <c r="O220">
        <f t="shared" si="44"/>
        <v>4.1910000000000003E-2</v>
      </c>
      <c r="P220">
        <f t="shared" si="45"/>
        <v>9.1920324497758471E-2</v>
      </c>
    </row>
    <row r="221" spans="1:16" x14ac:dyDescent="0.3">
      <c r="A221">
        <v>11.1</v>
      </c>
      <c r="B221">
        <v>0.36499999999999999</v>
      </c>
      <c r="C221">
        <f t="shared" si="36"/>
        <v>4.0514999999999999</v>
      </c>
      <c r="D221">
        <v>1.6199999999999999E-2</v>
      </c>
      <c r="E221">
        <v>3.81E-3</v>
      </c>
      <c r="F221">
        <f t="shared" si="37"/>
        <v>2220</v>
      </c>
      <c r="G221">
        <f t="shared" si="38"/>
        <v>-0.36499999999999999</v>
      </c>
      <c r="H221">
        <f t="shared" si="39"/>
        <v>-810.3</v>
      </c>
      <c r="I221">
        <v>1</v>
      </c>
      <c r="J221">
        <f t="shared" si="40"/>
        <v>0.79750719588418817</v>
      </c>
      <c r="K221">
        <f t="shared" si="41"/>
        <v>-0.85672515177521746</v>
      </c>
      <c r="L221">
        <v>1</v>
      </c>
      <c r="M221">
        <f t="shared" si="42"/>
        <v>0.54306894747785228</v>
      </c>
      <c r="N221">
        <f t="shared" si="43"/>
        <v>0.17981999999999998</v>
      </c>
      <c r="O221">
        <f t="shared" si="44"/>
        <v>4.2291000000000002E-2</v>
      </c>
      <c r="P221">
        <f t="shared" si="45"/>
        <v>9.1545204297365207E-2</v>
      </c>
    </row>
    <row r="222" spans="1:16" x14ac:dyDescent="0.3">
      <c r="A222">
        <v>11.1</v>
      </c>
      <c r="B222">
        <v>0.36299999999999999</v>
      </c>
      <c r="C222">
        <f t="shared" si="36"/>
        <v>4.0293000000000001</v>
      </c>
      <c r="D222">
        <v>1.6199999999999999E-2</v>
      </c>
      <c r="E222">
        <v>3.81E-3</v>
      </c>
      <c r="F222">
        <f t="shared" si="37"/>
        <v>2220</v>
      </c>
      <c r="G222">
        <f t="shared" si="38"/>
        <v>-0.36299999999999999</v>
      </c>
      <c r="H222">
        <f t="shared" si="39"/>
        <v>-805.86</v>
      </c>
      <c r="I222">
        <v>1</v>
      </c>
      <c r="J222">
        <f t="shared" si="40"/>
        <v>0.79750719588418817</v>
      </c>
      <c r="K222">
        <f t="shared" si="41"/>
        <v>-0.85872515177521747</v>
      </c>
      <c r="L222">
        <v>1</v>
      </c>
      <c r="M222">
        <f t="shared" si="42"/>
        <v>0.54306894747785228</v>
      </c>
      <c r="N222">
        <f t="shared" si="43"/>
        <v>0.17981999999999998</v>
      </c>
      <c r="O222">
        <f t="shared" si="44"/>
        <v>4.2291000000000002E-2</v>
      </c>
      <c r="P222">
        <f t="shared" si="45"/>
        <v>9.3545204297365209E-2</v>
      </c>
    </row>
    <row r="223" spans="1:16" x14ac:dyDescent="0.3">
      <c r="A223">
        <v>11.2</v>
      </c>
      <c r="B223">
        <v>0.36099999999999999</v>
      </c>
      <c r="C223">
        <f t="shared" si="36"/>
        <v>4.0431999999999997</v>
      </c>
      <c r="D223">
        <v>1.6199999999999999E-2</v>
      </c>
      <c r="E223">
        <v>3.81E-3</v>
      </c>
      <c r="F223">
        <f t="shared" si="37"/>
        <v>2240</v>
      </c>
      <c r="G223">
        <f t="shared" si="38"/>
        <v>-0.36099999999999999</v>
      </c>
      <c r="H223">
        <f t="shared" si="39"/>
        <v>-808.64</v>
      </c>
      <c r="I223">
        <v>1</v>
      </c>
      <c r="J223">
        <f t="shared" si="40"/>
        <v>0.80647586586694853</v>
      </c>
      <c r="K223">
        <f t="shared" si="41"/>
        <v>-0.86072515177521747</v>
      </c>
      <c r="L223">
        <v>1</v>
      </c>
      <c r="M223">
        <f t="shared" si="42"/>
        <v>0.5434397122949397</v>
      </c>
      <c r="N223">
        <f t="shared" si="43"/>
        <v>0.18143999999999999</v>
      </c>
      <c r="O223">
        <f t="shared" si="44"/>
        <v>4.2671999999999995E-2</v>
      </c>
      <c r="P223">
        <f t="shared" si="45"/>
        <v>9.3173439480277787E-2</v>
      </c>
    </row>
    <row r="224" spans="1:16" x14ac:dyDescent="0.3">
      <c r="A224">
        <v>11.2</v>
      </c>
      <c r="B224">
        <v>0.35899999999999999</v>
      </c>
      <c r="C224">
        <f t="shared" si="36"/>
        <v>4.0207999999999995</v>
      </c>
      <c r="D224">
        <v>1.6199999999999999E-2</v>
      </c>
      <c r="E224">
        <v>3.81E-3</v>
      </c>
      <c r="F224">
        <f t="shared" si="37"/>
        <v>2240</v>
      </c>
      <c r="G224">
        <f t="shared" si="38"/>
        <v>-0.35899999999999999</v>
      </c>
      <c r="H224">
        <f t="shared" si="39"/>
        <v>-804.15999999999985</v>
      </c>
      <c r="I224">
        <v>1</v>
      </c>
      <c r="J224">
        <f t="shared" si="40"/>
        <v>0.80647586586694853</v>
      </c>
      <c r="K224">
        <f t="shared" si="41"/>
        <v>-0.86272515177521747</v>
      </c>
      <c r="L224">
        <v>1</v>
      </c>
      <c r="M224">
        <f t="shared" si="42"/>
        <v>0.5434397122949397</v>
      </c>
      <c r="N224">
        <f t="shared" si="43"/>
        <v>0.18143999999999999</v>
      </c>
      <c r="O224">
        <f t="shared" si="44"/>
        <v>4.2671999999999995E-2</v>
      </c>
      <c r="P224">
        <f t="shared" si="45"/>
        <v>9.5173439480277788E-2</v>
      </c>
    </row>
    <row r="225" spans="1:18" x14ac:dyDescent="0.3">
      <c r="A225">
        <v>11.3</v>
      </c>
      <c r="B225">
        <v>0.35699999999999998</v>
      </c>
      <c r="C225">
        <f t="shared" si="36"/>
        <v>4.0341000000000005</v>
      </c>
      <c r="D225">
        <v>1.6199999999999999E-2</v>
      </c>
      <c r="E225">
        <v>3.81E-3</v>
      </c>
      <c r="F225">
        <f t="shared" si="37"/>
        <v>2260</v>
      </c>
      <c r="G225">
        <f t="shared" si="38"/>
        <v>-0.35699999999999998</v>
      </c>
      <c r="H225">
        <f t="shared" si="39"/>
        <v>-806.82</v>
      </c>
      <c r="I225">
        <v>1</v>
      </c>
      <c r="J225">
        <f t="shared" si="40"/>
        <v>0.81536481328419441</v>
      </c>
      <c r="K225">
        <f t="shared" si="41"/>
        <v>-0.86472515177521747</v>
      </c>
      <c r="L225">
        <v>1</v>
      </c>
      <c r="M225">
        <f t="shared" si="42"/>
        <v>0.54380718138116857</v>
      </c>
      <c r="N225">
        <f t="shared" si="43"/>
        <v>0.18306</v>
      </c>
      <c r="O225">
        <f t="shared" si="44"/>
        <v>4.3053000000000001E-2</v>
      </c>
      <c r="P225">
        <f t="shared" si="45"/>
        <v>9.4804970394048893E-2</v>
      </c>
      <c r="R225">
        <f>O225+N225+M225</f>
        <v>0.76992018138116858</v>
      </c>
    </row>
    <row r="226" spans="1:18" x14ac:dyDescent="0.3">
      <c r="A226">
        <v>11.4</v>
      </c>
      <c r="B226">
        <v>0.35499999999999998</v>
      </c>
      <c r="C226">
        <f t="shared" si="36"/>
        <v>4.0469999999999997</v>
      </c>
      <c r="D226">
        <v>1.6199999999999999E-2</v>
      </c>
      <c r="E226">
        <v>3.81E-3</v>
      </c>
      <c r="F226">
        <f t="shared" si="37"/>
        <v>2280</v>
      </c>
      <c r="G226">
        <f t="shared" si="38"/>
        <v>-0.35499999999999998</v>
      </c>
      <c r="H226">
        <f t="shared" si="39"/>
        <v>-809.4</v>
      </c>
      <c r="I226">
        <v>1</v>
      </c>
      <c r="J226">
        <f t="shared" si="40"/>
        <v>0.82417544296634937</v>
      </c>
      <c r="K226">
        <f t="shared" si="41"/>
        <v>-0.86672515177521747</v>
      </c>
      <c r="L226">
        <v>1</v>
      </c>
      <c r="M226">
        <f t="shared" si="42"/>
        <v>0.54417141281222892</v>
      </c>
      <c r="N226">
        <f t="shared" si="43"/>
        <v>0.18467999999999998</v>
      </c>
      <c r="O226">
        <f t="shared" si="44"/>
        <v>4.3434E-2</v>
      </c>
      <c r="P226">
        <f t="shared" si="45"/>
        <v>9.4439738962988573E-2</v>
      </c>
    </row>
    <row r="227" spans="1:18" x14ac:dyDescent="0.3">
      <c r="A227">
        <v>11.5</v>
      </c>
      <c r="B227">
        <v>0.35199999999999998</v>
      </c>
      <c r="C227">
        <f t="shared" si="36"/>
        <v>4.048</v>
      </c>
      <c r="D227">
        <v>1.6199999999999999E-2</v>
      </c>
      <c r="E227">
        <v>3.81E-3</v>
      </c>
      <c r="F227">
        <f t="shared" si="37"/>
        <v>2300</v>
      </c>
      <c r="G227">
        <f t="shared" si="38"/>
        <v>-0.35199999999999998</v>
      </c>
      <c r="H227">
        <f t="shared" si="39"/>
        <v>-809.6</v>
      </c>
      <c r="I227">
        <v>1</v>
      </c>
      <c r="J227">
        <f t="shared" si="40"/>
        <v>0.83290912293510388</v>
      </c>
      <c r="K227">
        <f t="shared" si="41"/>
        <v>-0.86972515177521748</v>
      </c>
      <c r="L227">
        <v>1</v>
      </c>
      <c r="M227">
        <f t="shared" si="42"/>
        <v>0.54453246314213721</v>
      </c>
      <c r="N227">
        <f t="shared" si="43"/>
        <v>0.18629999999999999</v>
      </c>
      <c r="O227">
        <f t="shared" si="44"/>
        <v>4.3815E-2</v>
      </c>
      <c r="P227">
        <f t="shared" si="45"/>
        <v>9.5077688633080276E-2</v>
      </c>
    </row>
    <row r="228" spans="1:18" x14ac:dyDescent="0.3">
      <c r="A228">
        <v>11.4</v>
      </c>
      <c r="B228">
        <v>0.35199999999999998</v>
      </c>
      <c r="C228">
        <f t="shared" si="36"/>
        <v>4.0127999999999995</v>
      </c>
      <c r="D228">
        <v>1.6199999999999999E-2</v>
      </c>
      <c r="E228">
        <v>3.81E-3</v>
      </c>
      <c r="F228">
        <f t="shared" si="37"/>
        <v>2280</v>
      </c>
      <c r="G228">
        <f t="shared" si="38"/>
        <v>-0.35199999999999998</v>
      </c>
      <c r="H228">
        <f t="shared" si="39"/>
        <v>-802.56</v>
      </c>
      <c r="I228">
        <v>1</v>
      </c>
      <c r="J228">
        <f t="shared" si="40"/>
        <v>0.82417544296634937</v>
      </c>
      <c r="K228">
        <f t="shared" si="41"/>
        <v>-0.86972515177521748</v>
      </c>
      <c r="L228">
        <v>1</v>
      </c>
      <c r="M228">
        <f t="shared" si="42"/>
        <v>0.54417141281222892</v>
      </c>
      <c r="N228">
        <f t="shared" si="43"/>
        <v>0.18467999999999998</v>
      </c>
      <c r="O228">
        <f t="shared" si="44"/>
        <v>4.3434E-2</v>
      </c>
      <c r="P228">
        <f t="shared" si="45"/>
        <v>9.7439738962988576E-2</v>
      </c>
    </row>
    <row r="229" spans="1:18" x14ac:dyDescent="0.3">
      <c r="A229">
        <v>11.4</v>
      </c>
      <c r="B229">
        <v>0.35399999999999998</v>
      </c>
      <c r="C229">
        <f t="shared" si="36"/>
        <v>4.0355999999999996</v>
      </c>
      <c r="D229">
        <v>1.6199999999999999E-2</v>
      </c>
      <c r="E229">
        <v>3.81E-3</v>
      </c>
      <c r="F229">
        <f t="shared" si="37"/>
        <v>2280</v>
      </c>
      <c r="G229">
        <f t="shared" si="38"/>
        <v>-0.35399999999999998</v>
      </c>
      <c r="H229">
        <f t="shared" si="39"/>
        <v>-807.11999999999989</v>
      </c>
      <c r="I229">
        <v>1</v>
      </c>
      <c r="J229">
        <f t="shared" si="40"/>
        <v>0.82417544296634937</v>
      </c>
      <c r="K229">
        <f t="shared" si="41"/>
        <v>-0.86772515177521747</v>
      </c>
      <c r="L229">
        <v>1</v>
      </c>
      <c r="M229">
        <f t="shared" si="42"/>
        <v>0.54417141281222892</v>
      </c>
      <c r="N229">
        <f t="shared" si="43"/>
        <v>0.18467999999999998</v>
      </c>
      <c r="O229">
        <f t="shared" si="44"/>
        <v>4.3434E-2</v>
      </c>
      <c r="P229">
        <f t="shared" si="45"/>
        <v>9.5439738962988574E-2</v>
      </c>
    </row>
    <row r="230" spans="1:18" x14ac:dyDescent="0.3">
      <c r="A230">
        <v>11.3</v>
      </c>
      <c r="B230">
        <v>0.35499999999999998</v>
      </c>
      <c r="C230">
        <f t="shared" si="36"/>
        <v>4.0114999999999998</v>
      </c>
      <c r="D230">
        <v>1.6199999999999999E-2</v>
      </c>
      <c r="E230">
        <v>3.81E-3</v>
      </c>
      <c r="F230">
        <f t="shared" si="37"/>
        <v>2260</v>
      </c>
      <c r="G230">
        <f t="shared" si="38"/>
        <v>-0.35499999999999998</v>
      </c>
      <c r="H230">
        <f t="shared" si="39"/>
        <v>-802.3</v>
      </c>
      <c r="I230">
        <v>1</v>
      </c>
      <c r="J230">
        <f t="shared" si="40"/>
        <v>0.81536481328419441</v>
      </c>
      <c r="K230">
        <f t="shared" si="41"/>
        <v>-0.86672515177521747</v>
      </c>
      <c r="L230">
        <v>1</v>
      </c>
      <c r="M230">
        <f t="shared" si="42"/>
        <v>0.54380718138116857</v>
      </c>
      <c r="N230">
        <f t="shared" si="43"/>
        <v>0.18306</v>
      </c>
      <c r="O230">
        <f t="shared" si="44"/>
        <v>4.3053000000000001E-2</v>
      </c>
      <c r="P230">
        <f t="shared" si="45"/>
        <v>9.6804970394048895E-2</v>
      </c>
    </row>
    <row r="231" spans="1:18" x14ac:dyDescent="0.3">
      <c r="A231">
        <v>11.3</v>
      </c>
      <c r="B231">
        <v>0.35699999999999998</v>
      </c>
      <c r="C231">
        <f t="shared" si="36"/>
        <v>4.0341000000000005</v>
      </c>
      <c r="D231">
        <v>1.6199999999999999E-2</v>
      </c>
      <c r="E231">
        <v>3.81E-3</v>
      </c>
      <c r="F231">
        <f t="shared" si="37"/>
        <v>2260</v>
      </c>
      <c r="G231">
        <f t="shared" si="38"/>
        <v>-0.35699999999999998</v>
      </c>
      <c r="H231">
        <f t="shared" si="39"/>
        <v>-806.82</v>
      </c>
      <c r="I231">
        <v>1</v>
      </c>
      <c r="J231">
        <f t="shared" si="40"/>
        <v>0.81536481328419441</v>
      </c>
      <c r="K231">
        <f t="shared" si="41"/>
        <v>-0.86472515177521747</v>
      </c>
      <c r="L231">
        <v>1</v>
      </c>
      <c r="M231">
        <f t="shared" si="42"/>
        <v>0.54380718138116857</v>
      </c>
      <c r="N231">
        <f t="shared" si="43"/>
        <v>0.18306</v>
      </c>
      <c r="O231">
        <f t="shared" si="44"/>
        <v>4.3053000000000001E-2</v>
      </c>
      <c r="P231">
        <f t="shared" si="45"/>
        <v>9.4804970394048893E-2</v>
      </c>
    </row>
    <row r="232" spans="1:18" x14ac:dyDescent="0.3">
      <c r="A232">
        <v>11.3</v>
      </c>
      <c r="B232">
        <v>0.35599999999999998</v>
      </c>
      <c r="C232">
        <f t="shared" si="36"/>
        <v>4.0228000000000002</v>
      </c>
      <c r="D232">
        <v>1.6199999999999999E-2</v>
      </c>
      <c r="E232">
        <v>3.81E-3</v>
      </c>
      <c r="F232">
        <f t="shared" si="37"/>
        <v>2260</v>
      </c>
      <c r="G232">
        <f t="shared" si="38"/>
        <v>-0.35599999999999998</v>
      </c>
      <c r="H232">
        <f t="shared" si="39"/>
        <v>-804.56000000000006</v>
      </c>
      <c r="I232">
        <v>1</v>
      </c>
      <c r="J232">
        <f t="shared" si="40"/>
        <v>0.81536481328419441</v>
      </c>
      <c r="K232">
        <f t="shared" si="41"/>
        <v>-0.86572515177521747</v>
      </c>
      <c r="L232">
        <v>1</v>
      </c>
      <c r="M232">
        <f t="shared" si="42"/>
        <v>0.54380718138116857</v>
      </c>
      <c r="N232">
        <f t="shared" si="43"/>
        <v>0.18306</v>
      </c>
      <c r="O232">
        <f t="shared" si="44"/>
        <v>4.3053000000000001E-2</v>
      </c>
      <c r="P232">
        <f t="shared" si="45"/>
        <v>9.5804970394048894E-2</v>
      </c>
    </row>
    <row r="233" spans="1:18" x14ac:dyDescent="0.3">
      <c r="A233">
        <v>11.4</v>
      </c>
      <c r="B233">
        <v>0.35399999999999998</v>
      </c>
      <c r="C233">
        <f t="shared" si="36"/>
        <v>4.0355999999999996</v>
      </c>
      <c r="D233">
        <v>1.6199999999999999E-2</v>
      </c>
      <c r="E233">
        <v>3.81E-3</v>
      </c>
      <c r="F233">
        <f t="shared" si="37"/>
        <v>2280</v>
      </c>
      <c r="G233">
        <f t="shared" si="38"/>
        <v>-0.35399999999999998</v>
      </c>
      <c r="H233">
        <f t="shared" si="39"/>
        <v>-807.11999999999989</v>
      </c>
      <c r="I233">
        <v>1</v>
      </c>
      <c r="J233">
        <f t="shared" si="40"/>
        <v>0.82417544296634937</v>
      </c>
      <c r="K233">
        <f t="shared" si="41"/>
        <v>-0.86772515177521747</v>
      </c>
      <c r="L233">
        <v>1</v>
      </c>
      <c r="M233">
        <f t="shared" si="42"/>
        <v>0.54417141281222892</v>
      </c>
      <c r="N233">
        <f t="shared" si="43"/>
        <v>0.18467999999999998</v>
      </c>
      <c r="O233">
        <f t="shared" si="44"/>
        <v>4.3434E-2</v>
      </c>
      <c r="P233">
        <f t="shared" si="45"/>
        <v>9.5439738962988574E-2</v>
      </c>
    </row>
    <row r="234" spans="1:18" x14ac:dyDescent="0.3">
      <c r="A234">
        <v>11.3</v>
      </c>
      <c r="B234">
        <v>0.35499999999999998</v>
      </c>
      <c r="C234">
        <f t="shared" si="36"/>
        <v>4.0114999999999998</v>
      </c>
      <c r="D234">
        <v>1.6199999999999999E-2</v>
      </c>
      <c r="E234">
        <v>3.81E-3</v>
      </c>
      <c r="F234">
        <f t="shared" si="37"/>
        <v>2260</v>
      </c>
      <c r="G234">
        <f t="shared" si="38"/>
        <v>-0.35499999999999998</v>
      </c>
      <c r="H234">
        <f t="shared" si="39"/>
        <v>-802.3</v>
      </c>
      <c r="I234">
        <v>1</v>
      </c>
      <c r="J234">
        <f t="shared" si="40"/>
        <v>0.81536481328419441</v>
      </c>
      <c r="K234">
        <f t="shared" si="41"/>
        <v>-0.86672515177521747</v>
      </c>
      <c r="L234">
        <v>1</v>
      </c>
      <c r="M234">
        <f t="shared" si="42"/>
        <v>0.54380718138116857</v>
      </c>
      <c r="N234">
        <f t="shared" si="43"/>
        <v>0.18306</v>
      </c>
      <c r="O234">
        <f t="shared" si="44"/>
        <v>4.3053000000000001E-2</v>
      </c>
      <c r="P234">
        <f t="shared" si="45"/>
        <v>9.6804970394048895E-2</v>
      </c>
    </row>
    <row r="235" spans="1:18" x14ac:dyDescent="0.3">
      <c r="A235">
        <v>11.4</v>
      </c>
      <c r="B235">
        <v>0.35299999999999998</v>
      </c>
      <c r="C235">
        <f t="shared" si="36"/>
        <v>4.0241999999999996</v>
      </c>
      <c r="D235">
        <v>1.6199999999999999E-2</v>
      </c>
      <c r="E235">
        <v>3.81E-3</v>
      </c>
      <c r="F235">
        <f t="shared" si="37"/>
        <v>2280</v>
      </c>
      <c r="G235">
        <f t="shared" si="38"/>
        <v>-0.35299999999999998</v>
      </c>
      <c r="H235">
        <f t="shared" si="39"/>
        <v>-804.83999999999992</v>
      </c>
      <c r="I235">
        <v>1</v>
      </c>
      <c r="J235">
        <f t="shared" si="40"/>
        <v>0.82417544296634937</v>
      </c>
      <c r="K235">
        <f t="shared" si="41"/>
        <v>-0.86872515177521747</v>
      </c>
      <c r="L235">
        <v>1</v>
      </c>
      <c r="M235">
        <f t="shared" si="42"/>
        <v>0.54417141281222892</v>
      </c>
      <c r="N235">
        <f t="shared" si="43"/>
        <v>0.18467999999999998</v>
      </c>
      <c r="O235">
        <f t="shared" si="44"/>
        <v>4.3434E-2</v>
      </c>
      <c r="P235">
        <f t="shared" si="45"/>
        <v>9.6439738962988575E-2</v>
      </c>
    </row>
    <row r="236" spans="1:18" x14ac:dyDescent="0.3">
      <c r="A236">
        <v>11.4</v>
      </c>
      <c r="B236">
        <v>0.35099999999999998</v>
      </c>
      <c r="C236">
        <f t="shared" si="36"/>
        <v>4.0014000000000003</v>
      </c>
      <c r="D236">
        <v>1.6199999999999999E-2</v>
      </c>
      <c r="E236">
        <v>3.81E-3</v>
      </c>
      <c r="F236">
        <f t="shared" si="37"/>
        <v>2280</v>
      </c>
      <c r="G236">
        <f t="shared" si="38"/>
        <v>-0.35099999999999998</v>
      </c>
      <c r="H236">
        <f t="shared" si="39"/>
        <v>-800.28000000000009</v>
      </c>
      <c r="I236">
        <v>1</v>
      </c>
      <c r="J236">
        <f t="shared" si="40"/>
        <v>0.82417544296634937</v>
      </c>
      <c r="K236">
        <f t="shared" si="41"/>
        <v>-0.87072515177521748</v>
      </c>
      <c r="L236">
        <v>1</v>
      </c>
      <c r="M236">
        <f t="shared" si="42"/>
        <v>0.54417141281222892</v>
      </c>
      <c r="N236">
        <f t="shared" si="43"/>
        <v>0.18467999999999998</v>
      </c>
      <c r="O236">
        <f t="shared" si="44"/>
        <v>4.3434E-2</v>
      </c>
      <c r="P236">
        <f t="shared" si="45"/>
        <v>9.8439738962988577E-2</v>
      </c>
    </row>
    <row r="237" spans="1:18" x14ac:dyDescent="0.3">
      <c r="A237">
        <v>11.4</v>
      </c>
      <c r="B237">
        <v>0.35199999999999998</v>
      </c>
      <c r="C237">
        <f t="shared" si="36"/>
        <v>4.0127999999999995</v>
      </c>
      <c r="D237">
        <v>1.6199999999999999E-2</v>
      </c>
      <c r="E237">
        <v>3.81E-3</v>
      </c>
      <c r="F237">
        <f t="shared" si="37"/>
        <v>2280</v>
      </c>
      <c r="G237">
        <f t="shared" si="38"/>
        <v>-0.35199999999999998</v>
      </c>
      <c r="H237">
        <f t="shared" si="39"/>
        <v>-802.56</v>
      </c>
      <c r="I237">
        <v>1</v>
      </c>
      <c r="J237">
        <f t="shared" si="40"/>
        <v>0.82417544296634937</v>
      </c>
      <c r="K237">
        <f t="shared" si="41"/>
        <v>-0.86972515177521748</v>
      </c>
      <c r="L237">
        <v>1</v>
      </c>
      <c r="M237">
        <f t="shared" si="42"/>
        <v>0.54417141281222892</v>
      </c>
      <c r="N237">
        <f t="shared" si="43"/>
        <v>0.18467999999999998</v>
      </c>
      <c r="O237">
        <f t="shared" si="44"/>
        <v>4.3434E-2</v>
      </c>
      <c r="P237">
        <f t="shared" si="45"/>
        <v>9.7439738962988576E-2</v>
      </c>
    </row>
    <row r="238" spans="1:18" x14ac:dyDescent="0.3">
      <c r="A238">
        <v>11.4</v>
      </c>
      <c r="B238">
        <v>0.35099999999999998</v>
      </c>
      <c r="C238">
        <f t="shared" si="36"/>
        <v>4.0014000000000003</v>
      </c>
      <c r="D238">
        <v>1.6199999999999999E-2</v>
      </c>
      <c r="E238">
        <v>3.81E-3</v>
      </c>
      <c r="F238">
        <f t="shared" si="37"/>
        <v>2280</v>
      </c>
      <c r="G238">
        <f t="shared" si="38"/>
        <v>-0.35099999999999998</v>
      </c>
      <c r="H238">
        <f t="shared" si="39"/>
        <v>-800.28000000000009</v>
      </c>
      <c r="I238">
        <v>1</v>
      </c>
      <c r="J238">
        <f t="shared" si="40"/>
        <v>0.82417544296634937</v>
      </c>
      <c r="K238">
        <f t="shared" si="41"/>
        <v>-0.87072515177521748</v>
      </c>
      <c r="L238">
        <v>1</v>
      </c>
      <c r="M238">
        <f t="shared" si="42"/>
        <v>0.54417141281222892</v>
      </c>
      <c r="N238">
        <f t="shared" si="43"/>
        <v>0.18467999999999998</v>
      </c>
      <c r="O238">
        <f t="shared" si="44"/>
        <v>4.3434E-2</v>
      </c>
      <c r="P238">
        <f t="shared" si="45"/>
        <v>9.8439738962988577E-2</v>
      </c>
    </row>
    <row r="239" spans="1:18" x14ac:dyDescent="0.3">
      <c r="A239">
        <v>11.4</v>
      </c>
      <c r="B239">
        <v>0.35199999999999998</v>
      </c>
      <c r="C239">
        <f t="shared" si="36"/>
        <v>4.0127999999999995</v>
      </c>
      <c r="D239">
        <v>1.6199999999999999E-2</v>
      </c>
      <c r="E239">
        <v>3.81E-3</v>
      </c>
      <c r="F239">
        <f t="shared" si="37"/>
        <v>2280</v>
      </c>
      <c r="G239">
        <f t="shared" si="38"/>
        <v>-0.35199999999999998</v>
      </c>
      <c r="H239">
        <f t="shared" si="39"/>
        <v>-802.56</v>
      </c>
      <c r="I239">
        <v>1</v>
      </c>
      <c r="J239">
        <f t="shared" si="40"/>
        <v>0.82417544296634937</v>
      </c>
      <c r="K239">
        <f t="shared" si="41"/>
        <v>-0.86972515177521748</v>
      </c>
      <c r="L239">
        <v>1</v>
      </c>
      <c r="M239">
        <f t="shared" si="42"/>
        <v>0.54417141281222892</v>
      </c>
      <c r="N239">
        <f t="shared" si="43"/>
        <v>0.18467999999999998</v>
      </c>
      <c r="O239">
        <f t="shared" si="44"/>
        <v>4.3434E-2</v>
      </c>
      <c r="P239">
        <f t="shared" si="45"/>
        <v>9.7439738962988576E-2</v>
      </c>
    </row>
    <row r="240" spans="1:18" x14ac:dyDescent="0.3">
      <c r="A240">
        <v>11.4</v>
      </c>
      <c r="B240">
        <v>0.35099999999999998</v>
      </c>
      <c r="C240">
        <f t="shared" si="36"/>
        <v>4.0014000000000003</v>
      </c>
      <c r="D240">
        <v>1.6199999999999999E-2</v>
      </c>
      <c r="E240">
        <v>3.81E-3</v>
      </c>
      <c r="F240">
        <f t="shared" si="37"/>
        <v>2280</v>
      </c>
      <c r="G240">
        <f t="shared" si="38"/>
        <v>-0.35099999999999998</v>
      </c>
      <c r="H240">
        <f t="shared" si="39"/>
        <v>-800.28000000000009</v>
      </c>
      <c r="I240">
        <v>1</v>
      </c>
      <c r="J240">
        <f t="shared" si="40"/>
        <v>0.82417544296634937</v>
      </c>
      <c r="K240">
        <f t="shared" si="41"/>
        <v>-0.87072515177521748</v>
      </c>
      <c r="L240">
        <v>1</v>
      </c>
      <c r="M240">
        <f t="shared" si="42"/>
        <v>0.54417141281222892</v>
      </c>
      <c r="N240">
        <f t="shared" si="43"/>
        <v>0.18467999999999998</v>
      </c>
      <c r="O240">
        <f t="shared" si="44"/>
        <v>4.3434E-2</v>
      </c>
      <c r="P240">
        <f t="shared" si="45"/>
        <v>9.8439738962988577E-2</v>
      </c>
    </row>
    <row r="241" spans="1:16" x14ac:dyDescent="0.3">
      <c r="A241">
        <v>11.5</v>
      </c>
      <c r="B241">
        <v>0.34799999999999998</v>
      </c>
      <c r="C241">
        <f t="shared" si="36"/>
        <v>4.0019999999999998</v>
      </c>
      <c r="D241">
        <v>1.6199999999999999E-2</v>
      </c>
      <c r="E241">
        <v>3.81E-3</v>
      </c>
      <c r="F241">
        <f t="shared" si="37"/>
        <v>2300</v>
      </c>
      <c r="G241">
        <f t="shared" si="38"/>
        <v>-0.34799999999999998</v>
      </c>
      <c r="H241">
        <f t="shared" si="39"/>
        <v>-800.4</v>
      </c>
      <c r="I241">
        <v>1</v>
      </c>
      <c r="J241">
        <f t="shared" si="40"/>
        <v>0.83290912293510388</v>
      </c>
      <c r="K241">
        <f t="shared" si="41"/>
        <v>-0.87372515177521748</v>
      </c>
      <c r="L241">
        <v>1</v>
      </c>
      <c r="M241">
        <f t="shared" si="42"/>
        <v>0.54453246314213721</v>
      </c>
      <c r="N241">
        <f t="shared" si="43"/>
        <v>0.18629999999999999</v>
      </c>
      <c r="O241">
        <f t="shared" si="44"/>
        <v>4.3815E-2</v>
      </c>
      <c r="P241">
        <f t="shared" si="45"/>
        <v>9.907768863308028E-2</v>
      </c>
    </row>
    <row r="242" spans="1:16" x14ac:dyDescent="0.3">
      <c r="A242">
        <v>11.5</v>
      </c>
      <c r="B242">
        <v>0.34599999999999997</v>
      </c>
      <c r="C242">
        <f t="shared" si="36"/>
        <v>3.9789999999999996</v>
      </c>
      <c r="D242">
        <v>1.6199999999999999E-2</v>
      </c>
      <c r="E242">
        <v>3.81E-3</v>
      </c>
      <c r="F242">
        <f t="shared" si="37"/>
        <v>2300</v>
      </c>
      <c r="G242">
        <f t="shared" si="38"/>
        <v>-0.34599999999999997</v>
      </c>
      <c r="H242">
        <f t="shared" si="39"/>
        <v>-795.8</v>
      </c>
      <c r="I242">
        <v>1</v>
      </c>
      <c r="J242">
        <f t="shared" si="40"/>
        <v>0.83290912293510388</v>
      </c>
      <c r="K242">
        <f t="shared" si="41"/>
        <v>-0.87572515177521748</v>
      </c>
      <c r="L242">
        <v>1</v>
      </c>
      <c r="M242">
        <f t="shared" si="42"/>
        <v>0.54453246314213721</v>
      </c>
      <c r="N242">
        <f t="shared" si="43"/>
        <v>0.18629999999999999</v>
      </c>
      <c r="O242">
        <f t="shared" si="44"/>
        <v>4.3815E-2</v>
      </c>
      <c r="P242">
        <f t="shared" si="45"/>
        <v>0.10107768863308028</v>
      </c>
    </row>
    <row r="243" spans="1:16" x14ac:dyDescent="0.3">
      <c r="A243">
        <v>11.6</v>
      </c>
      <c r="B243">
        <v>0.34399999999999997</v>
      </c>
      <c r="C243">
        <f t="shared" si="36"/>
        <v>3.9903999999999997</v>
      </c>
      <c r="D243">
        <v>1.6199999999999999E-2</v>
      </c>
      <c r="E243">
        <v>3.81E-3</v>
      </c>
      <c r="F243">
        <f t="shared" si="37"/>
        <v>2320</v>
      </c>
      <c r="G243">
        <f t="shared" si="38"/>
        <v>-0.34399999999999997</v>
      </c>
      <c r="H243">
        <f t="shared" si="39"/>
        <v>-798.07999999999993</v>
      </c>
      <c r="I243">
        <v>1</v>
      </c>
      <c r="J243">
        <f t="shared" si="40"/>
        <v>0.84156718567821853</v>
      </c>
      <c r="K243">
        <f t="shared" si="41"/>
        <v>-0.87772515177521748</v>
      </c>
      <c r="L243">
        <v>1</v>
      </c>
      <c r="M243">
        <f t="shared" si="42"/>
        <v>0.54489038745593754</v>
      </c>
      <c r="N243">
        <f t="shared" si="43"/>
        <v>0.18791999999999998</v>
      </c>
      <c r="O243">
        <f t="shared" si="44"/>
        <v>4.4195999999999999E-2</v>
      </c>
      <c r="P243">
        <f t="shared" si="45"/>
        <v>0.10071876431927997</v>
      </c>
    </row>
    <row r="244" spans="1:16" x14ac:dyDescent="0.3">
      <c r="A244">
        <v>11.5</v>
      </c>
      <c r="B244">
        <v>0.34499999999999997</v>
      </c>
      <c r="C244">
        <f t="shared" si="36"/>
        <v>3.9674999999999998</v>
      </c>
      <c r="D244">
        <v>1.6199999999999999E-2</v>
      </c>
      <c r="E244">
        <v>3.81E-3</v>
      </c>
      <c r="F244">
        <f t="shared" si="37"/>
        <v>2300</v>
      </c>
      <c r="G244">
        <f t="shared" si="38"/>
        <v>-0.34499999999999997</v>
      </c>
      <c r="H244">
        <f t="shared" si="39"/>
        <v>-793.5</v>
      </c>
      <c r="I244">
        <v>1</v>
      </c>
      <c r="J244">
        <f t="shared" si="40"/>
        <v>0.83290912293510388</v>
      </c>
      <c r="K244">
        <f t="shared" si="41"/>
        <v>-0.87672515177521748</v>
      </c>
      <c r="L244">
        <v>1</v>
      </c>
      <c r="M244">
        <f t="shared" si="42"/>
        <v>0.54453246314213721</v>
      </c>
      <c r="N244">
        <f t="shared" si="43"/>
        <v>0.18629999999999999</v>
      </c>
      <c r="O244">
        <f t="shared" si="44"/>
        <v>4.3815E-2</v>
      </c>
      <c r="P244">
        <f t="shared" si="45"/>
        <v>0.10207768863308028</v>
      </c>
    </row>
    <row r="245" spans="1:16" x14ac:dyDescent="0.3">
      <c r="A245">
        <v>11.6</v>
      </c>
      <c r="B245">
        <v>0.34399999999999997</v>
      </c>
      <c r="C245">
        <f t="shared" si="36"/>
        <v>3.9903999999999997</v>
      </c>
      <c r="D245">
        <v>1.6199999999999999E-2</v>
      </c>
      <c r="E245">
        <v>3.81E-3</v>
      </c>
      <c r="F245">
        <f t="shared" si="37"/>
        <v>2320</v>
      </c>
      <c r="G245">
        <f t="shared" si="38"/>
        <v>-0.34399999999999997</v>
      </c>
      <c r="H245">
        <f t="shared" si="39"/>
        <v>-798.07999999999993</v>
      </c>
      <c r="I245">
        <v>1</v>
      </c>
      <c r="J245">
        <f t="shared" si="40"/>
        <v>0.84156718567821853</v>
      </c>
      <c r="K245">
        <f t="shared" si="41"/>
        <v>-0.87772515177521748</v>
      </c>
      <c r="L245">
        <v>1</v>
      </c>
      <c r="M245">
        <f t="shared" si="42"/>
        <v>0.54489038745593754</v>
      </c>
      <c r="N245">
        <f t="shared" si="43"/>
        <v>0.18791999999999998</v>
      </c>
      <c r="O245">
        <f t="shared" si="44"/>
        <v>4.4195999999999999E-2</v>
      </c>
      <c r="P245">
        <f t="shared" si="45"/>
        <v>0.10071876431927997</v>
      </c>
    </row>
    <row r="246" spans="1:16" x14ac:dyDescent="0.3">
      <c r="A246">
        <v>11.7</v>
      </c>
      <c r="B246">
        <v>0.34200000000000003</v>
      </c>
      <c r="C246">
        <f t="shared" si="36"/>
        <v>4.0014000000000003</v>
      </c>
      <c r="D246">
        <v>1.6199999999999999E-2</v>
      </c>
      <c r="E246">
        <v>3.81E-3</v>
      </c>
      <c r="F246">
        <f t="shared" si="37"/>
        <v>2340</v>
      </c>
      <c r="G246">
        <f t="shared" si="38"/>
        <v>-0.34200000000000003</v>
      </c>
      <c r="H246">
        <f t="shared" si="39"/>
        <v>-800.28000000000009</v>
      </c>
      <c r="I246">
        <v>1</v>
      </c>
      <c r="J246">
        <f t="shared" si="40"/>
        <v>0.85015092936961001</v>
      </c>
      <c r="K246">
        <f t="shared" si="41"/>
        <v>-0.87972515177521737</v>
      </c>
      <c r="L246">
        <v>1</v>
      </c>
      <c r="M246">
        <f t="shared" si="42"/>
        <v>0.54524523942013969</v>
      </c>
      <c r="N246">
        <f t="shared" si="43"/>
        <v>0.18953999999999999</v>
      </c>
      <c r="O246">
        <f t="shared" si="44"/>
        <v>4.4576999999999999E-2</v>
      </c>
      <c r="P246">
        <f t="shared" si="45"/>
        <v>0.10036291235507769</v>
      </c>
    </row>
    <row r="247" spans="1:16" x14ac:dyDescent="0.3">
      <c r="A247">
        <v>11.7</v>
      </c>
      <c r="B247">
        <v>0.33900000000000002</v>
      </c>
      <c r="C247">
        <f t="shared" si="36"/>
        <v>3.9662999999999999</v>
      </c>
      <c r="D247">
        <v>1.6199999999999999E-2</v>
      </c>
      <c r="E247">
        <v>3.81E-3</v>
      </c>
      <c r="F247">
        <f t="shared" si="37"/>
        <v>2340</v>
      </c>
      <c r="G247">
        <f t="shared" si="38"/>
        <v>-0.33900000000000002</v>
      </c>
      <c r="H247">
        <f t="shared" si="39"/>
        <v>-793.26</v>
      </c>
      <c r="I247">
        <v>1</v>
      </c>
      <c r="J247">
        <f t="shared" si="40"/>
        <v>0.85015092936961001</v>
      </c>
      <c r="K247">
        <f t="shared" si="41"/>
        <v>-0.88272515177521749</v>
      </c>
      <c r="L247">
        <v>1</v>
      </c>
      <c r="M247">
        <f t="shared" si="42"/>
        <v>0.54524523942013969</v>
      </c>
      <c r="N247">
        <f t="shared" si="43"/>
        <v>0.18953999999999999</v>
      </c>
      <c r="O247">
        <f t="shared" si="44"/>
        <v>4.4576999999999999E-2</v>
      </c>
      <c r="P247">
        <f t="shared" si="45"/>
        <v>0.1033629123550778</v>
      </c>
    </row>
    <row r="248" spans="1:16" x14ac:dyDescent="0.3">
      <c r="A248">
        <v>11.7</v>
      </c>
      <c r="B248">
        <v>0.34</v>
      </c>
      <c r="C248">
        <f t="shared" si="36"/>
        <v>3.9780000000000002</v>
      </c>
      <c r="D248">
        <v>1.6199999999999999E-2</v>
      </c>
      <c r="E248">
        <v>3.81E-3</v>
      </c>
      <c r="F248">
        <f t="shared" si="37"/>
        <v>2340</v>
      </c>
      <c r="G248">
        <f t="shared" si="38"/>
        <v>-0.34</v>
      </c>
      <c r="H248">
        <f t="shared" si="39"/>
        <v>-795.6</v>
      </c>
      <c r="I248">
        <v>1</v>
      </c>
      <c r="J248">
        <f t="shared" si="40"/>
        <v>0.85015092936961001</v>
      </c>
      <c r="K248">
        <f t="shared" si="41"/>
        <v>-0.88172515177521738</v>
      </c>
      <c r="L248">
        <v>1</v>
      </c>
      <c r="M248">
        <f t="shared" si="42"/>
        <v>0.54524523942013969</v>
      </c>
      <c r="N248">
        <f t="shared" si="43"/>
        <v>0.18953999999999999</v>
      </c>
      <c r="O248">
        <f t="shared" si="44"/>
        <v>4.4576999999999999E-2</v>
      </c>
      <c r="P248">
        <f t="shared" si="45"/>
        <v>0.10236291235507769</v>
      </c>
    </row>
    <row r="249" spans="1:16" x14ac:dyDescent="0.3">
      <c r="A249">
        <v>11.7</v>
      </c>
      <c r="B249">
        <v>0.33900000000000002</v>
      </c>
      <c r="C249">
        <f t="shared" si="36"/>
        <v>3.9662999999999999</v>
      </c>
      <c r="D249">
        <v>1.6199999999999999E-2</v>
      </c>
      <c r="E249">
        <v>3.81E-3</v>
      </c>
      <c r="F249">
        <f t="shared" si="37"/>
        <v>2340</v>
      </c>
      <c r="G249">
        <f t="shared" si="38"/>
        <v>-0.33900000000000002</v>
      </c>
      <c r="H249">
        <f t="shared" si="39"/>
        <v>-793.26</v>
      </c>
      <c r="I249">
        <v>1</v>
      </c>
      <c r="J249">
        <f t="shared" si="40"/>
        <v>0.85015092936961001</v>
      </c>
      <c r="K249">
        <f t="shared" si="41"/>
        <v>-0.88272515177521749</v>
      </c>
      <c r="L249">
        <v>1</v>
      </c>
      <c r="M249">
        <f t="shared" si="42"/>
        <v>0.54524523942013969</v>
      </c>
      <c r="N249">
        <f t="shared" si="43"/>
        <v>0.18953999999999999</v>
      </c>
      <c r="O249">
        <f t="shared" si="44"/>
        <v>4.4576999999999999E-2</v>
      </c>
      <c r="P249">
        <f t="shared" si="45"/>
        <v>0.1033629123550778</v>
      </c>
    </row>
    <row r="250" spans="1:16" x14ac:dyDescent="0.3">
      <c r="A250">
        <v>11.8</v>
      </c>
      <c r="B250">
        <v>0.33600000000000002</v>
      </c>
      <c r="C250">
        <f t="shared" si="36"/>
        <v>3.9648000000000003</v>
      </c>
      <c r="D250">
        <v>1.6199999999999999E-2</v>
      </c>
      <c r="E250">
        <v>3.81E-3</v>
      </c>
      <c r="F250">
        <f t="shared" si="37"/>
        <v>2360</v>
      </c>
      <c r="G250">
        <f t="shared" si="38"/>
        <v>-0.33600000000000002</v>
      </c>
      <c r="H250">
        <f t="shared" si="39"/>
        <v>-792.96</v>
      </c>
      <c r="I250">
        <v>1</v>
      </c>
      <c r="J250">
        <f t="shared" si="40"/>
        <v>0.8586616190375187</v>
      </c>
      <c r="K250">
        <f t="shared" si="41"/>
        <v>-0.88572515177521738</v>
      </c>
      <c r="L250">
        <v>1</v>
      </c>
      <c r="M250">
        <f t="shared" si="42"/>
        <v>0.54559707133101099</v>
      </c>
      <c r="N250">
        <f t="shared" si="43"/>
        <v>0.19116</v>
      </c>
      <c r="O250">
        <f t="shared" si="44"/>
        <v>4.4958000000000005E-2</v>
      </c>
      <c r="P250">
        <f t="shared" si="45"/>
        <v>0.1040100804442064</v>
      </c>
    </row>
    <row r="251" spans="1:16" x14ac:dyDescent="0.3">
      <c r="A251">
        <v>11.8</v>
      </c>
      <c r="B251">
        <v>0.33400000000000002</v>
      </c>
      <c r="C251">
        <f t="shared" si="36"/>
        <v>3.9412000000000003</v>
      </c>
      <c r="D251">
        <v>1.6199999999999999E-2</v>
      </c>
      <c r="E251">
        <v>3.81E-3</v>
      </c>
      <c r="F251">
        <f t="shared" si="37"/>
        <v>2360</v>
      </c>
      <c r="G251">
        <f t="shared" si="38"/>
        <v>-0.33400000000000002</v>
      </c>
      <c r="H251">
        <f t="shared" si="39"/>
        <v>-788.24</v>
      </c>
      <c r="I251">
        <v>1</v>
      </c>
      <c r="J251">
        <f t="shared" si="40"/>
        <v>0.8586616190375187</v>
      </c>
      <c r="K251">
        <f t="shared" si="41"/>
        <v>-0.88772515177521738</v>
      </c>
      <c r="L251">
        <v>1</v>
      </c>
      <c r="M251">
        <f t="shared" si="42"/>
        <v>0.54559707133101099</v>
      </c>
      <c r="N251">
        <f t="shared" si="43"/>
        <v>0.19116</v>
      </c>
      <c r="O251">
        <f t="shared" si="44"/>
        <v>4.4958000000000005E-2</v>
      </c>
      <c r="P251">
        <f t="shared" si="45"/>
        <v>0.1060100804442064</v>
      </c>
    </row>
    <row r="252" spans="1:16" x14ac:dyDescent="0.3">
      <c r="A252">
        <v>11.9</v>
      </c>
      <c r="B252">
        <v>0.33200000000000002</v>
      </c>
      <c r="C252">
        <f t="shared" si="36"/>
        <v>3.9508000000000005</v>
      </c>
      <c r="D252">
        <v>1.6199999999999999E-2</v>
      </c>
      <c r="E252">
        <v>3.81E-3</v>
      </c>
      <c r="F252">
        <f t="shared" si="37"/>
        <v>2380</v>
      </c>
      <c r="G252">
        <f t="shared" si="38"/>
        <v>-0.33200000000000002</v>
      </c>
      <c r="H252">
        <f t="shared" si="39"/>
        <v>-790.16000000000008</v>
      </c>
      <c r="I252">
        <v>1</v>
      </c>
      <c r="J252">
        <f t="shared" si="40"/>
        <v>0.86710048768338333</v>
      </c>
      <c r="K252">
        <f t="shared" si="41"/>
        <v>-0.88972515177521738</v>
      </c>
      <c r="L252">
        <v>1</v>
      </c>
      <c r="M252">
        <f t="shared" si="42"/>
        <v>0.54594593416083104</v>
      </c>
      <c r="N252">
        <f t="shared" si="43"/>
        <v>0.19278000000000001</v>
      </c>
      <c r="O252">
        <f t="shared" si="44"/>
        <v>4.5339000000000004E-2</v>
      </c>
      <c r="P252">
        <f t="shared" si="45"/>
        <v>0.10566021761438633</v>
      </c>
    </row>
    <row r="253" spans="1:16" x14ac:dyDescent="0.3">
      <c r="A253">
        <v>11.9</v>
      </c>
      <c r="B253">
        <v>0.32900000000000001</v>
      </c>
      <c r="C253">
        <f t="shared" si="36"/>
        <v>3.9151000000000002</v>
      </c>
      <c r="D253">
        <v>1.6199999999999999E-2</v>
      </c>
      <c r="E253">
        <v>3.81E-3</v>
      </c>
      <c r="F253">
        <f t="shared" si="37"/>
        <v>2380</v>
      </c>
      <c r="G253">
        <f t="shared" si="38"/>
        <v>-0.32900000000000001</v>
      </c>
      <c r="H253">
        <f t="shared" si="39"/>
        <v>-783.0200000000001</v>
      </c>
      <c r="I253">
        <v>1</v>
      </c>
      <c r="J253">
        <f t="shared" si="40"/>
        <v>0.86710048768338333</v>
      </c>
      <c r="K253">
        <f t="shared" si="41"/>
        <v>-0.8927251517752175</v>
      </c>
      <c r="L253">
        <v>1</v>
      </c>
      <c r="M253">
        <f t="shared" si="42"/>
        <v>0.54594593416083104</v>
      </c>
      <c r="N253">
        <f t="shared" si="43"/>
        <v>0.19278000000000001</v>
      </c>
      <c r="O253">
        <f t="shared" si="44"/>
        <v>4.5339000000000004E-2</v>
      </c>
      <c r="P253">
        <f t="shared" si="45"/>
        <v>0.10866021761438645</v>
      </c>
    </row>
    <row r="254" spans="1:16" x14ac:dyDescent="0.3">
      <c r="A254">
        <v>12</v>
      </c>
      <c r="B254">
        <v>0.32700000000000001</v>
      </c>
      <c r="C254">
        <f t="shared" si="36"/>
        <v>3.9240000000000004</v>
      </c>
      <c r="D254">
        <v>1.6199999999999999E-2</v>
      </c>
      <c r="E254">
        <v>3.81E-3</v>
      </c>
      <c r="F254">
        <f t="shared" si="37"/>
        <v>2400</v>
      </c>
      <c r="G254">
        <f t="shared" si="38"/>
        <v>-0.32700000000000001</v>
      </c>
      <c r="H254">
        <f t="shared" si="39"/>
        <v>-784.80000000000007</v>
      </c>
      <c r="I254">
        <v>1</v>
      </c>
      <c r="J254">
        <f t="shared" si="40"/>
        <v>0.87546873735389985</v>
      </c>
      <c r="K254">
        <f t="shared" si="41"/>
        <v>-0.8947251517752175</v>
      </c>
      <c r="L254">
        <v>1</v>
      </c>
      <c r="M254">
        <f t="shared" si="42"/>
        <v>0.54629187760221021</v>
      </c>
      <c r="N254">
        <f t="shared" si="43"/>
        <v>0.19439999999999999</v>
      </c>
      <c r="O254">
        <f t="shared" si="44"/>
        <v>4.5719999999999997E-2</v>
      </c>
      <c r="P254">
        <f t="shared" si="45"/>
        <v>0.1083132741730073</v>
      </c>
    </row>
    <row r="255" spans="1:16" x14ac:dyDescent="0.3">
      <c r="A255">
        <v>12</v>
      </c>
      <c r="B255">
        <v>0.32500000000000001</v>
      </c>
      <c r="C255">
        <f t="shared" si="36"/>
        <v>3.9000000000000004</v>
      </c>
      <c r="D255">
        <v>1.6199999999999999E-2</v>
      </c>
      <c r="E255">
        <v>3.81E-3</v>
      </c>
      <c r="F255">
        <f t="shared" si="37"/>
        <v>2400</v>
      </c>
      <c r="G255">
        <f t="shared" si="38"/>
        <v>-0.32500000000000001</v>
      </c>
      <c r="H255">
        <f t="shared" si="39"/>
        <v>-780.00000000000011</v>
      </c>
      <c r="I255">
        <v>1</v>
      </c>
      <c r="J255">
        <f t="shared" si="40"/>
        <v>0.87546873735389985</v>
      </c>
      <c r="K255">
        <f t="shared" si="41"/>
        <v>-0.8967251517752175</v>
      </c>
      <c r="L255">
        <v>1</v>
      </c>
      <c r="M255">
        <f t="shared" si="42"/>
        <v>0.54629187760221021</v>
      </c>
      <c r="N255">
        <f t="shared" si="43"/>
        <v>0.19439999999999999</v>
      </c>
      <c r="O255">
        <f t="shared" si="44"/>
        <v>4.5719999999999997E-2</v>
      </c>
      <c r="P255">
        <f t="shared" si="45"/>
        <v>0.11031327417300731</v>
      </c>
    </row>
    <row r="256" spans="1:16" x14ac:dyDescent="0.3">
      <c r="A256">
        <v>12.1</v>
      </c>
      <c r="B256">
        <v>0.32300000000000001</v>
      </c>
      <c r="C256">
        <f t="shared" si="36"/>
        <v>3.9083000000000001</v>
      </c>
      <c r="D256">
        <v>1.6199999999999999E-2</v>
      </c>
      <c r="E256">
        <v>3.81E-3</v>
      </c>
      <c r="F256">
        <f t="shared" si="37"/>
        <v>2420</v>
      </c>
      <c r="G256">
        <f t="shared" si="38"/>
        <v>-0.32300000000000001</v>
      </c>
      <c r="H256">
        <f t="shared" si="39"/>
        <v>-781.66</v>
      </c>
      <c r="I256">
        <v>1</v>
      </c>
      <c r="J256">
        <f t="shared" si="40"/>
        <v>0.88376754016859504</v>
      </c>
      <c r="K256">
        <f t="shared" si="41"/>
        <v>-0.8987251517752175</v>
      </c>
      <c r="L256">
        <v>1</v>
      </c>
      <c r="M256">
        <f t="shared" si="42"/>
        <v>0.54663495011056973</v>
      </c>
      <c r="N256">
        <f t="shared" si="43"/>
        <v>0.19601999999999997</v>
      </c>
      <c r="O256">
        <f t="shared" si="44"/>
        <v>4.6100999999999996E-2</v>
      </c>
      <c r="P256">
        <f t="shared" si="45"/>
        <v>0.1099692016646478</v>
      </c>
    </row>
    <row r="257" spans="1:16" x14ac:dyDescent="0.3">
      <c r="A257">
        <v>12.1</v>
      </c>
      <c r="B257">
        <v>0.32</v>
      </c>
      <c r="C257">
        <f t="shared" si="36"/>
        <v>3.8719999999999999</v>
      </c>
      <c r="D257">
        <v>1.6199999999999999E-2</v>
      </c>
      <c r="E257">
        <v>3.81E-3</v>
      </c>
      <c r="F257">
        <f t="shared" si="37"/>
        <v>2420</v>
      </c>
      <c r="G257">
        <f t="shared" si="38"/>
        <v>-0.32</v>
      </c>
      <c r="H257">
        <f t="shared" si="39"/>
        <v>-774.4</v>
      </c>
      <c r="I257">
        <v>1</v>
      </c>
      <c r="J257">
        <f t="shared" si="40"/>
        <v>0.88376754016859504</v>
      </c>
      <c r="K257">
        <f t="shared" si="41"/>
        <v>-0.90172515177521739</v>
      </c>
      <c r="L257">
        <v>1</v>
      </c>
      <c r="M257">
        <f t="shared" si="42"/>
        <v>0.54663495011056973</v>
      </c>
      <c r="N257">
        <f t="shared" si="43"/>
        <v>0.19601999999999997</v>
      </c>
      <c r="O257">
        <f t="shared" si="44"/>
        <v>4.6100999999999996E-2</v>
      </c>
      <c r="P257">
        <f t="shared" si="45"/>
        <v>0.11296920166464769</v>
      </c>
    </row>
    <row r="258" spans="1:16" x14ac:dyDescent="0.3">
      <c r="A258">
        <v>12.2</v>
      </c>
      <c r="B258">
        <v>0.318</v>
      </c>
      <c r="C258">
        <f t="shared" si="36"/>
        <v>3.8795999999999999</v>
      </c>
      <c r="D258">
        <v>1.6199999999999999E-2</v>
      </c>
      <c r="E258">
        <v>3.81E-3</v>
      </c>
      <c r="F258">
        <f t="shared" si="37"/>
        <v>2440</v>
      </c>
      <c r="G258">
        <f t="shared" si="38"/>
        <v>-0.318</v>
      </c>
      <c r="H258">
        <f t="shared" si="39"/>
        <v>-775.92</v>
      </c>
      <c r="I258">
        <v>1</v>
      </c>
      <c r="J258">
        <f t="shared" si="40"/>
        <v>0.89199803930511046</v>
      </c>
      <c r="K258">
        <f t="shared" si="41"/>
        <v>-0.90372515177521739</v>
      </c>
      <c r="L258">
        <v>1</v>
      </c>
      <c r="M258">
        <f t="shared" si="42"/>
        <v>0.54697519894487323</v>
      </c>
      <c r="N258">
        <f t="shared" si="43"/>
        <v>0.19763999999999998</v>
      </c>
      <c r="O258">
        <f t="shared" si="44"/>
        <v>4.6481999999999996E-2</v>
      </c>
      <c r="P258">
        <f t="shared" si="45"/>
        <v>0.11262795283034419</v>
      </c>
    </row>
    <row r="259" spans="1:16" x14ac:dyDescent="0.3">
      <c r="A259">
        <v>12.2</v>
      </c>
      <c r="B259">
        <v>0.316</v>
      </c>
      <c r="C259">
        <f t="shared" si="36"/>
        <v>3.8552</v>
      </c>
      <c r="D259">
        <v>1.6199999999999999E-2</v>
      </c>
      <c r="E259">
        <v>3.81E-3</v>
      </c>
      <c r="F259">
        <f t="shared" si="37"/>
        <v>2440</v>
      </c>
      <c r="G259">
        <f t="shared" si="38"/>
        <v>-0.316</v>
      </c>
      <c r="H259">
        <f t="shared" si="39"/>
        <v>-771.04</v>
      </c>
      <c r="I259">
        <v>1</v>
      </c>
      <c r="J259">
        <f t="shared" si="40"/>
        <v>0.89199803930511046</v>
      </c>
      <c r="K259">
        <f t="shared" si="41"/>
        <v>-0.9057251517752174</v>
      </c>
      <c r="L259">
        <v>1</v>
      </c>
      <c r="M259">
        <f t="shared" si="42"/>
        <v>0.54697519894487323</v>
      </c>
      <c r="N259">
        <f t="shared" si="43"/>
        <v>0.19763999999999998</v>
      </c>
      <c r="O259">
        <f t="shared" si="44"/>
        <v>4.6481999999999996E-2</v>
      </c>
      <c r="P259">
        <f t="shared" si="45"/>
        <v>0.11462795283034419</v>
      </c>
    </row>
    <row r="260" spans="1:16" x14ac:dyDescent="0.3">
      <c r="A260">
        <v>12.3</v>
      </c>
      <c r="B260">
        <v>0.313</v>
      </c>
      <c r="C260">
        <f t="shared" ref="C260:C303" si="46">A260*B260</f>
        <v>3.8499000000000003</v>
      </c>
      <c r="D260">
        <v>1.6199999999999999E-2</v>
      </c>
      <c r="E260">
        <v>3.81E-3</v>
      </c>
      <c r="F260">
        <f t="shared" ref="F260:F303" si="47">A260*200</f>
        <v>2460</v>
      </c>
      <c r="G260">
        <f t="shared" ref="G260:G303" si="48">-B260</f>
        <v>-0.313</v>
      </c>
      <c r="H260">
        <f t="shared" ref="H260:H303" si="49">-C260*200</f>
        <v>-769.98</v>
      </c>
      <c r="I260">
        <v>1</v>
      </c>
      <c r="J260">
        <f t="shared" ref="J260:J303" si="50">LN(F260/1000)</f>
        <v>0.90016134994427144</v>
      </c>
      <c r="K260">
        <f t="shared" ref="K260:K303" si="51">((-G260)-$N$2)</f>
        <v>-0.90872515177521751</v>
      </c>
      <c r="L260">
        <v>1</v>
      </c>
      <c r="M260">
        <f t="shared" ref="M260:M303" si="52">-1*($S$4+($S$5*J260))</f>
        <v>0.54731267020669616</v>
      </c>
      <c r="N260">
        <f t="shared" ref="N260:N303" si="53">D260*A260</f>
        <v>0.19925999999999999</v>
      </c>
      <c r="O260">
        <f t="shared" ref="O260:O303" si="54">E260*A260</f>
        <v>4.6863000000000002E-2</v>
      </c>
      <c r="P260">
        <f t="shared" ref="P260:P303" si="55">-K260-M260-N260-O260</f>
        <v>0.11528948156852135</v>
      </c>
    </row>
    <row r="261" spans="1:16" x14ac:dyDescent="0.3">
      <c r="A261">
        <v>12.3</v>
      </c>
      <c r="B261">
        <v>0.311</v>
      </c>
      <c r="C261">
        <f t="shared" si="46"/>
        <v>3.8253000000000004</v>
      </c>
      <c r="D261">
        <v>1.6199999999999999E-2</v>
      </c>
      <c r="E261">
        <v>3.81E-3</v>
      </c>
      <c r="F261">
        <f t="shared" si="47"/>
        <v>2460</v>
      </c>
      <c r="G261">
        <f t="shared" si="48"/>
        <v>-0.311</v>
      </c>
      <c r="H261">
        <f t="shared" si="49"/>
        <v>-765.06000000000006</v>
      </c>
      <c r="I261">
        <v>1</v>
      </c>
      <c r="J261">
        <f t="shared" si="50"/>
        <v>0.90016134994427144</v>
      </c>
      <c r="K261">
        <f t="shared" si="51"/>
        <v>-0.91072515177521751</v>
      </c>
      <c r="L261">
        <v>1</v>
      </c>
      <c r="M261">
        <f t="shared" si="52"/>
        <v>0.54731267020669616</v>
      </c>
      <c r="N261">
        <f t="shared" si="53"/>
        <v>0.19925999999999999</v>
      </c>
      <c r="O261">
        <f t="shared" si="54"/>
        <v>4.6863000000000002E-2</v>
      </c>
      <c r="P261">
        <f t="shared" si="55"/>
        <v>0.11728948156852136</v>
      </c>
    </row>
    <row r="262" spans="1:16" x14ac:dyDescent="0.3">
      <c r="A262">
        <v>12.4</v>
      </c>
      <c r="B262">
        <v>0.309</v>
      </c>
      <c r="C262">
        <f t="shared" si="46"/>
        <v>3.8315999999999999</v>
      </c>
      <c r="D262">
        <v>1.6199999999999999E-2</v>
      </c>
      <c r="E262">
        <v>3.81E-3</v>
      </c>
      <c r="F262">
        <f t="shared" si="47"/>
        <v>2480</v>
      </c>
      <c r="G262">
        <f t="shared" si="48"/>
        <v>-0.309</v>
      </c>
      <c r="H262">
        <f t="shared" si="49"/>
        <v>-766.31999999999994</v>
      </c>
      <c r="I262">
        <v>1</v>
      </c>
      <c r="J262">
        <f t="shared" si="50"/>
        <v>0.90825856017689077</v>
      </c>
      <c r="K262">
        <f t="shared" si="51"/>
        <v>-0.91272515177521751</v>
      </c>
      <c r="L262">
        <v>1</v>
      </c>
      <c r="M262">
        <f t="shared" si="52"/>
        <v>0.54764740887771268</v>
      </c>
      <c r="N262">
        <f t="shared" si="53"/>
        <v>0.20088</v>
      </c>
      <c r="O262">
        <f t="shared" si="54"/>
        <v>4.7244000000000001E-2</v>
      </c>
      <c r="P262">
        <f t="shared" si="55"/>
        <v>0.11695374289750482</v>
      </c>
    </row>
    <row r="263" spans="1:16" x14ac:dyDescent="0.3">
      <c r="A263">
        <v>12.4</v>
      </c>
      <c r="B263">
        <v>0.307</v>
      </c>
      <c r="C263">
        <f t="shared" si="46"/>
        <v>3.8068</v>
      </c>
      <c r="D263">
        <v>1.6199999999999999E-2</v>
      </c>
      <c r="E263">
        <v>3.81E-3</v>
      </c>
      <c r="F263">
        <f t="shared" si="47"/>
        <v>2480</v>
      </c>
      <c r="G263">
        <f t="shared" si="48"/>
        <v>-0.307</v>
      </c>
      <c r="H263">
        <f t="shared" si="49"/>
        <v>-761.36</v>
      </c>
      <c r="I263">
        <v>1</v>
      </c>
      <c r="J263">
        <f t="shared" si="50"/>
        <v>0.90825856017689077</v>
      </c>
      <c r="K263">
        <f t="shared" si="51"/>
        <v>-0.91472515177521752</v>
      </c>
      <c r="L263">
        <v>1</v>
      </c>
      <c r="M263">
        <f t="shared" si="52"/>
        <v>0.54764740887771268</v>
      </c>
      <c r="N263">
        <f t="shared" si="53"/>
        <v>0.20088</v>
      </c>
      <c r="O263">
        <f t="shared" si="54"/>
        <v>4.7244000000000001E-2</v>
      </c>
      <c r="P263">
        <f t="shared" si="55"/>
        <v>0.11895374289750482</v>
      </c>
    </row>
    <row r="264" spans="1:16" x14ac:dyDescent="0.3">
      <c r="A264">
        <v>12.5</v>
      </c>
      <c r="B264">
        <v>0.30399999999999999</v>
      </c>
      <c r="C264">
        <f t="shared" si="46"/>
        <v>3.8</v>
      </c>
      <c r="D264">
        <v>1.6199999999999999E-2</v>
      </c>
      <c r="E264">
        <v>3.81E-3</v>
      </c>
      <c r="F264">
        <f t="shared" si="47"/>
        <v>2500</v>
      </c>
      <c r="G264">
        <f t="shared" si="48"/>
        <v>-0.30399999999999999</v>
      </c>
      <c r="H264">
        <f t="shared" si="49"/>
        <v>-760</v>
      </c>
      <c r="I264">
        <v>1</v>
      </c>
      <c r="J264">
        <f t="shared" si="50"/>
        <v>0.91629073187415511</v>
      </c>
      <c r="K264">
        <f t="shared" si="51"/>
        <v>-0.91772515177521741</v>
      </c>
      <c r="L264">
        <v>1</v>
      </c>
      <c r="M264">
        <f t="shared" si="52"/>
        <v>0.54797945885567756</v>
      </c>
      <c r="N264">
        <f t="shared" si="53"/>
        <v>0.20249999999999999</v>
      </c>
      <c r="O264">
        <f t="shared" si="54"/>
        <v>4.7625000000000001E-2</v>
      </c>
      <c r="P264">
        <f t="shared" si="55"/>
        <v>0.11962069291953986</v>
      </c>
    </row>
    <row r="265" spans="1:16" x14ac:dyDescent="0.3">
      <c r="A265">
        <v>12.5</v>
      </c>
      <c r="B265">
        <v>0.30199999999999999</v>
      </c>
      <c r="C265">
        <f t="shared" si="46"/>
        <v>3.7749999999999999</v>
      </c>
      <c r="D265">
        <v>1.6199999999999999E-2</v>
      </c>
      <c r="E265">
        <v>3.81E-3</v>
      </c>
      <c r="F265">
        <f t="shared" si="47"/>
        <v>2500</v>
      </c>
      <c r="G265">
        <f t="shared" si="48"/>
        <v>-0.30199999999999999</v>
      </c>
      <c r="H265">
        <f t="shared" si="49"/>
        <v>-755</v>
      </c>
      <c r="I265">
        <v>1</v>
      </c>
      <c r="J265">
        <f t="shared" si="50"/>
        <v>0.91629073187415511</v>
      </c>
      <c r="K265">
        <f t="shared" si="51"/>
        <v>-0.91972515177521741</v>
      </c>
      <c r="L265">
        <v>1</v>
      </c>
      <c r="M265">
        <f t="shared" si="52"/>
        <v>0.54797945885567756</v>
      </c>
      <c r="N265">
        <f t="shared" si="53"/>
        <v>0.20249999999999999</v>
      </c>
      <c r="O265">
        <f t="shared" si="54"/>
        <v>4.7625000000000001E-2</v>
      </c>
      <c r="P265">
        <f t="shared" si="55"/>
        <v>0.12162069291953986</v>
      </c>
    </row>
    <row r="266" spans="1:16" x14ac:dyDescent="0.3">
      <c r="A266">
        <v>12.6</v>
      </c>
      <c r="B266">
        <v>0.29899999999999999</v>
      </c>
      <c r="C266">
        <f t="shared" si="46"/>
        <v>3.7673999999999999</v>
      </c>
      <c r="D266">
        <v>1.6199999999999999E-2</v>
      </c>
      <c r="E266">
        <v>3.81E-3</v>
      </c>
      <c r="F266">
        <f t="shared" si="47"/>
        <v>2520</v>
      </c>
      <c r="G266">
        <f t="shared" si="48"/>
        <v>-0.29899999999999999</v>
      </c>
      <c r="H266">
        <f t="shared" si="49"/>
        <v>-753.48</v>
      </c>
      <c r="I266">
        <v>1</v>
      </c>
      <c r="J266">
        <f t="shared" si="50"/>
        <v>0.9242589015233319</v>
      </c>
      <c r="K266">
        <f t="shared" si="51"/>
        <v>-0.92272515177521752</v>
      </c>
      <c r="L266">
        <v>1</v>
      </c>
      <c r="M266">
        <f t="shared" si="52"/>
        <v>0.54830886298897452</v>
      </c>
      <c r="N266">
        <f t="shared" si="53"/>
        <v>0.20412</v>
      </c>
      <c r="O266">
        <f t="shared" si="54"/>
        <v>4.8006E-2</v>
      </c>
      <c r="P266">
        <f t="shared" si="55"/>
        <v>0.12229028878624301</v>
      </c>
    </row>
    <row r="267" spans="1:16" x14ac:dyDescent="0.3">
      <c r="A267">
        <v>12.7</v>
      </c>
      <c r="B267">
        <v>0.29699999999999999</v>
      </c>
      <c r="C267">
        <f t="shared" si="46"/>
        <v>3.7718999999999996</v>
      </c>
      <c r="D267">
        <v>1.6199999999999999E-2</v>
      </c>
      <c r="E267">
        <v>3.81E-3</v>
      </c>
      <c r="F267">
        <f t="shared" si="47"/>
        <v>2540</v>
      </c>
      <c r="G267">
        <f t="shared" si="48"/>
        <v>-0.29699999999999999</v>
      </c>
      <c r="H267">
        <f t="shared" si="49"/>
        <v>-754.37999999999988</v>
      </c>
      <c r="I267">
        <v>1</v>
      </c>
      <c r="J267">
        <f t="shared" si="50"/>
        <v>0.93216408103044524</v>
      </c>
      <c r="K267">
        <f t="shared" si="51"/>
        <v>-0.92472515177521752</v>
      </c>
      <c r="L267">
        <v>1</v>
      </c>
      <c r="M267">
        <f t="shared" si="52"/>
        <v>0.54863566310979861</v>
      </c>
      <c r="N267">
        <f t="shared" si="53"/>
        <v>0.20573999999999998</v>
      </c>
      <c r="O267">
        <f t="shared" si="54"/>
        <v>4.8386999999999999E-2</v>
      </c>
      <c r="P267">
        <f t="shared" si="55"/>
        <v>0.12196248866541894</v>
      </c>
    </row>
    <row r="268" spans="1:16" x14ac:dyDescent="0.3">
      <c r="A268">
        <v>12.7</v>
      </c>
      <c r="B268">
        <v>0.29499999999999998</v>
      </c>
      <c r="C268">
        <f t="shared" si="46"/>
        <v>3.7464999999999997</v>
      </c>
      <c r="D268">
        <v>1.6199999999999999E-2</v>
      </c>
      <c r="E268">
        <v>3.81E-3</v>
      </c>
      <c r="F268">
        <f t="shared" si="47"/>
        <v>2540</v>
      </c>
      <c r="G268">
        <f t="shared" si="48"/>
        <v>-0.29499999999999998</v>
      </c>
      <c r="H268">
        <f t="shared" si="49"/>
        <v>-749.3</v>
      </c>
      <c r="I268">
        <v>1</v>
      </c>
      <c r="J268">
        <f t="shared" si="50"/>
        <v>0.93216408103044524</v>
      </c>
      <c r="K268">
        <f t="shared" si="51"/>
        <v>-0.92672515177521753</v>
      </c>
      <c r="L268">
        <v>1</v>
      </c>
      <c r="M268">
        <f t="shared" si="52"/>
        <v>0.54863566310979861</v>
      </c>
      <c r="N268">
        <f t="shared" si="53"/>
        <v>0.20573999999999998</v>
      </c>
      <c r="O268">
        <f t="shared" si="54"/>
        <v>4.8386999999999999E-2</v>
      </c>
      <c r="P268">
        <f t="shared" si="55"/>
        <v>0.12396248866541894</v>
      </c>
    </row>
    <row r="269" spans="1:16" x14ac:dyDescent="0.3">
      <c r="A269">
        <v>12.8</v>
      </c>
      <c r="B269">
        <v>0.29199999999999998</v>
      </c>
      <c r="C269">
        <f t="shared" si="46"/>
        <v>3.7376</v>
      </c>
      <c r="D269">
        <v>1.6199999999999999E-2</v>
      </c>
      <c r="E269">
        <v>3.81E-3</v>
      </c>
      <c r="F269">
        <f t="shared" si="47"/>
        <v>2560</v>
      </c>
      <c r="G269">
        <f t="shared" si="48"/>
        <v>-0.29199999999999998</v>
      </c>
      <c r="H269">
        <f t="shared" si="49"/>
        <v>-747.52</v>
      </c>
      <c r="I269">
        <v>1</v>
      </c>
      <c r="J269">
        <f t="shared" si="50"/>
        <v>0.94000725849147115</v>
      </c>
      <c r="K269">
        <f t="shared" si="51"/>
        <v>-0.92972515177521742</v>
      </c>
      <c r="L269">
        <v>1</v>
      </c>
      <c r="M269">
        <f t="shared" si="52"/>
        <v>0.54895990006603745</v>
      </c>
      <c r="N269">
        <f t="shared" si="53"/>
        <v>0.20735999999999999</v>
      </c>
      <c r="O269">
        <f t="shared" si="54"/>
        <v>4.8768000000000006E-2</v>
      </c>
      <c r="P269">
        <f t="shared" si="55"/>
        <v>0.12463725170917997</v>
      </c>
    </row>
    <row r="270" spans="1:16" x14ac:dyDescent="0.3">
      <c r="A270">
        <v>12.8</v>
      </c>
      <c r="B270">
        <v>0.28999999999999998</v>
      </c>
      <c r="C270">
        <f t="shared" si="46"/>
        <v>3.7119999999999997</v>
      </c>
      <c r="D270">
        <v>1.6199999999999999E-2</v>
      </c>
      <c r="E270">
        <v>3.81E-3</v>
      </c>
      <c r="F270">
        <f t="shared" si="47"/>
        <v>2560</v>
      </c>
      <c r="G270">
        <f t="shared" si="48"/>
        <v>-0.28999999999999998</v>
      </c>
      <c r="H270">
        <f t="shared" si="49"/>
        <v>-742.4</v>
      </c>
      <c r="I270">
        <v>1</v>
      </c>
      <c r="J270">
        <f t="shared" si="50"/>
        <v>0.94000725849147115</v>
      </c>
      <c r="K270">
        <f t="shared" si="51"/>
        <v>-0.93172515177521742</v>
      </c>
      <c r="L270">
        <v>1</v>
      </c>
      <c r="M270">
        <f t="shared" si="52"/>
        <v>0.54895990006603745</v>
      </c>
      <c r="N270">
        <f t="shared" si="53"/>
        <v>0.20735999999999999</v>
      </c>
      <c r="O270">
        <f t="shared" si="54"/>
        <v>4.8768000000000006E-2</v>
      </c>
      <c r="P270">
        <f t="shared" si="55"/>
        <v>0.12663725170917997</v>
      </c>
    </row>
    <row r="271" spans="1:16" x14ac:dyDescent="0.3">
      <c r="A271">
        <v>12.9</v>
      </c>
      <c r="B271">
        <v>0.28699999999999998</v>
      </c>
      <c r="C271">
        <f t="shared" si="46"/>
        <v>3.7022999999999997</v>
      </c>
      <c r="D271">
        <v>1.6199999999999999E-2</v>
      </c>
      <c r="E271">
        <v>3.81E-3</v>
      </c>
      <c r="F271">
        <f t="shared" si="47"/>
        <v>2580</v>
      </c>
      <c r="G271">
        <f t="shared" si="48"/>
        <v>-0.28699999999999998</v>
      </c>
      <c r="H271">
        <f t="shared" si="49"/>
        <v>-740.45999999999992</v>
      </c>
      <c r="I271">
        <v>1</v>
      </c>
      <c r="J271">
        <f t="shared" si="50"/>
        <v>0.94778939893352609</v>
      </c>
      <c r="K271">
        <f t="shared" si="51"/>
        <v>-0.93472515177521753</v>
      </c>
      <c r="L271">
        <v>1</v>
      </c>
      <c r="M271">
        <f t="shared" si="52"/>
        <v>0.54928161375191198</v>
      </c>
      <c r="N271">
        <f t="shared" si="53"/>
        <v>0.20898</v>
      </c>
      <c r="O271">
        <f t="shared" si="54"/>
        <v>4.9148999999999998E-2</v>
      </c>
      <c r="P271">
        <f t="shared" si="55"/>
        <v>0.12731453802330556</v>
      </c>
    </row>
    <row r="272" spans="1:16" x14ac:dyDescent="0.3">
      <c r="A272">
        <v>12.9</v>
      </c>
      <c r="B272">
        <v>0.28499999999999998</v>
      </c>
      <c r="C272">
        <f t="shared" si="46"/>
        <v>3.6764999999999999</v>
      </c>
      <c r="D272">
        <v>1.6199999999999999E-2</v>
      </c>
      <c r="E272">
        <v>3.81E-3</v>
      </c>
      <c r="F272">
        <f t="shared" si="47"/>
        <v>2580</v>
      </c>
      <c r="G272">
        <f t="shared" si="48"/>
        <v>-0.28499999999999998</v>
      </c>
      <c r="H272">
        <f t="shared" si="49"/>
        <v>-735.3</v>
      </c>
      <c r="I272">
        <v>1</v>
      </c>
      <c r="J272">
        <f t="shared" si="50"/>
        <v>0.94778939893352609</v>
      </c>
      <c r="K272">
        <f t="shared" si="51"/>
        <v>-0.93672515177521753</v>
      </c>
      <c r="L272">
        <v>1</v>
      </c>
      <c r="M272">
        <f t="shared" si="52"/>
        <v>0.54928161375191198</v>
      </c>
      <c r="N272">
        <f t="shared" si="53"/>
        <v>0.20898</v>
      </c>
      <c r="O272">
        <f t="shared" si="54"/>
        <v>4.9148999999999998E-2</v>
      </c>
      <c r="P272">
        <f t="shared" si="55"/>
        <v>0.12931453802330556</v>
      </c>
    </row>
    <row r="273" spans="1:16" x14ac:dyDescent="0.3">
      <c r="A273">
        <v>13</v>
      </c>
      <c r="B273">
        <v>0.28199999999999997</v>
      </c>
      <c r="C273">
        <f t="shared" si="46"/>
        <v>3.6659999999999995</v>
      </c>
      <c r="D273">
        <v>1.6199999999999999E-2</v>
      </c>
      <c r="E273">
        <v>3.81E-3</v>
      </c>
      <c r="F273">
        <f t="shared" si="47"/>
        <v>2600</v>
      </c>
      <c r="G273">
        <f t="shared" si="48"/>
        <v>-0.28199999999999997</v>
      </c>
      <c r="H273">
        <f t="shared" si="49"/>
        <v>-733.19999999999993</v>
      </c>
      <c r="I273">
        <v>1</v>
      </c>
      <c r="J273">
        <f t="shared" si="50"/>
        <v>0.95551144502743635</v>
      </c>
      <c r="K273">
        <f t="shared" si="51"/>
        <v>-0.93972515177521743</v>
      </c>
      <c r="L273">
        <v>1</v>
      </c>
      <c r="M273">
        <f t="shared" si="52"/>
        <v>0.54960084313743418</v>
      </c>
      <c r="N273">
        <f t="shared" si="53"/>
        <v>0.21059999999999998</v>
      </c>
      <c r="O273">
        <f t="shared" si="54"/>
        <v>4.9529999999999998E-2</v>
      </c>
      <c r="P273">
        <f t="shared" si="55"/>
        <v>0.12999430863778327</v>
      </c>
    </row>
    <row r="274" spans="1:16" x14ac:dyDescent="0.3">
      <c r="A274">
        <v>13</v>
      </c>
      <c r="B274">
        <v>0.28000000000000003</v>
      </c>
      <c r="C274">
        <f t="shared" si="46"/>
        <v>3.6400000000000006</v>
      </c>
      <c r="D274">
        <v>1.6199999999999999E-2</v>
      </c>
      <c r="E274">
        <v>3.81E-3</v>
      </c>
      <c r="F274">
        <f t="shared" si="47"/>
        <v>2600</v>
      </c>
      <c r="G274">
        <f t="shared" si="48"/>
        <v>-0.28000000000000003</v>
      </c>
      <c r="H274">
        <f t="shared" si="49"/>
        <v>-728.00000000000011</v>
      </c>
      <c r="I274">
        <v>1</v>
      </c>
      <c r="J274">
        <f t="shared" si="50"/>
        <v>0.95551144502743635</v>
      </c>
      <c r="K274">
        <f t="shared" si="51"/>
        <v>-0.94172515177521743</v>
      </c>
      <c r="L274">
        <v>1</v>
      </c>
      <c r="M274">
        <f t="shared" si="52"/>
        <v>0.54960084313743418</v>
      </c>
      <c r="N274">
        <f t="shared" si="53"/>
        <v>0.21059999999999998</v>
      </c>
      <c r="O274">
        <f t="shared" si="54"/>
        <v>4.9529999999999998E-2</v>
      </c>
      <c r="P274">
        <f t="shared" si="55"/>
        <v>0.13199430863778328</v>
      </c>
    </row>
    <row r="275" spans="1:16" x14ac:dyDescent="0.3">
      <c r="A275">
        <v>13.1</v>
      </c>
      <c r="B275">
        <v>0.27800000000000002</v>
      </c>
      <c r="C275">
        <f t="shared" si="46"/>
        <v>3.6418000000000004</v>
      </c>
      <c r="D275">
        <v>1.6199999999999999E-2</v>
      </c>
      <c r="E275">
        <v>3.81E-3</v>
      </c>
      <c r="F275">
        <f t="shared" si="47"/>
        <v>2620</v>
      </c>
      <c r="G275">
        <f t="shared" si="48"/>
        <v>-0.27800000000000002</v>
      </c>
      <c r="H275">
        <f t="shared" si="49"/>
        <v>-728.36000000000013</v>
      </c>
      <c r="I275">
        <v>1</v>
      </c>
      <c r="J275">
        <f t="shared" si="50"/>
        <v>0.96317431777300555</v>
      </c>
      <c r="K275">
        <f t="shared" si="51"/>
        <v>-0.94372515177521743</v>
      </c>
      <c r="L275">
        <v>1</v>
      </c>
      <c r="M275">
        <f t="shared" si="52"/>
        <v>0.54991762629673602</v>
      </c>
      <c r="N275">
        <f t="shared" si="53"/>
        <v>0.21221999999999999</v>
      </c>
      <c r="O275">
        <f t="shared" si="54"/>
        <v>4.9910999999999997E-2</v>
      </c>
      <c r="P275">
        <f t="shared" si="55"/>
        <v>0.13167652547848141</v>
      </c>
    </row>
    <row r="276" spans="1:16" x14ac:dyDescent="0.3">
      <c r="A276">
        <v>13.1</v>
      </c>
      <c r="B276">
        <v>0.27500000000000002</v>
      </c>
      <c r="C276">
        <f t="shared" si="46"/>
        <v>3.6025</v>
      </c>
      <c r="D276">
        <v>1.6199999999999999E-2</v>
      </c>
      <c r="E276">
        <v>3.81E-3</v>
      </c>
      <c r="F276">
        <f t="shared" si="47"/>
        <v>2620</v>
      </c>
      <c r="G276">
        <f t="shared" si="48"/>
        <v>-0.27500000000000002</v>
      </c>
      <c r="H276">
        <f t="shared" si="49"/>
        <v>-720.5</v>
      </c>
      <c r="I276">
        <v>1</v>
      </c>
      <c r="J276">
        <f t="shared" si="50"/>
        <v>0.96317431777300555</v>
      </c>
      <c r="K276">
        <f t="shared" si="51"/>
        <v>-0.94672515177521743</v>
      </c>
      <c r="L276">
        <v>1</v>
      </c>
      <c r="M276">
        <f t="shared" si="52"/>
        <v>0.54991762629673602</v>
      </c>
      <c r="N276">
        <f t="shared" si="53"/>
        <v>0.21221999999999999</v>
      </c>
      <c r="O276">
        <f t="shared" si="54"/>
        <v>4.9910999999999997E-2</v>
      </c>
      <c r="P276">
        <f t="shared" si="55"/>
        <v>0.13467652547848141</v>
      </c>
    </row>
    <row r="277" spans="1:16" x14ac:dyDescent="0.3">
      <c r="A277">
        <v>13.2</v>
      </c>
      <c r="B277">
        <v>0.27300000000000002</v>
      </c>
      <c r="C277">
        <f t="shared" si="46"/>
        <v>3.6036000000000001</v>
      </c>
      <c r="D277">
        <v>1.6199999999999999E-2</v>
      </c>
      <c r="E277">
        <v>3.81E-3</v>
      </c>
      <c r="F277">
        <f t="shared" si="47"/>
        <v>2640</v>
      </c>
      <c r="G277">
        <f t="shared" si="48"/>
        <v>-0.27300000000000002</v>
      </c>
      <c r="H277">
        <f t="shared" si="49"/>
        <v>-720.72</v>
      </c>
      <c r="I277">
        <v>1</v>
      </c>
      <c r="J277">
        <f t="shared" si="50"/>
        <v>0.97077891715822484</v>
      </c>
      <c r="K277">
        <f t="shared" si="51"/>
        <v>-0.94872515177521743</v>
      </c>
      <c r="L277">
        <v>1</v>
      </c>
      <c r="M277">
        <f t="shared" si="52"/>
        <v>0.55023200043532106</v>
      </c>
      <c r="N277">
        <f t="shared" si="53"/>
        <v>0.21383999999999997</v>
      </c>
      <c r="O277">
        <f t="shared" si="54"/>
        <v>5.0291999999999996E-2</v>
      </c>
      <c r="P277">
        <f t="shared" si="55"/>
        <v>0.1343611513398964</v>
      </c>
    </row>
    <row r="278" spans="1:16" x14ac:dyDescent="0.3">
      <c r="A278">
        <v>13.2</v>
      </c>
      <c r="B278">
        <v>0.27</v>
      </c>
      <c r="C278">
        <f t="shared" si="46"/>
        <v>3.5640000000000001</v>
      </c>
      <c r="D278">
        <v>1.6199999999999999E-2</v>
      </c>
      <c r="E278">
        <v>3.81E-3</v>
      </c>
      <c r="F278">
        <f t="shared" si="47"/>
        <v>2640</v>
      </c>
      <c r="G278">
        <f t="shared" si="48"/>
        <v>-0.27</v>
      </c>
      <c r="H278">
        <f t="shared" si="49"/>
        <v>-712.8</v>
      </c>
      <c r="I278">
        <v>1</v>
      </c>
      <c r="J278">
        <f t="shared" si="50"/>
        <v>0.97077891715822484</v>
      </c>
      <c r="K278">
        <f t="shared" si="51"/>
        <v>-0.95172515177521744</v>
      </c>
      <c r="L278">
        <v>1</v>
      </c>
      <c r="M278">
        <f t="shared" si="52"/>
        <v>0.55023200043532106</v>
      </c>
      <c r="N278">
        <f t="shared" si="53"/>
        <v>0.21383999999999997</v>
      </c>
      <c r="O278">
        <f t="shared" si="54"/>
        <v>5.0291999999999996E-2</v>
      </c>
      <c r="P278">
        <f t="shared" si="55"/>
        <v>0.1373611513398964</v>
      </c>
    </row>
    <row r="279" spans="1:16" x14ac:dyDescent="0.3">
      <c r="A279">
        <v>13.3</v>
      </c>
      <c r="B279">
        <v>0.26800000000000002</v>
      </c>
      <c r="C279">
        <f t="shared" si="46"/>
        <v>3.5644000000000005</v>
      </c>
      <c r="D279">
        <v>1.6199999999999999E-2</v>
      </c>
      <c r="E279">
        <v>3.81E-3</v>
      </c>
      <c r="F279">
        <f t="shared" si="47"/>
        <v>2660</v>
      </c>
      <c r="G279">
        <f t="shared" si="48"/>
        <v>-0.26800000000000002</v>
      </c>
      <c r="H279">
        <f t="shared" si="49"/>
        <v>-712.88000000000011</v>
      </c>
      <c r="I279">
        <v>1</v>
      </c>
      <c r="J279">
        <f t="shared" si="50"/>
        <v>0.97832612279360776</v>
      </c>
      <c r="K279">
        <f t="shared" si="51"/>
        <v>-0.95372515177521744</v>
      </c>
      <c r="L279">
        <v>1</v>
      </c>
      <c r="M279">
        <f t="shared" si="52"/>
        <v>0.55054400191628772</v>
      </c>
      <c r="N279">
        <f t="shared" si="53"/>
        <v>0.21546000000000001</v>
      </c>
      <c r="O279">
        <f t="shared" si="54"/>
        <v>5.0673000000000003E-2</v>
      </c>
      <c r="P279">
        <f t="shared" si="55"/>
        <v>0.13704814985892971</v>
      </c>
    </row>
    <row r="280" spans="1:16" x14ac:dyDescent="0.3">
      <c r="A280">
        <v>13.3</v>
      </c>
      <c r="B280">
        <v>0.26500000000000001</v>
      </c>
      <c r="C280">
        <f t="shared" si="46"/>
        <v>3.5245000000000002</v>
      </c>
      <c r="D280">
        <v>1.6199999999999999E-2</v>
      </c>
      <c r="E280">
        <v>3.81E-3</v>
      </c>
      <c r="F280">
        <f t="shared" si="47"/>
        <v>2660</v>
      </c>
      <c r="G280">
        <f t="shared" si="48"/>
        <v>-0.26500000000000001</v>
      </c>
      <c r="H280">
        <f t="shared" si="49"/>
        <v>-704.90000000000009</v>
      </c>
      <c r="I280">
        <v>1</v>
      </c>
      <c r="J280">
        <f t="shared" si="50"/>
        <v>0.97832612279360776</v>
      </c>
      <c r="K280">
        <f t="shared" si="51"/>
        <v>-0.95672515177521744</v>
      </c>
      <c r="L280">
        <v>1</v>
      </c>
      <c r="M280">
        <f t="shared" si="52"/>
        <v>0.55054400191628772</v>
      </c>
      <c r="N280">
        <f t="shared" si="53"/>
        <v>0.21546000000000001</v>
      </c>
      <c r="O280">
        <f t="shared" si="54"/>
        <v>5.0673000000000003E-2</v>
      </c>
      <c r="P280">
        <f t="shared" si="55"/>
        <v>0.14004814985892972</v>
      </c>
    </row>
    <row r="281" spans="1:16" x14ac:dyDescent="0.3">
      <c r="A281">
        <v>13.4</v>
      </c>
      <c r="B281">
        <v>0.26300000000000001</v>
      </c>
      <c r="C281">
        <f t="shared" si="46"/>
        <v>3.5242000000000004</v>
      </c>
      <c r="D281">
        <v>1.6199999999999999E-2</v>
      </c>
      <c r="E281">
        <v>3.81E-3</v>
      </c>
      <c r="F281">
        <f t="shared" si="47"/>
        <v>2680</v>
      </c>
      <c r="G281">
        <f t="shared" si="48"/>
        <v>-0.26300000000000001</v>
      </c>
      <c r="H281">
        <f t="shared" si="49"/>
        <v>-704.84000000000015</v>
      </c>
      <c r="I281">
        <v>1</v>
      </c>
      <c r="J281">
        <f t="shared" si="50"/>
        <v>0.98581679452276538</v>
      </c>
      <c r="K281">
        <f t="shared" si="51"/>
        <v>-0.95872515177521744</v>
      </c>
      <c r="L281">
        <v>1</v>
      </c>
      <c r="M281">
        <f t="shared" si="52"/>
        <v>0.55085366628557109</v>
      </c>
      <c r="N281">
        <f t="shared" si="53"/>
        <v>0.21708</v>
      </c>
      <c r="O281">
        <f t="shared" si="54"/>
        <v>5.1054000000000002E-2</v>
      </c>
      <c r="P281">
        <f t="shared" si="55"/>
        <v>0.13973748548964637</v>
      </c>
    </row>
    <row r="282" spans="1:16" x14ac:dyDescent="0.3">
      <c r="A282">
        <v>13.4</v>
      </c>
      <c r="B282">
        <v>0.25900000000000001</v>
      </c>
      <c r="C282">
        <f t="shared" si="46"/>
        <v>3.4706000000000001</v>
      </c>
      <c r="D282">
        <v>1.6199999999999999E-2</v>
      </c>
      <c r="E282">
        <v>3.81E-3</v>
      </c>
      <c r="F282">
        <f t="shared" si="47"/>
        <v>2680</v>
      </c>
      <c r="G282">
        <f t="shared" si="48"/>
        <v>-0.25900000000000001</v>
      </c>
      <c r="H282">
        <f t="shared" si="49"/>
        <v>-694.12</v>
      </c>
      <c r="I282">
        <v>1</v>
      </c>
      <c r="J282">
        <f t="shared" si="50"/>
        <v>0.98581679452276538</v>
      </c>
      <c r="K282">
        <f t="shared" si="51"/>
        <v>-0.96272515177521745</v>
      </c>
      <c r="L282">
        <v>1</v>
      </c>
      <c r="M282">
        <f t="shared" si="52"/>
        <v>0.55085366628557109</v>
      </c>
      <c r="N282">
        <f t="shared" si="53"/>
        <v>0.21708</v>
      </c>
      <c r="O282">
        <f t="shared" si="54"/>
        <v>5.1054000000000002E-2</v>
      </c>
      <c r="P282">
        <f t="shared" si="55"/>
        <v>0.14373748548964638</v>
      </c>
    </row>
    <row r="283" spans="1:16" x14ac:dyDescent="0.3">
      <c r="A283">
        <v>13.5</v>
      </c>
      <c r="B283">
        <v>0.25700000000000001</v>
      </c>
      <c r="C283">
        <f t="shared" si="46"/>
        <v>3.4695</v>
      </c>
      <c r="D283">
        <v>1.6199999999999999E-2</v>
      </c>
      <c r="E283">
        <v>3.81E-3</v>
      </c>
      <c r="F283">
        <f t="shared" si="47"/>
        <v>2700</v>
      </c>
      <c r="G283">
        <f t="shared" si="48"/>
        <v>-0.25700000000000001</v>
      </c>
      <c r="H283">
        <f t="shared" si="49"/>
        <v>-693.9</v>
      </c>
      <c r="I283">
        <v>1</v>
      </c>
      <c r="J283">
        <f t="shared" si="50"/>
        <v>0.99325177301028345</v>
      </c>
      <c r="K283">
        <f t="shared" si="51"/>
        <v>-0.96472515177521745</v>
      </c>
      <c r="L283">
        <v>1</v>
      </c>
      <c r="M283">
        <f t="shared" si="52"/>
        <v>0.55116102829624514</v>
      </c>
      <c r="N283">
        <f t="shared" si="53"/>
        <v>0.21869999999999998</v>
      </c>
      <c r="O283">
        <f t="shared" si="54"/>
        <v>5.1435000000000002E-2</v>
      </c>
      <c r="P283">
        <f t="shared" si="55"/>
        <v>0.14342912347897233</v>
      </c>
    </row>
    <row r="284" spans="1:16" x14ac:dyDescent="0.3">
      <c r="A284">
        <v>13.5</v>
      </c>
      <c r="B284">
        <v>0.254</v>
      </c>
      <c r="C284">
        <f t="shared" si="46"/>
        <v>3.4290000000000003</v>
      </c>
      <c r="D284">
        <v>1.6199999999999999E-2</v>
      </c>
      <c r="E284">
        <v>3.81E-3</v>
      </c>
      <c r="F284">
        <f t="shared" si="47"/>
        <v>2700</v>
      </c>
      <c r="G284">
        <f t="shared" si="48"/>
        <v>-0.254</v>
      </c>
      <c r="H284">
        <f t="shared" si="49"/>
        <v>-685.80000000000007</v>
      </c>
      <c r="I284">
        <v>1</v>
      </c>
      <c r="J284">
        <f t="shared" si="50"/>
        <v>0.99325177301028345</v>
      </c>
      <c r="K284">
        <f t="shared" si="51"/>
        <v>-0.96772515177521745</v>
      </c>
      <c r="L284">
        <v>1</v>
      </c>
      <c r="M284">
        <f t="shared" si="52"/>
        <v>0.55116102829624514</v>
      </c>
      <c r="N284">
        <f t="shared" si="53"/>
        <v>0.21869999999999998</v>
      </c>
      <c r="O284">
        <f t="shared" si="54"/>
        <v>5.1435000000000002E-2</v>
      </c>
      <c r="P284">
        <f t="shared" si="55"/>
        <v>0.14642912347897233</v>
      </c>
    </row>
    <row r="285" spans="1:16" x14ac:dyDescent="0.3">
      <c r="A285">
        <v>13.6</v>
      </c>
      <c r="B285">
        <v>0.252</v>
      </c>
      <c r="C285">
        <f t="shared" si="46"/>
        <v>3.4272</v>
      </c>
      <c r="D285">
        <v>1.6199999999999999E-2</v>
      </c>
      <c r="E285">
        <v>3.81E-3</v>
      </c>
      <c r="F285">
        <f t="shared" si="47"/>
        <v>2720</v>
      </c>
      <c r="G285">
        <f t="shared" si="48"/>
        <v>-0.252</v>
      </c>
      <c r="H285">
        <f t="shared" si="49"/>
        <v>-685.44</v>
      </c>
      <c r="I285">
        <v>1</v>
      </c>
      <c r="J285">
        <f t="shared" si="50"/>
        <v>1.000631880307906</v>
      </c>
      <c r="K285">
        <f t="shared" si="51"/>
        <v>-0.96972515177521745</v>
      </c>
      <c r="L285">
        <v>1</v>
      </c>
      <c r="M285">
        <f t="shared" si="52"/>
        <v>0.55146612193192879</v>
      </c>
      <c r="N285">
        <f t="shared" si="53"/>
        <v>0.22031999999999999</v>
      </c>
      <c r="O285">
        <f t="shared" si="54"/>
        <v>5.1816000000000001E-2</v>
      </c>
      <c r="P285">
        <f t="shared" si="55"/>
        <v>0.14612302984328868</v>
      </c>
    </row>
    <row r="286" spans="1:16" x14ac:dyDescent="0.3">
      <c r="A286">
        <v>13.6</v>
      </c>
      <c r="B286">
        <v>0.252</v>
      </c>
      <c r="C286">
        <f t="shared" si="46"/>
        <v>3.4272</v>
      </c>
      <c r="D286">
        <v>1.6199999999999999E-2</v>
      </c>
      <c r="E286">
        <v>3.81E-3</v>
      </c>
      <c r="F286">
        <f t="shared" si="47"/>
        <v>2720</v>
      </c>
      <c r="G286">
        <f t="shared" si="48"/>
        <v>-0.252</v>
      </c>
      <c r="H286">
        <f t="shared" si="49"/>
        <v>-685.44</v>
      </c>
      <c r="I286">
        <v>1</v>
      </c>
      <c r="J286">
        <f t="shared" si="50"/>
        <v>1.000631880307906</v>
      </c>
      <c r="K286">
        <f t="shared" si="51"/>
        <v>-0.96972515177521745</v>
      </c>
      <c r="L286">
        <v>1</v>
      </c>
      <c r="M286">
        <f t="shared" si="52"/>
        <v>0.55146612193192879</v>
      </c>
      <c r="N286">
        <f t="shared" si="53"/>
        <v>0.22031999999999999</v>
      </c>
      <c r="O286">
        <f t="shared" si="54"/>
        <v>5.1816000000000001E-2</v>
      </c>
      <c r="P286">
        <f t="shared" si="55"/>
        <v>0.14612302984328868</v>
      </c>
    </row>
    <row r="287" spans="1:16" x14ac:dyDescent="0.3">
      <c r="C287">
        <f t="shared" si="46"/>
        <v>0</v>
      </c>
      <c r="D287">
        <v>1.6E-2</v>
      </c>
      <c r="E287">
        <v>3.8158201924077539E-3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1:16" x14ac:dyDescent="0.3">
      <c r="C288">
        <f t="shared" si="46"/>
        <v>0</v>
      </c>
      <c r="D288">
        <v>1.6E-2</v>
      </c>
      <c r="E288">
        <v>3.8158201924077539E-3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1.6E-2</v>
      </c>
      <c r="E289">
        <v>3.8158201924077539E-3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1.6E-2</v>
      </c>
      <c r="E290">
        <v>3.8158201924077539E-3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1.6E-2</v>
      </c>
      <c r="E291">
        <v>3.8158201924077539E-3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1.6E-2</v>
      </c>
      <c r="E292">
        <v>3.8158201924077539E-3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1.6E-2</v>
      </c>
      <c r="E293">
        <v>3.8158201924077539E-3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1.6E-2</v>
      </c>
      <c r="E294">
        <v>3.8158201924077539E-3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1.6E-2</v>
      </c>
      <c r="E295">
        <v>3.8158201924077539E-3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1.6E-2</v>
      </c>
      <c r="E296">
        <v>3.8158201924077539E-3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1.6E-2</v>
      </c>
      <c r="E297">
        <v>3.8158201924077539E-3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1.6E-2</v>
      </c>
      <c r="E298">
        <v>3.8158201924077539E-3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1.6E-2</v>
      </c>
      <c r="E299">
        <v>3.8158201924077539E-3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1.6E-2</v>
      </c>
      <c r="E300">
        <v>3.8158201924077539E-3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1.6E-2</v>
      </c>
      <c r="E301">
        <v>3.8158201924077539E-3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1.6E-2</v>
      </c>
      <c r="E302">
        <v>3.8158201924077539E-3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1.6E-2</v>
      </c>
      <c r="E303">
        <v>3.8158201924077539E-3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23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23" si="28">K194-$I$1</f>
        <v>-0.65273690721887978</v>
      </c>
      <c r="N194">
        <v>2004.2352000000001</v>
      </c>
      <c r="O194">
        <f t="shared" ref="O194:O232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2026-06-15T03:00:33Z</dcterms:modified>
</cp:coreProperties>
</file>