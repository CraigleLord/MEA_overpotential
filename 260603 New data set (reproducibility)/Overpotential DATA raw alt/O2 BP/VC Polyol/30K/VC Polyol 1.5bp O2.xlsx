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VC Polyol\30K\"/>
    </mc:Choice>
  </mc:AlternateContent>
  <xr:revisionPtr revIDLastSave="0" documentId="13_ncr:1_{D2D01130-5250-45DB-B351-0B1032ADB048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I211" i="2"/>
  <c r="K211" i="2" s="1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K189" i="2" s="1"/>
  <c r="F189" i="2"/>
  <c r="E189" i="2"/>
  <c r="B189" i="2"/>
  <c r="O188" i="2"/>
  <c r="K188" i="2"/>
  <c r="I188" i="2"/>
  <c r="F188" i="2"/>
  <c r="E188" i="2"/>
  <c r="B188" i="2"/>
  <c r="O187" i="2"/>
  <c r="I187" i="2"/>
  <c r="K187" i="2" s="1"/>
  <c r="F187" i="2"/>
  <c r="B187" i="2"/>
  <c r="E187" i="2" s="1"/>
  <c r="O186" i="2"/>
  <c r="I186" i="2"/>
  <c r="K186" i="2" s="1"/>
  <c r="F186" i="2"/>
  <c r="B186" i="2"/>
  <c r="E186" i="2" s="1"/>
  <c r="O185" i="2"/>
  <c r="I185" i="2"/>
  <c r="K185" i="2" s="1"/>
  <c r="F185" i="2"/>
  <c r="E185" i="2"/>
  <c r="B185" i="2"/>
  <c r="O184" i="2"/>
  <c r="K184" i="2"/>
  <c r="I184" i="2"/>
  <c r="F184" i="2"/>
  <c r="B184" i="2"/>
  <c r="E184" i="2" s="1"/>
  <c r="O183" i="2"/>
  <c r="I183" i="2"/>
  <c r="K183" i="2" s="1"/>
  <c r="F183" i="2"/>
  <c r="B183" i="2"/>
  <c r="E183" i="2" s="1"/>
  <c r="O182" i="2"/>
  <c r="I182" i="2"/>
  <c r="K182" i="2" s="1"/>
  <c r="F182" i="2"/>
  <c r="B182" i="2"/>
  <c r="E182" i="2" s="1"/>
  <c r="O181" i="2"/>
  <c r="I181" i="2"/>
  <c r="K181" i="2" s="1"/>
  <c r="F181" i="2"/>
  <c r="E181" i="2"/>
  <c r="B181" i="2"/>
  <c r="O180" i="2"/>
  <c r="K180" i="2"/>
  <c r="I180" i="2"/>
  <c r="F180" i="2"/>
  <c r="B180" i="2"/>
  <c r="E180" i="2" s="1"/>
  <c r="O179" i="2"/>
  <c r="I179" i="2"/>
  <c r="K179" i="2" s="1"/>
  <c r="F179" i="2"/>
  <c r="B179" i="2"/>
  <c r="E179" i="2" s="1"/>
  <c r="O178" i="2"/>
  <c r="I178" i="2"/>
  <c r="K178" i="2" s="1"/>
  <c r="F178" i="2"/>
  <c r="B178" i="2"/>
  <c r="E178" i="2" s="1"/>
  <c r="O177" i="2"/>
  <c r="I177" i="2"/>
  <c r="K177" i="2" s="1"/>
  <c r="F177" i="2"/>
  <c r="E177" i="2"/>
  <c r="B177" i="2"/>
  <c r="O176" i="2"/>
  <c r="K176" i="2"/>
  <c r="I176" i="2"/>
  <c r="F176" i="2"/>
  <c r="B176" i="2"/>
  <c r="E176" i="2" s="1"/>
  <c r="O175" i="2"/>
  <c r="I175" i="2"/>
  <c r="K175" i="2" s="1"/>
  <c r="F175" i="2"/>
  <c r="B175" i="2"/>
  <c r="E175" i="2" s="1"/>
  <c r="O174" i="2"/>
  <c r="I174" i="2"/>
  <c r="K174" i="2" s="1"/>
  <c r="F174" i="2"/>
  <c r="E174" i="2"/>
  <c r="B174" i="2"/>
  <c r="O173" i="2"/>
  <c r="I173" i="2"/>
  <c r="F173" i="2"/>
  <c r="K173" i="2" s="1"/>
  <c r="E173" i="2"/>
  <c r="B173" i="2"/>
  <c r="O172" i="2"/>
  <c r="K172" i="2"/>
  <c r="I172" i="2"/>
  <c r="F172" i="2"/>
  <c r="B172" i="2"/>
  <c r="E172" i="2" s="1"/>
  <c r="O171" i="2"/>
  <c r="I171" i="2"/>
  <c r="K171" i="2" s="1"/>
  <c r="F171" i="2"/>
  <c r="B171" i="2"/>
  <c r="E171" i="2" s="1"/>
  <c r="O170" i="2"/>
  <c r="I170" i="2"/>
  <c r="K170" i="2" s="1"/>
  <c r="F170" i="2"/>
  <c r="E170" i="2"/>
  <c r="B170" i="2"/>
  <c r="O169" i="2"/>
  <c r="I169" i="2"/>
  <c r="F169" i="2"/>
  <c r="K169" i="2" s="1"/>
  <c r="E169" i="2"/>
  <c r="B169" i="2"/>
  <c r="O168" i="2"/>
  <c r="K168" i="2"/>
  <c r="I168" i="2"/>
  <c r="F168" i="2"/>
  <c r="B168" i="2"/>
  <c r="E168" i="2" s="1"/>
  <c r="O167" i="2"/>
  <c r="I167" i="2"/>
  <c r="K167" i="2" s="1"/>
  <c r="F167" i="2"/>
  <c r="B167" i="2"/>
  <c r="E167" i="2" s="1"/>
  <c r="O166" i="2"/>
  <c r="I166" i="2"/>
  <c r="K166" i="2" s="1"/>
  <c r="F166" i="2"/>
  <c r="E166" i="2"/>
  <c r="B166" i="2"/>
  <c r="O165" i="2"/>
  <c r="I165" i="2"/>
  <c r="F165" i="2"/>
  <c r="K165" i="2" s="1"/>
  <c r="E165" i="2"/>
  <c r="B165" i="2"/>
  <c r="O164" i="2"/>
  <c r="K164" i="2"/>
  <c r="I164" i="2"/>
  <c r="F164" i="2"/>
  <c r="B164" i="2"/>
  <c r="E164" i="2" s="1"/>
  <c r="O163" i="2"/>
  <c r="I163" i="2"/>
  <c r="K163" i="2" s="1"/>
  <c r="F163" i="2"/>
  <c r="B163" i="2"/>
  <c r="E163" i="2" s="1"/>
  <c r="O162" i="2"/>
  <c r="I162" i="2"/>
  <c r="K162" i="2" s="1"/>
  <c r="F162" i="2"/>
  <c r="E162" i="2"/>
  <c r="B162" i="2"/>
  <c r="O161" i="2"/>
  <c r="I161" i="2"/>
  <c r="F161" i="2"/>
  <c r="K161" i="2" s="1"/>
  <c r="E161" i="2"/>
  <c r="B161" i="2"/>
  <c r="O160" i="2"/>
  <c r="K160" i="2"/>
  <c r="I160" i="2"/>
  <c r="F160" i="2"/>
  <c r="B160" i="2"/>
  <c r="E160" i="2" s="1"/>
  <c r="O159" i="2"/>
  <c r="I159" i="2"/>
  <c r="K159" i="2" s="1"/>
  <c r="F159" i="2"/>
  <c r="B159" i="2"/>
  <c r="E159" i="2" s="1"/>
  <c r="O158" i="2"/>
  <c r="I158" i="2"/>
  <c r="K158" i="2" s="1"/>
  <c r="F158" i="2"/>
  <c r="E158" i="2"/>
  <c r="B158" i="2"/>
  <c r="O157" i="2"/>
  <c r="I157" i="2"/>
  <c r="F157" i="2"/>
  <c r="K157" i="2" s="1"/>
  <c r="E157" i="2"/>
  <c r="B157" i="2"/>
  <c r="O156" i="2"/>
  <c r="K156" i="2"/>
  <c r="I156" i="2"/>
  <c r="F156" i="2"/>
  <c r="B156" i="2"/>
  <c r="E156" i="2" s="1"/>
  <c r="O155" i="2"/>
  <c r="I155" i="2"/>
  <c r="K155" i="2" s="1"/>
  <c r="F155" i="2"/>
  <c r="B155" i="2"/>
  <c r="E155" i="2" s="1"/>
  <c r="O154" i="2"/>
  <c r="I154" i="2"/>
  <c r="K154" i="2" s="1"/>
  <c r="F154" i="2"/>
  <c r="E154" i="2"/>
  <c r="B154" i="2"/>
  <c r="O153" i="2"/>
  <c r="I153" i="2"/>
  <c r="F153" i="2"/>
  <c r="K153" i="2" s="1"/>
  <c r="E153" i="2"/>
  <c r="B153" i="2"/>
  <c r="O152" i="2"/>
  <c r="K152" i="2"/>
  <c r="I152" i="2"/>
  <c r="F152" i="2"/>
  <c r="B152" i="2"/>
  <c r="E152" i="2" s="1"/>
  <c r="O151" i="2"/>
  <c r="I151" i="2"/>
  <c r="K151" i="2" s="1"/>
  <c r="F151" i="2"/>
  <c r="B151" i="2"/>
  <c r="E151" i="2" s="1"/>
  <c r="O150" i="2"/>
  <c r="I150" i="2"/>
  <c r="K150" i="2" s="1"/>
  <c r="F150" i="2"/>
  <c r="E150" i="2"/>
  <c r="B150" i="2"/>
  <c r="O149" i="2"/>
  <c r="I149" i="2"/>
  <c r="F149" i="2"/>
  <c r="K149" i="2" s="1"/>
  <c r="E149" i="2"/>
  <c r="B149" i="2"/>
  <c r="O148" i="2"/>
  <c r="K148" i="2"/>
  <c r="I148" i="2"/>
  <c r="F148" i="2"/>
  <c r="B148" i="2"/>
  <c r="E148" i="2" s="1"/>
  <c r="O147" i="2"/>
  <c r="I147" i="2"/>
  <c r="K147" i="2" s="1"/>
  <c r="F147" i="2"/>
  <c r="B147" i="2"/>
  <c r="E147" i="2" s="1"/>
  <c r="O146" i="2"/>
  <c r="I146" i="2"/>
  <c r="K146" i="2" s="1"/>
  <c r="F146" i="2"/>
  <c r="E146" i="2"/>
  <c r="B146" i="2"/>
  <c r="O145" i="2"/>
  <c r="I145" i="2"/>
  <c r="F145" i="2"/>
  <c r="K145" i="2" s="1"/>
  <c r="E145" i="2"/>
  <c r="B145" i="2"/>
  <c r="O144" i="2"/>
  <c r="K144" i="2"/>
  <c r="I144" i="2"/>
  <c r="F144" i="2"/>
  <c r="B144" i="2"/>
  <c r="E144" i="2" s="1"/>
  <c r="O143" i="2"/>
  <c r="I143" i="2"/>
  <c r="K143" i="2" s="1"/>
  <c r="F143" i="2"/>
  <c r="B143" i="2"/>
  <c r="E143" i="2" s="1"/>
  <c r="O142" i="2"/>
  <c r="I142" i="2"/>
  <c r="K142" i="2" s="1"/>
  <c r="F142" i="2"/>
  <c r="E142" i="2"/>
  <c r="B142" i="2"/>
  <c r="O141" i="2"/>
  <c r="I141" i="2"/>
  <c r="F141" i="2"/>
  <c r="K141" i="2" s="1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E138" i="2"/>
  <c r="B138" i="2"/>
  <c r="O137" i="2"/>
  <c r="I137" i="2"/>
  <c r="F137" i="2"/>
  <c r="K137" i="2" s="1"/>
  <c r="E137" i="2"/>
  <c r="B137" i="2"/>
  <c r="O136" i="2"/>
  <c r="K136" i="2"/>
  <c r="I136" i="2"/>
  <c r="F136" i="2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E134" i="2"/>
  <c r="B134" i="2"/>
  <c r="O133" i="2"/>
  <c r="I133" i="2"/>
  <c r="F133" i="2"/>
  <c r="K133" i="2" s="1"/>
  <c r="E133" i="2"/>
  <c r="B133" i="2"/>
  <c r="O132" i="2"/>
  <c r="K132" i="2"/>
  <c r="I132" i="2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E130" i="2"/>
  <c r="B130" i="2"/>
  <c r="O129" i="2"/>
  <c r="I129" i="2"/>
  <c r="F129" i="2"/>
  <c r="K129" i="2" s="1"/>
  <c r="E129" i="2"/>
  <c r="B129" i="2"/>
  <c r="O128" i="2"/>
  <c r="K128" i="2"/>
  <c r="I128" i="2"/>
  <c r="F128" i="2"/>
  <c r="E128" i="2"/>
  <c r="B128" i="2"/>
  <c r="O127" i="2"/>
  <c r="I127" i="2"/>
  <c r="K127" i="2" s="1"/>
  <c r="F127" i="2"/>
  <c r="B127" i="2"/>
  <c r="E127" i="2" s="1"/>
  <c r="O126" i="2"/>
  <c r="I126" i="2"/>
  <c r="K126" i="2" s="1"/>
  <c r="F126" i="2"/>
  <c r="E126" i="2"/>
  <c r="B126" i="2"/>
  <c r="O125" i="2"/>
  <c r="I125" i="2"/>
  <c r="F125" i="2"/>
  <c r="K125" i="2" s="1"/>
  <c r="E125" i="2"/>
  <c r="B125" i="2"/>
  <c r="O124" i="2"/>
  <c r="K124" i="2"/>
  <c r="I124" i="2"/>
  <c r="F124" i="2"/>
  <c r="B124" i="2"/>
  <c r="E124" i="2" s="1"/>
  <c r="O123" i="2"/>
  <c r="I123" i="2"/>
  <c r="K123" i="2" s="1"/>
  <c r="F123" i="2"/>
  <c r="B123" i="2"/>
  <c r="E123" i="2" s="1"/>
  <c r="O122" i="2"/>
  <c r="I122" i="2"/>
  <c r="K122" i="2" s="1"/>
  <c r="F122" i="2"/>
  <c r="E122" i="2"/>
  <c r="B122" i="2"/>
  <c r="O121" i="2"/>
  <c r="I121" i="2"/>
  <c r="F121" i="2"/>
  <c r="K121" i="2" s="1"/>
  <c r="E121" i="2"/>
  <c r="B121" i="2"/>
  <c r="O120" i="2"/>
  <c r="K120" i="2"/>
  <c r="I120" i="2"/>
  <c r="F120" i="2"/>
  <c r="B120" i="2"/>
  <c r="E120" i="2" s="1"/>
  <c r="O119" i="2"/>
  <c r="I119" i="2"/>
  <c r="K119" i="2" s="1"/>
  <c r="F119" i="2"/>
  <c r="B119" i="2"/>
  <c r="E119" i="2" s="1"/>
  <c r="O118" i="2"/>
  <c r="I118" i="2"/>
  <c r="K118" i="2" s="1"/>
  <c r="F118" i="2"/>
  <c r="E118" i="2"/>
  <c r="B118" i="2"/>
  <c r="O117" i="2"/>
  <c r="I117" i="2"/>
  <c r="F117" i="2"/>
  <c r="K117" i="2" s="1"/>
  <c r="E117" i="2"/>
  <c r="B117" i="2"/>
  <c r="O116" i="2"/>
  <c r="K116" i="2"/>
  <c r="I116" i="2"/>
  <c r="F116" i="2"/>
  <c r="B116" i="2"/>
  <c r="E116" i="2" s="1"/>
  <c r="O115" i="2"/>
  <c r="I115" i="2"/>
  <c r="K115" i="2" s="1"/>
  <c r="F115" i="2"/>
  <c r="B115" i="2"/>
  <c r="E115" i="2" s="1"/>
  <c r="O114" i="2"/>
  <c r="I114" i="2"/>
  <c r="K114" i="2" s="1"/>
  <c r="F114" i="2"/>
  <c r="E114" i="2"/>
  <c r="B114" i="2"/>
  <c r="O113" i="2"/>
  <c r="I113" i="2"/>
  <c r="F113" i="2"/>
  <c r="K113" i="2" s="1"/>
  <c r="E113" i="2"/>
  <c r="B113" i="2"/>
  <c r="O112" i="2"/>
  <c r="K112" i="2"/>
  <c r="I112" i="2"/>
  <c r="F112" i="2"/>
  <c r="E112" i="2"/>
  <c r="B112" i="2"/>
  <c r="O111" i="2"/>
  <c r="I111" i="2"/>
  <c r="K111" i="2" s="1"/>
  <c r="F111" i="2"/>
  <c r="B111" i="2"/>
  <c r="E111" i="2" s="1"/>
  <c r="O110" i="2"/>
  <c r="I110" i="2"/>
  <c r="F110" i="2"/>
  <c r="E110" i="2"/>
  <c r="B110" i="2"/>
  <c r="O109" i="2"/>
  <c r="I109" i="2"/>
  <c r="F109" i="2"/>
  <c r="K109" i="2" s="1"/>
  <c r="B109" i="2"/>
  <c r="E109" i="2" s="1"/>
  <c r="O108" i="2"/>
  <c r="I108" i="2"/>
  <c r="K108" i="2" s="1"/>
  <c r="F108" i="2"/>
  <c r="B108" i="2"/>
  <c r="E108" i="2" s="1"/>
  <c r="O107" i="2"/>
  <c r="I107" i="2"/>
  <c r="K107" i="2" s="1"/>
  <c r="F107" i="2"/>
  <c r="B107" i="2"/>
  <c r="E107" i="2" s="1"/>
  <c r="O106" i="2"/>
  <c r="I106" i="2"/>
  <c r="F106" i="2"/>
  <c r="E106" i="2"/>
  <c r="B106" i="2"/>
  <c r="O105" i="2"/>
  <c r="I105" i="2"/>
  <c r="F105" i="2"/>
  <c r="K105" i="2" s="1"/>
  <c r="E105" i="2"/>
  <c r="B105" i="2"/>
  <c r="O104" i="2"/>
  <c r="K104" i="2"/>
  <c r="I104" i="2"/>
  <c r="F104" i="2"/>
  <c r="B104" i="2"/>
  <c r="E104" i="2" s="1"/>
  <c r="O103" i="2"/>
  <c r="I103" i="2"/>
  <c r="K103" i="2" s="1"/>
  <c r="F103" i="2"/>
  <c r="B103" i="2"/>
  <c r="E103" i="2" s="1"/>
  <c r="O102" i="2"/>
  <c r="K102" i="2"/>
  <c r="I102" i="2"/>
  <c r="F102" i="2"/>
  <c r="B102" i="2"/>
  <c r="E102" i="2" s="1"/>
  <c r="O101" i="2"/>
  <c r="I101" i="2"/>
  <c r="K101" i="2" s="1"/>
  <c r="F101" i="2"/>
  <c r="B101" i="2"/>
  <c r="E101" i="2" s="1"/>
  <c r="O100" i="2"/>
  <c r="I100" i="2"/>
  <c r="K100" i="2" s="1"/>
  <c r="F100" i="2"/>
  <c r="B100" i="2"/>
  <c r="E100" i="2" s="1"/>
  <c r="O99" i="2"/>
  <c r="I99" i="2"/>
  <c r="K99" i="2" s="1"/>
  <c r="F99" i="2"/>
  <c r="E99" i="2"/>
  <c r="B99" i="2"/>
  <c r="O98" i="2"/>
  <c r="K98" i="2"/>
  <c r="I98" i="2"/>
  <c r="F98" i="2"/>
  <c r="B98" i="2"/>
  <c r="E98" i="2" s="1"/>
  <c r="O97" i="2"/>
  <c r="I97" i="2"/>
  <c r="K97" i="2" s="1"/>
  <c r="F97" i="2"/>
  <c r="B97" i="2"/>
  <c r="E97" i="2" s="1"/>
  <c r="O96" i="2"/>
  <c r="I96" i="2"/>
  <c r="K96" i="2" s="1"/>
  <c r="F96" i="2"/>
  <c r="B96" i="2"/>
  <c r="E96" i="2" s="1"/>
  <c r="O95" i="2"/>
  <c r="I95" i="2"/>
  <c r="K95" i="2" s="1"/>
  <c r="F95" i="2"/>
  <c r="E95" i="2"/>
  <c r="B95" i="2"/>
  <c r="O94" i="2"/>
  <c r="K94" i="2"/>
  <c r="I94" i="2"/>
  <c r="F94" i="2"/>
  <c r="B94" i="2"/>
  <c r="E94" i="2" s="1"/>
  <c r="O93" i="2"/>
  <c r="I93" i="2"/>
  <c r="K93" i="2" s="1"/>
  <c r="F93" i="2"/>
  <c r="B93" i="2"/>
  <c r="E93" i="2" s="1"/>
  <c r="O92" i="2"/>
  <c r="I92" i="2"/>
  <c r="K92" i="2" s="1"/>
  <c r="F92" i="2"/>
  <c r="B92" i="2"/>
  <c r="E92" i="2" s="1"/>
  <c r="O91" i="2"/>
  <c r="I91" i="2"/>
  <c r="K91" i="2" s="1"/>
  <c r="F91" i="2"/>
  <c r="E91" i="2"/>
  <c r="B91" i="2"/>
  <c r="O90" i="2"/>
  <c r="K90" i="2"/>
  <c r="I90" i="2"/>
  <c r="F90" i="2"/>
  <c r="B90" i="2"/>
  <c r="E90" i="2" s="1"/>
  <c r="O89" i="2"/>
  <c r="I89" i="2"/>
  <c r="K89" i="2" s="1"/>
  <c r="F89" i="2"/>
  <c r="B89" i="2"/>
  <c r="E89" i="2" s="1"/>
  <c r="O88" i="2"/>
  <c r="I88" i="2"/>
  <c r="K88" i="2" s="1"/>
  <c r="F88" i="2"/>
  <c r="B88" i="2"/>
  <c r="E88" i="2" s="1"/>
  <c r="O87" i="2"/>
  <c r="I87" i="2"/>
  <c r="K87" i="2" s="1"/>
  <c r="F87" i="2"/>
  <c r="E87" i="2"/>
  <c r="B87" i="2"/>
  <c r="O86" i="2"/>
  <c r="K86" i="2"/>
  <c r="I86" i="2"/>
  <c r="F86" i="2"/>
  <c r="B86" i="2"/>
  <c r="E86" i="2" s="1"/>
  <c r="O85" i="2"/>
  <c r="I85" i="2"/>
  <c r="K85" i="2" s="1"/>
  <c r="F85" i="2"/>
  <c r="B85" i="2"/>
  <c r="E85" i="2" s="1"/>
  <c r="O84" i="2"/>
  <c r="I84" i="2"/>
  <c r="K84" i="2" s="1"/>
  <c r="F84" i="2"/>
  <c r="B84" i="2"/>
  <c r="E84" i="2" s="1"/>
  <c r="O83" i="2"/>
  <c r="I83" i="2"/>
  <c r="K83" i="2" s="1"/>
  <c r="F83" i="2"/>
  <c r="E83" i="2"/>
  <c r="B83" i="2"/>
  <c r="O82" i="2"/>
  <c r="K82" i="2"/>
  <c r="I82" i="2"/>
  <c r="F82" i="2"/>
  <c r="B82" i="2"/>
  <c r="E82" i="2" s="1"/>
  <c r="O81" i="2"/>
  <c r="I81" i="2"/>
  <c r="K81" i="2" s="1"/>
  <c r="F81" i="2"/>
  <c r="B81" i="2"/>
  <c r="E81" i="2" s="1"/>
  <c r="O80" i="2"/>
  <c r="I80" i="2"/>
  <c r="K80" i="2" s="1"/>
  <c r="F80" i="2"/>
  <c r="B80" i="2"/>
  <c r="E80" i="2" s="1"/>
  <c r="O79" i="2"/>
  <c r="I79" i="2"/>
  <c r="K79" i="2" s="1"/>
  <c r="F79" i="2"/>
  <c r="E79" i="2"/>
  <c r="B79" i="2"/>
  <c r="O78" i="2"/>
  <c r="K78" i="2"/>
  <c r="I78" i="2"/>
  <c r="F78" i="2"/>
  <c r="B78" i="2"/>
  <c r="E78" i="2" s="1"/>
  <c r="O77" i="2"/>
  <c r="I77" i="2"/>
  <c r="K77" i="2" s="1"/>
  <c r="F77" i="2"/>
  <c r="B77" i="2"/>
  <c r="E77" i="2" s="1"/>
  <c r="O76" i="2"/>
  <c r="I76" i="2"/>
  <c r="K76" i="2" s="1"/>
  <c r="F76" i="2"/>
  <c r="B76" i="2"/>
  <c r="E76" i="2" s="1"/>
  <c r="O75" i="2"/>
  <c r="I75" i="2"/>
  <c r="K75" i="2" s="1"/>
  <c r="F75" i="2"/>
  <c r="E75" i="2"/>
  <c r="B75" i="2"/>
  <c r="O74" i="2"/>
  <c r="K74" i="2"/>
  <c r="I74" i="2"/>
  <c r="F74" i="2"/>
  <c r="B74" i="2"/>
  <c r="E74" i="2" s="1"/>
  <c r="O73" i="2"/>
  <c r="I73" i="2"/>
  <c r="K73" i="2" s="1"/>
  <c r="F73" i="2"/>
  <c r="B73" i="2"/>
  <c r="E73" i="2" s="1"/>
  <c r="O72" i="2"/>
  <c r="I72" i="2"/>
  <c r="K72" i="2" s="1"/>
  <c r="F72" i="2"/>
  <c r="B72" i="2"/>
  <c r="E72" i="2" s="1"/>
  <c r="O71" i="2"/>
  <c r="I71" i="2"/>
  <c r="K71" i="2" s="1"/>
  <c r="F71" i="2"/>
  <c r="E71" i="2"/>
  <c r="B71" i="2"/>
  <c r="O70" i="2"/>
  <c r="K70" i="2"/>
  <c r="I70" i="2"/>
  <c r="F70" i="2"/>
  <c r="B70" i="2"/>
  <c r="E70" i="2" s="1"/>
  <c r="O69" i="2"/>
  <c r="I69" i="2"/>
  <c r="K69" i="2" s="1"/>
  <c r="F69" i="2"/>
  <c r="B69" i="2"/>
  <c r="E69" i="2" s="1"/>
  <c r="O68" i="2"/>
  <c r="I68" i="2"/>
  <c r="K68" i="2" s="1"/>
  <c r="F68" i="2"/>
  <c r="B68" i="2"/>
  <c r="E68" i="2" s="1"/>
  <c r="O67" i="2"/>
  <c r="I67" i="2"/>
  <c r="K67" i="2" s="1"/>
  <c r="F67" i="2"/>
  <c r="E67" i="2"/>
  <c r="B67" i="2"/>
  <c r="O66" i="2"/>
  <c r="K66" i="2"/>
  <c r="I66" i="2"/>
  <c r="F66" i="2"/>
  <c r="B66" i="2"/>
  <c r="E66" i="2" s="1"/>
  <c r="O65" i="2"/>
  <c r="I65" i="2"/>
  <c r="K65" i="2" s="1"/>
  <c r="F65" i="2"/>
  <c r="B65" i="2"/>
  <c r="E65" i="2" s="1"/>
  <c r="O64" i="2"/>
  <c r="I64" i="2"/>
  <c r="K64" i="2" s="1"/>
  <c r="F64" i="2"/>
  <c r="B64" i="2"/>
  <c r="E64" i="2" s="1"/>
  <c r="O63" i="2"/>
  <c r="I63" i="2"/>
  <c r="K63" i="2" s="1"/>
  <c r="F63" i="2"/>
  <c r="E63" i="2"/>
  <c r="B63" i="2"/>
  <c r="O62" i="2"/>
  <c r="K62" i="2"/>
  <c r="I62" i="2"/>
  <c r="F62" i="2"/>
  <c r="B62" i="2"/>
  <c r="E62" i="2" s="1"/>
  <c r="O61" i="2"/>
  <c r="I61" i="2"/>
  <c r="K61" i="2" s="1"/>
  <c r="F61" i="2"/>
  <c r="B61" i="2"/>
  <c r="E61" i="2" s="1"/>
  <c r="O60" i="2"/>
  <c r="I60" i="2"/>
  <c r="K60" i="2" s="1"/>
  <c r="F60" i="2"/>
  <c r="B60" i="2"/>
  <c r="E60" i="2" s="1"/>
  <c r="O59" i="2"/>
  <c r="I59" i="2"/>
  <c r="K59" i="2" s="1"/>
  <c r="F59" i="2"/>
  <c r="E59" i="2"/>
  <c r="B59" i="2"/>
  <c r="O58" i="2"/>
  <c r="K58" i="2"/>
  <c r="I58" i="2"/>
  <c r="F58" i="2"/>
  <c r="B58" i="2"/>
  <c r="E58" i="2" s="1"/>
  <c r="O57" i="2"/>
  <c r="I57" i="2"/>
  <c r="K57" i="2" s="1"/>
  <c r="F57" i="2"/>
  <c r="B57" i="2"/>
  <c r="E57" i="2" s="1"/>
  <c r="O56" i="2"/>
  <c r="I56" i="2"/>
  <c r="K56" i="2" s="1"/>
  <c r="F56" i="2"/>
  <c r="B56" i="2"/>
  <c r="E56" i="2" s="1"/>
  <c r="O55" i="2"/>
  <c r="I55" i="2"/>
  <c r="K55" i="2" s="1"/>
  <c r="F55" i="2"/>
  <c r="E55" i="2"/>
  <c r="B55" i="2"/>
  <c r="O54" i="2"/>
  <c r="K54" i="2"/>
  <c r="I54" i="2"/>
  <c r="F54" i="2"/>
  <c r="B54" i="2"/>
  <c r="E54" i="2" s="1"/>
  <c r="O53" i="2"/>
  <c r="I53" i="2"/>
  <c r="K53" i="2" s="1"/>
  <c r="F53" i="2"/>
  <c r="B53" i="2"/>
  <c r="E53" i="2" s="1"/>
  <c r="O52" i="2"/>
  <c r="I52" i="2"/>
  <c r="F52" i="2"/>
  <c r="B52" i="2"/>
  <c r="E52" i="2" s="1"/>
  <c r="O51" i="2"/>
  <c r="I51" i="2"/>
  <c r="K51" i="2" s="1"/>
  <c r="F51" i="2"/>
  <c r="E51" i="2"/>
  <c r="B51" i="2"/>
  <c r="O50" i="2"/>
  <c r="K50" i="2"/>
  <c r="I50" i="2"/>
  <c r="F50" i="2"/>
  <c r="B50" i="2"/>
  <c r="E50" i="2" s="1"/>
  <c r="O49" i="2"/>
  <c r="I49" i="2"/>
  <c r="K49" i="2" s="1"/>
  <c r="F49" i="2"/>
  <c r="B49" i="2"/>
  <c r="E49" i="2" s="1"/>
  <c r="O48" i="2"/>
  <c r="I48" i="2"/>
  <c r="K48" i="2" s="1"/>
  <c r="F48" i="2"/>
  <c r="B48" i="2"/>
  <c r="E48" i="2" s="1"/>
  <c r="O47" i="2"/>
  <c r="I47" i="2"/>
  <c r="K47" i="2" s="1"/>
  <c r="F47" i="2"/>
  <c r="E47" i="2"/>
  <c r="B47" i="2"/>
  <c r="O46" i="2"/>
  <c r="K46" i="2"/>
  <c r="I46" i="2"/>
  <c r="F46" i="2"/>
  <c r="B46" i="2"/>
  <c r="E46" i="2" s="1"/>
  <c r="O45" i="2"/>
  <c r="I45" i="2"/>
  <c r="K45" i="2" s="1"/>
  <c r="F45" i="2"/>
  <c r="B45" i="2"/>
  <c r="E45" i="2" s="1"/>
  <c r="O44" i="2"/>
  <c r="I44" i="2"/>
  <c r="F44" i="2"/>
  <c r="K44" i="2" s="1"/>
  <c r="B44" i="2"/>
  <c r="E44" i="2" s="1"/>
  <c r="O43" i="2"/>
  <c r="I43" i="2"/>
  <c r="K43" i="2" s="1"/>
  <c r="F43" i="2"/>
  <c r="E43" i="2"/>
  <c r="B43" i="2"/>
  <c r="O42" i="2"/>
  <c r="K42" i="2"/>
  <c r="I42" i="2"/>
  <c r="F42" i="2"/>
  <c r="B42" i="2"/>
  <c r="E42" i="2" s="1"/>
  <c r="O41" i="2"/>
  <c r="I41" i="2"/>
  <c r="K41" i="2" s="1"/>
  <c r="F41" i="2"/>
  <c r="E41" i="2"/>
  <c r="B41" i="2"/>
  <c r="O40" i="2"/>
  <c r="I40" i="2"/>
  <c r="F40" i="2"/>
  <c r="K40" i="2" s="1"/>
  <c r="B40" i="2"/>
  <c r="E40" i="2" s="1"/>
  <c r="O39" i="2"/>
  <c r="I39" i="2"/>
  <c r="K39" i="2" s="1"/>
  <c r="F39" i="2"/>
  <c r="E39" i="2"/>
  <c r="B39" i="2"/>
  <c r="O38" i="2"/>
  <c r="K38" i="2"/>
  <c r="I38" i="2"/>
  <c r="F38" i="2"/>
  <c r="B38" i="2"/>
  <c r="E38" i="2" s="1"/>
  <c r="O37" i="2"/>
  <c r="I37" i="2"/>
  <c r="K37" i="2" s="1"/>
  <c r="F37" i="2"/>
  <c r="E37" i="2"/>
  <c r="B37" i="2"/>
  <c r="O36" i="2"/>
  <c r="I36" i="2"/>
  <c r="F36" i="2"/>
  <c r="K36" i="2" s="1"/>
  <c r="B36" i="2"/>
  <c r="E36" i="2" s="1"/>
  <c r="O35" i="2"/>
  <c r="I35" i="2"/>
  <c r="K35" i="2" s="1"/>
  <c r="F35" i="2"/>
  <c r="E35" i="2"/>
  <c r="B35" i="2"/>
  <c r="O34" i="2"/>
  <c r="K34" i="2"/>
  <c r="I34" i="2"/>
  <c r="F34" i="2"/>
  <c r="B34" i="2"/>
  <c r="E34" i="2" s="1"/>
  <c r="O33" i="2"/>
  <c r="I33" i="2"/>
  <c r="K33" i="2" s="1"/>
  <c r="F33" i="2"/>
  <c r="E33" i="2"/>
  <c r="B33" i="2"/>
  <c r="O32" i="2"/>
  <c r="I32" i="2"/>
  <c r="F32" i="2"/>
  <c r="K32" i="2" s="1"/>
  <c r="B32" i="2"/>
  <c r="E32" i="2" s="1"/>
  <c r="O31" i="2"/>
  <c r="I31" i="2"/>
  <c r="K31" i="2" s="1"/>
  <c r="F31" i="2"/>
  <c r="E31" i="2"/>
  <c r="B31" i="2"/>
  <c r="O30" i="2"/>
  <c r="K30" i="2"/>
  <c r="I30" i="2"/>
  <c r="F30" i="2"/>
  <c r="B30" i="2"/>
  <c r="E30" i="2" s="1"/>
  <c r="O29" i="2"/>
  <c r="I29" i="2"/>
  <c r="K29" i="2" s="1"/>
  <c r="F29" i="2"/>
  <c r="E29" i="2"/>
  <c r="B29" i="2"/>
  <c r="O28" i="2"/>
  <c r="I28" i="2"/>
  <c r="F28" i="2"/>
  <c r="K28" i="2" s="1"/>
  <c r="B28" i="2"/>
  <c r="E28" i="2" s="1"/>
  <c r="O27" i="2"/>
  <c r="I27" i="2"/>
  <c r="K27" i="2" s="1"/>
  <c r="F27" i="2"/>
  <c r="E27" i="2"/>
  <c r="B27" i="2"/>
  <c r="O26" i="2"/>
  <c r="K26" i="2"/>
  <c r="I26" i="2"/>
  <c r="F26" i="2"/>
  <c r="B26" i="2"/>
  <c r="E26" i="2" s="1"/>
  <c r="O25" i="2"/>
  <c r="I25" i="2"/>
  <c r="K25" i="2" s="1"/>
  <c r="F25" i="2"/>
  <c r="E25" i="2"/>
  <c r="B25" i="2"/>
  <c r="O24" i="2"/>
  <c r="I24" i="2"/>
  <c r="F24" i="2"/>
  <c r="K24" i="2" s="1"/>
  <c r="B24" i="2"/>
  <c r="E24" i="2" s="1"/>
  <c r="O23" i="2"/>
  <c r="I23" i="2"/>
  <c r="K23" i="2" s="1"/>
  <c r="F23" i="2"/>
  <c r="E23" i="2"/>
  <c r="B23" i="2"/>
  <c r="O22" i="2"/>
  <c r="K22" i="2"/>
  <c r="I22" i="2"/>
  <c r="F22" i="2"/>
  <c r="B22" i="2"/>
  <c r="E22" i="2" s="1"/>
  <c r="O21" i="2"/>
  <c r="I21" i="2"/>
  <c r="K21" i="2" s="1"/>
  <c r="F21" i="2"/>
  <c r="E21" i="2"/>
  <c r="B21" i="2"/>
  <c r="O20" i="2"/>
  <c r="I20" i="2"/>
  <c r="F20" i="2"/>
  <c r="K20" i="2" s="1"/>
  <c r="B20" i="2"/>
  <c r="E20" i="2" s="1"/>
  <c r="O19" i="2"/>
  <c r="I19" i="2"/>
  <c r="K19" i="2" s="1"/>
  <c r="F19" i="2"/>
  <c r="E19" i="2"/>
  <c r="B19" i="2"/>
  <c r="O18" i="2"/>
  <c r="K18" i="2"/>
  <c r="I18" i="2"/>
  <c r="F18" i="2"/>
  <c r="B18" i="2"/>
  <c r="E18" i="2" s="1"/>
  <c r="O17" i="2"/>
  <c r="I17" i="2"/>
  <c r="K17" i="2" s="1"/>
  <c r="F17" i="2"/>
  <c r="E17" i="2"/>
  <c r="B17" i="2"/>
  <c r="O16" i="2"/>
  <c r="I16" i="2"/>
  <c r="F16" i="2"/>
  <c r="K16" i="2" s="1"/>
  <c r="B16" i="2"/>
  <c r="E16" i="2" s="1"/>
  <c r="O15" i="2"/>
  <c r="I15" i="2"/>
  <c r="K15" i="2" s="1"/>
  <c r="F15" i="2"/>
  <c r="E15" i="2"/>
  <c r="B15" i="2"/>
  <c r="O14" i="2"/>
  <c r="K14" i="2"/>
  <c r="I14" i="2"/>
  <c r="F14" i="2"/>
  <c r="B14" i="2"/>
  <c r="E14" i="2" s="1"/>
  <c r="O13" i="2"/>
  <c r="I13" i="2"/>
  <c r="K13" i="2" s="1"/>
  <c r="F13" i="2"/>
  <c r="E13" i="2"/>
  <c r="B13" i="2"/>
  <c r="O12" i="2"/>
  <c r="I12" i="2"/>
  <c r="F12" i="2"/>
  <c r="K12" i="2" s="1"/>
  <c r="B12" i="2"/>
  <c r="E12" i="2" s="1"/>
  <c r="O11" i="2"/>
  <c r="I11" i="2"/>
  <c r="K11" i="2" s="1"/>
  <c r="F11" i="2"/>
  <c r="E11" i="2"/>
  <c r="B11" i="2"/>
  <c r="O10" i="2"/>
  <c r="K10" i="2"/>
  <c r="I10" i="2"/>
  <c r="F10" i="2"/>
  <c r="B10" i="2"/>
  <c r="E10" i="2" s="1"/>
  <c r="O9" i="2"/>
  <c r="I9" i="2"/>
  <c r="K9" i="2" s="1"/>
  <c r="F9" i="2"/>
  <c r="E9" i="2"/>
  <c r="B9" i="2"/>
  <c r="O8" i="2"/>
  <c r="I8" i="2"/>
  <c r="F8" i="2"/>
  <c r="K8" i="2" s="1"/>
  <c r="B8" i="2"/>
  <c r="E8" i="2" s="1"/>
  <c r="O7" i="2"/>
  <c r="I7" i="2"/>
  <c r="K7" i="2" s="1"/>
  <c r="F7" i="2"/>
  <c r="E7" i="2"/>
  <c r="B7" i="2"/>
  <c r="O6" i="2"/>
  <c r="K6" i="2"/>
  <c r="I6" i="2"/>
  <c r="F6" i="2"/>
  <c r="B6" i="2"/>
  <c r="E6" i="2" s="1"/>
  <c r="O5" i="2"/>
  <c r="I5" i="2"/>
  <c r="K5" i="2" s="1"/>
  <c r="F5" i="2"/>
  <c r="E5" i="2"/>
  <c r="B5" i="2"/>
  <c r="O4" i="2"/>
  <c r="I4" i="2"/>
  <c r="F4" i="2"/>
  <c r="K4" i="2" s="1"/>
  <c r="B4" i="2"/>
  <c r="E4" i="2" s="1"/>
  <c r="O3" i="2"/>
  <c r="I3" i="2"/>
  <c r="K3" i="2" s="1"/>
  <c r="F3" i="2"/>
  <c r="E3" i="2"/>
  <c r="B3" i="2"/>
  <c r="O2" i="2"/>
  <c r="K2" i="2"/>
  <c r="I2" i="2"/>
  <c r="F2" i="2"/>
  <c r="B2" i="2"/>
  <c r="E2" i="2" s="1"/>
  <c r="O303" i="1"/>
  <c r="N303" i="1"/>
  <c r="H303" i="1"/>
  <c r="G303" i="1"/>
  <c r="F303" i="1"/>
  <c r="J303" i="1" s="1"/>
  <c r="M303" i="1" s="1"/>
  <c r="C303" i="1"/>
  <c r="O302" i="1"/>
  <c r="N302" i="1"/>
  <c r="H302" i="1"/>
  <c r="G302" i="1"/>
  <c r="F302" i="1"/>
  <c r="J302" i="1" s="1"/>
  <c r="M302" i="1" s="1"/>
  <c r="C302" i="1"/>
  <c r="O301" i="1"/>
  <c r="N301" i="1"/>
  <c r="H301" i="1"/>
  <c r="G301" i="1"/>
  <c r="F301" i="1"/>
  <c r="J301" i="1" s="1"/>
  <c r="M301" i="1" s="1"/>
  <c r="C301" i="1"/>
  <c r="O300" i="1"/>
  <c r="N300" i="1"/>
  <c r="H300" i="1"/>
  <c r="G300" i="1"/>
  <c r="F300" i="1"/>
  <c r="J300" i="1" s="1"/>
  <c r="M300" i="1" s="1"/>
  <c r="C300" i="1"/>
  <c r="O299" i="1"/>
  <c r="N299" i="1"/>
  <c r="H299" i="1"/>
  <c r="G299" i="1"/>
  <c r="F299" i="1"/>
  <c r="J299" i="1" s="1"/>
  <c r="M299" i="1" s="1"/>
  <c r="C299" i="1"/>
  <c r="O298" i="1"/>
  <c r="N298" i="1"/>
  <c r="H298" i="1"/>
  <c r="G298" i="1"/>
  <c r="F298" i="1"/>
  <c r="J298" i="1" s="1"/>
  <c r="M298" i="1" s="1"/>
  <c r="C298" i="1"/>
  <c r="O297" i="1"/>
  <c r="N297" i="1"/>
  <c r="H297" i="1"/>
  <c r="G297" i="1"/>
  <c r="F297" i="1"/>
  <c r="J297" i="1" s="1"/>
  <c r="M297" i="1" s="1"/>
  <c r="C297" i="1"/>
  <c r="O296" i="1"/>
  <c r="N296" i="1"/>
  <c r="H296" i="1"/>
  <c r="G296" i="1"/>
  <c r="F296" i="1"/>
  <c r="J296" i="1" s="1"/>
  <c r="M296" i="1" s="1"/>
  <c r="C296" i="1"/>
  <c r="O295" i="1"/>
  <c r="N295" i="1"/>
  <c r="H295" i="1"/>
  <c r="G295" i="1"/>
  <c r="F295" i="1"/>
  <c r="J295" i="1" s="1"/>
  <c r="M295" i="1" s="1"/>
  <c r="C295" i="1"/>
  <c r="O294" i="1"/>
  <c r="N294" i="1"/>
  <c r="H294" i="1"/>
  <c r="G294" i="1"/>
  <c r="F294" i="1"/>
  <c r="J294" i="1" s="1"/>
  <c r="M294" i="1" s="1"/>
  <c r="C294" i="1"/>
  <c r="O293" i="1"/>
  <c r="N293" i="1"/>
  <c r="H293" i="1"/>
  <c r="G293" i="1"/>
  <c r="F293" i="1"/>
  <c r="J293" i="1" s="1"/>
  <c r="M293" i="1" s="1"/>
  <c r="C293" i="1"/>
  <c r="O292" i="1"/>
  <c r="N292" i="1"/>
  <c r="H292" i="1"/>
  <c r="G292" i="1"/>
  <c r="F292" i="1"/>
  <c r="J292" i="1" s="1"/>
  <c r="M292" i="1" s="1"/>
  <c r="C292" i="1"/>
  <c r="O291" i="1"/>
  <c r="N291" i="1"/>
  <c r="H291" i="1"/>
  <c r="G291" i="1"/>
  <c r="F291" i="1"/>
  <c r="J291" i="1" s="1"/>
  <c r="M291" i="1" s="1"/>
  <c r="C291" i="1"/>
  <c r="O290" i="1"/>
  <c r="N290" i="1"/>
  <c r="H290" i="1"/>
  <c r="G290" i="1"/>
  <c r="F290" i="1"/>
  <c r="J290" i="1" s="1"/>
  <c r="M290" i="1" s="1"/>
  <c r="C290" i="1"/>
  <c r="O289" i="1"/>
  <c r="N289" i="1"/>
  <c r="H289" i="1"/>
  <c r="G289" i="1"/>
  <c r="F289" i="1"/>
  <c r="J289" i="1" s="1"/>
  <c r="M289" i="1" s="1"/>
  <c r="C289" i="1"/>
  <c r="O288" i="1"/>
  <c r="N288" i="1"/>
  <c r="H288" i="1"/>
  <c r="G288" i="1"/>
  <c r="F288" i="1"/>
  <c r="J288" i="1" s="1"/>
  <c r="M288" i="1" s="1"/>
  <c r="C288" i="1"/>
  <c r="O287" i="1"/>
  <c r="N287" i="1"/>
  <c r="H287" i="1"/>
  <c r="G287" i="1"/>
  <c r="F287" i="1"/>
  <c r="J287" i="1" s="1"/>
  <c r="M287" i="1" s="1"/>
  <c r="C287" i="1"/>
  <c r="O286" i="1"/>
  <c r="N286" i="1"/>
  <c r="H286" i="1"/>
  <c r="G286" i="1"/>
  <c r="F286" i="1"/>
  <c r="J286" i="1" s="1"/>
  <c r="M286" i="1" s="1"/>
  <c r="C286" i="1"/>
  <c r="O285" i="1"/>
  <c r="N285" i="1"/>
  <c r="H285" i="1"/>
  <c r="G285" i="1"/>
  <c r="F285" i="1"/>
  <c r="J285" i="1" s="1"/>
  <c r="M285" i="1" s="1"/>
  <c r="C285" i="1"/>
  <c r="O284" i="1"/>
  <c r="N284" i="1"/>
  <c r="H284" i="1"/>
  <c r="G284" i="1"/>
  <c r="F284" i="1"/>
  <c r="J284" i="1" s="1"/>
  <c r="M284" i="1" s="1"/>
  <c r="C284" i="1"/>
  <c r="O283" i="1"/>
  <c r="N283" i="1"/>
  <c r="H283" i="1"/>
  <c r="G283" i="1"/>
  <c r="F283" i="1"/>
  <c r="J283" i="1" s="1"/>
  <c r="M283" i="1" s="1"/>
  <c r="C283" i="1"/>
  <c r="O282" i="1"/>
  <c r="N282" i="1"/>
  <c r="H282" i="1"/>
  <c r="G282" i="1"/>
  <c r="F282" i="1"/>
  <c r="J282" i="1" s="1"/>
  <c r="M282" i="1" s="1"/>
  <c r="C282" i="1"/>
  <c r="O281" i="1"/>
  <c r="N281" i="1"/>
  <c r="H281" i="1"/>
  <c r="G281" i="1"/>
  <c r="F281" i="1"/>
  <c r="J281" i="1" s="1"/>
  <c r="M281" i="1" s="1"/>
  <c r="C281" i="1"/>
  <c r="O280" i="1"/>
  <c r="N280" i="1"/>
  <c r="H280" i="1"/>
  <c r="G280" i="1"/>
  <c r="F280" i="1"/>
  <c r="J280" i="1" s="1"/>
  <c r="M280" i="1" s="1"/>
  <c r="C280" i="1"/>
  <c r="O279" i="1"/>
  <c r="N279" i="1"/>
  <c r="H279" i="1"/>
  <c r="G279" i="1"/>
  <c r="F279" i="1"/>
  <c r="J279" i="1" s="1"/>
  <c r="M279" i="1" s="1"/>
  <c r="C279" i="1"/>
  <c r="O278" i="1"/>
  <c r="N278" i="1"/>
  <c r="H278" i="1"/>
  <c r="G278" i="1"/>
  <c r="F278" i="1"/>
  <c r="J278" i="1" s="1"/>
  <c r="M278" i="1" s="1"/>
  <c r="C278" i="1"/>
  <c r="O277" i="1"/>
  <c r="N277" i="1"/>
  <c r="H277" i="1"/>
  <c r="G277" i="1"/>
  <c r="F277" i="1"/>
  <c r="J277" i="1" s="1"/>
  <c r="M277" i="1" s="1"/>
  <c r="C277" i="1"/>
  <c r="O276" i="1"/>
  <c r="N276" i="1"/>
  <c r="H276" i="1"/>
  <c r="G276" i="1"/>
  <c r="F276" i="1"/>
  <c r="J276" i="1" s="1"/>
  <c r="M276" i="1" s="1"/>
  <c r="C276" i="1"/>
  <c r="O275" i="1"/>
  <c r="N275" i="1"/>
  <c r="H275" i="1"/>
  <c r="G275" i="1"/>
  <c r="F275" i="1"/>
  <c r="J275" i="1" s="1"/>
  <c r="M275" i="1" s="1"/>
  <c r="C275" i="1"/>
  <c r="O274" i="1"/>
  <c r="N274" i="1"/>
  <c r="H274" i="1"/>
  <c r="G274" i="1"/>
  <c r="F274" i="1"/>
  <c r="J274" i="1" s="1"/>
  <c r="M274" i="1" s="1"/>
  <c r="C274" i="1"/>
  <c r="O273" i="1"/>
  <c r="N273" i="1"/>
  <c r="H273" i="1"/>
  <c r="G273" i="1"/>
  <c r="F273" i="1"/>
  <c r="J273" i="1" s="1"/>
  <c r="M273" i="1" s="1"/>
  <c r="C273" i="1"/>
  <c r="O272" i="1"/>
  <c r="N272" i="1"/>
  <c r="H272" i="1"/>
  <c r="G272" i="1"/>
  <c r="F272" i="1"/>
  <c r="J272" i="1" s="1"/>
  <c r="M272" i="1" s="1"/>
  <c r="C272" i="1"/>
  <c r="O271" i="1"/>
  <c r="N271" i="1"/>
  <c r="H271" i="1"/>
  <c r="G271" i="1"/>
  <c r="F271" i="1"/>
  <c r="J271" i="1" s="1"/>
  <c r="M271" i="1" s="1"/>
  <c r="C271" i="1"/>
  <c r="O270" i="1"/>
  <c r="N270" i="1"/>
  <c r="H270" i="1"/>
  <c r="G270" i="1"/>
  <c r="F270" i="1"/>
  <c r="J270" i="1" s="1"/>
  <c r="M270" i="1" s="1"/>
  <c r="C270" i="1"/>
  <c r="O269" i="1"/>
  <c r="N269" i="1"/>
  <c r="H269" i="1"/>
  <c r="G269" i="1"/>
  <c r="F269" i="1"/>
  <c r="J269" i="1" s="1"/>
  <c r="M269" i="1" s="1"/>
  <c r="C269" i="1"/>
  <c r="O268" i="1"/>
  <c r="N268" i="1"/>
  <c r="H268" i="1"/>
  <c r="G268" i="1"/>
  <c r="F268" i="1"/>
  <c r="J268" i="1" s="1"/>
  <c r="M268" i="1" s="1"/>
  <c r="C268" i="1"/>
  <c r="O267" i="1"/>
  <c r="N267" i="1"/>
  <c r="H267" i="1"/>
  <c r="G267" i="1"/>
  <c r="F267" i="1"/>
  <c r="J267" i="1" s="1"/>
  <c r="M267" i="1" s="1"/>
  <c r="C267" i="1"/>
  <c r="O266" i="1"/>
  <c r="N266" i="1"/>
  <c r="H266" i="1"/>
  <c r="G266" i="1"/>
  <c r="F266" i="1"/>
  <c r="J266" i="1" s="1"/>
  <c r="M266" i="1" s="1"/>
  <c r="C266" i="1"/>
  <c r="O265" i="1"/>
  <c r="N265" i="1"/>
  <c r="H265" i="1"/>
  <c r="G265" i="1"/>
  <c r="F265" i="1"/>
  <c r="J265" i="1" s="1"/>
  <c r="M265" i="1" s="1"/>
  <c r="C265" i="1"/>
  <c r="O264" i="1"/>
  <c r="N264" i="1"/>
  <c r="H264" i="1"/>
  <c r="G264" i="1"/>
  <c r="F264" i="1"/>
  <c r="J264" i="1" s="1"/>
  <c r="M264" i="1" s="1"/>
  <c r="C264" i="1"/>
  <c r="O263" i="1"/>
  <c r="N263" i="1"/>
  <c r="H263" i="1"/>
  <c r="G263" i="1"/>
  <c r="F263" i="1"/>
  <c r="J263" i="1" s="1"/>
  <c r="M263" i="1" s="1"/>
  <c r="C263" i="1"/>
  <c r="O262" i="1"/>
  <c r="N262" i="1"/>
  <c r="H262" i="1"/>
  <c r="G262" i="1"/>
  <c r="F262" i="1"/>
  <c r="J262" i="1" s="1"/>
  <c r="M262" i="1" s="1"/>
  <c r="C262" i="1"/>
  <c r="O261" i="1"/>
  <c r="N261" i="1"/>
  <c r="H261" i="1"/>
  <c r="G261" i="1"/>
  <c r="F261" i="1"/>
  <c r="J261" i="1" s="1"/>
  <c r="M261" i="1" s="1"/>
  <c r="C261" i="1"/>
  <c r="O260" i="1"/>
  <c r="N260" i="1"/>
  <c r="H260" i="1"/>
  <c r="G260" i="1"/>
  <c r="F260" i="1"/>
  <c r="J260" i="1" s="1"/>
  <c r="M260" i="1" s="1"/>
  <c r="C260" i="1"/>
  <c r="O259" i="1"/>
  <c r="N259" i="1"/>
  <c r="H259" i="1"/>
  <c r="G259" i="1"/>
  <c r="F259" i="1"/>
  <c r="J259" i="1" s="1"/>
  <c r="M259" i="1" s="1"/>
  <c r="C259" i="1"/>
  <c r="O258" i="1"/>
  <c r="N258" i="1"/>
  <c r="H258" i="1"/>
  <c r="G258" i="1"/>
  <c r="F258" i="1"/>
  <c r="J258" i="1" s="1"/>
  <c r="M258" i="1" s="1"/>
  <c r="C258" i="1"/>
  <c r="O257" i="1"/>
  <c r="N257" i="1"/>
  <c r="H257" i="1"/>
  <c r="G257" i="1"/>
  <c r="F257" i="1"/>
  <c r="J257" i="1" s="1"/>
  <c r="M257" i="1" s="1"/>
  <c r="C257" i="1"/>
  <c r="O256" i="1"/>
  <c r="N256" i="1"/>
  <c r="H256" i="1"/>
  <c r="G256" i="1"/>
  <c r="F256" i="1"/>
  <c r="J256" i="1" s="1"/>
  <c r="M256" i="1" s="1"/>
  <c r="C256" i="1"/>
  <c r="O255" i="1"/>
  <c r="N255" i="1"/>
  <c r="H255" i="1"/>
  <c r="G255" i="1"/>
  <c r="F255" i="1"/>
  <c r="J255" i="1" s="1"/>
  <c r="M255" i="1" s="1"/>
  <c r="C255" i="1"/>
  <c r="O254" i="1"/>
  <c r="N254" i="1"/>
  <c r="H254" i="1"/>
  <c r="G254" i="1"/>
  <c r="F254" i="1"/>
  <c r="J254" i="1" s="1"/>
  <c r="M254" i="1" s="1"/>
  <c r="C254" i="1"/>
  <c r="O253" i="1"/>
  <c r="N253" i="1"/>
  <c r="H253" i="1"/>
  <c r="G253" i="1"/>
  <c r="F253" i="1"/>
  <c r="J253" i="1" s="1"/>
  <c r="M253" i="1" s="1"/>
  <c r="C253" i="1"/>
  <c r="O252" i="1"/>
  <c r="N252" i="1"/>
  <c r="H252" i="1"/>
  <c r="G252" i="1"/>
  <c r="F252" i="1"/>
  <c r="J252" i="1" s="1"/>
  <c r="M252" i="1" s="1"/>
  <c r="C252" i="1"/>
  <c r="O251" i="1"/>
  <c r="N251" i="1"/>
  <c r="H251" i="1"/>
  <c r="G251" i="1"/>
  <c r="F251" i="1"/>
  <c r="J251" i="1" s="1"/>
  <c r="M251" i="1" s="1"/>
  <c r="C251" i="1"/>
  <c r="O250" i="1"/>
  <c r="N250" i="1"/>
  <c r="H250" i="1"/>
  <c r="G250" i="1"/>
  <c r="F250" i="1"/>
  <c r="J250" i="1" s="1"/>
  <c r="M250" i="1" s="1"/>
  <c r="C250" i="1"/>
  <c r="O249" i="1"/>
  <c r="N249" i="1"/>
  <c r="H249" i="1"/>
  <c r="G249" i="1"/>
  <c r="F249" i="1"/>
  <c r="J249" i="1" s="1"/>
  <c r="M249" i="1" s="1"/>
  <c r="C249" i="1"/>
  <c r="O248" i="1"/>
  <c r="N248" i="1"/>
  <c r="H248" i="1"/>
  <c r="G248" i="1"/>
  <c r="F248" i="1"/>
  <c r="J248" i="1" s="1"/>
  <c r="M248" i="1" s="1"/>
  <c r="C248" i="1"/>
  <c r="O247" i="1"/>
  <c r="N247" i="1"/>
  <c r="H247" i="1"/>
  <c r="G247" i="1"/>
  <c r="F247" i="1"/>
  <c r="J247" i="1" s="1"/>
  <c r="M247" i="1" s="1"/>
  <c r="C247" i="1"/>
  <c r="O246" i="1"/>
  <c r="N246" i="1"/>
  <c r="H246" i="1"/>
  <c r="G246" i="1"/>
  <c r="F246" i="1"/>
  <c r="J246" i="1" s="1"/>
  <c r="M246" i="1" s="1"/>
  <c r="C246" i="1"/>
  <c r="O245" i="1"/>
  <c r="N245" i="1"/>
  <c r="H245" i="1"/>
  <c r="G245" i="1"/>
  <c r="F245" i="1"/>
  <c r="J245" i="1" s="1"/>
  <c r="M245" i="1" s="1"/>
  <c r="C245" i="1"/>
  <c r="O244" i="1"/>
  <c r="N244" i="1"/>
  <c r="H244" i="1"/>
  <c r="G244" i="1"/>
  <c r="F244" i="1"/>
  <c r="J244" i="1" s="1"/>
  <c r="M244" i="1" s="1"/>
  <c r="C244" i="1"/>
  <c r="O243" i="1"/>
  <c r="N243" i="1"/>
  <c r="H243" i="1"/>
  <c r="G243" i="1"/>
  <c r="F243" i="1"/>
  <c r="J243" i="1" s="1"/>
  <c r="M243" i="1" s="1"/>
  <c r="C243" i="1"/>
  <c r="O242" i="1"/>
  <c r="N242" i="1"/>
  <c r="H242" i="1"/>
  <c r="G242" i="1"/>
  <c r="F242" i="1"/>
  <c r="J242" i="1" s="1"/>
  <c r="M242" i="1" s="1"/>
  <c r="C242" i="1"/>
  <c r="O241" i="1"/>
  <c r="N241" i="1"/>
  <c r="H241" i="1"/>
  <c r="G241" i="1"/>
  <c r="F241" i="1"/>
  <c r="J241" i="1" s="1"/>
  <c r="M241" i="1" s="1"/>
  <c r="C241" i="1"/>
  <c r="O240" i="1"/>
  <c r="N240" i="1"/>
  <c r="H240" i="1"/>
  <c r="G240" i="1"/>
  <c r="F240" i="1"/>
  <c r="J240" i="1" s="1"/>
  <c r="M240" i="1" s="1"/>
  <c r="C240" i="1"/>
  <c r="O239" i="1"/>
  <c r="N239" i="1"/>
  <c r="H239" i="1"/>
  <c r="G239" i="1"/>
  <c r="F239" i="1"/>
  <c r="J239" i="1" s="1"/>
  <c r="M239" i="1" s="1"/>
  <c r="C239" i="1"/>
  <c r="O238" i="1"/>
  <c r="N238" i="1"/>
  <c r="H238" i="1"/>
  <c r="G238" i="1"/>
  <c r="F238" i="1"/>
  <c r="J238" i="1" s="1"/>
  <c r="M238" i="1" s="1"/>
  <c r="C238" i="1"/>
  <c r="O237" i="1"/>
  <c r="N237" i="1"/>
  <c r="H237" i="1"/>
  <c r="G237" i="1"/>
  <c r="F237" i="1"/>
  <c r="J237" i="1" s="1"/>
  <c r="M237" i="1" s="1"/>
  <c r="C237" i="1"/>
  <c r="O236" i="1"/>
  <c r="N236" i="1"/>
  <c r="H236" i="1"/>
  <c r="G236" i="1"/>
  <c r="F236" i="1"/>
  <c r="J236" i="1" s="1"/>
  <c r="M236" i="1" s="1"/>
  <c r="C236" i="1"/>
  <c r="O235" i="1"/>
  <c r="N235" i="1"/>
  <c r="H235" i="1"/>
  <c r="G235" i="1"/>
  <c r="F235" i="1"/>
  <c r="J235" i="1" s="1"/>
  <c r="M235" i="1" s="1"/>
  <c r="C235" i="1"/>
  <c r="O234" i="1"/>
  <c r="N234" i="1"/>
  <c r="H234" i="1"/>
  <c r="G234" i="1"/>
  <c r="F234" i="1"/>
  <c r="J234" i="1" s="1"/>
  <c r="M234" i="1" s="1"/>
  <c r="C234" i="1"/>
  <c r="O233" i="1"/>
  <c r="N233" i="1"/>
  <c r="H233" i="1"/>
  <c r="G233" i="1"/>
  <c r="F233" i="1"/>
  <c r="J233" i="1" s="1"/>
  <c r="M233" i="1" s="1"/>
  <c r="C233" i="1"/>
  <c r="O232" i="1"/>
  <c r="N232" i="1"/>
  <c r="H232" i="1"/>
  <c r="G232" i="1"/>
  <c r="F232" i="1"/>
  <c r="J232" i="1" s="1"/>
  <c r="M232" i="1" s="1"/>
  <c r="C232" i="1"/>
  <c r="O231" i="1"/>
  <c r="N231" i="1"/>
  <c r="H231" i="1"/>
  <c r="G231" i="1"/>
  <c r="F231" i="1"/>
  <c r="J231" i="1" s="1"/>
  <c r="M231" i="1" s="1"/>
  <c r="C231" i="1"/>
  <c r="O230" i="1"/>
  <c r="N230" i="1"/>
  <c r="H230" i="1"/>
  <c r="G230" i="1"/>
  <c r="F230" i="1"/>
  <c r="J230" i="1" s="1"/>
  <c r="M230" i="1" s="1"/>
  <c r="C230" i="1"/>
  <c r="O229" i="1"/>
  <c r="N229" i="1"/>
  <c r="H229" i="1"/>
  <c r="G229" i="1"/>
  <c r="F229" i="1"/>
  <c r="J229" i="1" s="1"/>
  <c r="M229" i="1" s="1"/>
  <c r="C229" i="1"/>
  <c r="O228" i="1"/>
  <c r="N228" i="1"/>
  <c r="H228" i="1"/>
  <c r="G228" i="1"/>
  <c r="F228" i="1"/>
  <c r="J228" i="1" s="1"/>
  <c r="M228" i="1" s="1"/>
  <c r="C228" i="1"/>
  <c r="O227" i="1"/>
  <c r="N227" i="1"/>
  <c r="H227" i="1"/>
  <c r="G227" i="1"/>
  <c r="F227" i="1"/>
  <c r="J227" i="1" s="1"/>
  <c r="M227" i="1" s="1"/>
  <c r="C227" i="1"/>
  <c r="O226" i="1"/>
  <c r="N226" i="1"/>
  <c r="H226" i="1"/>
  <c r="G226" i="1"/>
  <c r="F226" i="1"/>
  <c r="J226" i="1" s="1"/>
  <c r="M226" i="1" s="1"/>
  <c r="C226" i="1"/>
  <c r="O225" i="1"/>
  <c r="R225" i="1" s="1"/>
  <c r="N225" i="1"/>
  <c r="M225" i="1"/>
  <c r="J225" i="1"/>
  <c r="G225" i="1"/>
  <c r="F225" i="1"/>
  <c r="C225" i="1"/>
  <c r="H225" i="1" s="1"/>
  <c r="O224" i="1"/>
  <c r="N224" i="1"/>
  <c r="M224" i="1"/>
  <c r="J224" i="1"/>
  <c r="G224" i="1"/>
  <c r="F224" i="1"/>
  <c r="C224" i="1"/>
  <c r="H224" i="1" s="1"/>
  <c r="O223" i="1"/>
  <c r="N223" i="1"/>
  <c r="J223" i="1"/>
  <c r="M223" i="1" s="1"/>
  <c r="G223" i="1"/>
  <c r="F223" i="1"/>
  <c r="C223" i="1"/>
  <c r="H223" i="1" s="1"/>
  <c r="O222" i="1"/>
  <c r="N222" i="1"/>
  <c r="J222" i="1"/>
  <c r="M222" i="1" s="1"/>
  <c r="G222" i="1"/>
  <c r="F222" i="1"/>
  <c r="C222" i="1"/>
  <c r="H222" i="1" s="1"/>
  <c r="O221" i="1"/>
  <c r="N221" i="1"/>
  <c r="M221" i="1"/>
  <c r="J221" i="1"/>
  <c r="G221" i="1"/>
  <c r="F221" i="1"/>
  <c r="C221" i="1"/>
  <c r="H221" i="1" s="1"/>
  <c r="O220" i="1"/>
  <c r="N220" i="1"/>
  <c r="M220" i="1"/>
  <c r="J220" i="1"/>
  <c r="G220" i="1"/>
  <c r="F220" i="1"/>
  <c r="C220" i="1"/>
  <c r="H220" i="1" s="1"/>
  <c r="O219" i="1"/>
  <c r="N219" i="1"/>
  <c r="J219" i="1"/>
  <c r="M219" i="1" s="1"/>
  <c r="G219" i="1"/>
  <c r="F219" i="1"/>
  <c r="C219" i="1"/>
  <c r="H219" i="1" s="1"/>
  <c r="O218" i="1"/>
  <c r="N218" i="1"/>
  <c r="J218" i="1"/>
  <c r="M218" i="1" s="1"/>
  <c r="G218" i="1"/>
  <c r="F218" i="1"/>
  <c r="C218" i="1"/>
  <c r="H218" i="1" s="1"/>
  <c r="O217" i="1"/>
  <c r="N217" i="1"/>
  <c r="M217" i="1"/>
  <c r="J217" i="1"/>
  <c r="G217" i="1"/>
  <c r="F217" i="1"/>
  <c r="C217" i="1"/>
  <c r="H217" i="1" s="1"/>
  <c r="O216" i="1"/>
  <c r="N216" i="1"/>
  <c r="M216" i="1"/>
  <c r="J216" i="1"/>
  <c r="G216" i="1"/>
  <c r="F216" i="1"/>
  <c r="C216" i="1"/>
  <c r="H216" i="1" s="1"/>
  <c r="O215" i="1"/>
  <c r="N215" i="1"/>
  <c r="J215" i="1"/>
  <c r="M215" i="1" s="1"/>
  <c r="G215" i="1"/>
  <c r="F215" i="1"/>
  <c r="C215" i="1"/>
  <c r="H215" i="1" s="1"/>
  <c r="O214" i="1"/>
  <c r="N214" i="1"/>
  <c r="J214" i="1"/>
  <c r="M214" i="1" s="1"/>
  <c r="G214" i="1"/>
  <c r="F214" i="1"/>
  <c r="C214" i="1"/>
  <c r="H214" i="1" s="1"/>
  <c r="O213" i="1"/>
  <c r="N213" i="1"/>
  <c r="M213" i="1"/>
  <c r="J213" i="1"/>
  <c r="G213" i="1"/>
  <c r="F213" i="1"/>
  <c r="C213" i="1"/>
  <c r="H213" i="1" s="1"/>
  <c r="O212" i="1"/>
  <c r="N212" i="1"/>
  <c r="M212" i="1"/>
  <c r="J212" i="1"/>
  <c r="G212" i="1"/>
  <c r="F212" i="1"/>
  <c r="C212" i="1"/>
  <c r="H212" i="1" s="1"/>
  <c r="O211" i="1"/>
  <c r="N211" i="1"/>
  <c r="J211" i="1"/>
  <c r="M211" i="1" s="1"/>
  <c r="G211" i="1"/>
  <c r="F211" i="1"/>
  <c r="C211" i="1"/>
  <c r="H211" i="1" s="1"/>
  <c r="O210" i="1"/>
  <c r="N210" i="1"/>
  <c r="J210" i="1"/>
  <c r="M210" i="1" s="1"/>
  <c r="G210" i="1"/>
  <c r="F210" i="1"/>
  <c r="C210" i="1"/>
  <c r="H210" i="1" s="1"/>
  <c r="O209" i="1"/>
  <c r="N209" i="1"/>
  <c r="M209" i="1"/>
  <c r="J209" i="1"/>
  <c r="G209" i="1"/>
  <c r="F209" i="1"/>
  <c r="C209" i="1"/>
  <c r="H209" i="1" s="1"/>
  <c r="O208" i="1"/>
  <c r="N208" i="1"/>
  <c r="G208" i="1"/>
  <c r="F208" i="1"/>
  <c r="J208" i="1" s="1"/>
  <c r="M208" i="1" s="1"/>
  <c r="C208" i="1"/>
  <c r="H208" i="1" s="1"/>
  <c r="O207" i="1"/>
  <c r="N207" i="1"/>
  <c r="M207" i="1"/>
  <c r="J207" i="1"/>
  <c r="H207" i="1"/>
  <c r="G207" i="1"/>
  <c r="F207" i="1"/>
  <c r="C207" i="1"/>
  <c r="O206" i="1"/>
  <c r="N206" i="1"/>
  <c r="J206" i="1"/>
  <c r="M206" i="1" s="1"/>
  <c r="G206" i="1"/>
  <c r="F206" i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H203" i="1"/>
  <c r="G203" i="1"/>
  <c r="F203" i="1"/>
  <c r="J203" i="1" s="1"/>
  <c r="M203" i="1" s="1"/>
  <c r="C203" i="1"/>
  <c r="O202" i="1"/>
  <c r="N202" i="1"/>
  <c r="J202" i="1"/>
  <c r="M202" i="1" s="1"/>
  <c r="G202" i="1"/>
  <c r="F202" i="1"/>
  <c r="C202" i="1"/>
  <c r="H202" i="1" s="1"/>
  <c r="O201" i="1"/>
  <c r="N201" i="1"/>
  <c r="H201" i="1"/>
  <c r="G201" i="1"/>
  <c r="F201" i="1"/>
  <c r="J201" i="1" s="1"/>
  <c r="M201" i="1" s="1"/>
  <c r="C201" i="1"/>
  <c r="O200" i="1"/>
  <c r="N200" i="1"/>
  <c r="J200" i="1"/>
  <c r="M200" i="1" s="1"/>
  <c r="G200" i="1"/>
  <c r="F200" i="1"/>
  <c r="C200" i="1"/>
  <c r="H200" i="1" s="1"/>
  <c r="O199" i="1"/>
  <c r="N199" i="1"/>
  <c r="H199" i="1"/>
  <c r="G199" i="1"/>
  <c r="F199" i="1"/>
  <c r="J199" i="1" s="1"/>
  <c r="M199" i="1" s="1"/>
  <c r="C199" i="1"/>
  <c r="O198" i="1"/>
  <c r="N198" i="1"/>
  <c r="J198" i="1"/>
  <c r="M198" i="1" s="1"/>
  <c r="G198" i="1"/>
  <c r="F198" i="1"/>
  <c r="C198" i="1"/>
  <c r="H198" i="1" s="1"/>
  <c r="O197" i="1"/>
  <c r="N197" i="1"/>
  <c r="H197" i="1"/>
  <c r="G197" i="1"/>
  <c r="F197" i="1"/>
  <c r="J197" i="1" s="1"/>
  <c r="M197" i="1" s="1"/>
  <c r="C197" i="1"/>
  <c r="O196" i="1"/>
  <c r="N196" i="1"/>
  <c r="J196" i="1"/>
  <c r="M196" i="1" s="1"/>
  <c r="G196" i="1"/>
  <c r="F196" i="1"/>
  <c r="C196" i="1"/>
  <c r="H196" i="1" s="1"/>
  <c r="O195" i="1"/>
  <c r="N195" i="1"/>
  <c r="H195" i="1"/>
  <c r="G195" i="1"/>
  <c r="F195" i="1"/>
  <c r="J195" i="1" s="1"/>
  <c r="M195" i="1" s="1"/>
  <c r="C195" i="1"/>
  <c r="O194" i="1"/>
  <c r="N194" i="1"/>
  <c r="J194" i="1"/>
  <c r="M194" i="1" s="1"/>
  <c r="G194" i="1"/>
  <c r="F194" i="1"/>
  <c r="C194" i="1"/>
  <c r="H194" i="1" s="1"/>
  <c r="O193" i="1"/>
  <c r="N193" i="1"/>
  <c r="H193" i="1"/>
  <c r="G193" i="1"/>
  <c r="F193" i="1"/>
  <c r="J193" i="1" s="1"/>
  <c r="M193" i="1" s="1"/>
  <c r="C193" i="1"/>
  <c r="O192" i="1"/>
  <c r="N192" i="1"/>
  <c r="J192" i="1"/>
  <c r="M192" i="1" s="1"/>
  <c r="G192" i="1"/>
  <c r="F192" i="1"/>
  <c r="C192" i="1"/>
  <c r="H192" i="1" s="1"/>
  <c r="O191" i="1"/>
  <c r="N191" i="1"/>
  <c r="H191" i="1"/>
  <c r="G191" i="1"/>
  <c r="F191" i="1"/>
  <c r="J191" i="1" s="1"/>
  <c r="M191" i="1" s="1"/>
  <c r="C191" i="1"/>
  <c r="O190" i="1"/>
  <c r="N190" i="1"/>
  <c r="J190" i="1"/>
  <c r="M190" i="1" s="1"/>
  <c r="G190" i="1"/>
  <c r="F190" i="1"/>
  <c r="C190" i="1"/>
  <c r="H190" i="1" s="1"/>
  <c r="O189" i="1"/>
  <c r="N189" i="1"/>
  <c r="M189" i="1"/>
  <c r="J189" i="1"/>
  <c r="H189" i="1"/>
  <c r="G189" i="1"/>
  <c r="F189" i="1"/>
  <c r="C189" i="1"/>
  <c r="O188" i="1"/>
  <c r="N188" i="1"/>
  <c r="J188" i="1"/>
  <c r="M188" i="1" s="1"/>
  <c r="G188" i="1"/>
  <c r="F188" i="1"/>
  <c r="C188" i="1"/>
  <c r="H188" i="1" s="1"/>
  <c r="O187" i="1"/>
  <c r="N187" i="1"/>
  <c r="M187" i="1"/>
  <c r="J187" i="1"/>
  <c r="H187" i="1"/>
  <c r="G187" i="1"/>
  <c r="F187" i="1"/>
  <c r="C187" i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G183" i="1"/>
  <c r="F183" i="1"/>
  <c r="C183" i="1"/>
  <c r="H183" i="1" s="1"/>
  <c r="O182" i="1"/>
  <c r="N182" i="1"/>
  <c r="J182" i="1"/>
  <c r="M182" i="1" s="1"/>
  <c r="G182" i="1"/>
  <c r="F182" i="1"/>
  <c r="C182" i="1"/>
  <c r="H182" i="1" s="1"/>
  <c r="O181" i="1"/>
  <c r="N181" i="1"/>
  <c r="M181" i="1"/>
  <c r="J181" i="1"/>
  <c r="G181" i="1"/>
  <c r="F181" i="1"/>
  <c r="C181" i="1"/>
  <c r="H181" i="1" s="1"/>
  <c r="O180" i="1"/>
  <c r="N180" i="1"/>
  <c r="J180" i="1"/>
  <c r="M180" i="1" s="1"/>
  <c r="G180" i="1"/>
  <c r="F180" i="1"/>
  <c r="C180" i="1"/>
  <c r="H180" i="1" s="1"/>
  <c r="O179" i="1"/>
  <c r="N179" i="1"/>
  <c r="M179" i="1"/>
  <c r="J179" i="1"/>
  <c r="G179" i="1"/>
  <c r="F179" i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G175" i="1"/>
  <c r="F175" i="1"/>
  <c r="C175" i="1"/>
  <c r="H175" i="1" s="1"/>
  <c r="O174" i="1"/>
  <c r="N174" i="1"/>
  <c r="J174" i="1"/>
  <c r="M174" i="1" s="1"/>
  <c r="G174" i="1"/>
  <c r="F174" i="1"/>
  <c r="C174" i="1"/>
  <c r="H174" i="1" s="1"/>
  <c r="O173" i="1"/>
  <c r="N173" i="1"/>
  <c r="M173" i="1"/>
  <c r="J173" i="1"/>
  <c r="G173" i="1"/>
  <c r="F173" i="1"/>
  <c r="C173" i="1"/>
  <c r="H173" i="1" s="1"/>
  <c r="O172" i="1"/>
  <c r="N172" i="1"/>
  <c r="J172" i="1"/>
  <c r="M172" i="1" s="1"/>
  <c r="G172" i="1"/>
  <c r="F172" i="1"/>
  <c r="C172" i="1"/>
  <c r="H172" i="1" s="1"/>
  <c r="O171" i="1"/>
  <c r="N171" i="1"/>
  <c r="M171" i="1"/>
  <c r="J171" i="1"/>
  <c r="G171" i="1"/>
  <c r="F171" i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G169" i="1"/>
  <c r="F169" i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G167" i="1"/>
  <c r="F167" i="1"/>
  <c r="C167" i="1"/>
  <c r="H167" i="1" s="1"/>
  <c r="O166" i="1"/>
  <c r="N166" i="1"/>
  <c r="J166" i="1"/>
  <c r="M166" i="1" s="1"/>
  <c r="G166" i="1"/>
  <c r="F166" i="1"/>
  <c r="C166" i="1"/>
  <c r="H166" i="1" s="1"/>
  <c r="O165" i="1"/>
  <c r="N165" i="1"/>
  <c r="M165" i="1"/>
  <c r="J165" i="1"/>
  <c r="G165" i="1"/>
  <c r="F165" i="1"/>
  <c r="C165" i="1"/>
  <c r="H165" i="1" s="1"/>
  <c r="O164" i="1"/>
  <c r="N164" i="1"/>
  <c r="J164" i="1"/>
  <c r="M164" i="1" s="1"/>
  <c r="G164" i="1"/>
  <c r="F164" i="1"/>
  <c r="C164" i="1"/>
  <c r="H164" i="1" s="1"/>
  <c r="O163" i="1"/>
  <c r="N163" i="1"/>
  <c r="M163" i="1"/>
  <c r="J163" i="1"/>
  <c r="G163" i="1"/>
  <c r="F163" i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M161" i="1"/>
  <c r="J161" i="1"/>
  <c r="G161" i="1"/>
  <c r="F161" i="1"/>
  <c r="C161" i="1"/>
  <c r="H161" i="1" s="1"/>
  <c r="O160" i="1"/>
  <c r="N160" i="1"/>
  <c r="J160" i="1"/>
  <c r="M160" i="1" s="1"/>
  <c r="G160" i="1"/>
  <c r="F160" i="1"/>
  <c r="C160" i="1"/>
  <c r="H160" i="1" s="1"/>
  <c r="O159" i="1"/>
  <c r="N159" i="1"/>
  <c r="M159" i="1"/>
  <c r="J159" i="1"/>
  <c r="G159" i="1"/>
  <c r="F159" i="1"/>
  <c r="C159" i="1"/>
  <c r="H159" i="1" s="1"/>
  <c r="O158" i="1"/>
  <c r="N158" i="1"/>
  <c r="J158" i="1"/>
  <c r="M158" i="1" s="1"/>
  <c r="G158" i="1"/>
  <c r="F158" i="1"/>
  <c r="C158" i="1"/>
  <c r="H158" i="1" s="1"/>
  <c r="O157" i="1"/>
  <c r="N157" i="1"/>
  <c r="M157" i="1"/>
  <c r="J157" i="1"/>
  <c r="G157" i="1"/>
  <c r="F157" i="1"/>
  <c r="C157" i="1"/>
  <c r="H157" i="1" s="1"/>
  <c r="O156" i="1"/>
  <c r="N156" i="1"/>
  <c r="J156" i="1"/>
  <c r="M156" i="1" s="1"/>
  <c r="G156" i="1"/>
  <c r="F156" i="1"/>
  <c r="C156" i="1"/>
  <c r="H156" i="1" s="1"/>
  <c r="O155" i="1"/>
  <c r="N155" i="1"/>
  <c r="M155" i="1"/>
  <c r="J155" i="1"/>
  <c r="G155" i="1"/>
  <c r="F155" i="1"/>
  <c r="C155" i="1"/>
  <c r="H155" i="1" s="1"/>
  <c r="O154" i="1"/>
  <c r="N154" i="1"/>
  <c r="J154" i="1"/>
  <c r="M154" i="1" s="1"/>
  <c r="G154" i="1"/>
  <c r="F154" i="1"/>
  <c r="C154" i="1"/>
  <c r="H154" i="1" s="1"/>
  <c r="O153" i="1"/>
  <c r="N153" i="1"/>
  <c r="M153" i="1"/>
  <c r="J153" i="1"/>
  <c r="G153" i="1"/>
  <c r="F153" i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M151" i="1"/>
  <c r="J151" i="1"/>
  <c r="G151" i="1"/>
  <c r="F151" i="1"/>
  <c r="C151" i="1"/>
  <c r="H151" i="1" s="1"/>
  <c r="O150" i="1"/>
  <c r="N150" i="1"/>
  <c r="J150" i="1"/>
  <c r="M150" i="1" s="1"/>
  <c r="G150" i="1"/>
  <c r="F150" i="1"/>
  <c r="C150" i="1"/>
  <c r="H150" i="1" s="1"/>
  <c r="O149" i="1"/>
  <c r="N149" i="1"/>
  <c r="M149" i="1"/>
  <c r="J149" i="1"/>
  <c r="G149" i="1"/>
  <c r="F149" i="1"/>
  <c r="C149" i="1"/>
  <c r="H149" i="1" s="1"/>
  <c r="O148" i="1"/>
  <c r="N148" i="1"/>
  <c r="J148" i="1"/>
  <c r="M148" i="1" s="1"/>
  <c r="G148" i="1"/>
  <c r="F148" i="1"/>
  <c r="C148" i="1"/>
  <c r="H148" i="1" s="1"/>
  <c r="O147" i="1"/>
  <c r="N147" i="1"/>
  <c r="M147" i="1"/>
  <c r="J147" i="1"/>
  <c r="G147" i="1"/>
  <c r="F147" i="1"/>
  <c r="C147" i="1"/>
  <c r="H147" i="1" s="1"/>
  <c r="O146" i="1"/>
  <c r="N146" i="1"/>
  <c r="J146" i="1"/>
  <c r="M146" i="1" s="1"/>
  <c r="G146" i="1"/>
  <c r="F146" i="1"/>
  <c r="C146" i="1"/>
  <c r="H146" i="1" s="1"/>
  <c r="O145" i="1"/>
  <c r="N145" i="1"/>
  <c r="M145" i="1"/>
  <c r="J145" i="1"/>
  <c r="G145" i="1"/>
  <c r="F145" i="1"/>
  <c r="C145" i="1"/>
  <c r="H145" i="1" s="1"/>
  <c r="O144" i="1"/>
  <c r="N144" i="1"/>
  <c r="J144" i="1"/>
  <c r="M144" i="1" s="1"/>
  <c r="G144" i="1"/>
  <c r="F144" i="1"/>
  <c r="C144" i="1"/>
  <c r="H144" i="1" s="1"/>
  <c r="O143" i="1"/>
  <c r="N143" i="1"/>
  <c r="M143" i="1"/>
  <c r="J143" i="1"/>
  <c r="G143" i="1"/>
  <c r="F143" i="1"/>
  <c r="C143" i="1"/>
  <c r="H143" i="1" s="1"/>
  <c r="O142" i="1"/>
  <c r="N142" i="1"/>
  <c r="J142" i="1"/>
  <c r="M142" i="1" s="1"/>
  <c r="G142" i="1"/>
  <c r="F142" i="1"/>
  <c r="C142" i="1"/>
  <c r="H142" i="1" s="1"/>
  <c r="O141" i="1"/>
  <c r="N141" i="1"/>
  <c r="M141" i="1"/>
  <c r="J141" i="1"/>
  <c r="G141" i="1"/>
  <c r="F141" i="1"/>
  <c r="C141" i="1"/>
  <c r="H141" i="1" s="1"/>
  <c r="O140" i="1"/>
  <c r="N140" i="1"/>
  <c r="J140" i="1"/>
  <c r="M140" i="1" s="1"/>
  <c r="G140" i="1"/>
  <c r="F140" i="1"/>
  <c r="C140" i="1"/>
  <c r="H140" i="1" s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M138" i="1"/>
  <c r="J138" i="1"/>
  <c r="G138" i="1"/>
  <c r="F138" i="1"/>
  <c r="C138" i="1"/>
  <c r="H138" i="1" s="1"/>
  <c r="W137" i="1"/>
  <c r="O137" i="1"/>
  <c r="N137" i="1"/>
  <c r="H137" i="1"/>
  <c r="G137" i="1"/>
  <c r="F137" i="1"/>
  <c r="J137" i="1" s="1"/>
  <c r="M137" i="1" s="1"/>
  <c r="C137" i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M134" i="1"/>
  <c r="J134" i="1"/>
  <c r="G134" i="1"/>
  <c r="F134" i="1"/>
  <c r="C134" i="1"/>
  <c r="H134" i="1" s="1"/>
  <c r="W133" i="1"/>
  <c r="O133" i="1"/>
  <c r="N133" i="1"/>
  <c r="H133" i="1"/>
  <c r="G133" i="1"/>
  <c r="F133" i="1"/>
  <c r="J133" i="1" s="1"/>
  <c r="M133" i="1" s="1"/>
  <c r="C133" i="1"/>
  <c r="W132" i="1"/>
  <c r="O132" i="1"/>
  <c r="N132" i="1"/>
  <c r="J132" i="1"/>
  <c r="M132" i="1" s="1"/>
  <c r="G132" i="1"/>
  <c r="F132" i="1"/>
  <c r="C132" i="1"/>
  <c r="H132" i="1" s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M130" i="1"/>
  <c r="J130" i="1"/>
  <c r="G130" i="1"/>
  <c r="F130" i="1"/>
  <c r="C130" i="1"/>
  <c r="H130" i="1" s="1"/>
  <c r="W129" i="1"/>
  <c r="O129" i="1"/>
  <c r="N129" i="1"/>
  <c r="H129" i="1"/>
  <c r="G129" i="1"/>
  <c r="F129" i="1"/>
  <c r="J129" i="1" s="1"/>
  <c r="M129" i="1" s="1"/>
  <c r="C129" i="1"/>
  <c r="W128" i="1"/>
  <c r="O128" i="1"/>
  <c r="N128" i="1"/>
  <c r="J128" i="1"/>
  <c r="M128" i="1" s="1"/>
  <c r="G128" i="1"/>
  <c r="F128" i="1"/>
  <c r="C128" i="1"/>
  <c r="H128" i="1" s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M126" i="1"/>
  <c r="J126" i="1"/>
  <c r="G126" i="1"/>
  <c r="F126" i="1"/>
  <c r="C126" i="1"/>
  <c r="H126" i="1" s="1"/>
  <c r="W125" i="1"/>
  <c r="O125" i="1"/>
  <c r="N125" i="1"/>
  <c r="H125" i="1"/>
  <c r="G125" i="1"/>
  <c r="F125" i="1"/>
  <c r="J125" i="1" s="1"/>
  <c r="M125" i="1" s="1"/>
  <c r="C125" i="1"/>
  <c r="W124" i="1"/>
  <c r="O124" i="1"/>
  <c r="N124" i="1"/>
  <c r="J124" i="1"/>
  <c r="M124" i="1" s="1"/>
  <c r="G124" i="1"/>
  <c r="F124" i="1"/>
  <c r="C124" i="1"/>
  <c r="H124" i="1" s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M122" i="1"/>
  <c r="J122" i="1"/>
  <c r="G122" i="1"/>
  <c r="F122" i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J120" i="1"/>
  <c r="M120" i="1" s="1"/>
  <c r="G120" i="1"/>
  <c r="F120" i="1"/>
  <c r="C120" i="1"/>
  <c r="H120" i="1" s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J118" i="1"/>
  <c r="M118" i="1" s="1"/>
  <c r="G118" i="1"/>
  <c r="F118" i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M116" i="1"/>
  <c r="J116" i="1"/>
  <c r="G116" i="1"/>
  <c r="F116" i="1"/>
  <c r="C116" i="1"/>
  <c r="H116" i="1" s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J114" i="1"/>
  <c r="M114" i="1" s="1"/>
  <c r="G114" i="1"/>
  <c r="F114" i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M112" i="1"/>
  <c r="J112" i="1"/>
  <c r="G112" i="1"/>
  <c r="F112" i="1"/>
  <c r="C112" i="1"/>
  <c r="H112" i="1" s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J110" i="1"/>
  <c r="M110" i="1" s="1"/>
  <c r="G110" i="1"/>
  <c r="F110" i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M108" i="1"/>
  <c r="J108" i="1"/>
  <c r="G108" i="1"/>
  <c r="F108" i="1"/>
  <c r="C108" i="1"/>
  <c r="H108" i="1" s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J106" i="1"/>
  <c r="M106" i="1" s="1"/>
  <c r="G106" i="1"/>
  <c r="F106" i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M104" i="1"/>
  <c r="J104" i="1"/>
  <c r="G104" i="1"/>
  <c r="F104" i="1"/>
  <c r="C104" i="1"/>
  <c r="H104" i="1" s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J102" i="1"/>
  <c r="M102" i="1" s="1"/>
  <c r="G102" i="1"/>
  <c r="F102" i="1"/>
  <c r="C102" i="1"/>
  <c r="H102" i="1" s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M100" i="1"/>
  <c r="J100" i="1"/>
  <c r="G100" i="1"/>
  <c r="F100" i="1"/>
  <c r="C100" i="1"/>
  <c r="H100" i="1" s="1"/>
  <c r="W99" i="1"/>
  <c r="O99" i="1"/>
  <c r="N99" i="1"/>
  <c r="H99" i="1"/>
  <c r="G99" i="1"/>
  <c r="F99" i="1"/>
  <c r="J99" i="1" s="1"/>
  <c r="M99" i="1" s="1"/>
  <c r="C99" i="1"/>
  <c r="W98" i="1"/>
  <c r="O98" i="1"/>
  <c r="N98" i="1"/>
  <c r="J98" i="1"/>
  <c r="M98" i="1" s="1"/>
  <c r="G98" i="1"/>
  <c r="F98" i="1"/>
  <c r="C98" i="1"/>
  <c r="H98" i="1" s="1"/>
  <c r="W97" i="1"/>
  <c r="O97" i="1"/>
  <c r="N97" i="1"/>
  <c r="H97" i="1"/>
  <c r="G97" i="1"/>
  <c r="F97" i="1"/>
  <c r="J97" i="1" s="1"/>
  <c r="M97" i="1" s="1"/>
  <c r="C97" i="1"/>
  <c r="W96" i="1"/>
  <c r="O96" i="1"/>
  <c r="N96" i="1"/>
  <c r="M96" i="1"/>
  <c r="J96" i="1"/>
  <c r="G96" i="1"/>
  <c r="F96" i="1"/>
  <c r="C96" i="1"/>
  <c r="H96" i="1" s="1"/>
  <c r="W95" i="1"/>
  <c r="O95" i="1"/>
  <c r="N95" i="1"/>
  <c r="H95" i="1"/>
  <c r="G95" i="1"/>
  <c r="F95" i="1"/>
  <c r="J95" i="1" s="1"/>
  <c r="M95" i="1" s="1"/>
  <c r="C95" i="1"/>
  <c r="W94" i="1"/>
  <c r="O94" i="1"/>
  <c r="N94" i="1"/>
  <c r="J94" i="1"/>
  <c r="M94" i="1" s="1"/>
  <c r="G94" i="1"/>
  <c r="F94" i="1"/>
  <c r="C94" i="1"/>
  <c r="H94" i="1" s="1"/>
  <c r="W93" i="1"/>
  <c r="O93" i="1"/>
  <c r="N93" i="1"/>
  <c r="H93" i="1"/>
  <c r="G93" i="1"/>
  <c r="F93" i="1"/>
  <c r="J93" i="1" s="1"/>
  <c r="M93" i="1" s="1"/>
  <c r="C93" i="1"/>
  <c r="W92" i="1"/>
  <c r="O92" i="1"/>
  <c r="N92" i="1"/>
  <c r="M92" i="1"/>
  <c r="J92" i="1"/>
  <c r="G92" i="1"/>
  <c r="F92" i="1"/>
  <c r="C92" i="1"/>
  <c r="H92" i="1" s="1"/>
  <c r="W91" i="1"/>
  <c r="O91" i="1"/>
  <c r="N91" i="1"/>
  <c r="H91" i="1"/>
  <c r="G91" i="1"/>
  <c r="F91" i="1"/>
  <c r="J91" i="1" s="1"/>
  <c r="M91" i="1" s="1"/>
  <c r="C91" i="1"/>
  <c r="W90" i="1"/>
  <c r="O90" i="1"/>
  <c r="N90" i="1"/>
  <c r="J90" i="1"/>
  <c r="M90" i="1" s="1"/>
  <c r="G90" i="1"/>
  <c r="F90" i="1"/>
  <c r="C90" i="1"/>
  <c r="H90" i="1" s="1"/>
  <c r="W89" i="1"/>
  <c r="O89" i="1"/>
  <c r="N89" i="1"/>
  <c r="H89" i="1"/>
  <c r="G89" i="1"/>
  <c r="F89" i="1"/>
  <c r="J89" i="1" s="1"/>
  <c r="M89" i="1" s="1"/>
  <c r="C89" i="1"/>
  <c r="W88" i="1"/>
  <c r="O88" i="1"/>
  <c r="N88" i="1"/>
  <c r="M88" i="1"/>
  <c r="J88" i="1"/>
  <c r="G88" i="1"/>
  <c r="F88" i="1"/>
  <c r="C88" i="1"/>
  <c r="H88" i="1" s="1"/>
  <c r="W87" i="1"/>
  <c r="O87" i="1"/>
  <c r="N87" i="1"/>
  <c r="H87" i="1"/>
  <c r="G87" i="1"/>
  <c r="F87" i="1"/>
  <c r="J87" i="1" s="1"/>
  <c r="M87" i="1" s="1"/>
  <c r="C87" i="1"/>
  <c r="W86" i="1"/>
  <c r="O86" i="1"/>
  <c r="N86" i="1"/>
  <c r="J86" i="1"/>
  <c r="M86" i="1" s="1"/>
  <c r="G86" i="1"/>
  <c r="F86" i="1"/>
  <c r="C86" i="1"/>
  <c r="H86" i="1" s="1"/>
  <c r="W85" i="1"/>
  <c r="O85" i="1"/>
  <c r="N85" i="1"/>
  <c r="H85" i="1"/>
  <c r="G85" i="1"/>
  <c r="F85" i="1"/>
  <c r="J85" i="1" s="1"/>
  <c r="M85" i="1" s="1"/>
  <c r="C85" i="1"/>
  <c r="W84" i="1"/>
  <c r="O84" i="1"/>
  <c r="N84" i="1"/>
  <c r="M84" i="1"/>
  <c r="J84" i="1"/>
  <c r="G84" i="1"/>
  <c r="F84" i="1"/>
  <c r="C84" i="1"/>
  <c r="H84" i="1" s="1"/>
  <c r="W83" i="1"/>
  <c r="O83" i="1"/>
  <c r="N83" i="1"/>
  <c r="H83" i="1"/>
  <c r="G83" i="1"/>
  <c r="F83" i="1"/>
  <c r="J83" i="1" s="1"/>
  <c r="M83" i="1" s="1"/>
  <c r="C83" i="1"/>
  <c r="W82" i="1"/>
  <c r="O82" i="1"/>
  <c r="N82" i="1"/>
  <c r="J82" i="1"/>
  <c r="M82" i="1" s="1"/>
  <c r="G82" i="1"/>
  <c r="F82" i="1"/>
  <c r="C82" i="1"/>
  <c r="H82" i="1" s="1"/>
  <c r="W81" i="1"/>
  <c r="O81" i="1"/>
  <c r="N81" i="1"/>
  <c r="H81" i="1"/>
  <c r="G81" i="1"/>
  <c r="F81" i="1"/>
  <c r="J81" i="1" s="1"/>
  <c r="M81" i="1" s="1"/>
  <c r="C81" i="1"/>
  <c r="W80" i="1"/>
  <c r="O80" i="1"/>
  <c r="N80" i="1"/>
  <c r="M80" i="1"/>
  <c r="J80" i="1"/>
  <c r="G80" i="1"/>
  <c r="F80" i="1"/>
  <c r="C80" i="1"/>
  <c r="H80" i="1" s="1"/>
  <c r="W79" i="1"/>
  <c r="O79" i="1"/>
  <c r="N79" i="1"/>
  <c r="H79" i="1"/>
  <c r="G79" i="1"/>
  <c r="F79" i="1"/>
  <c r="J79" i="1" s="1"/>
  <c r="M79" i="1" s="1"/>
  <c r="C79" i="1"/>
  <c r="W78" i="1"/>
  <c r="O78" i="1"/>
  <c r="N78" i="1"/>
  <c r="J78" i="1"/>
  <c r="M78" i="1" s="1"/>
  <c r="G78" i="1"/>
  <c r="F78" i="1"/>
  <c r="C78" i="1"/>
  <c r="H78" i="1" s="1"/>
  <c r="W77" i="1"/>
  <c r="O77" i="1"/>
  <c r="N77" i="1"/>
  <c r="H77" i="1"/>
  <c r="G77" i="1"/>
  <c r="F77" i="1"/>
  <c r="J77" i="1" s="1"/>
  <c r="M77" i="1" s="1"/>
  <c r="C77" i="1"/>
  <c r="W76" i="1"/>
  <c r="O76" i="1"/>
  <c r="N76" i="1"/>
  <c r="M76" i="1"/>
  <c r="J76" i="1"/>
  <c r="G76" i="1"/>
  <c r="F76" i="1"/>
  <c r="C76" i="1"/>
  <c r="H76" i="1" s="1"/>
  <c r="W75" i="1"/>
  <c r="O75" i="1"/>
  <c r="N75" i="1"/>
  <c r="H75" i="1"/>
  <c r="G75" i="1"/>
  <c r="F75" i="1"/>
  <c r="J75" i="1" s="1"/>
  <c r="M75" i="1" s="1"/>
  <c r="C75" i="1"/>
  <c r="W74" i="1"/>
  <c r="O74" i="1"/>
  <c r="N74" i="1"/>
  <c r="J74" i="1"/>
  <c r="M74" i="1" s="1"/>
  <c r="G74" i="1"/>
  <c r="F74" i="1"/>
  <c r="C74" i="1"/>
  <c r="H74" i="1" s="1"/>
  <c r="W73" i="1"/>
  <c r="O73" i="1"/>
  <c r="N73" i="1"/>
  <c r="H73" i="1"/>
  <c r="G73" i="1"/>
  <c r="F73" i="1"/>
  <c r="J73" i="1" s="1"/>
  <c r="M73" i="1" s="1"/>
  <c r="C73" i="1"/>
  <c r="W72" i="1"/>
  <c r="O72" i="1"/>
  <c r="N72" i="1"/>
  <c r="M72" i="1"/>
  <c r="J72" i="1"/>
  <c r="G72" i="1"/>
  <c r="F72" i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J70" i="1"/>
  <c r="M70" i="1" s="1"/>
  <c r="G70" i="1"/>
  <c r="F70" i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M68" i="1"/>
  <c r="J68" i="1"/>
  <c r="G68" i="1"/>
  <c r="F68" i="1"/>
  <c r="C68" i="1"/>
  <c r="H68" i="1" s="1"/>
  <c r="W67" i="1"/>
  <c r="O67" i="1"/>
  <c r="N67" i="1"/>
  <c r="H67" i="1"/>
  <c r="G67" i="1"/>
  <c r="F67" i="1"/>
  <c r="J67" i="1" s="1"/>
  <c r="M67" i="1" s="1"/>
  <c r="C67" i="1"/>
  <c r="W66" i="1"/>
  <c r="O66" i="1"/>
  <c r="N66" i="1"/>
  <c r="J66" i="1"/>
  <c r="M66" i="1" s="1"/>
  <c r="G66" i="1"/>
  <c r="F66" i="1"/>
  <c r="C66" i="1"/>
  <c r="H66" i="1" s="1"/>
  <c r="W65" i="1"/>
  <c r="O65" i="1"/>
  <c r="N65" i="1"/>
  <c r="H65" i="1"/>
  <c r="G65" i="1"/>
  <c r="F65" i="1"/>
  <c r="J65" i="1" s="1"/>
  <c r="M65" i="1" s="1"/>
  <c r="C65" i="1"/>
  <c r="W64" i="1"/>
  <c r="O64" i="1"/>
  <c r="N64" i="1"/>
  <c r="M64" i="1"/>
  <c r="J64" i="1"/>
  <c r="G64" i="1"/>
  <c r="F64" i="1"/>
  <c r="C64" i="1"/>
  <c r="H64" i="1" s="1"/>
  <c r="W63" i="1"/>
  <c r="O63" i="1"/>
  <c r="N63" i="1"/>
  <c r="H63" i="1"/>
  <c r="G63" i="1"/>
  <c r="F63" i="1"/>
  <c r="J63" i="1" s="1"/>
  <c r="M63" i="1" s="1"/>
  <c r="C63" i="1"/>
  <c r="W62" i="1"/>
  <c r="O62" i="1"/>
  <c r="N62" i="1"/>
  <c r="J62" i="1"/>
  <c r="M62" i="1" s="1"/>
  <c r="G62" i="1"/>
  <c r="F62" i="1"/>
  <c r="C62" i="1"/>
  <c r="H62" i="1" s="1"/>
  <c r="W61" i="1"/>
  <c r="O61" i="1"/>
  <c r="N61" i="1"/>
  <c r="H61" i="1"/>
  <c r="G61" i="1"/>
  <c r="F61" i="1"/>
  <c r="J61" i="1" s="1"/>
  <c r="M61" i="1" s="1"/>
  <c r="C61" i="1"/>
  <c r="W60" i="1"/>
  <c r="O60" i="1"/>
  <c r="N60" i="1"/>
  <c r="M60" i="1"/>
  <c r="J60" i="1"/>
  <c r="G60" i="1"/>
  <c r="F60" i="1"/>
  <c r="C60" i="1"/>
  <c r="H60" i="1" s="1"/>
  <c r="W59" i="1"/>
  <c r="O59" i="1"/>
  <c r="N59" i="1"/>
  <c r="H59" i="1"/>
  <c r="G59" i="1"/>
  <c r="F59" i="1"/>
  <c r="J59" i="1" s="1"/>
  <c r="M59" i="1" s="1"/>
  <c r="C59" i="1"/>
  <c r="W58" i="1"/>
  <c r="O58" i="1"/>
  <c r="N58" i="1"/>
  <c r="J58" i="1"/>
  <c r="M58" i="1" s="1"/>
  <c r="G58" i="1"/>
  <c r="F58" i="1"/>
  <c r="C58" i="1"/>
  <c r="H58" i="1" s="1"/>
  <c r="W57" i="1"/>
  <c r="O57" i="1"/>
  <c r="N57" i="1"/>
  <c r="H57" i="1"/>
  <c r="G57" i="1"/>
  <c r="F57" i="1"/>
  <c r="J57" i="1" s="1"/>
  <c r="M57" i="1" s="1"/>
  <c r="C57" i="1"/>
  <c r="W56" i="1"/>
  <c r="O56" i="1"/>
  <c r="N56" i="1"/>
  <c r="M56" i="1"/>
  <c r="J56" i="1"/>
  <c r="G56" i="1"/>
  <c r="F56" i="1"/>
  <c r="C56" i="1"/>
  <c r="H56" i="1" s="1"/>
  <c r="W55" i="1"/>
  <c r="O55" i="1"/>
  <c r="N55" i="1"/>
  <c r="H55" i="1"/>
  <c r="G55" i="1"/>
  <c r="F55" i="1"/>
  <c r="J55" i="1" s="1"/>
  <c r="M55" i="1" s="1"/>
  <c r="C55" i="1"/>
  <c r="W54" i="1"/>
  <c r="O54" i="1"/>
  <c r="N54" i="1"/>
  <c r="J54" i="1"/>
  <c r="M54" i="1" s="1"/>
  <c r="G54" i="1"/>
  <c r="F54" i="1"/>
  <c r="C54" i="1"/>
  <c r="H54" i="1" s="1"/>
  <c r="W53" i="1"/>
  <c r="O53" i="1"/>
  <c r="N53" i="1"/>
  <c r="H53" i="1"/>
  <c r="G53" i="1"/>
  <c r="F53" i="1"/>
  <c r="J53" i="1" s="1"/>
  <c r="M53" i="1" s="1"/>
  <c r="C53" i="1"/>
  <c r="W52" i="1"/>
  <c r="O52" i="1"/>
  <c r="N52" i="1"/>
  <c r="M52" i="1"/>
  <c r="J52" i="1"/>
  <c r="G52" i="1"/>
  <c r="F52" i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J50" i="1"/>
  <c r="M50" i="1" s="1"/>
  <c r="G50" i="1"/>
  <c r="F50" i="1"/>
  <c r="C50" i="1"/>
  <c r="H50" i="1" s="1"/>
  <c r="W49" i="1"/>
  <c r="O49" i="1"/>
  <c r="N49" i="1"/>
  <c r="H49" i="1"/>
  <c r="G49" i="1"/>
  <c r="F49" i="1"/>
  <c r="J49" i="1" s="1"/>
  <c r="M49" i="1" s="1"/>
  <c r="C49" i="1"/>
  <c r="W48" i="1"/>
  <c r="O48" i="1"/>
  <c r="N48" i="1"/>
  <c r="M48" i="1"/>
  <c r="J48" i="1"/>
  <c r="G48" i="1"/>
  <c r="F48" i="1"/>
  <c r="C48" i="1"/>
  <c r="H48" i="1" s="1"/>
  <c r="W47" i="1"/>
  <c r="O47" i="1"/>
  <c r="N47" i="1"/>
  <c r="H47" i="1"/>
  <c r="G47" i="1"/>
  <c r="F47" i="1"/>
  <c r="J47" i="1" s="1"/>
  <c r="M47" i="1" s="1"/>
  <c r="C47" i="1"/>
  <c r="W46" i="1"/>
  <c r="O46" i="1"/>
  <c r="N46" i="1"/>
  <c r="J46" i="1"/>
  <c r="M46" i="1" s="1"/>
  <c r="G46" i="1"/>
  <c r="F46" i="1"/>
  <c r="C46" i="1"/>
  <c r="H46" i="1" s="1"/>
  <c r="W45" i="1"/>
  <c r="O45" i="1"/>
  <c r="N45" i="1"/>
  <c r="H45" i="1"/>
  <c r="G45" i="1"/>
  <c r="F45" i="1"/>
  <c r="J45" i="1" s="1"/>
  <c r="M45" i="1" s="1"/>
  <c r="C45" i="1"/>
  <c r="W44" i="1"/>
  <c r="O44" i="1"/>
  <c r="N44" i="1"/>
  <c r="M44" i="1"/>
  <c r="J44" i="1"/>
  <c r="G44" i="1"/>
  <c r="F44" i="1"/>
  <c r="C44" i="1"/>
  <c r="H44" i="1" s="1"/>
  <c r="W43" i="1"/>
  <c r="O43" i="1"/>
  <c r="N43" i="1"/>
  <c r="H43" i="1"/>
  <c r="G43" i="1"/>
  <c r="F43" i="1"/>
  <c r="J43" i="1" s="1"/>
  <c r="M43" i="1" s="1"/>
  <c r="C43" i="1"/>
  <c r="W42" i="1"/>
  <c r="O42" i="1"/>
  <c r="N42" i="1"/>
  <c r="J42" i="1"/>
  <c r="M42" i="1" s="1"/>
  <c r="G42" i="1"/>
  <c r="F42" i="1"/>
  <c r="C42" i="1"/>
  <c r="H42" i="1" s="1"/>
  <c r="W41" i="1"/>
  <c r="O41" i="1"/>
  <c r="N41" i="1"/>
  <c r="H41" i="1"/>
  <c r="G41" i="1"/>
  <c r="F41" i="1"/>
  <c r="J41" i="1" s="1"/>
  <c r="M41" i="1" s="1"/>
  <c r="C41" i="1"/>
  <c r="W40" i="1"/>
  <c r="O40" i="1"/>
  <c r="N40" i="1"/>
  <c r="M40" i="1"/>
  <c r="J40" i="1"/>
  <c r="G40" i="1"/>
  <c r="F40" i="1"/>
  <c r="C40" i="1"/>
  <c r="H40" i="1" s="1"/>
  <c r="W39" i="1"/>
  <c r="O39" i="1"/>
  <c r="N39" i="1"/>
  <c r="H39" i="1"/>
  <c r="G39" i="1"/>
  <c r="F39" i="1"/>
  <c r="J39" i="1" s="1"/>
  <c r="M39" i="1" s="1"/>
  <c r="C39" i="1"/>
  <c r="W38" i="1"/>
  <c r="O38" i="1"/>
  <c r="N38" i="1"/>
  <c r="J38" i="1"/>
  <c r="M38" i="1" s="1"/>
  <c r="G38" i="1"/>
  <c r="F38" i="1"/>
  <c r="C38" i="1"/>
  <c r="H38" i="1" s="1"/>
  <c r="W37" i="1"/>
  <c r="O37" i="1"/>
  <c r="N37" i="1"/>
  <c r="H37" i="1"/>
  <c r="G37" i="1"/>
  <c r="F37" i="1"/>
  <c r="J37" i="1" s="1"/>
  <c r="M37" i="1" s="1"/>
  <c r="C37" i="1"/>
  <c r="W36" i="1"/>
  <c r="O36" i="1"/>
  <c r="N36" i="1"/>
  <c r="M36" i="1"/>
  <c r="J36" i="1"/>
  <c r="G36" i="1"/>
  <c r="F36" i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J34" i="1"/>
  <c r="M34" i="1" s="1"/>
  <c r="G34" i="1"/>
  <c r="F34" i="1"/>
  <c r="C34" i="1"/>
  <c r="H34" i="1" s="1"/>
  <c r="W33" i="1"/>
  <c r="O33" i="1"/>
  <c r="N33" i="1"/>
  <c r="H33" i="1"/>
  <c r="G33" i="1"/>
  <c r="F33" i="1"/>
  <c r="J33" i="1" s="1"/>
  <c r="M33" i="1" s="1"/>
  <c r="C33" i="1"/>
  <c r="W32" i="1"/>
  <c r="O32" i="1"/>
  <c r="N32" i="1"/>
  <c r="M32" i="1"/>
  <c r="J32" i="1"/>
  <c r="G32" i="1"/>
  <c r="F32" i="1"/>
  <c r="C32" i="1"/>
  <c r="H32" i="1" s="1"/>
  <c r="Z31" i="1"/>
  <c r="W31" i="1"/>
  <c r="O31" i="1"/>
  <c r="N31" i="1"/>
  <c r="M31" i="1"/>
  <c r="J31" i="1"/>
  <c r="G31" i="1"/>
  <c r="F31" i="1"/>
  <c r="C31" i="1"/>
  <c r="H31" i="1" s="1"/>
  <c r="Z30" i="1"/>
  <c r="W30" i="1"/>
  <c r="O30" i="1"/>
  <c r="N30" i="1"/>
  <c r="M30" i="1"/>
  <c r="J30" i="1"/>
  <c r="G30" i="1"/>
  <c r="F30" i="1"/>
  <c r="C30" i="1"/>
  <c r="H30" i="1" s="1"/>
  <c r="Z29" i="1"/>
  <c r="W29" i="1"/>
  <c r="O29" i="1"/>
  <c r="N29" i="1"/>
  <c r="M29" i="1"/>
  <c r="J29" i="1"/>
  <c r="G29" i="1"/>
  <c r="F29" i="1"/>
  <c r="C29" i="1"/>
  <c r="H29" i="1" s="1"/>
  <c r="Z28" i="1"/>
  <c r="W28" i="1"/>
  <c r="O28" i="1"/>
  <c r="N28" i="1"/>
  <c r="M28" i="1"/>
  <c r="J28" i="1"/>
  <c r="G28" i="1"/>
  <c r="F28" i="1"/>
  <c r="C28" i="1"/>
  <c r="H28" i="1" s="1"/>
  <c r="Z27" i="1"/>
  <c r="W27" i="1"/>
  <c r="O27" i="1"/>
  <c r="N27" i="1"/>
  <c r="M27" i="1"/>
  <c r="J27" i="1"/>
  <c r="G27" i="1"/>
  <c r="F27" i="1"/>
  <c r="C27" i="1"/>
  <c r="H27" i="1" s="1"/>
  <c r="Z26" i="1"/>
  <c r="W26" i="1"/>
  <c r="O26" i="1"/>
  <c r="N26" i="1"/>
  <c r="M26" i="1"/>
  <c r="J26" i="1"/>
  <c r="G26" i="1"/>
  <c r="F26" i="1"/>
  <c r="C26" i="1"/>
  <c r="H26" i="1" s="1"/>
  <c r="Z25" i="1"/>
  <c r="W25" i="1"/>
  <c r="O25" i="1"/>
  <c r="N25" i="1"/>
  <c r="M25" i="1"/>
  <c r="J25" i="1"/>
  <c r="G25" i="1"/>
  <c r="F25" i="1"/>
  <c r="C25" i="1"/>
  <c r="H25" i="1" s="1"/>
  <c r="Z24" i="1"/>
  <c r="W24" i="1"/>
  <c r="O24" i="1"/>
  <c r="N24" i="1"/>
  <c r="M24" i="1"/>
  <c r="J24" i="1"/>
  <c r="G24" i="1"/>
  <c r="F24" i="1"/>
  <c r="C24" i="1"/>
  <c r="H24" i="1" s="1"/>
  <c r="Z23" i="1"/>
  <c r="W23" i="1"/>
  <c r="O23" i="1"/>
  <c r="N23" i="1"/>
  <c r="M23" i="1"/>
  <c r="J23" i="1"/>
  <c r="G23" i="1"/>
  <c r="F23" i="1"/>
  <c r="C23" i="1"/>
  <c r="H23" i="1" s="1"/>
  <c r="Z22" i="1"/>
  <c r="W22" i="1"/>
  <c r="O22" i="1"/>
  <c r="N22" i="1"/>
  <c r="M22" i="1"/>
  <c r="J22" i="1"/>
  <c r="G22" i="1"/>
  <c r="F22" i="1"/>
  <c r="C22" i="1"/>
  <c r="H22" i="1" s="1"/>
  <c r="Z21" i="1"/>
  <c r="W21" i="1"/>
  <c r="O21" i="1"/>
  <c r="N21" i="1"/>
  <c r="M21" i="1"/>
  <c r="J21" i="1"/>
  <c r="G21" i="1"/>
  <c r="F21" i="1"/>
  <c r="C21" i="1"/>
  <c r="H21" i="1" s="1"/>
  <c r="Z20" i="1"/>
  <c r="W20" i="1"/>
  <c r="O20" i="1"/>
  <c r="N20" i="1"/>
  <c r="M20" i="1"/>
  <c r="J20" i="1"/>
  <c r="G20" i="1"/>
  <c r="F20" i="1"/>
  <c r="C20" i="1"/>
  <c r="H20" i="1" s="1"/>
  <c r="Z19" i="1"/>
  <c r="W19" i="1"/>
  <c r="O19" i="1"/>
  <c r="N19" i="1"/>
  <c r="M19" i="1"/>
  <c r="J19" i="1"/>
  <c r="G19" i="1"/>
  <c r="F19" i="1"/>
  <c r="C19" i="1"/>
  <c r="H19" i="1" s="1"/>
  <c r="Z18" i="1"/>
  <c r="W18" i="1"/>
  <c r="O18" i="1"/>
  <c r="N18" i="1"/>
  <c r="M18" i="1"/>
  <c r="J18" i="1"/>
  <c r="G18" i="1"/>
  <c r="F18" i="1"/>
  <c r="C18" i="1"/>
  <c r="H18" i="1" s="1"/>
  <c r="Z17" i="1"/>
  <c r="W17" i="1"/>
  <c r="O17" i="1"/>
  <c r="N17" i="1"/>
  <c r="M17" i="1"/>
  <c r="J17" i="1"/>
  <c r="G17" i="1"/>
  <c r="F17" i="1"/>
  <c r="C17" i="1"/>
  <c r="H17" i="1" s="1"/>
  <c r="Z16" i="1"/>
  <c r="W16" i="1"/>
  <c r="O16" i="1"/>
  <c r="N16" i="1"/>
  <c r="M16" i="1"/>
  <c r="J16" i="1"/>
  <c r="G16" i="1"/>
  <c r="F16" i="1"/>
  <c r="C16" i="1"/>
  <c r="H16" i="1" s="1"/>
  <c r="Z15" i="1"/>
  <c r="W15" i="1"/>
  <c r="O15" i="1"/>
  <c r="N15" i="1"/>
  <c r="M15" i="1"/>
  <c r="J15" i="1"/>
  <c r="G15" i="1"/>
  <c r="F15" i="1"/>
  <c r="C15" i="1"/>
  <c r="H15" i="1" s="1"/>
  <c r="Z14" i="1"/>
  <c r="W14" i="1"/>
  <c r="O14" i="1"/>
  <c r="N14" i="1"/>
  <c r="M14" i="1"/>
  <c r="J14" i="1"/>
  <c r="G14" i="1"/>
  <c r="F14" i="1"/>
  <c r="C14" i="1"/>
  <c r="H14" i="1" s="1"/>
  <c r="Z13" i="1"/>
  <c r="W13" i="1"/>
  <c r="O13" i="1"/>
  <c r="N13" i="1"/>
  <c r="M13" i="1"/>
  <c r="J13" i="1"/>
  <c r="G13" i="1"/>
  <c r="F13" i="1"/>
  <c r="C13" i="1"/>
  <c r="H13" i="1" s="1"/>
  <c r="Z12" i="1"/>
  <c r="W12" i="1"/>
  <c r="O12" i="1"/>
  <c r="N12" i="1"/>
  <c r="H12" i="1"/>
  <c r="G12" i="1"/>
  <c r="F12" i="1"/>
  <c r="J12" i="1" s="1"/>
  <c r="M12" i="1" s="1"/>
  <c r="C12" i="1"/>
  <c r="AC11" i="1"/>
  <c r="AC12" i="1" s="1"/>
  <c r="Z11" i="1"/>
  <c r="W11" i="1"/>
  <c r="O11" i="1"/>
  <c r="N11" i="1"/>
  <c r="J11" i="1"/>
  <c r="M11" i="1" s="1"/>
  <c r="G11" i="1"/>
  <c r="F11" i="1"/>
  <c r="C11" i="1"/>
  <c r="H11" i="1" s="1"/>
  <c r="Z10" i="1"/>
  <c r="W10" i="1"/>
  <c r="O10" i="1"/>
  <c r="N10" i="1"/>
  <c r="J10" i="1"/>
  <c r="M10" i="1" s="1"/>
  <c r="G10" i="1"/>
  <c r="F10" i="1"/>
  <c r="C10" i="1"/>
  <c r="H10" i="1" s="1"/>
  <c r="Z9" i="1"/>
  <c r="W9" i="1"/>
  <c r="O9" i="1"/>
  <c r="N9" i="1"/>
  <c r="J9" i="1"/>
  <c r="M9" i="1" s="1"/>
  <c r="G9" i="1"/>
  <c r="F9" i="1"/>
  <c r="C9" i="1"/>
  <c r="H9" i="1" s="1"/>
  <c r="Z8" i="1"/>
  <c r="W8" i="1"/>
  <c r="O8" i="1"/>
  <c r="N8" i="1"/>
  <c r="J8" i="1"/>
  <c r="M8" i="1" s="1"/>
  <c r="G8" i="1"/>
  <c r="F8" i="1"/>
  <c r="C8" i="1"/>
  <c r="H8" i="1" s="1"/>
  <c r="AC7" i="1"/>
  <c r="Z7" i="1"/>
  <c r="W7" i="1"/>
  <c r="O7" i="1"/>
  <c r="N7" i="1"/>
  <c r="H7" i="1"/>
  <c r="G7" i="1"/>
  <c r="F7" i="1"/>
  <c r="J7" i="1" s="1"/>
  <c r="M7" i="1" s="1"/>
  <c r="C7" i="1"/>
  <c r="Z6" i="1"/>
  <c r="W6" i="1"/>
  <c r="O6" i="1"/>
  <c r="N6" i="1"/>
  <c r="H6" i="1"/>
  <c r="G6" i="1"/>
  <c r="F6" i="1"/>
  <c r="J6" i="1" s="1"/>
  <c r="M6" i="1" s="1"/>
  <c r="C6" i="1"/>
  <c r="Z5" i="1"/>
  <c r="W5" i="1"/>
  <c r="O5" i="1"/>
  <c r="N5" i="1"/>
  <c r="H5" i="1"/>
  <c r="G5" i="1"/>
  <c r="F5" i="1"/>
  <c r="J5" i="1" s="1"/>
  <c r="M5" i="1" s="1"/>
  <c r="C5" i="1"/>
  <c r="Z4" i="1"/>
  <c r="W4" i="1"/>
  <c r="O4" i="1"/>
  <c r="N4" i="1"/>
  <c r="H4" i="1"/>
  <c r="G4" i="1"/>
  <c r="F4" i="1"/>
  <c r="J4" i="1" s="1"/>
  <c r="M4" i="1" s="1"/>
  <c r="C4" i="1"/>
  <c r="S2" i="1"/>
  <c r="N2" i="1" s="1"/>
  <c r="K8" i="1" l="1"/>
  <c r="P8" i="1" s="1"/>
  <c r="K14" i="1"/>
  <c r="P14" i="1" s="1"/>
  <c r="K18" i="1"/>
  <c r="P18" i="1" s="1"/>
  <c r="K22" i="1"/>
  <c r="P22" i="1" s="1"/>
  <c r="K26" i="1"/>
  <c r="P26" i="1" s="1"/>
  <c r="K30" i="1"/>
  <c r="P30" i="1" s="1"/>
  <c r="K40" i="1"/>
  <c r="P40" i="1" s="1"/>
  <c r="K46" i="1"/>
  <c r="P46" i="1" s="1"/>
  <c r="K56" i="1"/>
  <c r="P56" i="1" s="1"/>
  <c r="K62" i="1"/>
  <c r="P62" i="1" s="1"/>
  <c r="K72" i="1"/>
  <c r="P72" i="1" s="1"/>
  <c r="K78" i="1"/>
  <c r="P78" i="1" s="1"/>
  <c r="K88" i="1"/>
  <c r="P88" i="1" s="1"/>
  <c r="K94" i="1"/>
  <c r="P94" i="1" s="1"/>
  <c r="K303" i="1"/>
  <c r="P303" i="1" s="1"/>
  <c r="K301" i="1"/>
  <c r="P301" i="1" s="1"/>
  <c r="K299" i="1"/>
  <c r="P299" i="1" s="1"/>
  <c r="K297" i="1"/>
  <c r="P297" i="1" s="1"/>
  <c r="K295" i="1"/>
  <c r="P295" i="1" s="1"/>
  <c r="K293" i="1"/>
  <c r="P293" i="1" s="1"/>
  <c r="K291" i="1"/>
  <c r="P291" i="1" s="1"/>
  <c r="K289" i="1"/>
  <c r="P289" i="1" s="1"/>
  <c r="K287" i="1"/>
  <c r="P287" i="1" s="1"/>
  <c r="K285" i="1"/>
  <c r="P285" i="1" s="1"/>
  <c r="K283" i="1"/>
  <c r="P283" i="1" s="1"/>
  <c r="K281" i="1"/>
  <c r="P281" i="1" s="1"/>
  <c r="K279" i="1"/>
  <c r="P279" i="1" s="1"/>
  <c r="K277" i="1"/>
  <c r="P277" i="1" s="1"/>
  <c r="K275" i="1"/>
  <c r="P275" i="1" s="1"/>
  <c r="K273" i="1"/>
  <c r="P273" i="1" s="1"/>
  <c r="K271" i="1"/>
  <c r="P271" i="1" s="1"/>
  <c r="K269" i="1"/>
  <c r="P269" i="1" s="1"/>
  <c r="K302" i="1"/>
  <c r="P302" i="1" s="1"/>
  <c r="K300" i="1"/>
  <c r="P300" i="1" s="1"/>
  <c r="K298" i="1"/>
  <c r="P298" i="1" s="1"/>
  <c r="K296" i="1"/>
  <c r="P296" i="1" s="1"/>
  <c r="K294" i="1"/>
  <c r="P294" i="1" s="1"/>
  <c r="K292" i="1"/>
  <c r="P292" i="1" s="1"/>
  <c r="K290" i="1"/>
  <c r="P290" i="1" s="1"/>
  <c r="K288" i="1"/>
  <c r="P288" i="1" s="1"/>
  <c r="K286" i="1"/>
  <c r="P286" i="1" s="1"/>
  <c r="K284" i="1"/>
  <c r="P284" i="1" s="1"/>
  <c r="K282" i="1"/>
  <c r="P282" i="1" s="1"/>
  <c r="K280" i="1"/>
  <c r="P280" i="1" s="1"/>
  <c r="I1" i="2"/>
  <c r="K278" i="1"/>
  <c r="P278" i="1" s="1"/>
  <c r="K274" i="1"/>
  <c r="P274" i="1" s="1"/>
  <c r="K270" i="1"/>
  <c r="P270" i="1" s="1"/>
  <c r="K260" i="1"/>
  <c r="P260" i="1" s="1"/>
  <c r="K258" i="1"/>
  <c r="P258" i="1" s="1"/>
  <c r="K256" i="1"/>
  <c r="P256" i="1" s="1"/>
  <c r="K276" i="1"/>
  <c r="P276" i="1" s="1"/>
  <c r="K272" i="1"/>
  <c r="P272" i="1" s="1"/>
  <c r="K268" i="1"/>
  <c r="P268" i="1" s="1"/>
  <c r="K267" i="1"/>
  <c r="P267" i="1" s="1"/>
  <c r="K266" i="1"/>
  <c r="P266" i="1" s="1"/>
  <c r="K265" i="1"/>
  <c r="P265" i="1" s="1"/>
  <c r="K264" i="1"/>
  <c r="P264" i="1" s="1"/>
  <c r="K263" i="1"/>
  <c r="P263" i="1" s="1"/>
  <c r="K262" i="1"/>
  <c r="P262" i="1" s="1"/>
  <c r="K261" i="1"/>
  <c r="P261" i="1" s="1"/>
  <c r="K259" i="1"/>
  <c r="P259" i="1" s="1"/>
  <c r="K257" i="1"/>
  <c r="P257" i="1" s="1"/>
  <c r="K255" i="1"/>
  <c r="P255" i="1" s="1"/>
  <c r="K253" i="1"/>
  <c r="P253" i="1" s="1"/>
  <c r="K251" i="1"/>
  <c r="P251" i="1" s="1"/>
  <c r="K249" i="1"/>
  <c r="P249" i="1" s="1"/>
  <c r="K247" i="1"/>
  <c r="P247" i="1" s="1"/>
  <c r="K245" i="1"/>
  <c r="P245" i="1" s="1"/>
  <c r="K254" i="1"/>
  <c r="P254" i="1" s="1"/>
  <c r="K250" i="1"/>
  <c r="P250" i="1" s="1"/>
  <c r="K246" i="1"/>
  <c r="P246" i="1" s="1"/>
  <c r="K204" i="1"/>
  <c r="P204" i="1" s="1"/>
  <c r="K243" i="1"/>
  <c r="P243" i="1" s="1"/>
  <c r="K242" i="1"/>
  <c r="P242" i="1" s="1"/>
  <c r="K241" i="1"/>
  <c r="P241" i="1" s="1"/>
  <c r="K240" i="1"/>
  <c r="P240" i="1" s="1"/>
  <c r="K239" i="1"/>
  <c r="P239" i="1" s="1"/>
  <c r="K238" i="1"/>
  <c r="P238" i="1" s="1"/>
  <c r="K237" i="1"/>
  <c r="P237" i="1" s="1"/>
  <c r="K236" i="1"/>
  <c r="P236" i="1" s="1"/>
  <c r="K235" i="1"/>
  <c r="P235" i="1" s="1"/>
  <c r="K234" i="1"/>
  <c r="P234" i="1" s="1"/>
  <c r="K233" i="1"/>
  <c r="P233" i="1" s="1"/>
  <c r="K232" i="1"/>
  <c r="P232" i="1" s="1"/>
  <c r="K231" i="1"/>
  <c r="P231" i="1" s="1"/>
  <c r="K230" i="1"/>
  <c r="P230" i="1" s="1"/>
  <c r="K229" i="1"/>
  <c r="P229" i="1" s="1"/>
  <c r="K228" i="1"/>
  <c r="P228" i="1" s="1"/>
  <c r="K227" i="1"/>
  <c r="P227" i="1" s="1"/>
  <c r="K226" i="1"/>
  <c r="P226" i="1" s="1"/>
  <c r="K252" i="1"/>
  <c r="P252" i="1" s="1"/>
  <c r="K248" i="1"/>
  <c r="P248" i="1" s="1"/>
  <c r="K244" i="1"/>
  <c r="P244" i="1" s="1"/>
  <c r="K139" i="1"/>
  <c r="P139" i="1" s="1"/>
  <c r="K135" i="1"/>
  <c r="P135" i="1" s="1"/>
  <c r="K131" i="1"/>
  <c r="P131" i="1" s="1"/>
  <c r="K127" i="1"/>
  <c r="P127" i="1" s="1"/>
  <c r="K123" i="1"/>
  <c r="P123" i="1" s="1"/>
  <c r="K119" i="1"/>
  <c r="P119" i="1" s="1"/>
  <c r="K202" i="1"/>
  <c r="P202" i="1" s="1"/>
  <c r="K200" i="1"/>
  <c r="P200" i="1" s="1"/>
  <c r="K198" i="1"/>
  <c r="P198" i="1" s="1"/>
  <c r="K196" i="1"/>
  <c r="P196" i="1" s="1"/>
  <c r="K194" i="1"/>
  <c r="P194" i="1" s="1"/>
  <c r="K192" i="1"/>
  <c r="P192" i="1" s="1"/>
  <c r="K190" i="1"/>
  <c r="P190" i="1" s="1"/>
  <c r="K188" i="1"/>
  <c r="P188" i="1" s="1"/>
  <c r="K186" i="1"/>
  <c r="P186" i="1" s="1"/>
  <c r="K184" i="1"/>
  <c r="P184" i="1" s="1"/>
  <c r="K137" i="1"/>
  <c r="P137" i="1" s="1"/>
  <c r="K121" i="1"/>
  <c r="P121" i="1" s="1"/>
  <c r="K115" i="1"/>
  <c r="P115" i="1" s="1"/>
  <c r="K107" i="1"/>
  <c r="P107" i="1" s="1"/>
  <c r="K125" i="1"/>
  <c r="P125" i="1" s="1"/>
  <c r="K113" i="1"/>
  <c r="P113" i="1" s="1"/>
  <c r="K105" i="1"/>
  <c r="P105" i="1" s="1"/>
  <c r="K99" i="1"/>
  <c r="P99" i="1" s="1"/>
  <c r="K95" i="1"/>
  <c r="P95" i="1" s="1"/>
  <c r="K91" i="1"/>
  <c r="P91" i="1" s="1"/>
  <c r="K87" i="1"/>
  <c r="P87" i="1" s="1"/>
  <c r="K83" i="1"/>
  <c r="P83" i="1" s="1"/>
  <c r="K79" i="1"/>
  <c r="P79" i="1" s="1"/>
  <c r="K75" i="1"/>
  <c r="P75" i="1" s="1"/>
  <c r="K71" i="1"/>
  <c r="P71" i="1" s="1"/>
  <c r="K67" i="1"/>
  <c r="P67" i="1" s="1"/>
  <c r="K63" i="1"/>
  <c r="P63" i="1" s="1"/>
  <c r="K59" i="1"/>
  <c r="P59" i="1" s="1"/>
  <c r="K55" i="1"/>
  <c r="P55" i="1" s="1"/>
  <c r="K51" i="1"/>
  <c r="P51" i="1" s="1"/>
  <c r="K47" i="1"/>
  <c r="P47" i="1" s="1"/>
  <c r="K43" i="1"/>
  <c r="P43" i="1" s="1"/>
  <c r="K39" i="1"/>
  <c r="P39" i="1" s="1"/>
  <c r="K35" i="1"/>
  <c r="P35" i="1" s="1"/>
  <c r="K129" i="1"/>
  <c r="P129" i="1" s="1"/>
  <c r="K111" i="1"/>
  <c r="P111" i="1" s="1"/>
  <c r="K103" i="1"/>
  <c r="P103" i="1" s="1"/>
  <c r="K12" i="1"/>
  <c r="P12" i="1" s="1"/>
  <c r="K133" i="1"/>
  <c r="P133" i="1" s="1"/>
  <c r="K117" i="1"/>
  <c r="P117" i="1" s="1"/>
  <c r="K109" i="1"/>
  <c r="P109" i="1" s="1"/>
  <c r="K101" i="1"/>
  <c r="P101" i="1" s="1"/>
  <c r="K97" i="1"/>
  <c r="P97" i="1" s="1"/>
  <c r="K93" i="1"/>
  <c r="P93" i="1" s="1"/>
  <c r="K89" i="1"/>
  <c r="P89" i="1" s="1"/>
  <c r="K85" i="1"/>
  <c r="P85" i="1" s="1"/>
  <c r="K81" i="1"/>
  <c r="P81" i="1" s="1"/>
  <c r="K77" i="1"/>
  <c r="P77" i="1" s="1"/>
  <c r="K73" i="1"/>
  <c r="P73" i="1" s="1"/>
  <c r="K69" i="1"/>
  <c r="P69" i="1" s="1"/>
  <c r="K65" i="1"/>
  <c r="P65" i="1" s="1"/>
  <c r="K61" i="1"/>
  <c r="P61" i="1" s="1"/>
  <c r="K57" i="1"/>
  <c r="P57" i="1" s="1"/>
  <c r="K53" i="1"/>
  <c r="P53" i="1" s="1"/>
  <c r="K49" i="1"/>
  <c r="P49" i="1" s="1"/>
  <c r="K45" i="1"/>
  <c r="P45" i="1" s="1"/>
  <c r="K41" i="1"/>
  <c r="P41" i="1" s="1"/>
  <c r="K37" i="1"/>
  <c r="P37" i="1" s="1"/>
  <c r="K33" i="1"/>
  <c r="P33" i="1" s="1"/>
  <c r="K7" i="1"/>
  <c r="P7" i="1" s="1"/>
  <c r="K6" i="1"/>
  <c r="P6" i="1" s="1"/>
  <c r="K5" i="1"/>
  <c r="P5" i="1" s="1"/>
  <c r="K4" i="1"/>
  <c r="P4" i="1" s="1"/>
  <c r="K10" i="1"/>
  <c r="P10" i="1" s="1"/>
  <c r="K15" i="1"/>
  <c r="P15" i="1" s="1"/>
  <c r="K19" i="1"/>
  <c r="P19" i="1" s="1"/>
  <c r="K23" i="1"/>
  <c r="P23" i="1" s="1"/>
  <c r="K27" i="1"/>
  <c r="P27" i="1" s="1"/>
  <c r="K31" i="1"/>
  <c r="P31" i="1" s="1"/>
  <c r="K34" i="1"/>
  <c r="P34" i="1" s="1"/>
  <c r="K44" i="1"/>
  <c r="P44" i="1" s="1"/>
  <c r="K50" i="1"/>
  <c r="P50" i="1" s="1"/>
  <c r="K60" i="1"/>
  <c r="P60" i="1" s="1"/>
  <c r="K66" i="1"/>
  <c r="P66" i="1" s="1"/>
  <c r="K76" i="1"/>
  <c r="P76" i="1" s="1"/>
  <c r="K82" i="1"/>
  <c r="P82" i="1" s="1"/>
  <c r="K92" i="1"/>
  <c r="P92" i="1" s="1"/>
  <c r="K98" i="1"/>
  <c r="P98" i="1" s="1"/>
  <c r="K9" i="1"/>
  <c r="P9" i="1" s="1"/>
  <c r="K11" i="1"/>
  <c r="P11" i="1" s="1"/>
  <c r="K16" i="1"/>
  <c r="P16" i="1" s="1"/>
  <c r="K20" i="1"/>
  <c r="P20" i="1" s="1"/>
  <c r="K24" i="1"/>
  <c r="P24" i="1" s="1"/>
  <c r="K28" i="1"/>
  <c r="P28" i="1" s="1"/>
  <c r="K32" i="1"/>
  <c r="P32" i="1" s="1"/>
  <c r="K38" i="1"/>
  <c r="P38" i="1" s="1"/>
  <c r="K48" i="1"/>
  <c r="P48" i="1" s="1"/>
  <c r="K54" i="1"/>
  <c r="P54" i="1" s="1"/>
  <c r="K64" i="1"/>
  <c r="P64" i="1" s="1"/>
  <c r="K70" i="1"/>
  <c r="P70" i="1" s="1"/>
  <c r="K80" i="1"/>
  <c r="P80" i="1" s="1"/>
  <c r="K86" i="1"/>
  <c r="P86" i="1" s="1"/>
  <c r="K96" i="1"/>
  <c r="P96" i="1" s="1"/>
  <c r="K102" i="1"/>
  <c r="P102" i="1" s="1"/>
  <c r="K13" i="1"/>
  <c r="P13" i="1" s="1"/>
  <c r="K17" i="1"/>
  <c r="P17" i="1" s="1"/>
  <c r="K21" i="1"/>
  <c r="P21" i="1" s="1"/>
  <c r="K25" i="1"/>
  <c r="P25" i="1" s="1"/>
  <c r="K29" i="1"/>
  <c r="P29" i="1" s="1"/>
  <c r="K36" i="1"/>
  <c r="P36" i="1" s="1"/>
  <c r="K42" i="1"/>
  <c r="P42" i="1" s="1"/>
  <c r="K52" i="1"/>
  <c r="P52" i="1" s="1"/>
  <c r="K58" i="1"/>
  <c r="P58" i="1" s="1"/>
  <c r="K68" i="1"/>
  <c r="P68" i="1" s="1"/>
  <c r="K74" i="1"/>
  <c r="P74" i="1" s="1"/>
  <c r="K84" i="1"/>
  <c r="P84" i="1" s="1"/>
  <c r="K90" i="1"/>
  <c r="P90" i="1" s="1"/>
  <c r="K100" i="1"/>
  <c r="P100" i="1" s="1"/>
  <c r="K104" i="1"/>
  <c r="P104" i="1" s="1"/>
  <c r="K112" i="1"/>
  <c r="P112" i="1" s="1"/>
  <c r="K128" i="1"/>
  <c r="P128" i="1" s="1"/>
  <c r="K130" i="1"/>
  <c r="P130" i="1" s="1"/>
  <c r="K143" i="1"/>
  <c r="P143" i="1" s="1"/>
  <c r="K146" i="1"/>
  <c r="P146" i="1" s="1"/>
  <c r="K151" i="1"/>
  <c r="P151" i="1" s="1"/>
  <c r="K154" i="1"/>
  <c r="P154" i="1" s="1"/>
  <c r="K159" i="1"/>
  <c r="P159" i="1" s="1"/>
  <c r="K162" i="1"/>
  <c r="P162" i="1" s="1"/>
  <c r="K167" i="1"/>
  <c r="P167" i="1" s="1"/>
  <c r="K170" i="1"/>
  <c r="P170" i="1" s="1"/>
  <c r="K175" i="1"/>
  <c r="P175" i="1" s="1"/>
  <c r="K178" i="1"/>
  <c r="P178" i="1" s="1"/>
  <c r="K183" i="1"/>
  <c r="P183" i="1" s="1"/>
  <c r="K106" i="1"/>
  <c r="P106" i="1" s="1"/>
  <c r="K114" i="1"/>
  <c r="P114" i="1" s="1"/>
  <c r="K124" i="1"/>
  <c r="P124" i="1" s="1"/>
  <c r="K126" i="1"/>
  <c r="P126" i="1" s="1"/>
  <c r="K140" i="1"/>
  <c r="P140" i="1" s="1"/>
  <c r="K145" i="1"/>
  <c r="P145" i="1" s="1"/>
  <c r="K148" i="1"/>
  <c r="P148" i="1" s="1"/>
  <c r="K153" i="1"/>
  <c r="P153" i="1" s="1"/>
  <c r="K156" i="1"/>
  <c r="P156" i="1" s="1"/>
  <c r="K161" i="1"/>
  <c r="P161" i="1" s="1"/>
  <c r="K164" i="1"/>
  <c r="P164" i="1" s="1"/>
  <c r="K169" i="1"/>
  <c r="P169" i="1" s="1"/>
  <c r="K172" i="1"/>
  <c r="P172" i="1" s="1"/>
  <c r="K177" i="1"/>
  <c r="P177" i="1" s="1"/>
  <c r="K180" i="1"/>
  <c r="P180" i="1" s="1"/>
  <c r="K185" i="1"/>
  <c r="P185" i="1" s="1"/>
  <c r="K189" i="1"/>
  <c r="P189" i="1" s="1"/>
  <c r="K206" i="1"/>
  <c r="P206" i="1" s="1"/>
  <c r="K108" i="1"/>
  <c r="P108" i="1" s="1"/>
  <c r="K116" i="1"/>
  <c r="P116" i="1" s="1"/>
  <c r="K120" i="1"/>
  <c r="P120" i="1" s="1"/>
  <c r="K122" i="1"/>
  <c r="P122" i="1" s="1"/>
  <c r="K136" i="1"/>
  <c r="P136" i="1" s="1"/>
  <c r="K138" i="1"/>
  <c r="P138" i="1" s="1"/>
  <c r="K142" i="1"/>
  <c r="P142" i="1" s="1"/>
  <c r="K147" i="1"/>
  <c r="P147" i="1" s="1"/>
  <c r="K150" i="1"/>
  <c r="P150" i="1" s="1"/>
  <c r="K155" i="1"/>
  <c r="P155" i="1" s="1"/>
  <c r="K158" i="1"/>
  <c r="P158" i="1" s="1"/>
  <c r="K163" i="1"/>
  <c r="P163" i="1" s="1"/>
  <c r="K166" i="1"/>
  <c r="P166" i="1" s="1"/>
  <c r="K171" i="1"/>
  <c r="P171" i="1" s="1"/>
  <c r="K174" i="1"/>
  <c r="P174" i="1" s="1"/>
  <c r="K179" i="1"/>
  <c r="P179" i="1" s="1"/>
  <c r="K182" i="1"/>
  <c r="P182" i="1" s="1"/>
  <c r="K110" i="1"/>
  <c r="P110" i="1" s="1"/>
  <c r="K118" i="1"/>
  <c r="P118" i="1" s="1"/>
  <c r="K132" i="1"/>
  <c r="P132" i="1" s="1"/>
  <c r="K134" i="1"/>
  <c r="P134" i="1" s="1"/>
  <c r="K141" i="1"/>
  <c r="P141" i="1" s="1"/>
  <c r="K144" i="1"/>
  <c r="P144" i="1" s="1"/>
  <c r="K149" i="1"/>
  <c r="P149" i="1" s="1"/>
  <c r="K152" i="1"/>
  <c r="P152" i="1" s="1"/>
  <c r="K157" i="1"/>
  <c r="P157" i="1" s="1"/>
  <c r="K160" i="1"/>
  <c r="P160" i="1" s="1"/>
  <c r="K165" i="1"/>
  <c r="P165" i="1" s="1"/>
  <c r="K168" i="1"/>
  <c r="P168" i="1" s="1"/>
  <c r="K173" i="1"/>
  <c r="P173" i="1" s="1"/>
  <c r="K176" i="1"/>
  <c r="P176" i="1" s="1"/>
  <c r="K181" i="1"/>
  <c r="P181" i="1" s="1"/>
  <c r="K187" i="1"/>
  <c r="P187" i="1" s="1"/>
  <c r="K191" i="1"/>
  <c r="P191" i="1" s="1"/>
  <c r="K193" i="1"/>
  <c r="P193" i="1" s="1"/>
  <c r="K195" i="1"/>
  <c r="P195" i="1" s="1"/>
  <c r="K197" i="1"/>
  <c r="P197" i="1" s="1"/>
  <c r="K199" i="1"/>
  <c r="P199" i="1" s="1"/>
  <c r="K201" i="1"/>
  <c r="P201" i="1" s="1"/>
  <c r="K203" i="1"/>
  <c r="P203" i="1" s="1"/>
  <c r="K208" i="1"/>
  <c r="P208" i="1" s="1"/>
  <c r="K209" i="1"/>
  <c r="P209" i="1" s="1"/>
  <c r="K213" i="1"/>
  <c r="P213" i="1" s="1"/>
  <c r="K217" i="1"/>
  <c r="P217" i="1" s="1"/>
  <c r="K221" i="1"/>
  <c r="P221" i="1" s="1"/>
  <c r="K225" i="1"/>
  <c r="P225" i="1" s="1"/>
  <c r="K212" i="1"/>
  <c r="P212" i="1" s="1"/>
  <c r="K216" i="1"/>
  <c r="P216" i="1" s="1"/>
  <c r="K220" i="1"/>
  <c r="P220" i="1" s="1"/>
  <c r="K224" i="1"/>
  <c r="P224" i="1" s="1"/>
  <c r="K205" i="1"/>
  <c r="P205" i="1" s="1"/>
  <c r="K211" i="1"/>
  <c r="P211" i="1" s="1"/>
  <c r="K215" i="1"/>
  <c r="P215" i="1" s="1"/>
  <c r="K219" i="1"/>
  <c r="P219" i="1" s="1"/>
  <c r="K223" i="1"/>
  <c r="P223" i="1" s="1"/>
  <c r="K207" i="1"/>
  <c r="P207" i="1" s="1"/>
  <c r="K210" i="1"/>
  <c r="P210" i="1" s="1"/>
  <c r="K214" i="1"/>
  <c r="P214" i="1" s="1"/>
  <c r="K218" i="1"/>
  <c r="P218" i="1" s="1"/>
  <c r="K222" i="1"/>
  <c r="P222" i="1" s="1"/>
  <c r="L2" i="2"/>
  <c r="L4" i="2"/>
  <c r="L7" i="2"/>
  <c r="L13" i="2"/>
  <c r="L18" i="2"/>
  <c r="L20" i="2"/>
  <c r="L23" i="2"/>
  <c r="L29" i="2"/>
  <c r="L34" i="2"/>
  <c r="L36" i="2"/>
  <c r="L39" i="2"/>
  <c r="L3" i="2"/>
  <c r="L9" i="2"/>
  <c r="L14" i="2"/>
  <c r="L16" i="2"/>
  <c r="L19" i="2"/>
  <c r="L25" i="2"/>
  <c r="L30" i="2"/>
  <c r="L32" i="2"/>
  <c r="L35" i="2"/>
  <c r="L41" i="2"/>
  <c r="L5" i="2"/>
  <c r="L10" i="2"/>
  <c r="L12" i="2"/>
  <c r="L15" i="2"/>
  <c r="L21" i="2"/>
  <c r="L26" i="2"/>
  <c r="L28" i="2"/>
  <c r="L31" i="2"/>
  <c r="L37" i="2"/>
  <c r="L42" i="2"/>
  <c r="L44" i="2"/>
  <c r="L6" i="2"/>
  <c r="L8" i="2"/>
  <c r="L11" i="2"/>
  <c r="L17" i="2"/>
  <c r="L22" i="2"/>
  <c r="L24" i="2"/>
  <c r="L27" i="2"/>
  <c r="L33" i="2"/>
  <c r="L38" i="2"/>
  <c r="L40" i="2"/>
  <c r="L43" i="2"/>
  <c r="L45" i="2"/>
  <c r="L51" i="2"/>
  <c r="L50" i="2"/>
  <c r="L62" i="2"/>
  <c r="L70" i="2"/>
  <c r="L78" i="2"/>
  <c r="L86" i="2"/>
  <c r="L94" i="2"/>
  <c r="L102" i="2"/>
  <c r="L103" i="2"/>
  <c r="L111" i="2"/>
  <c r="L46" i="2"/>
  <c r="L56" i="2"/>
  <c r="L57" i="2"/>
  <c r="L63" i="2"/>
  <c r="L64" i="2"/>
  <c r="L65" i="2"/>
  <c r="L71" i="2"/>
  <c r="L72" i="2"/>
  <c r="L73" i="2"/>
  <c r="L79" i="2"/>
  <c r="L80" i="2"/>
  <c r="L81" i="2"/>
  <c r="L87" i="2"/>
  <c r="L88" i="2"/>
  <c r="L89" i="2"/>
  <c r="L95" i="2"/>
  <c r="L96" i="2"/>
  <c r="L97" i="2"/>
  <c r="L104" i="2"/>
  <c r="L105" i="2"/>
  <c r="K52" i="2"/>
  <c r="L52" i="2" s="1"/>
  <c r="L53" i="2"/>
  <c r="L58" i="2"/>
  <c r="L66" i="2"/>
  <c r="L74" i="2"/>
  <c r="L82" i="2"/>
  <c r="L90" i="2"/>
  <c r="L98" i="2"/>
  <c r="L113" i="2"/>
  <c r="L48" i="2"/>
  <c r="L49" i="2"/>
  <c r="L54" i="2"/>
  <c r="L59" i="2"/>
  <c r="L60" i="2"/>
  <c r="L61" i="2"/>
  <c r="L67" i="2"/>
  <c r="L68" i="2"/>
  <c r="L69" i="2"/>
  <c r="L75" i="2"/>
  <c r="L76" i="2"/>
  <c r="L77" i="2"/>
  <c r="L83" i="2"/>
  <c r="L84" i="2"/>
  <c r="L85" i="2"/>
  <c r="L91" i="2"/>
  <c r="L92" i="2"/>
  <c r="L93" i="2"/>
  <c r="L99" i="2"/>
  <c r="L100" i="2"/>
  <c r="L101" i="2"/>
  <c r="L107" i="2"/>
  <c r="L108" i="2"/>
  <c r="L114" i="2"/>
  <c r="L115" i="2"/>
  <c r="L120" i="2"/>
  <c r="L121" i="2"/>
  <c r="L133" i="2"/>
  <c r="L139" i="2"/>
  <c r="L142" i="2"/>
  <c r="L143" i="2"/>
  <c r="L148" i="2"/>
  <c r="L149" i="2"/>
  <c r="L158" i="2"/>
  <c r="L159" i="2"/>
  <c r="L164" i="2"/>
  <c r="L165" i="2"/>
  <c r="L174" i="2"/>
  <c r="L175" i="2"/>
  <c r="L181" i="2"/>
  <c r="L182" i="2"/>
  <c r="L183" i="2"/>
  <c r="K106" i="2"/>
  <c r="L106" i="2" s="1"/>
  <c r="K110" i="2"/>
  <c r="L110" i="2" s="1"/>
  <c r="L116" i="2"/>
  <c r="L117" i="2"/>
  <c r="L126" i="2"/>
  <c r="L127" i="2"/>
  <c r="L130" i="2"/>
  <c r="L137" i="2"/>
  <c r="L144" i="2"/>
  <c r="L145" i="2"/>
  <c r="L154" i="2"/>
  <c r="L155" i="2"/>
  <c r="L160" i="2"/>
  <c r="L161" i="2"/>
  <c r="L170" i="2"/>
  <c r="L171" i="2"/>
  <c r="L176" i="2"/>
  <c r="L184" i="2"/>
  <c r="L189" i="2"/>
  <c r="L190" i="2"/>
  <c r="L193" i="2"/>
  <c r="L194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122" i="2"/>
  <c r="L123" i="2"/>
  <c r="L131" i="2"/>
  <c r="L134" i="2"/>
  <c r="L141" i="2"/>
  <c r="L150" i="2"/>
  <c r="L151" i="2"/>
  <c r="L156" i="2"/>
  <c r="L157" i="2"/>
  <c r="L166" i="2"/>
  <c r="L167" i="2"/>
  <c r="L172" i="2"/>
  <c r="L173" i="2"/>
  <c r="L177" i="2"/>
  <c r="L178" i="2"/>
  <c r="L179" i="2"/>
  <c r="L185" i="2"/>
  <c r="L186" i="2"/>
  <c r="L187" i="2"/>
  <c r="L191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118" i="2"/>
  <c r="L119" i="2"/>
  <c r="L124" i="2"/>
  <c r="L125" i="2"/>
  <c r="L129" i="2"/>
  <c r="L135" i="2"/>
  <c r="L138" i="2"/>
  <c r="L146" i="2"/>
  <c r="L147" i="2"/>
  <c r="L152" i="2"/>
  <c r="L153" i="2"/>
  <c r="L162" i="2"/>
  <c r="L163" i="2"/>
  <c r="L168" i="2"/>
  <c r="L169" i="2"/>
  <c r="L180" i="2"/>
  <c r="L192" i="2" l="1"/>
  <c r="L188" i="2"/>
  <c r="L140" i="2"/>
  <c r="L136" i="2"/>
  <c r="L132" i="2"/>
  <c r="L128" i="2"/>
  <c r="L112" i="2"/>
  <c r="L109" i="2"/>
  <c r="L47" i="2"/>
  <c r="L55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<sst xmlns="http://schemas.openxmlformats.org/spreadsheetml/2006/main" count="40" uniqueCount="33">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</sst>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2" zoomScale="85" zoomScaleNormal="85" workbookViewId="0">
      <selection activeCell="S6" sqref="S6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-0.32863999999999999</v>
      </c>
      <c r="AC3" t="s">
        <v>24</v>
      </c>
    </row>
    <row r="4" spans="1:29" x14ac:dyDescent="0.3">
      <c r="A4">
        <v>7.4789450000000007E-2</v>
      </c>
      <c r="B4">
        <v>0.84079999999999999</v>
      </c>
      <c r="C4">
        <f t="shared" ref="C4:C67" si="0">A4*B4</f>
        <v>6.2882969560000002E-2</v>
      </c>
      <c r="D4">
        <v>1.5900000000000001E-2</v>
      </c>
      <c r="E4">
        <v>2.9099999999999998E-3</v>
      </c>
      <c r="F4">
        <f t="shared" ref="F4:F67" si="1">A4*200</f>
        <v>14.957890000000001</v>
      </c>
      <c r="G4">
        <f t="shared" ref="G4:G67" si="2">-B4</f>
        <v>-0.84079999999999999</v>
      </c>
      <c r="H4">
        <f t="shared" ref="H4:H67" si="3">-C4*200</f>
        <v>-12.576593912</v>
      </c>
      <c r="I4">
        <v>1</v>
      </c>
      <c r="J4">
        <f t="shared" ref="J4:J67" si="4">LN(F4/1000)</f>
        <v>-4.2025163591640231</v>
      </c>
      <c r="K4">
        <f t="shared" ref="K4:K67" si="5">((-G4)-$N$2)</f>
        <v>-0.38092515177521746</v>
      </c>
      <c r="L4">
        <v>1</v>
      </c>
      <c r="M4">
        <f t="shared" ref="M4:M67" si="6">-1*($S$4+($S$5*J4))</f>
        <v>-1.3639329303322993</v>
      </c>
      <c r="N4">
        <f t="shared" ref="N4:N67" si="7">D4*A4</f>
        <v>1.1891522550000002E-3</v>
      </c>
      <c r="O4">
        <f t="shared" ref="O4:O67" si="8">E4*A4</f>
        <v>2.1763729950000001E-4</v>
      </c>
      <c r="P4">
        <f t="shared" ref="P4:P67" si="9">-K4-M4-N4-O4</f>
        <v>1.7434512925530168</v>
      </c>
      <c r="R4" s="2" t="s">
        <v>25</v>
      </c>
      <c r="S4">
        <v>-0.54484999999999995</v>
      </c>
      <c r="V4">
        <v>-6</v>
      </c>
      <c r="W4">
        <f t="shared" ref="W4:W35" si="10">V4*$S$5+$S$4</f>
        <v>2.1803500000000002</v>
      </c>
      <c r="Y4">
        <v>0</v>
      </c>
      <c r="Z4">
        <f t="shared" ref="Z4:Z31" si="11">$AB$4*Y4+$AB$3</f>
        <v>-0.32863999999999999</v>
      </c>
      <c r="AB4">
        <v>8.3624399999999994</v>
      </c>
      <c r="AC4" t="s">
        <v>26</v>
      </c>
    </row>
    <row r="5" spans="1:29" x14ac:dyDescent="0.3">
      <c r="A5">
        <v>0.12519854999999999</v>
      </c>
      <c r="B5">
        <v>0.83081000000000005</v>
      </c>
      <c r="C5">
        <f t="shared" si="0"/>
        <v>0.1040162073255</v>
      </c>
      <c r="D5">
        <v>1.5900000000000001E-2</v>
      </c>
      <c r="E5">
        <v>2.9099999999999998E-3</v>
      </c>
      <c r="F5">
        <f t="shared" si="1"/>
        <v>25.039709999999999</v>
      </c>
      <c r="G5">
        <f t="shared" si="2"/>
        <v>-0.83081000000000005</v>
      </c>
      <c r="H5">
        <f t="shared" si="3"/>
        <v>-20.803241465100001</v>
      </c>
      <c r="I5">
        <v>1</v>
      </c>
      <c r="J5">
        <f t="shared" si="4"/>
        <v>-3.6872923142869536</v>
      </c>
      <c r="K5">
        <f t="shared" si="5"/>
        <v>-0.39091515177521741</v>
      </c>
      <c r="L5">
        <v>1</v>
      </c>
      <c r="M5">
        <f t="shared" si="6"/>
        <v>-1.1299181691491342</v>
      </c>
      <c r="N5">
        <f t="shared" si="7"/>
        <v>1.9906569450000001E-3</v>
      </c>
      <c r="O5">
        <f t="shared" si="8"/>
        <v>3.6432778049999993E-4</v>
      </c>
      <c r="P5">
        <f t="shared" si="9"/>
        <v>1.5184783361988516</v>
      </c>
      <c r="R5" s="2" t="s">
        <v>27</v>
      </c>
      <c r="S5">
        <v>-0.45419999999999999</v>
      </c>
      <c r="V5">
        <v>-5.9</v>
      </c>
      <c r="W5">
        <f t="shared" si="10"/>
        <v>2.1349300000000002</v>
      </c>
      <c r="Y5">
        <v>0.01</v>
      </c>
      <c r="Z5">
        <f t="shared" si="11"/>
        <v>-0.2450156</v>
      </c>
    </row>
    <row r="6" spans="1:29" x14ac:dyDescent="0.3">
      <c r="A6">
        <v>0.17764445000000001</v>
      </c>
      <c r="B6">
        <v>0.82125000000000004</v>
      </c>
      <c r="C6">
        <f t="shared" si="0"/>
        <v>0.14589050456250002</v>
      </c>
      <c r="D6">
        <v>1.5900000000000001E-2</v>
      </c>
      <c r="E6">
        <v>2.9099999999999998E-3</v>
      </c>
      <c r="F6">
        <f t="shared" si="1"/>
        <v>35.528890000000004</v>
      </c>
      <c r="G6">
        <f t="shared" si="2"/>
        <v>-0.82125000000000004</v>
      </c>
      <c r="H6">
        <f t="shared" si="3"/>
        <v>-29.178100912500003</v>
      </c>
      <c r="I6">
        <v>1</v>
      </c>
      <c r="J6">
        <f t="shared" si="4"/>
        <v>-3.3374091106418335</v>
      </c>
      <c r="K6">
        <f t="shared" si="5"/>
        <v>-0.40047515177521742</v>
      </c>
      <c r="L6">
        <v>1</v>
      </c>
      <c r="M6">
        <f t="shared" si="6"/>
        <v>-0.97100121805352091</v>
      </c>
      <c r="N6">
        <f t="shared" si="7"/>
        <v>2.8245467550000003E-3</v>
      </c>
      <c r="O6">
        <f t="shared" si="8"/>
        <v>5.169453495E-4</v>
      </c>
      <c r="P6">
        <f t="shared" si="9"/>
        <v>1.3681348777242381</v>
      </c>
      <c r="V6">
        <v>-5.8</v>
      </c>
      <c r="W6">
        <f t="shared" si="10"/>
        <v>2.0895100000000002</v>
      </c>
      <c r="Y6">
        <v>0.02</v>
      </c>
      <c r="Z6">
        <f t="shared" si="11"/>
        <v>-0.16139119999999998</v>
      </c>
      <c r="AB6" t="s">
        <v>28</v>
      </c>
    </row>
    <row r="7" spans="1:29" x14ac:dyDescent="0.3">
      <c r="A7">
        <v>0.2280536</v>
      </c>
      <c r="B7">
        <v>0.81376000000000004</v>
      </c>
      <c r="C7">
        <f t="shared" si="0"/>
        <v>0.18558089753600002</v>
      </c>
      <c r="D7">
        <v>1.5900000000000001E-2</v>
      </c>
      <c r="E7">
        <v>2.9099999999999998E-3</v>
      </c>
      <c r="F7">
        <f t="shared" si="1"/>
        <v>45.610720000000001</v>
      </c>
      <c r="G7">
        <f t="shared" si="2"/>
        <v>-0.81376000000000004</v>
      </c>
      <c r="H7">
        <f t="shared" si="3"/>
        <v>-37.116179507200002</v>
      </c>
      <c r="I7">
        <v>1</v>
      </c>
      <c r="J7">
        <f t="shared" si="4"/>
        <v>-3.0876125023712864</v>
      </c>
      <c r="K7">
        <f t="shared" si="5"/>
        <v>-0.40796515177521742</v>
      </c>
      <c r="L7">
        <v>1</v>
      </c>
      <c r="M7">
        <f t="shared" si="6"/>
        <v>-0.85754359857703821</v>
      </c>
      <c r="N7">
        <f t="shared" si="7"/>
        <v>3.6260522400000002E-3</v>
      </c>
      <c r="O7">
        <f t="shared" si="8"/>
        <v>6.6363597599999999E-4</v>
      </c>
      <c r="P7">
        <f t="shared" si="9"/>
        <v>1.2612190621362556</v>
      </c>
      <c r="V7">
        <v>-5.7</v>
      </c>
      <c r="W7">
        <f t="shared" si="10"/>
        <v>2.0440900000000002</v>
      </c>
      <c r="Y7">
        <v>0.03</v>
      </c>
      <c r="Z7">
        <f t="shared" si="11"/>
        <v>-7.7766800000000025E-2</v>
      </c>
      <c r="AB7" t="s">
        <v>29</v>
      </c>
      <c r="AC7">
        <f>-AB3/AB4</f>
        <v>3.929953458559942E-2</v>
      </c>
    </row>
    <row r="8" spans="1:29" x14ac:dyDescent="0.3">
      <c r="A8">
        <v>0.27846274999999998</v>
      </c>
      <c r="B8">
        <v>0.80639000000000005</v>
      </c>
      <c r="C8">
        <f t="shared" si="0"/>
        <v>0.2245495769725</v>
      </c>
      <c r="D8">
        <v>1.5900000000000001E-2</v>
      </c>
      <c r="E8">
        <v>2.9099999999999998E-3</v>
      </c>
      <c r="F8">
        <f t="shared" si="1"/>
        <v>55.692549999999997</v>
      </c>
      <c r="G8">
        <f t="shared" si="2"/>
        <v>-0.80639000000000005</v>
      </c>
      <c r="H8">
        <f t="shared" si="3"/>
        <v>-44.909915394499997</v>
      </c>
      <c r="I8">
        <v>1</v>
      </c>
      <c r="J8">
        <f t="shared" si="4"/>
        <v>-2.8879088932386932</v>
      </c>
      <c r="K8">
        <f t="shared" si="5"/>
        <v>-0.4153351517752174</v>
      </c>
      <c r="L8">
        <v>1</v>
      </c>
      <c r="M8">
        <f t="shared" si="6"/>
        <v>-0.76683821930901452</v>
      </c>
      <c r="N8">
        <f t="shared" si="7"/>
        <v>4.4275577249999996E-3</v>
      </c>
      <c r="O8">
        <f t="shared" si="8"/>
        <v>8.1032660249999986E-4</v>
      </c>
      <c r="P8">
        <f t="shared" si="9"/>
        <v>1.1769354867567321</v>
      </c>
      <c r="V8">
        <v>-5.6</v>
      </c>
      <c r="W8">
        <f t="shared" si="10"/>
        <v>1.9986700000000002</v>
      </c>
      <c r="Y8">
        <v>0.04</v>
      </c>
      <c r="Z8">
        <f t="shared" si="11"/>
        <v>5.8576000000000183E-3</v>
      </c>
    </row>
    <row r="9" spans="1:29" x14ac:dyDescent="0.3">
      <c r="A9">
        <v>0.33141779999999998</v>
      </c>
      <c r="B9">
        <v>0.80034000000000005</v>
      </c>
      <c r="C9">
        <f t="shared" si="0"/>
        <v>0.26524692205200001</v>
      </c>
      <c r="D9">
        <v>1.5900000000000001E-2</v>
      </c>
      <c r="E9">
        <v>2.9099999999999998E-3</v>
      </c>
      <c r="F9">
        <f t="shared" si="1"/>
        <v>66.283559999999994</v>
      </c>
      <c r="G9">
        <f t="shared" si="2"/>
        <v>-0.80034000000000005</v>
      </c>
      <c r="H9">
        <f t="shared" si="3"/>
        <v>-53.049384410400002</v>
      </c>
      <c r="I9">
        <v>1</v>
      </c>
      <c r="J9">
        <f t="shared" si="4"/>
        <v>-2.7138133763393317</v>
      </c>
      <c r="K9">
        <f t="shared" si="5"/>
        <v>-0.4213851517752174</v>
      </c>
      <c r="L9">
        <v>1</v>
      </c>
      <c r="M9">
        <f t="shared" si="6"/>
        <v>-0.68776403553332444</v>
      </c>
      <c r="N9">
        <f t="shared" si="7"/>
        <v>5.2695430199999997E-3</v>
      </c>
      <c r="O9">
        <f t="shared" si="8"/>
        <v>9.6442579799999994E-4</v>
      </c>
      <c r="P9">
        <f t="shared" si="9"/>
        <v>1.102915218490542</v>
      </c>
      <c r="V9">
        <v>-5.5</v>
      </c>
      <c r="W9">
        <f t="shared" si="10"/>
        <v>1.9532500000000002</v>
      </c>
      <c r="Y9">
        <v>0.05</v>
      </c>
      <c r="Z9">
        <f t="shared" si="11"/>
        <v>8.9482000000000006E-2</v>
      </c>
      <c r="AB9" t="s">
        <v>30</v>
      </c>
      <c r="AC9">
        <v>3.8330000000000003E-2</v>
      </c>
    </row>
    <row r="10" spans="1:29" x14ac:dyDescent="0.3">
      <c r="A10">
        <v>0.38590039999999998</v>
      </c>
      <c r="B10">
        <v>0.79418999999999995</v>
      </c>
      <c r="C10">
        <f t="shared" si="0"/>
        <v>0.30647823867599994</v>
      </c>
      <c r="D10">
        <v>1.5900000000000001E-2</v>
      </c>
      <c r="E10">
        <v>2.9099999999999998E-3</v>
      </c>
      <c r="F10">
        <f t="shared" si="1"/>
        <v>77.18007999999999</v>
      </c>
      <c r="G10">
        <f t="shared" si="2"/>
        <v>-0.79418999999999995</v>
      </c>
      <c r="H10">
        <f t="shared" si="3"/>
        <v>-61.295647735199985</v>
      </c>
      <c r="I10">
        <v>1</v>
      </c>
      <c r="J10">
        <f t="shared" si="4"/>
        <v>-2.5616138863352385</v>
      </c>
      <c r="K10">
        <f t="shared" si="5"/>
        <v>-0.4275351517752175</v>
      </c>
      <c r="L10">
        <v>1</v>
      </c>
      <c r="M10">
        <f t="shared" si="6"/>
        <v>-0.61863502717346541</v>
      </c>
      <c r="N10">
        <f t="shared" si="7"/>
        <v>6.13581636E-3</v>
      </c>
      <c r="O10">
        <f t="shared" si="8"/>
        <v>1.1229701639999998E-3</v>
      </c>
      <c r="P10">
        <f t="shared" si="9"/>
        <v>1.0389113924246829</v>
      </c>
      <c r="V10">
        <v>-5.4</v>
      </c>
      <c r="W10">
        <f t="shared" si="10"/>
        <v>1.9078300000000001</v>
      </c>
      <c r="Y10">
        <v>0.06</v>
      </c>
      <c r="Z10">
        <f t="shared" si="11"/>
        <v>0.17310639999999994</v>
      </c>
    </row>
    <row r="11" spans="1:29" x14ac:dyDescent="0.3">
      <c r="A11">
        <v>0.43681874999999998</v>
      </c>
      <c r="B11">
        <v>0.78813999999999995</v>
      </c>
      <c r="C11">
        <f t="shared" si="0"/>
        <v>0.34427432962499999</v>
      </c>
      <c r="D11">
        <v>1.5900000000000001E-2</v>
      </c>
      <c r="E11">
        <v>2.9099999999999998E-3</v>
      </c>
      <c r="F11">
        <f t="shared" si="1"/>
        <v>87.363749999999996</v>
      </c>
      <c r="G11">
        <f t="shared" si="2"/>
        <v>-0.78813999999999995</v>
      </c>
      <c r="H11">
        <f t="shared" si="3"/>
        <v>-68.854865924999999</v>
      </c>
      <c r="I11">
        <v>1</v>
      </c>
      <c r="J11">
        <f t="shared" si="4"/>
        <v>-2.4376748420826533</v>
      </c>
      <c r="K11">
        <f t="shared" si="5"/>
        <v>-0.4335851517752175</v>
      </c>
      <c r="L11">
        <v>1</v>
      </c>
      <c r="M11">
        <f t="shared" si="6"/>
        <v>-0.56234191327394123</v>
      </c>
      <c r="N11">
        <f t="shared" si="7"/>
        <v>6.945418125E-3</v>
      </c>
      <c r="O11">
        <f t="shared" si="8"/>
        <v>1.2711425624999998E-3</v>
      </c>
      <c r="P11">
        <f t="shared" si="9"/>
        <v>0.98771050436165864</v>
      </c>
      <c r="V11">
        <v>-5.3</v>
      </c>
      <c r="W11">
        <f t="shared" si="10"/>
        <v>1.8624100000000001</v>
      </c>
      <c r="Y11">
        <v>7.0000000000000007E-2</v>
      </c>
      <c r="Z11">
        <f t="shared" si="11"/>
        <v>0.25673079999999998</v>
      </c>
      <c r="AB11" t="s">
        <v>31</v>
      </c>
      <c r="AC11">
        <f>AC7-AC9</f>
        <v>9.6953458559941724E-4</v>
      </c>
    </row>
    <row r="12" spans="1:29" x14ac:dyDescent="0.3">
      <c r="A12">
        <v>0.48977375000000001</v>
      </c>
      <c r="B12">
        <v>0.78371000000000002</v>
      </c>
      <c r="C12">
        <f t="shared" si="0"/>
        <v>0.38384058561250001</v>
      </c>
      <c r="D12">
        <v>1.5900000000000001E-2</v>
      </c>
      <c r="E12">
        <v>2.9099999999999998E-3</v>
      </c>
      <c r="F12">
        <f t="shared" si="1"/>
        <v>97.954750000000004</v>
      </c>
      <c r="G12">
        <f t="shared" si="2"/>
        <v>-0.78371000000000002</v>
      </c>
      <c r="H12">
        <f t="shared" si="3"/>
        <v>-76.768117122500001</v>
      </c>
      <c r="I12">
        <v>1</v>
      </c>
      <c r="J12">
        <f t="shared" si="4"/>
        <v>-2.3232496416377315</v>
      </c>
      <c r="K12">
        <f t="shared" si="5"/>
        <v>-0.43801515177521744</v>
      </c>
      <c r="L12">
        <v>1</v>
      </c>
      <c r="M12">
        <f t="shared" si="6"/>
        <v>-0.51036998723185778</v>
      </c>
      <c r="N12">
        <f t="shared" si="7"/>
        <v>7.7874026250000002E-3</v>
      </c>
      <c r="O12">
        <f t="shared" si="8"/>
        <v>1.4252416125E-3</v>
      </c>
      <c r="P12">
        <f t="shared" si="9"/>
        <v>0.93917249476957521</v>
      </c>
      <c r="V12">
        <v>-5.2</v>
      </c>
      <c r="W12">
        <f t="shared" si="10"/>
        <v>1.8169900000000001</v>
      </c>
      <c r="Y12">
        <v>0.08</v>
      </c>
      <c r="Z12">
        <f t="shared" si="11"/>
        <v>0.34035520000000002</v>
      </c>
      <c r="AC12">
        <f>AC11*3</f>
        <v>2.9086037567982517E-3</v>
      </c>
    </row>
    <row r="13" spans="1:29" x14ac:dyDescent="0.3">
      <c r="A13">
        <v>0.54120135000000003</v>
      </c>
      <c r="B13">
        <v>0.77847999999999995</v>
      </c>
      <c r="C13">
        <f t="shared" si="0"/>
        <v>0.42131442694799998</v>
      </c>
      <c r="D13">
        <v>1.5900000000000001E-2</v>
      </c>
      <c r="E13">
        <v>2.9099999999999998E-3</v>
      </c>
      <c r="F13">
        <f t="shared" si="1"/>
        <v>108.24027000000001</v>
      </c>
      <c r="G13">
        <f t="shared" si="2"/>
        <v>-0.77847999999999995</v>
      </c>
      <c r="H13">
        <f t="shared" si="3"/>
        <v>-84.262885389600001</v>
      </c>
      <c r="I13">
        <v>1</v>
      </c>
      <c r="J13">
        <f t="shared" si="4"/>
        <v>-2.2234018006659526</v>
      </c>
      <c r="K13">
        <f t="shared" si="5"/>
        <v>-0.44324515177521751</v>
      </c>
      <c r="L13">
        <v>1</v>
      </c>
      <c r="M13">
        <f t="shared" si="6"/>
        <v>-0.46501909786247564</v>
      </c>
      <c r="N13">
        <f t="shared" si="7"/>
        <v>8.6051014650000007E-3</v>
      </c>
      <c r="O13">
        <f t="shared" si="8"/>
        <v>1.5748959285E-3</v>
      </c>
      <c r="P13">
        <f t="shared" si="9"/>
        <v>0.89808425224419308</v>
      </c>
      <c r="V13">
        <v>-5.0999999999999996</v>
      </c>
      <c r="W13">
        <f t="shared" si="10"/>
        <v>1.7715700000000001</v>
      </c>
      <c r="Y13">
        <v>0.09</v>
      </c>
      <c r="Z13">
        <f t="shared" si="11"/>
        <v>0.42397959999999996</v>
      </c>
    </row>
    <row r="14" spans="1:29" x14ac:dyDescent="0.3">
      <c r="A14">
        <v>0.59161045000000001</v>
      </c>
      <c r="B14">
        <v>0.77388000000000001</v>
      </c>
      <c r="C14">
        <f t="shared" si="0"/>
        <v>0.45783549504600002</v>
      </c>
      <c r="D14">
        <v>1.5900000000000001E-2</v>
      </c>
      <c r="E14">
        <v>2.9099999999999998E-3</v>
      </c>
      <c r="F14">
        <f t="shared" si="1"/>
        <v>118.32209</v>
      </c>
      <c r="G14">
        <f t="shared" si="2"/>
        <v>-0.77388000000000001</v>
      </c>
      <c r="H14">
        <f t="shared" si="3"/>
        <v>-91.567099009200007</v>
      </c>
      <c r="I14">
        <v>1</v>
      </c>
      <c r="J14">
        <f t="shared" si="4"/>
        <v>-2.1343447967734619</v>
      </c>
      <c r="K14">
        <f t="shared" si="5"/>
        <v>-0.44784515177521744</v>
      </c>
      <c r="L14">
        <v>1</v>
      </c>
      <c r="M14">
        <f t="shared" si="6"/>
        <v>-0.42456940669450638</v>
      </c>
      <c r="N14">
        <f t="shared" si="7"/>
        <v>9.4066061550000003E-3</v>
      </c>
      <c r="O14">
        <f t="shared" si="8"/>
        <v>1.7215864094999999E-3</v>
      </c>
      <c r="P14">
        <f t="shared" si="9"/>
        <v>0.86128636590522378</v>
      </c>
      <c r="V14">
        <v>-5</v>
      </c>
      <c r="W14">
        <f t="shared" si="10"/>
        <v>1.7261500000000001</v>
      </c>
      <c r="Y14">
        <v>0.1</v>
      </c>
      <c r="Z14">
        <f t="shared" si="11"/>
        <v>0.50760399999999994</v>
      </c>
    </row>
    <row r="15" spans="1:29" x14ac:dyDescent="0.3">
      <c r="A15">
        <v>0.64303794999999997</v>
      </c>
      <c r="B15">
        <v>0.76939000000000002</v>
      </c>
      <c r="C15">
        <f t="shared" si="0"/>
        <v>0.49474696835049997</v>
      </c>
      <c r="D15">
        <v>1.5900000000000001E-2</v>
      </c>
      <c r="E15">
        <v>2.9099999999999998E-3</v>
      </c>
      <c r="F15">
        <f t="shared" si="1"/>
        <v>128.60758999999999</v>
      </c>
      <c r="G15">
        <f t="shared" si="2"/>
        <v>-0.76939000000000002</v>
      </c>
      <c r="H15">
        <f t="shared" si="3"/>
        <v>-98.949393670099994</v>
      </c>
      <c r="I15">
        <v>1</v>
      </c>
      <c r="J15">
        <f t="shared" si="4"/>
        <v>-2.0509894487025133</v>
      </c>
      <c r="K15">
        <f t="shared" si="5"/>
        <v>-0.45233515177521744</v>
      </c>
      <c r="L15">
        <v>1</v>
      </c>
      <c r="M15">
        <f t="shared" si="6"/>
        <v>-0.38670940760068162</v>
      </c>
      <c r="N15">
        <f t="shared" si="7"/>
        <v>1.0224303404999999E-2</v>
      </c>
      <c r="O15">
        <f t="shared" si="8"/>
        <v>1.8712404344999997E-3</v>
      </c>
      <c r="P15">
        <f t="shared" si="9"/>
        <v>0.82694901553639899</v>
      </c>
      <c r="V15">
        <v>-4.9000000000000004</v>
      </c>
      <c r="W15">
        <f t="shared" si="10"/>
        <v>1.6807300000000005</v>
      </c>
      <c r="Y15">
        <v>0.11</v>
      </c>
      <c r="Z15">
        <f t="shared" si="11"/>
        <v>0.59122839999999988</v>
      </c>
    </row>
    <row r="16" spans="1:29" x14ac:dyDescent="0.3">
      <c r="A16">
        <v>0.69344710000000009</v>
      </c>
      <c r="B16">
        <v>0.76526000000000005</v>
      </c>
      <c r="C16">
        <f t="shared" si="0"/>
        <v>0.53066732774600012</v>
      </c>
      <c r="D16">
        <v>1.5900000000000001E-2</v>
      </c>
      <c r="E16">
        <v>2.9099999999999998E-3</v>
      </c>
      <c r="F16">
        <f t="shared" si="1"/>
        <v>138.68942000000001</v>
      </c>
      <c r="G16">
        <f t="shared" si="2"/>
        <v>-0.76526000000000005</v>
      </c>
      <c r="H16">
        <f t="shared" si="3"/>
        <v>-106.13346554920003</v>
      </c>
      <c r="I16">
        <v>1</v>
      </c>
      <c r="J16">
        <f t="shared" si="4"/>
        <v>-1.9755182343112454</v>
      </c>
      <c r="K16">
        <f t="shared" si="5"/>
        <v>-0.4564651517752174</v>
      </c>
      <c r="L16">
        <v>1</v>
      </c>
      <c r="M16">
        <f t="shared" si="6"/>
        <v>-0.35243038202416765</v>
      </c>
      <c r="N16">
        <f t="shared" si="7"/>
        <v>1.1025808890000002E-2</v>
      </c>
      <c r="O16">
        <f t="shared" si="8"/>
        <v>2.0179310610000003E-3</v>
      </c>
      <c r="P16">
        <f t="shared" si="9"/>
        <v>0.795851793848385</v>
      </c>
      <c r="V16">
        <v>-4.8</v>
      </c>
      <c r="W16">
        <f t="shared" si="10"/>
        <v>1.63531</v>
      </c>
      <c r="Y16">
        <v>0.12</v>
      </c>
      <c r="Z16">
        <f t="shared" si="11"/>
        <v>0.67485279999999981</v>
      </c>
    </row>
    <row r="17" spans="1:26" x14ac:dyDescent="0.3">
      <c r="A17">
        <v>0.74487464999999997</v>
      </c>
      <c r="B17">
        <v>0.76102999999999998</v>
      </c>
      <c r="C17">
        <f t="shared" si="0"/>
        <v>0.56687195488949993</v>
      </c>
      <c r="D17">
        <v>1.5900000000000001E-2</v>
      </c>
      <c r="E17">
        <v>2.9099999999999998E-3</v>
      </c>
      <c r="F17">
        <f t="shared" si="1"/>
        <v>148.97493</v>
      </c>
      <c r="G17">
        <f t="shared" si="2"/>
        <v>-0.76102999999999998</v>
      </c>
      <c r="H17">
        <f t="shared" si="3"/>
        <v>-113.37439097789999</v>
      </c>
      <c r="I17">
        <v>1</v>
      </c>
      <c r="J17">
        <f t="shared" si="4"/>
        <v>-1.9039772422267009</v>
      </c>
      <c r="K17">
        <f t="shared" si="5"/>
        <v>-0.46069515177521747</v>
      </c>
      <c r="L17">
        <v>1</v>
      </c>
      <c r="M17">
        <f t="shared" si="6"/>
        <v>-0.31993646341936766</v>
      </c>
      <c r="N17">
        <f t="shared" si="7"/>
        <v>1.1843506934999999E-2</v>
      </c>
      <c r="O17">
        <f t="shared" si="8"/>
        <v>2.1675852314999998E-3</v>
      </c>
      <c r="P17">
        <f t="shared" si="9"/>
        <v>0.76662052302808514</v>
      </c>
      <c r="V17">
        <v>-4.7</v>
      </c>
      <c r="W17">
        <f t="shared" si="10"/>
        <v>1.58989</v>
      </c>
      <c r="Y17">
        <v>0.13</v>
      </c>
      <c r="Z17">
        <f t="shared" si="11"/>
        <v>0.75847719999999996</v>
      </c>
    </row>
    <row r="18" spans="1:26" x14ac:dyDescent="0.3">
      <c r="A18">
        <v>0.79579290000000003</v>
      </c>
      <c r="B18">
        <v>0.75702000000000003</v>
      </c>
      <c r="C18">
        <f t="shared" si="0"/>
        <v>0.60243114115800001</v>
      </c>
      <c r="D18">
        <v>1.5900000000000001E-2</v>
      </c>
      <c r="E18">
        <v>2.9099999999999998E-3</v>
      </c>
      <c r="F18">
        <f t="shared" si="1"/>
        <v>159.15858</v>
      </c>
      <c r="G18">
        <f t="shared" si="2"/>
        <v>-0.75702000000000003</v>
      </c>
      <c r="H18">
        <f t="shared" si="3"/>
        <v>-120.48622823159999</v>
      </c>
      <c r="I18">
        <v>1</v>
      </c>
      <c r="J18">
        <f t="shared" si="4"/>
        <v>-1.8378542153028672</v>
      </c>
      <c r="K18">
        <f t="shared" si="5"/>
        <v>-0.46470515177521743</v>
      </c>
      <c r="L18">
        <v>1</v>
      </c>
      <c r="M18">
        <f t="shared" si="6"/>
        <v>-0.28990338459056231</v>
      </c>
      <c r="N18">
        <f t="shared" si="7"/>
        <v>1.2653107110000001E-2</v>
      </c>
      <c r="O18">
        <f t="shared" si="8"/>
        <v>2.3157573389999998E-3</v>
      </c>
      <c r="P18">
        <f t="shared" si="9"/>
        <v>0.73963967191677971</v>
      </c>
      <c r="V18">
        <v>-4.5999999999999996</v>
      </c>
      <c r="W18">
        <f t="shared" si="10"/>
        <v>1.54447</v>
      </c>
      <c r="Y18">
        <v>0.14000000000000001</v>
      </c>
      <c r="Z18">
        <f t="shared" si="11"/>
        <v>0.84210159999999989</v>
      </c>
    </row>
    <row r="19" spans="1:26" x14ac:dyDescent="0.3">
      <c r="A19">
        <v>0.84671130000000006</v>
      </c>
      <c r="B19">
        <v>0.75329000000000002</v>
      </c>
      <c r="C19">
        <f t="shared" si="0"/>
        <v>0.63781915517700005</v>
      </c>
      <c r="D19">
        <v>1.5900000000000001E-2</v>
      </c>
      <c r="E19">
        <v>2.9099999999999998E-3</v>
      </c>
      <c r="F19">
        <f t="shared" si="1"/>
        <v>169.34226000000001</v>
      </c>
      <c r="G19">
        <f t="shared" si="2"/>
        <v>-0.75329000000000002</v>
      </c>
      <c r="H19">
        <f t="shared" si="3"/>
        <v>-127.56383103540001</v>
      </c>
      <c r="I19">
        <v>1</v>
      </c>
      <c r="J19">
        <f t="shared" si="4"/>
        <v>-1.7758334049257993</v>
      </c>
      <c r="K19">
        <f t="shared" si="5"/>
        <v>-0.46843515177521744</v>
      </c>
      <c r="L19">
        <v>1</v>
      </c>
      <c r="M19">
        <f t="shared" si="6"/>
        <v>-0.26173353251729814</v>
      </c>
      <c r="N19">
        <f t="shared" si="7"/>
        <v>1.3462709670000001E-2</v>
      </c>
      <c r="O19">
        <f t="shared" si="8"/>
        <v>2.4639298830000001E-3</v>
      </c>
      <c r="P19">
        <f t="shared" si="9"/>
        <v>0.71424204473951558</v>
      </c>
      <c r="V19">
        <v>-4.5000000000000098</v>
      </c>
      <c r="W19">
        <f t="shared" si="10"/>
        <v>1.4990500000000044</v>
      </c>
      <c r="Y19">
        <v>0.15</v>
      </c>
      <c r="Z19">
        <f t="shared" si="11"/>
        <v>0.92572599999999983</v>
      </c>
    </row>
    <row r="20" spans="1:26" x14ac:dyDescent="0.3">
      <c r="A20">
        <v>0.89762960000000003</v>
      </c>
      <c r="B20">
        <v>0.74966999999999995</v>
      </c>
      <c r="C20">
        <f t="shared" si="0"/>
        <v>0.67292598223199995</v>
      </c>
      <c r="D20">
        <v>1.5900000000000001E-2</v>
      </c>
      <c r="E20">
        <v>2.9099999999999998E-3</v>
      </c>
      <c r="F20">
        <f t="shared" si="1"/>
        <v>179.52592000000001</v>
      </c>
      <c r="G20">
        <f t="shared" si="2"/>
        <v>-0.74966999999999995</v>
      </c>
      <c r="H20">
        <f t="shared" si="3"/>
        <v>-134.5851964464</v>
      </c>
      <c r="I20">
        <v>1</v>
      </c>
      <c r="J20">
        <f t="shared" si="4"/>
        <v>-1.7174356803644346</v>
      </c>
      <c r="K20">
        <f t="shared" si="5"/>
        <v>-0.47205515177521751</v>
      </c>
      <c r="L20">
        <v>1</v>
      </c>
      <c r="M20">
        <f t="shared" si="6"/>
        <v>-0.23520928602152624</v>
      </c>
      <c r="N20">
        <f t="shared" si="7"/>
        <v>1.4272310640000001E-2</v>
      </c>
      <c r="O20">
        <f t="shared" si="8"/>
        <v>2.6121021359999997E-3</v>
      </c>
      <c r="P20">
        <f t="shared" si="9"/>
        <v>0.69038002502074369</v>
      </c>
      <c r="V20">
        <v>-4.4000000000000101</v>
      </c>
      <c r="W20">
        <f t="shared" si="10"/>
        <v>1.4536300000000044</v>
      </c>
      <c r="Y20">
        <v>0.16</v>
      </c>
      <c r="Z20">
        <f t="shared" si="11"/>
        <v>1.0093504</v>
      </c>
    </row>
    <row r="21" spans="1:26" x14ac:dyDescent="0.3">
      <c r="A21">
        <v>0.95007544999999993</v>
      </c>
      <c r="B21">
        <v>0.74573</v>
      </c>
      <c r="C21">
        <f t="shared" si="0"/>
        <v>0.70849976532850001</v>
      </c>
      <c r="D21">
        <v>1.5900000000000001E-2</v>
      </c>
      <c r="E21">
        <v>2.9099999999999998E-3</v>
      </c>
      <c r="F21">
        <f t="shared" si="1"/>
        <v>190.01508999999999</v>
      </c>
      <c r="G21">
        <f t="shared" si="2"/>
        <v>-0.74573</v>
      </c>
      <c r="H21">
        <f t="shared" si="3"/>
        <v>-141.69995306570002</v>
      </c>
      <c r="I21">
        <v>1</v>
      </c>
      <c r="J21">
        <f t="shared" si="4"/>
        <v>-1.6606517889227042</v>
      </c>
      <c r="K21">
        <f t="shared" si="5"/>
        <v>-0.47599515177521745</v>
      </c>
      <c r="L21">
        <v>1</v>
      </c>
      <c r="M21">
        <f t="shared" si="6"/>
        <v>-0.20941804252869223</v>
      </c>
      <c r="N21">
        <f t="shared" si="7"/>
        <v>1.5106199654999999E-2</v>
      </c>
      <c r="O21">
        <f t="shared" si="8"/>
        <v>2.7647195594999998E-3</v>
      </c>
      <c r="P21">
        <f t="shared" si="9"/>
        <v>0.66754227508940966</v>
      </c>
      <c r="V21">
        <v>-4.3000000000000096</v>
      </c>
      <c r="W21">
        <f t="shared" si="10"/>
        <v>1.4082100000000044</v>
      </c>
      <c r="Y21">
        <v>0.17</v>
      </c>
      <c r="Z21">
        <f t="shared" si="11"/>
        <v>1.0929747999999999</v>
      </c>
    </row>
    <row r="22" spans="1:26" x14ac:dyDescent="0.3">
      <c r="A22">
        <v>1.0035396999999999</v>
      </c>
      <c r="B22">
        <v>0.74212</v>
      </c>
      <c r="C22">
        <f t="shared" si="0"/>
        <v>0.74474688216399998</v>
      </c>
      <c r="D22">
        <v>1.5900000000000001E-2</v>
      </c>
      <c r="E22">
        <v>2.9099999999999998E-3</v>
      </c>
      <c r="F22">
        <f t="shared" si="1"/>
        <v>200.70793999999998</v>
      </c>
      <c r="G22">
        <f t="shared" si="2"/>
        <v>-0.74212</v>
      </c>
      <c r="H22">
        <f t="shared" si="3"/>
        <v>-148.94937643279999</v>
      </c>
      <c r="I22">
        <v>1</v>
      </c>
      <c r="J22">
        <f t="shared" si="4"/>
        <v>-1.6059044624277528</v>
      </c>
      <c r="K22">
        <f t="shared" si="5"/>
        <v>-0.47960515177521745</v>
      </c>
      <c r="L22">
        <v>1</v>
      </c>
      <c r="M22">
        <f t="shared" si="6"/>
        <v>-0.18455180683468531</v>
      </c>
      <c r="N22">
        <f t="shared" si="7"/>
        <v>1.5956281230000001E-2</v>
      </c>
      <c r="O22">
        <f t="shared" si="8"/>
        <v>2.9203005269999994E-3</v>
      </c>
      <c r="P22">
        <f t="shared" si="9"/>
        <v>0.64528037685290274</v>
      </c>
      <c r="V22">
        <v>-4.2000000000000099</v>
      </c>
      <c r="W22">
        <f t="shared" si="10"/>
        <v>1.3627900000000044</v>
      </c>
      <c r="Y22">
        <v>0.18</v>
      </c>
      <c r="Z22">
        <f t="shared" si="11"/>
        <v>1.1765991999999998</v>
      </c>
    </row>
    <row r="23" spans="1:26" x14ac:dyDescent="0.3">
      <c r="A23">
        <v>1.0549672999999999</v>
      </c>
      <c r="B23">
        <v>0.73868999999999996</v>
      </c>
      <c r="C23">
        <f t="shared" si="0"/>
        <v>0.7792937948369999</v>
      </c>
      <c r="D23">
        <v>1.5900000000000001E-2</v>
      </c>
      <c r="E23">
        <v>2.9099999999999998E-3</v>
      </c>
      <c r="F23">
        <f t="shared" si="1"/>
        <v>210.99346</v>
      </c>
      <c r="G23">
        <f t="shared" si="2"/>
        <v>-0.73868999999999996</v>
      </c>
      <c r="H23">
        <f t="shared" si="3"/>
        <v>-155.85875896739998</v>
      </c>
      <c r="I23">
        <v>1</v>
      </c>
      <c r="J23">
        <f t="shared" si="4"/>
        <v>-1.5559281412470971</v>
      </c>
      <c r="K23">
        <f t="shared" si="5"/>
        <v>-0.4830351517752175</v>
      </c>
      <c r="L23">
        <v>1</v>
      </c>
      <c r="M23">
        <f t="shared" si="6"/>
        <v>-0.16185256175443152</v>
      </c>
      <c r="N23">
        <f t="shared" si="7"/>
        <v>1.677398007E-2</v>
      </c>
      <c r="O23">
        <f t="shared" si="8"/>
        <v>3.0699548429999998E-3</v>
      </c>
      <c r="P23">
        <f t="shared" si="9"/>
        <v>0.62504377861664906</v>
      </c>
      <c r="V23">
        <v>-4.1000000000000103</v>
      </c>
      <c r="W23">
        <f t="shared" si="10"/>
        <v>1.3173700000000048</v>
      </c>
      <c r="Y23">
        <v>0.19</v>
      </c>
      <c r="Z23">
        <f t="shared" si="11"/>
        <v>1.2602235999999998</v>
      </c>
    </row>
    <row r="24" spans="1:26" x14ac:dyDescent="0.3">
      <c r="A24">
        <v>1.10945</v>
      </c>
      <c r="B24">
        <v>0.73514000000000002</v>
      </c>
      <c r="C24">
        <f t="shared" si="0"/>
        <v>0.81560107300000007</v>
      </c>
      <c r="D24">
        <v>1.5900000000000001E-2</v>
      </c>
      <c r="E24">
        <v>2.9099999999999998E-3</v>
      </c>
      <c r="F24">
        <f t="shared" si="1"/>
        <v>221.89000000000001</v>
      </c>
      <c r="G24">
        <f t="shared" si="2"/>
        <v>-0.73514000000000002</v>
      </c>
      <c r="H24">
        <f t="shared" si="3"/>
        <v>-163.12021460000003</v>
      </c>
      <c r="I24">
        <v>1</v>
      </c>
      <c r="J24">
        <f t="shared" si="4"/>
        <v>-1.5055735154038119</v>
      </c>
      <c r="K24">
        <f t="shared" si="5"/>
        <v>-0.48658515177521744</v>
      </c>
      <c r="L24">
        <v>1</v>
      </c>
      <c r="M24">
        <f t="shared" si="6"/>
        <v>-0.13898149069641141</v>
      </c>
      <c r="N24">
        <f t="shared" si="7"/>
        <v>1.7640255000000001E-2</v>
      </c>
      <c r="O24">
        <f t="shared" si="8"/>
        <v>3.2284994999999999E-3</v>
      </c>
      <c r="P24">
        <f t="shared" si="9"/>
        <v>0.60469788797162882</v>
      </c>
      <c r="V24">
        <v>-4.0000000000000098</v>
      </c>
      <c r="W24">
        <f t="shared" si="10"/>
        <v>1.2719500000000044</v>
      </c>
      <c r="Y24">
        <v>0.2</v>
      </c>
      <c r="Z24">
        <f t="shared" si="11"/>
        <v>1.3438479999999999</v>
      </c>
    </row>
    <row r="25" spans="1:26" x14ac:dyDescent="0.3">
      <c r="A25">
        <v>1.1613865999999999</v>
      </c>
      <c r="B25">
        <v>0.73153000000000001</v>
      </c>
      <c r="C25">
        <f t="shared" si="0"/>
        <v>0.84958913949799997</v>
      </c>
      <c r="D25">
        <v>1.5900000000000001E-2</v>
      </c>
      <c r="E25">
        <v>2.9099999999999998E-3</v>
      </c>
      <c r="F25">
        <f t="shared" si="1"/>
        <v>232.27731999999997</v>
      </c>
      <c r="G25">
        <f t="shared" si="2"/>
        <v>-0.73153000000000001</v>
      </c>
      <c r="H25">
        <f t="shared" si="3"/>
        <v>-169.91782789959998</v>
      </c>
      <c r="I25">
        <v>1</v>
      </c>
      <c r="J25">
        <f t="shared" si="4"/>
        <v>-1.4598232763440568</v>
      </c>
      <c r="K25">
        <f t="shared" si="5"/>
        <v>-0.49019515177521744</v>
      </c>
      <c r="L25">
        <v>1</v>
      </c>
      <c r="M25">
        <f t="shared" si="6"/>
        <v>-0.11820173211547069</v>
      </c>
      <c r="N25">
        <f t="shared" si="7"/>
        <v>1.8466046940000001E-2</v>
      </c>
      <c r="O25">
        <f t="shared" si="8"/>
        <v>3.3796350059999997E-3</v>
      </c>
      <c r="P25">
        <f t="shared" si="9"/>
        <v>0.58655120194468813</v>
      </c>
      <c r="V25">
        <v>-3.9000000000000101</v>
      </c>
      <c r="W25">
        <f t="shared" si="10"/>
        <v>1.2265300000000048</v>
      </c>
      <c r="Y25">
        <v>0.21</v>
      </c>
      <c r="Z25">
        <f t="shared" si="11"/>
        <v>1.4274723999999999</v>
      </c>
    </row>
    <row r="26" spans="1:26" x14ac:dyDescent="0.3">
      <c r="A26">
        <v>1.2117958</v>
      </c>
      <c r="B26">
        <v>0.72801000000000005</v>
      </c>
      <c r="C26">
        <f t="shared" si="0"/>
        <v>0.88219946035800001</v>
      </c>
      <c r="D26">
        <v>1.5900000000000001E-2</v>
      </c>
      <c r="E26">
        <v>2.9099999999999998E-3</v>
      </c>
      <c r="F26">
        <f t="shared" si="1"/>
        <v>242.35916</v>
      </c>
      <c r="G26">
        <f t="shared" si="2"/>
        <v>-0.72801000000000005</v>
      </c>
      <c r="H26">
        <f t="shared" si="3"/>
        <v>-176.43989207160001</v>
      </c>
      <c r="I26">
        <v>1</v>
      </c>
      <c r="J26">
        <f t="shared" si="4"/>
        <v>-1.4173345208298236</v>
      </c>
      <c r="K26">
        <f t="shared" si="5"/>
        <v>-0.49371515177521741</v>
      </c>
      <c r="L26">
        <v>1</v>
      </c>
      <c r="M26">
        <f t="shared" si="6"/>
        <v>-9.8903339360905895E-2</v>
      </c>
      <c r="N26">
        <f t="shared" si="7"/>
        <v>1.9267553220000001E-2</v>
      </c>
      <c r="O26">
        <f t="shared" si="8"/>
        <v>3.5263257779999998E-3</v>
      </c>
      <c r="P26">
        <f t="shared" si="9"/>
        <v>0.5698246121381233</v>
      </c>
      <c r="V26">
        <v>-3.80000000000001</v>
      </c>
      <c r="W26">
        <f t="shared" si="10"/>
        <v>1.1811100000000048</v>
      </c>
      <c r="Y26">
        <v>0.22</v>
      </c>
      <c r="Z26">
        <f t="shared" si="11"/>
        <v>1.5110967999999998</v>
      </c>
    </row>
    <row r="27" spans="1:26" x14ac:dyDescent="0.3">
      <c r="A27">
        <v>1.2622047999999999</v>
      </c>
      <c r="B27">
        <v>0.72499999999999998</v>
      </c>
      <c r="C27">
        <f t="shared" si="0"/>
        <v>0.91509847999999994</v>
      </c>
      <c r="D27">
        <v>1.5900000000000001E-2</v>
      </c>
      <c r="E27">
        <v>2.9099999999999998E-3</v>
      </c>
      <c r="F27">
        <f t="shared" si="1"/>
        <v>252.44095999999999</v>
      </c>
      <c r="G27">
        <f t="shared" si="2"/>
        <v>-0.72499999999999998</v>
      </c>
      <c r="H27">
        <f t="shared" si="3"/>
        <v>-183.01969599999998</v>
      </c>
      <c r="I27">
        <v>1</v>
      </c>
      <c r="J27">
        <f t="shared" si="4"/>
        <v>-1.3765778793894756</v>
      </c>
      <c r="K27">
        <f t="shared" si="5"/>
        <v>-0.49672515177521748</v>
      </c>
      <c r="L27">
        <v>1</v>
      </c>
      <c r="M27">
        <f t="shared" si="6"/>
        <v>-8.0391672818699855E-2</v>
      </c>
      <c r="N27">
        <f t="shared" si="7"/>
        <v>2.0069056320000001E-2</v>
      </c>
      <c r="O27">
        <f t="shared" si="8"/>
        <v>3.6730159679999996E-3</v>
      </c>
      <c r="P27">
        <f t="shared" si="9"/>
        <v>0.55337475230591737</v>
      </c>
      <c r="V27">
        <v>-3.7000000000000099</v>
      </c>
      <c r="W27">
        <f t="shared" si="10"/>
        <v>1.1356900000000048</v>
      </c>
      <c r="Y27">
        <v>0.23</v>
      </c>
      <c r="Z27">
        <f t="shared" si="11"/>
        <v>1.5947211999999999</v>
      </c>
    </row>
    <row r="28" spans="1:26" x14ac:dyDescent="0.3">
      <c r="A28">
        <v>1.3131231999999999</v>
      </c>
      <c r="B28">
        <v>0.72148000000000001</v>
      </c>
      <c r="C28">
        <f t="shared" si="0"/>
        <v>0.94739212633600001</v>
      </c>
      <c r="D28">
        <v>1.5900000000000001E-2</v>
      </c>
      <c r="E28">
        <v>2.9099999999999998E-3</v>
      </c>
      <c r="F28">
        <f t="shared" si="1"/>
        <v>262.62464</v>
      </c>
      <c r="G28">
        <f t="shared" si="2"/>
        <v>-0.72148000000000001</v>
      </c>
      <c r="H28">
        <f t="shared" si="3"/>
        <v>-189.47842526720001</v>
      </c>
      <c r="I28">
        <v>1</v>
      </c>
      <c r="J28">
        <f t="shared" si="4"/>
        <v>-1.337029490593733</v>
      </c>
      <c r="K28">
        <f t="shared" si="5"/>
        <v>-0.50024515177521744</v>
      </c>
      <c r="L28">
        <v>1</v>
      </c>
      <c r="M28">
        <f t="shared" si="6"/>
        <v>-6.2428794627673589E-2</v>
      </c>
      <c r="N28">
        <f t="shared" si="7"/>
        <v>2.0878658880000001E-2</v>
      </c>
      <c r="O28">
        <f t="shared" si="8"/>
        <v>3.8211885119999998E-3</v>
      </c>
      <c r="P28">
        <f t="shared" si="9"/>
        <v>0.5379740990108911</v>
      </c>
      <c r="V28">
        <v>-3.6000000000000099</v>
      </c>
      <c r="W28">
        <f t="shared" si="10"/>
        <v>1.0902700000000043</v>
      </c>
      <c r="Y28">
        <v>0.24</v>
      </c>
      <c r="Z28">
        <f t="shared" si="11"/>
        <v>1.6783455999999997</v>
      </c>
    </row>
    <row r="29" spans="1:26" x14ac:dyDescent="0.3">
      <c r="A29">
        <v>1.3670967000000001</v>
      </c>
      <c r="B29">
        <v>0.71860000000000002</v>
      </c>
      <c r="C29">
        <f t="shared" si="0"/>
        <v>0.98239568862000004</v>
      </c>
      <c r="D29">
        <v>1.5900000000000001E-2</v>
      </c>
      <c r="E29">
        <v>2.9099999999999998E-3</v>
      </c>
      <c r="F29">
        <f t="shared" si="1"/>
        <v>273.41934000000003</v>
      </c>
      <c r="G29">
        <f t="shared" si="2"/>
        <v>-0.71860000000000002</v>
      </c>
      <c r="H29">
        <f t="shared" si="3"/>
        <v>-196.479137724</v>
      </c>
      <c r="I29">
        <v>1</v>
      </c>
      <c r="J29">
        <f t="shared" si="4"/>
        <v>-1.2967486183499775</v>
      </c>
      <c r="K29">
        <f t="shared" si="5"/>
        <v>-0.50312515177521744</v>
      </c>
      <c r="L29">
        <v>1</v>
      </c>
      <c r="M29">
        <f t="shared" si="6"/>
        <v>-4.4133222454559751E-2</v>
      </c>
      <c r="N29">
        <f t="shared" si="7"/>
        <v>2.1736837530000001E-2</v>
      </c>
      <c r="O29">
        <f t="shared" si="8"/>
        <v>3.9782513970000001E-3</v>
      </c>
      <c r="P29">
        <f t="shared" si="9"/>
        <v>0.52154328530277716</v>
      </c>
      <c r="V29">
        <v>-3.5000000000000102</v>
      </c>
      <c r="W29">
        <f t="shared" si="10"/>
        <v>1.0448500000000047</v>
      </c>
      <c r="Y29">
        <v>0.25</v>
      </c>
      <c r="Z29">
        <f t="shared" si="11"/>
        <v>1.7619699999999998</v>
      </c>
    </row>
    <row r="30" spans="1:26" x14ac:dyDescent="0.3">
      <c r="A30">
        <v>1.418015</v>
      </c>
      <c r="B30">
        <v>0.71555000000000002</v>
      </c>
      <c r="C30">
        <f t="shared" si="0"/>
        <v>1.0146606332500001</v>
      </c>
      <c r="D30">
        <v>1.5900000000000001E-2</v>
      </c>
      <c r="E30">
        <v>2.9099999999999998E-3</v>
      </c>
      <c r="F30">
        <f t="shared" si="1"/>
        <v>283.60300000000001</v>
      </c>
      <c r="G30">
        <f t="shared" si="2"/>
        <v>-0.71555000000000002</v>
      </c>
      <c r="H30">
        <f t="shared" si="3"/>
        <v>-202.93212665000001</v>
      </c>
      <c r="I30">
        <v>1</v>
      </c>
      <c r="J30">
        <f t="shared" si="4"/>
        <v>-1.2601799061008476</v>
      </c>
      <c r="K30">
        <f t="shared" si="5"/>
        <v>-0.50617515177521744</v>
      </c>
      <c r="L30">
        <v>1</v>
      </c>
      <c r="M30">
        <f t="shared" si="6"/>
        <v>-2.7523713351005008E-2</v>
      </c>
      <c r="N30">
        <f t="shared" si="7"/>
        <v>2.2546438500000002E-2</v>
      </c>
      <c r="O30">
        <f t="shared" si="8"/>
        <v>4.1264236499999997E-3</v>
      </c>
      <c r="P30">
        <f t="shared" si="9"/>
        <v>0.50702600297622236</v>
      </c>
      <c r="V30">
        <v>-3.4000000000000101</v>
      </c>
      <c r="W30">
        <f t="shared" si="10"/>
        <v>0.99943000000000459</v>
      </c>
      <c r="Y30">
        <v>0.26</v>
      </c>
      <c r="Z30">
        <f t="shared" si="11"/>
        <v>1.8455944</v>
      </c>
    </row>
    <row r="31" spans="1:26" x14ac:dyDescent="0.3">
      <c r="A31">
        <v>1.4684241</v>
      </c>
      <c r="B31">
        <v>0.71235999999999999</v>
      </c>
      <c r="C31">
        <f t="shared" si="0"/>
        <v>1.046046591876</v>
      </c>
      <c r="D31">
        <v>1.5900000000000001E-2</v>
      </c>
      <c r="E31">
        <v>2.9099999999999998E-3</v>
      </c>
      <c r="F31">
        <f t="shared" si="1"/>
        <v>293.68482</v>
      </c>
      <c r="G31">
        <f t="shared" si="2"/>
        <v>-0.71235999999999999</v>
      </c>
      <c r="H31">
        <f t="shared" si="3"/>
        <v>-209.20931837520001</v>
      </c>
      <c r="I31">
        <v>1</v>
      </c>
      <c r="J31">
        <f t="shared" si="4"/>
        <v>-1.225248127506557</v>
      </c>
      <c r="K31">
        <f t="shared" si="5"/>
        <v>-0.50936515177521746</v>
      </c>
      <c r="L31">
        <v>1</v>
      </c>
      <c r="M31">
        <f t="shared" si="6"/>
        <v>-1.1657699513478281E-2</v>
      </c>
      <c r="N31">
        <f t="shared" si="7"/>
        <v>2.3347943190000001E-2</v>
      </c>
      <c r="O31">
        <f t="shared" si="8"/>
        <v>4.2731141309999996E-3</v>
      </c>
      <c r="P31">
        <f t="shared" si="9"/>
        <v>0.49340179396769573</v>
      </c>
      <c r="V31">
        <v>-3.30000000000001</v>
      </c>
      <c r="W31">
        <f t="shared" si="10"/>
        <v>0.95401000000000458</v>
      </c>
      <c r="Y31">
        <v>0.27</v>
      </c>
      <c r="Z31">
        <f t="shared" si="11"/>
        <v>1.9292188000000001</v>
      </c>
    </row>
    <row r="32" spans="1:26" x14ac:dyDescent="0.3">
      <c r="A32">
        <v>1.5198516</v>
      </c>
      <c r="B32">
        <v>0.70952999999999999</v>
      </c>
      <c r="C32">
        <f t="shared" si="0"/>
        <v>1.0783803057479999</v>
      </c>
      <c r="D32">
        <v>1.5900000000000001E-2</v>
      </c>
      <c r="E32">
        <v>2.9099999999999998E-3</v>
      </c>
      <c r="F32">
        <f t="shared" si="1"/>
        <v>303.97032000000002</v>
      </c>
      <c r="G32">
        <f t="shared" si="2"/>
        <v>-0.70952999999999999</v>
      </c>
      <c r="H32">
        <f t="shared" si="3"/>
        <v>-215.67606114959997</v>
      </c>
      <c r="I32">
        <v>1</v>
      </c>
      <c r="J32">
        <f t="shared" si="4"/>
        <v>-1.1908252139211355</v>
      </c>
      <c r="K32">
        <f t="shared" si="5"/>
        <v>-0.51219515177521746</v>
      </c>
      <c r="L32">
        <v>1</v>
      </c>
      <c r="M32">
        <f t="shared" si="6"/>
        <v>3.9771878370201685E-3</v>
      </c>
      <c r="N32">
        <f t="shared" si="7"/>
        <v>2.416564044E-2</v>
      </c>
      <c r="O32">
        <f t="shared" si="8"/>
        <v>4.4227681559999999E-3</v>
      </c>
      <c r="P32">
        <f t="shared" si="9"/>
        <v>0.47962955534219726</v>
      </c>
      <c r="V32">
        <v>-3.2000000000000099</v>
      </c>
      <c r="W32">
        <f t="shared" si="10"/>
        <v>0.90859000000000456</v>
      </c>
    </row>
    <row r="33" spans="1:23" x14ac:dyDescent="0.3">
      <c r="A33">
        <v>1.5743341</v>
      </c>
      <c r="B33">
        <v>0.70621</v>
      </c>
      <c r="C33">
        <f t="shared" si="0"/>
        <v>1.111810484761</v>
      </c>
      <c r="D33">
        <v>1.5900000000000001E-2</v>
      </c>
      <c r="E33">
        <v>2.9099999999999998E-3</v>
      </c>
      <c r="F33">
        <f t="shared" si="1"/>
        <v>314.86682000000002</v>
      </c>
      <c r="G33">
        <f t="shared" si="2"/>
        <v>-0.70621</v>
      </c>
      <c r="H33">
        <f t="shared" si="3"/>
        <v>-222.36209695220001</v>
      </c>
      <c r="I33">
        <v>1</v>
      </c>
      <c r="J33">
        <f t="shared" si="4"/>
        <v>-1.1556055232097333</v>
      </c>
      <c r="K33">
        <f t="shared" si="5"/>
        <v>-0.51551515177521745</v>
      </c>
      <c r="L33">
        <v>1</v>
      </c>
      <c r="M33">
        <f t="shared" si="6"/>
        <v>1.9973971358139053E-2</v>
      </c>
      <c r="N33">
        <f t="shared" si="7"/>
        <v>2.5031912190000002E-2</v>
      </c>
      <c r="O33">
        <f t="shared" si="8"/>
        <v>4.5813122309999992E-3</v>
      </c>
      <c r="P33">
        <f t="shared" si="9"/>
        <v>0.46592795599607839</v>
      </c>
      <c r="V33">
        <v>-3.1000000000000099</v>
      </c>
      <c r="W33">
        <f t="shared" si="10"/>
        <v>0.86317000000000454</v>
      </c>
    </row>
    <row r="34" spans="1:23" x14ac:dyDescent="0.3">
      <c r="A34">
        <v>1.6247433</v>
      </c>
      <c r="B34">
        <v>0.70325000000000004</v>
      </c>
      <c r="C34">
        <f t="shared" si="0"/>
        <v>1.1426007257250002</v>
      </c>
      <c r="D34">
        <v>1.5900000000000001E-2</v>
      </c>
      <c r="E34">
        <v>2.9099999999999998E-3</v>
      </c>
      <c r="F34">
        <f t="shared" si="1"/>
        <v>324.94866000000002</v>
      </c>
      <c r="G34">
        <f t="shared" si="2"/>
        <v>-0.70325000000000004</v>
      </c>
      <c r="H34">
        <f t="shared" si="3"/>
        <v>-228.52014514500004</v>
      </c>
      <c r="I34">
        <v>1</v>
      </c>
      <c r="J34">
        <f t="shared" si="4"/>
        <v>-1.1240880783616218</v>
      </c>
      <c r="K34">
        <f t="shared" si="5"/>
        <v>-0.51847515177521741</v>
      </c>
      <c r="L34">
        <v>1</v>
      </c>
      <c r="M34">
        <f t="shared" si="6"/>
        <v>3.4289194808151291E-2</v>
      </c>
      <c r="N34">
        <f t="shared" si="7"/>
        <v>2.5833418470000001E-2</v>
      </c>
      <c r="O34">
        <f t="shared" si="8"/>
        <v>4.7280030030000001E-3</v>
      </c>
      <c r="P34">
        <f t="shared" si="9"/>
        <v>0.45362453549406612</v>
      </c>
      <c r="V34">
        <v>-3.0000000000000102</v>
      </c>
      <c r="W34">
        <f t="shared" si="10"/>
        <v>0.81775000000000475</v>
      </c>
    </row>
    <row r="35" spans="1:23" x14ac:dyDescent="0.3">
      <c r="A35">
        <v>1.6776983999999999</v>
      </c>
      <c r="B35">
        <v>0.70025000000000004</v>
      </c>
      <c r="C35">
        <f t="shared" si="0"/>
        <v>1.1748083046</v>
      </c>
      <c r="D35">
        <v>1.5900000000000001E-2</v>
      </c>
      <c r="E35">
        <v>2.9099999999999998E-3</v>
      </c>
      <c r="F35">
        <f t="shared" si="1"/>
        <v>335.53967999999998</v>
      </c>
      <c r="G35">
        <f t="shared" si="2"/>
        <v>-0.70025000000000004</v>
      </c>
      <c r="H35">
        <f t="shared" si="3"/>
        <v>-234.96166091999999</v>
      </c>
      <c r="I35">
        <v>1</v>
      </c>
      <c r="J35">
        <f t="shared" si="4"/>
        <v>-1.0920150583269324</v>
      </c>
      <c r="K35">
        <f t="shared" si="5"/>
        <v>-0.52147515177521742</v>
      </c>
      <c r="L35">
        <v>1</v>
      </c>
      <c r="M35">
        <f t="shared" si="6"/>
        <v>4.8856760507907271E-2</v>
      </c>
      <c r="N35">
        <f t="shared" si="7"/>
        <v>2.6675404560000001E-2</v>
      </c>
      <c r="O35">
        <f t="shared" si="8"/>
        <v>4.8821023439999996E-3</v>
      </c>
      <c r="P35">
        <f t="shared" si="9"/>
        <v>0.44106088436331015</v>
      </c>
      <c r="V35">
        <v>-2.9000000000000101</v>
      </c>
      <c r="W35">
        <f t="shared" si="10"/>
        <v>0.77233000000000473</v>
      </c>
    </row>
    <row r="36" spans="1:23" x14ac:dyDescent="0.3">
      <c r="A36">
        <v>1.7321808999999999</v>
      </c>
      <c r="B36">
        <v>0.69749000000000005</v>
      </c>
      <c r="C36">
        <f t="shared" si="0"/>
        <v>1.2081788559410001</v>
      </c>
      <c r="D36">
        <v>1.5900000000000001E-2</v>
      </c>
      <c r="E36">
        <v>2.9099999999999998E-3</v>
      </c>
      <c r="F36">
        <f t="shared" si="1"/>
        <v>346.43617999999998</v>
      </c>
      <c r="G36">
        <f t="shared" si="2"/>
        <v>-0.69749000000000005</v>
      </c>
      <c r="H36">
        <f t="shared" si="3"/>
        <v>-241.63577118820001</v>
      </c>
      <c r="I36">
        <v>1</v>
      </c>
      <c r="J36">
        <f t="shared" si="4"/>
        <v>-1.0600566620204495</v>
      </c>
      <c r="K36">
        <f t="shared" si="5"/>
        <v>-0.5242351517752174</v>
      </c>
      <c r="L36">
        <v>1</v>
      </c>
      <c r="M36">
        <f t="shared" si="6"/>
        <v>6.3372264110311827E-2</v>
      </c>
      <c r="N36">
        <f t="shared" si="7"/>
        <v>2.7541676309999999E-2</v>
      </c>
      <c r="O36">
        <f t="shared" si="8"/>
        <v>5.0406464189999998E-3</v>
      </c>
      <c r="P36">
        <f t="shared" si="9"/>
        <v>0.42828056493590561</v>
      </c>
      <c r="V36">
        <v>-2.80000000000001</v>
      </c>
      <c r="W36">
        <f t="shared" ref="W36:W67" si="12">V36*$S$5+$S$4</f>
        <v>0.7269100000000045</v>
      </c>
    </row>
    <row r="37" spans="1:23" x14ac:dyDescent="0.3">
      <c r="A37">
        <v>1.7830994</v>
      </c>
      <c r="B37">
        <v>0.69450999999999996</v>
      </c>
      <c r="C37">
        <f t="shared" si="0"/>
        <v>1.2383803642939999</v>
      </c>
      <c r="D37">
        <v>1.5900000000000001E-2</v>
      </c>
      <c r="E37">
        <v>2.9099999999999998E-3</v>
      </c>
      <c r="F37">
        <f t="shared" si="1"/>
        <v>356.61988000000002</v>
      </c>
      <c r="G37">
        <f t="shared" si="2"/>
        <v>-0.69450999999999996</v>
      </c>
      <c r="H37">
        <f t="shared" si="3"/>
        <v>-247.67607285879998</v>
      </c>
      <c r="I37">
        <v>1</v>
      </c>
      <c r="J37">
        <f t="shared" si="4"/>
        <v>-1.0310848263689183</v>
      </c>
      <c r="K37">
        <f t="shared" si="5"/>
        <v>-0.52721515177521749</v>
      </c>
      <c r="L37">
        <v>1</v>
      </c>
      <c r="M37">
        <f t="shared" si="6"/>
        <v>7.6531271863237271E-2</v>
      </c>
      <c r="N37">
        <f t="shared" si="7"/>
        <v>2.8351280460000003E-2</v>
      </c>
      <c r="O37">
        <f t="shared" si="8"/>
        <v>5.1888192539999997E-3</v>
      </c>
      <c r="P37">
        <f t="shared" si="9"/>
        <v>0.41714378019798021</v>
      </c>
      <c r="V37">
        <v>-2.7000000000000099</v>
      </c>
      <c r="W37">
        <f t="shared" si="12"/>
        <v>0.68149000000000448</v>
      </c>
    </row>
    <row r="38" spans="1:23" x14ac:dyDescent="0.3">
      <c r="A38">
        <v>1.8386001999999999</v>
      </c>
      <c r="B38">
        <v>0.69157000000000002</v>
      </c>
      <c r="C38">
        <f t="shared" si="0"/>
        <v>1.2715207403139999</v>
      </c>
      <c r="D38">
        <v>1.5900000000000001E-2</v>
      </c>
      <c r="E38">
        <v>2.9099999999999998E-3</v>
      </c>
      <c r="F38">
        <f t="shared" si="1"/>
        <v>367.72003999999998</v>
      </c>
      <c r="G38">
        <f t="shared" si="2"/>
        <v>-0.69157000000000002</v>
      </c>
      <c r="H38">
        <f t="shared" si="3"/>
        <v>-254.30414806279998</v>
      </c>
      <c r="I38">
        <v>1</v>
      </c>
      <c r="J38">
        <f t="shared" si="4"/>
        <v>-1.0004333912081709</v>
      </c>
      <c r="K38">
        <f t="shared" si="5"/>
        <v>-0.53015515177521744</v>
      </c>
      <c r="L38">
        <v>1</v>
      </c>
      <c r="M38">
        <f t="shared" si="6"/>
        <v>9.0453153713248746E-2</v>
      </c>
      <c r="N38">
        <f t="shared" si="7"/>
        <v>2.9233743180000001E-2</v>
      </c>
      <c r="O38">
        <f t="shared" si="8"/>
        <v>5.3503265819999993E-3</v>
      </c>
      <c r="P38">
        <f t="shared" si="9"/>
        <v>0.40511792829996868</v>
      </c>
      <c r="V38">
        <v>-2.6000000000000099</v>
      </c>
      <c r="W38">
        <f t="shared" si="12"/>
        <v>0.63607000000000447</v>
      </c>
    </row>
    <row r="39" spans="1:23" x14ac:dyDescent="0.3">
      <c r="A39">
        <v>1.8890093999999999</v>
      </c>
      <c r="B39">
        <v>0.68867999999999996</v>
      </c>
      <c r="C39">
        <f t="shared" si="0"/>
        <v>1.3009229935919999</v>
      </c>
      <c r="D39">
        <v>1.5900000000000001E-2</v>
      </c>
      <c r="E39">
        <v>2.9099999999999998E-3</v>
      </c>
      <c r="F39">
        <f t="shared" si="1"/>
        <v>377.80187999999998</v>
      </c>
      <c r="G39">
        <f t="shared" si="2"/>
        <v>-0.68867999999999996</v>
      </c>
      <c r="H39">
        <f t="shared" si="3"/>
        <v>-260.18459871839997</v>
      </c>
      <c r="I39">
        <v>1</v>
      </c>
      <c r="J39">
        <f t="shared" si="4"/>
        <v>-0.97338534774923713</v>
      </c>
      <c r="K39">
        <f t="shared" si="5"/>
        <v>-0.5330451517752175</v>
      </c>
      <c r="L39">
        <v>1</v>
      </c>
      <c r="M39">
        <f t="shared" si="6"/>
        <v>0.10273837505229644</v>
      </c>
      <c r="N39">
        <f t="shared" si="7"/>
        <v>3.003524946E-2</v>
      </c>
      <c r="O39">
        <f t="shared" si="8"/>
        <v>5.4970173539999993E-3</v>
      </c>
      <c r="P39">
        <f t="shared" si="9"/>
        <v>0.39477450990892105</v>
      </c>
      <c r="V39">
        <v>-2.5000000000000102</v>
      </c>
      <c r="W39">
        <f t="shared" si="12"/>
        <v>0.59065000000000467</v>
      </c>
    </row>
    <row r="40" spans="1:23" x14ac:dyDescent="0.3">
      <c r="A40">
        <v>1.940437</v>
      </c>
      <c r="B40">
        <v>0.68591000000000002</v>
      </c>
      <c r="C40">
        <f t="shared" si="0"/>
        <v>1.33096514267</v>
      </c>
      <c r="D40">
        <v>1.5900000000000001E-2</v>
      </c>
      <c r="E40">
        <v>2.9099999999999998E-3</v>
      </c>
      <c r="F40">
        <f t="shared" si="1"/>
        <v>388.0874</v>
      </c>
      <c r="G40">
        <f t="shared" si="2"/>
        <v>-0.68591000000000002</v>
      </c>
      <c r="H40">
        <f t="shared" si="3"/>
        <v>-266.19302853400001</v>
      </c>
      <c r="I40">
        <v>1</v>
      </c>
      <c r="J40">
        <f t="shared" si="4"/>
        <v>-0.94652470699361835</v>
      </c>
      <c r="K40">
        <f t="shared" si="5"/>
        <v>-0.53581515177521744</v>
      </c>
      <c r="L40">
        <v>1</v>
      </c>
      <c r="M40">
        <f t="shared" si="6"/>
        <v>0.1149384780834985</v>
      </c>
      <c r="N40">
        <f t="shared" si="7"/>
        <v>3.0852948300000002E-2</v>
      </c>
      <c r="O40">
        <f t="shared" si="8"/>
        <v>5.6466716699999997E-3</v>
      </c>
      <c r="P40">
        <f t="shared" si="9"/>
        <v>0.38437705372171893</v>
      </c>
      <c r="V40">
        <v>-2.4000000000000101</v>
      </c>
      <c r="W40">
        <f t="shared" si="12"/>
        <v>0.54523000000000466</v>
      </c>
    </row>
    <row r="41" spans="1:23" x14ac:dyDescent="0.3">
      <c r="A41">
        <v>1.9923736999999999</v>
      </c>
      <c r="B41">
        <v>0.68313000000000001</v>
      </c>
      <c r="C41">
        <f t="shared" si="0"/>
        <v>1.3610502456810001</v>
      </c>
      <c r="D41">
        <v>1.5900000000000001E-2</v>
      </c>
      <c r="E41">
        <v>2.9099999999999998E-3</v>
      </c>
      <c r="F41">
        <f t="shared" si="1"/>
        <v>398.47474</v>
      </c>
      <c r="G41">
        <f t="shared" si="2"/>
        <v>-0.68313000000000001</v>
      </c>
      <c r="H41">
        <f t="shared" si="3"/>
        <v>-272.21004913620004</v>
      </c>
      <c r="I41">
        <v>1</v>
      </c>
      <c r="J41">
        <f t="shared" si="4"/>
        <v>-0.92011117046484237</v>
      </c>
      <c r="K41">
        <f t="shared" si="5"/>
        <v>-0.53859515177521744</v>
      </c>
      <c r="L41">
        <v>1</v>
      </c>
      <c r="M41">
        <f t="shared" si="6"/>
        <v>0.12693550637486856</v>
      </c>
      <c r="N41">
        <f t="shared" si="7"/>
        <v>3.1678741830000003E-2</v>
      </c>
      <c r="O41">
        <f t="shared" si="8"/>
        <v>5.7978074669999997E-3</v>
      </c>
      <c r="P41">
        <f t="shared" si="9"/>
        <v>0.37418309610334888</v>
      </c>
      <c r="V41">
        <v>-2.30000000000001</v>
      </c>
      <c r="W41">
        <f t="shared" si="12"/>
        <v>0.49981000000000464</v>
      </c>
    </row>
    <row r="42" spans="1:23" x14ac:dyDescent="0.3">
      <c r="A42">
        <v>2.0427827999999999</v>
      </c>
      <c r="B42">
        <v>0.68033999999999994</v>
      </c>
      <c r="C42">
        <f t="shared" si="0"/>
        <v>1.3897868501519999</v>
      </c>
      <c r="D42">
        <v>1.5900000000000001E-2</v>
      </c>
      <c r="E42">
        <v>2.9099999999999998E-3</v>
      </c>
      <c r="F42">
        <f t="shared" si="1"/>
        <v>408.55655999999999</v>
      </c>
      <c r="G42">
        <f t="shared" si="2"/>
        <v>-0.68033999999999994</v>
      </c>
      <c r="H42">
        <f t="shared" si="3"/>
        <v>-277.9573700304</v>
      </c>
      <c r="I42">
        <v>1</v>
      </c>
      <c r="J42">
        <f t="shared" si="4"/>
        <v>-0.89512491649413428</v>
      </c>
      <c r="K42">
        <f t="shared" si="5"/>
        <v>-0.54138515177521751</v>
      </c>
      <c r="L42">
        <v>1</v>
      </c>
      <c r="M42">
        <f t="shared" si="6"/>
        <v>0.13828426292836415</v>
      </c>
      <c r="N42">
        <f t="shared" si="7"/>
        <v>3.2480246519999999E-2</v>
      </c>
      <c r="O42">
        <f t="shared" si="8"/>
        <v>5.9444979479999997E-3</v>
      </c>
      <c r="P42">
        <f t="shared" si="9"/>
        <v>0.36467614437885337</v>
      </c>
      <c r="V42">
        <v>-2.2000000000000099</v>
      </c>
      <c r="W42">
        <f t="shared" si="12"/>
        <v>0.45439000000000451</v>
      </c>
    </row>
    <row r="43" spans="1:23" x14ac:dyDescent="0.3">
      <c r="A43">
        <v>2.0957378000000002</v>
      </c>
      <c r="B43">
        <v>0.67791999999999997</v>
      </c>
      <c r="C43">
        <f t="shared" si="0"/>
        <v>1.4207425693760001</v>
      </c>
      <c r="D43">
        <v>1.5900000000000001E-2</v>
      </c>
      <c r="E43">
        <v>2.9099999999999998E-3</v>
      </c>
      <c r="F43">
        <f t="shared" si="1"/>
        <v>419.14756000000006</v>
      </c>
      <c r="G43">
        <f t="shared" si="2"/>
        <v>-0.67791999999999997</v>
      </c>
      <c r="H43">
        <f t="shared" si="3"/>
        <v>-284.14851387520002</v>
      </c>
      <c r="I43">
        <v>1</v>
      </c>
      <c r="J43">
        <f t="shared" si="4"/>
        <v>-0.86953224922023653</v>
      </c>
      <c r="K43">
        <f t="shared" si="5"/>
        <v>-0.54380515177521749</v>
      </c>
      <c r="L43">
        <v>1</v>
      </c>
      <c r="M43">
        <f t="shared" si="6"/>
        <v>0.1499084524041685</v>
      </c>
      <c r="N43">
        <f t="shared" si="7"/>
        <v>3.3322231020000002E-2</v>
      </c>
      <c r="O43">
        <f t="shared" si="8"/>
        <v>6.0985969979999999E-3</v>
      </c>
      <c r="P43">
        <f t="shared" si="9"/>
        <v>0.35447587135304903</v>
      </c>
      <c r="V43">
        <v>-2.1000000000000099</v>
      </c>
      <c r="W43">
        <f t="shared" si="12"/>
        <v>0.4089700000000045</v>
      </c>
    </row>
    <row r="44" spans="1:23" x14ac:dyDescent="0.3">
      <c r="A44">
        <v>2.1471654999999998</v>
      </c>
      <c r="B44">
        <v>0.67513000000000001</v>
      </c>
      <c r="C44">
        <f t="shared" si="0"/>
        <v>1.449615844015</v>
      </c>
      <c r="D44">
        <v>1.5900000000000001E-2</v>
      </c>
      <c r="E44">
        <v>2.9099999999999998E-3</v>
      </c>
      <c r="F44">
        <f t="shared" si="1"/>
        <v>429.43309999999997</v>
      </c>
      <c r="G44">
        <f t="shared" si="2"/>
        <v>-0.67513000000000001</v>
      </c>
      <c r="H44">
        <f t="shared" si="3"/>
        <v>-289.92316880300001</v>
      </c>
      <c r="I44">
        <v>1</v>
      </c>
      <c r="J44">
        <f t="shared" si="4"/>
        <v>-0.84528931220461923</v>
      </c>
      <c r="K44">
        <f t="shared" si="5"/>
        <v>-0.54659515177521745</v>
      </c>
      <c r="L44">
        <v>1</v>
      </c>
      <c r="M44">
        <f t="shared" si="6"/>
        <v>0.16091959439666192</v>
      </c>
      <c r="N44">
        <f t="shared" si="7"/>
        <v>3.4139931450000001E-2</v>
      </c>
      <c r="O44">
        <f t="shared" si="8"/>
        <v>6.2482516049999996E-3</v>
      </c>
      <c r="P44">
        <f t="shared" si="9"/>
        <v>0.34528737432355555</v>
      </c>
      <c r="V44">
        <v>-2.0000000000000102</v>
      </c>
      <c r="W44">
        <f t="shared" si="12"/>
        <v>0.3635500000000047</v>
      </c>
    </row>
    <row r="45" spans="1:23" x14ac:dyDescent="0.3">
      <c r="A45">
        <v>2.1996112999999999</v>
      </c>
      <c r="B45">
        <v>0.67244000000000004</v>
      </c>
      <c r="C45">
        <f t="shared" si="0"/>
        <v>1.479106622572</v>
      </c>
      <c r="D45">
        <v>1.5900000000000001E-2</v>
      </c>
      <c r="E45">
        <v>2.9099999999999998E-3</v>
      </c>
      <c r="F45">
        <f t="shared" si="1"/>
        <v>439.92225999999999</v>
      </c>
      <c r="G45">
        <f t="shared" si="2"/>
        <v>-0.67244000000000004</v>
      </c>
      <c r="H45">
        <f t="shared" si="3"/>
        <v>-295.82132451439998</v>
      </c>
      <c r="I45">
        <v>1</v>
      </c>
      <c r="J45">
        <f t="shared" si="4"/>
        <v>-0.82115724949808311</v>
      </c>
      <c r="K45">
        <f t="shared" si="5"/>
        <v>-0.54928515177521742</v>
      </c>
      <c r="L45">
        <v>1</v>
      </c>
      <c r="M45">
        <f t="shared" si="6"/>
        <v>0.17188037727797062</v>
      </c>
      <c r="N45">
        <f t="shared" si="7"/>
        <v>3.4973819670000003E-2</v>
      </c>
      <c r="O45">
        <f t="shared" si="8"/>
        <v>6.4008688829999992E-3</v>
      </c>
      <c r="P45">
        <f t="shared" si="9"/>
        <v>0.33603008594424677</v>
      </c>
      <c r="V45">
        <v>-1.9000000000000099</v>
      </c>
      <c r="W45">
        <f t="shared" si="12"/>
        <v>0.31813000000000458</v>
      </c>
    </row>
    <row r="46" spans="1:23" x14ac:dyDescent="0.3">
      <c r="A46">
        <v>2.2510390999999998</v>
      </c>
      <c r="B46">
        <v>0.66998999999999997</v>
      </c>
      <c r="C46">
        <f t="shared" si="0"/>
        <v>1.5081736866089999</v>
      </c>
      <c r="D46">
        <v>1.5900000000000001E-2</v>
      </c>
      <c r="E46">
        <v>2.9099999999999998E-3</v>
      </c>
      <c r="F46">
        <f t="shared" si="1"/>
        <v>450.20781999999997</v>
      </c>
      <c r="G46">
        <f t="shared" si="2"/>
        <v>-0.66998999999999997</v>
      </c>
      <c r="H46">
        <f t="shared" si="3"/>
        <v>-301.63473732179995</v>
      </c>
      <c r="I46">
        <v>1</v>
      </c>
      <c r="J46">
        <f t="shared" si="4"/>
        <v>-0.79804598060261078</v>
      </c>
      <c r="K46">
        <f t="shared" si="5"/>
        <v>-0.55173515177521748</v>
      </c>
      <c r="L46">
        <v>1</v>
      </c>
      <c r="M46">
        <f t="shared" si="6"/>
        <v>0.18237751561029414</v>
      </c>
      <c r="N46">
        <f t="shared" si="7"/>
        <v>3.5791521690000001E-2</v>
      </c>
      <c r="O46">
        <f t="shared" si="8"/>
        <v>6.550523780999999E-3</v>
      </c>
      <c r="P46">
        <f t="shared" si="9"/>
        <v>0.32701559069392333</v>
      </c>
      <c r="V46">
        <v>-1.80000000000001</v>
      </c>
      <c r="W46">
        <f t="shared" si="12"/>
        <v>0.27271000000000456</v>
      </c>
    </row>
    <row r="47" spans="1:23" x14ac:dyDescent="0.3">
      <c r="A47">
        <v>2.3029755999999999</v>
      </c>
      <c r="B47">
        <v>0.66722000000000004</v>
      </c>
      <c r="C47">
        <f t="shared" si="0"/>
        <v>1.5365913798320001</v>
      </c>
      <c r="D47">
        <v>1.5900000000000001E-2</v>
      </c>
      <c r="E47">
        <v>2.9099999999999998E-3</v>
      </c>
      <c r="F47">
        <f t="shared" si="1"/>
        <v>460.59511999999995</v>
      </c>
      <c r="G47">
        <f t="shared" si="2"/>
        <v>-0.66722000000000004</v>
      </c>
      <c r="H47">
        <f t="shared" si="3"/>
        <v>-307.31827596640005</v>
      </c>
      <c r="I47">
        <v>1</v>
      </c>
      <c r="J47">
        <f t="shared" si="4"/>
        <v>-0.77523588652792674</v>
      </c>
      <c r="K47">
        <f t="shared" si="5"/>
        <v>-0.55450515177521742</v>
      </c>
      <c r="L47">
        <v>1</v>
      </c>
      <c r="M47">
        <f t="shared" si="6"/>
        <v>0.19273786033901563</v>
      </c>
      <c r="N47">
        <f t="shared" si="7"/>
        <v>3.6617312040000002E-2</v>
      </c>
      <c r="O47">
        <f t="shared" si="8"/>
        <v>6.7016589959999996E-3</v>
      </c>
      <c r="P47">
        <f t="shared" si="9"/>
        <v>0.31844832040020177</v>
      </c>
      <c r="V47">
        <v>-1.7000000000000199</v>
      </c>
      <c r="W47">
        <f t="shared" si="12"/>
        <v>0.2272900000000091</v>
      </c>
    </row>
    <row r="48" spans="1:23" x14ac:dyDescent="0.3">
      <c r="A48">
        <v>2.3574582999999998</v>
      </c>
      <c r="B48">
        <v>0.66478000000000004</v>
      </c>
      <c r="C48">
        <f t="shared" si="0"/>
        <v>1.5671911286739999</v>
      </c>
      <c r="D48">
        <v>1.5900000000000001E-2</v>
      </c>
      <c r="E48">
        <v>2.9099999999999998E-3</v>
      </c>
      <c r="F48">
        <f t="shared" si="1"/>
        <v>471.49165999999997</v>
      </c>
      <c r="G48">
        <f t="shared" si="2"/>
        <v>-0.66478000000000004</v>
      </c>
      <c r="H48">
        <f t="shared" si="3"/>
        <v>-313.43822573479997</v>
      </c>
      <c r="I48">
        <v>1</v>
      </c>
      <c r="J48">
        <f t="shared" si="4"/>
        <v>-0.75185386529411968</v>
      </c>
      <c r="K48">
        <f t="shared" si="5"/>
        <v>-0.55694515177521742</v>
      </c>
      <c r="L48">
        <v>1</v>
      </c>
      <c r="M48">
        <f t="shared" si="6"/>
        <v>0.2033579743834108</v>
      </c>
      <c r="N48">
        <f t="shared" si="7"/>
        <v>3.7483586969999996E-2</v>
      </c>
      <c r="O48">
        <f t="shared" si="8"/>
        <v>6.8602036529999992E-3</v>
      </c>
      <c r="P48">
        <f t="shared" si="9"/>
        <v>0.30924338676880664</v>
      </c>
      <c r="V48">
        <v>-1.6000000000000201</v>
      </c>
      <c r="W48">
        <f t="shared" si="12"/>
        <v>0.18187000000000919</v>
      </c>
    </row>
    <row r="49" spans="1:23" x14ac:dyDescent="0.3">
      <c r="A49">
        <v>2.4083766999999998</v>
      </c>
      <c r="B49">
        <v>0.66195000000000004</v>
      </c>
      <c r="C49">
        <f t="shared" si="0"/>
        <v>1.594224956565</v>
      </c>
      <c r="D49">
        <v>1.5900000000000001E-2</v>
      </c>
      <c r="E49">
        <v>2.9099999999999998E-3</v>
      </c>
      <c r="F49">
        <f t="shared" si="1"/>
        <v>481.67533999999995</v>
      </c>
      <c r="G49">
        <f t="shared" si="2"/>
        <v>-0.66195000000000004</v>
      </c>
      <c r="H49">
        <f t="shared" si="3"/>
        <v>-318.84499131299998</v>
      </c>
      <c r="I49">
        <v>1</v>
      </c>
      <c r="J49">
        <f t="shared" si="4"/>
        <v>-0.73048496034542176</v>
      </c>
      <c r="K49">
        <f t="shared" si="5"/>
        <v>-0.55977515177521742</v>
      </c>
      <c r="L49">
        <v>1</v>
      </c>
      <c r="M49">
        <f t="shared" si="6"/>
        <v>0.21306373101110937</v>
      </c>
      <c r="N49">
        <f t="shared" si="7"/>
        <v>3.8293189530000001E-2</v>
      </c>
      <c r="O49">
        <f t="shared" si="8"/>
        <v>7.008376196999999E-3</v>
      </c>
      <c r="P49">
        <f t="shared" si="9"/>
        <v>0.30140985503710804</v>
      </c>
      <c r="V49">
        <v>-1.50000000000002</v>
      </c>
      <c r="W49">
        <f t="shared" si="12"/>
        <v>0.13645000000000918</v>
      </c>
    </row>
    <row r="50" spans="1:23" x14ac:dyDescent="0.3">
      <c r="A50">
        <v>2.4603131999999999</v>
      </c>
      <c r="B50">
        <v>0.65964</v>
      </c>
      <c r="C50">
        <f t="shared" si="0"/>
        <v>1.6229209992479998</v>
      </c>
      <c r="D50">
        <v>1.5900000000000001E-2</v>
      </c>
      <c r="E50">
        <v>2.9099999999999998E-3</v>
      </c>
      <c r="F50">
        <f t="shared" si="1"/>
        <v>492.06263999999999</v>
      </c>
      <c r="G50">
        <f t="shared" si="2"/>
        <v>-0.65964</v>
      </c>
      <c r="H50">
        <f t="shared" si="3"/>
        <v>-324.58419984959994</v>
      </c>
      <c r="I50">
        <v>1</v>
      </c>
      <c r="J50">
        <f t="shared" si="4"/>
        <v>-0.70914925352078895</v>
      </c>
      <c r="K50">
        <f t="shared" si="5"/>
        <v>-0.56208515177521745</v>
      </c>
      <c r="L50">
        <v>1</v>
      </c>
      <c r="M50">
        <f t="shared" si="6"/>
        <v>0.22275440905085764</v>
      </c>
      <c r="N50">
        <f t="shared" si="7"/>
        <v>3.9118979880000002E-2</v>
      </c>
      <c r="O50">
        <f t="shared" si="8"/>
        <v>7.1595114119999996E-3</v>
      </c>
      <c r="P50">
        <f t="shared" si="9"/>
        <v>0.2930522514323598</v>
      </c>
      <c r="V50">
        <v>-1.4000000000000199</v>
      </c>
      <c r="W50">
        <f t="shared" si="12"/>
        <v>9.1030000000009048E-2</v>
      </c>
    </row>
    <row r="51" spans="1:23" x14ac:dyDescent="0.3">
      <c r="A51">
        <v>2.512759</v>
      </c>
      <c r="B51">
        <v>0.65710000000000002</v>
      </c>
      <c r="C51">
        <f t="shared" si="0"/>
        <v>1.6511339388999999</v>
      </c>
      <c r="D51">
        <v>1.5900000000000001E-2</v>
      </c>
      <c r="E51">
        <v>2.9099999999999998E-3</v>
      </c>
      <c r="F51">
        <f t="shared" si="1"/>
        <v>502.55180000000001</v>
      </c>
      <c r="G51">
        <f t="shared" si="2"/>
        <v>-0.65710000000000002</v>
      </c>
      <c r="H51">
        <f t="shared" si="3"/>
        <v>-330.22678778</v>
      </c>
      <c r="I51">
        <v>1</v>
      </c>
      <c r="J51">
        <f t="shared" si="4"/>
        <v>-0.68805655978464175</v>
      </c>
      <c r="K51">
        <f t="shared" si="5"/>
        <v>-0.56462515177521744</v>
      </c>
      <c r="L51">
        <v>1</v>
      </c>
      <c r="M51">
        <f t="shared" si="6"/>
        <v>0.23233471054581567</v>
      </c>
      <c r="N51">
        <f t="shared" si="7"/>
        <v>3.9952868100000004E-2</v>
      </c>
      <c r="O51">
        <f t="shared" si="8"/>
        <v>7.3121286899999992E-3</v>
      </c>
      <c r="P51">
        <f t="shared" si="9"/>
        <v>0.28502544443940181</v>
      </c>
      <c r="V51">
        <v>-1.30000000000002</v>
      </c>
      <c r="W51">
        <f t="shared" si="12"/>
        <v>4.5610000000009143E-2</v>
      </c>
    </row>
    <row r="52" spans="1:23" x14ac:dyDescent="0.3">
      <c r="A52">
        <v>2.5641864999999999</v>
      </c>
      <c r="B52">
        <v>0.65458000000000005</v>
      </c>
      <c r="C52">
        <f t="shared" si="0"/>
        <v>1.6784651991700001</v>
      </c>
      <c r="D52">
        <v>1.5900000000000001E-2</v>
      </c>
      <c r="E52">
        <v>2.9099999999999998E-3</v>
      </c>
      <c r="F52">
        <f t="shared" si="1"/>
        <v>512.83730000000003</v>
      </c>
      <c r="G52">
        <f t="shared" si="2"/>
        <v>-0.65458000000000005</v>
      </c>
      <c r="H52">
        <f t="shared" si="3"/>
        <v>-335.69303983400005</v>
      </c>
      <c r="I52">
        <v>1</v>
      </c>
      <c r="J52">
        <f t="shared" si="4"/>
        <v>-0.66779663811143375</v>
      </c>
      <c r="K52">
        <f t="shared" si="5"/>
        <v>-0.5671451517752174</v>
      </c>
      <c r="L52">
        <v>1</v>
      </c>
      <c r="M52">
        <f t="shared" si="6"/>
        <v>0.24153676696978676</v>
      </c>
      <c r="N52">
        <f t="shared" si="7"/>
        <v>4.0770565350000003E-2</v>
      </c>
      <c r="O52">
        <f t="shared" si="8"/>
        <v>7.4617827149999994E-3</v>
      </c>
      <c r="P52">
        <f t="shared" si="9"/>
        <v>0.27737603674043065</v>
      </c>
      <c r="V52">
        <v>-1.2000000000000199</v>
      </c>
      <c r="W52">
        <f t="shared" si="12"/>
        <v>1.9000000000912731E-4</v>
      </c>
    </row>
    <row r="53" spans="1:23" x14ac:dyDescent="0.3">
      <c r="A53">
        <v>2.6151046999999998</v>
      </c>
      <c r="B53">
        <v>0.65215999999999996</v>
      </c>
      <c r="C53">
        <f t="shared" si="0"/>
        <v>1.7054666811519998</v>
      </c>
      <c r="D53">
        <v>1.5900000000000001E-2</v>
      </c>
      <c r="E53">
        <v>2.9099999999999998E-3</v>
      </c>
      <c r="F53">
        <f t="shared" si="1"/>
        <v>523.02094</v>
      </c>
      <c r="G53">
        <f t="shared" si="2"/>
        <v>-0.65215999999999996</v>
      </c>
      <c r="H53">
        <f t="shared" si="3"/>
        <v>-341.09333623039998</v>
      </c>
      <c r="I53">
        <v>1</v>
      </c>
      <c r="J53">
        <f t="shared" si="4"/>
        <v>-0.64813377747780532</v>
      </c>
      <c r="K53">
        <f t="shared" si="5"/>
        <v>-0.56956515177521749</v>
      </c>
      <c r="L53">
        <v>1</v>
      </c>
      <c r="M53">
        <f t="shared" si="6"/>
        <v>0.25046763826958079</v>
      </c>
      <c r="N53">
        <f t="shared" si="7"/>
        <v>4.1580164730000001E-2</v>
      </c>
      <c r="O53">
        <f t="shared" si="8"/>
        <v>7.609954676999999E-3</v>
      </c>
      <c r="P53">
        <f t="shared" si="9"/>
        <v>0.26990739409863673</v>
      </c>
      <c r="V53">
        <v>-1.1000000000000201</v>
      </c>
      <c r="W53">
        <f t="shared" si="12"/>
        <v>-4.5229999999990833E-2</v>
      </c>
    </row>
    <row r="54" spans="1:23" x14ac:dyDescent="0.3">
      <c r="A54">
        <v>2.6670414999999998</v>
      </c>
      <c r="B54">
        <v>0.64985000000000004</v>
      </c>
      <c r="C54">
        <f t="shared" si="0"/>
        <v>1.7331769187749999</v>
      </c>
      <c r="D54">
        <v>1.5900000000000001E-2</v>
      </c>
      <c r="E54">
        <v>2.9099999999999998E-3</v>
      </c>
      <c r="F54">
        <f t="shared" si="1"/>
        <v>533.40829999999994</v>
      </c>
      <c r="G54">
        <f t="shared" si="2"/>
        <v>-0.64985000000000004</v>
      </c>
      <c r="H54">
        <f t="shared" si="3"/>
        <v>-346.63538375499996</v>
      </c>
      <c r="I54">
        <v>1</v>
      </c>
      <c r="J54">
        <f t="shared" si="4"/>
        <v>-0.62846810680035681</v>
      </c>
      <c r="K54">
        <f t="shared" si="5"/>
        <v>-0.57187515177521742</v>
      </c>
      <c r="L54">
        <v>1</v>
      </c>
      <c r="M54">
        <f t="shared" si="6"/>
        <v>0.25939978589127788</v>
      </c>
      <c r="N54">
        <f t="shared" si="7"/>
        <v>4.2405959850000001E-2</v>
      </c>
      <c r="O54">
        <f t="shared" si="8"/>
        <v>7.7610907649999991E-3</v>
      </c>
      <c r="P54">
        <f t="shared" si="9"/>
        <v>0.26230831526893955</v>
      </c>
      <c r="V54">
        <v>-1.00000000000002</v>
      </c>
      <c r="W54">
        <f t="shared" si="12"/>
        <v>-9.0649999999990849E-2</v>
      </c>
    </row>
    <row r="55" spans="1:23" x14ac:dyDescent="0.3">
      <c r="A55">
        <v>2.7184689999999998</v>
      </c>
      <c r="B55">
        <v>0.64719000000000004</v>
      </c>
      <c r="C55">
        <f t="shared" si="0"/>
        <v>1.75936595211</v>
      </c>
      <c r="D55">
        <v>1.5900000000000001E-2</v>
      </c>
      <c r="E55">
        <v>2.9099999999999998E-3</v>
      </c>
      <c r="F55">
        <f t="shared" si="1"/>
        <v>543.69380000000001</v>
      </c>
      <c r="G55">
        <f t="shared" si="2"/>
        <v>-0.64719000000000004</v>
      </c>
      <c r="H55">
        <f t="shared" si="3"/>
        <v>-351.87319042199999</v>
      </c>
      <c r="I55">
        <v>1</v>
      </c>
      <c r="J55">
        <f t="shared" si="4"/>
        <v>-0.60936905824271492</v>
      </c>
      <c r="K55">
        <f t="shared" si="5"/>
        <v>-0.57453515177521741</v>
      </c>
      <c r="L55">
        <v>1</v>
      </c>
      <c r="M55">
        <f t="shared" si="6"/>
        <v>0.26807457374615884</v>
      </c>
      <c r="N55">
        <f t="shared" si="7"/>
        <v>4.32236571E-2</v>
      </c>
      <c r="O55">
        <f t="shared" si="8"/>
        <v>7.9107447899999985E-3</v>
      </c>
      <c r="P55">
        <f t="shared" si="9"/>
        <v>0.25532617613905861</v>
      </c>
      <c r="V55">
        <v>-0.90000000000002001</v>
      </c>
      <c r="W55">
        <f t="shared" si="12"/>
        <v>-0.13606999999999086</v>
      </c>
    </row>
    <row r="56" spans="1:23" x14ac:dyDescent="0.3">
      <c r="A56">
        <v>2.7693875000000001</v>
      </c>
      <c r="B56">
        <v>0.64471000000000001</v>
      </c>
      <c r="C56">
        <f t="shared" si="0"/>
        <v>1.7854518151250001</v>
      </c>
      <c r="D56">
        <v>1.5900000000000001E-2</v>
      </c>
      <c r="E56">
        <v>2.9099999999999998E-3</v>
      </c>
      <c r="F56">
        <f t="shared" si="1"/>
        <v>553.87750000000005</v>
      </c>
      <c r="G56">
        <f t="shared" si="2"/>
        <v>-0.64471000000000001</v>
      </c>
      <c r="H56">
        <f t="shared" si="3"/>
        <v>-357.09036302499999</v>
      </c>
      <c r="I56">
        <v>1</v>
      </c>
      <c r="J56">
        <f t="shared" si="4"/>
        <v>-0.59081173581886715</v>
      </c>
      <c r="K56">
        <f t="shared" si="5"/>
        <v>-0.57701515177521745</v>
      </c>
      <c r="L56">
        <v>1</v>
      </c>
      <c r="M56">
        <f t="shared" si="6"/>
        <v>0.2765033095910705</v>
      </c>
      <c r="N56">
        <f t="shared" si="7"/>
        <v>4.4033261250000004E-2</v>
      </c>
      <c r="O56">
        <f t="shared" si="8"/>
        <v>8.0589176250000002E-3</v>
      </c>
      <c r="P56">
        <f t="shared" si="9"/>
        <v>0.24841966330914694</v>
      </c>
      <c r="V56">
        <v>-0.80000000000002003</v>
      </c>
      <c r="W56">
        <f t="shared" si="12"/>
        <v>-0.18148999999999088</v>
      </c>
    </row>
    <row r="57" spans="1:23" x14ac:dyDescent="0.3">
      <c r="A57">
        <v>2.8208148999999998</v>
      </c>
      <c r="B57">
        <v>0.64249999999999996</v>
      </c>
      <c r="C57">
        <f t="shared" si="0"/>
        <v>1.8123735732499997</v>
      </c>
      <c r="D57">
        <v>1.5900000000000001E-2</v>
      </c>
      <c r="E57">
        <v>2.9099999999999998E-3</v>
      </c>
      <c r="F57">
        <f t="shared" si="1"/>
        <v>564.16297999999995</v>
      </c>
      <c r="G57">
        <f t="shared" si="2"/>
        <v>-0.64249999999999996</v>
      </c>
      <c r="H57">
        <f t="shared" si="3"/>
        <v>-362.47471464999995</v>
      </c>
      <c r="I57">
        <v>1</v>
      </c>
      <c r="J57">
        <f t="shared" si="4"/>
        <v>-0.57241209759713263</v>
      </c>
      <c r="K57">
        <f t="shared" si="5"/>
        <v>-0.57922515177521749</v>
      </c>
      <c r="L57">
        <v>1</v>
      </c>
      <c r="M57">
        <f t="shared" si="6"/>
        <v>0.28486042527138233</v>
      </c>
      <c r="N57">
        <f t="shared" si="7"/>
        <v>4.4850956909999996E-2</v>
      </c>
      <c r="O57">
        <f t="shared" si="8"/>
        <v>8.2085713589999994E-3</v>
      </c>
      <c r="P57">
        <f t="shared" si="9"/>
        <v>0.24130519823483518</v>
      </c>
      <c r="V57">
        <v>-0.70000000000002005</v>
      </c>
      <c r="W57">
        <f t="shared" si="12"/>
        <v>-0.22690999999999084</v>
      </c>
    </row>
    <row r="58" spans="1:23" x14ac:dyDescent="0.3">
      <c r="A58">
        <v>2.8712241000000001</v>
      </c>
      <c r="B58">
        <v>0.64010999999999996</v>
      </c>
      <c r="C58">
        <f t="shared" si="0"/>
        <v>1.8378992586509999</v>
      </c>
      <c r="D58">
        <v>1.5900000000000001E-2</v>
      </c>
      <c r="E58">
        <v>2.9099999999999998E-3</v>
      </c>
      <c r="F58">
        <f t="shared" si="1"/>
        <v>574.24482</v>
      </c>
      <c r="G58">
        <f t="shared" si="2"/>
        <v>-0.64010999999999996</v>
      </c>
      <c r="H58">
        <f t="shared" si="3"/>
        <v>-367.57985173020001</v>
      </c>
      <c r="I58">
        <v>1</v>
      </c>
      <c r="J58">
        <f t="shared" si="4"/>
        <v>-0.55469945791508557</v>
      </c>
      <c r="K58">
        <f t="shared" si="5"/>
        <v>-0.5816151517752175</v>
      </c>
      <c r="L58">
        <v>1</v>
      </c>
      <c r="M58">
        <f t="shared" si="6"/>
        <v>0.29290550621496808</v>
      </c>
      <c r="N58">
        <f t="shared" si="7"/>
        <v>4.5652463190000006E-2</v>
      </c>
      <c r="O58">
        <f t="shared" si="8"/>
        <v>8.3552621309999995E-3</v>
      </c>
      <c r="P58">
        <f t="shared" si="9"/>
        <v>0.23470192023924943</v>
      </c>
      <c r="V58">
        <v>-0.60000000000001996</v>
      </c>
      <c r="W58">
        <f t="shared" si="12"/>
        <v>-0.27232999999999086</v>
      </c>
    </row>
    <row r="59" spans="1:23" x14ac:dyDescent="0.3">
      <c r="A59">
        <v>2.9216332999999999</v>
      </c>
      <c r="B59">
        <v>0.63783999999999996</v>
      </c>
      <c r="C59">
        <f t="shared" si="0"/>
        <v>1.8635345840719999</v>
      </c>
      <c r="D59">
        <v>1.5900000000000001E-2</v>
      </c>
      <c r="E59">
        <v>2.9099999999999998E-3</v>
      </c>
      <c r="F59">
        <f t="shared" si="1"/>
        <v>584.32665999999995</v>
      </c>
      <c r="G59">
        <f t="shared" si="2"/>
        <v>-0.63783999999999996</v>
      </c>
      <c r="H59">
        <f t="shared" si="3"/>
        <v>-372.70691681439996</v>
      </c>
      <c r="I59">
        <v>1</v>
      </c>
      <c r="J59">
        <f t="shared" si="4"/>
        <v>-0.5372951032163592</v>
      </c>
      <c r="K59">
        <f t="shared" si="5"/>
        <v>-0.58388515177521749</v>
      </c>
      <c r="L59">
        <v>1</v>
      </c>
      <c r="M59">
        <f t="shared" si="6"/>
        <v>0.3008105641191296</v>
      </c>
      <c r="N59">
        <f t="shared" si="7"/>
        <v>4.6453969470000002E-2</v>
      </c>
      <c r="O59">
        <f t="shared" si="8"/>
        <v>8.5019529029999995E-3</v>
      </c>
      <c r="P59">
        <f t="shared" si="9"/>
        <v>0.22811866528308791</v>
      </c>
      <c r="V59">
        <v>-0.50000000000001998</v>
      </c>
      <c r="W59">
        <f t="shared" si="12"/>
        <v>-0.31774999999999087</v>
      </c>
    </row>
    <row r="60" spans="1:23" x14ac:dyDescent="0.3">
      <c r="A60">
        <v>2.9720425000000001</v>
      </c>
      <c r="B60">
        <v>0.63529999999999998</v>
      </c>
      <c r="C60">
        <f t="shared" si="0"/>
        <v>1.88813860025</v>
      </c>
      <c r="D60">
        <v>1.5900000000000001E-2</v>
      </c>
      <c r="E60">
        <v>2.9099999999999998E-3</v>
      </c>
      <c r="F60">
        <f t="shared" si="1"/>
        <v>594.4085</v>
      </c>
      <c r="G60">
        <f t="shared" si="2"/>
        <v>-0.63529999999999998</v>
      </c>
      <c r="H60">
        <f t="shared" si="3"/>
        <v>-377.62772004999999</v>
      </c>
      <c r="I60">
        <v>1</v>
      </c>
      <c r="J60">
        <f t="shared" si="4"/>
        <v>-0.52018848554624408</v>
      </c>
      <c r="K60">
        <f t="shared" si="5"/>
        <v>-0.58642515177521748</v>
      </c>
      <c r="L60">
        <v>1</v>
      </c>
      <c r="M60">
        <f t="shared" si="6"/>
        <v>0.30858038986489589</v>
      </c>
      <c r="N60">
        <f t="shared" si="7"/>
        <v>4.7255475750000005E-2</v>
      </c>
      <c r="O60">
        <f t="shared" si="8"/>
        <v>8.6486436749999996E-3</v>
      </c>
      <c r="P60">
        <f t="shared" si="9"/>
        <v>0.22194064248532158</v>
      </c>
      <c r="V60">
        <v>-0.40000000000002001</v>
      </c>
      <c r="W60">
        <f t="shared" si="12"/>
        <v>-0.36316999999999089</v>
      </c>
    </row>
    <row r="61" spans="1:23" x14ac:dyDescent="0.3">
      <c r="A61">
        <v>3.0224514</v>
      </c>
      <c r="B61">
        <v>0.63336999999999999</v>
      </c>
      <c r="C61">
        <f t="shared" si="0"/>
        <v>1.9143300432179999</v>
      </c>
      <c r="D61">
        <v>1.5900000000000001E-2</v>
      </c>
      <c r="E61">
        <v>2.9099999999999998E-3</v>
      </c>
      <c r="F61">
        <f t="shared" si="1"/>
        <v>604.49027999999998</v>
      </c>
      <c r="G61">
        <f t="shared" si="2"/>
        <v>-0.63336999999999999</v>
      </c>
      <c r="H61">
        <f t="shared" si="3"/>
        <v>-382.86600864359997</v>
      </c>
      <c r="I61">
        <v>1</v>
      </c>
      <c r="J61">
        <f t="shared" si="4"/>
        <v>-0.50336968846103125</v>
      </c>
      <c r="K61">
        <f t="shared" si="5"/>
        <v>-0.58835515177521747</v>
      </c>
      <c r="L61">
        <v>1</v>
      </c>
      <c r="M61">
        <f t="shared" si="6"/>
        <v>0.3162194875009996</v>
      </c>
      <c r="N61">
        <f t="shared" si="7"/>
        <v>4.8056977260000001E-2</v>
      </c>
      <c r="O61">
        <f t="shared" si="8"/>
        <v>8.7953335739999992E-3</v>
      </c>
      <c r="P61">
        <f t="shared" si="9"/>
        <v>0.21528335344021787</v>
      </c>
      <c r="V61">
        <v>-0.30000000000001997</v>
      </c>
      <c r="W61">
        <f t="shared" si="12"/>
        <v>-0.4085899999999909</v>
      </c>
    </row>
    <row r="62" spans="1:23" x14ac:dyDescent="0.3">
      <c r="A62">
        <v>3.0738789</v>
      </c>
      <c r="B62">
        <v>0.63078999999999996</v>
      </c>
      <c r="C62">
        <f t="shared" si="0"/>
        <v>1.9389720713309999</v>
      </c>
      <c r="D62">
        <v>1.5900000000000001E-2</v>
      </c>
      <c r="E62">
        <v>2.9099999999999998E-3</v>
      </c>
      <c r="F62">
        <f t="shared" si="1"/>
        <v>614.77577999999994</v>
      </c>
      <c r="G62">
        <f t="shared" si="2"/>
        <v>-0.63078999999999996</v>
      </c>
      <c r="H62">
        <f t="shared" si="3"/>
        <v>-387.79441426619996</v>
      </c>
      <c r="I62">
        <v>1</v>
      </c>
      <c r="J62">
        <f t="shared" si="4"/>
        <v>-0.48649766301887565</v>
      </c>
      <c r="K62">
        <f t="shared" si="5"/>
        <v>-0.59093515177521749</v>
      </c>
      <c r="L62">
        <v>1</v>
      </c>
      <c r="M62">
        <f t="shared" si="6"/>
        <v>0.3238827614568266</v>
      </c>
      <c r="N62">
        <f t="shared" si="7"/>
        <v>4.887467451E-2</v>
      </c>
      <c r="O62">
        <f t="shared" si="8"/>
        <v>8.9449875989999986E-3</v>
      </c>
      <c r="P62">
        <f t="shared" si="9"/>
        <v>0.2092327282093909</v>
      </c>
      <c r="V62">
        <v>-0.20000000000002</v>
      </c>
      <c r="W62">
        <f t="shared" si="12"/>
        <v>-0.45400999999999087</v>
      </c>
    </row>
    <row r="63" spans="1:23" x14ac:dyDescent="0.3">
      <c r="A63">
        <v>3.1288708000000001</v>
      </c>
      <c r="B63">
        <v>0.62860000000000005</v>
      </c>
      <c r="C63">
        <f t="shared" si="0"/>
        <v>1.9668081848800001</v>
      </c>
      <c r="D63">
        <v>1.5900000000000001E-2</v>
      </c>
      <c r="E63">
        <v>2.9099999999999998E-3</v>
      </c>
      <c r="F63">
        <f t="shared" si="1"/>
        <v>625.77416000000005</v>
      </c>
      <c r="G63">
        <f t="shared" si="2"/>
        <v>-0.62860000000000005</v>
      </c>
      <c r="H63">
        <f t="shared" si="3"/>
        <v>-393.361636976</v>
      </c>
      <c r="I63">
        <v>1</v>
      </c>
      <c r="J63">
        <f t="shared" si="4"/>
        <v>-0.46876573974718949</v>
      </c>
      <c r="K63">
        <f t="shared" si="5"/>
        <v>-0.59312515177521741</v>
      </c>
      <c r="L63">
        <v>1</v>
      </c>
      <c r="M63">
        <f t="shared" si="6"/>
        <v>0.33193660100682648</v>
      </c>
      <c r="N63">
        <f t="shared" si="7"/>
        <v>4.9749045720000003E-2</v>
      </c>
      <c r="O63">
        <f t="shared" si="8"/>
        <v>9.1050140279999997E-3</v>
      </c>
      <c r="P63">
        <f t="shared" si="9"/>
        <v>0.20233449102039092</v>
      </c>
      <c r="V63">
        <v>-0.10000000000002</v>
      </c>
      <c r="W63">
        <f t="shared" si="12"/>
        <v>-0.49942999999999088</v>
      </c>
    </row>
    <row r="64" spans="1:23" x14ac:dyDescent="0.3">
      <c r="A64">
        <v>3.1838628</v>
      </c>
      <c r="B64">
        <v>0.62607999999999997</v>
      </c>
      <c r="C64">
        <f t="shared" si="0"/>
        <v>1.993352821824</v>
      </c>
      <c r="D64">
        <v>1.5900000000000001E-2</v>
      </c>
      <c r="E64">
        <v>2.9099999999999998E-3</v>
      </c>
      <c r="F64">
        <f t="shared" si="1"/>
        <v>636.77256</v>
      </c>
      <c r="G64">
        <f t="shared" si="2"/>
        <v>-0.62607999999999997</v>
      </c>
      <c r="H64">
        <f t="shared" si="3"/>
        <v>-398.67056436479999</v>
      </c>
      <c r="I64">
        <v>1</v>
      </c>
      <c r="J64">
        <f t="shared" si="4"/>
        <v>-0.45134273583264523</v>
      </c>
      <c r="K64">
        <f t="shared" si="5"/>
        <v>-0.59564515177521749</v>
      </c>
      <c r="L64">
        <v>1</v>
      </c>
      <c r="M64">
        <f t="shared" si="6"/>
        <v>0.33985012938481252</v>
      </c>
      <c r="N64">
        <f t="shared" si="7"/>
        <v>5.0623418520000005E-2</v>
      </c>
      <c r="O64">
        <f t="shared" si="8"/>
        <v>9.2650407479999992E-3</v>
      </c>
      <c r="P64">
        <f t="shared" si="9"/>
        <v>0.19590656312240495</v>
      </c>
      <c r="V64">
        <v>-2.0428103653102899E-14</v>
      </c>
      <c r="W64">
        <f t="shared" si="12"/>
        <v>-0.54484999999999062</v>
      </c>
    </row>
    <row r="65" spans="1:23" x14ac:dyDescent="0.3">
      <c r="A65">
        <v>3.2357993</v>
      </c>
      <c r="B65">
        <v>0.62350000000000005</v>
      </c>
      <c r="C65">
        <f t="shared" si="0"/>
        <v>2.0175208635500002</v>
      </c>
      <c r="D65">
        <v>1.5900000000000001E-2</v>
      </c>
      <c r="E65">
        <v>2.9099999999999998E-3</v>
      </c>
      <c r="F65">
        <f t="shared" si="1"/>
        <v>647.15985999999998</v>
      </c>
      <c r="G65">
        <f t="shared" si="2"/>
        <v>-0.62350000000000005</v>
      </c>
      <c r="H65">
        <f t="shared" si="3"/>
        <v>-403.50417271000003</v>
      </c>
      <c r="I65">
        <v>1</v>
      </c>
      <c r="J65">
        <f t="shared" si="4"/>
        <v>-0.43516193617483467</v>
      </c>
      <c r="K65">
        <f t="shared" si="5"/>
        <v>-0.5982251517752174</v>
      </c>
      <c r="L65">
        <v>1</v>
      </c>
      <c r="M65">
        <f t="shared" si="6"/>
        <v>0.34719944858939</v>
      </c>
      <c r="N65">
        <f t="shared" si="7"/>
        <v>5.1449208870000006E-2</v>
      </c>
      <c r="O65">
        <f t="shared" si="8"/>
        <v>9.4161759629999998E-3</v>
      </c>
      <c r="P65">
        <f t="shared" si="9"/>
        <v>0.19016031835282737</v>
      </c>
      <c r="V65">
        <v>9.9999999999980105E-2</v>
      </c>
      <c r="W65">
        <f t="shared" si="12"/>
        <v>-0.59026999999999086</v>
      </c>
    </row>
    <row r="66" spans="1:23" x14ac:dyDescent="0.3">
      <c r="A66">
        <v>3.2867177999999999</v>
      </c>
      <c r="B66">
        <v>0.62139999999999995</v>
      </c>
      <c r="C66">
        <f t="shared" si="0"/>
        <v>2.04236644092</v>
      </c>
      <c r="D66">
        <v>1.5900000000000001E-2</v>
      </c>
      <c r="E66">
        <v>2.9099999999999998E-3</v>
      </c>
      <c r="F66">
        <f t="shared" si="1"/>
        <v>657.34356000000002</v>
      </c>
      <c r="G66">
        <f t="shared" si="2"/>
        <v>-0.62139999999999995</v>
      </c>
      <c r="H66">
        <f t="shared" si="3"/>
        <v>-408.47328818400001</v>
      </c>
      <c r="I66">
        <v>1</v>
      </c>
      <c r="J66">
        <f t="shared" si="4"/>
        <v>-0.41954847479935675</v>
      </c>
      <c r="K66">
        <f t="shared" si="5"/>
        <v>-0.6003251517752175</v>
      </c>
      <c r="L66">
        <v>1</v>
      </c>
      <c r="M66">
        <f t="shared" si="6"/>
        <v>0.35429108274613208</v>
      </c>
      <c r="N66">
        <f t="shared" si="7"/>
        <v>5.2258813020000003E-2</v>
      </c>
      <c r="O66">
        <f t="shared" si="8"/>
        <v>9.5643487979999997E-3</v>
      </c>
      <c r="P66">
        <f t="shared" si="9"/>
        <v>0.18421090721108541</v>
      </c>
      <c r="V66">
        <v>0.19999999999998</v>
      </c>
      <c r="W66">
        <f t="shared" si="12"/>
        <v>-0.63568999999999087</v>
      </c>
    </row>
    <row r="67" spans="1:23" x14ac:dyDescent="0.3">
      <c r="A67">
        <v>3.3386540999999998</v>
      </c>
      <c r="B67">
        <v>0.61890000000000001</v>
      </c>
      <c r="C67">
        <f t="shared" si="0"/>
        <v>2.06629302249</v>
      </c>
      <c r="D67">
        <v>1.5900000000000001E-2</v>
      </c>
      <c r="E67">
        <v>2.9099999999999998E-3</v>
      </c>
      <c r="F67">
        <f t="shared" si="1"/>
        <v>667.73081999999999</v>
      </c>
      <c r="G67">
        <f t="shared" si="2"/>
        <v>-0.61890000000000001</v>
      </c>
      <c r="H67">
        <f t="shared" si="3"/>
        <v>-413.25860449800001</v>
      </c>
      <c r="I67">
        <v>1</v>
      </c>
      <c r="J67">
        <f t="shared" si="4"/>
        <v>-0.40387015072918697</v>
      </c>
      <c r="K67">
        <f t="shared" si="5"/>
        <v>-0.60282515177521745</v>
      </c>
      <c r="L67">
        <v>1</v>
      </c>
      <c r="M67">
        <f t="shared" si="6"/>
        <v>0.36141217753880323</v>
      </c>
      <c r="N67">
        <f t="shared" si="7"/>
        <v>5.3084600189999998E-2</v>
      </c>
      <c r="O67">
        <f t="shared" si="8"/>
        <v>9.7154834309999983E-3</v>
      </c>
      <c r="P67">
        <f t="shared" si="9"/>
        <v>0.17861289061541422</v>
      </c>
      <c r="V67">
        <v>0.29999999999998</v>
      </c>
      <c r="W67">
        <f t="shared" si="12"/>
        <v>-0.68110999999999089</v>
      </c>
    </row>
    <row r="68" spans="1:23" x14ac:dyDescent="0.3">
      <c r="A68">
        <v>3.3895723000000002</v>
      </c>
      <c r="B68">
        <v>0.61687999999999998</v>
      </c>
      <c r="C68">
        <f t="shared" ref="C68:C131" si="13">A68*B68</f>
        <v>2.0909593604240002</v>
      </c>
      <c r="D68">
        <v>1.5900000000000001E-2</v>
      </c>
      <c r="E68">
        <v>2.9099999999999998E-3</v>
      </c>
      <c r="F68">
        <f t="shared" ref="F68:F131" si="14">A68*200</f>
        <v>677.91446000000008</v>
      </c>
      <c r="G68">
        <f t="shared" ref="G68:G131" si="15">-B68</f>
        <v>-0.61687999999999998</v>
      </c>
      <c r="H68">
        <f t="shared" ref="H68:H131" si="16">-C68*200</f>
        <v>-418.19187208480002</v>
      </c>
      <c r="I68">
        <v>1</v>
      </c>
      <c r="J68">
        <f t="shared" ref="J68:J131" si="17">LN(F68/1000)</f>
        <v>-0.38873416419297901</v>
      </c>
      <c r="K68">
        <f t="shared" ref="K68:K131" si="18">((-G68)-$N$2)</f>
        <v>-0.60484515177521747</v>
      </c>
      <c r="L68">
        <v>1</v>
      </c>
      <c r="M68">
        <f t="shared" ref="M68:M131" si="19">-1*($S$4+($S$5*J68))</f>
        <v>0.36828694262354889</v>
      </c>
      <c r="N68">
        <f t="shared" ref="N68:N131" si="20">D68*A68</f>
        <v>5.3894199570000009E-2</v>
      </c>
      <c r="O68">
        <f t="shared" ref="O68:O131" si="21">E68*A68</f>
        <v>9.8636553929999995E-3</v>
      </c>
      <c r="P68">
        <f t="shared" ref="P68:P131" si="22">-K68-M68-N68-O68</f>
        <v>0.17280035418866857</v>
      </c>
      <c r="V68">
        <v>0.39999999999997998</v>
      </c>
      <c r="W68">
        <f t="shared" ref="W68:W99" si="23">V68*$S$5+$S$4</f>
        <v>-0.72652999999999079</v>
      </c>
    </row>
    <row r="69" spans="1:23" x14ac:dyDescent="0.3">
      <c r="A69">
        <v>3.4445641999999999</v>
      </c>
      <c r="B69">
        <v>0.61463999999999996</v>
      </c>
      <c r="C69">
        <f t="shared" si="13"/>
        <v>2.117166939888</v>
      </c>
      <c r="D69">
        <v>1.5900000000000001E-2</v>
      </c>
      <c r="E69">
        <v>2.9099999999999998E-3</v>
      </c>
      <c r="F69">
        <f t="shared" si="14"/>
        <v>688.91283999999996</v>
      </c>
      <c r="G69">
        <f t="shared" si="15"/>
        <v>-0.61463999999999996</v>
      </c>
      <c r="H69">
        <f t="shared" si="16"/>
        <v>-423.43338797759998</v>
      </c>
      <c r="I69">
        <v>1</v>
      </c>
      <c r="J69">
        <f t="shared" si="17"/>
        <v>-0.372640518147622</v>
      </c>
      <c r="K69">
        <f t="shared" si="18"/>
        <v>-0.60708515177521749</v>
      </c>
      <c r="L69">
        <v>1</v>
      </c>
      <c r="M69">
        <f t="shared" si="19"/>
        <v>0.37559667665735003</v>
      </c>
      <c r="N69">
        <f t="shared" si="20"/>
        <v>5.4768570779999998E-2</v>
      </c>
      <c r="O69">
        <f t="shared" si="21"/>
        <v>1.0023681821999999E-2</v>
      </c>
      <c r="P69">
        <f t="shared" si="22"/>
        <v>0.16669622251586746</v>
      </c>
      <c r="V69">
        <v>0.49999999999998002</v>
      </c>
      <c r="W69">
        <f t="shared" si="23"/>
        <v>-0.77194999999999081</v>
      </c>
    </row>
    <row r="70" spans="1:23" x14ac:dyDescent="0.3">
      <c r="A70">
        <v>3.4949734000000001</v>
      </c>
      <c r="B70">
        <v>0.61216000000000004</v>
      </c>
      <c r="C70">
        <f t="shared" si="13"/>
        <v>2.1394829165440004</v>
      </c>
      <c r="D70">
        <v>1.5900000000000001E-2</v>
      </c>
      <c r="E70">
        <v>2.9099999999999998E-3</v>
      </c>
      <c r="F70">
        <f t="shared" si="14"/>
        <v>698.99468000000002</v>
      </c>
      <c r="G70">
        <f t="shared" si="15"/>
        <v>-0.61216000000000004</v>
      </c>
      <c r="H70">
        <f t="shared" si="16"/>
        <v>-427.89658330880007</v>
      </c>
      <c r="I70">
        <v>1</v>
      </c>
      <c r="J70">
        <f t="shared" si="17"/>
        <v>-0.35811214764996491</v>
      </c>
      <c r="K70">
        <f t="shared" si="18"/>
        <v>-0.60956515177521742</v>
      </c>
      <c r="L70">
        <v>1</v>
      </c>
      <c r="M70">
        <f t="shared" si="19"/>
        <v>0.3821954625373859</v>
      </c>
      <c r="N70">
        <f t="shared" si="20"/>
        <v>5.5570077060000007E-2</v>
      </c>
      <c r="O70">
        <f t="shared" si="21"/>
        <v>1.0170372593999999E-2</v>
      </c>
      <c r="P70">
        <f t="shared" si="22"/>
        <v>0.16162923958383152</v>
      </c>
      <c r="V70">
        <v>0.59999999999997999</v>
      </c>
      <c r="W70">
        <f t="shared" si="23"/>
        <v>-0.81736999999999083</v>
      </c>
    </row>
    <row r="71" spans="1:23" x14ac:dyDescent="0.3">
      <c r="A71">
        <v>3.5464011000000002</v>
      </c>
      <c r="B71">
        <v>0.60979000000000005</v>
      </c>
      <c r="C71">
        <f t="shared" si="13"/>
        <v>2.1625599267690001</v>
      </c>
      <c r="D71">
        <v>1.5900000000000001E-2</v>
      </c>
      <c r="E71">
        <v>2.9099999999999998E-3</v>
      </c>
      <c r="F71">
        <f t="shared" si="14"/>
        <v>709.28021999999999</v>
      </c>
      <c r="G71">
        <f t="shared" si="15"/>
        <v>-0.60979000000000005</v>
      </c>
      <c r="H71">
        <f t="shared" si="16"/>
        <v>-432.51198535380001</v>
      </c>
      <c r="I71">
        <v>1</v>
      </c>
      <c r="J71">
        <f t="shared" si="17"/>
        <v>-0.34350459781174447</v>
      </c>
      <c r="K71">
        <f t="shared" si="18"/>
        <v>-0.6119351517752174</v>
      </c>
      <c r="L71">
        <v>1</v>
      </c>
      <c r="M71">
        <f t="shared" si="19"/>
        <v>0.38883021167390563</v>
      </c>
      <c r="N71">
        <f t="shared" si="20"/>
        <v>5.6387777490000006E-2</v>
      </c>
      <c r="O71">
        <f t="shared" si="21"/>
        <v>1.0320027201E-2</v>
      </c>
      <c r="P71">
        <f t="shared" si="22"/>
        <v>0.15639713541031175</v>
      </c>
      <c r="V71">
        <v>0.69999999999997997</v>
      </c>
      <c r="W71">
        <f t="shared" si="23"/>
        <v>-0.86278999999999084</v>
      </c>
    </row>
    <row r="72" spans="1:23" x14ac:dyDescent="0.3">
      <c r="A72">
        <v>3.5973193000000001</v>
      </c>
      <c r="B72">
        <v>0.60777000000000003</v>
      </c>
      <c r="C72">
        <f t="shared" si="13"/>
        <v>2.1863427509610003</v>
      </c>
      <c r="D72">
        <v>1.5900000000000001E-2</v>
      </c>
      <c r="E72">
        <v>2.9099999999999998E-3</v>
      </c>
      <c r="F72">
        <f t="shared" si="14"/>
        <v>719.46386000000007</v>
      </c>
      <c r="G72">
        <f t="shared" si="15"/>
        <v>-0.60777000000000003</v>
      </c>
      <c r="H72">
        <f t="shared" si="16"/>
        <v>-437.26855019220005</v>
      </c>
      <c r="I72">
        <v>1</v>
      </c>
      <c r="J72">
        <f t="shared" si="17"/>
        <v>-0.32924898324217006</v>
      </c>
      <c r="K72">
        <f t="shared" si="18"/>
        <v>-0.61395515177521742</v>
      </c>
      <c r="L72">
        <v>1</v>
      </c>
      <c r="M72">
        <f t="shared" si="19"/>
        <v>0.39530511181140632</v>
      </c>
      <c r="N72">
        <f t="shared" si="20"/>
        <v>5.7197376870000004E-2</v>
      </c>
      <c r="O72">
        <f t="shared" si="21"/>
        <v>1.0468199163E-2</v>
      </c>
      <c r="P72">
        <f t="shared" si="22"/>
        <v>0.15098446393081111</v>
      </c>
      <c r="V72">
        <v>0.79999999999997995</v>
      </c>
      <c r="W72">
        <f t="shared" si="23"/>
        <v>-0.90820999999999086</v>
      </c>
    </row>
    <row r="73" spans="1:23" x14ac:dyDescent="0.3">
      <c r="A73">
        <v>3.6487468000000001</v>
      </c>
      <c r="B73">
        <v>0.60563</v>
      </c>
      <c r="C73">
        <f t="shared" si="13"/>
        <v>2.2097905244840002</v>
      </c>
      <c r="D73">
        <v>1.5900000000000001E-2</v>
      </c>
      <c r="E73">
        <v>2.9099999999999998E-3</v>
      </c>
      <c r="F73">
        <f t="shared" si="14"/>
        <v>729.74936000000002</v>
      </c>
      <c r="G73">
        <f t="shared" si="15"/>
        <v>-0.60563</v>
      </c>
      <c r="H73">
        <f t="shared" si="16"/>
        <v>-441.95810489680002</v>
      </c>
      <c r="I73">
        <v>1</v>
      </c>
      <c r="J73">
        <f t="shared" si="17"/>
        <v>-0.31505414626097306</v>
      </c>
      <c r="K73">
        <f t="shared" si="18"/>
        <v>-0.61609515177521745</v>
      </c>
      <c r="L73">
        <v>1</v>
      </c>
      <c r="M73">
        <f t="shared" si="19"/>
        <v>0.40175240676826596</v>
      </c>
      <c r="N73">
        <f t="shared" si="20"/>
        <v>5.8015074120000003E-2</v>
      </c>
      <c r="O73">
        <f t="shared" si="21"/>
        <v>1.0617853187999999E-2</v>
      </c>
      <c r="P73">
        <f t="shared" si="22"/>
        <v>0.1457098176989515</v>
      </c>
      <c r="V73">
        <v>0.89999999999998004</v>
      </c>
      <c r="W73">
        <f t="shared" si="23"/>
        <v>-0.95362999999999087</v>
      </c>
    </row>
    <row r="74" spans="1:23" x14ac:dyDescent="0.3">
      <c r="A74">
        <v>3.6996652999999999</v>
      </c>
      <c r="B74">
        <v>0.60350999999999999</v>
      </c>
      <c r="C74">
        <f t="shared" si="13"/>
        <v>2.2327850052030001</v>
      </c>
      <c r="D74">
        <v>1.5900000000000001E-2</v>
      </c>
      <c r="E74">
        <v>2.9099999999999998E-3</v>
      </c>
      <c r="F74">
        <f t="shared" si="14"/>
        <v>739.93305999999995</v>
      </c>
      <c r="G74">
        <f t="shared" si="15"/>
        <v>-0.60350999999999999</v>
      </c>
      <c r="H74">
        <f t="shared" si="16"/>
        <v>-446.55700104060003</v>
      </c>
      <c r="I74">
        <v>1</v>
      </c>
      <c r="J74">
        <f t="shared" si="17"/>
        <v>-0.30119555633508482</v>
      </c>
      <c r="K74">
        <f t="shared" si="18"/>
        <v>-0.61821515177521746</v>
      </c>
      <c r="L74">
        <v>1</v>
      </c>
      <c r="M74">
        <f t="shared" si="19"/>
        <v>0.40804697831260439</v>
      </c>
      <c r="N74">
        <f t="shared" si="20"/>
        <v>5.882467827E-2</v>
      </c>
      <c r="O74">
        <f t="shared" si="21"/>
        <v>1.0766026022999999E-2</v>
      </c>
      <c r="P74">
        <f t="shared" si="22"/>
        <v>0.14057746916961308</v>
      </c>
      <c r="V74">
        <v>0.99999999999998002</v>
      </c>
      <c r="W74">
        <f t="shared" si="23"/>
        <v>-0.99904999999999089</v>
      </c>
    </row>
    <row r="75" spans="1:23" x14ac:dyDescent="0.3">
      <c r="A75">
        <v>3.7505837</v>
      </c>
      <c r="B75">
        <v>0.60102999999999995</v>
      </c>
      <c r="C75">
        <f t="shared" si="13"/>
        <v>2.2542133212109996</v>
      </c>
      <c r="D75">
        <v>1.5900000000000001E-2</v>
      </c>
      <c r="E75">
        <v>2.9099999999999998E-3</v>
      </c>
      <c r="F75">
        <f t="shared" si="14"/>
        <v>750.11673999999994</v>
      </c>
      <c r="G75">
        <f t="shared" si="15"/>
        <v>-0.60102999999999995</v>
      </c>
      <c r="H75">
        <f t="shared" si="16"/>
        <v>-450.84266424219993</v>
      </c>
      <c r="I75">
        <v>1</v>
      </c>
      <c r="J75">
        <f t="shared" si="17"/>
        <v>-0.28752643123117083</v>
      </c>
      <c r="K75">
        <f t="shared" si="18"/>
        <v>-0.6206951517752175</v>
      </c>
      <c r="L75">
        <v>1</v>
      </c>
      <c r="M75">
        <f t="shared" si="19"/>
        <v>0.41425549493480218</v>
      </c>
      <c r="N75">
        <f t="shared" si="20"/>
        <v>5.9634280830000004E-2</v>
      </c>
      <c r="O75">
        <f t="shared" si="21"/>
        <v>1.0914198566999999E-2</v>
      </c>
      <c r="P75">
        <f t="shared" si="22"/>
        <v>0.13589117744341533</v>
      </c>
      <c r="V75">
        <v>1.0999999999999699</v>
      </c>
      <c r="W75">
        <f t="shared" si="23"/>
        <v>-1.0444699999999862</v>
      </c>
    </row>
    <row r="76" spans="1:23" x14ac:dyDescent="0.3">
      <c r="A76">
        <v>3.8009927000000001</v>
      </c>
      <c r="B76">
        <v>0.59907999999999995</v>
      </c>
      <c r="C76">
        <f t="shared" si="13"/>
        <v>2.277098706716</v>
      </c>
      <c r="D76">
        <v>1.5900000000000001E-2</v>
      </c>
      <c r="E76">
        <v>2.9099999999999998E-3</v>
      </c>
      <c r="F76">
        <f t="shared" si="14"/>
        <v>760.19853999999998</v>
      </c>
      <c r="G76">
        <f t="shared" si="15"/>
        <v>-0.59907999999999995</v>
      </c>
      <c r="H76">
        <f t="shared" si="16"/>
        <v>-455.41974134320003</v>
      </c>
      <c r="I76">
        <v>1</v>
      </c>
      <c r="J76">
        <f t="shared" si="17"/>
        <v>-0.2741756429760574</v>
      </c>
      <c r="K76">
        <f t="shared" si="18"/>
        <v>-0.62264515177521751</v>
      </c>
      <c r="L76">
        <v>1</v>
      </c>
      <c r="M76">
        <f t="shared" si="19"/>
        <v>0.42031942296027469</v>
      </c>
      <c r="N76">
        <f t="shared" si="20"/>
        <v>6.0435783930000007E-2</v>
      </c>
      <c r="O76">
        <f t="shared" si="21"/>
        <v>1.1060888757000001E-2</v>
      </c>
      <c r="P76">
        <f t="shared" si="22"/>
        <v>0.13082905612794279</v>
      </c>
      <c r="V76">
        <v>1.19999999999997</v>
      </c>
      <c r="W76">
        <f t="shared" si="23"/>
        <v>-1.0898899999999863</v>
      </c>
    </row>
    <row r="77" spans="1:23" x14ac:dyDescent="0.3">
      <c r="A77">
        <v>3.8529296999999998</v>
      </c>
      <c r="B77">
        <v>0.59679000000000004</v>
      </c>
      <c r="C77">
        <f t="shared" si="13"/>
        <v>2.2993899156630002</v>
      </c>
      <c r="D77">
        <v>1.5900000000000001E-2</v>
      </c>
      <c r="E77">
        <v>2.9099999999999998E-3</v>
      </c>
      <c r="F77">
        <f t="shared" si="14"/>
        <v>770.58593999999994</v>
      </c>
      <c r="G77">
        <f t="shared" si="15"/>
        <v>-0.59679000000000004</v>
      </c>
      <c r="H77">
        <f t="shared" si="16"/>
        <v>-459.87798313260004</v>
      </c>
      <c r="I77">
        <v>1</v>
      </c>
      <c r="J77">
        <f t="shared" si="17"/>
        <v>-0.26060409247950067</v>
      </c>
      <c r="K77">
        <f t="shared" si="18"/>
        <v>-0.62493515177521741</v>
      </c>
      <c r="L77">
        <v>1</v>
      </c>
      <c r="M77">
        <f t="shared" si="19"/>
        <v>0.42648362119581074</v>
      </c>
      <c r="N77">
        <f t="shared" si="20"/>
        <v>6.126158223E-2</v>
      </c>
      <c r="O77">
        <f t="shared" si="21"/>
        <v>1.1212025426999998E-2</v>
      </c>
      <c r="P77">
        <f t="shared" si="22"/>
        <v>0.12597792292240667</v>
      </c>
      <c r="V77">
        <v>1.2999999999999701</v>
      </c>
      <c r="W77">
        <f t="shared" si="23"/>
        <v>-1.1353099999999863</v>
      </c>
    </row>
    <row r="78" spans="1:23" x14ac:dyDescent="0.3">
      <c r="A78">
        <v>3.9033386000000001</v>
      </c>
      <c r="B78">
        <v>0.59465000000000001</v>
      </c>
      <c r="C78">
        <f t="shared" si="13"/>
        <v>2.3211202984899999</v>
      </c>
      <c r="D78">
        <v>1.5900000000000001E-2</v>
      </c>
      <c r="E78">
        <v>2.9099999999999998E-3</v>
      </c>
      <c r="F78">
        <f t="shared" si="14"/>
        <v>780.66772000000003</v>
      </c>
      <c r="G78">
        <f t="shared" si="15"/>
        <v>-0.59465000000000001</v>
      </c>
      <c r="H78">
        <f t="shared" si="16"/>
        <v>-464.22405969799996</v>
      </c>
      <c r="I78">
        <v>1</v>
      </c>
      <c r="J78">
        <f t="shared" si="17"/>
        <v>-0.2476056742193696</v>
      </c>
      <c r="K78">
        <f t="shared" si="18"/>
        <v>-0.62707515177521744</v>
      </c>
      <c r="L78">
        <v>1</v>
      </c>
      <c r="M78">
        <f t="shared" si="19"/>
        <v>0.43238750276956228</v>
      </c>
      <c r="N78">
        <f t="shared" si="20"/>
        <v>6.2063083740000004E-2</v>
      </c>
      <c r="O78">
        <f t="shared" si="21"/>
        <v>1.1358715326E-2</v>
      </c>
      <c r="P78">
        <f t="shared" si="22"/>
        <v>0.12126584993965517</v>
      </c>
      <c r="V78">
        <v>1.3999999999999699</v>
      </c>
      <c r="W78">
        <f t="shared" si="23"/>
        <v>-1.1807299999999863</v>
      </c>
    </row>
    <row r="79" spans="1:23" x14ac:dyDescent="0.3">
      <c r="A79">
        <v>3.9557842000000001</v>
      </c>
      <c r="B79">
        <v>0.59230000000000005</v>
      </c>
      <c r="C79">
        <f t="shared" si="13"/>
        <v>2.3430109816600004</v>
      </c>
      <c r="D79">
        <v>1.5900000000000001E-2</v>
      </c>
      <c r="E79">
        <v>2.9099999999999998E-3</v>
      </c>
      <c r="F79">
        <f t="shared" si="14"/>
        <v>791.15683999999999</v>
      </c>
      <c r="G79">
        <f t="shared" si="15"/>
        <v>-0.59230000000000005</v>
      </c>
      <c r="H79">
        <f t="shared" si="16"/>
        <v>-468.60219633200006</v>
      </c>
      <c r="I79">
        <v>1</v>
      </c>
      <c r="J79">
        <f t="shared" si="17"/>
        <v>-0.23425905021209897</v>
      </c>
      <c r="K79">
        <f t="shared" si="18"/>
        <v>-0.62942515177521741</v>
      </c>
      <c r="L79">
        <v>1</v>
      </c>
      <c r="M79">
        <f t="shared" si="19"/>
        <v>0.4384495393936646</v>
      </c>
      <c r="N79">
        <f t="shared" si="20"/>
        <v>6.2896968780000007E-2</v>
      </c>
      <c r="O79">
        <f t="shared" si="21"/>
        <v>1.1511332022E-2</v>
      </c>
      <c r="P79">
        <f t="shared" si="22"/>
        <v>0.1165673115795528</v>
      </c>
      <c r="V79">
        <v>1.49999999999997</v>
      </c>
      <c r="W79">
        <f t="shared" si="23"/>
        <v>-1.2261499999999863</v>
      </c>
    </row>
    <row r="80" spans="1:23" x14ac:dyDescent="0.3">
      <c r="A80">
        <v>4.0067025999999997</v>
      </c>
      <c r="B80">
        <v>0.59030000000000005</v>
      </c>
      <c r="C80">
        <f t="shared" si="13"/>
        <v>2.36515654478</v>
      </c>
      <c r="D80">
        <v>1.5900000000000001E-2</v>
      </c>
      <c r="E80">
        <v>2.9099999999999998E-3</v>
      </c>
      <c r="F80">
        <f t="shared" si="14"/>
        <v>801.34051999999997</v>
      </c>
      <c r="G80">
        <f t="shared" si="15"/>
        <v>-0.59030000000000005</v>
      </c>
      <c r="H80">
        <f t="shared" si="16"/>
        <v>-473.03130895600003</v>
      </c>
      <c r="I80">
        <v>1</v>
      </c>
      <c r="J80">
        <f t="shared" si="17"/>
        <v>-0.22146930364934098</v>
      </c>
      <c r="K80">
        <f t="shared" si="18"/>
        <v>-0.63142515177521741</v>
      </c>
      <c r="L80">
        <v>1</v>
      </c>
      <c r="M80">
        <f t="shared" si="19"/>
        <v>0.44425864228246925</v>
      </c>
      <c r="N80">
        <f t="shared" si="20"/>
        <v>6.3706571340000004E-2</v>
      </c>
      <c r="O80">
        <f t="shared" si="21"/>
        <v>1.1659504565999998E-2</v>
      </c>
      <c r="P80">
        <f t="shared" si="22"/>
        <v>0.11180043358674815</v>
      </c>
      <c r="V80">
        <v>1.5999999999999699</v>
      </c>
      <c r="W80">
        <f t="shared" si="23"/>
        <v>-1.2715699999999863</v>
      </c>
    </row>
    <row r="81" spans="1:23" x14ac:dyDescent="0.3">
      <c r="A81">
        <v>4.0576211000000004</v>
      </c>
      <c r="B81">
        <v>0.58801000000000003</v>
      </c>
      <c r="C81">
        <f t="shared" si="13"/>
        <v>2.3859217830110002</v>
      </c>
      <c r="D81">
        <v>1.5900000000000001E-2</v>
      </c>
      <c r="E81">
        <v>2.9099999999999998E-3</v>
      </c>
      <c r="F81">
        <f t="shared" si="14"/>
        <v>811.52422000000013</v>
      </c>
      <c r="G81">
        <f t="shared" si="15"/>
        <v>-0.58801000000000003</v>
      </c>
      <c r="H81">
        <f t="shared" si="16"/>
        <v>-477.18435660220007</v>
      </c>
      <c r="I81">
        <v>1</v>
      </c>
      <c r="J81">
        <f t="shared" si="17"/>
        <v>-0.20884104650860921</v>
      </c>
      <c r="K81">
        <f t="shared" si="18"/>
        <v>-0.63371515177521742</v>
      </c>
      <c r="L81">
        <v>1</v>
      </c>
      <c r="M81">
        <f t="shared" si="19"/>
        <v>0.44999439667578967</v>
      </c>
      <c r="N81">
        <f t="shared" si="20"/>
        <v>6.4516175490000008E-2</v>
      </c>
      <c r="O81">
        <f t="shared" si="21"/>
        <v>1.1807677401000001E-2</v>
      </c>
      <c r="P81">
        <f t="shared" si="22"/>
        <v>0.10739690220842775</v>
      </c>
      <c r="V81">
        <v>1.69999999999997</v>
      </c>
      <c r="W81">
        <f t="shared" si="23"/>
        <v>-1.3169899999999863</v>
      </c>
    </row>
    <row r="82" spans="1:23" x14ac:dyDescent="0.3">
      <c r="A82">
        <v>4.1085395999999994</v>
      </c>
      <c r="B82">
        <v>0.58594000000000002</v>
      </c>
      <c r="C82">
        <f t="shared" si="13"/>
        <v>2.4073576932239997</v>
      </c>
      <c r="D82">
        <v>1.5900000000000001E-2</v>
      </c>
      <c r="E82">
        <v>2.9099999999999998E-3</v>
      </c>
      <c r="F82">
        <f t="shared" si="14"/>
        <v>821.70791999999983</v>
      </c>
      <c r="G82">
        <f t="shared" si="15"/>
        <v>-0.58594000000000002</v>
      </c>
      <c r="H82">
        <f t="shared" si="16"/>
        <v>-481.47153864479992</v>
      </c>
      <c r="I82">
        <v>1</v>
      </c>
      <c r="J82">
        <f t="shared" si="17"/>
        <v>-0.1963702755372288</v>
      </c>
      <c r="K82">
        <f t="shared" si="18"/>
        <v>-0.63578515177521744</v>
      </c>
      <c r="L82">
        <v>1</v>
      </c>
      <c r="M82">
        <f t="shared" si="19"/>
        <v>0.45565862085099063</v>
      </c>
      <c r="N82">
        <f t="shared" si="20"/>
        <v>6.5325779639999998E-2</v>
      </c>
      <c r="O82">
        <f t="shared" si="21"/>
        <v>1.1955850235999998E-2</v>
      </c>
      <c r="P82">
        <f t="shared" si="22"/>
        <v>0.10284490104822681</v>
      </c>
      <c r="V82">
        <v>1.7999999999999701</v>
      </c>
      <c r="W82">
        <f t="shared" si="23"/>
        <v>-1.3624099999999864</v>
      </c>
    </row>
    <row r="83" spans="1:23" x14ac:dyDescent="0.3">
      <c r="A83">
        <v>4.1614946000000002</v>
      </c>
      <c r="B83">
        <v>0.58372999999999997</v>
      </c>
      <c r="C83">
        <f t="shared" si="13"/>
        <v>2.429189242858</v>
      </c>
      <c r="D83">
        <v>1.5900000000000001E-2</v>
      </c>
      <c r="E83">
        <v>2.9099999999999998E-3</v>
      </c>
      <c r="F83">
        <f t="shared" si="14"/>
        <v>832.29892000000007</v>
      </c>
      <c r="G83">
        <f t="shared" si="15"/>
        <v>-0.58372999999999997</v>
      </c>
      <c r="H83">
        <f t="shared" si="16"/>
        <v>-485.83784857159998</v>
      </c>
      <c r="I83">
        <v>1</v>
      </c>
      <c r="J83">
        <f t="shared" si="17"/>
        <v>-0.18356362383996463</v>
      </c>
      <c r="K83">
        <f t="shared" si="18"/>
        <v>-0.63799515177521748</v>
      </c>
      <c r="L83">
        <v>1</v>
      </c>
      <c r="M83">
        <f t="shared" si="19"/>
        <v>0.46147540205188803</v>
      </c>
      <c r="N83">
        <f t="shared" si="20"/>
        <v>6.6167764140000002E-2</v>
      </c>
      <c r="O83">
        <f t="shared" si="21"/>
        <v>1.2109949286E-2</v>
      </c>
      <c r="P83">
        <f t="shared" si="22"/>
        <v>9.8242036297329458E-2</v>
      </c>
      <c r="V83">
        <v>1.8999999999999699</v>
      </c>
      <c r="W83">
        <f t="shared" si="23"/>
        <v>-1.4078299999999864</v>
      </c>
    </row>
    <row r="84" spans="1:23" x14ac:dyDescent="0.3">
      <c r="A84">
        <v>4.2119038</v>
      </c>
      <c r="B84">
        <v>0.58157000000000003</v>
      </c>
      <c r="C84">
        <f t="shared" si="13"/>
        <v>2.4495168929660003</v>
      </c>
      <c r="D84">
        <v>1.5900000000000001E-2</v>
      </c>
      <c r="E84">
        <v>2.9099999999999998E-3</v>
      </c>
      <c r="F84">
        <f t="shared" si="14"/>
        <v>842.38076000000001</v>
      </c>
      <c r="G84">
        <f t="shared" si="15"/>
        <v>-0.58157000000000003</v>
      </c>
      <c r="H84">
        <f t="shared" si="16"/>
        <v>-489.90337859320005</v>
      </c>
      <c r="I84">
        <v>1</v>
      </c>
      <c r="J84">
        <f t="shared" si="17"/>
        <v>-0.17152315792936956</v>
      </c>
      <c r="K84">
        <f t="shared" si="18"/>
        <v>-0.64015515177521742</v>
      </c>
      <c r="L84">
        <v>1</v>
      </c>
      <c r="M84">
        <f t="shared" si="19"/>
        <v>0.46694418166848028</v>
      </c>
      <c r="N84">
        <f t="shared" si="20"/>
        <v>6.6969270420000004E-2</v>
      </c>
      <c r="O84">
        <f t="shared" si="21"/>
        <v>1.2256640058E-2</v>
      </c>
      <c r="P84">
        <f t="shared" si="22"/>
        <v>9.3985059628737128E-2</v>
      </c>
      <c r="V84">
        <v>1.99999999999997</v>
      </c>
      <c r="W84">
        <f t="shared" si="23"/>
        <v>-1.4532499999999864</v>
      </c>
    </row>
    <row r="85" spans="1:23" x14ac:dyDescent="0.3">
      <c r="A85">
        <v>4.2628218000000002</v>
      </c>
      <c r="B85">
        <v>0.57948999999999995</v>
      </c>
      <c r="C85">
        <f t="shared" si="13"/>
        <v>2.470262604882</v>
      </c>
      <c r="D85">
        <v>1.5900000000000001E-2</v>
      </c>
      <c r="E85">
        <v>2.9099999999999998E-3</v>
      </c>
      <c r="F85">
        <f t="shared" si="14"/>
        <v>852.56436000000008</v>
      </c>
      <c r="G85">
        <f t="shared" si="15"/>
        <v>-0.57948999999999995</v>
      </c>
      <c r="H85">
        <f t="shared" si="16"/>
        <v>-494.05252097639999</v>
      </c>
      <c r="I85">
        <v>1</v>
      </c>
      <c r="J85">
        <f t="shared" si="17"/>
        <v>-0.1595065770729415</v>
      </c>
      <c r="K85">
        <f t="shared" si="18"/>
        <v>-0.64223515177521751</v>
      </c>
      <c r="L85">
        <v>1</v>
      </c>
      <c r="M85">
        <f t="shared" si="19"/>
        <v>0.47240211269346993</v>
      </c>
      <c r="N85">
        <f t="shared" si="20"/>
        <v>6.7778866620000003E-2</v>
      </c>
      <c r="O85">
        <f t="shared" si="21"/>
        <v>1.2404811437999999E-2</v>
      </c>
      <c r="P85">
        <f t="shared" si="22"/>
        <v>8.964936102374757E-2</v>
      </c>
      <c r="V85">
        <v>2.0999999999999699</v>
      </c>
      <c r="W85">
        <f t="shared" si="23"/>
        <v>-1.4986699999999864</v>
      </c>
    </row>
    <row r="86" spans="1:23" x14ac:dyDescent="0.3">
      <c r="A86">
        <v>4.3162866000000006</v>
      </c>
      <c r="B86">
        <v>0.57713999999999999</v>
      </c>
      <c r="C86">
        <f t="shared" si="13"/>
        <v>2.4911016483240003</v>
      </c>
      <c r="D86">
        <v>1.5900000000000001E-2</v>
      </c>
      <c r="E86">
        <v>2.9099999999999998E-3</v>
      </c>
      <c r="F86">
        <f t="shared" si="14"/>
        <v>863.25732000000016</v>
      </c>
      <c r="G86">
        <f t="shared" si="15"/>
        <v>-0.57713999999999999</v>
      </c>
      <c r="H86">
        <f t="shared" si="16"/>
        <v>-498.22032966480003</v>
      </c>
      <c r="I86">
        <v>1</v>
      </c>
      <c r="J86">
        <f t="shared" si="17"/>
        <v>-0.14704246316501521</v>
      </c>
      <c r="K86">
        <f t="shared" si="18"/>
        <v>-0.64458515177521747</v>
      </c>
      <c r="L86">
        <v>1</v>
      </c>
      <c r="M86">
        <f t="shared" si="19"/>
        <v>0.47806331323045004</v>
      </c>
      <c r="N86">
        <f t="shared" si="20"/>
        <v>6.8628956940000013E-2</v>
      </c>
      <c r="O86">
        <f t="shared" si="21"/>
        <v>1.2560394006000002E-2</v>
      </c>
      <c r="P86">
        <f t="shared" si="22"/>
        <v>8.5332487598767409E-2</v>
      </c>
      <c r="V86">
        <v>2.19999999999997</v>
      </c>
      <c r="W86">
        <f t="shared" si="23"/>
        <v>-1.5440899999999864</v>
      </c>
    </row>
    <row r="87" spans="1:23" x14ac:dyDescent="0.3">
      <c r="A87">
        <v>4.3672050999999996</v>
      </c>
      <c r="B87">
        <v>0.57509999999999994</v>
      </c>
      <c r="C87">
        <f t="shared" si="13"/>
        <v>2.5115796530099996</v>
      </c>
      <c r="D87">
        <v>1.5900000000000001E-2</v>
      </c>
      <c r="E87">
        <v>2.9099999999999998E-3</v>
      </c>
      <c r="F87">
        <f t="shared" si="14"/>
        <v>873.44101999999998</v>
      </c>
      <c r="G87">
        <f t="shared" si="15"/>
        <v>-0.57509999999999994</v>
      </c>
      <c r="H87">
        <f t="shared" si="16"/>
        <v>-502.31593060199992</v>
      </c>
      <c r="I87">
        <v>1</v>
      </c>
      <c r="J87">
        <f t="shared" si="17"/>
        <v>-0.13531467315307175</v>
      </c>
      <c r="K87">
        <f t="shared" si="18"/>
        <v>-0.64662515177521751</v>
      </c>
      <c r="L87">
        <v>1</v>
      </c>
      <c r="M87">
        <f t="shared" si="19"/>
        <v>0.48339007545387475</v>
      </c>
      <c r="N87">
        <f t="shared" si="20"/>
        <v>6.9438561090000003E-2</v>
      </c>
      <c r="O87">
        <f t="shared" si="21"/>
        <v>1.2708566840999998E-2</v>
      </c>
      <c r="P87">
        <f t="shared" si="22"/>
        <v>8.1087948390342765E-2</v>
      </c>
      <c r="V87">
        <v>2.2999999999999701</v>
      </c>
      <c r="W87">
        <f t="shared" si="23"/>
        <v>-1.5895099999999864</v>
      </c>
    </row>
    <row r="88" spans="1:23" x14ac:dyDescent="0.3">
      <c r="A88">
        <v>4.4191415999999997</v>
      </c>
      <c r="B88">
        <v>0.57298000000000004</v>
      </c>
      <c r="C88">
        <f t="shared" si="13"/>
        <v>2.532079753968</v>
      </c>
      <c r="D88">
        <v>1.5900000000000001E-2</v>
      </c>
      <c r="E88">
        <v>2.9099999999999998E-3</v>
      </c>
      <c r="F88">
        <f t="shared" si="14"/>
        <v>883.82831999999996</v>
      </c>
      <c r="G88">
        <f t="shared" si="15"/>
        <v>-0.57298000000000004</v>
      </c>
      <c r="H88">
        <f t="shared" si="16"/>
        <v>-506.41595079360002</v>
      </c>
      <c r="I88">
        <v>1</v>
      </c>
      <c r="J88">
        <f t="shared" si="17"/>
        <v>-0.12349244335013373</v>
      </c>
      <c r="K88">
        <f t="shared" si="18"/>
        <v>-0.64874515177521741</v>
      </c>
      <c r="L88">
        <v>1</v>
      </c>
      <c r="M88">
        <f t="shared" si="19"/>
        <v>0.48875973223036923</v>
      </c>
      <c r="N88">
        <f t="shared" si="20"/>
        <v>7.0264351439999997E-2</v>
      </c>
      <c r="O88">
        <f t="shared" si="21"/>
        <v>1.2859702055999999E-2</v>
      </c>
      <c r="P88">
        <f t="shared" si="22"/>
        <v>7.686136604884819E-2</v>
      </c>
      <c r="V88">
        <v>2.3999999999999702</v>
      </c>
      <c r="W88">
        <f t="shared" si="23"/>
        <v>-1.6349299999999864</v>
      </c>
    </row>
    <row r="89" spans="1:23" x14ac:dyDescent="0.3">
      <c r="A89">
        <v>4.473624</v>
      </c>
      <c r="B89">
        <v>0.57062999999999997</v>
      </c>
      <c r="C89">
        <f t="shared" si="13"/>
        <v>2.5527840631199998</v>
      </c>
      <c r="D89">
        <v>1.5900000000000001E-2</v>
      </c>
      <c r="E89">
        <v>2.9099999999999998E-3</v>
      </c>
      <c r="F89">
        <f t="shared" si="14"/>
        <v>894.72479999999996</v>
      </c>
      <c r="G89">
        <f t="shared" si="15"/>
        <v>-0.57062999999999997</v>
      </c>
      <c r="H89">
        <f t="shared" si="16"/>
        <v>-510.55681262399997</v>
      </c>
      <c r="I89">
        <v>1</v>
      </c>
      <c r="J89">
        <f t="shared" si="17"/>
        <v>-0.11123909402432458</v>
      </c>
      <c r="K89">
        <f t="shared" si="18"/>
        <v>-0.65109515177521748</v>
      </c>
      <c r="L89">
        <v>1</v>
      </c>
      <c r="M89">
        <f t="shared" si="19"/>
        <v>0.49432520349415171</v>
      </c>
      <c r="N89">
        <f t="shared" si="20"/>
        <v>7.1130621599999999E-2</v>
      </c>
      <c r="O89">
        <f t="shared" si="21"/>
        <v>1.301824584E-2</v>
      </c>
      <c r="P89">
        <f t="shared" si="22"/>
        <v>7.2621080841065777E-2</v>
      </c>
      <c r="V89">
        <v>2.4999999999999698</v>
      </c>
      <c r="W89">
        <f t="shared" si="23"/>
        <v>-1.680349999999986</v>
      </c>
    </row>
    <row r="90" spans="1:23" x14ac:dyDescent="0.3">
      <c r="A90">
        <v>4.5240331999999999</v>
      </c>
      <c r="B90">
        <v>0.56864999999999999</v>
      </c>
      <c r="C90">
        <f t="shared" si="13"/>
        <v>2.5725914791799998</v>
      </c>
      <c r="D90">
        <v>1.5900000000000001E-2</v>
      </c>
      <c r="E90">
        <v>2.9099999999999998E-3</v>
      </c>
      <c r="F90">
        <f t="shared" si="14"/>
        <v>904.80664000000002</v>
      </c>
      <c r="G90">
        <f t="shared" si="15"/>
        <v>-0.56864999999999999</v>
      </c>
      <c r="H90">
        <f t="shared" si="16"/>
        <v>-514.51829583599999</v>
      </c>
      <c r="I90">
        <v>1</v>
      </c>
      <c r="J90">
        <f t="shared" si="17"/>
        <v>-0.10003401556878092</v>
      </c>
      <c r="K90">
        <f t="shared" si="18"/>
        <v>-0.65307515177521747</v>
      </c>
      <c r="L90">
        <v>1</v>
      </c>
      <c r="M90">
        <f t="shared" si="19"/>
        <v>0.49941455012865965</v>
      </c>
      <c r="N90">
        <f t="shared" si="20"/>
        <v>7.1932127880000002E-2</v>
      </c>
      <c r="O90">
        <f t="shared" si="21"/>
        <v>1.3164936612E-2</v>
      </c>
      <c r="P90">
        <f t="shared" si="22"/>
        <v>6.8563537154557819E-2</v>
      </c>
      <c r="V90">
        <v>2.5999999999999699</v>
      </c>
      <c r="W90">
        <f t="shared" si="23"/>
        <v>-1.725769999999986</v>
      </c>
    </row>
    <row r="91" spans="1:23" x14ac:dyDescent="0.3">
      <c r="A91">
        <v>4.5744423999999997</v>
      </c>
      <c r="B91">
        <v>0.56635999999999997</v>
      </c>
      <c r="C91">
        <f t="shared" si="13"/>
        <v>2.5907811976639996</v>
      </c>
      <c r="D91">
        <v>1.5900000000000001E-2</v>
      </c>
      <c r="E91">
        <v>2.9099999999999998E-3</v>
      </c>
      <c r="F91">
        <f t="shared" si="14"/>
        <v>914.88847999999996</v>
      </c>
      <c r="G91">
        <f t="shared" si="15"/>
        <v>-0.56635999999999997</v>
      </c>
      <c r="H91">
        <f t="shared" si="16"/>
        <v>-518.15623953279987</v>
      </c>
      <c r="I91">
        <v>1</v>
      </c>
      <c r="J91">
        <f t="shared" si="17"/>
        <v>-8.8953100915980604E-2</v>
      </c>
      <c r="K91">
        <f t="shared" si="18"/>
        <v>-0.65536515177521748</v>
      </c>
      <c r="L91">
        <v>1</v>
      </c>
      <c r="M91">
        <f t="shared" si="19"/>
        <v>0.50444750156396156</v>
      </c>
      <c r="N91">
        <f t="shared" si="20"/>
        <v>7.2733634160000005E-2</v>
      </c>
      <c r="O91">
        <f t="shared" si="21"/>
        <v>1.3311627383999998E-2</v>
      </c>
      <c r="P91">
        <f t="shared" si="22"/>
        <v>6.487238866725592E-2</v>
      </c>
      <c r="V91">
        <v>2.69999999999997</v>
      </c>
      <c r="W91">
        <f t="shared" si="23"/>
        <v>-1.7711899999999865</v>
      </c>
    </row>
    <row r="92" spans="1:23" x14ac:dyDescent="0.3">
      <c r="A92">
        <v>4.6279063000000003</v>
      </c>
      <c r="B92">
        <v>0.56423999999999996</v>
      </c>
      <c r="C92">
        <f t="shared" si="13"/>
        <v>2.6112498507119999</v>
      </c>
      <c r="D92">
        <v>1.5900000000000001E-2</v>
      </c>
      <c r="E92">
        <v>2.9099999999999998E-3</v>
      </c>
      <c r="F92">
        <f t="shared" si="14"/>
        <v>925.58126000000004</v>
      </c>
      <c r="G92">
        <f t="shared" si="15"/>
        <v>-0.56423999999999996</v>
      </c>
      <c r="H92">
        <f t="shared" si="16"/>
        <v>-522.2499701424</v>
      </c>
      <c r="I92">
        <v>1</v>
      </c>
      <c r="J92">
        <f t="shared" si="17"/>
        <v>-7.7333349634336801E-2</v>
      </c>
      <c r="K92">
        <f t="shared" si="18"/>
        <v>-0.65748515177521749</v>
      </c>
      <c r="L92">
        <v>1</v>
      </c>
      <c r="M92">
        <f t="shared" si="19"/>
        <v>0.50972519259608418</v>
      </c>
      <c r="N92">
        <f t="shared" si="20"/>
        <v>7.3583710170000011E-2</v>
      </c>
      <c r="O92">
        <f t="shared" si="21"/>
        <v>1.3467207332999999E-2</v>
      </c>
      <c r="P92">
        <f t="shared" si="22"/>
        <v>6.0709041676133307E-2</v>
      </c>
      <c r="V92">
        <v>2.7999999999999701</v>
      </c>
      <c r="W92">
        <f t="shared" si="23"/>
        <v>-1.8166099999999865</v>
      </c>
    </row>
    <row r="93" spans="1:23" x14ac:dyDescent="0.3">
      <c r="A93">
        <v>4.6783153999999998</v>
      </c>
      <c r="B93">
        <v>0.56223000000000001</v>
      </c>
      <c r="C93">
        <f t="shared" si="13"/>
        <v>2.630289267342</v>
      </c>
      <c r="D93">
        <v>1.5900000000000001E-2</v>
      </c>
      <c r="E93">
        <v>2.9099999999999998E-3</v>
      </c>
      <c r="F93">
        <f t="shared" si="14"/>
        <v>935.66307999999992</v>
      </c>
      <c r="G93">
        <f t="shared" si="15"/>
        <v>-0.56223000000000001</v>
      </c>
      <c r="H93">
        <f t="shared" si="16"/>
        <v>-526.05785346840003</v>
      </c>
      <c r="I93">
        <v>1</v>
      </c>
      <c r="J93">
        <f t="shared" si="17"/>
        <v>-6.6499824569669366E-2</v>
      </c>
      <c r="K93">
        <f t="shared" si="18"/>
        <v>-0.65949515177521745</v>
      </c>
      <c r="L93">
        <v>1</v>
      </c>
      <c r="M93">
        <f t="shared" si="19"/>
        <v>0.51464577968045611</v>
      </c>
      <c r="N93">
        <f t="shared" si="20"/>
        <v>7.4385214860000007E-2</v>
      </c>
      <c r="O93">
        <f t="shared" si="21"/>
        <v>1.3613897813999999E-2</v>
      </c>
      <c r="P93">
        <f t="shared" si="22"/>
        <v>5.6850259420761336E-2</v>
      </c>
      <c r="V93">
        <v>2.8999999999999702</v>
      </c>
      <c r="W93">
        <f t="shared" si="23"/>
        <v>-1.8620299999999865</v>
      </c>
    </row>
    <row r="94" spans="1:23" x14ac:dyDescent="0.3">
      <c r="A94">
        <v>4.7297431999999997</v>
      </c>
      <c r="B94">
        <v>0.56016999999999995</v>
      </c>
      <c r="C94">
        <f t="shared" si="13"/>
        <v>2.6494602483439995</v>
      </c>
      <c r="D94">
        <v>1.5900000000000001E-2</v>
      </c>
      <c r="E94">
        <v>2.9099999999999998E-3</v>
      </c>
      <c r="F94">
        <f t="shared" si="14"/>
        <v>945.94863999999995</v>
      </c>
      <c r="G94">
        <f t="shared" si="15"/>
        <v>-0.56016999999999995</v>
      </c>
      <c r="H94">
        <f t="shared" si="16"/>
        <v>-529.89204966879993</v>
      </c>
      <c r="I94">
        <v>1</v>
      </c>
      <c r="J94">
        <f t="shared" si="17"/>
        <v>-5.5567003158866299E-2</v>
      </c>
      <c r="K94">
        <f t="shared" si="18"/>
        <v>-0.66155515177521751</v>
      </c>
      <c r="L94">
        <v>1</v>
      </c>
      <c r="M94">
        <f t="shared" si="19"/>
        <v>0.51961146716524287</v>
      </c>
      <c r="N94">
        <f t="shared" si="20"/>
        <v>7.5202916879999998E-2</v>
      </c>
      <c r="O94">
        <f t="shared" si="21"/>
        <v>1.3763552711999999E-2</v>
      </c>
      <c r="P94">
        <f t="shared" si="22"/>
        <v>5.2977215017974644E-2</v>
      </c>
      <c r="V94">
        <v>2.9999999999999698</v>
      </c>
      <c r="W94">
        <f t="shared" si="23"/>
        <v>-1.9074499999999861</v>
      </c>
    </row>
    <row r="95" spans="1:23" x14ac:dyDescent="0.3">
      <c r="A95">
        <v>4.7857533999999999</v>
      </c>
      <c r="B95">
        <v>0.55769000000000002</v>
      </c>
      <c r="C95">
        <f t="shared" si="13"/>
        <v>2.6689668136460001</v>
      </c>
      <c r="D95">
        <v>1.5900000000000001E-2</v>
      </c>
      <c r="E95">
        <v>2.9099999999999998E-3</v>
      </c>
      <c r="F95">
        <f t="shared" si="14"/>
        <v>957.15067999999997</v>
      </c>
      <c r="G95">
        <f t="shared" si="15"/>
        <v>-0.55769000000000002</v>
      </c>
      <c r="H95">
        <f t="shared" si="16"/>
        <v>-533.7933627292</v>
      </c>
      <c r="I95">
        <v>1</v>
      </c>
      <c r="J95">
        <f t="shared" si="17"/>
        <v>-4.3794449557464532E-2</v>
      </c>
      <c r="K95">
        <f t="shared" si="18"/>
        <v>-0.66403515177521744</v>
      </c>
      <c r="L95">
        <v>1</v>
      </c>
      <c r="M95">
        <f t="shared" si="19"/>
        <v>0.52495856101099958</v>
      </c>
      <c r="N95">
        <f t="shared" si="20"/>
        <v>7.6093479059999997E-2</v>
      </c>
      <c r="O95">
        <f t="shared" si="21"/>
        <v>1.3926542393999999E-2</v>
      </c>
      <c r="P95">
        <f t="shared" si="22"/>
        <v>4.905656931021786E-2</v>
      </c>
      <c r="V95">
        <v>3.0999999999999699</v>
      </c>
      <c r="W95">
        <f t="shared" si="23"/>
        <v>-1.9528699999999861</v>
      </c>
    </row>
    <row r="96" spans="1:23" x14ac:dyDescent="0.3">
      <c r="A96">
        <v>4.8376904000000014</v>
      </c>
      <c r="B96">
        <v>0.55552999999999997</v>
      </c>
      <c r="C96">
        <f t="shared" si="13"/>
        <v>2.6874821479120006</v>
      </c>
      <c r="D96">
        <v>1.5900000000000001E-2</v>
      </c>
      <c r="E96">
        <v>2.9099999999999998E-3</v>
      </c>
      <c r="F96">
        <f t="shared" si="14"/>
        <v>967.53808000000026</v>
      </c>
      <c r="G96">
        <f t="shared" si="15"/>
        <v>-0.55552999999999997</v>
      </c>
      <c r="H96">
        <f t="shared" si="16"/>
        <v>-537.49642958240008</v>
      </c>
      <c r="I96">
        <v>1</v>
      </c>
      <c r="J96">
        <f t="shared" si="17"/>
        <v>-3.3000495679625187E-2</v>
      </c>
      <c r="K96">
        <f t="shared" si="18"/>
        <v>-0.66619515177521749</v>
      </c>
      <c r="L96">
        <v>1</v>
      </c>
      <c r="M96">
        <f t="shared" si="19"/>
        <v>0.52986117486231421</v>
      </c>
      <c r="N96">
        <f t="shared" si="20"/>
        <v>7.6919277360000024E-2</v>
      </c>
      <c r="O96">
        <f t="shared" si="21"/>
        <v>1.4077679064000002E-2</v>
      </c>
      <c r="P96">
        <f t="shared" si="22"/>
        <v>4.533702048890325E-2</v>
      </c>
      <c r="V96">
        <v>3.19999999999997</v>
      </c>
      <c r="W96">
        <f t="shared" si="23"/>
        <v>-1.9982899999999861</v>
      </c>
    </row>
    <row r="97" spans="1:23" x14ac:dyDescent="0.3">
      <c r="A97">
        <v>4.8891172000000003</v>
      </c>
      <c r="B97">
        <v>0.55339000000000005</v>
      </c>
      <c r="C97">
        <f t="shared" si="13"/>
        <v>2.7055885673080002</v>
      </c>
      <c r="D97">
        <v>1.5900000000000001E-2</v>
      </c>
      <c r="E97">
        <v>2.9099999999999998E-3</v>
      </c>
      <c r="F97">
        <f t="shared" si="14"/>
        <v>977.82344000000001</v>
      </c>
      <c r="G97">
        <f t="shared" si="15"/>
        <v>-0.55339000000000005</v>
      </c>
      <c r="H97">
        <f t="shared" si="16"/>
        <v>-541.11771346160003</v>
      </c>
      <c r="I97">
        <v>1</v>
      </c>
      <c r="J97">
        <f t="shared" si="17"/>
        <v>-2.2426156942469657E-2</v>
      </c>
      <c r="K97">
        <f t="shared" si="18"/>
        <v>-0.66833515177521741</v>
      </c>
      <c r="L97">
        <v>1</v>
      </c>
      <c r="M97">
        <f t="shared" si="19"/>
        <v>0.53466403951673025</v>
      </c>
      <c r="N97">
        <f t="shared" si="20"/>
        <v>7.7736963480000004E-2</v>
      </c>
      <c r="O97">
        <f t="shared" si="21"/>
        <v>1.4227331051999999E-2</v>
      </c>
      <c r="P97">
        <f t="shared" si="22"/>
        <v>4.1706817726487155E-2</v>
      </c>
      <c r="V97">
        <v>3.2999999999999701</v>
      </c>
      <c r="W97">
        <f t="shared" si="23"/>
        <v>-2.0437099999999861</v>
      </c>
    </row>
    <row r="98" spans="1:23" x14ac:dyDescent="0.3">
      <c r="A98">
        <v>4.9420728</v>
      </c>
      <c r="B98">
        <v>0.55140999999999996</v>
      </c>
      <c r="C98">
        <f t="shared" si="13"/>
        <v>2.7251083626479997</v>
      </c>
      <c r="D98">
        <v>1.5900000000000001E-2</v>
      </c>
      <c r="E98">
        <v>2.9099999999999998E-3</v>
      </c>
      <c r="F98">
        <f t="shared" si="14"/>
        <v>988.41456000000005</v>
      </c>
      <c r="G98">
        <f t="shared" si="15"/>
        <v>-0.55140999999999996</v>
      </c>
      <c r="H98">
        <f t="shared" si="16"/>
        <v>-545.02167252959998</v>
      </c>
      <c r="I98">
        <v>1</v>
      </c>
      <c r="J98">
        <f t="shared" si="17"/>
        <v>-1.1653074097993342E-2</v>
      </c>
      <c r="K98">
        <f t="shared" si="18"/>
        <v>-0.6703151517752175</v>
      </c>
      <c r="L98">
        <v>1</v>
      </c>
      <c r="M98">
        <f t="shared" si="19"/>
        <v>0.53955717374469137</v>
      </c>
      <c r="N98">
        <f t="shared" si="20"/>
        <v>7.8578957520000006E-2</v>
      </c>
      <c r="O98">
        <f t="shared" si="21"/>
        <v>1.4381431847999998E-2</v>
      </c>
      <c r="P98">
        <f t="shared" si="22"/>
        <v>3.7797588662526131E-2</v>
      </c>
      <c r="V98">
        <v>3.3999999999999702</v>
      </c>
      <c r="W98">
        <f t="shared" si="23"/>
        <v>-2.0891299999999862</v>
      </c>
    </row>
    <row r="99" spans="1:23" x14ac:dyDescent="0.3">
      <c r="A99">
        <v>4.9935004999999997</v>
      </c>
      <c r="B99">
        <v>0.54915000000000003</v>
      </c>
      <c r="C99">
        <f t="shared" si="13"/>
        <v>2.7421807995749998</v>
      </c>
      <c r="D99">
        <v>1.5900000000000001E-2</v>
      </c>
      <c r="E99">
        <v>2.9099999999999998E-3</v>
      </c>
      <c r="F99">
        <f t="shared" si="14"/>
        <v>998.70009999999991</v>
      </c>
      <c r="G99">
        <f t="shared" si="15"/>
        <v>-0.54915000000000003</v>
      </c>
      <c r="H99">
        <f t="shared" si="16"/>
        <v>-548.43615991499996</v>
      </c>
      <c r="I99">
        <v>1</v>
      </c>
      <c r="J99">
        <f t="shared" si="17"/>
        <v>-1.3007456028840264E-3</v>
      </c>
      <c r="K99">
        <f t="shared" si="18"/>
        <v>-0.67257515177521743</v>
      </c>
      <c r="L99">
        <v>1</v>
      </c>
      <c r="M99">
        <f t="shared" si="19"/>
        <v>0.54425920134716999</v>
      </c>
      <c r="N99">
        <f t="shared" si="20"/>
        <v>7.9396657950000005E-2</v>
      </c>
      <c r="O99">
        <f t="shared" si="21"/>
        <v>1.4531086454999998E-2</v>
      </c>
      <c r="P99">
        <f t="shared" si="22"/>
        <v>3.4388206023047443E-2</v>
      </c>
      <c r="V99">
        <v>3.4999999999999698</v>
      </c>
      <c r="W99">
        <f t="shared" si="23"/>
        <v>-2.1345499999999862</v>
      </c>
    </row>
    <row r="100" spans="1:23" x14ac:dyDescent="0.3">
      <c r="A100">
        <v>5.0439091999999999</v>
      </c>
      <c r="B100">
        <v>0.54700000000000004</v>
      </c>
      <c r="C100">
        <f t="shared" si="13"/>
        <v>2.7590183324000002</v>
      </c>
      <c r="D100">
        <v>1.5900000000000001E-2</v>
      </c>
      <c r="E100">
        <v>2.9099999999999998E-3</v>
      </c>
      <c r="F100">
        <f t="shared" si="14"/>
        <v>1008.78184</v>
      </c>
      <c r="G100">
        <f t="shared" si="15"/>
        <v>-0.54700000000000004</v>
      </c>
      <c r="H100">
        <f t="shared" si="16"/>
        <v>-551.80366648000006</v>
      </c>
      <c r="I100">
        <v>1</v>
      </c>
      <c r="J100">
        <f t="shared" si="17"/>
        <v>8.7435039204993622E-3</v>
      </c>
      <c r="K100">
        <f t="shared" si="18"/>
        <v>-0.67472515177521741</v>
      </c>
      <c r="L100">
        <v>1</v>
      </c>
      <c r="M100">
        <f t="shared" si="19"/>
        <v>0.54882129948069081</v>
      </c>
      <c r="N100">
        <f t="shared" si="20"/>
        <v>8.0198156280000002E-2</v>
      </c>
      <c r="O100">
        <f t="shared" si="21"/>
        <v>1.4677775771999999E-2</v>
      </c>
      <c r="P100">
        <f t="shared" si="22"/>
        <v>3.1027920242526607E-2</v>
      </c>
      <c r="V100">
        <v>3.5999999999999699</v>
      </c>
      <c r="W100">
        <f t="shared" ref="W100:W131" si="24">V100*$S$5+$S$4</f>
        <v>-2.1799699999999862</v>
      </c>
    </row>
    <row r="101" spans="1:23" x14ac:dyDescent="0.3">
      <c r="A101">
        <v>5.0948275999999986</v>
      </c>
      <c r="B101">
        <v>0.54510999999999998</v>
      </c>
      <c r="C101">
        <f t="shared" si="13"/>
        <v>2.7772414730359993</v>
      </c>
      <c r="D101">
        <v>1.5900000000000001E-2</v>
      </c>
      <c r="E101">
        <v>2.9099999999999998E-3</v>
      </c>
      <c r="F101">
        <f t="shared" si="14"/>
        <v>1018.9655199999997</v>
      </c>
      <c r="G101">
        <f t="shared" si="15"/>
        <v>-0.54510999999999998</v>
      </c>
      <c r="H101">
        <f t="shared" si="16"/>
        <v>-555.44829460719984</v>
      </c>
      <c r="I101">
        <v>1</v>
      </c>
      <c r="J101">
        <f t="shared" si="17"/>
        <v>1.8787916572908826E-2</v>
      </c>
      <c r="K101">
        <f t="shared" si="18"/>
        <v>-0.67661515177521747</v>
      </c>
      <c r="L101">
        <v>1</v>
      </c>
      <c r="M101">
        <f t="shared" si="19"/>
        <v>0.55338347170741509</v>
      </c>
      <c r="N101">
        <f t="shared" si="20"/>
        <v>8.1007758839999985E-2</v>
      </c>
      <c r="O101">
        <f t="shared" si="21"/>
        <v>1.4825948315999996E-2</v>
      </c>
      <c r="P101">
        <f t="shared" si="22"/>
        <v>2.7397972911802404E-2</v>
      </c>
      <c r="V101">
        <v>3.69999999999997</v>
      </c>
      <c r="W101">
        <f t="shared" si="24"/>
        <v>-2.2253899999999862</v>
      </c>
    </row>
    <row r="102" spans="1:23" x14ac:dyDescent="0.3">
      <c r="A102">
        <v>5.1462554000000003</v>
      </c>
      <c r="B102">
        <v>0.54285000000000005</v>
      </c>
      <c r="C102">
        <f t="shared" si="13"/>
        <v>2.7936447438900003</v>
      </c>
      <c r="D102">
        <v>1.5900000000000001E-2</v>
      </c>
      <c r="E102">
        <v>2.9099999999999998E-3</v>
      </c>
      <c r="F102">
        <f t="shared" si="14"/>
        <v>1029.25108</v>
      </c>
      <c r="G102">
        <f t="shared" si="15"/>
        <v>-0.54285000000000005</v>
      </c>
      <c r="H102">
        <f t="shared" si="16"/>
        <v>-558.72894877800002</v>
      </c>
      <c r="I102">
        <v>1</v>
      </c>
      <c r="J102">
        <f t="shared" si="17"/>
        <v>2.8831430975074946E-2</v>
      </c>
      <c r="K102">
        <f t="shared" si="18"/>
        <v>-0.6788751517752174</v>
      </c>
      <c r="L102">
        <v>1</v>
      </c>
      <c r="M102">
        <f t="shared" si="19"/>
        <v>0.55794523594887901</v>
      </c>
      <c r="N102">
        <f t="shared" si="20"/>
        <v>8.1825460860000004E-2</v>
      </c>
      <c r="O102">
        <f t="shared" si="21"/>
        <v>1.4975603214000001E-2</v>
      </c>
      <c r="P102">
        <f t="shared" si="22"/>
        <v>2.4128851752338379E-2</v>
      </c>
      <c r="V102">
        <v>3.7999999999999701</v>
      </c>
      <c r="W102">
        <f t="shared" si="24"/>
        <v>-2.2708099999999862</v>
      </c>
    </row>
    <row r="103" spans="1:23" x14ac:dyDescent="0.3">
      <c r="A103">
        <v>5.1976826000000003</v>
      </c>
      <c r="B103">
        <v>0.54066000000000003</v>
      </c>
      <c r="C103">
        <f t="shared" si="13"/>
        <v>2.8101790745160002</v>
      </c>
      <c r="D103">
        <v>1.5900000000000001E-2</v>
      </c>
      <c r="E103">
        <v>2.9099999999999998E-3</v>
      </c>
      <c r="F103">
        <f t="shared" si="14"/>
        <v>1039.5365200000001</v>
      </c>
      <c r="G103">
        <f t="shared" si="15"/>
        <v>-0.54066000000000003</v>
      </c>
      <c r="H103">
        <f t="shared" si="16"/>
        <v>-562.03581490320005</v>
      </c>
      <c r="I103">
        <v>1</v>
      </c>
      <c r="J103">
        <f t="shared" si="17"/>
        <v>3.8774959973939094E-2</v>
      </c>
      <c r="K103">
        <f t="shared" si="18"/>
        <v>-0.68106515177521743</v>
      </c>
      <c r="L103">
        <v>1</v>
      </c>
      <c r="M103">
        <f t="shared" si="19"/>
        <v>0.56246158682016312</v>
      </c>
      <c r="N103">
        <f t="shared" si="20"/>
        <v>8.2643153340000011E-2</v>
      </c>
      <c r="O103">
        <f t="shared" si="21"/>
        <v>1.5125256366E-2</v>
      </c>
      <c r="P103">
        <f t="shared" si="22"/>
        <v>2.0835155249054299E-2</v>
      </c>
      <c r="V103">
        <v>3.8999999999999599</v>
      </c>
      <c r="W103">
        <f t="shared" si="24"/>
        <v>-2.3162299999999818</v>
      </c>
    </row>
    <row r="104" spans="1:23" x14ac:dyDescent="0.3">
      <c r="A104">
        <v>5.2506377000000004</v>
      </c>
      <c r="B104">
        <v>0.53866999999999998</v>
      </c>
      <c r="C104">
        <f t="shared" si="13"/>
        <v>2.828361009859</v>
      </c>
      <c r="D104">
        <v>1.5900000000000001E-2</v>
      </c>
      <c r="E104">
        <v>2.9099999999999998E-3</v>
      </c>
      <c r="F104">
        <f t="shared" si="14"/>
        <v>1050.1275400000002</v>
      </c>
      <c r="G104">
        <f t="shared" si="15"/>
        <v>-0.53866999999999998</v>
      </c>
      <c r="H104">
        <f t="shared" si="16"/>
        <v>-565.67220197179995</v>
      </c>
      <c r="I104">
        <v>1</v>
      </c>
      <c r="J104">
        <f t="shared" si="17"/>
        <v>4.8911623459620517E-2</v>
      </c>
      <c r="K104">
        <f t="shared" si="18"/>
        <v>-0.68305515177521747</v>
      </c>
      <c r="L104">
        <v>1</v>
      </c>
      <c r="M104">
        <f t="shared" si="19"/>
        <v>0.56706565937535958</v>
      </c>
      <c r="N104">
        <f t="shared" si="20"/>
        <v>8.3485139430000008E-2</v>
      </c>
      <c r="O104">
        <f t="shared" si="21"/>
        <v>1.5279355707E-2</v>
      </c>
      <c r="P104">
        <f t="shared" si="22"/>
        <v>1.7224997262857887E-2</v>
      </c>
      <c r="V104">
        <v>3.99999999999996</v>
      </c>
      <c r="W104">
        <f t="shared" si="24"/>
        <v>-2.3616499999999818</v>
      </c>
    </row>
    <row r="105" spans="1:23" x14ac:dyDescent="0.3">
      <c r="A105">
        <v>5.3015556999999998</v>
      </c>
      <c r="B105">
        <v>0.53646000000000005</v>
      </c>
      <c r="C105">
        <f t="shared" si="13"/>
        <v>2.844072570822</v>
      </c>
      <c r="D105">
        <v>1.5900000000000001E-2</v>
      </c>
      <c r="E105">
        <v>2.9099999999999998E-3</v>
      </c>
      <c r="F105">
        <f t="shared" si="14"/>
        <v>1060.31114</v>
      </c>
      <c r="G105">
        <f t="shared" si="15"/>
        <v>-0.53646000000000005</v>
      </c>
      <c r="H105">
        <f t="shared" si="16"/>
        <v>-568.81451416439995</v>
      </c>
      <c r="I105">
        <v>1</v>
      </c>
      <c r="J105">
        <f t="shared" si="17"/>
        <v>5.8562393354858772E-2</v>
      </c>
      <c r="K105">
        <f t="shared" si="18"/>
        <v>-0.68526515177521741</v>
      </c>
      <c r="L105">
        <v>1</v>
      </c>
      <c r="M105">
        <f t="shared" si="19"/>
        <v>0.5714490390617768</v>
      </c>
      <c r="N105">
        <f t="shared" si="20"/>
        <v>8.4294735630000006E-2</v>
      </c>
      <c r="O105">
        <f t="shared" si="21"/>
        <v>1.5427527086999999E-2</v>
      </c>
      <c r="P105">
        <f t="shared" si="22"/>
        <v>1.4093849996440604E-2</v>
      </c>
      <c r="V105">
        <v>4.0999999999999996</v>
      </c>
      <c r="W105">
        <f t="shared" si="24"/>
        <v>-2.4070699999999996</v>
      </c>
    </row>
    <row r="106" spans="1:23" x14ac:dyDescent="0.3">
      <c r="A106">
        <v>5.3524746000000007</v>
      </c>
      <c r="B106">
        <v>0.53432000000000002</v>
      </c>
      <c r="C106">
        <f t="shared" si="13"/>
        <v>2.8599342282720004</v>
      </c>
      <c r="D106">
        <v>1.5900000000000001E-2</v>
      </c>
      <c r="E106">
        <v>2.9099999999999998E-3</v>
      </c>
      <c r="F106">
        <f t="shared" si="14"/>
        <v>1070.4949200000001</v>
      </c>
      <c r="G106">
        <f t="shared" si="15"/>
        <v>-0.53432000000000002</v>
      </c>
      <c r="H106">
        <f t="shared" si="16"/>
        <v>-571.9868456544001</v>
      </c>
      <c r="I106">
        <v>1</v>
      </c>
      <c r="J106">
        <f t="shared" si="17"/>
        <v>6.812108359028754E-2</v>
      </c>
      <c r="K106">
        <f t="shared" si="18"/>
        <v>-0.68740515177521744</v>
      </c>
      <c r="L106">
        <v>1</v>
      </c>
      <c r="M106">
        <f t="shared" si="19"/>
        <v>0.57579059616670858</v>
      </c>
      <c r="N106">
        <f t="shared" si="20"/>
        <v>8.5104346140000023E-2</v>
      </c>
      <c r="O106">
        <f t="shared" si="21"/>
        <v>1.5575701086000001E-2</v>
      </c>
      <c r="P106">
        <f t="shared" si="22"/>
        <v>1.0934508382508834E-2</v>
      </c>
      <c r="V106">
        <v>4.2</v>
      </c>
      <c r="W106">
        <f t="shared" si="24"/>
        <v>-2.4524900000000001</v>
      </c>
    </row>
    <row r="107" spans="1:23" x14ac:dyDescent="0.3">
      <c r="A107">
        <v>5.405939</v>
      </c>
      <c r="B107">
        <v>0.53210000000000002</v>
      </c>
      <c r="C107">
        <f t="shared" si="13"/>
        <v>2.8765001419000003</v>
      </c>
      <c r="D107">
        <v>1.5900000000000001E-2</v>
      </c>
      <c r="E107">
        <v>2.9099999999999998E-3</v>
      </c>
      <c r="F107">
        <f t="shared" si="14"/>
        <v>1081.1877999999999</v>
      </c>
      <c r="G107">
        <f t="shared" si="15"/>
        <v>-0.53210000000000002</v>
      </c>
      <c r="H107">
        <f t="shared" si="16"/>
        <v>-575.30002838000007</v>
      </c>
      <c r="I107">
        <v>1</v>
      </c>
      <c r="J107">
        <f t="shared" si="17"/>
        <v>7.8060251597706798E-2</v>
      </c>
      <c r="K107">
        <f t="shared" si="18"/>
        <v>-0.68962515177521744</v>
      </c>
      <c r="L107">
        <v>1</v>
      </c>
      <c r="M107">
        <f t="shared" si="19"/>
        <v>0.5803049662756784</v>
      </c>
      <c r="N107">
        <f t="shared" si="20"/>
        <v>8.5954430100000007E-2</v>
      </c>
      <c r="O107">
        <f t="shared" si="21"/>
        <v>1.5731282489999998E-2</v>
      </c>
      <c r="P107">
        <f t="shared" si="22"/>
        <v>7.6344729095390307E-3</v>
      </c>
      <c r="V107">
        <v>4.3</v>
      </c>
      <c r="W107">
        <f t="shared" si="24"/>
        <v>-2.4979099999999996</v>
      </c>
    </row>
    <row r="108" spans="1:23" x14ac:dyDescent="0.3">
      <c r="A108">
        <v>5.4563477000000002</v>
      </c>
      <c r="B108">
        <v>0.53003999999999996</v>
      </c>
      <c r="C108">
        <f t="shared" si="13"/>
        <v>2.8920825349079999</v>
      </c>
      <c r="D108">
        <v>1.5900000000000001E-2</v>
      </c>
      <c r="E108">
        <v>2.9099999999999998E-3</v>
      </c>
      <c r="F108">
        <f t="shared" si="14"/>
        <v>1091.26954</v>
      </c>
      <c r="G108">
        <f t="shared" si="15"/>
        <v>-0.53003999999999996</v>
      </c>
      <c r="H108">
        <f t="shared" si="16"/>
        <v>-578.41650698160004</v>
      </c>
      <c r="I108">
        <v>1</v>
      </c>
      <c r="J108">
        <f t="shared" si="17"/>
        <v>8.7341734082382688E-2</v>
      </c>
      <c r="K108">
        <f t="shared" si="18"/>
        <v>-0.6916851517752175</v>
      </c>
      <c r="L108">
        <v>1</v>
      </c>
      <c r="M108">
        <f t="shared" si="19"/>
        <v>0.58452061562021818</v>
      </c>
      <c r="N108">
        <f t="shared" si="20"/>
        <v>8.6755928430000004E-2</v>
      </c>
      <c r="O108">
        <f t="shared" si="21"/>
        <v>1.5877971806999999E-2</v>
      </c>
      <c r="P108">
        <f t="shared" si="22"/>
        <v>4.5306359179993205E-3</v>
      </c>
      <c r="V108">
        <v>4.4000000000000004</v>
      </c>
      <c r="W108">
        <f t="shared" si="24"/>
        <v>-2.5433300000000001</v>
      </c>
    </row>
    <row r="109" spans="1:23" x14ac:dyDescent="0.3">
      <c r="A109">
        <v>5.5072661000000007</v>
      </c>
      <c r="B109">
        <v>0.52805999999999997</v>
      </c>
      <c r="C109">
        <f t="shared" si="13"/>
        <v>2.9081669367660004</v>
      </c>
      <c r="D109">
        <v>1.5900000000000001E-2</v>
      </c>
      <c r="E109">
        <v>2.9099999999999998E-3</v>
      </c>
      <c r="F109">
        <f t="shared" si="14"/>
        <v>1101.4532200000001</v>
      </c>
      <c r="G109">
        <f t="shared" si="15"/>
        <v>-0.52805999999999997</v>
      </c>
      <c r="H109">
        <f t="shared" si="16"/>
        <v>-581.63338735320008</v>
      </c>
      <c r="I109">
        <v>1</v>
      </c>
      <c r="J109">
        <f t="shared" si="17"/>
        <v>9.6630416998448279E-2</v>
      </c>
      <c r="K109">
        <f t="shared" si="18"/>
        <v>-0.69366515177521748</v>
      </c>
      <c r="L109">
        <v>1</v>
      </c>
      <c r="M109">
        <f t="shared" si="19"/>
        <v>0.58873953540069512</v>
      </c>
      <c r="N109">
        <f t="shared" si="20"/>
        <v>8.7565530990000015E-2</v>
      </c>
      <c r="O109">
        <f t="shared" si="21"/>
        <v>1.6026144351000002E-2</v>
      </c>
      <c r="P109">
        <f t="shared" si="22"/>
        <v>1.3339410335223394E-3</v>
      </c>
      <c r="V109">
        <v>4.5</v>
      </c>
      <c r="W109">
        <f t="shared" si="24"/>
        <v>-2.5887499999999997</v>
      </c>
    </row>
    <row r="110" spans="1:23" x14ac:dyDescent="0.3">
      <c r="A110">
        <v>5.5581841000000001</v>
      </c>
      <c r="B110">
        <v>0.52580000000000005</v>
      </c>
      <c r="C110">
        <f t="shared" si="13"/>
        <v>2.9224931997800003</v>
      </c>
      <c r="D110">
        <v>1.5900000000000001E-2</v>
      </c>
      <c r="E110">
        <v>2.9099999999999998E-3</v>
      </c>
      <c r="F110">
        <f t="shared" si="14"/>
        <v>1111.6368199999999</v>
      </c>
      <c r="G110">
        <f t="shared" si="15"/>
        <v>-0.52580000000000005</v>
      </c>
      <c r="H110">
        <f t="shared" si="16"/>
        <v>-584.49863995600003</v>
      </c>
      <c r="I110">
        <v>1</v>
      </c>
      <c r="J110">
        <f t="shared" si="17"/>
        <v>0.10583354176333572</v>
      </c>
      <c r="K110">
        <f t="shared" si="18"/>
        <v>-0.69592515177521741</v>
      </c>
      <c r="L110">
        <v>1</v>
      </c>
      <c r="M110">
        <f t="shared" si="19"/>
        <v>0.59291959466890698</v>
      </c>
      <c r="N110">
        <f t="shared" si="20"/>
        <v>8.837512719E-2</v>
      </c>
      <c r="O110">
        <f t="shared" si="21"/>
        <v>1.6174315730999998E-2</v>
      </c>
      <c r="P110">
        <f t="shared" si="22"/>
        <v>-1.5438858146895676E-3</v>
      </c>
      <c r="V110">
        <v>4.5999999999999996</v>
      </c>
      <c r="W110">
        <f t="shared" si="24"/>
        <v>-2.6341699999999997</v>
      </c>
    </row>
    <row r="111" spans="1:23" x14ac:dyDescent="0.3">
      <c r="A111">
        <v>5.6101210999999997</v>
      </c>
      <c r="B111">
        <v>0.52370000000000005</v>
      </c>
      <c r="C111">
        <f t="shared" si="13"/>
        <v>2.93802042007</v>
      </c>
      <c r="D111">
        <v>1.5900000000000001E-2</v>
      </c>
      <c r="E111">
        <v>2.9099999999999998E-3</v>
      </c>
      <c r="F111">
        <f t="shared" si="14"/>
        <v>1122.02422</v>
      </c>
      <c r="G111">
        <f t="shared" si="15"/>
        <v>-0.52370000000000005</v>
      </c>
      <c r="H111">
        <f t="shared" si="16"/>
        <v>-587.60408401400002</v>
      </c>
      <c r="I111">
        <v>1</v>
      </c>
      <c r="J111">
        <f t="shared" si="17"/>
        <v>0.11513439332028329</v>
      </c>
      <c r="K111">
        <f t="shared" si="18"/>
        <v>-0.6980251517752174</v>
      </c>
      <c r="L111">
        <v>1</v>
      </c>
      <c r="M111">
        <f t="shared" si="19"/>
        <v>0.59714404144607258</v>
      </c>
      <c r="N111">
        <f t="shared" si="20"/>
        <v>8.9200925489999999E-2</v>
      </c>
      <c r="O111">
        <f t="shared" si="21"/>
        <v>1.6325452400999998E-2</v>
      </c>
      <c r="P111">
        <f t="shared" si="22"/>
        <v>-4.6452675618551785E-3</v>
      </c>
      <c r="V111">
        <v>4.7</v>
      </c>
      <c r="W111">
        <f t="shared" si="24"/>
        <v>-2.6795899999999997</v>
      </c>
    </row>
    <row r="112" spans="1:23" x14ac:dyDescent="0.3">
      <c r="A112">
        <v>5.6605298000000008</v>
      </c>
      <c r="B112">
        <v>0.52144999999999997</v>
      </c>
      <c r="C112">
        <f t="shared" si="13"/>
        <v>2.9516832642100002</v>
      </c>
      <c r="D112">
        <v>1.5900000000000001E-2</v>
      </c>
      <c r="E112">
        <v>2.9099999999999998E-3</v>
      </c>
      <c r="F112">
        <f t="shared" si="14"/>
        <v>1132.1059600000001</v>
      </c>
      <c r="G112">
        <f t="shared" si="15"/>
        <v>-0.52144999999999997</v>
      </c>
      <c r="H112">
        <f t="shared" si="16"/>
        <v>-590.33665284200003</v>
      </c>
      <c r="I112">
        <v>1</v>
      </c>
      <c r="J112">
        <f t="shared" si="17"/>
        <v>0.1240795796406704</v>
      </c>
      <c r="K112">
        <f t="shared" si="18"/>
        <v>-0.70027515177521749</v>
      </c>
      <c r="L112">
        <v>1</v>
      </c>
      <c r="M112">
        <f t="shared" si="19"/>
        <v>0.60120694507279249</v>
      </c>
      <c r="N112">
        <f t="shared" si="20"/>
        <v>9.0002423820000024E-2</v>
      </c>
      <c r="O112">
        <f t="shared" si="21"/>
        <v>1.6472141718000002E-2</v>
      </c>
      <c r="P112">
        <f t="shared" si="22"/>
        <v>-7.4063588355750276E-3</v>
      </c>
      <c r="V112">
        <v>4.8</v>
      </c>
      <c r="W112">
        <f t="shared" si="24"/>
        <v>-2.7250099999999997</v>
      </c>
    </row>
    <row r="113" spans="1:23" x14ac:dyDescent="0.3">
      <c r="A113">
        <v>5.7109394999999994</v>
      </c>
      <c r="B113">
        <v>0.51927000000000001</v>
      </c>
      <c r="C113">
        <f t="shared" si="13"/>
        <v>2.9655195541649997</v>
      </c>
      <c r="D113">
        <v>1.5900000000000001E-2</v>
      </c>
      <c r="E113">
        <v>2.9099999999999998E-3</v>
      </c>
      <c r="F113">
        <f t="shared" si="14"/>
        <v>1142.1878999999999</v>
      </c>
      <c r="G113">
        <f t="shared" si="15"/>
        <v>-0.51927000000000001</v>
      </c>
      <c r="H113">
        <f t="shared" si="16"/>
        <v>-593.10391083299999</v>
      </c>
      <c r="I113">
        <v>1</v>
      </c>
      <c r="J113">
        <f t="shared" si="17"/>
        <v>0.13294563360119793</v>
      </c>
      <c r="K113">
        <f t="shared" si="18"/>
        <v>-0.70245515177521745</v>
      </c>
      <c r="L113">
        <v>1</v>
      </c>
      <c r="M113">
        <f t="shared" si="19"/>
        <v>0.605233906781664</v>
      </c>
      <c r="N113">
        <f t="shared" si="20"/>
        <v>9.0803938049999991E-2</v>
      </c>
      <c r="O113">
        <f t="shared" si="21"/>
        <v>1.6618833944999998E-2</v>
      </c>
      <c r="P113">
        <f t="shared" si="22"/>
        <v>-1.0201527001446543E-2</v>
      </c>
      <c r="V113">
        <v>4.9000000000000004</v>
      </c>
      <c r="W113">
        <f t="shared" si="24"/>
        <v>-2.7704300000000002</v>
      </c>
    </row>
    <row r="114" spans="1:23" x14ac:dyDescent="0.3">
      <c r="A114">
        <v>5.7644038000000002</v>
      </c>
      <c r="B114">
        <v>0.51746000000000003</v>
      </c>
      <c r="C114">
        <f t="shared" si="13"/>
        <v>2.9828483903480003</v>
      </c>
      <c r="D114">
        <v>1.5900000000000001E-2</v>
      </c>
      <c r="E114">
        <v>2.9099999999999998E-3</v>
      </c>
      <c r="F114">
        <f t="shared" si="14"/>
        <v>1152.88076</v>
      </c>
      <c r="G114">
        <f t="shared" si="15"/>
        <v>-0.51746000000000003</v>
      </c>
      <c r="H114">
        <f t="shared" si="16"/>
        <v>-596.56967806960006</v>
      </c>
      <c r="I114">
        <v>1</v>
      </c>
      <c r="J114">
        <f t="shared" si="17"/>
        <v>0.14226381876640418</v>
      </c>
      <c r="K114">
        <f t="shared" si="18"/>
        <v>-0.70426515177521742</v>
      </c>
      <c r="L114">
        <v>1</v>
      </c>
      <c r="M114">
        <f t="shared" si="19"/>
        <v>0.60946622648370075</v>
      </c>
      <c r="N114">
        <f t="shared" si="20"/>
        <v>9.165402042000001E-2</v>
      </c>
      <c r="O114">
        <f t="shared" si="21"/>
        <v>1.6774415057999998E-2</v>
      </c>
      <c r="P114">
        <f t="shared" si="22"/>
        <v>-1.362951018648333E-2</v>
      </c>
      <c r="V114">
        <v>5</v>
      </c>
      <c r="W114">
        <f t="shared" si="24"/>
        <v>-2.8158499999999997</v>
      </c>
    </row>
    <row r="115" spans="1:23" x14ac:dyDescent="0.3">
      <c r="A115">
        <v>5.8158310999999996</v>
      </c>
      <c r="B115">
        <v>0.51512999999999998</v>
      </c>
      <c r="C115">
        <f t="shared" si="13"/>
        <v>2.9959090745429995</v>
      </c>
      <c r="D115">
        <v>1.5900000000000001E-2</v>
      </c>
      <c r="E115">
        <v>2.9099999999999998E-3</v>
      </c>
      <c r="F115">
        <f t="shared" si="14"/>
        <v>1163.1662199999998</v>
      </c>
      <c r="G115">
        <f t="shared" si="15"/>
        <v>-0.51512999999999998</v>
      </c>
      <c r="H115">
        <f t="shared" si="16"/>
        <v>-599.1818149085999</v>
      </c>
      <c r="I115">
        <v>1</v>
      </c>
      <c r="J115">
        <f t="shared" si="17"/>
        <v>0.1511457867977154</v>
      </c>
      <c r="K115">
        <f t="shared" si="18"/>
        <v>-0.70659515177521748</v>
      </c>
      <c r="L115">
        <v>1</v>
      </c>
      <c r="M115">
        <f t="shared" si="19"/>
        <v>0.61350041636352226</v>
      </c>
      <c r="N115">
        <f t="shared" si="20"/>
        <v>9.2471714489999995E-2</v>
      </c>
      <c r="O115">
        <f t="shared" si="21"/>
        <v>1.6924068500999999E-2</v>
      </c>
      <c r="P115">
        <f t="shared" si="22"/>
        <v>-1.6301047579304777E-2</v>
      </c>
      <c r="V115">
        <v>5.0999999999999996</v>
      </c>
      <c r="W115">
        <f t="shared" si="24"/>
        <v>-2.8612699999999998</v>
      </c>
    </row>
    <row r="116" spans="1:23" x14ac:dyDescent="0.3">
      <c r="A116">
        <v>5.8667495000000001</v>
      </c>
      <c r="B116">
        <v>0.51329999999999998</v>
      </c>
      <c r="C116">
        <f t="shared" si="13"/>
        <v>3.0114025183499997</v>
      </c>
      <c r="D116">
        <v>1.5900000000000001E-2</v>
      </c>
      <c r="E116">
        <v>2.9099999999999998E-3</v>
      </c>
      <c r="F116">
        <f t="shared" si="14"/>
        <v>1173.3498999999999</v>
      </c>
      <c r="G116">
        <f t="shared" si="15"/>
        <v>-0.51329999999999998</v>
      </c>
      <c r="H116">
        <f t="shared" si="16"/>
        <v>-602.28050366999992</v>
      </c>
      <c r="I116">
        <v>1</v>
      </c>
      <c r="J116">
        <f t="shared" si="17"/>
        <v>0.15986282016040107</v>
      </c>
      <c r="K116">
        <f t="shared" si="18"/>
        <v>-0.70842515177521748</v>
      </c>
      <c r="L116">
        <v>1</v>
      </c>
      <c r="M116">
        <f t="shared" si="19"/>
        <v>0.6174596929168541</v>
      </c>
      <c r="N116">
        <f t="shared" si="20"/>
        <v>9.3281317050000007E-2</v>
      </c>
      <c r="O116">
        <f t="shared" si="21"/>
        <v>1.7072241044999999E-2</v>
      </c>
      <c r="P116">
        <f t="shared" si="22"/>
        <v>-1.9388099236636626E-2</v>
      </c>
      <c r="V116">
        <v>5.2</v>
      </c>
      <c r="W116">
        <f t="shared" si="24"/>
        <v>-2.9066899999999998</v>
      </c>
    </row>
    <row r="117" spans="1:23" x14ac:dyDescent="0.3">
      <c r="A117">
        <v>5.9171582000000003</v>
      </c>
      <c r="B117">
        <v>0.51093</v>
      </c>
      <c r="C117">
        <f t="shared" si="13"/>
        <v>3.0232536391260001</v>
      </c>
      <c r="D117">
        <v>1.5900000000000001E-2</v>
      </c>
      <c r="E117">
        <v>2.9099999999999998E-3</v>
      </c>
      <c r="F117">
        <f t="shared" si="14"/>
        <v>1183.43164</v>
      </c>
      <c r="G117">
        <f t="shared" si="15"/>
        <v>-0.51093</v>
      </c>
      <c r="H117">
        <f t="shared" si="16"/>
        <v>-604.65072782519997</v>
      </c>
      <c r="I117">
        <v>1</v>
      </c>
      <c r="J117">
        <f t="shared" si="17"/>
        <v>0.16841838742492832</v>
      </c>
      <c r="K117">
        <f t="shared" si="18"/>
        <v>-0.71079515177521746</v>
      </c>
      <c r="L117">
        <v>1</v>
      </c>
      <c r="M117">
        <f t="shared" si="19"/>
        <v>0.62134563156840239</v>
      </c>
      <c r="N117">
        <f t="shared" si="20"/>
        <v>9.4082815380000004E-2</v>
      </c>
      <c r="O117">
        <f t="shared" si="21"/>
        <v>1.7218930362E-2</v>
      </c>
      <c r="P117">
        <f t="shared" si="22"/>
        <v>-2.1852225535184934E-2</v>
      </c>
      <c r="V117">
        <v>5.3</v>
      </c>
      <c r="W117">
        <f t="shared" si="24"/>
        <v>-2.9521099999999998</v>
      </c>
    </row>
    <row r="118" spans="1:23" x14ac:dyDescent="0.3">
      <c r="A118">
        <v>5.9690947000000003</v>
      </c>
      <c r="B118">
        <v>0.50870000000000004</v>
      </c>
      <c r="C118">
        <f t="shared" si="13"/>
        <v>3.0364784738900004</v>
      </c>
      <c r="D118">
        <v>1.5900000000000001E-2</v>
      </c>
      <c r="E118">
        <v>2.9099999999999998E-3</v>
      </c>
      <c r="F118">
        <f t="shared" si="14"/>
        <v>1193.8189400000001</v>
      </c>
      <c r="G118">
        <f t="shared" si="15"/>
        <v>-0.50870000000000004</v>
      </c>
      <c r="H118">
        <f t="shared" si="16"/>
        <v>-607.2956947780001</v>
      </c>
      <c r="I118">
        <v>1</v>
      </c>
      <c r="J118">
        <f t="shared" si="17"/>
        <v>0.17715736193063095</v>
      </c>
      <c r="K118">
        <f t="shared" si="18"/>
        <v>-0.71302515177521741</v>
      </c>
      <c r="L118">
        <v>1</v>
      </c>
      <c r="M118">
        <f t="shared" si="19"/>
        <v>0.6253148737888925</v>
      </c>
      <c r="N118">
        <f t="shared" si="20"/>
        <v>9.4908605730000012E-2</v>
      </c>
      <c r="O118">
        <f t="shared" si="21"/>
        <v>1.7370065577E-2</v>
      </c>
      <c r="P118">
        <f t="shared" si="22"/>
        <v>-2.4568393320675098E-2</v>
      </c>
      <c r="V118">
        <v>5.4</v>
      </c>
      <c r="W118">
        <f t="shared" si="24"/>
        <v>-2.9975299999999998</v>
      </c>
    </row>
    <row r="119" spans="1:23" x14ac:dyDescent="0.3">
      <c r="A119">
        <v>6.0195043999999998</v>
      </c>
      <c r="B119">
        <v>0.50649999999999995</v>
      </c>
      <c r="C119">
        <f t="shared" si="13"/>
        <v>3.0488789785999995</v>
      </c>
      <c r="D119">
        <v>1.5900000000000001E-2</v>
      </c>
      <c r="E119">
        <v>2.9099999999999998E-3</v>
      </c>
      <c r="F119">
        <f t="shared" si="14"/>
        <v>1203.9008799999999</v>
      </c>
      <c r="G119">
        <f t="shared" si="15"/>
        <v>-0.50649999999999995</v>
      </c>
      <c r="H119">
        <f t="shared" si="16"/>
        <v>-609.77579571999991</v>
      </c>
      <c r="I119">
        <v>1</v>
      </c>
      <c r="J119">
        <f t="shared" si="17"/>
        <v>0.18556701791629723</v>
      </c>
      <c r="K119">
        <f t="shared" si="18"/>
        <v>-0.7152251517752175</v>
      </c>
      <c r="L119">
        <v>1</v>
      </c>
      <c r="M119">
        <f t="shared" si="19"/>
        <v>0.62913453953758214</v>
      </c>
      <c r="N119">
        <f t="shared" si="20"/>
        <v>9.5710119960000006E-2</v>
      </c>
      <c r="O119">
        <f t="shared" si="21"/>
        <v>1.7516757803999999E-2</v>
      </c>
      <c r="P119">
        <f t="shared" si="22"/>
        <v>-2.7136265526364639E-2</v>
      </c>
      <c r="V119">
        <v>5.5</v>
      </c>
      <c r="W119">
        <f t="shared" si="24"/>
        <v>-3.0429499999999998</v>
      </c>
    </row>
    <row r="120" spans="1:23" x14ac:dyDescent="0.3">
      <c r="A120">
        <v>6.0714408999999998</v>
      </c>
      <c r="B120">
        <v>0.50441999999999998</v>
      </c>
      <c r="C120">
        <f t="shared" si="13"/>
        <v>3.062556218778</v>
      </c>
      <c r="D120">
        <v>1.5900000000000001E-2</v>
      </c>
      <c r="E120">
        <v>2.9099999999999998E-3</v>
      </c>
      <c r="F120">
        <f t="shared" si="14"/>
        <v>1214.28818</v>
      </c>
      <c r="G120">
        <f t="shared" si="15"/>
        <v>-0.50441999999999998</v>
      </c>
      <c r="H120">
        <f t="shared" si="16"/>
        <v>-612.51124375560005</v>
      </c>
      <c r="I120">
        <v>1</v>
      </c>
      <c r="J120">
        <f t="shared" si="17"/>
        <v>0.19415804502713116</v>
      </c>
      <c r="K120">
        <f t="shared" si="18"/>
        <v>-0.71730515177521748</v>
      </c>
      <c r="L120">
        <v>1</v>
      </c>
      <c r="M120">
        <f t="shared" si="19"/>
        <v>0.6330365840513229</v>
      </c>
      <c r="N120">
        <f t="shared" si="20"/>
        <v>9.653591031E-2</v>
      </c>
      <c r="O120">
        <f t="shared" si="21"/>
        <v>1.7667893019E-2</v>
      </c>
      <c r="P120">
        <f t="shared" si="22"/>
        <v>-2.9935235605105429E-2</v>
      </c>
      <c r="V120">
        <v>5.6</v>
      </c>
      <c r="W120">
        <f t="shared" si="24"/>
        <v>-3.0883699999999998</v>
      </c>
    </row>
    <row r="121" spans="1:23" x14ac:dyDescent="0.3">
      <c r="A121">
        <v>6.1218501000000014</v>
      </c>
      <c r="B121">
        <v>0.50227999999999995</v>
      </c>
      <c r="C121">
        <f t="shared" si="13"/>
        <v>3.0748828682280003</v>
      </c>
      <c r="D121">
        <v>1.5900000000000001E-2</v>
      </c>
      <c r="E121">
        <v>2.9099999999999998E-3</v>
      </c>
      <c r="F121">
        <f t="shared" si="14"/>
        <v>1224.3700200000003</v>
      </c>
      <c r="G121">
        <f t="shared" si="15"/>
        <v>-0.50227999999999995</v>
      </c>
      <c r="H121">
        <f t="shared" si="16"/>
        <v>-614.97657364560007</v>
      </c>
      <c r="I121">
        <v>1</v>
      </c>
      <c r="J121">
        <f t="shared" si="17"/>
        <v>0.20242644232707957</v>
      </c>
      <c r="K121">
        <f t="shared" si="18"/>
        <v>-0.71944515177521751</v>
      </c>
      <c r="L121">
        <v>1</v>
      </c>
      <c r="M121">
        <f t="shared" si="19"/>
        <v>0.63679209010495952</v>
      </c>
      <c r="N121">
        <f t="shared" si="20"/>
        <v>9.7337416590000031E-2</v>
      </c>
      <c r="O121">
        <f t="shared" si="21"/>
        <v>1.7814583791000003E-2</v>
      </c>
      <c r="P121">
        <f t="shared" si="22"/>
        <v>-3.2498938710742047E-2</v>
      </c>
      <c r="V121">
        <v>5.7</v>
      </c>
      <c r="W121">
        <f t="shared" si="24"/>
        <v>-3.1337899999999999</v>
      </c>
    </row>
    <row r="122" spans="1:23" x14ac:dyDescent="0.3">
      <c r="A122">
        <v>6.1737865999999997</v>
      </c>
      <c r="B122">
        <v>0.50002999999999997</v>
      </c>
      <c r="C122">
        <f t="shared" si="13"/>
        <v>3.0870785135979997</v>
      </c>
      <c r="D122">
        <v>1.5900000000000001E-2</v>
      </c>
      <c r="E122">
        <v>2.9099999999999998E-3</v>
      </c>
      <c r="F122">
        <f t="shared" si="14"/>
        <v>1234.7573199999999</v>
      </c>
      <c r="G122">
        <f t="shared" si="15"/>
        <v>-0.50002999999999997</v>
      </c>
      <c r="H122">
        <f t="shared" si="16"/>
        <v>-617.41570271959995</v>
      </c>
      <c r="I122">
        <v>1</v>
      </c>
      <c r="J122">
        <f t="shared" si="17"/>
        <v>0.21087444874659664</v>
      </c>
      <c r="K122">
        <f t="shared" si="18"/>
        <v>-0.72169515177521748</v>
      </c>
      <c r="L122">
        <v>1</v>
      </c>
      <c r="M122">
        <f t="shared" si="19"/>
        <v>0.64062917462070412</v>
      </c>
      <c r="N122">
        <f t="shared" si="20"/>
        <v>9.8163206939999997E-2</v>
      </c>
      <c r="O122">
        <f t="shared" si="21"/>
        <v>1.7965719005999997E-2</v>
      </c>
      <c r="P122">
        <f t="shared" si="22"/>
        <v>-3.5062948791486637E-2</v>
      </c>
      <c r="V122">
        <v>5.8</v>
      </c>
      <c r="W122">
        <f t="shared" si="24"/>
        <v>-3.1792099999999999</v>
      </c>
    </row>
    <row r="123" spans="1:23" x14ac:dyDescent="0.3">
      <c r="A123">
        <v>6.2252143999999996</v>
      </c>
      <c r="B123">
        <v>0.49791000000000002</v>
      </c>
      <c r="C123">
        <f t="shared" si="13"/>
        <v>3.0995965019039997</v>
      </c>
      <c r="D123">
        <v>1.5900000000000001E-2</v>
      </c>
      <c r="E123">
        <v>2.9099999999999998E-3</v>
      </c>
      <c r="F123">
        <f t="shared" si="14"/>
        <v>1245.04288</v>
      </c>
      <c r="G123">
        <f t="shared" si="15"/>
        <v>-0.49791000000000002</v>
      </c>
      <c r="H123">
        <f t="shared" si="16"/>
        <v>-619.9193003808</v>
      </c>
      <c r="I123">
        <v>1</v>
      </c>
      <c r="J123">
        <f t="shared" si="17"/>
        <v>0.21916997109063513</v>
      </c>
      <c r="K123">
        <f t="shared" si="18"/>
        <v>-0.72381515177521738</v>
      </c>
      <c r="L123">
        <v>1</v>
      </c>
      <c r="M123">
        <f t="shared" si="19"/>
        <v>0.64439700086936647</v>
      </c>
      <c r="N123">
        <f t="shared" si="20"/>
        <v>9.8980908960000002E-2</v>
      </c>
      <c r="O123">
        <f t="shared" si="21"/>
        <v>1.8115373903999997E-2</v>
      </c>
      <c r="P123">
        <f t="shared" si="22"/>
        <v>-3.7678131958149085E-2</v>
      </c>
      <c r="V123">
        <v>5.9</v>
      </c>
      <c r="W123">
        <f t="shared" si="24"/>
        <v>-3.2246299999999999</v>
      </c>
    </row>
    <row r="124" spans="1:23" x14ac:dyDescent="0.3">
      <c r="A124">
        <v>6.2761323000000004</v>
      </c>
      <c r="B124">
        <v>0.49592000000000003</v>
      </c>
      <c r="C124">
        <f t="shared" si="13"/>
        <v>3.1124595302160003</v>
      </c>
      <c r="D124">
        <v>1.5900000000000001E-2</v>
      </c>
      <c r="E124">
        <v>2.9099999999999998E-3</v>
      </c>
      <c r="F124">
        <f t="shared" si="14"/>
        <v>1255.2264600000001</v>
      </c>
      <c r="G124">
        <f t="shared" si="15"/>
        <v>-0.49592000000000003</v>
      </c>
      <c r="H124">
        <f t="shared" si="16"/>
        <v>-622.49190604320006</v>
      </c>
      <c r="I124">
        <v>1</v>
      </c>
      <c r="J124">
        <f t="shared" si="17"/>
        <v>0.22731600252042664</v>
      </c>
      <c r="K124">
        <f t="shared" si="18"/>
        <v>-0.72580515177521743</v>
      </c>
      <c r="L124">
        <v>1</v>
      </c>
      <c r="M124">
        <f t="shared" si="19"/>
        <v>0.64809692834477772</v>
      </c>
      <c r="N124">
        <f t="shared" si="20"/>
        <v>9.9790503570000008E-2</v>
      </c>
      <c r="O124">
        <f t="shared" si="21"/>
        <v>1.8263544993000001E-2</v>
      </c>
      <c r="P124">
        <f t="shared" si="22"/>
        <v>-4.0345825132560305E-2</v>
      </c>
      <c r="V124">
        <v>6</v>
      </c>
      <c r="W124">
        <f t="shared" si="24"/>
        <v>-3.2700499999999999</v>
      </c>
    </row>
    <row r="125" spans="1:23" x14ac:dyDescent="0.3">
      <c r="A125">
        <v>6.3265414999999994</v>
      </c>
      <c r="B125">
        <v>0.49373</v>
      </c>
      <c r="C125">
        <f t="shared" si="13"/>
        <v>3.1236033347949999</v>
      </c>
      <c r="D125">
        <v>1.5900000000000001E-2</v>
      </c>
      <c r="E125">
        <v>2.9099999999999998E-3</v>
      </c>
      <c r="F125">
        <f t="shared" si="14"/>
        <v>1265.3082999999999</v>
      </c>
      <c r="G125">
        <f t="shared" si="15"/>
        <v>-0.49373</v>
      </c>
      <c r="H125">
        <f t="shared" si="16"/>
        <v>-624.72066695900003</v>
      </c>
      <c r="I125">
        <v>1</v>
      </c>
      <c r="J125">
        <f t="shared" si="17"/>
        <v>0.23531580790072587</v>
      </c>
      <c r="K125">
        <f t="shared" si="18"/>
        <v>-0.72799515177521745</v>
      </c>
      <c r="L125">
        <v>1</v>
      </c>
      <c r="M125">
        <f t="shared" si="19"/>
        <v>0.65173043994850965</v>
      </c>
      <c r="N125">
        <f t="shared" si="20"/>
        <v>0.10059200985</v>
      </c>
      <c r="O125">
        <f t="shared" si="21"/>
        <v>1.8410235764999998E-2</v>
      </c>
      <c r="P125">
        <f t="shared" si="22"/>
        <v>-4.2737533788292197E-2</v>
      </c>
      <c r="V125">
        <v>6.1</v>
      </c>
      <c r="W125">
        <f t="shared" si="24"/>
        <v>-3.3154699999999995</v>
      </c>
    </row>
    <row r="126" spans="1:23" x14ac:dyDescent="0.3">
      <c r="A126">
        <v>6.3769501999999996</v>
      </c>
      <c r="B126">
        <v>0.49153000000000002</v>
      </c>
      <c r="C126">
        <f t="shared" si="13"/>
        <v>3.1344623318060001</v>
      </c>
      <c r="D126">
        <v>1.5900000000000001E-2</v>
      </c>
      <c r="E126">
        <v>2.9099999999999998E-3</v>
      </c>
      <c r="F126">
        <f t="shared" si="14"/>
        <v>1275.39004</v>
      </c>
      <c r="G126">
        <f t="shared" si="15"/>
        <v>-0.49153000000000002</v>
      </c>
      <c r="H126">
        <f t="shared" si="16"/>
        <v>-626.89246636120004</v>
      </c>
      <c r="I126">
        <v>1</v>
      </c>
      <c r="J126">
        <f t="shared" si="17"/>
        <v>0.24325204555381655</v>
      </c>
      <c r="K126">
        <f t="shared" si="18"/>
        <v>-0.73019515177521743</v>
      </c>
      <c r="L126">
        <v>1</v>
      </c>
      <c r="M126">
        <f t="shared" si="19"/>
        <v>0.65533507909054345</v>
      </c>
      <c r="N126">
        <f t="shared" si="20"/>
        <v>0.10139350817999999</v>
      </c>
      <c r="O126">
        <f t="shared" si="21"/>
        <v>1.8556925081999999E-2</v>
      </c>
      <c r="P126">
        <f t="shared" si="22"/>
        <v>-4.5090360577326009E-2</v>
      </c>
      <c r="V126">
        <v>6.2</v>
      </c>
      <c r="W126">
        <f t="shared" si="24"/>
        <v>-3.3608899999999999</v>
      </c>
    </row>
    <row r="127" spans="1:23" x14ac:dyDescent="0.3">
      <c r="A127">
        <v>6.4278696000000002</v>
      </c>
      <c r="B127">
        <v>0.48942999999999998</v>
      </c>
      <c r="C127">
        <f t="shared" si="13"/>
        <v>3.1459922183279998</v>
      </c>
      <c r="D127">
        <v>1.5900000000000001E-2</v>
      </c>
      <c r="E127">
        <v>2.9099999999999998E-3</v>
      </c>
      <c r="F127">
        <f t="shared" si="14"/>
        <v>1285.57392</v>
      </c>
      <c r="G127">
        <f t="shared" si="15"/>
        <v>-0.48942999999999998</v>
      </c>
      <c r="H127">
        <f t="shared" si="16"/>
        <v>-629.19844366559994</v>
      </c>
      <c r="I127">
        <v>1</v>
      </c>
      <c r="J127">
        <f t="shared" si="17"/>
        <v>0.25120524898773067</v>
      </c>
      <c r="K127">
        <f t="shared" si="18"/>
        <v>-0.73229515177521742</v>
      </c>
      <c r="L127">
        <v>1</v>
      </c>
      <c r="M127">
        <f t="shared" si="19"/>
        <v>0.65894742409022722</v>
      </c>
      <c r="N127">
        <f t="shared" si="20"/>
        <v>0.10220312664</v>
      </c>
      <c r="O127">
        <f t="shared" si="21"/>
        <v>1.8705100536E-2</v>
      </c>
      <c r="P127">
        <f t="shared" si="22"/>
        <v>-4.7560499491009794E-2</v>
      </c>
      <c r="V127">
        <v>6.3</v>
      </c>
      <c r="W127">
        <f t="shared" si="24"/>
        <v>-3.4063099999999995</v>
      </c>
    </row>
    <row r="128" spans="1:23" x14ac:dyDescent="0.3">
      <c r="A128">
        <v>6.4833700999999992</v>
      </c>
      <c r="B128">
        <v>0.48718</v>
      </c>
      <c r="C128">
        <f t="shared" si="13"/>
        <v>3.1585682453179995</v>
      </c>
      <c r="D128">
        <v>1.5900000000000001E-2</v>
      </c>
      <c r="E128">
        <v>2.9099999999999998E-3</v>
      </c>
      <c r="F128">
        <f t="shared" si="14"/>
        <v>1296.6740199999999</v>
      </c>
      <c r="G128">
        <f t="shared" si="15"/>
        <v>-0.48718</v>
      </c>
      <c r="H128">
        <f t="shared" si="16"/>
        <v>-631.71364906359986</v>
      </c>
      <c r="I128">
        <v>1</v>
      </c>
      <c r="J128">
        <f t="shared" si="17"/>
        <v>0.25980253989732227</v>
      </c>
      <c r="K128">
        <f t="shared" si="18"/>
        <v>-0.73454515177521751</v>
      </c>
      <c r="L128">
        <v>1</v>
      </c>
      <c r="M128">
        <f t="shared" si="19"/>
        <v>0.66285231362136376</v>
      </c>
      <c r="N128">
        <f t="shared" si="20"/>
        <v>0.10308558458999999</v>
      </c>
      <c r="O128">
        <f t="shared" si="21"/>
        <v>1.8866606990999998E-2</v>
      </c>
      <c r="P128">
        <f t="shared" si="22"/>
        <v>-5.0259353427146242E-2</v>
      </c>
      <c r="V128">
        <v>6.4</v>
      </c>
      <c r="W128">
        <f t="shared" si="24"/>
        <v>-3.45173</v>
      </c>
    </row>
    <row r="129" spans="1:23" x14ac:dyDescent="0.3">
      <c r="A129">
        <v>6.5342881000000004</v>
      </c>
      <c r="B129">
        <v>0.48488999999999999</v>
      </c>
      <c r="C129">
        <f t="shared" si="13"/>
        <v>3.1684109568090002</v>
      </c>
      <c r="D129">
        <v>1.5900000000000001E-2</v>
      </c>
      <c r="E129">
        <v>2.9099999999999998E-3</v>
      </c>
      <c r="F129">
        <f t="shared" si="14"/>
        <v>1306.85762</v>
      </c>
      <c r="G129">
        <f t="shared" si="15"/>
        <v>-0.48488999999999999</v>
      </c>
      <c r="H129">
        <f t="shared" si="16"/>
        <v>-633.68219136180005</v>
      </c>
      <c r="I129">
        <v>1</v>
      </c>
      <c r="J129">
        <f t="shared" si="17"/>
        <v>0.26762549221228193</v>
      </c>
      <c r="K129">
        <f t="shared" si="18"/>
        <v>-0.73683515177521741</v>
      </c>
      <c r="L129">
        <v>1</v>
      </c>
      <c r="M129">
        <f t="shared" si="19"/>
        <v>0.66640549856281839</v>
      </c>
      <c r="N129">
        <f t="shared" si="20"/>
        <v>0.10389518079000001</v>
      </c>
      <c r="O129">
        <f t="shared" si="21"/>
        <v>1.9014778371000001E-2</v>
      </c>
      <c r="P129">
        <f t="shared" si="22"/>
        <v>-5.2480305948600994E-2</v>
      </c>
      <c r="V129">
        <v>6.5</v>
      </c>
      <c r="W129">
        <f t="shared" si="24"/>
        <v>-3.49715</v>
      </c>
    </row>
    <row r="130" spans="1:23" x14ac:dyDescent="0.3">
      <c r="A130">
        <v>6.5852065000000009</v>
      </c>
      <c r="B130">
        <v>0.48246</v>
      </c>
      <c r="C130">
        <f t="shared" si="13"/>
        <v>3.1770987279900003</v>
      </c>
      <c r="D130">
        <v>1.5900000000000001E-2</v>
      </c>
      <c r="E130">
        <v>2.9099999999999998E-3</v>
      </c>
      <c r="F130">
        <f t="shared" si="14"/>
        <v>1317.0413000000001</v>
      </c>
      <c r="G130">
        <f t="shared" si="15"/>
        <v>-0.48246</v>
      </c>
      <c r="H130">
        <f t="shared" si="16"/>
        <v>-635.41974559800008</v>
      </c>
      <c r="I130">
        <v>1</v>
      </c>
      <c r="J130">
        <f t="shared" si="17"/>
        <v>0.27538778141903858</v>
      </c>
      <c r="K130">
        <f t="shared" si="18"/>
        <v>-0.73926515177521746</v>
      </c>
      <c r="L130">
        <v>1</v>
      </c>
      <c r="M130">
        <f t="shared" si="19"/>
        <v>0.66993113032052731</v>
      </c>
      <c r="N130">
        <f t="shared" si="20"/>
        <v>0.10470478335000002</v>
      </c>
      <c r="O130">
        <f t="shared" si="21"/>
        <v>1.9162950915000001E-2</v>
      </c>
      <c r="P130">
        <f t="shared" si="22"/>
        <v>-5.4533712810309887E-2</v>
      </c>
      <c r="V130">
        <v>6.6</v>
      </c>
      <c r="W130">
        <f t="shared" si="24"/>
        <v>-3.5425699999999996</v>
      </c>
    </row>
    <row r="131" spans="1:23" x14ac:dyDescent="0.3">
      <c r="A131">
        <v>6.6366342999999999</v>
      </c>
      <c r="B131">
        <v>0.48054999999999998</v>
      </c>
      <c r="C131">
        <f t="shared" si="13"/>
        <v>3.189234612865</v>
      </c>
      <c r="D131">
        <v>1.5900000000000001E-2</v>
      </c>
      <c r="E131">
        <v>2.9099999999999998E-3</v>
      </c>
      <c r="F131">
        <f t="shared" si="14"/>
        <v>1327.3268599999999</v>
      </c>
      <c r="G131">
        <f t="shared" si="15"/>
        <v>-0.48054999999999998</v>
      </c>
      <c r="H131">
        <f t="shared" si="16"/>
        <v>-637.84692257300003</v>
      </c>
      <c r="I131">
        <v>1</v>
      </c>
      <c r="J131">
        <f t="shared" si="17"/>
        <v>0.28316704001574428</v>
      </c>
      <c r="K131">
        <f t="shared" si="18"/>
        <v>-0.74117515177521742</v>
      </c>
      <c r="L131">
        <v>1</v>
      </c>
      <c r="M131">
        <f t="shared" si="19"/>
        <v>0.67346446957515105</v>
      </c>
      <c r="N131">
        <f t="shared" si="20"/>
        <v>0.10552248537</v>
      </c>
      <c r="O131">
        <f t="shared" si="21"/>
        <v>1.9312605812999997E-2</v>
      </c>
      <c r="P131">
        <f t="shared" si="22"/>
        <v>-5.7124408982933625E-2</v>
      </c>
      <c r="V131">
        <v>6.7</v>
      </c>
      <c r="W131">
        <f t="shared" si="24"/>
        <v>-3.58799</v>
      </c>
    </row>
    <row r="132" spans="1:23" x14ac:dyDescent="0.3">
      <c r="A132">
        <v>6.6875527000000003</v>
      </c>
      <c r="B132">
        <v>0.47833999999999999</v>
      </c>
      <c r="C132">
        <f t="shared" ref="C132:C195" si="25">A132*B132</f>
        <v>3.1989239585180003</v>
      </c>
      <c r="D132">
        <v>1.5900000000000001E-2</v>
      </c>
      <c r="E132">
        <v>2.9099999999999998E-3</v>
      </c>
      <c r="F132">
        <f t="shared" ref="F132:F195" si="26">A132*200</f>
        <v>1337.51054</v>
      </c>
      <c r="G132">
        <f t="shared" ref="G132:G195" si="27">-B132</f>
        <v>-0.47833999999999999</v>
      </c>
      <c r="H132">
        <f t="shared" ref="H132:H195" si="28">-C132*200</f>
        <v>-639.78479170360004</v>
      </c>
      <c r="I132">
        <v>1</v>
      </c>
      <c r="J132">
        <f t="shared" ref="J132:J195" si="29">LN(F132/1000)</f>
        <v>0.29081008013080639</v>
      </c>
      <c r="K132">
        <f t="shared" ref="K132:K195" si="30">((-G132)-$N$2)</f>
        <v>-0.74338515177521747</v>
      </c>
      <c r="L132">
        <v>1</v>
      </c>
      <c r="M132">
        <f t="shared" ref="M132:M195" si="31">-1*($S$4+($S$5*J132))</f>
        <v>0.67693593839541222</v>
      </c>
      <c r="N132">
        <f t="shared" ref="N132:N195" si="32">D132*A132</f>
        <v>0.10633208793000001</v>
      </c>
      <c r="O132">
        <f t="shared" ref="O132:O195" si="33">E132*A132</f>
        <v>1.9460778357E-2</v>
      </c>
      <c r="P132">
        <f t="shared" ref="P132:P195" si="34">-K132-M132-N132-O132</f>
        <v>-5.934365290719476E-2</v>
      </c>
      <c r="V132">
        <v>6.8</v>
      </c>
      <c r="W132">
        <f t="shared" ref="W132:W163" si="35">V132*$S$5+$S$4</f>
        <v>-3.6334099999999996</v>
      </c>
    </row>
    <row r="133" spans="1:23" x14ac:dyDescent="0.3">
      <c r="A133">
        <v>6.7389800000000006</v>
      </c>
      <c r="B133">
        <v>0.47635</v>
      </c>
      <c r="C133">
        <f t="shared" si="25"/>
        <v>3.2101131230000002</v>
      </c>
      <c r="D133">
        <v>1.5900000000000001E-2</v>
      </c>
      <c r="E133">
        <v>2.9099999999999998E-3</v>
      </c>
      <c r="F133">
        <f t="shared" si="26"/>
        <v>1347.796</v>
      </c>
      <c r="G133">
        <f t="shared" si="27"/>
        <v>-0.47635</v>
      </c>
      <c r="H133">
        <f t="shared" si="28"/>
        <v>-642.02262460000009</v>
      </c>
      <c r="I133">
        <v>1</v>
      </c>
      <c r="J133">
        <f t="shared" si="29"/>
        <v>0.2984706657261989</v>
      </c>
      <c r="K133">
        <f t="shared" si="30"/>
        <v>-0.7453751517752174</v>
      </c>
      <c r="L133">
        <v>1</v>
      </c>
      <c r="M133">
        <f t="shared" si="31"/>
        <v>0.68041537637283955</v>
      </c>
      <c r="N133">
        <f t="shared" si="32"/>
        <v>0.10714978200000001</v>
      </c>
      <c r="O133">
        <f t="shared" si="33"/>
        <v>1.9610431800000001E-2</v>
      </c>
      <c r="P133">
        <f t="shared" si="34"/>
        <v>-6.1800438397622164E-2</v>
      </c>
      <c r="V133">
        <v>6.9</v>
      </c>
      <c r="W133">
        <f t="shared" si="35"/>
        <v>-3.67883</v>
      </c>
    </row>
    <row r="134" spans="1:23" x14ac:dyDescent="0.3">
      <c r="A134">
        <v>6.7944809999999993</v>
      </c>
      <c r="B134">
        <v>0.47377000000000002</v>
      </c>
      <c r="C134">
        <f t="shared" si="25"/>
        <v>3.2190212633699997</v>
      </c>
      <c r="D134">
        <v>1.5900000000000001E-2</v>
      </c>
      <c r="E134">
        <v>2.9099999999999998E-3</v>
      </c>
      <c r="F134">
        <f t="shared" si="26"/>
        <v>1358.8961999999999</v>
      </c>
      <c r="G134">
        <f t="shared" si="27"/>
        <v>-0.47377000000000002</v>
      </c>
      <c r="H134">
        <f t="shared" si="28"/>
        <v>-643.80425267399994</v>
      </c>
      <c r="I134">
        <v>1</v>
      </c>
      <c r="J134">
        <f t="shared" si="29"/>
        <v>0.30667275256098031</v>
      </c>
      <c r="K134">
        <f t="shared" si="30"/>
        <v>-0.74795515177521743</v>
      </c>
      <c r="L134">
        <v>1</v>
      </c>
      <c r="M134">
        <f t="shared" si="31"/>
        <v>0.68414076421319714</v>
      </c>
      <c r="N134">
        <f t="shared" si="32"/>
        <v>0.10803224789999999</v>
      </c>
      <c r="O134">
        <f t="shared" si="33"/>
        <v>1.9771939709999999E-2</v>
      </c>
      <c r="P134">
        <f t="shared" si="34"/>
        <v>-6.3989800047979689E-2</v>
      </c>
      <c r="V134">
        <v>7</v>
      </c>
      <c r="W134">
        <f t="shared" si="35"/>
        <v>-3.7242499999999996</v>
      </c>
    </row>
    <row r="135" spans="1:23" x14ac:dyDescent="0.3">
      <c r="A135">
        <v>6.8448900999999998</v>
      </c>
      <c r="B135">
        <v>0.47164</v>
      </c>
      <c r="C135">
        <f t="shared" si="25"/>
        <v>3.228323966764</v>
      </c>
      <c r="D135">
        <v>1.5900000000000001E-2</v>
      </c>
      <c r="E135">
        <v>2.9099999999999998E-3</v>
      </c>
      <c r="F135">
        <f t="shared" si="26"/>
        <v>1368.97802</v>
      </c>
      <c r="G135">
        <f t="shared" si="27"/>
        <v>-0.47164</v>
      </c>
      <c r="H135">
        <f t="shared" si="28"/>
        <v>-645.66479335279996</v>
      </c>
      <c r="I135">
        <v>1</v>
      </c>
      <c r="J135">
        <f t="shared" si="29"/>
        <v>0.31406449066244618</v>
      </c>
      <c r="K135">
        <f t="shared" si="30"/>
        <v>-0.7500851517752174</v>
      </c>
      <c r="L135">
        <v>1</v>
      </c>
      <c r="M135">
        <f t="shared" si="31"/>
        <v>0.68749809165888298</v>
      </c>
      <c r="N135">
        <f t="shared" si="32"/>
        <v>0.10883375259</v>
      </c>
      <c r="O135">
        <f t="shared" si="33"/>
        <v>1.9918630190999997E-2</v>
      </c>
      <c r="P135">
        <f t="shared" si="34"/>
        <v>-6.6165322664665585E-2</v>
      </c>
      <c r="V135">
        <v>7.1</v>
      </c>
      <c r="W135">
        <f t="shared" si="35"/>
        <v>-3.7696699999999996</v>
      </c>
    </row>
    <row r="136" spans="1:23" x14ac:dyDescent="0.3">
      <c r="A136">
        <v>6.8968267000000001</v>
      </c>
      <c r="B136">
        <v>0.46962999999999999</v>
      </c>
      <c r="C136">
        <f t="shared" si="25"/>
        <v>3.2389567231209999</v>
      </c>
      <c r="D136">
        <v>1.5900000000000001E-2</v>
      </c>
      <c r="E136">
        <v>2.9099999999999998E-3</v>
      </c>
      <c r="F136">
        <f t="shared" si="26"/>
        <v>1379.3653400000001</v>
      </c>
      <c r="G136">
        <f t="shared" si="27"/>
        <v>-0.46962999999999999</v>
      </c>
      <c r="H136">
        <f t="shared" si="28"/>
        <v>-647.79134462419995</v>
      </c>
      <c r="I136">
        <v>1</v>
      </c>
      <c r="J136">
        <f t="shared" si="29"/>
        <v>0.32162349483261521</v>
      </c>
      <c r="K136">
        <f t="shared" si="30"/>
        <v>-0.75209515177521746</v>
      </c>
      <c r="L136">
        <v>1</v>
      </c>
      <c r="M136">
        <f t="shared" si="31"/>
        <v>0.69093139135297377</v>
      </c>
      <c r="N136">
        <f t="shared" si="32"/>
        <v>0.10965954453000001</v>
      </c>
      <c r="O136">
        <f t="shared" si="33"/>
        <v>2.0069765696999999E-2</v>
      </c>
      <c r="P136">
        <f t="shared" si="34"/>
        <v>-6.8565549804756321E-2</v>
      </c>
      <c r="V136">
        <v>7.2</v>
      </c>
      <c r="W136">
        <f t="shared" si="35"/>
        <v>-3.8150899999999996</v>
      </c>
    </row>
    <row r="137" spans="1:23" x14ac:dyDescent="0.3">
      <c r="A137">
        <v>6.950291</v>
      </c>
      <c r="B137">
        <v>0.46727999999999997</v>
      </c>
      <c r="C137">
        <f t="shared" si="25"/>
        <v>3.2477319784799996</v>
      </c>
      <c r="D137">
        <v>1.5900000000000001E-2</v>
      </c>
      <c r="E137">
        <v>2.9099999999999998E-3</v>
      </c>
      <c r="F137">
        <f t="shared" si="26"/>
        <v>1390.0581999999999</v>
      </c>
      <c r="G137">
        <f t="shared" si="27"/>
        <v>-0.46727999999999997</v>
      </c>
      <c r="H137">
        <f t="shared" si="28"/>
        <v>-649.54639569599988</v>
      </c>
      <c r="I137">
        <v>1</v>
      </c>
      <c r="J137">
        <f t="shared" si="29"/>
        <v>0.32934561676965241</v>
      </c>
      <c r="K137">
        <f t="shared" si="30"/>
        <v>-0.75444515177521754</v>
      </c>
      <c r="L137">
        <v>1</v>
      </c>
      <c r="M137">
        <f t="shared" si="31"/>
        <v>0.6944387791367761</v>
      </c>
      <c r="N137">
        <f t="shared" si="32"/>
        <v>0.1105096269</v>
      </c>
      <c r="O137">
        <f t="shared" si="33"/>
        <v>2.0225346809999999E-2</v>
      </c>
      <c r="P137">
        <f t="shared" si="34"/>
        <v>-7.0728601071558567E-2</v>
      </c>
      <c r="V137">
        <v>7.3</v>
      </c>
      <c r="W137">
        <f t="shared" si="35"/>
        <v>-3.8605099999999997</v>
      </c>
    </row>
    <row r="138" spans="1:23" x14ac:dyDescent="0.3">
      <c r="A138">
        <v>7.0007006999999994</v>
      </c>
      <c r="B138">
        <v>0.46483999999999998</v>
      </c>
      <c r="C138">
        <f t="shared" si="25"/>
        <v>3.2542057133879996</v>
      </c>
      <c r="D138">
        <v>1.5900000000000001E-2</v>
      </c>
      <c r="E138">
        <v>2.9099999999999998E-3</v>
      </c>
      <c r="F138">
        <f t="shared" si="26"/>
        <v>1400.14014</v>
      </c>
      <c r="G138">
        <f t="shared" si="27"/>
        <v>-0.46483999999999998</v>
      </c>
      <c r="H138">
        <f t="shared" si="28"/>
        <v>-650.84114267759992</v>
      </c>
      <c r="I138">
        <v>1</v>
      </c>
      <c r="J138">
        <f t="shared" si="29"/>
        <v>0.33657233161154221</v>
      </c>
      <c r="K138">
        <f t="shared" si="30"/>
        <v>-0.75688515177521754</v>
      </c>
      <c r="L138">
        <v>1</v>
      </c>
      <c r="M138">
        <f t="shared" si="31"/>
        <v>0.69772115301796245</v>
      </c>
      <c r="N138">
        <f t="shared" si="32"/>
        <v>0.11131114113</v>
      </c>
      <c r="O138">
        <f t="shared" si="33"/>
        <v>2.0372039036999998E-2</v>
      </c>
      <c r="P138">
        <f t="shared" si="34"/>
        <v>-7.2519181409744907E-2</v>
      </c>
      <c r="V138">
        <v>7.4</v>
      </c>
      <c r="W138">
        <f t="shared" si="35"/>
        <v>-3.9059300000000001</v>
      </c>
    </row>
    <row r="139" spans="1:23" x14ac:dyDescent="0.3">
      <c r="A139">
        <v>7.0531465000000004</v>
      </c>
      <c r="B139">
        <v>0.46278000000000002</v>
      </c>
      <c r="C139">
        <f t="shared" si="25"/>
        <v>3.2640551372700002</v>
      </c>
      <c r="D139">
        <v>1.5900000000000001E-2</v>
      </c>
      <c r="E139">
        <v>2.9099999999999998E-3</v>
      </c>
      <c r="F139">
        <f t="shared" si="26"/>
        <v>1410.6293000000001</v>
      </c>
      <c r="G139">
        <f t="shared" si="27"/>
        <v>-0.46278000000000002</v>
      </c>
      <c r="H139">
        <f t="shared" si="28"/>
        <v>-652.81102745400005</v>
      </c>
      <c r="I139">
        <v>1</v>
      </c>
      <c r="J139">
        <f t="shared" si="29"/>
        <v>0.34403591687921292</v>
      </c>
      <c r="K139">
        <f t="shared" si="30"/>
        <v>-0.75894515177521749</v>
      </c>
      <c r="L139">
        <v>1</v>
      </c>
      <c r="M139">
        <f t="shared" si="31"/>
        <v>0.70111111344653843</v>
      </c>
      <c r="N139">
        <f t="shared" si="32"/>
        <v>0.11214502935000001</v>
      </c>
      <c r="O139">
        <f t="shared" si="33"/>
        <v>2.0524656315000001E-2</v>
      </c>
      <c r="P139">
        <f t="shared" si="34"/>
        <v>-7.4835647336320948E-2</v>
      </c>
      <c r="V139">
        <v>7.5</v>
      </c>
      <c r="W139">
        <f t="shared" si="35"/>
        <v>-3.9513499999999997</v>
      </c>
    </row>
    <row r="140" spans="1:23" x14ac:dyDescent="0.3">
      <c r="A140">
        <v>7.1035556999999994</v>
      </c>
      <c r="B140">
        <v>0.46051999999999998</v>
      </c>
      <c r="C140">
        <f t="shared" si="25"/>
        <v>3.2713294709639995</v>
      </c>
      <c r="D140">
        <v>1.5900000000000001E-2</v>
      </c>
      <c r="E140">
        <v>2.9099999999999998E-3</v>
      </c>
      <c r="F140">
        <f t="shared" si="26"/>
        <v>1420.7111399999999</v>
      </c>
      <c r="G140">
        <f t="shared" si="27"/>
        <v>-0.46051999999999998</v>
      </c>
      <c r="H140">
        <f t="shared" si="28"/>
        <v>-654.26589419279992</v>
      </c>
      <c r="I140">
        <v>1</v>
      </c>
      <c r="J140">
        <f t="shared" si="29"/>
        <v>0.35115754907019192</v>
      </c>
      <c r="K140">
        <f t="shared" si="30"/>
        <v>-0.76120515177521741</v>
      </c>
      <c r="L140">
        <v>1</v>
      </c>
      <c r="M140">
        <f t="shared" si="31"/>
        <v>0.70434575878768113</v>
      </c>
      <c r="N140">
        <f t="shared" si="32"/>
        <v>0.11294653563</v>
      </c>
      <c r="O140">
        <f t="shared" si="33"/>
        <v>2.0671347086999997E-2</v>
      </c>
      <c r="P140">
        <f t="shared" si="34"/>
        <v>-7.6758489729463711E-2</v>
      </c>
    </row>
    <row r="141" spans="1:23" x14ac:dyDescent="0.3">
      <c r="A141">
        <v>7.1590562000000002</v>
      </c>
      <c r="B141">
        <v>0.45831</v>
      </c>
      <c r="C141">
        <f t="shared" si="25"/>
        <v>3.2810670470220002</v>
      </c>
      <c r="D141">
        <v>1.5900000000000001E-2</v>
      </c>
      <c r="E141">
        <v>2.9099999999999998E-3</v>
      </c>
      <c r="F141">
        <f t="shared" si="26"/>
        <v>1431.81124</v>
      </c>
      <c r="G141">
        <f t="shared" si="27"/>
        <v>-0.45831</v>
      </c>
      <c r="H141">
        <f t="shared" si="28"/>
        <v>-656.21340940440007</v>
      </c>
      <c r="I141">
        <v>1</v>
      </c>
      <c r="J141">
        <f t="shared" si="29"/>
        <v>0.3589402442075505</v>
      </c>
      <c r="K141">
        <f t="shared" si="30"/>
        <v>-0.76341515177521746</v>
      </c>
      <c r="L141">
        <v>1</v>
      </c>
      <c r="M141">
        <f t="shared" si="31"/>
        <v>0.70788065891906937</v>
      </c>
      <c r="N141">
        <f t="shared" si="32"/>
        <v>0.11382899358000001</v>
      </c>
      <c r="O141">
        <f t="shared" si="33"/>
        <v>2.0832853541999999E-2</v>
      </c>
      <c r="P141">
        <f t="shared" si="34"/>
        <v>-7.9127354265851921E-2</v>
      </c>
    </row>
    <row r="142" spans="1:23" x14ac:dyDescent="0.3">
      <c r="A142">
        <v>7.2109927000000003</v>
      </c>
      <c r="B142">
        <v>0.45612999999999998</v>
      </c>
      <c r="C142">
        <f t="shared" si="25"/>
        <v>3.2891501002510002</v>
      </c>
      <c r="D142">
        <v>1.5900000000000001E-2</v>
      </c>
      <c r="E142">
        <v>2.9099999999999998E-3</v>
      </c>
      <c r="F142">
        <f t="shared" si="26"/>
        <v>1442.1985400000001</v>
      </c>
      <c r="G142">
        <f t="shared" si="27"/>
        <v>-0.45612999999999998</v>
      </c>
      <c r="H142">
        <f t="shared" si="28"/>
        <v>-657.83002005020001</v>
      </c>
      <c r="I142">
        <v>1</v>
      </c>
      <c r="J142">
        <f t="shared" si="29"/>
        <v>0.3661687131577549</v>
      </c>
      <c r="K142">
        <f t="shared" si="30"/>
        <v>-0.76559515177521753</v>
      </c>
      <c r="L142">
        <v>1</v>
      </c>
      <c r="M142">
        <f t="shared" si="31"/>
        <v>0.71116382951625223</v>
      </c>
      <c r="N142">
        <f t="shared" si="32"/>
        <v>0.11465478393000002</v>
      </c>
      <c r="O142">
        <f t="shared" si="33"/>
        <v>2.0983988756999999E-2</v>
      </c>
      <c r="P142">
        <f t="shared" si="34"/>
        <v>-8.1207450428034719E-2</v>
      </c>
    </row>
    <row r="143" spans="1:23" x14ac:dyDescent="0.3">
      <c r="A143">
        <v>7.2629291999999994</v>
      </c>
      <c r="B143">
        <v>0.45373000000000002</v>
      </c>
      <c r="C143">
        <f t="shared" si="25"/>
        <v>3.2954088659159999</v>
      </c>
      <c r="D143">
        <v>1.5900000000000001E-2</v>
      </c>
      <c r="E143">
        <v>2.9099999999999998E-3</v>
      </c>
      <c r="F143">
        <f t="shared" si="26"/>
        <v>1452.58584</v>
      </c>
      <c r="G143">
        <f t="shared" si="27"/>
        <v>-0.45373000000000002</v>
      </c>
      <c r="H143">
        <f t="shared" si="28"/>
        <v>-659.08177318319997</v>
      </c>
      <c r="I143">
        <v>1</v>
      </c>
      <c r="J143">
        <f t="shared" si="29"/>
        <v>0.37334530610441752</v>
      </c>
      <c r="K143">
        <f t="shared" si="30"/>
        <v>-0.76799515177521749</v>
      </c>
      <c r="L143">
        <v>1</v>
      </c>
      <c r="M143">
        <f t="shared" si="31"/>
        <v>0.71442343803262642</v>
      </c>
      <c r="N143">
        <f t="shared" si="32"/>
        <v>0.11548057428</v>
      </c>
      <c r="O143">
        <f t="shared" si="33"/>
        <v>2.1135123971999997E-2</v>
      </c>
      <c r="P143">
        <f t="shared" si="34"/>
        <v>-8.3043984509408933E-2</v>
      </c>
    </row>
    <row r="144" spans="1:23" x14ac:dyDescent="0.3">
      <c r="A144">
        <v>7.3174125999999999</v>
      </c>
      <c r="B144">
        <v>0.45146999999999998</v>
      </c>
      <c r="C144">
        <f t="shared" si="25"/>
        <v>3.3035922665219997</v>
      </c>
      <c r="D144">
        <v>1.5900000000000001E-2</v>
      </c>
      <c r="E144">
        <v>2.9099999999999998E-3</v>
      </c>
      <c r="F144">
        <f t="shared" si="26"/>
        <v>1463.48252</v>
      </c>
      <c r="G144">
        <f t="shared" si="27"/>
        <v>-0.45146999999999998</v>
      </c>
      <c r="H144">
        <f t="shared" si="28"/>
        <v>-660.71845330439999</v>
      </c>
      <c r="I144">
        <v>1</v>
      </c>
      <c r="J144">
        <f t="shared" si="29"/>
        <v>0.38081888310853873</v>
      </c>
      <c r="K144">
        <f t="shared" si="30"/>
        <v>-0.77025515177521742</v>
      </c>
      <c r="L144">
        <v>1</v>
      </c>
      <c r="M144">
        <f t="shared" si="31"/>
        <v>0.71781793670789829</v>
      </c>
      <c r="N144">
        <f t="shared" si="32"/>
        <v>0.11634686034000001</v>
      </c>
      <c r="O144">
        <f t="shared" si="33"/>
        <v>2.1293670665999999E-2</v>
      </c>
      <c r="P144">
        <f t="shared" si="34"/>
        <v>-8.5203315938680885E-2</v>
      </c>
    </row>
    <row r="145" spans="1:16" x14ac:dyDescent="0.3">
      <c r="A145">
        <v>7.3678218000000006</v>
      </c>
      <c r="B145">
        <v>0.44923999999999997</v>
      </c>
      <c r="C145">
        <f t="shared" si="25"/>
        <v>3.3099202654319999</v>
      </c>
      <c r="D145">
        <v>1.5900000000000001E-2</v>
      </c>
      <c r="E145">
        <v>2.9099999999999998E-3</v>
      </c>
      <c r="F145">
        <f t="shared" si="26"/>
        <v>1473.5643600000001</v>
      </c>
      <c r="G145">
        <f t="shared" si="27"/>
        <v>-0.44923999999999997</v>
      </c>
      <c r="H145">
        <f t="shared" si="28"/>
        <v>-661.98405308639997</v>
      </c>
      <c r="I145">
        <v>1</v>
      </c>
      <c r="J145">
        <f t="shared" si="29"/>
        <v>0.38768420055867503</v>
      </c>
      <c r="K145">
        <f t="shared" si="30"/>
        <v>-0.77248515177521748</v>
      </c>
      <c r="L145">
        <v>1</v>
      </c>
      <c r="M145">
        <f t="shared" si="31"/>
        <v>0.72093616389375015</v>
      </c>
      <c r="N145">
        <f t="shared" si="32"/>
        <v>0.11714836662000001</v>
      </c>
      <c r="O145">
        <f t="shared" si="33"/>
        <v>2.1440361437999999E-2</v>
      </c>
      <c r="P145">
        <f t="shared" si="34"/>
        <v>-8.7039740176532682E-2</v>
      </c>
    </row>
    <row r="146" spans="1:16" x14ac:dyDescent="0.3">
      <c r="A146">
        <v>7.4192489999999998</v>
      </c>
      <c r="B146">
        <v>0.44719999999999999</v>
      </c>
      <c r="C146">
        <f t="shared" si="25"/>
        <v>3.3178881527999997</v>
      </c>
      <c r="D146">
        <v>1.5900000000000001E-2</v>
      </c>
      <c r="E146">
        <v>2.9099999999999998E-3</v>
      </c>
      <c r="F146">
        <f t="shared" si="26"/>
        <v>1483.8498</v>
      </c>
      <c r="G146">
        <f t="shared" si="27"/>
        <v>-0.44719999999999999</v>
      </c>
      <c r="H146">
        <f t="shared" si="28"/>
        <v>-663.57763055999999</v>
      </c>
      <c r="I146">
        <v>1</v>
      </c>
      <c r="J146">
        <f t="shared" si="29"/>
        <v>0.39463992668480824</v>
      </c>
      <c r="K146">
        <f t="shared" si="30"/>
        <v>-0.77452515177521741</v>
      </c>
      <c r="L146">
        <v>1</v>
      </c>
      <c r="M146">
        <f t="shared" si="31"/>
        <v>0.72409545470023984</v>
      </c>
      <c r="N146">
        <f t="shared" si="32"/>
        <v>0.11796605910000001</v>
      </c>
      <c r="O146">
        <f t="shared" si="33"/>
        <v>2.1590014589999998E-2</v>
      </c>
      <c r="P146">
        <f t="shared" si="34"/>
        <v>-8.9126376615022429E-2</v>
      </c>
    </row>
    <row r="147" spans="1:16" x14ac:dyDescent="0.3">
      <c r="A147">
        <v>7.4701674999999996</v>
      </c>
      <c r="B147">
        <v>0.44503999999999999</v>
      </c>
      <c r="C147">
        <f t="shared" si="25"/>
        <v>3.3245233441999997</v>
      </c>
      <c r="D147">
        <v>1.5900000000000001E-2</v>
      </c>
      <c r="E147">
        <v>2.9099999999999998E-3</v>
      </c>
      <c r="F147">
        <f t="shared" si="26"/>
        <v>1494.0335</v>
      </c>
      <c r="G147">
        <f t="shared" si="27"/>
        <v>-0.44503999999999999</v>
      </c>
      <c r="H147">
        <f t="shared" si="28"/>
        <v>-664.90466884</v>
      </c>
      <c r="I147">
        <v>1</v>
      </c>
      <c r="J147">
        <f t="shared" si="29"/>
        <v>0.40147950948466837</v>
      </c>
      <c r="K147">
        <f t="shared" si="30"/>
        <v>-0.77668515177521746</v>
      </c>
      <c r="L147">
        <v>1</v>
      </c>
      <c r="M147">
        <f t="shared" si="31"/>
        <v>0.72720199320793633</v>
      </c>
      <c r="N147">
        <f t="shared" si="32"/>
        <v>0.11877566325</v>
      </c>
      <c r="O147">
        <f t="shared" si="33"/>
        <v>2.1738187424999996E-2</v>
      </c>
      <c r="P147">
        <f t="shared" si="34"/>
        <v>-9.1030692107718858E-2</v>
      </c>
    </row>
    <row r="148" spans="1:16" x14ac:dyDescent="0.3">
      <c r="A148">
        <v>7.5221040000000006</v>
      </c>
      <c r="B148">
        <v>0.44311</v>
      </c>
      <c r="C148">
        <f t="shared" si="25"/>
        <v>3.3331195034400003</v>
      </c>
      <c r="D148">
        <v>1.5900000000000001E-2</v>
      </c>
      <c r="E148">
        <v>2.9099999999999998E-3</v>
      </c>
      <c r="F148">
        <f t="shared" si="26"/>
        <v>1504.4208000000001</v>
      </c>
      <c r="G148">
        <f t="shared" si="27"/>
        <v>-0.44311</v>
      </c>
      <c r="H148">
        <f t="shared" si="28"/>
        <v>-666.62390068800005</v>
      </c>
      <c r="I148">
        <v>1</v>
      </c>
      <c r="J148">
        <f t="shared" si="29"/>
        <v>0.4084079736285417</v>
      </c>
      <c r="K148">
        <f t="shared" si="30"/>
        <v>-0.77861515177521745</v>
      </c>
      <c r="L148">
        <v>1</v>
      </c>
      <c r="M148">
        <f t="shared" si="31"/>
        <v>0.73034890162208355</v>
      </c>
      <c r="N148">
        <f t="shared" si="32"/>
        <v>0.11960145360000002</v>
      </c>
      <c r="O148">
        <f t="shared" si="33"/>
        <v>2.188932264E-2</v>
      </c>
      <c r="P148">
        <f t="shared" si="34"/>
        <v>-9.3224526086866114E-2</v>
      </c>
    </row>
    <row r="149" spans="1:16" x14ac:dyDescent="0.3">
      <c r="A149">
        <v>7.5725136999999991</v>
      </c>
      <c r="B149">
        <v>0.44047999999999998</v>
      </c>
      <c r="C149">
        <f t="shared" si="25"/>
        <v>3.3355408345759994</v>
      </c>
      <c r="D149">
        <v>1.5900000000000001E-2</v>
      </c>
      <c r="E149">
        <v>2.9099999999999998E-3</v>
      </c>
      <c r="F149">
        <f t="shared" si="26"/>
        <v>1514.5027399999999</v>
      </c>
      <c r="G149">
        <f t="shared" si="27"/>
        <v>-0.44047999999999998</v>
      </c>
      <c r="H149">
        <f t="shared" si="28"/>
        <v>-667.10816691519983</v>
      </c>
      <c r="I149">
        <v>1</v>
      </c>
      <c r="J149">
        <f t="shared" si="29"/>
        <v>0.41508716066146489</v>
      </c>
      <c r="K149">
        <f t="shared" si="30"/>
        <v>-0.78124515177521747</v>
      </c>
      <c r="L149">
        <v>1</v>
      </c>
      <c r="M149">
        <f t="shared" si="31"/>
        <v>0.73338258837243731</v>
      </c>
      <c r="N149">
        <f t="shared" si="32"/>
        <v>0.12040296783</v>
      </c>
      <c r="O149">
        <f t="shared" si="33"/>
        <v>2.2036014866999996E-2</v>
      </c>
      <c r="P149">
        <f t="shared" si="34"/>
        <v>-9.4576419294219824E-2</v>
      </c>
    </row>
    <row r="150" spans="1:16" x14ac:dyDescent="0.3">
      <c r="A150">
        <v>7.6229228999999998</v>
      </c>
      <c r="B150">
        <v>0.43840000000000001</v>
      </c>
      <c r="C150">
        <f t="shared" si="25"/>
        <v>3.3418893993599998</v>
      </c>
      <c r="D150">
        <v>1.5900000000000001E-2</v>
      </c>
      <c r="E150">
        <v>2.9099999999999998E-3</v>
      </c>
      <c r="F150">
        <f t="shared" si="26"/>
        <v>1524.58458</v>
      </c>
      <c r="G150">
        <f t="shared" si="27"/>
        <v>-0.43840000000000001</v>
      </c>
      <c r="H150">
        <f t="shared" si="28"/>
        <v>-668.37787987199999</v>
      </c>
      <c r="I150">
        <v>1</v>
      </c>
      <c r="J150">
        <f t="shared" si="29"/>
        <v>0.42172196639259224</v>
      </c>
      <c r="K150">
        <f t="shared" si="30"/>
        <v>-0.78332515177521744</v>
      </c>
      <c r="L150">
        <v>1</v>
      </c>
      <c r="M150">
        <f t="shared" si="31"/>
        <v>0.73639611713551534</v>
      </c>
      <c r="N150">
        <f t="shared" si="32"/>
        <v>0.12120447411</v>
      </c>
      <c r="O150">
        <f t="shared" si="33"/>
        <v>2.2182705638999999E-2</v>
      </c>
      <c r="P150">
        <f t="shared" si="34"/>
        <v>-9.6458145109297899E-2</v>
      </c>
    </row>
    <row r="151" spans="1:16" x14ac:dyDescent="0.3">
      <c r="A151">
        <v>7.6753677000000007</v>
      </c>
      <c r="B151">
        <v>0.43641000000000002</v>
      </c>
      <c r="C151">
        <f t="shared" si="25"/>
        <v>3.3496072179570007</v>
      </c>
      <c r="D151">
        <v>1.5900000000000001E-2</v>
      </c>
      <c r="E151">
        <v>2.9099999999999998E-3</v>
      </c>
      <c r="F151">
        <f t="shared" si="26"/>
        <v>1535.0735400000001</v>
      </c>
      <c r="G151">
        <f t="shared" si="27"/>
        <v>-0.43641000000000002</v>
      </c>
      <c r="H151">
        <f t="shared" si="28"/>
        <v>-669.92144359140013</v>
      </c>
      <c r="I151">
        <v>1</v>
      </c>
      <c r="J151">
        <f t="shared" si="29"/>
        <v>0.42857828868635922</v>
      </c>
      <c r="K151">
        <f t="shared" si="30"/>
        <v>-0.78531515177521749</v>
      </c>
      <c r="L151">
        <v>1</v>
      </c>
      <c r="M151">
        <f t="shared" si="31"/>
        <v>0.73951025872134424</v>
      </c>
      <c r="N151">
        <f t="shared" si="32"/>
        <v>0.12203834643000001</v>
      </c>
      <c r="O151">
        <f t="shared" si="33"/>
        <v>2.2335320007E-2</v>
      </c>
      <c r="P151">
        <f t="shared" si="34"/>
        <v>-9.8568773383126765E-2</v>
      </c>
    </row>
    <row r="152" spans="1:16" x14ac:dyDescent="0.3">
      <c r="A152">
        <v>7.7257772999999998</v>
      </c>
      <c r="B152">
        <v>0.43425000000000002</v>
      </c>
      <c r="C152">
        <f t="shared" si="25"/>
        <v>3.3549187925249999</v>
      </c>
      <c r="D152">
        <v>1.5900000000000001E-2</v>
      </c>
      <c r="E152">
        <v>2.9099999999999998E-3</v>
      </c>
      <c r="F152">
        <f t="shared" si="26"/>
        <v>1545.1554599999999</v>
      </c>
      <c r="G152">
        <f t="shared" si="27"/>
        <v>-0.43425000000000002</v>
      </c>
      <c r="H152">
        <f t="shared" si="28"/>
        <v>-670.98375850499997</v>
      </c>
      <c r="I152">
        <v>1</v>
      </c>
      <c r="J152">
        <f t="shared" si="29"/>
        <v>0.43512452664694262</v>
      </c>
      <c r="K152">
        <f t="shared" si="30"/>
        <v>-0.78747515177521743</v>
      </c>
      <c r="L152">
        <v>1</v>
      </c>
      <c r="M152">
        <f t="shared" si="31"/>
        <v>0.74248356000304128</v>
      </c>
      <c r="N152">
        <f t="shared" si="32"/>
        <v>0.12283985907</v>
      </c>
      <c r="O152">
        <f t="shared" si="33"/>
        <v>2.2482011942999997E-2</v>
      </c>
      <c r="P152">
        <f t="shared" si="34"/>
        <v>-0.10033027924082384</v>
      </c>
    </row>
    <row r="153" spans="1:16" x14ac:dyDescent="0.3">
      <c r="A153">
        <v>7.7766957999999997</v>
      </c>
      <c r="B153">
        <v>0.43219000000000002</v>
      </c>
      <c r="C153">
        <f t="shared" si="25"/>
        <v>3.3610101578020002</v>
      </c>
      <c r="D153">
        <v>1.5900000000000001E-2</v>
      </c>
      <c r="E153">
        <v>2.9099999999999998E-3</v>
      </c>
      <c r="F153">
        <f t="shared" si="26"/>
        <v>1555.33916</v>
      </c>
      <c r="G153">
        <f t="shared" si="27"/>
        <v>-0.43219000000000002</v>
      </c>
      <c r="H153">
        <f t="shared" si="28"/>
        <v>-672.20203156040009</v>
      </c>
      <c r="I153">
        <v>1</v>
      </c>
      <c r="J153">
        <f t="shared" si="29"/>
        <v>0.44169363117357552</v>
      </c>
      <c r="K153">
        <f t="shared" si="30"/>
        <v>-0.78953515177521738</v>
      </c>
      <c r="L153">
        <v>1</v>
      </c>
      <c r="M153">
        <f t="shared" si="31"/>
        <v>0.7454672472790379</v>
      </c>
      <c r="N153">
        <f t="shared" si="32"/>
        <v>0.12364946322000001</v>
      </c>
      <c r="O153">
        <f t="shared" si="33"/>
        <v>2.2630184777999999E-2</v>
      </c>
      <c r="P153">
        <f t="shared" si="34"/>
        <v>-0.10221174350182052</v>
      </c>
    </row>
    <row r="154" spans="1:16" x14ac:dyDescent="0.3">
      <c r="A154">
        <v>7.8301597000000003</v>
      </c>
      <c r="B154">
        <v>0.42957000000000001</v>
      </c>
      <c r="C154">
        <f t="shared" si="25"/>
        <v>3.3636017023290004</v>
      </c>
      <c r="D154">
        <v>1.5900000000000001E-2</v>
      </c>
      <c r="E154">
        <v>2.9099999999999998E-3</v>
      </c>
      <c r="F154">
        <f t="shared" si="26"/>
        <v>1566.0319400000001</v>
      </c>
      <c r="G154">
        <f t="shared" si="27"/>
        <v>-0.42957000000000001</v>
      </c>
      <c r="H154">
        <f t="shared" si="28"/>
        <v>-672.72034046580006</v>
      </c>
      <c r="I154">
        <v>1</v>
      </c>
      <c r="J154">
        <f t="shared" si="29"/>
        <v>0.44854499327377206</v>
      </c>
      <c r="K154">
        <f t="shared" si="30"/>
        <v>-0.79215515177521745</v>
      </c>
      <c r="L154">
        <v>1</v>
      </c>
      <c r="M154">
        <f t="shared" si="31"/>
        <v>0.74857913594494718</v>
      </c>
      <c r="N154">
        <f t="shared" si="32"/>
        <v>0.12449953923000001</v>
      </c>
      <c r="O154">
        <f t="shared" si="33"/>
        <v>2.2785764726999998E-2</v>
      </c>
      <c r="P154">
        <f t="shared" si="34"/>
        <v>-0.10370928812672975</v>
      </c>
    </row>
    <row r="155" spans="1:16" x14ac:dyDescent="0.3">
      <c r="A155">
        <v>7.8856611000000001</v>
      </c>
      <c r="B155">
        <v>0.42725999999999997</v>
      </c>
      <c r="C155">
        <f t="shared" si="25"/>
        <v>3.3692275615859999</v>
      </c>
      <c r="D155">
        <v>1.5900000000000001E-2</v>
      </c>
      <c r="E155">
        <v>2.9099999999999998E-3</v>
      </c>
      <c r="F155">
        <f t="shared" si="26"/>
        <v>1577.13222</v>
      </c>
      <c r="G155">
        <f t="shared" si="27"/>
        <v>-0.42725999999999997</v>
      </c>
      <c r="H155">
        <f t="shared" si="28"/>
        <v>-673.84551231720002</v>
      </c>
      <c r="I155">
        <v>1</v>
      </c>
      <c r="J155">
        <f t="shared" si="29"/>
        <v>0.45560814720567383</v>
      </c>
      <c r="K155">
        <f t="shared" si="30"/>
        <v>-0.79446515177521748</v>
      </c>
      <c r="L155">
        <v>1</v>
      </c>
      <c r="M155">
        <f t="shared" si="31"/>
        <v>0.75178722046081703</v>
      </c>
      <c r="N155">
        <f t="shared" si="32"/>
        <v>0.12538201149</v>
      </c>
      <c r="O155">
        <f t="shared" si="33"/>
        <v>2.2947273801E-2</v>
      </c>
      <c r="P155">
        <f t="shared" si="34"/>
        <v>-0.10565135397659955</v>
      </c>
    </row>
    <row r="156" spans="1:16" x14ac:dyDescent="0.3">
      <c r="A156">
        <v>7.9360702999999999</v>
      </c>
      <c r="B156">
        <v>0.42504999999999998</v>
      </c>
      <c r="C156">
        <f t="shared" si="25"/>
        <v>3.3732266810149998</v>
      </c>
      <c r="D156">
        <v>1.5900000000000001E-2</v>
      </c>
      <c r="E156">
        <v>2.9099999999999998E-3</v>
      </c>
      <c r="F156">
        <f t="shared" si="26"/>
        <v>1587.21406</v>
      </c>
      <c r="G156">
        <f t="shared" si="27"/>
        <v>-0.42504999999999998</v>
      </c>
      <c r="H156">
        <f t="shared" si="28"/>
        <v>-674.64533620299994</v>
      </c>
      <c r="I156">
        <v>1</v>
      </c>
      <c r="J156">
        <f t="shared" si="29"/>
        <v>0.46198031587617167</v>
      </c>
      <c r="K156">
        <f t="shared" si="30"/>
        <v>-0.79667515177521753</v>
      </c>
      <c r="L156">
        <v>1</v>
      </c>
      <c r="M156">
        <f t="shared" si="31"/>
        <v>0.75468145947095711</v>
      </c>
      <c r="N156">
        <f t="shared" si="32"/>
        <v>0.12618351777</v>
      </c>
      <c r="O156">
        <f t="shared" si="33"/>
        <v>2.3093964573E-2</v>
      </c>
      <c r="P156">
        <f t="shared" si="34"/>
        <v>-0.10728379003873958</v>
      </c>
    </row>
    <row r="157" spans="1:16" x14ac:dyDescent="0.3">
      <c r="A157">
        <v>7.9895341999999996</v>
      </c>
      <c r="B157">
        <v>0.42271999999999998</v>
      </c>
      <c r="C157">
        <f t="shared" si="25"/>
        <v>3.3773358970239995</v>
      </c>
      <c r="D157">
        <v>1.5900000000000001E-2</v>
      </c>
      <c r="E157">
        <v>2.9099999999999998E-3</v>
      </c>
      <c r="F157">
        <f t="shared" si="26"/>
        <v>1597.9068399999999</v>
      </c>
      <c r="G157">
        <f t="shared" si="27"/>
        <v>-0.42271999999999998</v>
      </c>
      <c r="H157">
        <f t="shared" si="28"/>
        <v>-675.46717940479994</v>
      </c>
      <c r="I157">
        <v>1</v>
      </c>
      <c r="J157">
        <f t="shared" si="29"/>
        <v>0.46869454777235536</v>
      </c>
      <c r="K157">
        <f t="shared" si="30"/>
        <v>-0.79900515177521747</v>
      </c>
      <c r="L157">
        <v>1</v>
      </c>
      <c r="M157">
        <f t="shared" si="31"/>
        <v>0.75773106359820375</v>
      </c>
      <c r="N157">
        <f t="shared" si="32"/>
        <v>0.12703359378000001</v>
      </c>
      <c r="O157">
        <f t="shared" si="33"/>
        <v>2.3249544521999996E-2</v>
      </c>
      <c r="P157">
        <f t="shared" si="34"/>
        <v>-0.10900905012498628</v>
      </c>
    </row>
    <row r="158" spans="1:16" x14ac:dyDescent="0.3">
      <c r="A158">
        <v>8.0399437999999996</v>
      </c>
      <c r="B158">
        <v>0.42050999999999999</v>
      </c>
      <c r="C158">
        <f t="shared" si="25"/>
        <v>3.380876767338</v>
      </c>
      <c r="D158">
        <v>1.5900000000000001E-2</v>
      </c>
      <c r="E158">
        <v>2.9099999999999998E-3</v>
      </c>
      <c r="F158">
        <f t="shared" si="26"/>
        <v>1607.98876</v>
      </c>
      <c r="G158">
        <f t="shared" si="27"/>
        <v>-0.42050999999999999</v>
      </c>
      <c r="H158">
        <f t="shared" si="28"/>
        <v>-676.17535346759996</v>
      </c>
      <c r="I158">
        <v>1</v>
      </c>
      <c r="J158">
        <f t="shared" si="29"/>
        <v>0.4749841806825929</v>
      </c>
      <c r="K158">
        <f t="shared" si="30"/>
        <v>-0.80121515177521752</v>
      </c>
      <c r="L158">
        <v>1</v>
      </c>
      <c r="M158">
        <f t="shared" si="31"/>
        <v>0.76058781486603366</v>
      </c>
      <c r="N158">
        <f t="shared" si="32"/>
        <v>0.12783510642000001</v>
      </c>
      <c r="O158">
        <f t="shared" si="33"/>
        <v>2.3396236457999996E-2</v>
      </c>
      <c r="P158">
        <f t="shared" si="34"/>
        <v>-0.11060400596881616</v>
      </c>
    </row>
    <row r="159" spans="1:16" x14ac:dyDescent="0.3">
      <c r="A159">
        <v>8.0918804000000009</v>
      </c>
      <c r="B159">
        <v>0.41814000000000001</v>
      </c>
      <c r="C159">
        <f t="shared" si="25"/>
        <v>3.3835388704560003</v>
      </c>
      <c r="D159">
        <v>1.5900000000000001E-2</v>
      </c>
      <c r="E159">
        <v>2.9099999999999998E-3</v>
      </c>
      <c r="F159">
        <f t="shared" si="26"/>
        <v>1618.3760800000002</v>
      </c>
      <c r="G159">
        <f t="shared" si="27"/>
        <v>-0.41814000000000001</v>
      </c>
      <c r="H159">
        <f t="shared" si="28"/>
        <v>-676.70777409120001</v>
      </c>
      <c r="I159">
        <v>1</v>
      </c>
      <c r="J159">
        <f t="shared" si="29"/>
        <v>0.48142322673251414</v>
      </c>
      <c r="K159">
        <f t="shared" si="30"/>
        <v>-0.8035851517752175</v>
      </c>
      <c r="L159">
        <v>1</v>
      </c>
      <c r="M159">
        <f t="shared" si="31"/>
        <v>0.7635124295819079</v>
      </c>
      <c r="N159">
        <f t="shared" si="32"/>
        <v>0.12866089836000003</v>
      </c>
      <c r="O159">
        <f t="shared" si="33"/>
        <v>2.3547371964000002E-2</v>
      </c>
      <c r="P159">
        <f t="shared" si="34"/>
        <v>-0.11213554813069043</v>
      </c>
    </row>
    <row r="160" spans="1:16" x14ac:dyDescent="0.3">
      <c r="A160">
        <v>8.1443257000000013</v>
      </c>
      <c r="B160">
        <v>0.41585</v>
      </c>
      <c r="C160">
        <f t="shared" si="25"/>
        <v>3.3868178423450006</v>
      </c>
      <c r="D160">
        <v>1.5900000000000001E-2</v>
      </c>
      <c r="E160">
        <v>2.9099999999999998E-3</v>
      </c>
      <c r="F160">
        <f t="shared" si="26"/>
        <v>1628.8651400000003</v>
      </c>
      <c r="G160">
        <f t="shared" si="27"/>
        <v>-0.41585</v>
      </c>
      <c r="H160">
        <f t="shared" si="28"/>
        <v>-677.36356846900014</v>
      </c>
      <c r="I160">
        <v>1</v>
      </c>
      <c r="J160">
        <f t="shared" si="29"/>
        <v>0.48788353920699568</v>
      </c>
      <c r="K160">
        <f t="shared" si="30"/>
        <v>-0.8058751517752174</v>
      </c>
      <c r="L160">
        <v>1</v>
      </c>
      <c r="M160">
        <f t="shared" si="31"/>
        <v>0.76644670350781741</v>
      </c>
      <c r="N160">
        <f t="shared" si="32"/>
        <v>0.12949477863000003</v>
      </c>
      <c r="O160">
        <f t="shared" si="33"/>
        <v>2.3699987787000002E-2</v>
      </c>
      <c r="P160">
        <f t="shared" si="34"/>
        <v>-0.11376631814960003</v>
      </c>
    </row>
    <row r="161" spans="1:16" x14ac:dyDescent="0.3">
      <c r="A161">
        <v>8.1962627000000001</v>
      </c>
      <c r="B161">
        <v>0.4138</v>
      </c>
      <c r="C161">
        <f t="shared" si="25"/>
        <v>3.39161350526</v>
      </c>
      <c r="D161">
        <v>1.5900000000000001E-2</v>
      </c>
      <c r="E161">
        <v>2.9099999999999998E-3</v>
      </c>
      <c r="F161">
        <f t="shared" si="26"/>
        <v>1639.25254</v>
      </c>
      <c r="G161">
        <f t="shared" si="27"/>
        <v>-0.4138</v>
      </c>
      <c r="H161">
        <f t="shared" si="28"/>
        <v>-678.32270105199996</v>
      </c>
      <c r="I161">
        <v>1</v>
      </c>
      <c r="J161">
        <f t="shared" si="29"/>
        <v>0.49424036964948692</v>
      </c>
      <c r="K161">
        <f t="shared" si="30"/>
        <v>-0.80792515177521751</v>
      </c>
      <c r="L161">
        <v>1</v>
      </c>
      <c r="M161">
        <f t="shared" si="31"/>
        <v>0.76933397589479691</v>
      </c>
      <c r="N161">
        <f t="shared" si="32"/>
        <v>0.13032057693000001</v>
      </c>
      <c r="O161">
        <f t="shared" si="33"/>
        <v>2.3851124456999998E-2</v>
      </c>
      <c r="P161">
        <f t="shared" si="34"/>
        <v>-0.11558052550657941</v>
      </c>
    </row>
    <row r="162" spans="1:16" x14ac:dyDescent="0.3">
      <c r="A162">
        <v>8.250236300000001</v>
      </c>
      <c r="B162">
        <v>0.41116999999999998</v>
      </c>
      <c r="C162">
        <f t="shared" si="25"/>
        <v>3.3922496594710001</v>
      </c>
      <c r="D162">
        <v>1.5900000000000001E-2</v>
      </c>
      <c r="E162">
        <v>2.9099999999999998E-3</v>
      </c>
      <c r="F162">
        <f t="shared" si="26"/>
        <v>1650.0472600000003</v>
      </c>
      <c r="G162">
        <f t="shared" si="27"/>
        <v>-0.41116999999999998</v>
      </c>
      <c r="H162">
        <f t="shared" si="28"/>
        <v>-678.44993189420006</v>
      </c>
      <c r="I162">
        <v>1</v>
      </c>
      <c r="J162">
        <f t="shared" si="29"/>
        <v>0.50080392992654543</v>
      </c>
      <c r="K162">
        <f t="shared" si="30"/>
        <v>-0.81055515177521742</v>
      </c>
      <c r="L162">
        <v>1</v>
      </c>
      <c r="M162">
        <f t="shared" si="31"/>
        <v>0.77231514497263687</v>
      </c>
      <c r="N162">
        <f t="shared" si="32"/>
        <v>0.13117875717000002</v>
      </c>
      <c r="O162">
        <f t="shared" si="33"/>
        <v>2.4008187633E-2</v>
      </c>
      <c r="P162">
        <f t="shared" si="34"/>
        <v>-0.11694693800041947</v>
      </c>
    </row>
    <row r="163" spans="1:16" x14ac:dyDescent="0.3">
      <c r="A163">
        <v>8.3006454999999999</v>
      </c>
      <c r="B163">
        <v>0.40906999999999999</v>
      </c>
      <c r="C163">
        <f t="shared" si="25"/>
        <v>3.3955450546849999</v>
      </c>
      <c r="D163">
        <v>1.5900000000000001E-2</v>
      </c>
      <c r="E163">
        <v>2.9099999999999998E-3</v>
      </c>
      <c r="F163">
        <f t="shared" si="26"/>
        <v>1660.1290999999999</v>
      </c>
      <c r="G163">
        <f t="shared" si="27"/>
        <v>-0.40906999999999999</v>
      </c>
      <c r="H163">
        <f t="shared" si="28"/>
        <v>-679.10901093699999</v>
      </c>
      <c r="I163">
        <v>1</v>
      </c>
      <c r="J163">
        <f t="shared" si="29"/>
        <v>0.50689537042877508</v>
      </c>
      <c r="K163">
        <f t="shared" si="30"/>
        <v>-0.81265515177521741</v>
      </c>
      <c r="L163">
        <v>1</v>
      </c>
      <c r="M163">
        <f t="shared" si="31"/>
        <v>0.77508187724874955</v>
      </c>
      <c r="N163">
        <f t="shared" si="32"/>
        <v>0.13198026345</v>
      </c>
      <c r="O163">
        <f t="shared" si="33"/>
        <v>2.4154878405E-2</v>
      </c>
      <c r="P163">
        <f t="shared" si="34"/>
        <v>-0.11856186732853213</v>
      </c>
    </row>
    <row r="164" spans="1:16" x14ac:dyDescent="0.3">
      <c r="A164">
        <v>8.352582</v>
      </c>
      <c r="B164">
        <v>0.40683000000000002</v>
      </c>
      <c r="C164">
        <f t="shared" si="25"/>
        <v>3.3980809350600003</v>
      </c>
      <c r="D164">
        <v>1.5900000000000001E-2</v>
      </c>
      <c r="E164">
        <v>2.9099999999999998E-3</v>
      </c>
      <c r="F164">
        <f t="shared" si="26"/>
        <v>1670.5164</v>
      </c>
      <c r="G164">
        <f t="shared" si="27"/>
        <v>-0.40683000000000002</v>
      </c>
      <c r="H164">
        <f t="shared" si="28"/>
        <v>-679.61618701200007</v>
      </c>
      <c r="I164">
        <v>1</v>
      </c>
      <c r="J164">
        <f t="shared" si="29"/>
        <v>0.51313280018641771</v>
      </c>
      <c r="K164">
        <f t="shared" si="30"/>
        <v>-0.81489515177521743</v>
      </c>
      <c r="L164">
        <v>1</v>
      </c>
      <c r="M164">
        <f t="shared" si="31"/>
        <v>0.77791491784467093</v>
      </c>
      <c r="N164">
        <f t="shared" si="32"/>
        <v>0.13280605380000002</v>
      </c>
      <c r="O164">
        <f t="shared" si="33"/>
        <v>2.4306013619999997E-2</v>
      </c>
      <c r="P164">
        <f t="shared" si="34"/>
        <v>-0.12013183348945351</v>
      </c>
    </row>
    <row r="165" spans="1:16" x14ac:dyDescent="0.3">
      <c r="A165">
        <v>8.4050282999999997</v>
      </c>
      <c r="B165">
        <v>0.40451999999999999</v>
      </c>
      <c r="C165">
        <f t="shared" si="25"/>
        <v>3.4000020479159998</v>
      </c>
      <c r="D165">
        <v>1.5900000000000001E-2</v>
      </c>
      <c r="E165">
        <v>2.9099999999999998E-3</v>
      </c>
      <c r="F165">
        <f t="shared" si="26"/>
        <v>1681.00566</v>
      </c>
      <c r="G165">
        <f t="shared" si="27"/>
        <v>-0.40451999999999999</v>
      </c>
      <c r="H165">
        <f t="shared" si="28"/>
        <v>-680.00040958319994</v>
      </c>
      <c r="I165">
        <v>1</v>
      </c>
      <c r="J165">
        <f t="shared" si="29"/>
        <v>0.51939222146423669</v>
      </c>
      <c r="K165">
        <f t="shared" si="30"/>
        <v>-0.81720515177521746</v>
      </c>
      <c r="L165">
        <v>1</v>
      </c>
      <c r="M165">
        <f t="shared" si="31"/>
        <v>0.78075794698905621</v>
      </c>
      <c r="N165">
        <f t="shared" si="32"/>
        <v>0.13363994997</v>
      </c>
      <c r="O165">
        <f t="shared" si="33"/>
        <v>2.4458632352999998E-2</v>
      </c>
      <c r="P165">
        <f t="shared" si="34"/>
        <v>-0.12165137753683875</v>
      </c>
    </row>
    <row r="166" spans="1:16" x14ac:dyDescent="0.3">
      <c r="A166">
        <v>8.4646024999999998</v>
      </c>
      <c r="B166">
        <v>0.40228999999999998</v>
      </c>
      <c r="C166">
        <f t="shared" si="25"/>
        <v>3.4052249397249996</v>
      </c>
      <c r="D166">
        <v>1.5900000000000001E-2</v>
      </c>
      <c r="E166">
        <v>2.9099999999999998E-3</v>
      </c>
      <c r="F166">
        <f t="shared" si="26"/>
        <v>1692.9204999999999</v>
      </c>
      <c r="G166">
        <f t="shared" si="27"/>
        <v>-0.40228999999999998</v>
      </c>
      <c r="H166">
        <f t="shared" si="28"/>
        <v>-681.04498794499989</v>
      </c>
      <c r="I166">
        <v>1</v>
      </c>
      <c r="J166">
        <f t="shared" si="29"/>
        <v>0.52645514398582316</v>
      </c>
      <c r="K166">
        <f t="shared" si="30"/>
        <v>-0.81943515177521742</v>
      </c>
      <c r="L166">
        <v>1</v>
      </c>
      <c r="M166">
        <f t="shared" si="31"/>
        <v>0.78396592639836082</v>
      </c>
      <c r="N166">
        <f t="shared" si="32"/>
        <v>0.13458717975000001</v>
      </c>
      <c r="O166">
        <f t="shared" si="33"/>
        <v>2.4631993274999996E-2</v>
      </c>
      <c r="P166">
        <f t="shared" si="34"/>
        <v>-0.12374994764814341</v>
      </c>
    </row>
    <row r="167" spans="1:16" x14ac:dyDescent="0.3">
      <c r="A167">
        <v>8.5170487999999995</v>
      </c>
      <c r="B167">
        <v>0.39960000000000001</v>
      </c>
      <c r="C167">
        <f t="shared" si="25"/>
        <v>3.4034127004800001</v>
      </c>
      <c r="D167">
        <v>1.5900000000000001E-2</v>
      </c>
      <c r="E167">
        <v>2.9099999999999998E-3</v>
      </c>
      <c r="F167">
        <f t="shared" si="26"/>
        <v>1703.40976</v>
      </c>
      <c r="G167">
        <f t="shared" si="27"/>
        <v>-0.39960000000000001</v>
      </c>
      <c r="H167">
        <f t="shared" si="28"/>
        <v>-680.68254009600003</v>
      </c>
      <c r="I167">
        <v>1</v>
      </c>
      <c r="J167">
        <f t="shared" si="29"/>
        <v>0.53263198342546525</v>
      </c>
      <c r="K167">
        <f t="shared" si="30"/>
        <v>-0.8221251517752175</v>
      </c>
      <c r="L167">
        <v>1</v>
      </c>
      <c r="M167">
        <f t="shared" si="31"/>
        <v>0.7867714468718463</v>
      </c>
      <c r="N167">
        <f t="shared" si="32"/>
        <v>0.13542107591999999</v>
      </c>
      <c r="O167">
        <f t="shared" si="33"/>
        <v>2.4784612007999998E-2</v>
      </c>
      <c r="P167">
        <f t="shared" si="34"/>
        <v>-0.1248519830246288</v>
      </c>
    </row>
    <row r="168" spans="1:16" x14ac:dyDescent="0.3">
      <c r="A168">
        <v>8.5705127000000001</v>
      </c>
      <c r="B168">
        <v>0.39756000000000002</v>
      </c>
      <c r="C168">
        <f t="shared" si="25"/>
        <v>3.407293029012</v>
      </c>
      <c r="D168">
        <v>1.5900000000000001E-2</v>
      </c>
      <c r="E168">
        <v>2.9099999999999998E-3</v>
      </c>
      <c r="F168">
        <f t="shared" si="26"/>
        <v>1714.1025400000001</v>
      </c>
      <c r="G168">
        <f t="shared" si="27"/>
        <v>-0.39756000000000002</v>
      </c>
      <c r="H168">
        <f t="shared" si="28"/>
        <v>-681.45860580240003</v>
      </c>
      <c r="I168">
        <v>1</v>
      </c>
      <c r="J168">
        <f t="shared" si="29"/>
        <v>0.53888964335697431</v>
      </c>
      <c r="K168">
        <f t="shared" si="30"/>
        <v>-0.82416515177521743</v>
      </c>
      <c r="L168">
        <v>1</v>
      </c>
      <c r="M168">
        <f t="shared" si="31"/>
        <v>0.78961367601273769</v>
      </c>
      <c r="N168">
        <f t="shared" si="32"/>
        <v>0.13627115193</v>
      </c>
      <c r="O168">
        <f t="shared" si="33"/>
        <v>2.4940191957000001E-2</v>
      </c>
      <c r="P168">
        <f t="shared" si="34"/>
        <v>-0.12665986812452026</v>
      </c>
    </row>
    <row r="169" spans="1:16" x14ac:dyDescent="0.3">
      <c r="A169">
        <v>8.6209229000000001</v>
      </c>
      <c r="B169">
        <v>0.39521000000000001</v>
      </c>
      <c r="C169">
        <f t="shared" si="25"/>
        <v>3.4070749393090001</v>
      </c>
      <c r="D169">
        <v>1.5900000000000001E-2</v>
      </c>
      <c r="E169">
        <v>2.9099999999999998E-3</v>
      </c>
      <c r="F169">
        <f t="shared" si="26"/>
        <v>1724.1845800000001</v>
      </c>
      <c r="G169">
        <f t="shared" si="27"/>
        <v>-0.39521000000000001</v>
      </c>
      <c r="H169">
        <f t="shared" si="28"/>
        <v>-681.4149878618</v>
      </c>
      <c r="I169">
        <v>1</v>
      </c>
      <c r="J169">
        <f t="shared" si="29"/>
        <v>0.54475423147565438</v>
      </c>
      <c r="K169">
        <f t="shared" si="30"/>
        <v>-0.82651515177521739</v>
      </c>
      <c r="L169">
        <v>1</v>
      </c>
      <c r="M169">
        <f t="shared" si="31"/>
        <v>0.79227737193624215</v>
      </c>
      <c r="N169">
        <f t="shared" si="32"/>
        <v>0.13707267411000001</v>
      </c>
      <c r="O169">
        <f t="shared" si="33"/>
        <v>2.5086885638999998E-2</v>
      </c>
      <c r="P169">
        <f t="shared" si="34"/>
        <v>-0.12792177991002476</v>
      </c>
    </row>
    <row r="170" spans="1:16" x14ac:dyDescent="0.3">
      <c r="A170">
        <v>8.6723496000000004</v>
      </c>
      <c r="B170">
        <v>0.39301000000000003</v>
      </c>
      <c r="C170">
        <f t="shared" si="25"/>
        <v>3.4083201162960002</v>
      </c>
      <c r="D170">
        <v>1.5900000000000001E-2</v>
      </c>
      <c r="E170">
        <v>2.9099999999999998E-3</v>
      </c>
      <c r="F170">
        <f t="shared" si="26"/>
        <v>1734.46992</v>
      </c>
      <c r="G170">
        <f t="shared" si="27"/>
        <v>-0.39301000000000003</v>
      </c>
      <c r="H170">
        <f t="shared" si="28"/>
        <v>-681.66402325920001</v>
      </c>
      <c r="I170">
        <v>1</v>
      </c>
      <c r="J170">
        <f t="shared" si="29"/>
        <v>0.55070184510375308</v>
      </c>
      <c r="K170">
        <f t="shared" si="30"/>
        <v>-0.82871515177521737</v>
      </c>
      <c r="L170">
        <v>1</v>
      </c>
      <c r="M170">
        <f t="shared" si="31"/>
        <v>0.7949787780461246</v>
      </c>
      <c r="N170">
        <f t="shared" si="32"/>
        <v>0.13789035864000002</v>
      </c>
      <c r="O170">
        <f t="shared" si="33"/>
        <v>2.5236537335999999E-2</v>
      </c>
      <c r="P170">
        <f t="shared" si="34"/>
        <v>-0.12939052224690725</v>
      </c>
    </row>
    <row r="171" spans="1:16" x14ac:dyDescent="0.3">
      <c r="A171">
        <v>8.7258145000000003</v>
      </c>
      <c r="B171">
        <v>0.39089000000000002</v>
      </c>
      <c r="C171">
        <f t="shared" si="25"/>
        <v>3.4108336299050004</v>
      </c>
      <c r="D171">
        <v>1.5900000000000001E-2</v>
      </c>
      <c r="E171">
        <v>2.9099999999999998E-3</v>
      </c>
      <c r="F171">
        <f t="shared" si="26"/>
        <v>1745.1629</v>
      </c>
      <c r="G171">
        <f t="shared" si="27"/>
        <v>-0.39089000000000002</v>
      </c>
      <c r="H171">
        <f t="shared" si="28"/>
        <v>-682.16672598100013</v>
      </c>
      <c r="I171">
        <v>1</v>
      </c>
      <c r="J171">
        <f t="shared" si="29"/>
        <v>0.55684790373285309</v>
      </c>
      <c r="K171">
        <f t="shared" si="30"/>
        <v>-0.8308351517752175</v>
      </c>
      <c r="L171">
        <v>1</v>
      </c>
      <c r="M171">
        <f t="shared" si="31"/>
        <v>0.79777031787546182</v>
      </c>
      <c r="N171">
        <f t="shared" si="32"/>
        <v>0.13874045055000001</v>
      </c>
      <c r="O171">
        <f t="shared" si="33"/>
        <v>2.5392120194999999E-2</v>
      </c>
      <c r="P171">
        <f t="shared" si="34"/>
        <v>-0.13106773684524434</v>
      </c>
    </row>
    <row r="172" spans="1:16" x14ac:dyDescent="0.3">
      <c r="A172">
        <v>8.7782597999999989</v>
      </c>
      <c r="B172">
        <v>0.38863999999999999</v>
      </c>
      <c r="C172">
        <f t="shared" si="25"/>
        <v>3.4115828886719997</v>
      </c>
      <c r="D172">
        <v>1.5900000000000001E-2</v>
      </c>
      <c r="E172">
        <v>2.9099999999999998E-3</v>
      </c>
      <c r="F172">
        <f t="shared" si="26"/>
        <v>1755.6519599999997</v>
      </c>
      <c r="G172">
        <f t="shared" si="27"/>
        <v>-0.38863999999999999</v>
      </c>
      <c r="H172">
        <f t="shared" si="28"/>
        <v>-682.31657773439997</v>
      </c>
      <c r="I172">
        <v>1</v>
      </c>
      <c r="J172">
        <f t="shared" si="29"/>
        <v>0.56284027511303791</v>
      </c>
      <c r="K172">
        <f t="shared" si="30"/>
        <v>-0.83308515177521747</v>
      </c>
      <c r="L172">
        <v>1</v>
      </c>
      <c r="M172">
        <f t="shared" si="31"/>
        <v>0.80049205295634174</v>
      </c>
      <c r="N172">
        <f t="shared" si="32"/>
        <v>0.13957433081999998</v>
      </c>
      <c r="O172">
        <f t="shared" si="33"/>
        <v>2.5544736017999996E-2</v>
      </c>
      <c r="P172">
        <f t="shared" si="34"/>
        <v>-0.13252596801912425</v>
      </c>
    </row>
    <row r="173" spans="1:16" x14ac:dyDescent="0.3">
      <c r="A173">
        <v>8.8291777000000007</v>
      </c>
      <c r="B173">
        <v>0.38601999999999997</v>
      </c>
      <c r="C173">
        <f t="shared" si="25"/>
        <v>3.4082391757539998</v>
      </c>
      <c r="D173">
        <v>1.5900000000000001E-2</v>
      </c>
      <c r="E173">
        <v>2.9099999999999998E-3</v>
      </c>
      <c r="F173">
        <f t="shared" si="26"/>
        <v>1765.83554</v>
      </c>
      <c r="G173">
        <f t="shared" si="27"/>
        <v>-0.38601999999999997</v>
      </c>
      <c r="H173">
        <f t="shared" si="28"/>
        <v>-681.64783515080001</v>
      </c>
      <c r="I173">
        <v>1</v>
      </c>
      <c r="J173">
        <f t="shared" si="29"/>
        <v>0.56862397213748606</v>
      </c>
      <c r="K173">
        <f t="shared" si="30"/>
        <v>-0.83570515177521743</v>
      </c>
      <c r="L173">
        <v>1</v>
      </c>
      <c r="M173">
        <f t="shared" si="31"/>
        <v>0.80311900814484605</v>
      </c>
      <c r="N173">
        <f t="shared" si="32"/>
        <v>0.14038392543000003</v>
      </c>
      <c r="O173">
        <f t="shared" si="33"/>
        <v>2.5692907107E-2</v>
      </c>
      <c r="P173">
        <f t="shared" si="34"/>
        <v>-0.13349068890662866</v>
      </c>
    </row>
    <row r="174" spans="1:16" x14ac:dyDescent="0.3">
      <c r="A174">
        <v>8.8800967000000011</v>
      </c>
      <c r="B174">
        <v>0.38397999999999999</v>
      </c>
      <c r="C174">
        <f t="shared" si="25"/>
        <v>3.4097795308660004</v>
      </c>
      <c r="D174">
        <v>1.5900000000000001E-2</v>
      </c>
      <c r="E174">
        <v>2.9099999999999998E-3</v>
      </c>
      <c r="F174">
        <f t="shared" si="26"/>
        <v>1776.0193400000003</v>
      </c>
      <c r="G174">
        <f t="shared" si="27"/>
        <v>-0.38397999999999999</v>
      </c>
      <c r="H174">
        <f t="shared" si="28"/>
        <v>-681.95590617320011</v>
      </c>
      <c r="I174">
        <v>1</v>
      </c>
      <c r="J174">
        <f t="shared" si="29"/>
        <v>0.57437453415032647</v>
      </c>
      <c r="K174">
        <f t="shared" si="30"/>
        <v>-0.83774515177521747</v>
      </c>
      <c r="L174">
        <v>1</v>
      </c>
      <c r="M174">
        <f t="shared" si="31"/>
        <v>0.80573091341107816</v>
      </c>
      <c r="N174">
        <f t="shared" si="32"/>
        <v>0.14119353753000002</v>
      </c>
      <c r="O174">
        <f t="shared" si="33"/>
        <v>2.5841081397000001E-2</v>
      </c>
      <c r="P174">
        <f t="shared" si="34"/>
        <v>-0.13502038056286073</v>
      </c>
    </row>
    <row r="175" spans="1:16" x14ac:dyDescent="0.3">
      <c r="A175">
        <v>8.932542999999999</v>
      </c>
      <c r="B175">
        <v>0.38185999999999998</v>
      </c>
      <c r="C175">
        <f t="shared" si="25"/>
        <v>3.4109808699799995</v>
      </c>
      <c r="D175">
        <v>1.5900000000000001E-2</v>
      </c>
      <c r="E175">
        <v>2.9099999999999998E-3</v>
      </c>
      <c r="F175">
        <f t="shared" si="26"/>
        <v>1786.5085999999999</v>
      </c>
      <c r="G175">
        <f t="shared" si="27"/>
        <v>-0.38185999999999998</v>
      </c>
      <c r="H175">
        <f t="shared" si="28"/>
        <v>-682.19617399599986</v>
      </c>
      <c r="I175">
        <v>1</v>
      </c>
      <c r="J175">
        <f t="shared" si="29"/>
        <v>0.5802632123516327</v>
      </c>
      <c r="K175">
        <f t="shared" si="30"/>
        <v>-0.83986515177521748</v>
      </c>
      <c r="L175">
        <v>1</v>
      </c>
      <c r="M175">
        <f t="shared" si="31"/>
        <v>0.80840555105011158</v>
      </c>
      <c r="N175">
        <f t="shared" si="32"/>
        <v>0.14202743369999998</v>
      </c>
      <c r="O175">
        <f t="shared" si="33"/>
        <v>2.5993700129999995E-2</v>
      </c>
      <c r="P175">
        <f t="shared" si="34"/>
        <v>-0.13656153310489408</v>
      </c>
    </row>
    <row r="176" spans="1:16" x14ac:dyDescent="0.3">
      <c r="A176">
        <v>8.9829512000000005</v>
      </c>
      <c r="B176">
        <v>0.37964999999999999</v>
      </c>
      <c r="C176">
        <f t="shared" si="25"/>
        <v>3.4103774230799999</v>
      </c>
      <c r="D176">
        <v>1.5900000000000001E-2</v>
      </c>
      <c r="E176">
        <v>2.9099999999999998E-3</v>
      </c>
      <c r="F176">
        <f t="shared" si="26"/>
        <v>1796.59024</v>
      </c>
      <c r="G176">
        <f t="shared" si="27"/>
        <v>-0.37964999999999999</v>
      </c>
      <c r="H176">
        <f t="shared" si="28"/>
        <v>-682.07548461600004</v>
      </c>
      <c r="I176">
        <v>1</v>
      </c>
      <c r="J176">
        <f t="shared" si="29"/>
        <v>0.58589055731463313</v>
      </c>
      <c r="K176">
        <f t="shared" si="30"/>
        <v>-0.84207515177521741</v>
      </c>
      <c r="L176">
        <v>1</v>
      </c>
      <c r="M176">
        <f t="shared" si="31"/>
        <v>0.81096149113230631</v>
      </c>
      <c r="N176">
        <f t="shared" si="32"/>
        <v>0.14282892408</v>
      </c>
      <c r="O176">
        <f t="shared" si="33"/>
        <v>2.6140387992000001E-2</v>
      </c>
      <c r="P176">
        <f t="shared" si="34"/>
        <v>-0.1378556514290889</v>
      </c>
    </row>
    <row r="177" spans="1:16" x14ac:dyDescent="0.3">
      <c r="A177">
        <v>9.0348886999999998</v>
      </c>
      <c r="B177">
        <v>0.37698999999999999</v>
      </c>
      <c r="C177">
        <f t="shared" si="25"/>
        <v>3.4060626910129996</v>
      </c>
      <c r="D177">
        <v>1.5900000000000001E-2</v>
      </c>
      <c r="E177">
        <v>2.9099999999999998E-3</v>
      </c>
      <c r="F177">
        <f t="shared" si="26"/>
        <v>1806.97774</v>
      </c>
      <c r="G177">
        <f t="shared" si="27"/>
        <v>-0.37698999999999999</v>
      </c>
      <c r="H177">
        <f t="shared" si="28"/>
        <v>-681.21253820259994</v>
      </c>
      <c r="I177">
        <v>1</v>
      </c>
      <c r="J177">
        <f t="shared" si="29"/>
        <v>0.59165569277383856</v>
      </c>
      <c r="K177">
        <f t="shared" si="30"/>
        <v>-0.84473515177521752</v>
      </c>
      <c r="L177">
        <v>1</v>
      </c>
      <c r="M177">
        <f t="shared" si="31"/>
        <v>0.81358001565787741</v>
      </c>
      <c r="N177">
        <f t="shared" si="32"/>
        <v>0.14365473033000001</v>
      </c>
      <c r="O177">
        <f t="shared" si="33"/>
        <v>2.6291526116999999E-2</v>
      </c>
      <c r="P177">
        <f t="shared" si="34"/>
        <v>-0.1387911203296599</v>
      </c>
    </row>
    <row r="178" spans="1:16" x14ac:dyDescent="0.3">
      <c r="A178">
        <v>9.0858065999999997</v>
      </c>
      <c r="B178">
        <v>0.37512000000000001</v>
      </c>
      <c r="C178">
        <f t="shared" si="25"/>
        <v>3.408267771792</v>
      </c>
      <c r="D178">
        <v>1.5900000000000001E-2</v>
      </c>
      <c r="E178">
        <v>2.9099999999999998E-3</v>
      </c>
      <c r="F178">
        <f t="shared" si="26"/>
        <v>1817.1613199999999</v>
      </c>
      <c r="G178">
        <f t="shared" si="27"/>
        <v>-0.37512000000000001</v>
      </c>
      <c r="H178">
        <f t="shared" si="28"/>
        <v>-681.65355435840002</v>
      </c>
      <c r="I178">
        <v>1</v>
      </c>
      <c r="J178">
        <f t="shared" si="29"/>
        <v>0.59727556918240488</v>
      </c>
      <c r="K178">
        <f t="shared" si="30"/>
        <v>-0.84660515177521745</v>
      </c>
      <c r="L178">
        <v>1</v>
      </c>
      <c r="M178">
        <f t="shared" si="31"/>
        <v>0.81613256352264818</v>
      </c>
      <c r="N178">
        <f t="shared" si="32"/>
        <v>0.14446432494</v>
      </c>
      <c r="O178">
        <f t="shared" si="33"/>
        <v>2.6439697205999996E-2</v>
      </c>
      <c r="P178">
        <f t="shared" si="34"/>
        <v>-0.14043143389343074</v>
      </c>
    </row>
    <row r="179" spans="1:16" x14ac:dyDescent="0.3">
      <c r="A179">
        <v>9.1367246000000009</v>
      </c>
      <c r="B179">
        <v>0.37282999999999999</v>
      </c>
      <c r="C179">
        <f t="shared" si="25"/>
        <v>3.4064450326180005</v>
      </c>
      <c r="D179">
        <v>1.5900000000000001E-2</v>
      </c>
      <c r="E179">
        <v>2.9099999999999998E-3</v>
      </c>
      <c r="F179">
        <f t="shared" si="26"/>
        <v>1827.3449200000002</v>
      </c>
      <c r="G179">
        <f t="shared" si="27"/>
        <v>-0.37282999999999999</v>
      </c>
      <c r="H179">
        <f t="shared" si="28"/>
        <v>-681.28900652360005</v>
      </c>
      <c r="I179">
        <v>1</v>
      </c>
      <c r="J179">
        <f t="shared" si="29"/>
        <v>0.6028640499439325</v>
      </c>
      <c r="K179">
        <f t="shared" si="30"/>
        <v>-0.84889515177521746</v>
      </c>
      <c r="L179">
        <v>1</v>
      </c>
      <c r="M179">
        <f t="shared" si="31"/>
        <v>0.818670851484534</v>
      </c>
      <c r="N179">
        <f t="shared" si="32"/>
        <v>0.14527392114000001</v>
      </c>
      <c r="O179">
        <f t="shared" si="33"/>
        <v>2.6587868586000003E-2</v>
      </c>
      <c r="P179">
        <f t="shared" si="34"/>
        <v>-0.14163748943531657</v>
      </c>
    </row>
    <row r="180" spans="1:16" x14ac:dyDescent="0.3">
      <c r="A180">
        <v>9.1871337999999998</v>
      </c>
      <c r="B180">
        <v>0.37059999999999998</v>
      </c>
      <c r="C180">
        <f t="shared" si="25"/>
        <v>3.4047517862799999</v>
      </c>
      <c r="D180">
        <v>1.5900000000000001E-2</v>
      </c>
      <c r="E180">
        <v>2.9099999999999998E-3</v>
      </c>
      <c r="F180">
        <f t="shared" si="26"/>
        <v>1837.4267600000001</v>
      </c>
      <c r="G180">
        <f t="shared" si="27"/>
        <v>-0.37059999999999998</v>
      </c>
      <c r="H180">
        <f t="shared" si="28"/>
        <v>-680.95035725599996</v>
      </c>
      <c r="I180">
        <v>1</v>
      </c>
      <c r="J180">
        <f t="shared" si="29"/>
        <v>0.60836609280708209</v>
      </c>
      <c r="K180">
        <f t="shared" si="30"/>
        <v>-0.85112515177521741</v>
      </c>
      <c r="L180">
        <v>1</v>
      </c>
      <c r="M180">
        <f t="shared" si="31"/>
        <v>0.82116987935297669</v>
      </c>
      <c r="N180">
        <f t="shared" si="32"/>
        <v>0.14607542742000001</v>
      </c>
      <c r="O180">
        <f t="shared" si="33"/>
        <v>2.6734559357999999E-2</v>
      </c>
      <c r="P180">
        <f t="shared" si="34"/>
        <v>-0.1428547143557593</v>
      </c>
    </row>
    <row r="181" spans="1:16" x14ac:dyDescent="0.3">
      <c r="A181">
        <v>9.238052699999999</v>
      </c>
      <c r="B181">
        <v>0.36843999999999999</v>
      </c>
      <c r="C181">
        <f t="shared" si="25"/>
        <v>3.4036681367879997</v>
      </c>
      <c r="D181">
        <v>1.5900000000000001E-2</v>
      </c>
      <c r="E181">
        <v>2.9099999999999998E-3</v>
      </c>
      <c r="F181">
        <f t="shared" si="26"/>
        <v>1847.6105399999999</v>
      </c>
      <c r="G181">
        <f t="shared" si="27"/>
        <v>-0.36843999999999999</v>
      </c>
      <c r="H181">
        <f t="shared" si="28"/>
        <v>-680.73362735759997</v>
      </c>
      <c r="I181">
        <v>1</v>
      </c>
      <c r="J181">
        <f t="shared" si="29"/>
        <v>0.613893204256028</v>
      </c>
      <c r="K181">
        <f t="shared" si="30"/>
        <v>-0.85328515177521747</v>
      </c>
      <c r="L181">
        <v>1</v>
      </c>
      <c r="M181">
        <f t="shared" si="31"/>
        <v>0.82368029337308779</v>
      </c>
      <c r="N181">
        <f t="shared" si="32"/>
        <v>0.14688503792999999</v>
      </c>
      <c r="O181">
        <f t="shared" si="33"/>
        <v>2.6882733356999994E-2</v>
      </c>
      <c r="P181">
        <f t="shared" si="34"/>
        <v>-0.14416291288487032</v>
      </c>
    </row>
    <row r="182" spans="1:16" x14ac:dyDescent="0.3">
      <c r="A182">
        <v>9.2884618999999997</v>
      </c>
      <c r="B182">
        <v>0.36654999999999999</v>
      </c>
      <c r="C182">
        <f t="shared" si="25"/>
        <v>3.4046857094449998</v>
      </c>
      <c r="D182">
        <v>1.5900000000000001E-2</v>
      </c>
      <c r="E182">
        <v>2.9099999999999998E-3</v>
      </c>
      <c r="F182">
        <f t="shared" si="26"/>
        <v>1857.69238</v>
      </c>
      <c r="G182">
        <f t="shared" si="27"/>
        <v>-0.36654999999999999</v>
      </c>
      <c r="H182">
        <f t="shared" si="28"/>
        <v>-680.93714188899992</v>
      </c>
      <c r="I182">
        <v>1</v>
      </c>
      <c r="J182">
        <f t="shared" si="29"/>
        <v>0.61933506156043971</v>
      </c>
      <c r="K182">
        <f t="shared" si="30"/>
        <v>-0.85517515177521752</v>
      </c>
      <c r="L182">
        <v>1</v>
      </c>
      <c r="M182">
        <f t="shared" si="31"/>
        <v>0.82615198496075171</v>
      </c>
      <c r="N182">
        <f t="shared" si="32"/>
        <v>0.14768654420999999</v>
      </c>
      <c r="O182">
        <f t="shared" si="33"/>
        <v>2.7029424128999998E-2</v>
      </c>
      <c r="P182">
        <f t="shared" si="34"/>
        <v>-0.14569280152453418</v>
      </c>
    </row>
    <row r="183" spans="1:16" x14ac:dyDescent="0.3">
      <c r="A183">
        <v>9.3393799000000008</v>
      </c>
      <c r="B183">
        <v>0.36430000000000001</v>
      </c>
      <c r="C183">
        <f t="shared" si="25"/>
        <v>3.4023360975700006</v>
      </c>
      <c r="D183">
        <v>1.5900000000000001E-2</v>
      </c>
      <c r="E183">
        <v>2.9099999999999998E-3</v>
      </c>
      <c r="F183">
        <f t="shared" si="26"/>
        <v>1867.8759800000003</v>
      </c>
      <c r="G183">
        <f t="shared" si="27"/>
        <v>-0.36430000000000001</v>
      </c>
      <c r="H183">
        <f t="shared" si="28"/>
        <v>-680.46721951400013</v>
      </c>
      <c r="I183">
        <v>1</v>
      </c>
      <c r="J183">
        <f t="shared" si="29"/>
        <v>0.62480194573965864</v>
      </c>
      <c r="K183">
        <f t="shared" si="30"/>
        <v>-0.85742515177521739</v>
      </c>
      <c r="L183">
        <v>1</v>
      </c>
      <c r="M183">
        <f t="shared" si="31"/>
        <v>0.82863504375495289</v>
      </c>
      <c r="N183">
        <f t="shared" si="32"/>
        <v>0.14849614041000003</v>
      </c>
      <c r="O183">
        <f t="shared" si="33"/>
        <v>2.7177595509000001E-2</v>
      </c>
      <c r="P183">
        <f t="shared" si="34"/>
        <v>-0.14688362789873555</v>
      </c>
    </row>
    <row r="184" spans="1:16" x14ac:dyDescent="0.3">
      <c r="A184">
        <v>9.3918262000000006</v>
      </c>
      <c r="B184">
        <v>0.36192999999999997</v>
      </c>
      <c r="C184">
        <f t="shared" si="25"/>
        <v>3.3991836565660001</v>
      </c>
      <c r="D184">
        <v>1.5900000000000001E-2</v>
      </c>
      <c r="E184">
        <v>2.9099999999999998E-3</v>
      </c>
      <c r="F184">
        <f t="shared" si="26"/>
        <v>1878.3652400000001</v>
      </c>
      <c r="G184">
        <f t="shared" si="27"/>
        <v>-0.36192999999999997</v>
      </c>
      <c r="H184">
        <f t="shared" si="28"/>
        <v>-679.83673131320006</v>
      </c>
      <c r="I184">
        <v>1</v>
      </c>
      <c r="J184">
        <f t="shared" si="29"/>
        <v>0.63040184536968613</v>
      </c>
      <c r="K184">
        <f t="shared" si="30"/>
        <v>-0.85979515177521748</v>
      </c>
      <c r="L184">
        <v>1</v>
      </c>
      <c r="M184">
        <f t="shared" si="31"/>
        <v>0.83117851816691135</v>
      </c>
      <c r="N184">
        <f t="shared" si="32"/>
        <v>0.14933003658000002</v>
      </c>
      <c r="O184">
        <f t="shared" si="33"/>
        <v>2.7330214241999998E-2</v>
      </c>
      <c r="P184">
        <f t="shared" si="34"/>
        <v>-0.14804361721369388</v>
      </c>
    </row>
    <row r="185" spans="1:16" x14ac:dyDescent="0.3">
      <c r="A185">
        <v>9.4468174000000005</v>
      </c>
      <c r="B185">
        <v>0.35970999999999997</v>
      </c>
      <c r="C185">
        <f t="shared" si="25"/>
        <v>3.398114686954</v>
      </c>
      <c r="D185">
        <v>1.5900000000000001E-2</v>
      </c>
      <c r="E185">
        <v>2.9099999999999998E-3</v>
      </c>
      <c r="F185">
        <f t="shared" si="26"/>
        <v>1889.36348</v>
      </c>
      <c r="G185">
        <f t="shared" si="27"/>
        <v>-0.35970999999999997</v>
      </c>
      <c r="H185">
        <f t="shared" si="28"/>
        <v>-679.62293739079996</v>
      </c>
      <c r="I185">
        <v>1</v>
      </c>
      <c r="J185">
        <f t="shared" si="29"/>
        <v>0.63623998927861403</v>
      </c>
      <c r="K185">
        <f t="shared" si="30"/>
        <v>-0.86201515177521748</v>
      </c>
      <c r="L185">
        <v>1</v>
      </c>
      <c r="M185">
        <f t="shared" si="31"/>
        <v>0.83383020313034639</v>
      </c>
      <c r="N185">
        <f t="shared" si="32"/>
        <v>0.15020439666000002</v>
      </c>
      <c r="O185">
        <f t="shared" si="33"/>
        <v>2.7490238633999999E-2</v>
      </c>
      <c r="P185">
        <f t="shared" si="34"/>
        <v>-0.14950968664912892</v>
      </c>
    </row>
    <row r="186" spans="1:16" x14ac:dyDescent="0.3">
      <c r="A186">
        <v>9.4977362999999997</v>
      </c>
      <c r="B186">
        <v>0.35708000000000001</v>
      </c>
      <c r="C186">
        <f t="shared" si="25"/>
        <v>3.391451678004</v>
      </c>
      <c r="D186">
        <v>1.5900000000000001E-2</v>
      </c>
      <c r="E186">
        <v>2.9099999999999998E-3</v>
      </c>
      <c r="F186">
        <f t="shared" si="26"/>
        <v>1899.5472599999998</v>
      </c>
      <c r="G186">
        <f t="shared" si="27"/>
        <v>-0.35708000000000001</v>
      </c>
      <c r="H186">
        <f t="shared" si="28"/>
        <v>-678.29033560080006</v>
      </c>
      <c r="I186">
        <v>1</v>
      </c>
      <c r="J186">
        <f t="shared" si="29"/>
        <v>0.64161557356767518</v>
      </c>
      <c r="K186">
        <f t="shared" si="30"/>
        <v>-0.86464515177521739</v>
      </c>
      <c r="L186">
        <v>1</v>
      </c>
      <c r="M186">
        <f t="shared" si="31"/>
        <v>0.83627179351443803</v>
      </c>
      <c r="N186">
        <f t="shared" si="32"/>
        <v>0.15101400716999999</v>
      </c>
      <c r="O186">
        <f t="shared" si="33"/>
        <v>2.7638412632999997E-2</v>
      </c>
      <c r="P186">
        <f t="shared" si="34"/>
        <v>-0.15027906154222062</v>
      </c>
    </row>
    <row r="187" spans="1:16" x14ac:dyDescent="0.3">
      <c r="A187">
        <v>9.5491630999999995</v>
      </c>
      <c r="B187">
        <v>0.35515000000000002</v>
      </c>
      <c r="C187">
        <f t="shared" si="25"/>
        <v>3.3913852749650002</v>
      </c>
      <c r="D187">
        <v>1.5900000000000001E-2</v>
      </c>
      <c r="E187">
        <v>2.9099999999999998E-3</v>
      </c>
      <c r="F187">
        <f t="shared" si="26"/>
        <v>1909.8326199999999</v>
      </c>
      <c r="G187">
        <f t="shared" si="27"/>
        <v>-0.35515000000000002</v>
      </c>
      <c r="H187">
        <f t="shared" si="28"/>
        <v>-678.27705499300009</v>
      </c>
      <c r="I187">
        <v>1</v>
      </c>
      <c r="J187">
        <f t="shared" si="29"/>
        <v>0.6470156047106449</v>
      </c>
      <c r="K187">
        <f t="shared" si="30"/>
        <v>-0.86657515177521738</v>
      </c>
      <c r="L187">
        <v>1</v>
      </c>
      <c r="M187">
        <f t="shared" si="31"/>
        <v>0.83872448765957486</v>
      </c>
      <c r="N187">
        <f t="shared" si="32"/>
        <v>0.15183169329000001</v>
      </c>
      <c r="O187">
        <f t="shared" si="33"/>
        <v>2.7788064620999996E-2</v>
      </c>
      <c r="P187">
        <f t="shared" si="34"/>
        <v>-0.1517690937953575</v>
      </c>
    </row>
    <row r="188" spans="1:16" x14ac:dyDescent="0.3">
      <c r="A188">
        <v>9.6000820000000004</v>
      </c>
      <c r="B188">
        <v>0.35303000000000001</v>
      </c>
      <c r="C188">
        <f t="shared" si="25"/>
        <v>3.3891169484600003</v>
      </c>
      <c r="D188">
        <v>1.5900000000000001E-2</v>
      </c>
      <c r="E188">
        <v>2.9099999999999998E-3</v>
      </c>
      <c r="F188">
        <f t="shared" si="26"/>
        <v>1920.0164</v>
      </c>
      <c r="G188">
        <f t="shared" si="27"/>
        <v>-0.35303000000000001</v>
      </c>
      <c r="H188">
        <f t="shared" si="28"/>
        <v>-677.82338969200009</v>
      </c>
      <c r="I188">
        <v>1</v>
      </c>
      <c r="J188">
        <f t="shared" si="29"/>
        <v>0.65233372766987696</v>
      </c>
      <c r="K188">
        <f t="shared" si="30"/>
        <v>-0.8686951517752175</v>
      </c>
      <c r="L188">
        <v>1</v>
      </c>
      <c r="M188">
        <f t="shared" si="31"/>
        <v>0.84113997910765803</v>
      </c>
      <c r="N188">
        <f t="shared" si="32"/>
        <v>0.15264130380000002</v>
      </c>
      <c r="O188">
        <f t="shared" si="33"/>
        <v>2.7936238619999998E-2</v>
      </c>
      <c r="P188">
        <f t="shared" si="34"/>
        <v>-0.15302236975244055</v>
      </c>
    </row>
    <row r="189" spans="1:16" x14ac:dyDescent="0.3">
      <c r="A189">
        <v>9.6504911999999994</v>
      </c>
      <c r="B189">
        <v>0.35074</v>
      </c>
      <c r="C189">
        <f t="shared" si="25"/>
        <v>3.3848132834879996</v>
      </c>
      <c r="D189">
        <v>1.5900000000000001E-2</v>
      </c>
      <c r="E189">
        <v>2.9099999999999998E-3</v>
      </c>
      <c r="F189">
        <f t="shared" si="26"/>
        <v>1930.0982399999998</v>
      </c>
      <c r="G189">
        <f t="shared" si="27"/>
        <v>-0.35074</v>
      </c>
      <c r="H189">
        <f t="shared" si="28"/>
        <v>-676.96265669759987</v>
      </c>
      <c r="I189">
        <v>1</v>
      </c>
      <c r="J189">
        <f t="shared" si="29"/>
        <v>0.65757090317575806</v>
      </c>
      <c r="K189">
        <f t="shared" si="30"/>
        <v>-0.8709851517752174</v>
      </c>
      <c r="L189">
        <v>1</v>
      </c>
      <c r="M189">
        <f t="shared" si="31"/>
        <v>0.84351870422242925</v>
      </c>
      <c r="N189">
        <f t="shared" si="32"/>
        <v>0.15344281007999999</v>
      </c>
      <c r="O189">
        <f t="shared" si="33"/>
        <v>2.8082929391999998E-2</v>
      </c>
      <c r="P189">
        <f t="shared" si="34"/>
        <v>-0.15405929191921183</v>
      </c>
    </row>
    <row r="190" spans="1:16" x14ac:dyDescent="0.3">
      <c r="A190">
        <v>9.7049735999999989</v>
      </c>
      <c r="B190">
        <v>0.34858</v>
      </c>
      <c r="C190">
        <f t="shared" si="25"/>
        <v>3.3829596974879994</v>
      </c>
      <c r="D190">
        <v>1.5900000000000001E-2</v>
      </c>
      <c r="E190">
        <v>2.9099999999999998E-3</v>
      </c>
      <c r="F190">
        <f t="shared" si="26"/>
        <v>1940.9947199999997</v>
      </c>
      <c r="G190">
        <f t="shared" si="27"/>
        <v>-0.34858</v>
      </c>
      <c r="H190">
        <f t="shared" si="28"/>
        <v>-676.59193949759992</v>
      </c>
      <c r="I190">
        <v>1</v>
      </c>
      <c r="J190">
        <f t="shared" si="29"/>
        <v>0.663200583935878</v>
      </c>
      <c r="K190">
        <f t="shared" si="30"/>
        <v>-0.87314515177521745</v>
      </c>
      <c r="L190">
        <v>1</v>
      </c>
      <c r="M190">
        <f t="shared" si="31"/>
        <v>0.8460757052236757</v>
      </c>
      <c r="N190">
        <f t="shared" si="32"/>
        <v>0.15430908023999998</v>
      </c>
      <c r="O190">
        <f t="shared" si="33"/>
        <v>2.8241473175999995E-2</v>
      </c>
      <c r="P190">
        <f t="shared" si="34"/>
        <v>-0.15548110686445821</v>
      </c>
    </row>
    <row r="191" spans="1:16" x14ac:dyDescent="0.3">
      <c r="A191">
        <v>9.7574199000000004</v>
      </c>
      <c r="B191">
        <v>0.34583000000000003</v>
      </c>
      <c r="C191">
        <f t="shared" si="25"/>
        <v>3.3744085240170003</v>
      </c>
      <c r="D191">
        <v>1.5900000000000001E-2</v>
      </c>
      <c r="E191">
        <v>2.9099999999999998E-3</v>
      </c>
      <c r="F191">
        <f t="shared" si="26"/>
        <v>1951.48398</v>
      </c>
      <c r="G191">
        <f t="shared" si="27"/>
        <v>-0.34583000000000003</v>
      </c>
      <c r="H191">
        <f t="shared" si="28"/>
        <v>-674.88170480340011</v>
      </c>
      <c r="I191">
        <v>1</v>
      </c>
      <c r="J191">
        <f t="shared" si="29"/>
        <v>0.66859009853489171</v>
      </c>
      <c r="K191">
        <f t="shared" si="30"/>
        <v>-0.87589515177521737</v>
      </c>
      <c r="L191">
        <v>1</v>
      </c>
      <c r="M191">
        <f t="shared" si="31"/>
        <v>0.84852362275454773</v>
      </c>
      <c r="N191">
        <f t="shared" si="32"/>
        <v>0.15514297641000002</v>
      </c>
      <c r="O191">
        <f t="shared" si="33"/>
        <v>2.8394091909E-2</v>
      </c>
      <c r="P191">
        <f t="shared" si="34"/>
        <v>-0.15616553929833038</v>
      </c>
    </row>
    <row r="192" spans="1:16" x14ac:dyDescent="0.3">
      <c r="A192">
        <v>9.8078281</v>
      </c>
      <c r="B192">
        <v>0.34394000000000002</v>
      </c>
      <c r="C192">
        <f t="shared" si="25"/>
        <v>3.3733043967140004</v>
      </c>
      <c r="D192">
        <v>1.5900000000000001E-2</v>
      </c>
      <c r="E192">
        <v>2.9099999999999998E-3</v>
      </c>
      <c r="F192">
        <f t="shared" si="26"/>
        <v>1961.5656200000001</v>
      </c>
      <c r="G192">
        <f t="shared" si="27"/>
        <v>-0.34394000000000002</v>
      </c>
      <c r="H192">
        <f t="shared" si="28"/>
        <v>-674.66087934280006</v>
      </c>
      <c r="I192">
        <v>1</v>
      </c>
      <c r="J192">
        <f t="shared" si="29"/>
        <v>0.67374294009719193</v>
      </c>
      <c r="K192">
        <f t="shared" si="30"/>
        <v>-0.87778515177521743</v>
      </c>
      <c r="L192">
        <v>1</v>
      </c>
      <c r="M192">
        <f t="shared" si="31"/>
        <v>0.8508640433921445</v>
      </c>
      <c r="N192">
        <f t="shared" si="32"/>
        <v>0.15594446679000001</v>
      </c>
      <c r="O192">
        <f t="shared" si="33"/>
        <v>2.8540779770999999E-2</v>
      </c>
      <c r="P192">
        <f t="shared" si="34"/>
        <v>-0.15756413817792708</v>
      </c>
    </row>
    <row r="193" spans="1:16" x14ac:dyDescent="0.3">
      <c r="A193">
        <v>9.8592559000000008</v>
      </c>
      <c r="B193">
        <v>0.34171000000000001</v>
      </c>
      <c r="C193">
        <f t="shared" si="25"/>
        <v>3.3690063335890006</v>
      </c>
      <c r="D193">
        <v>1.5900000000000001E-2</v>
      </c>
      <c r="E193">
        <v>2.9099999999999998E-3</v>
      </c>
      <c r="F193">
        <f t="shared" si="26"/>
        <v>1971.8511800000001</v>
      </c>
      <c r="G193">
        <f t="shared" si="27"/>
        <v>-0.34171000000000001</v>
      </c>
      <c r="H193">
        <f t="shared" si="28"/>
        <v>-673.8012667178001</v>
      </c>
      <c r="I193">
        <v>1</v>
      </c>
      <c r="J193">
        <f t="shared" si="29"/>
        <v>0.67897278680126161</v>
      </c>
      <c r="K193">
        <f t="shared" si="30"/>
        <v>-0.8800151517752175</v>
      </c>
      <c r="L193">
        <v>1</v>
      </c>
      <c r="M193">
        <f t="shared" si="31"/>
        <v>0.85323943976513295</v>
      </c>
      <c r="N193">
        <f t="shared" si="32"/>
        <v>0.15676216881000002</v>
      </c>
      <c r="O193">
        <f t="shared" si="33"/>
        <v>2.8690434669000002E-2</v>
      </c>
      <c r="P193">
        <f t="shared" si="34"/>
        <v>-0.15867689146891548</v>
      </c>
    </row>
    <row r="194" spans="1:16" x14ac:dyDescent="0.3">
      <c r="A194">
        <v>9.9106825999999995</v>
      </c>
      <c r="B194">
        <v>0.33946999999999999</v>
      </c>
      <c r="C194">
        <f t="shared" si="25"/>
        <v>3.3643794222219996</v>
      </c>
      <c r="D194">
        <v>1.5900000000000001E-2</v>
      </c>
      <c r="E194">
        <v>2.9099999999999998E-3</v>
      </c>
      <c r="F194">
        <f t="shared" si="26"/>
        <v>1982.1365199999998</v>
      </c>
      <c r="G194">
        <f t="shared" si="27"/>
        <v>-0.33946999999999999</v>
      </c>
      <c r="H194">
        <f t="shared" si="28"/>
        <v>-672.87588444439996</v>
      </c>
      <c r="I194">
        <v>1</v>
      </c>
      <c r="J194">
        <f t="shared" si="29"/>
        <v>0.68417531345495697</v>
      </c>
      <c r="K194">
        <f t="shared" si="30"/>
        <v>-0.88225515177521752</v>
      </c>
      <c r="L194">
        <v>1</v>
      </c>
      <c r="M194">
        <f t="shared" si="31"/>
        <v>0.85560242737124137</v>
      </c>
      <c r="N194">
        <f t="shared" si="32"/>
        <v>0.15757985333999999</v>
      </c>
      <c r="O194">
        <f t="shared" si="33"/>
        <v>2.8840086365999995E-2</v>
      </c>
      <c r="P194">
        <f t="shared" si="34"/>
        <v>-0.15976721530202384</v>
      </c>
    </row>
    <row r="195" spans="1:16" x14ac:dyDescent="0.3">
      <c r="A195">
        <v>9.9610927999999994</v>
      </c>
      <c r="B195">
        <v>0.33746999999999999</v>
      </c>
      <c r="C195">
        <f t="shared" si="25"/>
        <v>3.3615699872159999</v>
      </c>
      <c r="D195">
        <v>1.5900000000000001E-2</v>
      </c>
      <c r="E195">
        <v>2.9099999999999998E-3</v>
      </c>
      <c r="F195">
        <f t="shared" si="26"/>
        <v>1992.2185599999998</v>
      </c>
      <c r="G195">
        <f t="shared" si="27"/>
        <v>-0.33746999999999999</v>
      </c>
      <c r="H195">
        <f t="shared" si="28"/>
        <v>-672.31399744319992</v>
      </c>
      <c r="I195">
        <v>1</v>
      </c>
      <c r="J195">
        <f t="shared" si="29"/>
        <v>0.68924887201923279</v>
      </c>
      <c r="K195">
        <f t="shared" si="30"/>
        <v>-0.88425515177521752</v>
      </c>
      <c r="L195">
        <v>1</v>
      </c>
      <c r="M195">
        <f t="shared" si="31"/>
        <v>0.8579068376711354</v>
      </c>
      <c r="N195">
        <f t="shared" si="32"/>
        <v>0.15838137552000001</v>
      </c>
      <c r="O195">
        <f t="shared" si="33"/>
        <v>2.8986780047999997E-2</v>
      </c>
      <c r="P195">
        <f t="shared" si="34"/>
        <v>-0.1610198414639179</v>
      </c>
    </row>
    <row r="196" spans="1:16" x14ac:dyDescent="0.3">
      <c r="A196">
        <v>10.015065999999999</v>
      </c>
      <c r="B196">
        <v>0.33502999999999999</v>
      </c>
      <c r="C196">
        <f t="shared" ref="C196:C259" si="36">A196*B196</f>
        <v>3.3553475619799995</v>
      </c>
      <c r="D196">
        <v>1.5900000000000001E-2</v>
      </c>
      <c r="E196">
        <v>2.9099999999999998E-3</v>
      </c>
      <c r="F196">
        <f t="shared" ref="F196:F259" si="37">A196*200</f>
        <v>2003.0131999999999</v>
      </c>
      <c r="G196">
        <f t="shared" ref="G196:G259" si="38">-B196</f>
        <v>-0.33502999999999999</v>
      </c>
      <c r="H196">
        <f t="shared" ref="H196:H259" si="39">-C196*200</f>
        <v>-671.06951239599994</v>
      </c>
      <c r="I196">
        <v>1</v>
      </c>
      <c r="J196">
        <f t="shared" ref="J196:J259" si="40">LN(F196/1000)</f>
        <v>0.69465264677679417</v>
      </c>
      <c r="K196">
        <f t="shared" ref="K196:K259" si="41">((-G196)-$N$2)</f>
        <v>-0.88669515177521752</v>
      </c>
      <c r="L196">
        <v>1</v>
      </c>
      <c r="M196">
        <f t="shared" ref="M196:M259" si="42">-1*($S$4+($S$5*J196))</f>
        <v>0.8603612321660199</v>
      </c>
      <c r="N196">
        <f t="shared" ref="N196:N259" si="43">D196*A196</f>
        <v>0.15923954939999999</v>
      </c>
      <c r="O196">
        <f t="shared" ref="O196:O259" si="44">E196*A196</f>
        <v>2.9143842059999994E-2</v>
      </c>
      <c r="P196">
        <f t="shared" ref="P196:P259" si="45">-K196-M196-N196-O196</f>
        <v>-0.16204947185080237</v>
      </c>
    </row>
    <row r="197" spans="1:16" x14ac:dyDescent="0.3">
      <c r="A197">
        <v>10.067513</v>
      </c>
      <c r="B197">
        <v>0.33287</v>
      </c>
      <c r="C197">
        <f t="shared" si="36"/>
        <v>3.3511730523100001</v>
      </c>
      <c r="D197">
        <v>1.5900000000000001E-2</v>
      </c>
      <c r="E197">
        <v>2.9099999999999998E-3</v>
      </c>
      <c r="F197">
        <f t="shared" si="37"/>
        <v>2013.5026</v>
      </c>
      <c r="G197">
        <f t="shared" si="38"/>
        <v>-0.33287</v>
      </c>
      <c r="H197">
        <f t="shared" si="39"/>
        <v>-670.23461046199998</v>
      </c>
      <c r="I197">
        <v>1</v>
      </c>
      <c r="J197">
        <f t="shared" si="40"/>
        <v>0.69987579259237209</v>
      </c>
      <c r="K197">
        <f t="shared" si="41"/>
        <v>-0.88885515177521746</v>
      </c>
      <c r="L197">
        <v>1</v>
      </c>
      <c r="M197">
        <f t="shared" si="42"/>
        <v>0.86273358499545538</v>
      </c>
      <c r="N197">
        <f t="shared" si="43"/>
        <v>0.16007345670000001</v>
      </c>
      <c r="O197">
        <f t="shared" si="44"/>
        <v>2.9296462829999998E-2</v>
      </c>
      <c r="P197">
        <f t="shared" si="45"/>
        <v>-0.16324835275023794</v>
      </c>
    </row>
    <row r="198" spans="1:16" x14ac:dyDescent="0.3">
      <c r="A198">
        <v>10.12505</v>
      </c>
      <c r="B198">
        <v>0.33045999999999998</v>
      </c>
      <c r="C198">
        <f t="shared" si="36"/>
        <v>3.3459240229999998</v>
      </c>
      <c r="D198">
        <v>1.5900000000000001E-2</v>
      </c>
      <c r="E198">
        <v>2.9099999999999998E-3</v>
      </c>
      <c r="F198">
        <f t="shared" si="37"/>
        <v>2025.01</v>
      </c>
      <c r="G198">
        <f t="shared" si="38"/>
        <v>-0.33045999999999998</v>
      </c>
      <c r="H198">
        <f t="shared" si="39"/>
        <v>-669.18480460000001</v>
      </c>
      <c r="I198">
        <v>1</v>
      </c>
      <c r="J198">
        <f t="shared" si="40"/>
        <v>0.70557463881791416</v>
      </c>
      <c r="K198">
        <f t="shared" si="41"/>
        <v>-0.89126515177521748</v>
      </c>
      <c r="L198">
        <v>1</v>
      </c>
      <c r="M198">
        <f t="shared" si="42"/>
        <v>0.86532200095109657</v>
      </c>
      <c r="N198">
        <f t="shared" si="43"/>
        <v>0.160988295</v>
      </c>
      <c r="O198">
        <f t="shared" si="44"/>
        <v>2.9463895499999997E-2</v>
      </c>
      <c r="P198">
        <f t="shared" si="45"/>
        <v>-0.1645090396758791</v>
      </c>
    </row>
    <row r="199" spans="1:16" x14ac:dyDescent="0.3">
      <c r="A199">
        <v>10.175459</v>
      </c>
      <c r="B199">
        <v>0.32804</v>
      </c>
      <c r="C199">
        <f t="shared" si="36"/>
        <v>3.33795757036</v>
      </c>
      <c r="D199">
        <v>1.5900000000000001E-2</v>
      </c>
      <c r="E199">
        <v>2.9099999999999998E-3</v>
      </c>
      <c r="F199">
        <f t="shared" si="37"/>
        <v>2035.0917999999999</v>
      </c>
      <c r="G199">
        <f t="shared" si="38"/>
        <v>-0.32804</v>
      </c>
      <c r="H199">
        <f t="shared" si="39"/>
        <v>-667.591514072</v>
      </c>
      <c r="I199">
        <v>1</v>
      </c>
      <c r="J199">
        <f t="shared" si="40"/>
        <v>0.71054092844221795</v>
      </c>
      <c r="K199">
        <f t="shared" si="41"/>
        <v>-0.89368515177521746</v>
      </c>
      <c r="L199">
        <v>1</v>
      </c>
      <c r="M199">
        <f t="shared" si="42"/>
        <v>0.86757768969845528</v>
      </c>
      <c r="N199">
        <f t="shared" si="43"/>
        <v>0.16178979810000002</v>
      </c>
      <c r="O199">
        <f t="shared" si="44"/>
        <v>2.961058569E-2</v>
      </c>
      <c r="P199">
        <f t="shared" si="45"/>
        <v>-0.16529292171323784</v>
      </c>
    </row>
    <row r="200" spans="1:16" x14ac:dyDescent="0.3">
      <c r="A200">
        <v>10.240634</v>
      </c>
      <c r="B200">
        <v>0.32556000000000002</v>
      </c>
      <c r="C200">
        <f t="shared" si="36"/>
        <v>3.3339408050400001</v>
      </c>
      <c r="D200">
        <v>1.5900000000000001E-2</v>
      </c>
      <c r="E200">
        <v>2.9099999999999998E-3</v>
      </c>
      <c r="F200">
        <f t="shared" si="37"/>
        <v>2048.1268</v>
      </c>
      <c r="G200">
        <f t="shared" si="38"/>
        <v>-0.32556000000000002</v>
      </c>
      <c r="H200">
        <f t="shared" si="39"/>
        <v>-666.78816100799997</v>
      </c>
      <c r="I200">
        <v>1</v>
      </c>
      <c r="J200">
        <f t="shared" si="40"/>
        <v>0.7169256193231649</v>
      </c>
      <c r="K200">
        <f t="shared" si="41"/>
        <v>-0.89616515177521738</v>
      </c>
      <c r="L200">
        <v>1</v>
      </c>
      <c r="M200">
        <f t="shared" si="42"/>
        <v>0.87047761629658149</v>
      </c>
      <c r="N200">
        <f t="shared" si="43"/>
        <v>0.16282608060000001</v>
      </c>
      <c r="O200">
        <f t="shared" si="44"/>
        <v>2.9800244939999998E-2</v>
      </c>
      <c r="P200">
        <f t="shared" si="45"/>
        <v>-0.16693879006136411</v>
      </c>
    </row>
    <row r="201" spans="1:16" x14ac:dyDescent="0.3">
      <c r="A201">
        <v>10.296136000000001</v>
      </c>
      <c r="B201">
        <v>0.32280999999999999</v>
      </c>
      <c r="C201">
        <f t="shared" si="36"/>
        <v>3.32369566216</v>
      </c>
      <c r="D201">
        <v>1.5900000000000001E-2</v>
      </c>
      <c r="E201">
        <v>2.9099999999999998E-3</v>
      </c>
      <c r="F201">
        <f t="shared" si="37"/>
        <v>2059.2272000000003</v>
      </c>
      <c r="G201">
        <f t="shared" si="38"/>
        <v>-0.32280999999999999</v>
      </c>
      <c r="H201">
        <f t="shared" si="39"/>
        <v>-664.73913243200002</v>
      </c>
      <c r="I201">
        <v>1</v>
      </c>
      <c r="J201">
        <f t="shared" si="40"/>
        <v>0.72233076678569619</v>
      </c>
      <c r="K201">
        <f t="shared" si="41"/>
        <v>-0.89891515177521741</v>
      </c>
      <c r="L201">
        <v>1</v>
      </c>
      <c r="M201">
        <f t="shared" si="42"/>
        <v>0.87293263427406309</v>
      </c>
      <c r="N201">
        <f t="shared" si="43"/>
        <v>0.16370856240000001</v>
      </c>
      <c r="O201">
        <f t="shared" si="44"/>
        <v>2.996175576E-2</v>
      </c>
      <c r="P201">
        <f t="shared" si="45"/>
        <v>-0.1676878006588457</v>
      </c>
    </row>
    <row r="202" spans="1:16" x14ac:dyDescent="0.3">
      <c r="A202">
        <v>10.348070999999999</v>
      </c>
      <c r="B202">
        <v>0.32046000000000002</v>
      </c>
      <c r="C202">
        <f t="shared" si="36"/>
        <v>3.3161428326599998</v>
      </c>
      <c r="D202">
        <v>1.5900000000000001E-2</v>
      </c>
      <c r="E202">
        <v>2.9099999999999998E-3</v>
      </c>
      <c r="F202">
        <f t="shared" si="37"/>
        <v>2069.6142</v>
      </c>
      <c r="G202">
        <f t="shared" si="38"/>
        <v>-0.32046000000000002</v>
      </c>
      <c r="H202">
        <f t="shared" si="39"/>
        <v>-663.22856653199995</v>
      </c>
      <c r="I202">
        <v>1</v>
      </c>
      <c r="J202">
        <f t="shared" si="40"/>
        <v>0.7273622130953673</v>
      </c>
      <c r="K202">
        <f t="shared" si="41"/>
        <v>-0.90126515177521749</v>
      </c>
      <c r="L202">
        <v>1</v>
      </c>
      <c r="M202">
        <f t="shared" si="42"/>
        <v>0.87521791718791575</v>
      </c>
      <c r="N202">
        <f t="shared" si="43"/>
        <v>0.1645343289</v>
      </c>
      <c r="O202">
        <f t="shared" si="44"/>
        <v>3.0112886609999997E-2</v>
      </c>
      <c r="P202">
        <f t="shared" si="45"/>
        <v>-0.16859998092269826</v>
      </c>
    </row>
    <row r="203" spans="1:16" x14ac:dyDescent="0.3">
      <c r="A203">
        <v>10.399499</v>
      </c>
      <c r="B203">
        <v>0.31845000000000001</v>
      </c>
      <c r="C203">
        <f t="shared" si="36"/>
        <v>3.3117204565500002</v>
      </c>
      <c r="D203">
        <v>1.5900000000000001E-2</v>
      </c>
      <c r="E203">
        <v>2.9099999999999998E-3</v>
      </c>
      <c r="F203">
        <f t="shared" si="37"/>
        <v>2079.8998000000001</v>
      </c>
      <c r="G203">
        <f t="shared" si="38"/>
        <v>-0.31845000000000001</v>
      </c>
      <c r="H203">
        <f t="shared" si="39"/>
        <v>-662.34409131000007</v>
      </c>
      <c r="I203">
        <v>1</v>
      </c>
      <c r="J203">
        <f t="shared" si="40"/>
        <v>0.73231971947594365</v>
      </c>
      <c r="K203">
        <f t="shared" si="41"/>
        <v>-0.90327515177521744</v>
      </c>
      <c r="L203">
        <v>1</v>
      </c>
      <c r="M203">
        <f t="shared" si="42"/>
        <v>0.87746961658597356</v>
      </c>
      <c r="N203">
        <f t="shared" si="43"/>
        <v>0.16535203410000002</v>
      </c>
      <c r="O203">
        <f t="shared" si="44"/>
        <v>3.026254209E-2</v>
      </c>
      <c r="P203">
        <f t="shared" si="45"/>
        <v>-0.16980904100075614</v>
      </c>
    </row>
    <row r="204" spans="1:16" x14ac:dyDescent="0.3">
      <c r="A204">
        <v>10.451945</v>
      </c>
      <c r="B204">
        <v>0.31646999999999997</v>
      </c>
      <c r="C204">
        <f t="shared" si="36"/>
        <v>3.30772703415</v>
      </c>
      <c r="D204">
        <v>1.5900000000000001E-2</v>
      </c>
      <c r="E204">
        <v>2.9099999999999998E-3</v>
      </c>
      <c r="F204">
        <f t="shared" si="37"/>
        <v>2090.3890000000001</v>
      </c>
      <c r="G204">
        <f t="shared" si="38"/>
        <v>-0.31646999999999997</v>
      </c>
      <c r="H204">
        <f t="shared" si="39"/>
        <v>-661.54540683000005</v>
      </c>
      <c r="I204">
        <v>1</v>
      </c>
      <c r="J204">
        <f t="shared" si="40"/>
        <v>0.73735017305963602</v>
      </c>
      <c r="K204">
        <f t="shared" si="41"/>
        <v>-0.90525515177521743</v>
      </c>
      <c r="L204">
        <v>1</v>
      </c>
      <c r="M204">
        <f t="shared" si="42"/>
        <v>0.87975444860368657</v>
      </c>
      <c r="N204">
        <f t="shared" si="43"/>
        <v>0.16618592550000003</v>
      </c>
      <c r="O204">
        <f t="shared" si="44"/>
        <v>3.0415159949999999E-2</v>
      </c>
      <c r="P204">
        <f t="shared" si="45"/>
        <v>-0.17110038227846916</v>
      </c>
    </row>
    <row r="205" spans="1:16" x14ac:dyDescent="0.3">
      <c r="A205">
        <v>10.502863</v>
      </c>
      <c r="B205">
        <v>0.31378</v>
      </c>
      <c r="C205">
        <f t="shared" si="36"/>
        <v>3.2955883521399998</v>
      </c>
      <c r="D205">
        <v>1.5900000000000001E-2</v>
      </c>
      <c r="E205">
        <v>2.9099999999999998E-3</v>
      </c>
      <c r="F205">
        <f t="shared" si="37"/>
        <v>2100.5726</v>
      </c>
      <c r="G205">
        <f t="shared" si="38"/>
        <v>-0.31378</v>
      </c>
      <c r="H205">
        <f t="shared" si="39"/>
        <v>-659.117670428</v>
      </c>
      <c r="I205">
        <v>1</v>
      </c>
      <c r="J205">
        <f t="shared" si="40"/>
        <v>0.7422099742292444</v>
      </c>
      <c r="K205">
        <f t="shared" si="41"/>
        <v>-0.90794515177521751</v>
      </c>
      <c r="L205">
        <v>1</v>
      </c>
      <c r="M205">
        <f t="shared" si="42"/>
        <v>0.88196177029492273</v>
      </c>
      <c r="N205">
        <f t="shared" si="43"/>
        <v>0.16699552170000001</v>
      </c>
      <c r="O205">
        <f t="shared" si="44"/>
        <v>3.0563331329999999E-2</v>
      </c>
      <c r="P205">
        <f t="shared" si="45"/>
        <v>-0.17157547154970523</v>
      </c>
    </row>
    <row r="206" spans="1:16" x14ac:dyDescent="0.3">
      <c r="A206">
        <v>10.555818</v>
      </c>
      <c r="B206">
        <v>0.31194</v>
      </c>
      <c r="C206">
        <f t="shared" si="36"/>
        <v>3.29278186692</v>
      </c>
      <c r="D206">
        <v>1.5900000000000001E-2</v>
      </c>
      <c r="E206">
        <v>2.9099999999999998E-3</v>
      </c>
      <c r="F206">
        <f t="shared" si="37"/>
        <v>2111.1635999999999</v>
      </c>
      <c r="G206">
        <f t="shared" si="38"/>
        <v>-0.31194</v>
      </c>
      <c r="H206">
        <f t="shared" si="39"/>
        <v>-658.55637338400004</v>
      </c>
      <c r="I206">
        <v>1</v>
      </c>
      <c r="J206">
        <f t="shared" si="40"/>
        <v>0.74723926467903257</v>
      </c>
      <c r="K206">
        <f t="shared" si="41"/>
        <v>-0.90978515177521746</v>
      </c>
      <c r="L206">
        <v>1</v>
      </c>
      <c r="M206">
        <f t="shared" si="42"/>
        <v>0.88424607401721655</v>
      </c>
      <c r="N206">
        <f t="shared" si="43"/>
        <v>0.16783750620000001</v>
      </c>
      <c r="O206">
        <f t="shared" si="44"/>
        <v>3.0717430380000001E-2</v>
      </c>
      <c r="P206">
        <f t="shared" si="45"/>
        <v>-0.1730158588219991</v>
      </c>
    </row>
    <row r="207" spans="1:16" x14ac:dyDescent="0.3">
      <c r="A207">
        <v>10.611319999999999</v>
      </c>
      <c r="B207">
        <v>0.30926999999999999</v>
      </c>
      <c r="C207">
        <f t="shared" si="36"/>
        <v>3.2817629363999998</v>
      </c>
      <c r="D207">
        <v>1.5900000000000001E-2</v>
      </c>
      <c r="E207">
        <v>2.9099999999999998E-3</v>
      </c>
      <c r="F207">
        <f t="shared" si="37"/>
        <v>2122.2639999999997</v>
      </c>
      <c r="G207">
        <f t="shared" si="38"/>
        <v>-0.30926999999999999</v>
      </c>
      <c r="H207">
        <f t="shared" si="39"/>
        <v>-656.35258727999997</v>
      </c>
      <c r="I207">
        <v>1</v>
      </c>
      <c r="J207">
        <f t="shared" si="40"/>
        <v>0.75248344338647488</v>
      </c>
      <c r="K207">
        <f t="shared" si="41"/>
        <v>-0.91245515177521752</v>
      </c>
      <c r="L207">
        <v>1</v>
      </c>
      <c r="M207">
        <f t="shared" si="42"/>
        <v>0.88662797998613685</v>
      </c>
      <c r="N207">
        <f t="shared" si="43"/>
        <v>0.16871998799999999</v>
      </c>
      <c r="O207">
        <f t="shared" si="44"/>
        <v>3.0878941199999996E-2</v>
      </c>
      <c r="P207">
        <f t="shared" si="45"/>
        <v>-0.17377175741091933</v>
      </c>
    </row>
    <row r="208" spans="1:16" x14ac:dyDescent="0.3">
      <c r="A208">
        <v>10.664274000000001</v>
      </c>
      <c r="B208">
        <v>0.30696000000000001</v>
      </c>
      <c r="C208">
        <f t="shared" si="36"/>
        <v>3.2735055470400005</v>
      </c>
      <c r="D208">
        <v>1.5900000000000001E-2</v>
      </c>
      <c r="E208">
        <v>2.9099999999999998E-3</v>
      </c>
      <c r="F208">
        <f t="shared" si="37"/>
        <v>2132.8548000000001</v>
      </c>
      <c r="G208">
        <f t="shared" si="38"/>
        <v>-0.30696000000000001</v>
      </c>
      <c r="H208">
        <f t="shared" si="39"/>
        <v>-654.70110940800009</v>
      </c>
      <c r="I208">
        <v>1</v>
      </c>
      <c r="J208">
        <f t="shared" si="40"/>
        <v>0.75746136403570485</v>
      </c>
      <c r="K208">
        <f t="shared" si="41"/>
        <v>-0.91476515177521744</v>
      </c>
      <c r="L208">
        <v>1</v>
      </c>
      <c r="M208">
        <f t="shared" si="42"/>
        <v>0.88888895154501713</v>
      </c>
      <c r="N208">
        <f t="shared" si="43"/>
        <v>0.16956195660000001</v>
      </c>
      <c r="O208">
        <f t="shared" si="44"/>
        <v>3.103303734E-2</v>
      </c>
      <c r="P208">
        <f t="shared" si="45"/>
        <v>-0.1747187937097997</v>
      </c>
    </row>
    <row r="209" spans="1:16" x14ac:dyDescent="0.3">
      <c r="A209">
        <v>10.718248000000001</v>
      </c>
      <c r="B209">
        <v>0.30452000000000001</v>
      </c>
      <c r="C209">
        <f t="shared" si="36"/>
        <v>3.2639208809600002</v>
      </c>
      <c r="D209">
        <v>1.5900000000000001E-2</v>
      </c>
      <c r="E209">
        <v>2.9099999999999998E-3</v>
      </c>
      <c r="F209">
        <f t="shared" si="37"/>
        <v>2143.6496000000002</v>
      </c>
      <c r="G209">
        <f t="shared" si="38"/>
        <v>-0.30452000000000001</v>
      </c>
      <c r="H209">
        <f t="shared" si="39"/>
        <v>-652.78417619200002</v>
      </c>
      <c r="I209">
        <v>1</v>
      </c>
      <c r="J209">
        <f t="shared" si="40"/>
        <v>0.76250979701613353</v>
      </c>
      <c r="K209">
        <f t="shared" si="41"/>
        <v>-0.91720515177521744</v>
      </c>
      <c r="L209">
        <v>1</v>
      </c>
      <c r="M209">
        <f t="shared" si="42"/>
        <v>0.89118194980472776</v>
      </c>
      <c r="N209">
        <f t="shared" si="43"/>
        <v>0.17042014320000001</v>
      </c>
      <c r="O209">
        <f t="shared" si="44"/>
        <v>3.1190101680000002E-2</v>
      </c>
      <c r="P209">
        <f t="shared" si="45"/>
        <v>-0.17558704290951033</v>
      </c>
    </row>
    <row r="210" spans="1:16" x14ac:dyDescent="0.3">
      <c r="A210">
        <v>10.768656999999999</v>
      </c>
      <c r="B210">
        <v>0.30214999999999997</v>
      </c>
      <c r="C210">
        <f t="shared" si="36"/>
        <v>3.2537497125499995</v>
      </c>
      <c r="D210">
        <v>1.5900000000000001E-2</v>
      </c>
      <c r="E210">
        <v>2.9099999999999998E-3</v>
      </c>
      <c r="F210">
        <f t="shared" si="37"/>
        <v>2153.7313999999997</v>
      </c>
      <c r="G210">
        <f t="shared" si="38"/>
        <v>-0.30214999999999997</v>
      </c>
      <c r="H210">
        <f t="shared" si="39"/>
        <v>-650.74994250999987</v>
      </c>
      <c r="I210">
        <v>1</v>
      </c>
      <c r="J210">
        <f t="shared" si="40"/>
        <v>0.76720187272288509</v>
      </c>
      <c r="K210">
        <f t="shared" si="41"/>
        <v>-0.91957515177521754</v>
      </c>
      <c r="L210">
        <v>1</v>
      </c>
      <c r="M210">
        <f t="shared" si="42"/>
        <v>0.89331309059073427</v>
      </c>
      <c r="N210">
        <f t="shared" si="43"/>
        <v>0.1712216463</v>
      </c>
      <c r="O210">
        <f t="shared" si="44"/>
        <v>3.1336791869999998E-2</v>
      </c>
      <c r="P210">
        <f t="shared" si="45"/>
        <v>-0.17629637698551673</v>
      </c>
    </row>
    <row r="211" spans="1:16" x14ac:dyDescent="0.3">
      <c r="A211">
        <v>10.82925</v>
      </c>
      <c r="B211">
        <v>0.29994999999999999</v>
      </c>
      <c r="C211">
        <f t="shared" si="36"/>
        <v>3.2482335375</v>
      </c>
      <c r="D211">
        <v>1.5900000000000001E-2</v>
      </c>
      <c r="E211">
        <v>2.9099999999999998E-3</v>
      </c>
      <c r="F211">
        <f t="shared" si="37"/>
        <v>2165.85</v>
      </c>
      <c r="G211">
        <f t="shared" si="38"/>
        <v>-0.29994999999999999</v>
      </c>
      <c r="H211">
        <f t="shared" si="39"/>
        <v>-649.64670750000005</v>
      </c>
      <c r="I211">
        <v>1</v>
      </c>
      <c r="J211">
        <f t="shared" si="40"/>
        <v>0.77281289410320064</v>
      </c>
      <c r="K211">
        <f t="shared" si="41"/>
        <v>-0.92177515177521752</v>
      </c>
      <c r="L211">
        <v>1</v>
      </c>
      <c r="M211">
        <f t="shared" si="42"/>
        <v>0.89586161650167373</v>
      </c>
      <c r="N211">
        <f t="shared" si="43"/>
        <v>0.17218507500000002</v>
      </c>
      <c r="O211">
        <f t="shared" si="44"/>
        <v>3.15131175E-2</v>
      </c>
      <c r="P211">
        <f t="shared" si="45"/>
        <v>-0.17778465722645623</v>
      </c>
    </row>
    <row r="212" spans="1:16" x14ac:dyDescent="0.3">
      <c r="A212">
        <v>10.880677</v>
      </c>
      <c r="B212">
        <v>0.29697000000000001</v>
      </c>
      <c r="C212">
        <f t="shared" si="36"/>
        <v>3.2312346486900001</v>
      </c>
      <c r="D212">
        <v>1.5900000000000001E-2</v>
      </c>
      <c r="E212">
        <v>2.9099999999999998E-3</v>
      </c>
      <c r="F212">
        <f t="shared" si="37"/>
        <v>2176.1354000000001</v>
      </c>
      <c r="G212">
        <f t="shared" si="38"/>
        <v>-0.29697000000000001</v>
      </c>
      <c r="H212">
        <f t="shared" si="39"/>
        <v>-646.24692973800006</v>
      </c>
      <c r="I212">
        <v>1</v>
      </c>
      <c r="J212">
        <f t="shared" si="40"/>
        <v>0.77755055132255291</v>
      </c>
      <c r="K212">
        <f t="shared" si="41"/>
        <v>-0.9247551517752175</v>
      </c>
      <c r="L212">
        <v>1</v>
      </c>
      <c r="M212">
        <f t="shared" si="42"/>
        <v>0.89801346041070351</v>
      </c>
      <c r="N212">
        <f t="shared" si="43"/>
        <v>0.17300276430000003</v>
      </c>
      <c r="O212">
        <f t="shared" si="44"/>
        <v>3.1662770069999999E-2</v>
      </c>
      <c r="P212">
        <f t="shared" si="45"/>
        <v>-0.17792384300548603</v>
      </c>
    </row>
    <row r="213" spans="1:16" x14ac:dyDescent="0.3">
      <c r="A213">
        <v>10.933123</v>
      </c>
      <c r="B213">
        <v>0.29527999999999999</v>
      </c>
      <c r="C213">
        <f t="shared" si="36"/>
        <v>3.2283325594400001</v>
      </c>
      <c r="D213">
        <v>1.5900000000000001E-2</v>
      </c>
      <c r="E213">
        <v>2.9099999999999998E-3</v>
      </c>
      <c r="F213">
        <f t="shared" si="37"/>
        <v>2186.6246000000001</v>
      </c>
      <c r="G213">
        <f t="shared" si="38"/>
        <v>-0.29527999999999999</v>
      </c>
      <c r="H213">
        <f t="shared" si="39"/>
        <v>-645.66651188800006</v>
      </c>
      <c r="I213">
        <v>1</v>
      </c>
      <c r="J213">
        <f t="shared" si="40"/>
        <v>0.78235907629796098</v>
      </c>
      <c r="K213">
        <f t="shared" si="41"/>
        <v>-0.92644515177521747</v>
      </c>
      <c r="L213">
        <v>1</v>
      </c>
      <c r="M213">
        <f t="shared" si="42"/>
        <v>0.90019749245453373</v>
      </c>
      <c r="N213">
        <f t="shared" si="43"/>
        <v>0.17383665570000001</v>
      </c>
      <c r="O213">
        <f t="shared" si="44"/>
        <v>3.1815387930000001E-2</v>
      </c>
      <c r="P213">
        <f t="shared" si="45"/>
        <v>-0.17940438430931627</v>
      </c>
    </row>
    <row r="214" spans="1:16" x14ac:dyDescent="0.3">
      <c r="A214">
        <v>10.986587</v>
      </c>
      <c r="B214">
        <v>0.29260000000000003</v>
      </c>
      <c r="C214">
        <f t="shared" si="36"/>
        <v>3.2146753562000003</v>
      </c>
      <c r="D214">
        <v>1.5900000000000001E-2</v>
      </c>
      <c r="E214">
        <v>2.9099999999999998E-3</v>
      </c>
      <c r="F214">
        <f t="shared" si="37"/>
        <v>2197.3173999999999</v>
      </c>
      <c r="G214">
        <f t="shared" si="38"/>
        <v>-0.29260000000000003</v>
      </c>
      <c r="H214">
        <f t="shared" si="39"/>
        <v>-642.93507124000007</v>
      </c>
      <c r="I214">
        <v>1</v>
      </c>
      <c r="J214">
        <f t="shared" si="40"/>
        <v>0.78723725269917832</v>
      </c>
      <c r="K214">
        <f t="shared" si="41"/>
        <v>-0.92912515177521748</v>
      </c>
      <c r="L214">
        <v>1</v>
      </c>
      <c r="M214">
        <f t="shared" si="42"/>
        <v>0.90241316017596673</v>
      </c>
      <c r="N214">
        <f t="shared" si="43"/>
        <v>0.17468673330000001</v>
      </c>
      <c r="O214">
        <f t="shared" si="44"/>
        <v>3.1970968169999996E-2</v>
      </c>
      <c r="P214">
        <f t="shared" si="45"/>
        <v>-0.17994570987074926</v>
      </c>
    </row>
    <row r="215" spans="1:16" x14ac:dyDescent="0.3">
      <c r="A215">
        <v>11.040051999999999</v>
      </c>
      <c r="B215">
        <v>0.29032999999999998</v>
      </c>
      <c r="C215">
        <f t="shared" si="36"/>
        <v>3.2052582971599994</v>
      </c>
      <c r="D215">
        <v>1.5900000000000001E-2</v>
      </c>
      <c r="E215">
        <v>2.9099999999999998E-3</v>
      </c>
      <c r="F215">
        <f t="shared" si="37"/>
        <v>2208.0103999999997</v>
      </c>
      <c r="G215">
        <f t="shared" si="38"/>
        <v>-0.29032999999999998</v>
      </c>
      <c r="H215">
        <f t="shared" si="39"/>
        <v>-641.05165943199984</v>
      </c>
      <c r="I215">
        <v>1</v>
      </c>
      <c r="J215">
        <f t="shared" si="40"/>
        <v>0.79209183854868348</v>
      </c>
      <c r="K215">
        <f t="shared" si="41"/>
        <v>-0.93139515177521748</v>
      </c>
      <c r="L215">
        <v>1</v>
      </c>
      <c r="M215">
        <f t="shared" si="42"/>
        <v>0.90461811306881201</v>
      </c>
      <c r="N215">
        <f t="shared" si="43"/>
        <v>0.17553682679999999</v>
      </c>
      <c r="O215">
        <f t="shared" si="44"/>
        <v>3.2126551319999995E-2</v>
      </c>
      <c r="P215">
        <f t="shared" si="45"/>
        <v>-0.18088633941359453</v>
      </c>
    </row>
    <row r="216" spans="1:16" x14ac:dyDescent="0.3">
      <c r="A216">
        <v>11.092498000000001</v>
      </c>
      <c r="B216">
        <v>0.28836000000000001</v>
      </c>
      <c r="C216">
        <f t="shared" si="36"/>
        <v>3.1986327232800003</v>
      </c>
      <c r="D216">
        <v>1.5900000000000001E-2</v>
      </c>
      <c r="E216">
        <v>2.9099999999999998E-3</v>
      </c>
      <c r="F216">
        <f t="shared" si="37"/>
        <v>2218.4996000000001</v>
      </c>
      <c r="G216">
        <f t="shared" si="38"/>
        <v>-0.28836000000000001</v>
      </c>
      <c r="H216">
        <f t="shared" si="39"/>
        <v>-639.7265446560001</v>
      </c>
      <c r="I216">
        <v>1</v>
      </c>
      <c r="J216">
        <f t="shared" si="40"/>
        <v>0.79683111153480501</v>
      </c>
      <c r="K216">
        <f t="shared" si="41"/>
        <v>-0.93336515177521751</v>
      </c>
      <c r="L216">
        <v>1</v>
      </c>
      <c r="M216">
        <f t="shared" si="42"/>
        <v>0.90677069085910844</v>
      </c>
      <c r="N216">
        <f t="shared" si="43"/>
        <v>0.17637071820000003</v>
      </c>
      <c r="O216">
        <f t="shared" si="44"/>
        <v>3.2279169179999997E-2</v>
      </c>
      <c r="P216">
        <f t="shared" si="45"/>
        <v>-0.18205542646389095</v>
      </c>
    </row>
    <row r="217" spans="1:16" x14ac:dyDescent="0.3">
      <c r="A217">
        <v>11.143414999999999</v>
      </c>
      <c r="B217">
        <v>0.28589999999999999</v>
      </c>
      <c r="C217">
        <f t="shared" si="36"/>
        <v>3.1859023484999995</v>
      </c>
      <c r="D217">
        <v>1.5900000000000001E-2</v>
      </c>
      <c r="E217">
        <v>2.9099999999999998E-3</v>
      </c>
      <c r="F217">
        <f t="shared" si="37"/>
        <v>2228.683</v>
      </c>
      <c r="G217">
        <f t="shared" si="38"/>
        <v>-0.28589999999999999</v>
      </c>
      <c r="H217">
        <f t="shared" si="39"/>
        <v>-637.18046969999989</v>
      </c>
      <c r="I217">
        <v>1</v>
      </c>
      <c r="J217">
        <f t="shared" si="40"/>
        <v>0.80141082804957686</v>
      </c>
      <c r="K217">
        <f t="shared" si="41"/>
        <v>-0.93582515177521741</v>
      </c>
      <c r="L217">
        <v>1</v>
      </c>
      <c r="M217">
        <f t="shared" si="42"/>
        <v>0.90885079810011771</v>
      </c>
      <c r="N217">
        <f t="shared" si="43"/>
        <v>0.1771802985</v>
      </c>
      <c r="O217">
        <f t="shared" si="44"/>
        <v>3.2427337649999999E-2</v>
      </c>
      <c r="P217">
        <f t="shared" si="45"/>
        <v>-0.18263328247490029</v>
      </c>
    </row>
    <row r="218" spans="1:16" x14ac:dyDescent="0.3">
      <c r="A218">
        <v>11.194844</v>
      </c>
      <c r="B218">
        <v>0.28336</v>
      </c>
      <c r="C218">
        <f t="shared" si="36"/>
        <v>3.1721709958399997</v>
      </c>
      <c r="D218">
        <v>1.5900000000000001E-2</v>
      </c>
      <c r="E218">
        <v>2.9099999999999998E-3</v>
      </c>
      <c r="F218">
        <f t="shared" si="37"/>
        <v>2238.9688000000001</v>
      </c>
      <c r="G218">
        <f t="shared" si="38"/>
        <v>-0.28336</v>
      </c>
      <c r="H218">
        <f t="shared" si="39"/>
        <v>-634.43419916799996</v>
      </c>
      <c r="I218">
        <v>1</v>
      </c>
      <c r="J218">
        <f t="shared" si="40"/>
        <v>0.80601540272720984</v>
      </c>
      <c r="K218">
        <f t="shared" si="41"/>
        <v>-0.9383651517752174</v>
      </c>
      <c r="L218">
        <v>1</v>
      </c>
      <c r="M218">
        <f t="shared" si="42"/>
        <v>0.91094219591869863</v>
      </c>
      <c r="N218">
        <f t="shared" si="43"/>
        <v>0.1779980196</v>
      </c>
      <c r="O218">
        <f t="shared" si="44"/>
        <v>3.257699604E-2</v>
      </c>
      <c r="P218">
        <f t="shared" si="45"/>
        <v>-0.18315205978348123</v>
      </c>
    </row>
    <row r="219" spans="1:16" x14ac:dyDescent="0.3">
      <c r="A219">
        <v>11.247287999999999</v>
      </c>
      <c r="B219">
        <v>0.28133999999999998</v>
      </c>
      <c r="C219">
        <f t="shared" si="36"/>
        <v>3.1643120059199994</v>
      </c>
      <c r="D219">
        <v>1.5900000000000001E-2</v>
      </c>
      <c r="E219">
        <v>2.9099999999999998E-3</v>
      </c>
      <c r="F219">
        <f t="shared" si="37"/>
        <v>2249.4575999999997</v>
      </c>
      <c r="G219">
        <f t="shared" si="38"/>
        <v>-0.28133999999999998</v>
      </c>
      <c r="H219">
        <f t="shared" si="39"/>
        <v>-632.86240118399985</v>
      </c>
      <c r="I219">
        <v>1</v>
      </c>
      <c r="J219">
        <f t="shared" si="40"/>
        <v>0.81068912048842268</v>
      </c>
      <c r="K219">
        <f t="shared" si="41"/>
        <v>-0.94038515177521753</v>
      </c>
      <c r="L219">
        <v>1</v>
      </c>
      <c r="M219">
        <f t="shared" si="42"/>
        <v>0.91306499852584144</v>
      </c>
      <c r="N219">
        <f t="shared" si="43"/>
        <v>0.17883187919999999</v>
      </c>
      <c r="O219">
        <f t="shared" si="44"/>
        <v>3.2729608079999993E-2</v>
      </c>
      <c r="P219">
        <f t="shared" si="45"/>
        <v>-0.1842413340306239</v>
      </c>
    </row>
    <row r="220" spans="1:16" x14ac:dyDescent="0.3">
      <c r="A220">
        <v>11.298208000000001</v>
      </c>
      <c r="B220">
        <v>0.27894999999999998</v>
      </c>
      <c r="C220">
        <f t="shared" si="36"/>
        <v>3.1516351216</v>
      </c>
      <c r="D220">
        <v>1.5900000000000001E-2</v>
      </c>
      <c r="E220">
        <v>2.9099999999999998E-3</v>
      </c>
      <c r="F220">
        <f t="shared" si="37"/>
        <v>2259.6415999999999</v>
      </c>
      <c r="G220">
        <f t="shared" si="38"/>
        <v>-0.27894999999999998</v>
      </c>
      <c r="H220">
        <f t="shared" si="39"/>
        <v>-630.32702431999996</v>
      </c>
      <c r="I220">
        <v>1</v>
      </c>
      <c r="J220">
        <f t="shared" si="40"/>
        <v>0.81520621663761483</v>
      </c>
      <c r="K220">
        <f t="shared" si="41"/>
        <v>-0.94277515177521742</v>
      </c>
      <c r="L220">
        <v>1</v>
      </c>
      <c r="M220">
        <f t="shared" si="42"/>
        <v>0.91511666359680466</v>
      </c>
      <c r="N220">
        <f t="shared" si="43"/>
        <v>0.17964150720000002</v>
      </c>
      <c r="O220">
        <f t="shared" si="44"/>
        <v>3.2877785280000002E-2</v>
      </c>
      <c r="P220">
        <f t="shared" si="45"/>
        <v>-0.18486080430158724</v>
      </c>
    </row>
    <row r="221" spans="1:16" x14ac:dyDescent="0.3">
      <c r="A221">
        <v>11.354217999999999</v>
      </c>
      <c r="B221">
        <v>0.27701999999999999</v>
      </c>
      <c r="C221">
        <f t="shared" si="36"/>
        <v>3.1453454703599997</v>
      </c>
      <c r="D221">
        <v>1.5900000000000001E-2</v>
      </c>
      <c r="E221">
        <v>2.9099999999999998E-3</v>
      </c>
      <c r="F221">
        <f t="shared" si="37"/>
        <v>2270.8435999999997</v>
      </c>
      <c r="G221">
        <f t="shared" si="38"/>
        <v>-0.27701999999999999</v>
      </c>
      <c r="H221">
        <f t="shared" si="39"/>
        <v>-629.06909407199998</v>
      </c>
      <c r="I221">
        <v>1</v>
      </c>
      <c r="J221">
        <f t="shared" si="40"/>
        <v>0.8201513924119499</v>
      </c>
      <c r="K221">
        <f t="shared" si="41"/>
        <v>-0.94470515177521741</v>
      </c>
      <c r="L221">
        <v>1</v>
      </c>
      <c r="M221">
        <f t="shared" si="42"/>
        <v>0.91736276243350756</v>
      </c>
      <c r="N221">
        <f t="shared" si="43"/>
        <v>0.18053206620000001</v>
      </c>
      <c r="O221">
        <f t="shared" si="44"/>
        <v>3.3040774379999999E-2</v>
      </c>
      <c r="P221">
        <f t="shared" si="45"/>
        <v>-0.18623045123829016</v>
      </c>
    </row>
    <row r="222" spans="1:16" x14ac:dyDescent="0.3">
      <c r="A222">
        <v>11.413792000000001</v>
      </c>
      <c r="B222">
        <v>0.27390999999999999</v>
      </c>
      <c r="C222">
        <f t="shared" si="36"/>
        <v>3.12635176672</v>
      </c>
      <c r="D222">
        <v>1.5900000000000001E-2</v>
      </c>
      <c r="E222">
        <v>2.9099999999999998E-3</v>
      </c>
      <c r="F222">
        <f t="shared" si="37"/>
        <v>2282.7584000000002</v>
      </c>
      <c r="G222">
        <f t="shared" si="38"/>
        <v>-0.27390999999999999</v>
      </c>
      <c r="H222">
        <f t="shared" si="39"/>
        <v>-625.270353344</v>
      </c>
      <c r="I222">
        <v>1</v>
      </c>
      <c r="J222">
        <f t="shared" si="40"/>
        <v>0.82538453627974673</v>
      </c>
      <c r="K222">
        <f t="shared" si="41"/>
        <v>-0.94781515177521747</v>
      </c>
      <c r="L222">
        <v>1</v>
      </c>
      <c r="M222">
        <f t="shared" si="42"/>
        <v>0.91973965637826094</v>
      </c>
      <c r="N222">
        <f t="shared" si="43"/>
        <v>0.18147929280000002</v>
      </c>
      <c r="O222">
        <f t="shared" si="44"/>
        <v>3.3214134720000003E-2</v>
      </c>
      <c r="P222">
        <f t="shared" si="45"/>
        <v>-0.18661793212304351</v>
      </c>
    </row>
    <row r="223" spans="1:16" x14ac:dyDescent="0.3">
      <c r="A223">
        <v>11.487624</v>
      </c>
      <c r="B223">
        <v>0.27173000000000003</v>
      </c>
      <c r="C223">
        <f t="shared" si="36"/>
        <v>3.1215320695200002</v>
      </c>
      <c r="D223">
        <v>1.5900000000000001E-2</v>
      </c>
      <c r="E223">
        <v>2.9099999999999998E-3</v>
      </c>
      <c r="F223">
        <f t="shared" si="37"/>
        <v>2297.5248000000001</v>
      </c>
      <c r="G223">
        <f t="shared" si="38"/>
        <v>-0.27173000000000003</v>
      </c>
      <c r="H223">
        <f t="shared" si="39"/>
        <v>-624.30641390400001</v>
      </c>
      <c r="I223">
        <v>1</v>
      </c>
      <c r="J223">
        <f t="shared" si="40"/>
        <v>0.83183236953112238</v>
      </c>
      <c r="K223">
        <f t="shared" si="41"/>
        <v>-0.94999515177521743</v>
      </c>
      <c r="L223">
        <v>1</v>
      </c>
      <c r="M223">
        <f t="shared" si="42"/>
        <v>0.92266826224103571</v>
      </c>
      <c r="N223">
        <f t="shared" si="43"/>
        <v>0.18265322160000003</v>
      </c>
      <c r="O223">
        <f t="shared" si="44"/>
        <v>3.3428985840000001E-2</v>
      </c>
      <c r="P223">
        <f t="shared" si="45"/>
        <v>-0.18875531790581832</v>
      </c>
    </row>
    <row r="224" spans="1:16" x14ac:dyDescent="0.3">
      <c r="A224">
        <v>11.431103999999999</v>
      </c>
      <c r="B224">
        <v>0.27245999999999998</v>
      </c>
      <c r="C224">
        <f t="shared" si="36"/>
        <v>3.1145185958399995</v>
      </c>
      <c r="D224">
        <v>1.5900000000000001E-2</v>
      </c>
      <c r="E224">
        <v>2.9099999999999998E-3</v>
      </c>
      <c r="F224">
        <f t="shared" si="37"/>
        <v>2286.2208000000001</v>
      </c>
      <c r="G224">
        <f t="shared" si="38"/>
        <v>-0.27245999999999998</v>
      </c>
      <c r="H224">
        <f t="shared" si="39"/>
        <v>-622.90371916799984</v>
      </c>
      <c r="I224">
        <v>1</v>
      </c>
      <c r="J224">
        <f t="shared" si="40"/>
        <v>0.82690014863481476</v>
      </c>
      <c r="K224">
        <f t="shared" si="41"/>
        <v>-0.94926515177521753</v>
      </c>
      <c r="L224">
        <v>1</v>
      </c>
      <c r="M224">
        <f t="shared" si="42"/>
        <v>0.92042804750993279</v>
      </c>
      <c r="N224">
        <f t="shared" si="43"/>
        <v>0.18175455360000001</v>
      </c>
      <c r="O224">
        <f t="shared" si="44"/>
        <v>3.3264512639999994E-2</v>
      </c>
      <c r="P224">
        <f t="shared" si="45"/>
        <v>-0.18618196197471526</v>
      </c>
    </row>
    <row r="225" spans="1:18" x14ac:dyDescent="0.3">
      <c r="A225">
        <v>11.484059999999999</v>
      </c>
      <c r="B225">
        <v>0.27079999999999999</v>
      </c>
      <c r="C225">
        <f t="shared" si="36"/>
        <v>3.1098834479999997</v>
      </c>
      <c r="D225">
        <v>1.5900000000000001E-2</v>
      </c>
      <c r="E225">
        <v>2.9099999999999998E-3</v>
      </c>
      <c r="F225">
        <f t="shared" si="37"/>
        <v>2296.8119999999999</v>
      </c>
      <c r="G225">
        <f t="shared" si="38"/>
        <v>-0.27079999999999999</v>
      </c>
      <c r="H225">
        <f t="shared" si="39"/>
        <v>-621.97668959999999</v>
      </c>
      <c r="I225">
        <v>1</v>
      </c>
      <c r="J225">
        <f t="shared" si="40"/>
        <v>0.83152207447146576</v>
      </c>
      <c r="K225">
        <f t="shared" si="41"/>
        <v>-0.95092515177521753</v>
      </c>
      <c r="L225">
        <v>1</v>
      </c>
      <c r="M225">
        <f t="shared" si="42"/>
        <v>0.9225273262249396</v>
      </c>
      <c r="N225">
        <f t="shared" si="43"/>
        <v>0.18259655399999999</v>
      </c>
      <c r="O225">
        <f t="shared" si="44"/>
        <v>3.3418614599999993E-2</v>
      </c>
      <c r="P225">
        <f t="shared" si="45"/>
        <v>-0.18761734304972205</v>
      </c>
      <c r="R225">
        <f>O225+N225+M225</f>
        <v>1.1385424948249396</v>
      </c>
    </row>
    <row r="226" spans="1:18" x14ac:dyDescent="0.3">
      <c r="A226">
        <v>11.545161</v>
      </c>
      <c r="B226">
        <v>0.26822000000000001</v>
      </c>
      <c r="C226">
        <f t="shared" si="36"/>
        <v>3.0966430834200001</v>
      </c>
      <c r="D226">
        <v>1.5900000000000001E-2</v>
      </c>
      <c r="E226">
        <v>2.9099999999999998E-3</v>
      </c>
      <c r="F226">
        <f t="shared" si="37"/>
        <v>2309.0322000000001</v>
      </c>
      <c r="G226">
        <f t="shared" si="38"/>
        <v>-0.26822000000000001</v>
      </c>
      <c r="H226">
        <f t="shared" si="39"/>
        <v>-619.32861668400005</v>
      </c>
      <c r="I226">
        <v>1</v>
      </c>
      <c r="J226">
        <f t="shared" si="40"/>
        <v>0.83682847570604435</v>
      </c>
      <c r="K226">
        <f t="shared" si="41"/>
        <v>-0.95350515177521744</v>
      </c>
      <c r="L226">
        <v>1</v>
      </c>
      <c r="M226">
        <f t="shared" si="42"/>
        <v>0.92493749366568534</v>
      </c>
      <c r="N226">
        <f t="shared" si="43"/>
        <v>0.18356805990000002</v>
      </c>
      <c r="O226">
        <f t="shared" si="44"/>
        <v>3.3596418509999997E-2</v>
      </c>
      <c r="P226">
        <f t="shared" si="45"/>
        <v>-0.18859682030046793</v>
      </c>
    </row>
    <row r="227" spans="1:18" x14ac:dyDescent="0.3">
      <c r="A227">
        <v>11.597607</v>
      </c>
      <c r="B227">
        <v>0.26578000000000002</v>
      </c>
      <c r="C227">
        <f t="shared" si="36"/>
        <v>3.0824119884600001</v>
      </c>
      <c r="D227">
        <v>1.5900000000000001E-2</v>
      </c>
      <c r="E227">
        <v>2.9099999999999998E-3</v>
      </c>
      <c r="F227">
        <f t="shared" si="37"/>
        <v>2319.5214000000001</v>
      </c>
      <c r="G227">
        <f t="shared" si="38"/>
        <v>-0.26578000000000002</v>
      </c>
      <c r="H227">
        <f t="shared" si="39"/>
        <v>-616.48239769200006</v>
      </c>
      <c r="I227">
        <v>1</v>
      </c>
      <c r="J227">
        <f t="shared" si="40"/>
        <v>0.8413608712934213</v>
      </c>
      <c r="K227">
        <f t="shared" si="41"/>
        <v>-0.95594515177521744</v>
      </c>
      <c r="L227">
        <v>1</v>
      </c>
      <c r="M227">
        <f t="shared" si="42"/>
        <v>0.9269961077414719</v>
      </c>
      <c r="N227">
        <f t="shared" si="43"/>
        <v>0.18440195130000001</v>
      </c>
      <c r="O227">
        <f t="shared" si="44"/>
        <v>3.3749036369999999E-2</v>
      </c>
      <c r="P227">
        <f t="shared" si="45"/>
        <v>-0.18920194363625448</v>
      </c>
    </row>
    <row r="228" spans="1:18" x14ac:dyDescent="0.3">
      <c r="A228">
        <v>11.541088</v>
      </c>
      <c r="B228">
        <v>0.26715</v>
      </c>
      <c r="C228">
        <f t="shared" si="36"/>
        <v>3.0832016592000002</v>
      </c>
      <c r="D228">
        <v>1.5900000000000001E-2</v>
      </c>
      <c r="E228">
        <v>2.9099999999999998E-3</v>
      </c>
      <c r="F228">
        <f t="shared" si="37"/>
        <v>2308.2175999999999</v>
      </c>
      <c r="G228">
        <f t="shared" si="38"/>
        <v>-0.26715</v>
      </c>
      <c r="H228">
        <f t="shared" si="39"/>
        <v>-616.64033184000004</v>
      </c>
      <c r="I228">
        <v>1</v>
      </c>
      <c r="J228">
        <f t="shared" si="40"/>
        <v>0.83647562496426631</v>
      </c>
      <c r="K228">
        <f t="shared" si="41"/>
        <v>-0.95457515177521746</v>
      </c>
      <c r="L228">
        <v>1</v>
      </c>
      <c r="M228">
        <f t="shared" si="42"/>
        <v>0.92477722885876967</v>
      </c>
      <c r="N228">
        <f t="shared" si="43"/>
        <v>0.18350329920000003</v>
      </c>
      <c r="O228">
        <f t="shared" si="44"/>
        <v>3.3584566079999996E-2</v>
      </c>
      <c r="P228">
        <f t="shared" si="45"/>
        <v>-0.18728994236355223</v>
      </c>
    </row>
    <row r="229" spans="1:18" x14ac:dyDescent="0.3">
      <c r="A229">
        <v>11.598115999999999</v>
      </c>
      <c r="B229">
        <v>0.26580999999999999</v>
      </c>
      <c r="C229">
        <f t="shared" si="36"/>
        <v>3.0828952139599997</v>
      </c>
      <c r="D229">
        <v>1.5900000000000001E-2</v>
      </c>
      <c r="E229">
        <v>2.9099999999999998E-3</v>
      </c>
      <c r="F229">
        <f t="shared" si="37"/>
        <v>2319.6232</v>
      </c>
      <c r="G229">
        <f t="shared" si="38"/>
        <v>-0.26580999999999999</v>
      </c>
      <c r="H229">
        <f t="shared" si="39"/>
        <v>-616.57904279199988</v>
      </c>
      <c r="I229">
        <v>1</v>
      </c>
      <c r="J229">
        <f t="shared" si="40"/>
        <v>0.84140475869456688</v>
      </c>
      <c r="K229">
        <f t="shared" si="41"/>
        <v>-0.95591515177521746</v>
      </c>
      <c r="L229">
        <v>1</v>
      </c>
      <c r="M229">
        <f t="shared" si="42"/>
        <v>0.92701604139907223</v>
      </c>
      <c r="N229">
        <f t="shared" si="43"/>
        <v>0.1844100444</v>
      </c>
      <c r="O229">
        <f t="shared" si="44"/>
        <v>3.3750517559999998E-2</v>
      </c>
      <c r="P229">
        <f t="shared" si="45"/>
        <v>-0.18926145158385477</v>
      </c>
    </row>
    <row r="230" spans="1:18" x14ac:dyDescent="0.3">
      <c r="A230">
        <v>11.547708</v>
      </c>
      <c r="B230">
        <v>0.2666</v>
      </c>
      <c r="C230">
        <f t="shared" si="36"/>
        <v>3.0786189527999999</v>
      </c>
      <c r="D230">
        <v>1.5900000000000001E-2</v>
      </c>
      <c r="E230">
        <v>2.9099999999999998E-3</v>
      </c>
      <c r="F230">
        <f t="shared" si="37"/>
        <v>2309.5416</v>
      </c>
      <c r="G230">
        <f t="shared" si="38"/>
        <v>-0.2666</v>
      </c>
      <c r="H230">
        <f t="shared" si="39"/>
        <v>-615.72379056</v>
      </c>
      <c r="I230">
        <v>1</v>
      </c>
      <c r="J230">
        <f t="shared" si="40"/>
        <v>0.83704906328312945</v>
      </c>
      <c r="K230">
        <f t="shared" si="41"/>
        <v>-0.95512515177521751</v>
      </c>
      <c r="L230">
        <v>1</v>
      </c>
      <c r="M230">
        <f t="shared" si="42"/>
        <v>0.92503768454319735</v>
      </c>
      <c r="N230">
        <f t="shared" si="43"/>
        <v>0.18360855720000002</v>
      </c>
      <c r="O230">
        <f t="shared" si="44"/>
        <v>3.3603830279999997E-2</v>
      </c>
      <c r="P230">
        <f t="shared" si="45"/>
        <v>-0.18712492024797986</v>
      </c>
    </row>
    <row r="231" spans="1:18" x14ac:dyDescent="0.3">
      <c r="A231">
        <v>11.604228000000001</v>
      </c>
      <c r="B231">
        <v>0.26529999999999998</v>
      </c>
      <c r="C231">
        <f t="shared" si="36"/>
        <v>3.0786016884</v>
      </c>
      <c r="D231">
        <v>1.5900000000000001E-2</v>
      </c>
      <c r="E231">
        <v>2.9099999999999998E-3</v>
      </c>
      <c r="F231">
        <f t="shared" si="37"/>
        <v>2320.8456000000001</v>
      </c>
      <c r="G231">
        <f t="shared" si="38"/>
        <v>-0.26529999999999998</v>
      </c>
      <c r="H231">
        <f t="shared" si="39"/>
        <v>-615.72033768000006</v>
      </c>
      <c r="I231">
        <v>1</v>
      </c>
      <c r="J231">
        <f t="shared" si="40"/>
        <v>0.84193160202913453</v>
      </c>
      <c r="K231">
        <f t="shared" si="41"/>
        <v>-0.95642515177521747</v>
      </c>
      <c r="L231">
        <v>1</v>
      </c>
      <c r="M231">
        <f t="shared" si="42"/>
        <v>0.92725533364163282</v>
      </c>
      <c r="N231">
        <f t="shared" si="43"/>
        <v>0.18450722520000001</v>
      </c>
      <c r="O231">
        <f t="shared" si="44"/>
        <v>3.3768303479999998E-2</v>
      </c>
      <c r="P231">
        <f t="shared" si="45"/>
        <v>-0.18910571054641534</v>
      </c>
    </row>
    <row r="232" spans="1:18" x14ac:dyDescent="0.3">
      <c r="A232">
        <v>11.661765000000001</v>
      </c>
      <c r="B232">
        <v>0.26336999999999999</v>
      </c>
      <c r="C232">
        <f t="shared" si="36"/>
        <v>3.0713590480500002</v>
      </c>
      <c r="D232">
        <v>1.5900000000000001E-2</v>
      </c>
      <c r="E232">
        <v>2.9099999999999998E-3</v>
      </c>
      <c r="F232">
        <f t="shared" si="37"/>
        <v>2332.3530000000001</v>
      </c>
      <c r="G232">
        <f t="shared" si="38"/>
        <v>-0.26336999999999999</v>
      </c>
      <c r="H232">
        <f t="shared" si="39"/>
        <v>-614.27180960999999</v>
      </c>
      <c r="I232">
        <v>1</v>
      </c>
      <c r="J232">
        <f t="shared" si="40"/>
        <v>0.84687762924532151</v>
      </c>
      <c r="K232">
        <f t="shared" si="41"/>
        <v>-0.95835515177521746</v>
      </c>
      <c r="L232">
        <v>1</v>
      </c>
      <c r="M232">
        <f t="shared" si="42"/>
        <v>0.92950181920322494</v>
      </c>
      <c r="N232">
        <f t="shared" si="43"/>
        <v>0.18542206350000001</v>
      </c>
      <c r="O232">
        <f t="shared" si="44"/>
        <v>3.393573615E-2</v>
      </c>
      <c r="P232">
        <f t="shared" si="45"/>
        <v>-0.1905044670780075</v>
      </c>
    </row>
    <row r="233" spans="1:18" x14ac:dyDescent="0.3">
      <c r="A233">
        <v>11.60881</v>
      </c>
      <c r="B233">
        <v>0.26430999999999999</v>
      </c>
      <c r="C233">
        <f t="shared" si="36"/>
        <v>3.0683245710999998</v>
      </c>
      <c r="D233">
        <v>1.5900000000000001E-2</v>
      </c>
      <c r="E233">
        <v>2.9099999999999998E-3</v>
      </c>
      <c r="F233">
        <f t="shared" si="37"/>
        <v>2321.7620000000002</v>
      </c>
      <c r="G233">
        <f t="shared" si="38"/>
        <v>-0.26430999999999999</v>
      </c>
      <c r="H233">
        <f t="shared" si="39"/>
        <v>-613.6649142199999</v>
      </c>
      <c r="I233">
        <v>1</v>
      </c>
      <c r="J233">
        <f t="shared" si="40"/>
        <v>0.84232638017575268</v>
      </c>
      <c r="K233">
        <f t="shared" si="41"/>
        <v>-0.95741515177521741</v>
      </c>
      <c r="L233">
        <v>1</v>
      </c>
      <c r="M233">
        <f t="shared" si="42"/>
        <v>0.9274346418758268</v>
      </c>
      <c r="N233">
        <f t="shared" si="43"/>
        <v>0.18458007900000001</v>
      </c>
      <c r="O233">
        <f t="shared" si="44"/>
        <v>3.3781637099999998E-2</v>
      </c>
      <c r="P233">
        <f t="shared" si="45"/>
        <v>-0.18838120620060939</v>
      </c>
    </row>
    <row r="234" spans="1:18" x14ac:dyDescent="0.3">
      <c r="A234">
        <v>11.682131999999999</v>
      </c>
      <c r="B234">
        <v>0.26223000000000002</v>
      </c>
      <c r="C234">
        <f t="shared" si="36"/>
        <v>3.0634054743600001</v>
      </c>
      <c r="D234">
        <v>1.5900000000000001E-2</v>
      </c>
      <c r="E234">
        <v>2.9099999999999998E-3</v>
      </c>
      <c r="F234">
        <f t="shared" si="37"/>
        <v>2336.4263999999998</v>
      </c>
      <c r="G234">
        <f t="shared" si="38"/>
        <v>-0.26223000000000002</v>
      </c>
      <c r="H234">
        <f t="shared" si="39"/>
        <v>-612.68109487200002</v>
      </c>
      <c r="I234">
        <v>1</v>
      </c>
      <c r="J234">
        <f t="shared" si="40"/>
        <v>0.84862258255520728</v>
      </c>
      <c r="K234">
        <f t="shared" si="41"/>
        <v>-0.95949515177521749</v>
      </c>
      <c r="L234">
        <v>1</v>
      </c>
      <c r="M234">
        <f t="shared" si="42"/>
        <v>0.93029437699657502</v>
      </c>
      <c r="N234">
        <f t="shared" si="43"/>
        <v>0.1857458988</v>
      </c>
      <c r="O234">
        <f t="shared" si="44"/>
        <v>3.3995004119999998E-2</v>
      </c>
      <c r="P234">
        <f t="shared" si="45"/>
        <v>-0.19054012814135754</v>
      </c>
    </row>
    <row r="235" spans="1:18" x14ac:dyDescent="0.3">
      <c r="A235">
        <v>11.622559000000001</v>
      </c>
      <c r="B235">
        <v>0.26368000000000003</v>
      </c>
      <c r="C235">
        <f t="shared" si="36"/>
        <v>3.0646363571200004</v>
      </c>
      <c r="D235">
        <v>1.5900000000000001E-2</v>
      </c>
      <c r="E235">
        <v>2.9099999999999998E-3</v>
      </c>
      <c r="F235">
        <f t="shared" si="37"/>
        <v>2324.5118000000002</v>
      </c>
      <c r="G235">
        <f t="shared" si="38"/>
        <v>-0.26368000000000003</v>
      </c>
      <c r="H235">
        <f t="shared" si="39"/>
        <v>-612.92727142400008</v>
      </c>
      <c r="I235">
        <v>1</v>
      </c>
      <c r="J235">
        <f t="shared" si="40"/>
        <v>0.84351003849612549</v>
      </c>
      <c r="K235">
        <f t="shared" si="41"/>
        <v>-0.95804515177521743</v>
      </c>
      <c r="L235">
        <v>1</v>
      </c>
      <c r="M235">
        <f t="shared" si="42"/>
        <v>0.92797225948494022</v>
      </c>
      <c r="N235">
        <f t="shared" si="43"/>
        <v>0.18479868810000002</v>
      </c>
      <c r="O235">
        <f t="shared" si="44"/>
        <v>3.3821646689999998E-2</v>
      </c>
      <c r="P235">
        <f t="shared" si="45"/>
        <v>-0.18854744249972283</v>
      </c>
    </row>
    <row r="236" spans="1:18" x14ac:dyDescent="0.3">
      <c r="A236">
        <v>11.680096000000001</v>
      </c>
      <c r="B236">
        <v>0.26194000000000001</v>
      </c>
      <c r="C236">
        <f t="shared" si="36"/>
        <v>3.0594843462400001</v>
      </c>
      <c r="D236">
        <v>1.5900000000000001E-2</v>
      </c>
      <c r="E236">
        <v>2.9099999999999998E-3</v>
      </c>
      <c r="F236">
        <f t="shared" si="37"/>
        <v>2336.0192000000002</v>
      </c>
      <c r="G236">
        <f t="shared" si="38"/>
        <v>-0.26194000000000001</v>
      </c>
      <c r="H236">
        <f t="shared" si="39"/>
        <v>-611.89686924800003</v>
      </c>
      <c r="I236">
        <v>1</v>
      </c>
      <c r="J236">
        <f t="shared" si="40"/>
        <v>0.8484482841102855</v>
      </c>
      <c r="K236">
        <f t="shared" si="41"/>
        <v>-0.95978515177521739</v>
      </c>
      <c r="L236">
        <v>1</v>
      </c>
      <c r="M236">
        <f t="shared" si="42"/>
        <v>0.93021521064289159</v>
      </c>
      <c r="N236">
        <f t="shared" si="43"/>
        <v>0.18571352640000002</v>
      </c>
      <c r="O236">
        <f t="shared" si="44"/>
        <v>3.398907936E-2</v>
      </c>
      <c r="P236">
        <f t="shared" si="45"/>
        <v>-0.19013266462767422</v>
      </c>
    </row>
    <row r="237" spans="1:18" x14ac:dyDescent="0.3">
      <c r="A237">
        <v>11.616956</v>
      </c>
      <c r="B237">
        <v>0.26307999999999998</v>
      </c>
      <c r="C237">
        <f t="shared" si="36"/>
        <v>3.0561887844799998</v>
      </c>
      <c r="D237">
        <v>1.5900000000000001E-2</v>
      </c>
      <c r="E237">
        <v>2.9099999999999998E-3</v>
      </c>
      <c r="F237">
        <f t="shared" si="37"/>
        <v>2323.3912</v>
      </c>
      <c r="G237">
        <f t="shared" si="38"/>
        <v>-0.26307999999999998</v>
      </c>
      <c r="H237">
        <f t="shared" si="39"/>
        <v>-611.23775689599995</v>
      </c>
      <c r="I237">
        <v>1</v>
      </c>
      <c r="J237">
        <f t="shared" si="40"/>
        <v>0.8430278425373402</v>
      </c>
      <c r="K237">
        <f t="shared" si="41"/>
        <v>-0.95864515177521747</v>
      </c>
      <c r="L237">
        <v>1</v>
      </c>
      <c r="M237">
        <f t="shared" si="42"/>
        <v>0.92775324608045984</v>
      </c>
      <c r="N237">
        <f t="shared" si="43"/>
        <v>0.18470960040000001</v>
      </c>
      <c r="O237">
        <f t="shared" si="44"/>
        <v>3.3805341959999999E-2</v>
      </c>
      <c r="P237">
        <f t="shared" si="45"/>
        <v>-0.18762303666524238</v>
      </c>
    </row>
    <row r="238" spans="1:18" x14ac:dyDescent="0.3">
      <c r="A238">
        <v>11.670420999999999</v>
      </c>
      <c r="B238">
        <v>0.26217000000000001</v>
      </c>
      <c r="C238">
        <f t="shared" si="36"/>
        <v>3.05963427357</v>
      </c>
      <c r="D238">
        <v>1.5900000000000001E-2</v>
      </c>
      <c r="E238">
        <v>2.9099999999999998E-3</v>
      </c>
      <c r="F238">
        <f t="shared" si="37"/>
        <v>2334.0841999999998</v>
      </c>
      <c r="G238">
        <f t="shared" si="38"/>
        <v>-0.26217000000000001</v>
      </c>
      <c r="H238">
        <f t="shared" si="39"/>
        <v>-611.926854714</v>
      </c>
      <c r="I238">
        <v>1</v>
      </c>
      <c r="J238">
        <f t="shared" si="40"/>
        <v>0.84761960862068897</v>
      </c>
      <c r="K238">
        <f t="shared" si="41"/>
        <v>-0.95955515177521744</v>
      </c>
      <c r="L238">
        <v>1</v>
      </c>
      <c r="M238">
        <f t="shared" si="42"/>
        <v>0.92983882623551684</v>
      </c>
      <c r="N238">
        <f t="shared" si="43"/>
        <v>0.18555969389999999</v>
      </c>
      <c r="O238">
        <f t="shared" si="44"/>
        <v>3.3960925109999998E-2</v>
      </c>
      <c r="P238">
        <f t="shared" si="45"/>
        <v>-0.18980429347029937</v>
      </c>
    </row>
    <row r="239" spans="1:18" x14ac:dyDescent="0.3">
      <c r="A239">
        <v>11.725412</v>
      </c>
      <c r="B239">
        <v>0.26034000000000002</v>
      </c>
      <c r="C239">
        <f t="shared" si="36"/>
        <v>3.0525937600800002</v>
      </c>
      <c r="D239">
        <v>1.5900000000000001E-2</v>
      </c>
      <c r="E239">
        <v>2.9099999999999998E-3</v>
      </c>
      <c r="F239">
        <f t="shared" si="37"/>
        <v>2345.0824000000002</v>
      </c>
      <c r="G239">
        <f t="shared" si="38"/>
        <v>-0.26034000000000002</v>
      </c>
      <c r="H239">
        <f t="shared" si="39"/>
        <v>-610.51875201600001</v>
      </c>
      <c r="I239">
        <v>1</v>
      </c>
      <c r="J239">
        <f t="shared" si="40"/>
        <v>0.85232053987364753</v>
      </c>
      <c r="K239">
        <f t="shared" si="41"/>
        <v>-0.96138515177521744</v>
      </c>
      <c r="L239">
        <v>1</v>
      </c>
      <c r="M239">
        <f t="shared" si="42"/>
        <v>0.9319739892106107</v>
      </c>
      <c r="N239">
        <f t="shared" si="43"/>
        <v>0.18643405080000003</v>
      </c>
      <c r="O239">
        <f t="shared" si="44"/>
        <v>3.4120948919999998E-2</v>
      </c>
      <c r="P239">
        <f t="shared" si="45"/>
        <v>-0.19114383715539329</v>
      </c>
    </row>
    <row r="240" spans="1:18" x14ac:dyDescent="0.3">
      <c r="A240">
        <v>11.673985</v>
      </c>
      <c r="B240">
        <v>0.26100000000000001</v>
      </c>
      <c r="C240">
        <f t="shared" si="36"/>
        <v>3.0469100849999999</v>
      </c>
      <c r="D240">
        <v>1.5900000000000001E-2</v>
      </c>
      <c r="E240">
        <v>2.9099999999999998E-3</v>
      </c>
      <c r="F240">
        <f t="shared" si="37"/>
        <v>2334.797</v>
      </c>
      <c r="G240">
        <f t="shared" si="38"/>
        <v>-0.26100000000000001</v>
      </c>
      <c r="H240">
        <f t="shared" si="39"/>
        <v>-609.38201700000002</v>
      </c>
      <c r="I240">
        <v>1</v>
      </c>
      <c r="J240">
        <f t="shared" si="40"/>
        <v>0.84792494944004326</v>
      </c>
      <c r="K240">
        <f t="shared" si="41"/>
        <v>-0.96072515177521745</v>
      </c>
      <c r="L240">
        <v>1</v>
      </c>
      <c r="M240">
        <f t="shared" si="42"/>
        <v>0.92997751203566759</v>
      </c>
      <c r="N240">
        <f t="shared" si="43"/>
        <v>0.18561636150000002</v>
      </c>
      <c r="O240">
        <f t="shared" si="44"/>
        <v>3.3971296349999999E-2</v>
      </c>
      <c r="P240">
        <f t="shared" si="45"/>
        <v>-0.18884001811045015</v>
      </c>
    </row>
    <row r="241" spans="1:16" x14ac:dyDescent="0.3">
      <c r="A241">
        <v>11.734069</v>
      </c>
      <c r="B241">
        <v>0.26007000000000002</v>
      </c>
      <c r="C241">
        <f t="shared" si="36"/>
        <v>3.0516793248300003</v>
      </c>
      <c r="D241">
        <v>1.5900000000000001E-2</v>
      </c>
      <c r="E241">
        <v>2.9099999999999998E-3</v>
      </c>
      <c r="F241">
        <f t="shared" si="37"/>
        <v>2346.8137999999999</v>
      </c>
      <c r="G241">
        <f t="shared" si="38"/>
        <v>-0.26007000000000002</v>
      </c>
      <c r="H241">
        <f t="shared" si="39"/>
        <v>-610.33586496600003</v>
      </c>
      <c r="I241">
        <v>1</v>
      </c>
      <c r="J241">
        <f t="shared" si="40"/>
        <v>0.85305857839998611</v>
      </c>
      <c r="K241">
        <f t="shared" si="41"/>
        <v>-0.96165515177521743</v>
      </c>
      <c r="L241">
        <v>1</v>
      </c>
      <c r="M241">
        <f t="shared" si="42"/>
        <v>0.93230920630927361</v>
      </c>
      <c r="N241">
        <f t="shared" si="43"/>
        <v>0.18657169710000002</v>
      </c>
      <c r="O241">
        <f t="shared" si="44"/>
        <v>3.4146140789999994E-2</v>
      </c>
      <c r="P241">
        <f t="shared" si="45"/>
        <v>-0.19137189242405619</v>
      </c>
    </row>
    <row r="242" spans="1:16" x14ac:dyDescent="0.3">
      <c r="A242">
        <v>11.667365</v>
      </c>
      <c r="B242">
        <v>0.26116</v>
      </c>
      <c r="C242">
        <f t="shared" si="36"/>
        <v>3.0470490433999999</v>
      </c>
      <c r="D242">
        <v>1.5900000000000001E-2</v>
      </c>
      <c r="E242">
        <v>2.9099999999999998E-3</v>
      </c>
      <c r="F242">
        <f t="shared" si="37"/>
        <v>2333.473</v>
      </c>
      <c r="G242">
        <f t="shared" si="38"/>
        <v>-0.26116</v>
      </c>
      <c r="H242">
        <f t="shared" si="39"/>
        <v>-609.40980867999997</v>
      </c>
      <c r="I242">
        <v>1</v>
      </c>
      <c r="J242">
        <f t="shared" si="40"/>
        <v>0.84735771573869356</v>
      </c>
      <c r="K242">
        <f t="shared" si="41"/>
        <v>-0.9605651517752174</v>
      </c>
      <c r="L242">
        <v>1</v>
      </c>
      <c r="M242">
        <f t="shared" si="42"/>
        <v>0.92971987448851456</v>
      </c>
      <c r="N242">
        <f t="shared" si="43"/>
        <v>0.18551110350000002</v>
      </c>
      <c r="O242">
        <f t="shared" si="44"/>
        <v>3.3952032149999999E-2</v>
      </c>
      <c r="P242">
        <f t="shared" si="45"/>
        <v>-0.1886178583632972</v>
      </c>
    </row>
    <row r="243" spans="1:16" x14ac:dyDescent="0.3">
      <c r="A243">
        <v>11.719303</v>
      </c>
      <c r="B243">
        <v>0.25988</v>
      </c>
      <c r="C243">
        <f t="shared" si="36"/>
        <v>3.0456124636399999</v>
      </c>
      <c r="D243">
        <v>1.5900000000000001E-2</v>
      </c>
      <c r="E243">
        <v>2.9099999999999998E-3</v>
      </c>
      <c r="F243">
        <f t="shared" si="37"/>
        <v>2343.8606</v>
      </c>
      <c r="G243">
        <f t="shared" si="38"/>
        <v>-0.25988</v>
      </c>
      <c r="H243">
        <f t="shared" si="39"/>
        <v>-609.122492728</v>
      </c>
      <c r="I243">
        <v>1</v>
      </c>
      <c r="J243">
        <f t="shared" si="40"/>
        <v>0.85179939895653578</v>
      </c>
      <c r="K243">
        <f t="shared" si="41"/>
        <v>-0.96184515177521746</v>
      </c>
      <c r="L243">
        <v>1</v>
      </c>
      <c r="M243">
        <f t="shared" si="42"/>
        <v>0.93173728700605851</v>
      </c>
      <c r="N243">
        <f t="shared" si="43"/>
        <v>0.18633691770000002</v>
      </c>
      <c r="O243">
        <f t="shared" si="44"/>
        <v>3.410317173E-2</v>
      </c>
      <c r="P243">
        <f t="shared" si="45"/>
        <v>-0.19033222466084107</v>
      </c>
    </row>
    <row r="244" spans="1:16" x14ac:dyDescent="0.3">
      <c r="A244">
        <v>11.779387</v>
      </c>
      <c r="B244">
        <v>0.25789000000000001</v>
      </c>
      <c r="C244">
        <f t="shared" si="36"/>
        <v>3.0377861134300002</v>
      </c>
      <c r="D244">
        <v>1.5900000000000001E-2</v>
      </c>
      <c r="E244">
        <v>2.9099999999999998E-3</v>
      </c>
      <c r="F244">
        <f t="shared" si="37"/>
        <v>2355.8773999999999</v>
      </c>
      <c r="G244">
        <f t="shared" si="38"/>
        <v>-0.25789000000000001</v>
      </c>
      <c r="H244">
        <f t="shared" si="39"/>
        <v>-607.55722268600005</v>
      </c>
      <c r="I244">
        <v>1</v>
      </c>
      <c r="J244">
        <f t="shared" si="40"/>
        <v>0.85691322708390716</v>
      </c>
      <c r="K244">
        <f t="shared" si="41"/>
        <v>-0.9638351517752175</v>
      </c>
      <c r="L244">
        <v>1</v>
      </c>
      <c r="M244">
        <f t="shared" si="42"/>
        <v>0.93405998774151056</v>
      </c>
      <c r="N244">
        <f t="shared" si="43"/>
        <v>0.18729225330000002</v>
      </c>
      <c r="O244">
        <f t="shared" si="44"/>
        <v>3.4278016169999995E-2</v>
      </c>
      <c r="P244">
        <f t="shared" si="45"/>
        <v>-0.19179510543629308</v>
      </c>
    </row>
    <row r="245" spans="1:16" x14ac:dyDescent="0.3">
      <c r="A245">
        <v>11.722867000000001</v>
      </c>
      <c r="B245">
        <v>0.25864999999999999</v>
      </c>
      <c r="C245">
        <f t="shared" si="36"/>
        <v>3.03211954955</v>
      </c>
      <c r="D245">
        <v>1.5900000000000001E-2</v>
      </c>
      <c r="E245">
        <v>2.9099999999999998E-3</v>
      </c>
      <c r="F245">
        <f t="shared" si="37"/>
        <v>2344.5734000000002</v>
      </c>
      <c r="G245">
        <f t="shared" si="38"/>
        <v>-0.25864999999999999</v>
      </c>
      <c r="H245">
        <f t="shared" si="39"/>
        <v>-606.42390991000002</v>
      </c>
      <c r="I245">
        <v>1</v>
      </c>
      <c r="J245">
        <f t="shared" si="40"/>
        <v>0.85210346637243284</v>
      </c>
      <c r="K245">
        <f t="shared" si="41"/>
        <v>-0.96307515177521741</v>
      </c>
      <c r="L245">
        <v>1</v>
      </c>
      <c r="M245">
        <f t="shared" si="42"/>
        <v>0.93187539442635892</v>
      </c>
      <c r="N245">
        <f t="shared" si="43"/>
        <v>0.18639358530000003</v>
      </c>
      <c r="O245">
        <f t="shared" si="44"/>
        <v>3.4113542970000001E-2</v>
      </c>
      <c r="P245">
        <f t="shared" si="45"/>
        <v>-0.18930737092114153</v>
      </c>
    </row>
    <row r="246" spans="1:16" x14ac:dyDescent="0.3">
      <c r="A246">
        <v>11.820629</v>
      </c>
      <c r="B246">
        <v>0.25691999999999998</v>
      </c>
      <c r="C246">
        <f t="shared" si="36"/>
        <v>3.0369560026799998</v>
      </c>
      <c r="D246">
        <v>1.5900000000000001E-2</v>
      </c>
      <c r="E246">
        <v>2.9099999999999998E-3</v>
      </c>
      <c r="F246">
        <f t="shared" si="37"/>
        <v>2364.1258000000003</v>
      </c>
      <c r="G246">
        <f t="shared" si="38"/>
        <v>-0.25691999999999998</v>
      </c>
      <c r="H246">
        <f t="shared" si="39"/>
        <v>-607.39120053599993</v>
      </c>
      <c r="I246">
        <v>1</v>
      </c>
      <c r="J246">
        <f t="shared" si="40"/>
        <v>0.86040831301800669</v>
      </c>
      <c r="K246">
        <f t="shared" si="41"/>
        <v>-0.96480515177521742</v>
      </c>
      <c r="L246">
        <v>1</v>
      </c>
      <c r="M246">
        <f t="shared" si="42"/>
        <v>0.93564745577277852</v>
      </c>
      <c r="N246">
        <f t="shared" si="43"/>
        <v>0.18794800110000001</v>
      </c>
      <c r="O246">
        <f t="shared" si="44"/>
        <v>3.4398030390000001E-2</v>
      </c>
      <c r="P246">
        <f t="shared" si="45"/>
        <v>-0.19318833548756112</v>
      </c>
    </row>
    <row r="247" spans="1:16" x14ac:dyDescent="0.3">
      <c r="A247">
        <v>11.760545</v>
      </c>
      <c r="B247">
        <v>0.25738</v>
      </c>
      <c r="C247">
        <f t="shared" si="36"/>
        <v>3.0269290721000002</v>
      </c>
      <c r="D247">
        <v>1.5900000000000001E-2</v>
      </c>
      <c r="E247">
        <v>2.9099999999999998E-3</v>
      </c>
      <c r="F247">
        <f t="shared" si="37"/>
        <v>2352.1089999999999</v>
      </c>
      <c r="G247">
        <f t="shared" si="38"/>
        <v>-0.25738</v>
      </c>
      <c r="H247">
        <f t="shared" si="39"/>
        <v>-605.38581442000009</v>
      </c>
      <c r="I247">
        <v>1</v>
      </c>
      <c r="J247">
        <f t="shared" si="40"/>
        <v>0.85531237249996694</v>
      </c>
      <c r="K247">
        <f t="shared" si="41"/>
        <v>-0.96434515177521751</v>
      </c>
      <c r="L247">
        <v>1</v>
      </c>
      <c r="M247">
        <f t="shared" si="42"/>
        <v>0.93333287958948485</v>
      </c>
      <c r="N247">
        <f t="shared" si="43"/>
        <v>0.18699266550000002</v>
      </c>
      <c r="O247">
        <f t="shared" si="44"/>
        <v>3.4223185949999999E-2</v>
      </c>
      <c r="P247">
        <f t="shared" si="45"/>
        <v>-0.19020357926426734</v>
      </c>
    </row>
    <row r="248" spans="1:16" x14ac:dyDescent="0.3">
      <c r="A248">
        <v>11.695880000000001</v>
      </c>
      <c r="B248">
        <v>0.25913000000000003</v>
      </c>
      <c r="C248">
        <f t="shared" si="36"/>
        <v>3.0307533844000005</v>
      </c>
      <c r="D248">
        <v>1.5900000000000001E-2</v>
      </c>
      <c r="E248">
        <v>2.9099999999999998E-3</v>
      </c>
      <c r="F248">
        <f t="shared" si="37"/>
        <v>2339.1759999999999</v>
      </c>
      <c r="G248">
        <f t="shared" si="38"/>
        <v>-0.25913000000000003</v>
      </c>
      <c r="H248">
        <f t="shared" si="39"/>
        <v>-606.15067688000011</v>
      </c>
      <c r="I248">
        <v>1</v>
      </c>
      <c r="J248">
        <f t="shared" si="40"/>
        <v>0.84979873060276845</v>
      </c>
      <c r="K248">
        <f t="shared" si="41"/>
        <v>-0.96259515177521737</v>
      </c>
      <c r="L248">
        <v>1</v>
      </c>
      <c r="M248">
        <f t="shared" si="42"/>
        <v>0.93082858343977737</v>
      </c>
      <c r="N248">
        <f t="shared" si="43"/>
        <v>0.18596449200000001</v>
      </c>
      <c r="O248">
        <f t="shared" si="44"/>
        <v>3.4035010800000001E-2</v>
      </c>
      <c r="P248">
        <f t="shared" si="45"/>
        <v>-0.18823293446456002</v>
      </c>
    </row>
    <row r="249" spans="1:16" x14ac:dyDescent="0.3">
      <c r="A249">
        <v>11.756982000000001</v>
      </c>
      <c r="B249">
        <v>0.25792999999999999</v>
      </c>
      <c r="C249">
        <f t="shared" si="36"/>
        <v>3.03247836726</v>
      </c>
      <c r="D249">
        <v>1.5900000000000001E-2</v>
      </c>
      <c r="E249">
        <v>2.9099999999999998E-3</v>
      </c>
      <c r="F249">
        <f t="shared" si="37"/>
        <v>2351.3964000000001</v>
      </c>
      <c r="G249">
        <f t="shared" si="38"/>
        <v>-0.25792999999999999</v>
      </c>
      <c r="H249">
        <f t="shared" si="39"/>
        <v>-606.49567345200001</v>
      </c>
      <c r="I249">
        <v>1</v>
      </c>
      <c r="J249">
        <f t="shared" si="40"/>
        <v>0.85500936444752496</v>
      </c>
      <c r="K249">
        <f t="shared" si="41"/>
        <v>-0.96379515177521746</v>
      </c>
      <c r="L249">
        <v>1</v>
      </c>
      <c r="M249">
        <f t="shared" si="42"/>
        <v>0.93319525333206577</v>
      </c>
      <c r="N249">
        <f t="shared" si="43"/>
        <v>0.18693601380000002</v>
      </c>
      <c r="O249">
        <f t="shared" si="44"/>
        <v>3.4212817620000002E-2</v>
      </c>
      <c r="P249">
        <f t="shared" si="45"/>
        <v>-0.19054893297684833</v>
      </c>
    </row>
    <row r="250" spans="1:16" x14ac:dyDescent="0.3">
      <c r="A250">
        <v>11.814011000000001</v>
      </c>
      <c r="B250">
        <v>0.25586999999999999</v>
      </c>
      <c r="C250">
        <f t="shared" si="36"/>
        <v>3.0228509945700002</v>
      </c>
      <c r="D250">
        <v>1.5900000000000001E-2</v>
      </c>
      <c r="E250">
        <v>2.9099999999999998E-3</v>
      </c>
      <c r="F250">
        <f t="shared" si="37"/>
        <v>2362.8022000000001</v>
      </c>
      <c r="G250">
        <f t="shared" si="38"/>
        <v>-0.25586999999999999</v>
      </c>
      <c r="H250">
        <f t="shared" si="39"/>
        <v>-604.570198914</v>
      </c>
      <c r="I250">
        <v>1</v>
      </c>
      <c r="J250">
        <f t="shared" si="40"/>
        <v>0.85984828754920606</v>
      </c>
      <c r="K250">
        <f t="shared" si="41"/>
        <v>-0.96585515177521741</v>
      </c>
      <c r="L250">
        <v>1</v>
      </c>
      <c r="M250">
        <f t="shared" si="42"/>
        <v>0.93539309220484934</v>
      </c>
      <c r="N250">
        <f t="shared" si="43"/>
        <v>0.18784277490000001</v>
      </c>
      <c r="O250">
        <f t="shared" si="44"/>
        <v>3.4378772010000003E-2</v>
      </c>
      <c r="P250">
        <f t="shared" si="45"/>
        <v>-0.19175948733963194</v>
      </c>
    </row>
    <row r="251" spans="1:16" x14ac:dyDescent="0.3">
      <c r="A251">
        <v>11.759527</v>
      </c>
      <c r="B251">
        <v>0.25675999999999999</v>
      </c>
      <c r="C251">
        <f t="shared" si="36"/>
        <v>3.01937615252</v>
      </c>
      <c r="D251">
        <v>1.5900000000000001E-2</v>
      </c>
      <c r="E251">
        <v>2.9099999999999998E-3</v>
      </c>
      <c r="F251">
        <f t="shared" si="37"/>
        <v>2351.9054000000001</v>
      </c>
      <c r="G251">
        <f t="shared" si="38"/>
        <v>-0.25675999999999999</v>
      </c>
      <c r="H251">
        <f t="shared" si="39"/>
        <v>-603.875230504</v>
      </c>
      <c r="I251">
        <v>1</v>
      </c>
      <c r="J251">
        <f t="shared" si="40"/>
        <v>0.85522580813905547</v>
      </c>
      <c r="K251">
        <f t="shared" si="41"/>
        <v>-0.96496515177521747</v>
      </c>
      <c r="L251">
        <v>1</v>
      </c>
      <c r="M251">
        <f t="shared" si="42"/>
        <v>0.93329356205675895</v>
      </c>
      <c r="N251">
        <f t="shared" si="43"/>
        <v>0.18697647930000003</v>
      </c>
      <c r="O251">
        <f t="shared" si="44"/>
        <v>3.422022357E-2</v>
      </c>
      <c r="P251">
        <f t="shared" si="45"/>
        <v>-0.18952511315154152</v>
      </c>
    </row>
    <row r="252" spans="1:16" x14ac:dyDescent="0.3">
      <c r="A252">
        <v>11.811464000000001</v>
      </c>
      <c r="B252">
        <v>0.25573000000000001</v>
      </c>
      <c r="C252">
        <f t="shared" si="36"/>
        <v>3.0205456887200004</v>
      </c>
      <c r="D252">
        <v>1.5900000000000001E-2</v>
      </c>
      <c r="E252">
        <v>2.9099999999999998E-3</v>
      </c>
      <c r="F252">
        <f t="shared" si="37"/>
        <v>2362.2928000000002</v>
      </c>
      <c r="G252">
        <f t="shared" si="38"/>
        <v>-0.25573000000000001</v>
      </c>
      <c r="H252">
        <f t="shared" si="39"/>
        <v>-604.10913774400012</v>
      </c>
      <c r="I252">
        <v>1</v>
      </c>
      <c r="J252">
        <f t="shared" si="40"/>
        <v>0.85963267283586242</v>
      </c>
      <c r="K252">
        <f t="shared" si="41"/>
        <v>-0.96599515177521744</v>
      </c>
      <c r="L252">
        <v>1</v>
      </c>
      <c r="M252">
        <f t="shared" si="42"/>
        <v>0.93529516000204871</v>
      </c>
      <c r="N252">
        <f t="shared" si="43"/>
        <v>0.18780227760000001</v>
      </c>
      <c r="O252">
        <f t="shared" si="44"/>
        <v>3.4371360240000003E-2</v>
      </c>
      <c r="P252">
        <f t="shared" si="45"/>
        <v>-0.19147364606683129</v>
      </c>
    </row>
    <row r="253" spans="1:16" x14ac:dyDescent="0.3">
      <c r="A253">
        <v>11.875112</v>
      </c>
      <c r="B253">
        <v>0.25341999999999998</v>
      </c>
      <c r="C253">
        <f t="shared" si="36"/>
        <v>3.0093908830399996</v>
      </c>
      <c r="D253">
        <v>1.5900000000000001E-2</v>
      </c>
      <c r="E253">
        <v>2.9099999999999998E-3</v>
      </c>
      <c r="F253">
        <f t="shared" si="37"/>
        <v>2375.0223999999998</v>
      </c>
      <c r="G253">
        <f t="shared" si="38"/>
        <v>-0.25341999999999998</v>
      </c>
      <c r="H253">
        <f t="shared" si="39"/>
        <v>-601.87817660799988</v>
      </c>
      <c r="I253">
        <v>1</v>
      </c>
      <c r="J253">
        <f t="shared" si="40"/>
        <v>0.86500686902107471</v>
      </c>
      <c r="K253">
        <f t="shared" si="41"/>
        <v>-0.96830515177521748</v>
      </c>
      <c r="L253">
        <v>1</v>
      </c>
      <c r="M253">
        <f t="shared" si="42"/>
        <v>0.93773611990937211</v>
      </c>
      <c r="N253">
        <f t="shared" si="43"/>
        <v>0.18881428080000001</v>
      </c>
      <c r="O253">
        <f t="shared" si="44"/>
        <v>3.4556575919999999E-2</v>
      </c>
      <c r="P253">
        <f t="shared" si="45"/>
        <v>-0.19280182485415465</v>
      </c>
    </row>
    <row r="254" spans="1:16" x14ac:dyDescent="0.3">
      <c r="A254">
        <v>11.818084000000001</v>
      </c>
      <c r="B254">
        <v>0.25444</v>
      </c>
      <c r="C254">
        <f t="shared" si="36"/>
        <v>3.0069932929600003</v>
      </c>
      <c r="D254">
        <v>1.5900000000000001E-2</v>
      </c>
      <c r="E254">
        <v>2.9099999999999998E-3</v>
      </c>
      <c r="F254">
        <f t="shared" si="37"/>
        <v>2363.6168000000002</v>
      </c>
      <c r="G254">
        <f t="shared" si="38"/>
        <v>-0.25444</v>
      </c>
      <c r="H254">
        <f t="shared" si="39"/>
        <v>-601.39865859200006</v>
      </c>
      <c r="I254">
        <v>1</v>
      </c>
      <c r="J254">
        <f t="shared" si="40"/>
        <v>0.86019298826578083</v>
      </c>
      <c r="K254">
        <f t="shared" si="41"/>
        <v>-0.96728515177521746</v>
      </c>
      <c r="L254">
        <v>1</v>
      </c>
      <c r="M254">
        <f t="shared" si="42"/>
        <v>0.93554965527031753</v>
      </c>
      <c r="N254">
        <f t="shared" si="43"/>
        <v>0.18790753560000001</v>
      </c>
      <c r="O254">
        <f t="shared" si="44"/>
        <v>3.4390624440000003E-2</v>
      </c>
      <c r="P254">
        <f t="shared" si="45"/>
        <v>-0.1905626635351001</v>
      </c>
    </row>
    <row r="255" spans="1:16" x14ac:dyDescent="0.3">
      <c r="A255">
        <v>11.892935</v>
      </c>
      <c r="B255">
        <v>0.25258000000000003</v>
      </c>
      <c r="C255">
        <f t="shared" si="36"/>
        <v>3.0039175223000001</v>
      </c>
      <c r="D255">
        <v>1.5900000000000001E-2</v>
      </c>
      <c r="E255">
        <v>2.9099999999999998E-3</v>
      </c>
      <c r="F255">
        <f t="shared" si="37"/>
        <v>2378.587</v>
      </c>
      <c r="G255">
        <f t="shared" si="38"/>
        <v>-0.25258000000000003</v>
      </c>
      <c r="H255">
        <f t="shared" si="39"/>
        <v>-600.78350446000002</v>
      </c>
      <c r="I255">
        <v>1</v>
      </c>
      <c r="J255">
        <f t="shared" si="40"/>
        <v>0.86650661389625749</v>
      </c>
      <c r="K255">
        <f t="shared" si="41"/>
        <v>-0.96914515177521743</v>
      </c>
      <c r="L255">
        <v>1</v>
      </c>
      <c r="M255">
        <f t="shared" si="42"/>
        <v>0.93841730403168011</v>
      </c>
      <c r="N255">
        <f t="shared" si="43"/>
        <v>0.18909766650000001</v>
      </c>
      <c r="O255">
        <f t="shared" si="44"/>
        <v>3.4608440849999998E-2</v>
      </c>
      <c r="P255">
        <f t="shared" si="45"/>
        <v>-0.1929782596064627</v>
      </c>
    </row>
    <row r="256" spans="1:16" x14ac:dyDescent="0.3">
      <c r="A256">
        <v>11.830304</v>
      </c>
      <c r="B256">
        <v>0.25367000000000001</v>
      </c>
      <c r="C256">
        <f t="shared" si="36"/>
        <v>3.0009932156799999</v>
      </c>
      <c r="D256">
        <v>1.5900000000000001E-2</v>
      </c>
      <c r="E256">
        <v>2.9099999999999998E-3</v>
      </c>
      <c r="F256">
        <f t="shared" si="37"/>
        <v>2366.0608000000002</v>
      </c>
      <c r="G256">
        <f t="shared" si="38"/>
        <v>-0.25367000000000001</v>
      </c>
      <c r="H256">
        <f t="shared" si="39"/>
        <v>-600.19864313599999</v>
      </c>
      <c r="I256">
        <v>1</v>
      </c>
      <c r="J256">
        <f t="shared" si="40"/>
        <v>0.86122646260556657</v>
      </c>
      <c r="K256">
        <f t="shared" si="41"/>
        <v>-0.96805515177521739</v>
      </c>
      <c r="L256">
        <v>1</v>
      </c>
      <c r="M256">
        <f t="shared" si="42"/>
        <v>0.93601905931544827</v>
      </c>
      <c r="N256">
        <f t="shared" si="43"/>
        <v>0.18810183360000002</v>
      </c>
      <c r="O256">
        <f t="shared" si="44"/>
        <v>3.4426184639999996E-2</v>
      </c>
      <c r="P256">
        <f t="shared" si="45"/>
        <v>-0.19049192578023089</v>
      </c>
    </row>
    <row r="257" spans="1:16" x14ac:dyDescent="0.3">
      <c r="A257">
        <v>11.887841999999999</v>
      </c>
      <c r="B257">
        <v>0.25231999999999999</v>
      </c>
      <c r="C257">
        <f t="shared" si="36"/>
        <v>2.9995402934399995</v>
      </c>
      <c r="D257">
        <v>1.5900000000000001E-2</v>
      </c>
      <c r="E257">
        <v>2.9099999999999998E-3</v>
      </c>
      <c r="F257">
        <f t="shared" si="37"/>
        <v>2377.5683999999997</v>
      </c>
      <c r="G257">
        <f t="shared" si="38"/>
        <v>-0.25231999999999999</v>
      </c>
      <c r="H257">
        <f t="shared" si="39"/>
        <v>-599.90805868799987</v>
      </c>
      <c r="I257">
        <v>1</v>
      </c>
      <c r="J257">
        <f t="shared" si="40"/>
        <v>0.86607828473965609</v>
      </c>
      <c r="K257">
        <f t="shared" si="41"/>
        <v>-0.96940515177521747</v>
      </c>
      <c r="L257">
        <v>1</v>
      </c>
      <c r="M257">
        <f t="shared" si="42"/>
        <v>0.93822275692875179</v>
      </c>
      <c r="N257">
        <f t="shared" si="43"/>
        <v>0.1890166878</v>
      </c>
      <c r="O257">
        <f t="shared" si="44"/>
        <v>3.4593620219999996E-2</v>
      </c>
      <c r="P257">
        <f t="shared" si="45"/>
        <v>-0.1924279131735343</v>
      </c>
    </row>
    <row r="258" spans="1:16" x14ac:dyDescent="0.3">
      <c r="A258">
        <v>11.836924</v>
      </c>
      <c r="B258">
        <v>0.25333</v>
      </c>
      <c r="C258">
        <f t="shared" si="36"/>
        <v>2.9986479569199997</v>
      </c>
      <c r="D258">
        <v>1.5900000000000001E-2</v>
      </c>
      <c r="E258">
        <v>2.9099999999999998E-3</v>
      </c>
      <c r="F258">
        <f t="shared" si="37"/>
        <v>2367.3847999999998</v>
      </c>
      <c r="G258">
        <f t="shared" si="38"/>
        <v>-0.25333</v>
      </c>
      <c r="H258">
        <f t="shared" si="39"/>
        <v>-599.72959138399995</v>
      </c>
      <c r="I258">
        <v>1</v>
      </c>
      <c r="J258">
        <f t="shared" si="40"/>
        <v>0.86178588597129802</v>
      </c>
      <c r="K258">
        <f t="shared" si="41"/>
        <v>-0.9683951517752174</v>
      </c>
      <c r="L258">
        <v>1</v>
      </c>
      <c r="M258">
        <f t="shared" si="42"/>
        <v>0.93627314940816353</v>
      </c>
      <c r="N258">
        <f t="shared" si="43"/>
        <v>0.18820709160000001</v>
      </c>
      <c r="O258">
        <f t="shared" si="44"/>
        <v>3.4445448839999997E-2</v>
      </c>
      <c r="P258">
        <f t="shared" si="45"/>
        <v>-0.19053053807294615</v>
      </c>
    </row>
    <row r="259" spans="1:16" x14ac:dyDescent="0.3">
      <c r="A259">
        <v>11.904135</v>
      </c>
      <c r="B259">
        <v>0.25205</v>
      </c>
      <c r="C259">
        <f t="shared" si="36"/>
        <v>3.0004372267499999</v>
      </c>
      <c r="D259">
        <v>1.5900000000000001E-2</v>
      </c>
      <c r="E259">
        <v>2.9099999999999998E-3</v>
      </c>
      <c r="F259">
        <f t="shared" si="37"/>
        <v>2380.8270000000002</v>
      </c>
      <c r="G259">
        <f t="shared" si="38"/>
        <v>-0.25205</v>
      </c>
      <c r="H259">
        <f t="shared" si="39"/>
        <v>-600.08744534999994</v>
      </c>
      <c r="I259">
        <v>1</v>
      </c>
      <c r="J259">
        <f t="shared" si="40"/>
        <v>0.86744790631813662</v>
      </c>
      <c r="K259">
        <f t="shared" si="41"/>
        <v>-0.96967515177521746</v>
      </c>
      <c r="L259">
        <v>1</v>
      </c>
      <c r="M259">
        <f t="shared" si="42"/>
        <v>0.93884483904969751</v>
      </c>
      <c r="N259">
        <f t="shared" si="43"/>
        <v>0.18927574650000001</v>
      </c>
      <c r="O259">
        <f t="shared" si="44"/>
        <v>3.4641032849999996E-2</v>
      </c>
      <c r="P259">
        <f t="shared" si="45"/>
        <v>-0.19308646662448006</v>
      </c>
    </row>
    <row r="260" spans="1:16" x14ac:dyDescent="0.3">
      <c r="A260">
        <v>11.842015999999999</v>
      </c>
      <c r="B260">
        <v>0.25313999999999998</v>
      </c>
      <c r="C260">
        <f t="shared" ref="C260:C323" si="46">A260*B260</f>
        <v>2.9976879302399997</v>
      </c>
      <c r="D260">
        <v>1.5900000000000001E-2</v>
      </c>
      <c r="E260">
        <v>2.9099999999999998E-3</v>
      </c>
      <c r="F260">
        <f t="shared" ref="F260:F303" si="47">A260*200</f>
        <v>2368.4031999999997</v>
      </c>
      <c r="G260">
        <f t="shared" ref="G260:G303" si="48">-B260</f>
        <v>-0.25313999999999998</v>
      </c>
      <c r="H260">
        <f t="shared" ref="H260:H303" si="49">-C260*200</f>
        <v>-599.53758604799998</v>
      </c>
      <c r="I260">
        <v>1</v>
      </c>
      <c r="J260">
        <f t="shared" ref="J260:J303" si="50">LN(F260/1000)</f>
        <v>0.86221597279769235</v>
      </c>
      <c r="K260">
        <f t="shared" ref="K260:K303" si="51">((-G260)-$N$2)</f>
        <v>-0.96858515177521753</v>
      </c>
      <c r="L260">
        <v>1</v>
      </c>
      <c r="M260">
        <f t="shared" ref="M260:M303" si="52">-1*($S$4+($S$5*J260))</f>
        <v>0.93646849484471173</v>
      </c>
      <c r="N260">
        <f t="shared" ref="N260:N303" si="53">D260*A260</f>
        <v>0.18828805439999999</v>
      </c>
      <c r="O260">
        <f t="shared" ref="O260:O303" si="54">E260*A260</f>
        <v>3.4460266559999994E-2</v>
      </c>
      <c r="P260">
        <f t="shared" ref="P260:P323" si="55">-K260-M260-N260-O260</f>
        <v>-0.19063166402949416</v>
      </c>
    </row>
    <row r="261" spans="1:16" x14ac:dyDescent="0.3">
      <c r="A261">
        <v>11.895479</v>
      </c>
      <c r="B261">
        <v>0.25213999999999998</v>
      </c>
      <c r="C261">
        <f t="shared" si="46"/>
        <v>2.9993260750599995</v>
      </c>
      <c r="D261">
        <v>1.5900000000000001E-2</v>
      </c>
      <c r="E261">
        <v>2.9099999999999998E-3</v>
      </c>
      <c r="F261">
        <f t="shared" si="47"/>
        <v>2379.0958000000001</v>
      </c>
      <c r="G261">
        <f t="shared" si="48"/>
        <v>-0.25213999999999998</v>
      </c>
      <c r="H261">
        <f t="shared" si="49"/>
        <v>-599.86521501199991</v>
      </c>
      <c r="I261">
        <v>1</v>
      </c>
      <c r="J261">
        <f t="shared" si="50"/>
        <v>0.86672049953064223</v>
      </c>
      <c r="K261">
        <f t="shared" si="51"/>
        <v>-0.96958515177521742</v>
      </c>
      <c r="L261">
        <v>1</v>
      </c>
      <c r="M261">
        <f t="shared" si="52"/>
        <v>0.93851445088681762</v>
      </c>
      <c r="N261">
        <f t="shared" si="53"/>
        <v>0.1891381161</v>
      </c>
      <c r="O261">
        <f t="shared" si="54"/>
        <v>3.4615843889999998E-2</v>
      </c>
      <c r="P261">
        <f t="shared" si="55"/>
        <v>-0.1926832591016002</v>
      </c>
    </row>
    <row r="262" spans="1:16" x14ac:dyDescent="0.3">
      <c r="A262">
        <v>11.841506000000001</v>
      </c>
      <c r="B262">
        <v>0.25275999999999998</v>
      </c>
      <c r="C262">
        <f t="shared" si="46"/>
        <v>2.9930590565599999</v>
      </c>
      <c r="D262">
        <v>1.5900000000000001E-2</v>
      </c>
      <c r="E262">
        <v>2.9099999999999998E-3</v>
      </c>
      <c r="F262">
        <f t="shared" si="47"/>
        <v>2368.3012000000003</v>
      </c>
      <c r="G262">
        <f t="shared" si="48"/>
        <v>-0.25275999999999998</v>
      </c>
      <c r="H262">
        <f t="shared" si="49"/>
        <v>-598.61181131199999</v>
      </c>
      <c r="I262">
        <v>1</v>
      </c>
      <c r="J262">
        <f t="shared" si="50"/>
        <v>0.8621729048789869</v>
      </c>
      <c r="K262">
        <f t="shared" si="51"/>
        <v>-0.96896515177521747</v>
      </c>
      <c r="L262">
        <v>1</v>
      </c>
      <c r="M262">
        <f t="shared" si="52"/>
        <v>0.93644893339603574</v>
      </c>
      <c r="N262">
        <f t="shared" si="53"/>
        <v>0.18827994540000001</v>
      </c>
      <c r="O262">
        <f t="shared" si="54"/>
        <v>3.4458782459999997E-2</v>
      </c>
      <c r="P262">
        <f t="shared" si="55"/>
        <v>-0.19022250948081829</v>
      </c>
    </row>
    <row r="263" spans="1:16" x14ac:dyDescent="0.3">
      <c r="A263">
        <v>11.895989</v>
      </c>
      <c r="B263">
        <v>0.25158999999999998</v>
      </c>
      <c r="C263">
        <f t="shared" si="46"/>
        <v>2.9929118725099997</v>
      </c>
      <c r="D263">
        <v>1.5900000000000001E-2</v>
      </c>
      <c r="E263">
        <v>2.9099999999999998E-3</v>
      </c>
      <c r="F263">
        <f t="shared" si="47"/>
        <v>2379.1977999999999</v>
      </c>
      <c r="G263">
        <f t="shared" si="48"/>
        <v>-0.25158999999999998</v>
      </c>
      <c r="H263">
        <f t="shared" si="49"/>
        <v>-598.58237450199999</v>
      </c>
      <c r="I263">
        <v>1</v>
      </c>
      <c r="J263">
        <f t="shared" si="50"/>
        <v>0.86676337204276122</v>
      </c>
      <c r="K263">
        <f t="shared" si="51"/>
        <v>-0.97013515177521747</v>
      </c>
      <c r="L263">
        <v>1</v>
      </c>
      <c r="M263">
        <f t="shared" si="52"/>
        <v>0.93853392358182208</v>
      </c>
      <c r="N263">
        <f t="shared" si="53"/>
        <v>0.18914622510000001</v>
      </c>
      <c r="O263">
        <f t="shared" si="54"/>
        <v>3.4617327989999995E-2</v>
      </c>
      <c r="P263">
        <f t="shared" si="55"/>
        <v>-0.19216232489660462</v>
      </c>
    </row>
    <row r="264" spans="1:16" x14ac:dyDescent="0.3">
      <c r="A264">
        <v>12.201499</v>
      </c>
      <c r="B264">
        <v>0.24521000000000001</v>
      </c>
      <c r="C264">
        <f t="shared" si="46"/>
        <v>2.9919295697900004</v>
      </c>
      <c r="D264">
        <v>1.5900000000000001E-2</v>
      </c>
      <c r="E264">
        <v>2.9099999999999998E-3</v>
      </c>
      <c r="F264">
        <f t="shared" si="47"/>
        <v>2440.2998000000002</v>
      </c>
      <c r="G264">
        <f t="shared" si="48"/>
        <v>-0.24521000000000001</v>
      </c>
      <c r="H264">
        <f t="shared" si="49"/>
        <v>-598.38591395800006</v>
      </c>
      <c r="I264">
        <v>1</v>
      </c>
      <c r="J264">
        <f t="shared" si="50"/>
        <v>0.89212090060981031</v>
      </c>
      <c r="K264">
        <f t="shared" si="51"/>
        <v>-0.97651515177521742</v>
      </c>
      <c r="L264">
        <v>1</v>
      </c>
      <c r="M264">
        <f t="shared" si="52"/>
        <v>0.95005131305697577</v>
      </c>
      <c r="N264">
        <f t="shared" si="53"/>
        <v>0.19400383410000002</v>
      </c>
      <c r="O264">
        <f t="shared" si="54"/>
        <v>3.550636209E-2</v>
      </c>
      <c r="P264">
        <f t="shared" si="55"/>
        <v>-0.20304635747175837</v>
      </c>
    </row>
    <row r="265" spans="1:16" x14ac:dyDescent="0.3">
      <c r="A265">
        <v>12.091516</v>
      </c>
      <c r="B265">
        <v>0.24609</v>
      </c>
      <c r="C265">
        <f t="shared" si="46"/>
        <v>2.9756011724400002</v>
      </c>
      <c r="D265">
        <v>1.5900000000000001E-2</v>
      </c>
      <c r="E265">
        <v>2.9099999999999998E-3</v>
      </c>
      <c r="F265">
        <f t="shared" si="47"/>
        <v>2418.3032000000003</v>
      </c>
      <c r="G265">
        <f t="shared" si="48"/>
        <v>-0.24609</v>
      </c>
      <c r="H265">
        <f t="shared" si="49"/>
        <v>-595.12023448800005</v>
      </c>
      <c r="I265">
        <v>1</v>
      </c>
      <c r="J265">
        <f t="shared" si="50"/>
        <v>0.88306613721825344</v>
      </c>
      <c r="K265">
        <f t="shared" si="51"/>
        <v>-0.97563515177521742</v>
      </c>
      <c r="L265">
        <v>1</v>
      </c>
      <c r="M265">
        <f t="shared" si="52"/>
        <v>0.94593863952453061</v>
      </c>
      <c r="N265">
        <f t="shared" si="53"/>
        <v>0.19225510440000002</v>
      </c>
      <c r="O265">
        <f t="shared" si="54"/>
        <v>3.5186311559999996E-2</v>
      </c>
      <c r="P265">
        <f t="shared" si="55"/>
        <v>-0.19774490370931319</v>
      </c>
    </row>
    <row r="266" spans="1:16" x14ac:dyDescent="0.3">
      <c r="A266">
        <v>11.942323999999999</v>
      </c>
      <c r="B266">
        <v>0.24904999999999999</v>
      </c>
      <c r="C266">
        <f t="shared" si="46"/>
        <v>2.9742357921999996</v>
      </c>
      <c r="D266">
        <v>1.5900000000000001E-2</v>
      </c>
      <c r="E266">
        <v>2.9099999999999998E-3</v>
      </c>
      <c r="F266">
        <f t="shared" si="47"/>
        <v>2388.4647999999997</v>
      </c>
      <c r="G266">
        <f t="shared" si="48"/>
        <v>-0.24904999999999999</v>
      </c>
      <c r="H266">
        <f t="shared" si="49"/>
        <v>-594.84715843999993</v>
      </c>
      <c r="I266">
        <v>1</v>
      </c>
      <c r="J266">
        <f t="shared" si="50"/>
        <v>0.87065081645647113</v>
      </c>
      <c r="K266">
        <f t="shared" si="51"/>
        <v>-0.97267515177521746</v>
      </c>
      <c r="L266">
        <v>1</v>
      </c>
      <c r="M266">
        <f t="shared" si="52"/>
        <v>0.94029960083452913</v>
      </c>
      <c r="N266">
        <f t="shared" si="53"/>
        <v>0.18988295159999999</v>
      </c>
      <c r="O266">
        <f t="shared" si="54"/>
        <v>3.4752162839999996E-2</v>
      </c>
      <c r="P266">
        <f t="shared" si="55"/>
        <v>-0.19225956349931164</v>
      </c>
    </row>
    <row r="267" spans="1:16" x14ac:dyDescent="0.3">
      <c r="A267">
        <v>11.879186000000001</v>
      </c>
      <c r="B267">
        <v>0.25052000000000002</v>
      </c>
      <c r="C267">
        <f t="shared" si="46"/>
        <v>2.9759736767200002</v>
      </c>
      <c r="D267">
        <v>1.5900000000000001E-2</v>
      </c>
      <c r="E267">
        <v>2.9099999999999998E-3</v>
      </c>
      <c r="F267">
        <f t="shared" si="47"/>
        <v>2375.8371999999999</v>
      </c>
      <c r="G267">
        <f t="shared" si="48"/>
        <v>-0.25052000000000002</v>
      </c>
      <c r="H267">
        <f t="shared" si="49"/>
        <v>-595.19473534400004</v>
      </c>
      <c r="I267">
        <v>1</v>
      </c>
      <c r="J267">
        <f t="shared" si="50"/>
        <v>0.86534988063437901</v>
      </c>
      <c r="K267">
        <f t="shared" si="51"/>
        <v>-0.97120515177521738</v>
      </c>
      <c r="L267">
        <v>1</v>
      </c>
      <c r="M267">
        <f t="shared" si="52"/>
        <v>0.93789191578413489</v>
      </c>
      <c r="N267">
        <f t="shared" si="53"/>
        <v>0.18887905740000002</v>
      </c>
      <c r="O267">
        <f t="shared" si="54"/>
        <v>3.4568431259999997E-2</v>
      </c>
      <c r="P267">
        <f t="shared" si="55"/>
        <v>-0.19013425266891754</v>
      </c>
    </row>
    <row r="268" spans="1:16" x14ac:dyDescent="0.3">
      <c r="A268">
        <v>11.874604</v>
      </c>
      <c r="B268">
        <v>0.25201000000000001</v>
      </c>
      <c r="C268">
        <f t="shared" si="46"/>
        <v>2.9925189540399999</v>
      </c>
      <c r="D268">
        <v>1.5900000000000001E-2</v>
      </c>
      <c r="E268">
        <v>2.9099999999999998E-3</v>
      </c>
      <c r="F268">
        <f t="shared" si="47"/>
        <v>2374.9207999999999</v>
      </c>
      <c r="G268">
        <f t="shared" si="48"/>
        <v>-0.25201000000000001</v>
      </c>
      <c r="H268">
        <f t="shared" si="49"/>
        <v>-598.50379080799996</v>
      </c>
      <c r="I268">
        <v>1</v>
      </c>
      <c r="J268">
        <f t="shared" si="50"/>
        <v>0.86496408956214765</v>
      </c>
      <c r="K268">
        <f t="shared" si="51"/>
        <v>-0.96971515177521739</v>
      </c>
      <c r="L268">
        <v>1</v>
      </c>
      <c r="M268">
        <f t="shared" si="52"/>
        <v>0.93771668947912734</v>
      </c>
      <c r="N268">
        <f t="shared" si="53"/>
        <v>0.1888062036</v>
      </c>
      <c r="O268">
        <f t="shared" si="54"/>
        <v>3.4555097639999997E-2</v>
      </c>
      <c r="P268">
        <f t="shared" si="55"/>
        <v>-0.19136283894390996</v>
      </c>
    </row>
    <row r="269" spans="1:16" x14ac:dyDescent="0.3">
      <c r="C269">
        <f t="shared" si="46"/>
        <v>0</v>
      </c>
      <c r="D269">
        <v>1.5900000000000001E-2</v>
      </c>
      <c r="E269">
        <v>2.9099999999999998E-3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1:16" x14ac:dyDescent="0.3">
      <c r="C270">
        <f t="shared" si="46"/>
        <v>0</v>
      </c>
      <c r="D270">
        <v>1.5900000000000001E-2</v>
      </c>
      <c r="E270">
        <v>2.9099999999999998E-3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1:16" x14ac:dyDescent="0.3">
      <c r="C271">
        <f t="shared" si="46"/>
        <v>0</v>
      </c>
      <c r="D271">
        <v>1.5900000000000001E-2</v>
      </c>
      <c r="E271">
        <v>2.9099999999999998E-3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1:16" x14ac:dyDescent="0.3">
      <c r="C272">
        <f t="shared" si="46"/>
        <v>0</v>
      </c>
      <c r="D272">
        <v>1.5900000000000001E-2</v>
      </c>
      <c r="E272">
        <v>2.9099999999999998E-3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1.5900000000000001E-2</v>
      </c>
      <c r="E273">
        <v>2.9099999999999998E-3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1.5900000000000001E-2</v>
      </c>
      <c r="E274">
        <v>2.9099999999999998E-3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1.5900000000000001E-2</v>
      </c>
      <c r="E275">
        <v>2.9099999999999998E-3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1.5900000000000001E-2</v>
      </c>
      <c r="E276">
        <v>2.9099999999999998E-3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1.5900000000000001E-2</v>
      </c>
      <c r="E277">
        <v>2.9099999999999998E-3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1.5900000000000001E-2</v>
      </c>
      <c r="E278">
        <v>2.9099999999999998E-3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1.5900000000000001E-2</v>
      </c>
      <c r="E279">
        <v>2.9099999999999998E-3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1.5900000000000001E-2</v>
      </c>
      <c r="E280">
        <v>2.9099999999999998E-3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1.5900000000000001E-2</v>
      </c>
      <c r="E281">
        <v>2.9099999999999998E-3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1.5900000000000001E-2</v>
      </c>
      <c r="E282">
        <v>2.9099999999999998E-3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1.5900000000000001E-2</v>
      </c>
      <c r="E283">
        <v>2.9099999999999998E-3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1.5900000000000001E-2</v>
      </c>
      <c r="E284">
        <v>2.9099999999999998E-3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1.5900000000000001E-2</v>
      </c>
      <c r="E285">
        <v>2.9099999999999998E-3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1.5900000000000001E-2</v>
      </c>
      <c r="E286">
        <v>2.9099999999999998E-3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1.5900000000000001E-2</v>
      </c>
      <c r="E287">
        <v>2.9099999999999998E-3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1.5900000000000001E-2</v>
      </c>
      <c r="E288">
        <v>2.9099999999999998E-3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1.5900000000000001E-2</v>
      </c>
      <c r="E289">
        <v>2.9099999999999998E-3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1.5900000000000001E-2</v>
      </c>
      <c r="E290">
        <v>2.9099999999999998E-3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1.5900000000000001E-2</v>
      </c>
      <c r="E291">
        <v>2.9099999999999998E-3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1.5900000000000001E-2</v>
      </c>
      <c r="E292">
        <v>2.9099999999999998E-3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1.5900000000000001E-2</v>
      </c>
      <c r="E293">
        <v>2.9099999999999998E-3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1.5900000000000001E-2</v>
      </c>
      <c r="E294">
        <v>2.9099999999999998E-3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1.5900000000000001E-2</v>
      </c>
      <c r="E295">
        <v>2.9099999999999998E-3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1.5900000000000001E-2</v>
      </c>
      <c r="E296">
        <v>2.9099999999999998E-3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1.5900000000000001E-2</v>
      </c>
      <c r="E297">
        <v>2.9099999999999998E-3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1.5900000000000001E-2</v>
      </c>
      <c r="E298">
        <v>2.9099999999999998E-3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1.5900000000000001E-2</v>
      </c>
      <c r="E299">
        <v>2.9099999999999998E-3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1.5900000000000001E-2</v>
      </c>
      <c r="E300">
        <v>2.9099999999999998E-3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1.5900000000000001E-2</v>
      </c>
      <c r="E301">
        <v>2.9099999999999998E-3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1.5900000000000001E-2</v>
      </c>
      <c r="E302">
        <v>2.9099999999999998E-3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1.5900000000000001E-2</v>
      </c>
      <c r="E303">
        <v>2.9099999999999998E-3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2026-06-15T04:08:29Z</dcterms:modified>
</cp:coreProperties>
</file>