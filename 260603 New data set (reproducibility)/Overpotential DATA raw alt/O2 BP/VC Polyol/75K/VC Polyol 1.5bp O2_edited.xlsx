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VC Polyol\75K\"/>
    </mc:Choice>
  </mc:AlternateContent>
  <xr:revisionPtr revIDLastSave="0" documentId="13_ncr:1_{32E94086-EE8F-4781-A73F-5310FAE32F6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K194" i="2"/>
  <c r="I194" i="2"/>
  <c r="F194" i="2"/>
  <c r="B194" i="2"/>
  <c r="E194" i="2" s="1"/>
  <c r="O193" i="2"/>
  <c r="I193" i="2"/>
  <c r="K193" i="2" s="1"/>
  <c r="F193" i="2"/>
  <c r="B193" i="2"/>
  <c r="E193" i="2" s="1"/>
  <c r="O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K189" i="2" s="1"/>
  <c r="F189" i="2"/>
  <c r="B189" i="2"/>
  <c r="E189" i="2" s="1"/>
  <c r="O188" i="2"/>
  <c r="I188" i="2"/>
  <c r="K188" i="2" s="1"/>
  <c r="F188" i="2"/>
  <c r="E188" i="2"/>
  <c r="B188" i="2"/>
  <c r="O187" i="2"/>
  <c r="K187" i="2"/>
  <c r="I187" i="2"/>
  <c r="F187" i="2"/>
  <c r="E187" i="2"/>
  <c r="B187" i="2"/>
  <c r="O186" i="2"/>
  <c r="K186" i="2"/>
  <c r="I186" i="2"/>
  <c r="F186" i="2"/>
  <c r="B186" i="2"/>
  <c r="E186" i="2" s="1"/>
  <c r="O185" i="2"/>
  <c r="I185" i="2"/>
  <c r="K185" i="2" s="1"/>
  <c r="F185" i="2"/>
  <c r="B185" i="2"/>
  <c r="E185" i="2" s="1"/>
  <c r="O184" i="2"/>
  <c r="I184" i="2"/>
  <c r="F184" i="2"/>
  <c r="E184" i="2"/>
  <c r="B184" i="2"/>
  <c r="O183" i="2"/>
  <c r="K183" i="2"/>
  <c r="I183" i="2"/>
  <c r="F183" i="2"/>
  <c r="E183" i="2"/>
  <c r="B183" i="2"/>
  <c r="O182" i="2"/>
  <c r="I182" i="2"/>
  <c r="K182" i="2" s="1"/>
  <c r="F182" i="2"/>
  <c r="B182" i="2"/>
  <c r="E182" i="2" s="1"/>
  <c r="O181" i="2"/>
  <c r="I181" i="2"/>
  <c r="F181" i="2"/>
  <c r="B181" i="2"/>
  <c r="E181" i="2" s="1"/>
  <c r="O180" i="2"/>
  <c r="I180" i="2"/>
  <c r="K180" i="2" s="1"/>
  <c r="F180" i="2"/>
  <c r="E180" i="2"/>
  <c r="B180" i="2"/>
  <c r="O179" i="2"/>
  <c r="K179" i="2"/>
  <c r="I179" i="2"/>
  <c r="F179" i="2"/>
  <c r="E179" i="2"/>
  <c r="B179" i="2"/>
  <c r="O178" i="2"/>
  <c r="K178" i="2"/>
  <c r="I178" i="2"/>
  <c r="F178" i="2"/>
  <c r="B178" i="2"/>
  <c r="E178" i="2" s="1"/>
  <c r="O177" i="2"/>
  <c r="I177" i="2"/>
  <c r="K177" i="2" s="1"/>
  <c r="F177" i="2"/>
  <c r="B177" i="2"/>
  <c r="E177" i="2" s="1"/>
  <c r="O176" i="2"/>
  <c r="I176" i="2"/>
  <c r="F176" i="2"/>
  <c r="E176" i="2"/>
  <c r="B176" i="2"/>
  <c r="O175" i="2"/>
  <c r="K175" i="2"/>
  <c r="I175" i="2"/>
  <c r="F175" i="2"/>
  <c r="E175" i="2"/>
  <c r="B175" i="2"/>
  <c r="O174" i="2"/>
  <c r="I174" i="2"/>
  <c r="K174" i="2" s="1"/>
  <c r="F174" i="2"/>
  <c r="B174" i="2"/>
  <c r="E174" i="2" s="1"/>
  <c r="O173" i="2"/>
  <c r="I173" i="2"/>
  <c r="K173" i="2" s="1"/>
  <c r="F173" i="2"/>
  <c r="B173" i="2"/>
  <c r="E173" i="2" s="1"/>
  <c r="O172" i="2"/>
  <c r="I172" i="2"/>
  <c r="K172" i="2" s="1"/>
  <c r="F172" i="2"/>
  <c r="E172" i="2"/>
  <c r="B172" i="2"/>
  <c r="O171" i="2"/>
  <c r="K171" i="2"/>
  <c r="I171" i="2"/>
  <c r="F171" i="2"/>
  <c r="E171" i="2"/>
  <c r="B171" i="2"/>
  <c r="O170" i="2"/>
  <c r="K170" i="2"/>
  <c r="I170" i="2"/>
  <c r="F170" i="2"/>
  <c r="B170" i="2"/>
  <c r="E170" i="2" s="1"/>
  <c r="O169" i="2"/>
  <c r="I169" i="2"/>
  <c r="K169" i="2" s="1"/>
  <c r="F169" i="2"/>
  <c r="B169" i="2"/>
  <c r="E169" i="2" s="1"/>
  <c r="O168" i="2"/>
  <c r="I168" i="2"/>
  <c r="F168" i="2"/>
  <c r="E168" i="2"/>
  <c r="B168" i="2"/>
  <c r="O167" i="2"/>
  <c r="K167" i="2"/>
  <c r="I167" i="2"/>
  <c r="F167" i="2"/>
  <c r="E167" i="2"/>
  <c r="B167" i="2"/>
  <c r="O166" i="2"/>
  <c r="I166" i="2"/>
  <c r="K166" i="2" s="1"/>
  <c r="F166" i="2"/>
  <c r="B166" i="2"/>
  <c r="E166" i="2" s="1"/>
  <c r="O165" i="2"/>
  <c r="I165" i="2"/>
  <c r="K165" i="2" s="1"/>
  <c r="F165" i="2"/>
  <c r="B165" i="2"/>
  <c r="E165" i="2" s="1"/>
  <c r="O164" i="2"/>
  <c r="I164" i="2"/>
  <c r="K164" i="2" s="1"/>
  <c r="F164" i="2"/>
  <c r="E164" i="2"/>
  <c r="B164" i="2"/>
  <c r="O163" i="2"/>
  <c r="K163" i="2"/>
  <c r="I163" i="2"/>
  <c r="F163" i="2"/>
  <c r="E163" i="2"/>
  <c r="B163" i="2"/>
  <c r="O162" i="2"/>
  <c r="K162" i="2"/>
  <c r="I162" i="2"/>
  <c r="F162" i="2"/>
  <c r="B162" i="2"/>
  <c r="E162" i="2" s="1"/>
  <c r="O161" i="2"/>
  <c r="I161" i="2"/>
  <c r="K161" i="2" s="1"/>
  <c r="F161" i="2"/>
  <c r="B161" i="2"/>
  <c r="E161" i="2" s="1"/>
  <c r="O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B158" i="2"/>
  <c r="E158" i="2" s="1"/>
  <c r="O157" i="2"/>
  <c r="I157" i="2"/>
  <c r="K157" i="2" s="1"/>
  <c r="F157" i="2"/>
  <c r="B157" i="2"/>
  <c r="E157" i="2" s="1"/>
  <c r="O156" i="2"/>
  <c r="I156" i="2"/>
  <c r="K156" i="2" s="1"/>
  <c r="F156" i="2"/>
  <c r="E156" i="2"/>
  <c r="B156" i="2"/>
  <c r="O155" i="2"/>
  <c r="K155" i="2"/>
  <c r="I155" i="2"/>
  <c r="F155" i="2"/>
  <c r="E155" i="2"/>
  <c r="B155" i="2"/>
  <c r="O154" i="2"/>
  <c r="K154" i="2"/>
  <c r="I154" i="2"/>
  <c r="F154" i="2"/>
  <c r="B154" i="2"/>
  <c r="E154" i="2" s="1"/>
  <c r="O153" i="2"/>
  <c r="I153" i="2"/>
  <c r="K153" i="2" s="1"/>
  <c r="F153" i="2"/>
  <c r="B153" i="2"/>
  <c r="E153" i="2" s="1"/>
  <c r="O152" i="2"/>
  <c r="I152" i="2"/>
  <c r="F152" i="2"/>
  <c r="E152" i="2"/>
  <c r="B152" i="2"/>
  <c r="O151" i="2"/>
  <c r="K151" i="2"/>
  <c r="I151" i="2"/>
  <c r="F151" i="2"/>
  <c r="E151" i="2"/>
  <c r="B151" i="2"/>
  <c r="O150" i="2"/>
  <c r="I150" i="2"/>
  <c r="K150" i="2" s="1"/>
  <c r="F150" i="2"/>
  <c r="B150" i="2"/>
  <c r="E150" i="2" s="1"/>
  <c r="O149" i="2"/>
  <c r="I149" i="2"/>
  <c r="F149" i="2"/>
  <c r="B149" i="2"/>
  <c r="E149" i="2" s="1"/>
  <c r="O148" i="2"/>
  <c r="I148" i="2"/>
  <c r="K148" i="2" s="1"/>
  <c r="F148" i="2"/>
  <c r="E148" i="2"/>
  <c r="B148" i="2"/>
  <c r="O147" i="2"/>
  <c r="K147" i="2"/>
  <c r="I147" i="2"/>
  <c r="F147" i="2"/>
  <c r="E147" i="2"/>
  <c r="B147" i="2"/>
  <c r="O146" i="2"/>
  <c r="K146" i="2"/>
  <c r="I146" i="2"/>
  <c r="F146" i="2"/>
  <c r="B146" i="2"/>
  <c r="E146" i="2" s="1"/>
  <c r="O145" i="2"/>
  <c r="I145" i="2"/>
  <c r="K145" i="2" s="1"/>
  <c r="F145" i="2"/>
  <c r="B145" i="2"/>
  <c r="E145" i="2" s="1"/>
  <c r="O144" i="2"/>
  <c r="I144" i="2"/>
  <c r="F144" i="2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B142" i="2"/>
  <c r="E142" i="2" s="1"/>
  <c r="O141" i="2"/>
  <c r="I141" i="2"/>
  <c r="F141" i="2"/>
  <c r="K141" i="2" s="1"/>
  <c r="B141" i="2"/>
  <c r="E141" i="2" s="1"/>
  <c r="O140" i="2"/>
  <c r="I140" i="2"/>
  <c r="K140" i="2" s="1"/>
  <c r="F140" i="2"/>
  <c r="E140" i="2"/>
  <c r="B140" i="2"/>
  <c r="O139" i="2"/>
  <c r="I139" i="2"/>
  <c r="F139" i="2"/>
  <c r="K139" i="2" s="1"/>
  <c r="E139" i="2"/>
  <c r="B139" i="2"/>
  <c r="O138" i="2"/>
  <c r="K138" i="2"/>
  <c r="I138" i="2"/>
  <c r="F138" i="2"/>
  <c r="B138" i="2"/>
  <c r="E138" i="2" s="1"/>
  <c r="O137" i="2"/>
  <c r="I137" i="2"/>
  <c r="F137" i="2"/>
  <c r="B137" i="2"/>
  <c r="E137" i="2" s="1"/>
  <c r="O136" i="2"/>
  <c r="I136" i="2"/>
  <c r="K136" i="2" s="1"/>
  <c r="F136" i="2"/>
  <c r="E136" i="2"/>
  <c r="B136" i="2"/>
  <c r="O135" i="2"/>
  <c r="I135" i="2"/>
  <c r="F135" i="2"/>
  <c r="K135" i="2" s="1"/>
  <c r="E135" i="2"/>
  <c r="B135" i="2"/>
  <c r="O134" i="2"/>
  <c r="K134" i="2"/>
  <c r="I134" i="2"/>
  <c r="F134" i="2"/>
  <c r="E134" i="2"/>
  <c r="B134" i="2"/>
  <c r="O133" i="2"/>
  <c r="K133" i="2"/>
  <c r="I133" i="2"/>
  <c r="F133" i="2"/>
  <c r="B133" i="2"/>
  <c r="E133" i="2" s="1"/>
  <c r="O132" i="2"/>
  <c r="I132" i="2"/>
  <c r="K132" i="2" s="1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E130" i="2"/>
  <c r="B130" i="2"/>
  <c r="O129" i="2"/>
  <c r="K129" i="2"/>
  <c r="I129" i="2"/>
  <c r="F129" i="2"/>
  <c r="B129" i="2"/>
  <c r="E129" i="2" s="1"/>
  <c r="O128" i="2"/>
  <c r="I128" i="2"/>
  <c r="F128" i="2"/>
  <c r="E128" i="2"/>
  <c r="B128" i="2"/>
  <c r="O127" i="2"/>
  <c r="K127" i="2"/>
  <c r="I127" i="2"/>
  <c r="F127" i="2"/>
  <c r="B127" i="2"/>
  <c r="E127" i="2" s="1"/>
  <c r="O126" i="2"/>
  <c r="I126" i="2"/>
  <c r="K126" i="2" s="1"/>
  <c r="F126" i="2"/>
  <c r="B126" i="2"/>
  <c r="E126" i="2" s="1"/>
  <c r="O125" i="2"/>
  <c r="I125" i="2"/>
  <c r="F125" i="2"/>
  <c r="K125" i="2" s="1"/>
  <c r="B125" i="2"/>
  <c r="E125" i="2" s="1"/>
  <c r="O124" i="2"/>
  <c r="I124" i="2"/>
  <c r="F124" i="2"/>
  <c r="E124" i="2"/>
  <c r="B124" i="2"/>
  <c r="O123" i="2"/>
  <c r="I123" i="2"/>
  <c r="F123" i="2"/>
  <c r="K123" i="2" s="1"/>
  <c r="E123" i="2"/>
  <c r="B123" i="2"/>
  <c r="O122" i="2"/>
  <c r="K122" i="2"/>
  <c r="I122" i="2"/>
  <c r="F122" i="2"/>
  <c r="B122" i="2"/>
  <c r="E122" i="2" s="1"/>
  <c r="O121" i="2"/>
  <c r="I121" i="2"/>
  <c r="K121" i="2" s="1"/>
  <c r="F121" i="2"/>
  <c r="B121" i="2"/>
  <c r="E121" i="2" s="1"/>
  <c r="O120" i="2"/>
  <c r="I120" i="2"/>
  <c r="K120" i="2" s="1"/>
  <c r="F120" i="2"/>
  <c r="E120" i="2"/>
  <c r="B120" i="2"/>
  <c r="O119" i="2"/>
  <c r="I119" i="2"/>
  <c r="F119" i="2"/>
  <c r="K119" i="2" s="1"/>
  <c r="E119" i="2"/>
  <c r="B119" i="2"/>
  <c r="O118" i="2"/>
  <c r="K118" i="2"/>
  <c r="I118" i="2"/>
  <c r="F118" i="2"/>
  <c r="E118" i="2"/>
  <c r="B118" i="2"/>
  <c r="O117" i="2"/>
  <c r="I117" i="2"/>
  <c r="K117" i="2" s="1"/>
  <c r="F117" i="2"/>
  <c r="B117" i="2"/>
  <c r="E117" i="2" s="1"/>
  <c r="O116" i="2"/>
  <c r="I116" i="2"/>
  <c r="K116" i="2" s="1"/>
  <c r="F116" i="2"/>
  <c r="E116" i="2"/>
  <c r="B116" i="2"/>
  <c r="O115" i="2"/>
  <c r="K115" i="2"/>
  <c r="I115" i="2"/>
  <c r="F115" i="2"/>
  <c r="B115" i="2"/>
  <c r="E115" i="2" s="1"/>
  <c r="O114" i="2"/>
  <c r="I114" i="2"/>
  <c r="K114" i="2" s="1"/>
  <c r="F114" i="2"/>
  <c r="E114" i="2"/>
  <c r="B114" i="2"/>
  <c r="O113" i="2"/>
  <c r="K113" i="2"/>
  <c r="I113" i="2"/>
  <c r="F113" i="2"/>
  <c r="B113" i="2"/>
  <c r="E113" i="2" s="1"/>
  <c r="O112" i="2"/>
  <c r="I112" i="2"/>
  <c r="F112" i="2"/>
  <c r="E112" i="2"/>
  <c r="B112" i="2"/>
  <c r="O111" i="2"/>
  <c r="K111" i="2"/>
  <c r="I111" i="2"/>
  <c r="F111" i="2"/>
  <c r="B111" i="2"/>
  <c r="E111" i="2" s="1"/>
  <c r="O110" i="2"/>
  <c r="K110" i="2"/>
  <c r="I110" i="2"/>
  <c r="F110" i="2"/>
  <c r="B110" i="2"/>
  <c r="E110" i="2" s="1"/>
  <c r="O109" i="2"/>
  <c r="I109" i="2"/>
  <c r="F109" i="2"/>
  <c r="K109" i="2" s="1"/>
  <c r="B109" i="2"/>
  <c r="E109" i="2" s="1"/>
  <c r="O108" i="2"/>
  <c r="I108" i="2"/>
  <c r="F108" i="2"/>
  <c r="E108" i="2"/>
  <c r="B108" i="2"/>
  <c r="O107" i="2"/>
  <c r="I107" i="2"/>
  <c r="F107" i="2"/>
  <c r="K107" i="2" s="1"/>
  <c r="E107" i="2"/>
  <c r="B107" i="2"/>
  <c r="O106" i="2"/>
  <c r="K106" i="2"/>
  <c r="I106" i="2"/>
  <c r="F106" i="2"/>
  <c r="E106" i="2"/>
  <c r="B106" i="2"/>
  <c r="O105" i="2"/>
  <c r="I105" i="2"/>
  <c r="K105" i="2" s="1"/>
  <c r="F105" i="2"/>
  <c r="B105" i="2"/>
  <c r="E105" i="2" s="1"/>
  <c r="O104" i="2"/>
  <c r="I104" i="2"/>
  <c r="K104" i="2" s="1"/>
  <c r="F104" i="2"/>
  <c r="E104" i="2"/>
  <c r="B104" i="2"/>
  <c r="O103" i="2"/>
  <c r="I103" i="2"/>
  <c r="F103" i="2"/>
  <c r="K103" i="2" s="1"/>
  <c r="E103" i="2"/>
  <c r="B103" i="2"/>
  <c r="O102" i="2"/>
  <c r="K102" i="2"/>
  <c r="I102" i="2"/>
  <c r="F102" i="2"/>
  <c r="E102" i="2"/>
  <c r="B102" i="2"/>
  <c r="O101" i="2"/>
  <c r="I101" i="2"/>
  <c r="K101" i="2" s="1"/>
  <c r="F101" i="2"/>
  <c r="B101" i="2"/>
  <c r="E101" i="2" s="1"/>
  <c r="O100" i="2"/>
  <c r="I100" i="2"/>
  <c r="F100" i="2"/>
  <c r="K100" i="2" s="1"/>
  <c r="E100" i="2"/>
  <c r="B100" i="2"/>
  <c r="O99" i="2"/>
  <c r="K99" i="2"/>
  <c r="I99" i="2"/>
  <c r="F99" i="2"/>
  <c r="E99" i="2"/>
  <c r="B99" i="2"/>
  <c r="O98" i="2"/>
  <c r="K98" i="2"/>
  <c r="I98" i="2"/>
  <c r="F98" i="2"/>
  <c r="B98" i="2"/>
  <c r="E98" i="2" s="1"/>
  <c r="O97" i="2"/>
  <c r="I97" i="2"/>
  <c r="K97" i="2" s="1"/>
  <c r="F97" i="2"/>
  <c r="E97" i="2"/>
  <c r="B97" i="2"/>
  <c r="O96" i="2"/>
  <c r="I96" i="2"/>
  <c r="F96" i="2"/>
  <c r="K96" i="2" s="1"/>
  <c r="E96" i="2"/>
  <c r="B96" i="2"/>
  <c r="O95" i="2"/>
  <c r="K95" i="2"/>
  <c r="I95" i="2"/>
  <c r="F95" i="2"/>
  <c r="E95" i="2"/>
  <c r="B95" i="2"/>
  <c r="O94" i="2"/>
  <c r="K94" i="2"/>
  <c r="I94" i="2"/>
  <c r="F94" i="2"/>
  <c r="B94" i="2"/>
  <c r="E94" i="2" s="1"/>
  <c r="O93" i="2"/>
  <c r="I93" i="2"/>
  <c r="K93" i="2" s="1"/>
  <c r="F93" i="2"/>
  <c r="E93" i="2"/>
  <c r="B93" i="2"/>
  <c r="O92" i="2"/>
  <c r="I92" i="2"/>
  <c r="F92" i="2"/>
  <c r="K92" i="2" s="1"/>
  <c r="E92" i="2"/>
  <c r="B92" i="2"/>
  <c r="O91" i="2"/>
  <c r="K91" i="2"/>
  <c r="I91" i="2"/>
  <c r="F91" i="2"/>
  <c r="E91" i="2"/>
  <c r="B91" i="2"/>
  <c r="O90" i="2"/>
  <c r="I90" i="2"/>
  <c r="K90" i="2" s="1"/>
  <c r="F90" i="2"/>
  <c r="B90" i="2"/>
  <c r="E90" i="2" s="1"/>
  <c r="O89" i="2"/>
  <c r="I89" i="2"/>
  <c r="F89" i="2"/>
  <c r="E89" i="2"/>
  <c r="B89" i="2"/>
  <c r="O88" i="2"/>
  <c r="I88" i="2"/>
  <c r="F88" i="2"/>
  <c r="K88" i="2" s="1"/>
  <c r="E88" i="2"/>
  <c r="B88" i="2"/>
  <c r="O87" i="2"/>
  <c r="K87" i="2"/>
  <c r="I87" i="2"/>
  <c r="F87" i="2"/>
  <c r="B87" i="2"/>
  <c r="E87" i="2" s="1"/>
  <c r="O86" i="2"/>
  <c r="K86" i="2"/>
  <c r="I86" i="2"/>
  <c r="F86" i="2"/>
  <c r="B86" i="2"/>
  <c r="E86" i="2" s="1"/>
  <c r="O85" i="2"/>
  <c r="I85" i="2"/>
  <c r="F85" i="2"/>
  <c r="E85" i="2"/>
  <c r="B85" i="2"/>
  <c r="O84" i="2"/>
  <c r="I84" i="2"/>
  <c r="F84" i="2"/>
  <c r="K84" i="2" s="1"/>
  <c r="E84" i="2"/>
  <c r="B84" i="2"/>
  <c r="O83" i="2"/>
  <c r="K83" i="2"/>
  <c r="I83" i="2"/>
  <c r="F83" i="2"/>
  <c r="E83" i="2"/>
  <c r="B83" i="2"/>
  <c r="O82" i="2"/>
  <c r="K82" i="2"/>
  <c r="I82" i="2"/>
  <c r="F82" i="2"/>
  <c r="B82" i="2"/>
  <c r="E82" i="2" s="1"/>
  <c r="O81" i="2"/>
  <c r="I81" i="2"/>
  <c r="K81" i="2" s="1"/>
  <c r="F81" i="2"/>
  <c r="E81" i="2"/>
  <c r="B81" i="2"/>
  <c r="O80" i="2"/>
  <c r="I80" i="2"/>
  <c r="F80" i="2"/>
  <c r="K80" i="2" s="1"/>
  <c r="E80" i="2"/>
  <c r="B80" i="2"/>
  <c r="O79" i="2"/>
  <c r="K79" i="2"/>
  <c r="I79" i="2"/>
  <c r="F79" i="2"/>
  <c r="E79" i="2"/>
  <c r="B79" i="2"/>
  <c r="O78" i="2"/>
  <c r="I78" i="2"/>
  <c r="K78" i="2" s="1"/>
  <c r="F78" i="2"/>
  <c r="B78" i="2"/>
  <c r="E78" i="2" s="1"/>
  <c r="O77" i="2"/>
  <c r="I77" i="2"/>
  <c r="K77" i="2" s="1"/>
  <c r="F77" i="2"/>
  <c r="E77" i="2"/>
  <c r="B77" i="2"/>
  <c r="O76" i="2"/>
  <c r="I76" i="2"/>
  <c r="F76" i="2"/>
  <c r="K76" i="2" s="1"/>
  <c r="E76" i="2"/>
  <c r="B76" i="2"/>
  <c r="O75" i="2"/>
  <c r="K75" i="2"/>
  <c r="I75" i="2"/>
  <c r="F75" i="2"/>
  <c r="B75" i="2"/>
  <c r="E75" i="2" s="1"/>
  <c r="O74" i="2"/>
  <c r="I74" i="2"/>
  <c r="K74" i="2" s="1"/>
  <c r="F74" i="2"/>
  <c r="B74" i="2"/>
  <c r="E74" i="2" s="1"/>
  <c r="O73" i="2"/>
  <c r="I73" i="2"/>
  <c r="K73" i="2" s="1"/>
  <c r="F73" i="2"/>
  <c r="E73" i="2"/>
  <c r="B73" i="2"/>
  <c r="O72" i="2"/>
  <c r="I72" i="2"/>
  <c r="F72" i="2"/>
  <c r="K72" i="2" s="1"/>
  <c r="E72" i="2"/>
  <c r="B72" i="2"/>
  <c r="O71" i="2"/>
  <c r="K71" i="2"/>
  <c r="I71" i="2"/>
  <c r="F71" i="2"/>
  <c r="B71" i="2"/>
  <c r="E71" i="2" s="1"/>
  <c r="O70" i="2"/>
  <c r="K70" i="2"/>
  <c r="I70" i="2"/>
  <c r="F70" i="2"/>
  <c r="B70" i="2"/>
  <c r="E70" i="2" s="1"/>
  <c r="O69" i="2"/>
  <c r="I69" i="2"/>
  <c r="F69" i="2"/>
  <c r="E69" i="2"/>
  <c r="B69" i="2"/>
  <c r="O68" i="2"/>
  <c r="I68" i="2"/>
  <c r="F68" i="2"/>
  <c r="K68" i="2" s="1"/>
  <c r="E68" i="2"/>
  <c r="B68" i="2"/>
  <c r="O67" i="2"/>
  <c r="K67" i="2"/>
  <c r="I67" i="2"/>
  <c r="F67" i="2"/>
  <c r="E67" i="2"/>
  <c r="B67" i="2"/>
  <c r="O66" i="2"/>
  <c r="K66" i="2"/>
  <c r="I66" i="2"/>
  <c r="F66" i="2"/>
  <c r="B66" i="2"/>
  <c r="E66" i="2" s="1"/>
  <c r="O65" i="2"/>
  <c r="I65" i="2"/>
  <c r="K65" i="2" s="1"/>
  <c r="F65" i="2"/>
  <c r="E65" i="2"/>
  <c r="B65" i="2"/>
  <c r="O64" i="2"/>
  <c r="I64" i="2"/>
  <c r="F64" i="2"/>
  <c r="K64" i="2" s="1"/>
  <c r="E64" i="2"/>
  <c r="B64" i="2"/>
  <c r="O63" i="2"/>
  <c r="K63" i="2"/>
  <c r="I63" i="2"/>
  <c r="F63" i="2"/>
  <c r="E63" i="2"/>
  <c r="B63" i="2"/>
  <c r="O62" i="2"/>
  <c r="K62" i="2"/>
  <c r="I62" i="2"/>
  <c r="F62" i="2"/>
  <c r="B62" i="2"/>
  <c r="E62" i="2" s="1"/>
  <c r="O61" i="2"/>
  <c r="I61" i="2"/>
  <c r="K61" i="2" s="1"/>
  <c r="F61" i="2"/>
  <c r="E61" i="2"/>
  <c r="B61" i="2"/>
  <c r="O60" i="2"/>
  <c r="I60" i="2"/>
  <c r="F60" i="2"/>
  <c r="K60" i="2" s="1"/>
  <c r="E60" i="2"/>
  <c r="B60" i="2"/>
  <c r="O59" i="2"/>
  <c r="K59" i="2"/>
  <c r="I59" i="2"/>
  <c r="F59" i="2"/>
  <c r="B59" i="2"/>
  <c r="E59" i="2" s="1"/>
  <c r="O58" i="2"/>
  <c r="I58" i="2"/>
  <c r="K58" i="2" s="1"/>
  <c r="F58" i="2"/>
  <c r="B58" i="2"/>
  <c r="E58" i="2" s="1"/>
  <c r="O57" i="2"/>
  <c r="I57" i="2"/>
  <c r="F57" i="2"/>
  <c r="E57" i="2"/>
  <c r="B57" i="2"/>
  <c r="O56" i="2"/>
  <c r="I56" i="2"/>
  <c r="F56" i="2"/>
  <c r="K56" i="2" s="1"/>
  <c r="E56" i="2"/>
  <c r="B56" i="2"/>
  <c r="O55" i="2"/>
  <c r="K55" i="2"/>
  <c r="I55" i="2"/>
  <c r="F55" i="2"/>
  <c r="B55" i="2"/>
  <c r="E55" i="2" s="1"/>
  <c r="O54" i="2"/>
  <c r="K54" i="2"/>
  <c r="I54" i="2"/>
  <c r="F54" i="2"/>
  <c r="B54" i="2"/>
  <c r="E54" i="2" s="1"/>
  <c r="O53" i="2"/>
  <c r="I53" i="2"/>
  <c r="F53" i="2"/>
  <c r="E53" i="2"/>
  <c r="B53" i="2"/>
  <c r="O52" i="2"/>
  <c r="I52" i="2"/>
  <c r="F52" i="2"/>
  <c r="K52" i="2" s="1"/>
  <c r="E52" i="2"/>
  <c r="B52" i="2"/>
  <c r="O51" i="2"/>
  <c r="K51" i="2"/>
  <c r="I51" i="2"/>
  <c r="F51" i="2"/>
  <c r="E51" i="2"/>
  <c r="B51" i="2"/>
  <c r="O50" i="2"/>
  <c r="K50" i="2"/>
  <c r="I50" i="2"/>
  <c r="F50" i="2"/>
  <c r="B50" i="2"/>
  <c r="E50" i="2" s="1"/>
  <c r="O49" i="2"/>
  <c r="I49" i="2"/>
  <c r="K49" i="2" s="1"/>
  <c r="F49" i="2"/>
  <c r="E49" i="2"/>
  <c r="B49" i="2"/>
  <c r="O48" i="2"/>
  <c r="I48" i="2"/>
  <c r="F48" i="2"/>
  <c r="K48" i="2" s="1"/>
  <c r="E48" i="2"/>
  <c r="B48" i="2"/>
  <c r="O47" i="2"/>
  <c r="K47" i="2"/>
  <c r="I47" i="2"/>
  <c r="F47" i="2"/>
  <c r="E47" i="2"/>
  <c r="B47" i="2"/>
  <c r="O46" i="2"/>
  <c r="I46" i="2"/>
  <c r="K46" i="2" s="1"/>
  <c r="F46" i="2"/>
  <c r="B46" i="2"/>
  <c r="E46" i="2" s="1"/>
  <c r="O45" i="2"/>
  <c r="I45" i="2"/>
  <c r="K45" i="2" s="1"/>
  <c r="F45" i="2"/>
  <c r="E45" i="2"/>
  <c r="B45" i="2"/>
  <c r="O44" i="2"/>
  <c r="I44" i="2"/>
  <c r="F44" i="2"/>
  <c r="K44" i="2" s="1"/>
  <c r="E44" i="2"/>
  <c r="B44" i="2"/>
  <c r="O43" i="2"/>
  <c r="K43" i="2"/>
  <c r="I43" i="2"/>
  <c r="F43" i="2"/>
  <c r="B43" i="2"/>
  <c r="E43" i="2" s="1"/>
  <c r="O42" i="2"/>
  <c r="I42" i="2"/>
  <c r="K42" i="2" s="1"/>
  <c r="F42" i="2"/>
  <c r="E42" i="2"/>
  <c r="B42" i="2"/>
  <c r="O41" i="2"/>
  <c r="I41" i="2"/>
  <c r="F41" i="2"/>
  <c r="K41" i="2" s="1"/>
  <c r="E41" i="2"/>
  <c r="B41" i="2"/>
  <c r="O40" i="2"/>
  <c r="K40" i="2"/>
  <c r="I40" i="2"/>
  <c r="F40" i="2"/>
  <c r="B40" i="2"/>
  <c r="E40" i="2" s="1"/>
  <c r="O39" i="2"/>
  <c r="I39" i="2"/>
  <c r="K39" i="2" s="1"/>
  <c r="F39" i="2"/>
  <c r="B39" i="2"/>
  <c r="E39" i="2" s="1"/>
  <c r="O38" i="2"/>
  <c r="I38" i="2"/>
  <c r="K38" i="2" s="1"/>
  <c r="F38" i="2"/>
  <c r="E38" i="2"/>
  <c r="B38" i="2"/>
  <c r="O37" i="2"/>
  <c r="I37" i="2"/>
  <c r="F37" i="2"/>
  <c r="K37" i="2" s="1"/>
  <c r="E37" i="2"/>
  <c r="B37" i="2"/>
  <c r="O36" i="2"/>
  <c r="K36" i="2"/>
  <c r="I36" i="2"/>
  <c r="F36" i="2"/>
  <c r="B36" i="2"/>
  <c r="E36" i="2" s="1"/>
  <c r="O35" i="2"/>
  <c r="I35" i="2"/>
  <c r="K35" i="2" s="1"/>
  <c r="F35" i="2"/>
  <c r="B35" i="2"/>
  <c r="E35" i="2" s="1"/>
  <c r="O34" i="2"/>
  <c r="I34" i="2"/>
  <c r="F34" i="2"/>
  <c r="E34" i="2"/>
  <c r="B34" i="2"/>
  <c r="O33" i="2"/>
  <c r="I33" i="2"/>
  <c r="F33" i="2"/>
  <c r="K33" i="2" s="1"/>
  <c r="E33" i="2"/>
  <c r="B33" i="2"/>
  <c r="O32" i="2"/>
  <c r="K32" i="2"/>
  <c r="I32" i="2"/>
  <c r="F32" i="2"/>
  <c r="B32" i="2"/>
  <c r="E32" i="2" s="1"/>
  <c r="O31" i="2"/>
  <c r="K31" i="2"/>
  <c r="I31" i="2"/>
  <c r="F31" i="2"/>
  <c r="B31" i="2"/>
  <c r="E31" i="2" s="1"/>
  <c r="O30" i="2"/>
  <c r="I30" i="2"/>
  <c r="F30" i="2"/>
  <c r="E30" i="2"/>
  <c r="B30" i="2"/>
  <c r="O29" i="2"/>
  <c r="I29" i="2"/>
  <c r="F29" i="2"/>
  <c r="K29" i="2" s="1"/>
  <c r="E29" i="2"/>
  <c r="B29" i="2"/>
  <c r="O28" i="2"/>
  <c r="K28" i="2"/>
  <c r="I28" i="2"/>
  <c r="F28" i="2"/>
  <c r="E28" i="2"/>
  <c r="B28" i="2"/>
  <c r="O27" i="2"/>
  <c r="I27" i="2"/>
  <c r="K27" i="2" s="1"/>
  <c r="F27" i="2"/>
  <c r="B27" i="2"/>
  <c r="E27" i="2" s="1"/>
  <c r="O26" i="2"/>
  <c r="I26" i="2"/>
  <c r="K26" i="2" s="1"/>
  <c r="F26" i="2"/>
  <c r="E26" i="2"/>
  <c r="B26" i="2"/>
  <c r="O25" i="2"/>
  <c r="I25" i="2"/>
  <c r="F25" i="2"/>
  <c r="K25" i="2" s="1"/>
  <c r="E25" i="2"/>
  <c r="B25" i="2"/>
  <c r="O24" i="2"/>
  <c r="K24" i="2"/>
  <c r="I24" i="2"/>
  <c r="F24" i="2"/>
  <c r="B24" i="2"/>
  <c r="E24" i="2" s="1"/>
  <c r="O23" i="2"/>
  <c r="I23" i="2"/>
  <c r="K23" i="2" s="1"/>
  <c r="F23" i="2"/>
  <c r="B23" i="2"/>
  <c r="E23" i="2" s="1"/>
  <c r="O22" i="2"/>
  <c r="I22" i="2"/>
  <c r="K22" i="2" s="1"/>
  <c r="F22" i="2"/>
  <c r="E22" i="2"/>
  <c r="B22" i="2"/>
  <c r="O21" i="2"/>
  <c r="I21" i="2"/>
  <c r="F21" i="2"/>
  <c r="K21" i="2" s="1"/>
  <c r="E21" i="2"/>
  <c r="B21" i="2"/>
  <c r="O20" i="2"/>
  <c r="K20" i="2"/>
  <c r="I20" i="2"/>
  <c r="F20" i="2"/>
  <c r="B20" i="2"/>
  <c r="E20" i="2" s="1"/>
  <c r="O19" i="2"/>
  <c r="I19" i="2"/>
  <c r="K19" i="2" s="1"/>
  <c r="F19" i="2"/>
  <c r="B19" i="2"/>
  <c r="E19" i="2" s="1"/>
  <c r="O18" i="2"/>
  <c r="I18" i="2"/>
  <c r="F18" i="2"/>
  <c r="E18" i="2"/>
  <c r="B18" i="2"/>
  <c r="O17" i="2"/>
  <c r="I17" i="2"/>
  <c r="F17" i="2"/>
  <c r="K17" i="2" s="1"/>
  <c r="E17" i="2"/>
  <c r="B17" i="2"/>
  <c r="O16" i="2"/>
  <c r="K16" i="2"/>
  <c r="I16" i="2"/>
  <c r="F16" i="2"/>
  <c r="B16" i="2"/>
  <c r="E16" i="2" s="1"/>
  <c r="O15" i="2"/>
  <c r="K15" i="2"/>
  <c r="I15" i="2"/>
  <c r="F15" i="2"/>
  <c r="B15" i="2"/>
  <c r="E15" i="2" s="1"/>
  <c r="O14" i="2"/>
  <c r="I14" i="2"/>
  <c r="F14" i="2"/>
  <c r="E14" i="2"/>
  <c r="B14" i="2"/>
  <c r="O13" i="2"/>
  <c r="I13" i="2"/>
  <c r="F13" i="2"/>
  <c r="K13" i="2" s="1"/>
  <c r="E13" i="2"/>
  <c r="B13" i="2"/>
  <c r="O12" i="2"/>
  <c r="K12" i="2"/>
  <c r="I12" i="2"/>
  <c r="F12" i="2"/>
  <c r="E12" i="2"/>
  <c r="B12" i="2"/>
  <c r="O11" i="2"/>
  <c r="I11" i="2"/>
  <c r="K11" i="2" s="1"/>
  <c r="F11" i="2"/>
  <c r="B11" i="2"/>
  <c r="E11" i="2" s="1"/>
  <c r="O10" i="2"/>
  <c r="I10" i="2"/>
  <c r="K10" i="2" s="1"/>
  <c r="F10" i="2"/>
  <c r="E10" i="2"/>
  <c r="B10" i="2"/>
  <c r="O9" i="2"/>
  <c r="I9" i="2"/>
  <c r="F9" i="2"/>
  <c r="K9" i="2" s="1"/>
  <c r="E9" i="2"/>
  <c r="B9" i="2"/>
  <c r="O8" i="2"/>
  <c r="K8" i="2"/>
  <c r="I8" i="2"/>
  <c r="F8" i="2"/>
  <c r="B8" i="2"/>
  <c r="E8" i="2" s="1"/>
  <c r="O7" i="2"/>
  <c r="I7" i="2"/>
  <c r="K7" i="2" s="1"/>
  <c r="F7" i="2"/>
  <c r="B7" i="2"/>
  <c r="E7" i="2" s="1"/>
  <c r="O6" i="2"/>
  <c r="I6" i="2"/>
  <c r="K6" i="2" s="1"/>
  <c r="F6" i="2"/>
  <c r="E6" i="2"/>
  <c r="B6" i="2"/>
  <c r="O5" i="2"/>
  <c r="I5" i="2"/>
  <c r="F5" i="2"/>
  <c r="K5" i="2" s="1"/>
  <c r="E5" i="2"/>
  <c r="B5" i="2"/>
  <c r="O4" i="2"/>
  <c r="K4" i="2"/>
  <c r="I4" i="2"/>
  <c r="F4" i="2"/>
  <c r="B4" i="2"/>
  <c r="E4" i="2" s="1"/>
  <c r="O3" i="2"/>
  <c r="I3" i="2"/>
  <c r="K3" i="2" s="1"/>
  <c r="F3" i="2"/>
  <c r="B3" i="2"/>
  <c r="E3" i="2" s="1"/>
  <c r="O2" i="2"/>
  <c r="I2" i="2"/>
  <c r="F2" i="2"/>
  <c r="E2" i="2"/>
  <c r="B2" i="2"/>
  <c r="O303" i="1"/>
  <c r="N303" i="1"/>
  <c r="M303" i="1"/>
  <c r="G303" i="1"/>
  <c r="F303" i="1"/>
  <c r="J303" i="1" s="1"/>
  <c r="C303" i="1"/>
  <c r="H303" i="1" s="1"/>
  <c r="O302" i="1"/>
  <c r="N302" i="1"/>
  <c r="J302" i="1"/>
  <c r="M302" i="1" s="1"/>
  <c r="H302" i="1"/>
  <c r="G302" i="1"/>
  <c r="F302" i="1"/>
  <c r="C302" i="1"/>
  <c r="O301" i="1"/>
  <c r="N301" i="1"/>
  <c r="G301" i="1"/>
  <c r="F301" i="1"/>
  <c r="J301" i="1" s="1"/>
  <c r="M301" i="1" s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G299" i="1"/>
  <c r="F299" i="1"/>
  <c r="J299" i="1" s="1"/>
  <c r="M299" i="1" s="1"/>
  <c r="C299" i="1"/>
  <c r="H299" i="1" s="1"/>
  <c r="O298" i="1"/>
  <c r="N298" i="1"/>
  <c r="J298" i="1"/>
  <c r="M298" i="1" s="1"/>
  <c r="H298" i="1"/>
  <c r="G298" i="1"/>
  <c r="F298" i="1"/>
  <c r="C298" i="1"/>
  <c r="O297" i="1"/>
  <c r="N297" i="1"/>
  <c r="M297" i="1"/>
  <c r="G297" i="1"/>
  <c r="F297" i="1"/>
  <c r="J297" i="1" s="1"/>
  <c r="C297" i="1"/>
  <c r="H297" i="1" s="1"/>
  <c r="O296" i="1"/>
  <c r="N296" i="1"/>
  <c r="J296" i="1"/>
  <c r="M296" i="1" s="1"/>
  <c r="H296" i="1"/>
  <c r="G296" i="1"/>
  <c r="F296" i="1"/>
  <c r="C296" i="1"/>
  <c r="O295" i="1"/>
  <c r="N295" i="1"/>
  <c r="M295" i="1"/>
  <c r="G295" i="1"/>
  <c r="F295" i="1"/>
  <c r="J295" i="1" s="1"/>
  <c r="C295" i="1"/>
  <c r="H295" i="1" s="1"/>
  <c r="O294" i="1"/>
  <c r="N294" i="1"/>
  <c r="J294" i="1"/>
  <c r="M294" i="1" s="1"/>
  <c r="H294" i="1"/>
  <c r="G294" i="1"/>
  <c r="F294" i="1"/>
  <c r="C294" i="1"/>
  <c r="O293" i="1"/>
  <c r="N293" i="1"/>
  <c r="G293" i="1"/>
  <c r="F293" i="1"/>
  <c r="J293" i="1" s="1"/>
  <c r="M293" i="1" s="1"/>
  <c r="C293" i="1"/>
  <c r="H293" i="1" s="1"/>
  <c r="O292" i="1"/>
  <c r="N292" i="1"/>
  <c r="J292" i="1"/>
  <c r="M292" i="1" s="1"/>
  <c r="G292" i="1"/>
  <c r="F292" i="1"/>
  <c r="C292" i="1"/>
  <c r="H292" i="1" s="1"/>
  <c r="O291" i="1"/>
  <c r="N291" i="1"/>
  <c r="M291" i="1"/>
  <c r="G291" i="1"/>
  <c r="F291" i="1"/>
  <c r="J291" i="1" s="1"/>
  <c r="C291" i="1"/>
  <c r="H291" i="1" s="1"/>
  <c r="O290" i="1"/>
  <c r="N290" i="1"/>
  <c r="J290" i="1"/>
  <c r="M290" i="1" s="1"/>
  <c r="G290" i="1"/>
  <c r="F290" i="1"/>
  <c r="C290" i="1"/>
  <c r="H290" i="1" s="1"/>
  <c r="O289" i="1"/>
  <c r="N289" i="1"/>
  <c r="M289" i="1"/>
  <c r="G289" i="1"/>
  <c r="F289" i="1"/>
  <c r="J289" i="1" s="1"/>
  <c r="C289" i="1"/>
  <c r="H289" i="1" s="1"/>
  <c r="O288" i="1"/>
  <c r="N288" i="1"/>
  <c r="J288" i="1"/>
  <c r="M288" i="1" s="1"/>
  <c r="H288" i="1"/>
  <c r="G288" i="1"/>
  <c r="F288" i="1"/>
  <c r="C288" i="1"/>
  <c r="O287" i="1"/>
  <c r="N287" i="1"/>
  <c r="M287" i="1"/>
  <c r="G287" i="1"/>
  <c r="F287" i="1"/>
  <c r="J287" i="1" s="1"/>
  <c r="C287" i="1"/>
  <c r="H287" i="1" s="1"/>
  <c r="O286" i="1"/>
  <c r="N286" i="1"/>
  <c r="G286" i="1"/>
  <c r="F286" i="1"/>
  <c r="J286" i="1" s="1"/>
  <c r="M286" i="1" s="1"/>
  <c r="C286" i="1"/>
  <c r="H286" i="1" s="1"/>
  <c r="O285" i="1"/>
  <c r="N285" i="1"/>
  <c r="G285" i="1"/>
  <c r="F285" i="1"/>
  <c r="J285" i="1" s="1"/>
  <c r="M285" i="1" s="1"/>
  <c r="C285" i="1"/>
  <c r="H285" i="1" s="1"/>
  <c r="O284" i="1"/>
  <c r="N284" i="1"/>
  <c r="G284" i="1"/>
  <c r="F284" i="1"/>
  <c r="J284" i="1" s="1"/>
  <c r="M284" i="1" s="1"/>
  <c r="C284" i="1"/>
  <c r="H284" i="1" s="1"/>
  <c r="O283" i="1"/>
  <c r="N283" i="1"/>
  <c r="G283" i="1"/>
  <c r="F283" i="1"/>
  <c r="J283" i="1" s="1"/>
  <c r="M283" i="1" s="1"/>
  <c r="C283" i="1"/>
  <c r="H283" i="1" s="1"/>
  <c r="O282" i="1"/>
  <c r="N282" i="1"/>
  <c r="G282" i="1"/>
  <c r="F282" i="1"/>
  <c r="J282" i="1" s="1"/>
  <c r="M282" i="1" s="1"/>
  <c r="C282" i="1"/>
  <c r="H282" i="1" s="1"/>
  <c r="O281" i="1"/>
  <c r="N281" i="1"/>
  <c r="M281" i="1"/>
  <c r="G281" i="1"/>
  <c r="F281" i="1"/>
  <c r="J281" i="1" s="1"/>
  <c r="C281" i="1"/>
  <c r="H281" i="1" s="1"/>
  <c r="O280" i="1"/>
  <c r="N280" i="1"/>
  <c r="G280" i="1"/>
  <c r="F280" i="1"/>
  <c r="J280" i="1" s="1"/>
  <c r="M280" i="1" s="1"/>
  <c r="C280" i="1"/>
  <c r="H280" i="1" s="1"/>
  <c r="O279" i="1"/>
  <c r="N279" i="1"/>
  <c r="M279" i="1"/>
  <c r="G279" i="1"/>
  <c r="F279" i="1"/>
  <c r="J279" i="1" s="1"/>
  <c r="C279" i="1"/>
  <c r="H279" i="1" s="1"/>
  <c r="O278" i="1"/>
  <c r="N278" i="1"/>
  <c r="H278" i="1"/>
  <c r="G278" i="1"/>
  <c r="F278" i="1"/>
  <c r="J278" i="1" s="1"/>
  <c r="M278" i="1" s="1"/>
  <c r="C278" i="1"/>
  <c r="O277" i="1"/>
  <c r="N277" i="1"/>
  <c r="G277" i="1"/>
  <c r="F277" i="1"/>
  <c r="J277" i="1" s="1"/>
  <c r="M277" i="1" s="1"/>
  <c r="C277" i="1"/>
  <c r="H277" i="1" s="1"/>
  <c r="O276" i="1"/>
  <c r="N276" i="1"/>
  <c r="G276" i="1"/>
  <c r="F276" i="1"/>
  <c r="J276" i="1" s="1"/>
  <c r="M276" i="1" s="1"/>
  <c r="C276" i="1"/>
  <c r="H276" i="1" s="1"/>
  <c r="O275" i="1"/>
  <c r="N275" i="1"/>
  <c r="M275" i="1"/>
  <c r="G275" i="1"/>
  <c r="F275" i="1"/>
  <c r="J275" i="1" s="1"/>
  <c r="C275" i="1"/>
  <c r="H275" i="1" s="1"/>
  <c r="O274" i="1"/>
  <c r="N274" i="1"/>
  <c r="G274" i="1"/>
  <c r="F274" i="1"/>
  <c r="J274" i="1" s="1"/>
  <c r="M274" i="1" s="1"/>
  <c r="C274" i="1"/>
  <c r="H274" i="1" s="1"/>
  <c r="O273" i="1"/>
  <c r="N273" i="1"/>
  <c r="M273" i="1"/>
  <c r="G273" i="1"/>
  <c r="F273" i="1"/>
  <c r="J273" i="1" s="1"/>
  <c r="C273" i="1"/>
  <c r="H273" i="1" s="1"/>
  <c r="O272" i="1"/>
  <c r="N272" i="1"/>
  <c r="H272" i="1"/>
  <c r="G272" i="1"/>
  <c r="F272" i="1"/>
  <c r="J272" i="1" s="1"/>
  <c r="M272" i="1" s="1"/>
  <c r="C272" i="1"/>
  <c r="O271" i="1"/>
  <c r="N271" i="1"/>
  <c r="G271" i="1"/>
  <c r="F271" i="1"/>
  <c r="J271" i="1" s="1"/>
  <c r="M271" i="1" s="1"/>
  <c r="C271" i="1"/>
  <c r="H271" i="1" s="1"/>
  <c r="O270" i="1"/>
  <c r="N270" i="1"/>
  <c r="J270" i="1"/>
  <c r="M270" i="1" s="1"/>
  <c r="G270" i="1"/>
  <c r="F270" i="1"/>
  <c r="C270" i="1"/>
  <c r="H270" i="1" s="1"/>
  <c r="O269" i="1"/>
  <c r="N269" i="1"/>
  <c r="G269" i="1"/>
  <c r="F269" i="1"/>
  <c r="J269" i="1" s="1"/>
  <c r="M269" i="1" s="1"/>
  <c r="C269" i="1"/>
  <c r="H269" i="1" s="1"/>
  <c r="O268" i="1"/>
  <c r="N268" i="1"/>
  <c r="J268" i="1"/>
  <c r="M268" i="1" s="1"/>
  <c r="G268" i="1"/>
  <c r="F268" i="1"/>
  <c r="C268" i="1"/>
  <c r="H268" i="1" s="1"/>
  <c r="O267" i="1"/>
  <c r="N267" i="1"/>
  <c r="G267" i="1"/>
  <c r="F267" i="1"/>
  <c r="J267" i="1" s="1"/>
  <c r="M267" i="1" s="1"/>
  <c r="C267" i="1"/>
  <c r="H267" i="1" s="1"/>
  <c r="O266" i="1"/>
  <c r="N266" i="1"/>
  <c r="H266" i="1"/>
  <c r="G266" i="1"/>
  <c r="F266" i="1"/>
  <c r="J266" i="1" s="1"/>
  <c r="M266" i="1" s="1"/>
  <c r="C266" i="1"/>
  <c r="O265" i="1"/>
  <c r="N265" i="1"/>
  <c r="G265" i="1"/>
  <c r="F265" i="1"/>
  <c r="J265" i="1" s="1"/>
  <c r="M265" i="1" s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G263" i="1"/>
  <c r="F263" i="1"/>
  <c r="J263" i="1" s="1"/>
  <c r="M263" i="1" s="1"/>
  <c r="C263" i="1"/>
  <c r="H263" i="1" s="1"/>
  <c r="O262" i="1"/>
  <c r="N262" i="1"/>
  <c r="G262" i="1"/>
  <c r="F262" i="1"/>
  <c r="J262" i="1" s="1"/>
  <c r="M262" i="1" s="1"/>
  <c r="C262" i="1"/>
  <c r="H262" i="1" s="1"/>
  <c r="O261" i="1"/>
  <c r="N261" i="1"/>
  <c r="G261" i="1"/>
  <c r="F261" i="1"/>
  <c r="J261" i="1" s="1"/>
  <c r="M261" i="1" s="1"/>
  <c r="C261" i="1"/>
  <c r="H261" i="1" s="1"/>
  <c r="O260" i="1"/>
  <c r="N260" i="1"/>
  <c r="J260" i="1"/>
  <c r="M260" i="1" s="1"/>
  <c r="G260" i="1"/>
  <c r="F260" i="1"/>
  <c r="C260" i="1"/>
  <c r="H260" i="1" s="1"/>
  <c r="O259" i="1"/>
  <c r="N259" i="1"/>
  <c r="G259" i="1"/>
  <c r="F259" i="1"/>
  <c r="J259" i="1" s="1"/>
  <c r="M259" i="1" s="1"/>
  <c r="C259" i="1"/>
  <c r="H259" i="1" s="1"/>
  <c r="O258" i="1"/>
  <c r="N258" i="1"/>
  <c r="J258" i="1"/>
  <c r="M258" i="1" s="1"/>
  <c r="G258" i="1"/>
  <c r="F258" i="1"/>
  <c r="C258" i="1"/>
  <c r="H258" i="1" s="1"/>
  <c r="O257" i="1"/>
  <c r="N257" i="1"/>
  <c r="G257" i="1"/>
  <c r="F257" i="1"/>
  <c r="J257" i="1" s="1"/>
  <c r="M257" i="1" s="1"/>
  <c r="C257" i="1"/>
  <c r="H257" i="1" s="1"/>
  <c r="O256" i="1"/>
  <c r="N256" i="1"/>
  <c r="M256" i="1"/>
  <c r="J256" i="1"/>
  <c r="G256" i="1"/>
  <c r="F256" i="1"/>
  <c r="C256" i="1"/>
  <c r="H256" i="1" s="1"/>
  <c r="O255" i="1"/>
  <c r="N255" i="1"/>
  <c r="G255" i="1"/>
  <c r="F255" i="1"/>
  <c r="J255" i="1" s="1"/>
  <c r="M255" i="1" s="1"/>
  <c r="C255" i="1"/>
  <c r="H255" i="1" s="1"/>
  <c r="O254" i="1"/>
  <c r="N254" i="1"/>
  <c r="G254" i="1"/>
  <c r="F254" i="1"/>
  <c r="J254" i="1" s="1"/>
  <c r="M254" i="1" s="1"/>
  <c r="C254" i="1"/>
  <c r="H254" i="1" s="1"/>
  <c r="O253" i="1"/>
  <c r="N253" i="1"/>
  <c r="J253" i="1"/>
  <c r="M253" i="1" s="1"/>
  <c r="G253" i="1"/>
  <c r="F253" i="1"/>
  <c r="C253" i="1"/>
  <c r="H253" i="1" s="1"/>
  <c r="O252" i="1"/>
  <c r="N252" i="1"/>
  <c r="H252" i="1"/>
  <c r="G252" i="1"/>
  <c r="F252" i="1"/>
  <c r="J252" i="1" s="1"/>
  <c r="M252" i="1" s="1"/>
  <c r="C252" i="1"/>
  <c r="O251" i="1"/>
  <c r="N251" i="1"/>
  <c r="G251" i="1"/>
  <c r="F251" i="1"/>
  <c r="J251" i="1" s="1"/>
  <c r="M251" i="1" s="1"/>
  <c r="C251" i="1"/>
  <c r="H251" i="1" s="1"/>
  <c r="O250" i="1"/>
  <c r="N250" i="1"/>
  <c r="J250" i="1"/>
  <c r="M250" i="1" s="1"/>
  <c r="G250" i="1"/>
  <c r="F250" i="1"/>
  <c r="C250" i="1"/>
  <c r="H250" i="1" s="1"/>
  <c r="O249" i="1"/>
  <c r="N249" i="1"/>
  <c r="G249" i="1"/>
  <c r="F249" i="1"/>
  <c r="J249" i="1" s="1"/>
  <c r="M249" i="1" s="1"/>
  <c r="C249" i="1"/>
  <c r="H249" i="1" s="1"/>
  <c r="O248" i="1"/>
  <c r="N248" i="1"/>
  <c r="M248" i="1"/>
  <c r="J248" i="1"/>
  <c r="G248" i="1"/>
  <c r="F248" i="1"/>
  <c r="C248" i="1"/>
  <c r="H248" i="1" s="1"/>
  <c r="O247" i="1"/>
  <c r="N247" i="1"/>
  <c r="G247" i="1"/>
  <c r="F247" i="1"/>
  <c r="J247" i="1" s="1"/>
  <c r="M247" i="1" s="1"/>
  <c r="C247" i="1"/>
  <c r="H247" i="1" s="1"/>
  <c r="O246" i="1"/>
  <c r="N246" i="1"/>
  <c r="G246" i="1"/>
  <c r="F246" i="1"/>
  <c r="J246" i="1" s="1"/>
  <c r="M246" i="1" s="1"/>
  <c r="C246" i="1"/>
  <c r="H246" i="1" s="1"/>
  <c r="O245" i="1"/>
  <c r="N245" i="1"/>
  <c r="J245" i="1"/>
  <c r="M245" i="1" s="1"/>
  <c r="G245" i="1"/>
  <c r="F245" i="1"/>
  <c r="C245" i="1"/>
  <c r="H245" i="1" s="1"/>
  <c r="O244" i="1"/>
  <c r="N244" i="1"/>
  <c r="H244" i="1"/>
  <c r="G244" i="1"/>
  <c r="F244" i="1"/>
  <c r="J244" i="1" s="1"/>
  <c r="M244" i="1" s="1"/>
  <c r="C244" i="1"/>
  <c r="O243" i="1"/>
  <c r="N243" i="1"/>
  <c r="G243" i="1"/>
  <c r="F243" i="1"/>
  <c r="J243" i="1" s="1"/>
  <c r="M243" i="1" s="1"/>
  <c r="C243" i="1"/>
  <c r="H243" i="1" s="1"/>
  <c r="O242" i="1"/>
  <c r="N242" i="1"/>
  <c r="J242" i="1"/>
  <c r="M242" i="1" s="1"/>
  <c r="G242" i="1"/>
  <c r="F242" i="1"/>
  <c r="C242" i="1"/>
  <c r="H242" i="1" s="1"/>
  <c r="O241" i="1"/>
  <c r="N241" i="1"/>
  <c r="G241" i="1"/>
  <c r="F241" i="1"/>
  <c r="J241" i="1" s="1"/>
  <c r="M241" i="1" s="1"/>
  <c r="C241" i="1"/>
  <c r="H241" i="1" s="1"/>
  <c r="O240" i="1"/>
  <c r="N240" i="1"/>
  <c r="J240" i="1"/>
  <c r="M240" i="1" s="1"/>
  <c r="G240" i="1"/>
  <c r="F240" i="1"/>
  <c r="C240" i="1"/>
  <c r="H240" i="1" s="1"/>
  <c r="O239" i="1"/>
  <c r="N239" i="1"/>
  <c r="G239" i="1"/>
  <c r="F239" i="1"/>
  <c r="J239" i="1" s="1"/>
  <c r="M239" i="1" s="1"/>
  <c r="C239" i="1"/>
  <c r="H239" i="1" s="1"/>
  <c r="O238" i="1"/>
  <c r="N238" i="1"/>
  <c r="J238" i="1"/>
  <c r="M238" i="1" s="1"/>
  <c r="G238" i="1"/>
  <c r="F238" i="1"/>
  <c r="C238" i="1"/>
  <c r="H238" i="1" s="1"/>
  <c r="O237" i="1"/>
  <c r="N237" i="1"/>
  <c r="G237" i="1"/>
  <c r="F237" i="1"/>
  <c r="J237" i="1" s="1"/>
  <c r="M237" i="1" s="1"/>
  <c r="C237" i="1"/>
  <c r="H237" i="1" s="1"/>
  <c r="O236" i="1"/>
  <c r="N236" i="1"/>
  <c r="J236" i="1"/>
  <c r="M236" i="1" s="1"/>
  <c r="G236" i="1"/>
  <c r="F236" i="1"/>
  <c r="C236" i="1"/>
  <c r="H236" i="1" s="1"/>
  <c r="O235" i="1"/>
  <c r="N235" i="1"/>
  <c r="G235" i="1"/>
  <c r="F235" i="1"/>
  <c r="J235" i="1" s="1"/>
  <c r="M235" i="1" s="1"/>
  <c r="C235" i="1"/>
  <c r="H235" i="1" s="1"/>
  <c r="O234" i="1"/>
  <c r="N234" i="1"/>
  <c r="J234" i="1"/>
  <c r="M234" i="1" s="1"/>
  <c r="G234" i="1"/>
  <c r="F234" i="1"/>
  <c r="C234" i="1"/>
  <c r="H234" i="1" s="1"/>
  <c r="O233" i="1"/>
  <c r="N233" i="1"/>
  <c r="G233" i="1"/>
  <c r="F233" i="1"/>
  <c r="J233" i="1" s="1"/>
  <c r="M233" i="1" s="1"/>
  <c r="C233" i="1"/>
  <c r="H233" i="1" s="1"/>
  <c r="O232" i="1"/>
  <c r="N232" i="1"/>
  <c r="J232" i="1"/>
  <c r="M232" i="1" s="1"/>
  <c r="G232" i="1"/>
  <c r="F232" i="1"/>
  <c r="C232" i="1"/>
  <c r="H232" i="1" s="1"/>
  <c r="O231" i="1"/>
  <c r="N231" i="1"/>
  <c r="G231" i="1"/>
  <c r="F231" i="1"/>
  <c r="J231" i="1" s="1"/>
  <c r="M231" i="1" s="1"/>
  <c r="C231" i="1"/>
  <c r="H231" i="1" s="1"/>
  <c r="O230" i="1"/>
  <c r="N230" i="1"/>
  <c r="J230" i="1"/>
  <c r="M230" i="1" s="1"/>
  <c r="G230" i="1"/>
  <c r="F230" i="1"/>
  <c r="C230" i="1"/>
  <c r="H230" i="1" s="1"/>
  <c r="O229" i="1"/>
  <c r="N229" i="1"/>
  <c r="G229" i="1"/>
  <c r="F229" i="1"/>
  <c r="J229" i="1" s="1"/>
  <c r="M229" i="1" s="1"/>
  <c r="C229" i="1"/>
  <c r="H229" i="1" s="1"/>
  <c r="O228" i="1"/>
  <c r="N228" i="1"/>
  <c r="J228" i="1"/>
  <c r="M228" i="1" s="1"/>
  <c r="G228" i="1"/>
  <c r="F228" i="1"/>
  <c r="C228" i="1"/>
  <c r="H228" i="1" s="1"/>
  <c r="O227" i="1"/>
  <c r="N227" i="1"/>
  <c r="G227" i="1"/>
  <c r="F227" i="1"/>
  <c r="J227" i="1" s="1"/>
  <c r="M227" i="1" s="1"/>
  <c r="C227" i="1"/>
  <c r="H227" i="1" s="1"/>
  <c r="O226" i="1"/>
  <c r="N226" i="1"/>
  <c r="J226" i="1"/>
  <c r="M226" i="1" s="1"/>
  <c r="G226" i="1"/>
  <c r="F226" i="1"/>
  <c r="C226" i="1"/>
  <c r="H226" i="1" s="1"/>
  <c r="O225" i="1"/>
  <c r="N225" i="1"/>
  <c r="H225" i="1"/>
  <c r="G225" i="1"/>
  <c r="F225" i="1"/>
  <c r="J225" i="1" s="1"/>
  <c r="M225" i="1" s="1"/>
  <c r="R225" i="1" s="1"/>
  <c r="C225" i="1"/>
  <c r="O224" i="1"/>
  <c r="N224" i="1"/>
  <c r="G224" i="1"/>
  <c r="F224" i="1"/>
  <c r="J224" i="1" s="1"/>
  <c r="M224" i="1" s="1"/>
  <c r="C224" i="1"/>
  <c r="H224" i="1" s="1"/>
  <c r="O223" i="1"/>
  <c r="N223" i="1"/>
  <c r="J223" i="1"/>
  <c r="M223" i="1" s="1"/>
  <c r="G223" i="1"/>
  <c r="F223" i="1"/>
  <c r="C223" i="1"/>
  <c r="H223" i="1" s="1"/>
  <c r="O222" i="1"/>
  <c r="N222" i="1"/>
  <c r="G222" i="1"/>
  <c r="F222" i="1"/>
  <c r="J222" i="1" s="1"/>
  <c r="M222" i="1" s="1"/>
  <c r="C222" i="1"/>
  <c r="H222" i="1" s="1"/>
  <c r="O221" i="1"/>
  <c r="N221" i="1"/>
  <c r="M221" i="1"/>
  <c r="G221" i="1"/>
  <c r="F221" i="1"/>
  <c r="J221" i="1" s="1"/>
  <c r="C221" i="1"/>
  <c r="H221" i="1" s="1"/>
  <c r="O220" i="1"/>
  <c r="N220" i="1"/>
  <c r="G220" i="1"/>
  <c r="F220" i="1"/>
  <c r="J220" i="1" s="1"/>
  <c r="M220" i="1" s="1"/>
  <c r="C220" i="1"/>
  <c r="H220" i="1" s="1"/>
  <c r="O219" i="1"/>
  <c r="N219" i="1"/>
  <c r="G219" i="1"/>
  <c r="F219" i="1"/>
  <c r="J219" i="1" s="1"/>
  <c r="M219" i="1" s="1"/>
  <c r="C219" i="1"/>
  <c r="H219" i="1" s="1"/>
  <c r="O218" i="1"/>
  <c r="N218" i="1"/>
  <c r="G218" i="1"/>
  <c r="F218" i="1"/>
  <c r="J218" i="1" s="1"/>
  <c r="M218" i="1" s="1"/>
  <c r="C218" i="1"/>
  <c r="H218" i="1" s="1"/>
  <c r="O217" i="1"/>
  <c r="N217" i="1"/>
  <c r="H217" i="1"/>
  <c r="G217" i="1"/>
  <c r="F217" i="1"/>
  <c r="J217" i="1" s="1"/>
  <c r="M217" i="1" s="1"/>
  <c r="C217" i="1"/>
  <c r="O216" i="1"/>
  <c r="N216" i="1"/>
  <c r="G216" i="1"/>
  <c r="F216" i="1"/>
  <c r="J216" i="1" s="1"/>
  <c r="M216" i="1" s="1"/>
  <c r="C216" i="1"/>
  <c r="H216" i="1" s="1"/>
  <c r="O215" i="1"/>
  <c r="N215" i="1"/>
  <c r="J215" i="1"/>
  <c r="M215" i="1" s="1"/>
  <c r="G215" i="1"/>
  <c r="F215" i="1"/>
  <c r="C215" i="1"/>
  <c r="H215" i="1" s="1"/>
  <c r="O214" i="1"/>
  <c r="N214" i="1"/>
  <c r="G214" i="1"/>
  <c r="F214" i="1"/>
  <c r="J214" i="1" s="1"/>
  <c r="M214" i="1" s="1"/>
  <c r="C214" i="1"/>
  <c r="H214" i="1" s="1"/>
  <c r="O213" i="1"/>
  <c r="N213" i="1"/>
  <c r="G213" i="1"/>
  <c r="F213" i="1"/>
  <c r="J213" i="1" s="1"/>
  <c r="M213" i="1" s="1"/>
  <c r="C213" i="1"/>
  <c r="H213" i="1" s="1"/>
  <c r="O212" i="1"/>
  <c r="N212" i="1"/>
  <c r="G212" i="1"/>
  <c r="F212" i="1"/>
  <c r="J212" i="1" s="1"/>
  <c r="M212" i="1" s="1"/>
  <c r="C212" i="1"/>
  <c r="H212" i="1" s="1"/>
  <c r="O211" i="1"/>
  <c r="N211" i="1"/>
  <c r="G211" i="1"/>
  <c r="F211" i="1"/>
  <c r="J211" i="1" s="1"/>
  <c r="M211" i="1" s="1"/>
  <c r="C211" i="1"/>
  <c r="H211" i="1" s="1"/>
  <c r="O210" i="1"/>
  <c r="N210" i="1"/>
  <c r="G210" i="1"/>
  <c r="F210" i="1"/>
  <c r="J210" i="1" s="1"/>
  <c r="M210" i="1" s="1"/>
  <c r="C210" i="1"/>
  <c r="H210" i="1" s="1"/>
  <c r="O209" i="1"/>
  <c r="N209" i="1"/>
  <c r="H209" i="1"/>
  <c r="G209" i="1"/>
  <c r="F209" i="1"/>
  <c r="J209" i="1" s="1"/>
  <c r="M209" i="1" s="1"/>
  <c r="C209" i="1"/>
  <c r="O208" i="1"/>
  <c r="N208" i="1"/>
  <c r="G208" i="1"/>
  <c r="F208" i="1"/>
  <c r="J208" i="1" s="1"/>
  <c r="M208" i="1" s="1"/>
  <c r="C208" i="1"/>
  <c r="H208" i="1" s="1"/>
  <c r="O207" i="1"/>
  <c r="N207" i="1"/>
  <c r="J207" i="1"/>
  <c r="M207" i="1" s="1"/>
  <c r="G207" i="1"/>
  <c r="F207" i="1"/>
  <c r="C207" i="1"/>
  <c r="H207" i="1" s="1"/>
  <c r="O206" i="1"/>
  <c r="N206" i="1"/>
  <c r="G206" i="1"/>
  <c r="F206" i="1"/>
  <c r="J206" i="1" s="1"/>
  <c r="M206" i="1" s="1"/>
  <c r="C206" i="1"/>
  <c r="H206" i="1" s="1"/>
  <c r="O205" i="1"/>
  <c r="N205" i="1"/>
  <c r="G205" i="1"/>
  <c r="F205" i="1"/>
  <c r="J205" i="1" s="1"/>
  <c r="M205" i="1" s="1"/>
  <c r="C205" i="1"/>
  <c r="H205" i="1" s="1"/>
  <c r="O204" i="1"/>
  <c r="N204" i="1"/>
  <c r="G204" i="1"/>
  <c r="F204" i="1"/>
  <c r="J204" i="1" s="1"/>
  <c r="M204" i="1" s="1"/>
  <c r="C204" i="1"/>
  <c r="H204" i="1" s="1"/>
  <c r="O203" i="1"/>
  <c r="N203" i="1"/>
  <c r="G203" i="1"/>
  <c r="F203" i="1"/>
  <c r="J203" i="1" s="1"/>
  <c r="M203" i="1" s="1"/>
  <c r="C203" i="1"/>
  <c r="H203" i="1" s="1"/>
  <c r="O202" i="1"/>
  <c r="N202" i="1"/>
  <c r="G202" i="1"/>
  <c r="F202" i="1"/>
  <c r="J202" i="1" s="1"/>
  <c r="M202" i="1" s="1"/>
  <c r="C202" i="1"/>
  <c r="H202" i="1" s="1"/>
  <c r="O201" i="1"/>
  <c r="N201" i="1"/>
  <c r="H201" i="1"/>
  <c r="G201" i="1"/>
  <c r="F201" i="1"/>
  <c r="J201" i="1" s="1"/>
  <c r="M201" i="1" s="1"/>
  <c r="C201" i="1"/>
  <c r="O200" i="1"/>
  <c r="N200" i="1"/>
  <c r="G200" i="1"/>
  <c r="F200" i="1"/>
  <c r="J200" i="1" s="1"/>
  <c r="M200" i="1" s="1"/>
  <c r="C200" i="1"/>
  <c r="H200" i="1" s="1"/>
  <c r="O199" i="1"/>
  <c r="N199" i="1"/>
  <c r="G199" i="1"/>
  <c r="F199" i="1"/>
  <c r="J199" i="1" s="1"/>
  <c r="M199" i="1" s="1"/>
  <c r="C199" i="1"/>
  <c r="H199" i="1" s="1"/>
  <c r="O198" i="1"/>
  <c r="N198" i="1"/>
  <c r="G198" i="1"/>
  <c r="F198" i="1"/>
  <c r="J198" i="1" s="1"/>
  <c r="M198" i="1" s="1"/>
  <c r="C198" i="1"/>
  <c r="H198" i="1" s="1"/>
  <c r="O197" i="1"/>
  <c r="N197" i="1"/>
  <c r="G197" i="1"/>
  <c r="F197" i="1"/>
  <c r="J197" i="1" s="1"/>
  <c r="M197" i="1" s="1"/>
  <c r="C197" i="1"/>
  <c r="H197" i="1" s="1"/>
  <c r="O196" i="1"/>
  <c r="N196" i="1"/>
  <c r="J196" i="1"/>
  <c r="M196" i="1" s="1"/>
  <c r="G196" i="1"/>
  <c r="F196" i="1"/>
  <c r="C196" i="1"/>
  <c r="H196" i="1" s="1"/>
  <c r="O195" i="1"/>
  <c r="N195" i="1"/>
  <c r="J195" i="1"/>
  <c r="M195" i="1" s="1"/>
  <c r="G195" i="1"/>
  <c r="F195" i="1"/>
  <c r="C195" i="1"/>
  <c r="H195" i="1" s="1"/>
  <c r="O194" i="1"/>
  <c r="N194" i="1"/>
  <c r="G194" i="1"/>
  <c r="F194" i="1"/>
  <c r="J194" i="1" s="1"/>
  <c r="M194" i="1" s="1"/>
  <c r="C194" i="1"/>
  <c r="H194" i="1" s="1"/>
  <c r="O193" i="1"/>
  <c r="N193" i="1"/>
  <c r="J193" i="1"/>
  <c r="M193" i="1" s="1"/>
  <c r="G193" i="1"/>
  <c r="F193" i="1"/>
  <c r="C193" i="1"/>
  <c r="H193" i="1" s="1"/>
  <c r="O192" i="1"/>
  <c r="N192" i="1"/>
  <c r="G192" i="1"/>
  <c r="F192" i="1"/>
  <c r="J192" i="1" s="1"/>
  <c r="M192" i="1" s="1"/>
  <c r="C192" i="1"/>
  <c r="H192" i="1" s="1"/>
  <c r="O191" i="1"/>
  <c r="N191" i="1"/>
  <c r="M191" i="1"/>
  <c r="J191" i="1"/>
  <c r="G191" i="1"/>
  <c r="F191" i="1"/>
  <c r="C191" i="1"/>
  <c r="H191" i="1" s="1"/>
  <c r="O190" i="1"/>
  <c r="N190" i="1"/>
  <c r="G190" i="1"/>
  <c r="F190" i="1"/>
  <c r="J190" i="1" s="1"/>
  <c r="M190" i="1" s="1"/>
  <c r="C190" i="1"/>
  <c r="H190" i="1" s="1"/>
  <c r="O189" i="1"/>
  <c r="N189" i="1"/>
  <c r="G189" i="1"/>
  <c r="F189" i="1"/>
  <c r="J189" i="1" s="1"/>
  <c r="M189" i="1" s="1"/>
  <c r="C189" i="1"/>
  <c r="H189" i="1" s="1"/>
  <c r="O188" i="1"/>
  <c r="N188" i="1"/>
  <c r="J188" i="1"/>
  <c r="M188" i="1" s="1"/>
  <c r="G188" i="1"/>
  <c r="F188" i="1"/>
  <c r="C188" i="1"/>
  <c r="H188" i="1" s="1"/>
  <c r="O187" i="1"/>
  <c r="N187" i="1"/>
  <c r="H187" i="1"/>
  <c r="G187" i="1"/>
  <c r="F187" i="1"/>
  <c r="J187" i="1" s="1"/>
  <c r="M187" i="1" s="1"/>
  <c r="C187" i="1"/>
  <c r="O186" i="1"/>
  <c r="N186" i="1"/>
  <c r="G186" i="1"/>
  <c r="F186" i="1"/>
  <c r="J186" i="1" s="1"/>
  <c r="M186" i="1" s="1"/>
  <c r="C186" i="1"/>
  <c r="H186" i="1" s="1"/>
  <c r="O185" i="1"/>
  <c r="N185" i="1"/>
  <c r="J185" i="1"/>
  <c r="M185" i="1" s="1"/>
  <c r="G185" i="1"/>
  <c r="F185" i="1"/>
  <c r="C185" i="1"/>
  <c r="H185" i="1" s="1"/>
  <c r="O184" i="1"/>
  <c r="N184" i="1"/>
  <c r="G184" i="1"/>
  <c r="F184" i="1"/>
  <c r="J184" i="1" s="1"/>
  <c r="M184" i="1" s="1"/>
  <c r="C184" i="1"/>
  <c r="H184" i="1" s="1"/>
  <c r="O183" i="1"/>
  <c r="N183" i="1"/>
  <c r="M183" i="1"/>
  <c r="J183" i="1"/>
  <c r="G183" i="1"/>
  <c r="F183" i="1"/>
  <c r="C183" i="1"/>
  <c r="H183" i="1" s="1"/>
  <c r="O182" i="1"/>
  <c r="N182" i="1"/>
  <c r="G182" i="1"/>
  <c r="F182" i="1"/>
  <c r="J182" i="1" s="1"/>
  <c r="M182" i="1" s="1"/>
  <c r="C182" i="1"/>
  <c r="H182" i="1" s="1"/>
  <c r="O181" i="1"/>
  <c r="N181" i="1"/>
  <c r="G181" i="1"/>
  <c r="F181" i="1"/>
  <c r="J181" i="1" s="1"/>
  <c r="M181" i="1" s="1"/>
  <c r="C181" i="1"/>
  <c r="H181" i="1" s="1"/>
  <c r="O180" i="1"/>
  <c r="N180" i="1"/>
  <c r="J180" i="1"/>
  <c r="M180" i="1" s="1"/>
  <c r="G180" i="1"/>
  <c r="F180" i="1"/>
  <c r="C180" i="1"/>
  <c r="H180" i="1" s="1"/>
  <c r="O179" i="1"/>
  <c r="N179" i="1"/>
  <c r="H179" i="1"/>
  <c r="G179" i="1"/>
  <c r="F179" i="1"/>
  <c r="J179" i="1" s="1"/>
  <c r="M179" i="1" s="1"/>
  <c r="C179" i="1"/>
  <c r="O178" i="1"/>
  <c r="N178" i="1"/>
  <c r="G178" i="1"/>
  <c r="F178" i="1"/>
  <c r="J178" i="1" s="1"/>
  <c r="M178" i="1" s="1"/>
  <c r="C178" i="1"/>
  <c r="H178" i="1" s="1"/>
  <c r="O177" i="1"/>
  <c r="N177" i="1"/>
  <c r="M177" i="1"/>
  <c r="G177" i="1"/>
  <c r="F177" i="1"/>
  <c r="J177" i="1" s="1"/>
  <c r="C177" i="1"/>
  <c r="H177" i="1" s="1"/>
  <c r="O176" i="1"/>
  <c r="N176" i="1"/>
  <c r="G176" i="1"/>
  <c r="F176" i="1"/>
  <c r="J176" i="1" s="1"/>
  <c r="M176" i="1" s="1"/>
  <c r="C176" i="1"/>
  <c r="H176" i="1" s="1"/>
  <c r="O175" i="1"/>
  <c r="N175" i="1"/>
  <c r="M175" i="1"/>
  <c r="G175" i="1"/>
  <c r="F175" i="1"/>
  <c r="J175" i="1" s="1"/>
  <c r="C175" i="1"/>
  <c r="H175" i="1" s="1"/>
  <c r="O174" i="1"/>
  <c r="N174" i="1"/>
  <c r="H174" i="1"/>
  <c r="G174" i="1"/>
  <c r="F174" i="1"/>
  <c r="J174" i="1" s="1"/>
  <c r="M174" i="1" s="1"/>
  <c r="C174" i="1"/>
  <c r="O173" i="1"/>
  <c r="N173" i="1"/>
  <c r="G173" i="1"/>
  <c r="F173" i="1"/>
  <c r="J173" i="1" s="1"/>
  <c r="M173" i="1" s="1"/>
  <c r="C173" i="1"/>
  <c r="H173" i="1" s="1"/>
  <c r="O172" i="1"/>
  <c r="N172" i="1"/>
  <c r="G172" i="1"/>
  <c r="F172" i="1"/>
  <c r="J172" i="1" s="1"/>
  <c r="M172" i="1" s="1"/>
  <c r="C172" i="1"/>
  <c r="H172" i="1" s="1"/>
  <c r="O171" i="1"/>
  <c r="N171" i="1"/>
  <c r="G171" i="1"/>
  <c r="F171" i="1"/>
  <c r="J171" i="1" s="1"/>
  <c r="M171" i="1" s="1"/>
  <c r="C171" i="1"/>
  <c r="H171" i="1" s="1"/>
  <c r="O170" i="1"/>
  <c r="N170" i="1"/>
  <c r="G170" i="1"/>
  <c r="F170" i="1"/>
  <c r="J170" i="1" s="1"/>
  <c r="M170" i="1" s="1"/>
  <c r="C170" i="1"/>
  <c r="H170" i="1" s="1"/>
  <c r="O169" i="1"/>
  <c r="N169" i="1"/>
  <c r="M169" i="1"/>
  <c r="G169" i="1"/>
  <c r="F169" i="1"/>
  <c r="J169" i="1" s="1"/>
  <c r="C169" i="1"/>
  <c r="H169" i="1" s="1"/>
  <c r="O168" i="1"/>
  <c r="N168" i="1"/>
  <c r="G168" i="1"/>
  <c r="F168" i="1"/>
  <c r="J168" i="1" s="1"/>
  <c r="M168" i="1" s="1"/>
  <c r="C168" i="1"/>
  <c r="H168" i="1" s="1"/>
  <c r="O167" i="1"/>
  <c r="N167" i="1"/>
  <c r="M167" i="1"/>
  <c r="G167" i="1"/>
  <c r="F167" i="1"/>
  <c r="J167" i="1" s="1"/>
  <c r="C167" i="1"/>
  <c r="H167" i="1" s="1"/>
  <c r="O166" i="1"/>
  <c r="N166" i="1"/>
  <c r="G166" i="1"/>
  <c r="F166" i="1"/>
  <c r="J166" i="1" s="1"/>
  <c r="M166" i="1" s="1"/>
  <c r="C166" i="1"/>
  <c r="H166" i="1" s="1"/>
  <c r="O165" i="1"/>
  <c r="N165" i="1"/>
  <c r="G165" i="1"/>
  <c r="F165" i="1"/>
  <c r="J165" i="1" s="1"/>
  <c r="M165" i="1" s="1"/>
  <c r="C165" i="1"/>
  <c r="H165" i="1" s="1"/>
  <c r="O164" i="1"/>
  <c r="N164" i="1"/>
  <c r="G164" i="1"/>
  <c r="F164" i="1"/>
  <c r="J164" i="1" s="1"/>
  <c r="M164" i="1" s="1"/>
  <c r="C164" i="1"/>
  <c r="H164" i="1" s="1"/>
  <c r="O163" i="1"/>
  <c r="N163" i="1"/>
  <c r="G163" i="1"/>
  <c r="F163" i="1"/>
  <c r="J163" i="1" s="1"/>
  <c r="M163" i="1" s="1"/>
  <c r="C163" i="1"/>
  <c r="H163" i="1" s="1"/>
  <c r="O162" i="1"/>
  <c r="N162" i="1"/>
  <c r="G162" i="1"/>
  <c r="F162" i="1"/>
  <c r="J162" i="1" s="1"/>
  <c r="M162" i="1" s="1"/>
  <c r="C162" i="1"/>
  <c r="H162" i="1" s="1"/>
  <c r="O161" i="1"/>
  <c r="N161" i="1"/>
  <c r="M161" i="1"/>
  <c r="G161" i="1"/>
  <c r="F161" i="1"/>
  <c r="J161" i="1" s="1"/>
  <c r="C161" i="1"/>
  <c r="H161" i="1" s="1"/>
  <c r="O160" i="1"/>
  <c r="N160" i="1"/>
  <c r="G160" i="1"/>
  <c r="F160" i="1"/>
  <c r="J160" i="1" s="1"/>
  <c r="M160" i="1" s="1"/>
  <c r="C160" i="1"/>
  <c r="H160" i="1" s="1"/>
  <c r="O159" i="1"/>
  <c r="N159" i="1"/>
  <c r="G159" i="1"/>
  <c r="F159" i="1"/>
  <c r="J159" i="1" s="1"/>
  <c r="M159" i="1" s="1"/>
  <c r="C159" i="1"/>
  <c r="H159" i="1" s="1"/>
  <c r="O158" i="1"/>
  <c r="N158" i="1"/>
  <c r="H158" i="1"/>
  <c r="G158" i="1"/>
  <c r="F158" i="1"/>
  <c r="J158" i="1" s="1"/>
  <c r="M158" i="1" s="1"/>
  <c r="C158" i="1"/>
  <c r="O157" i="1"/>
  <c r="N157" i="1"/>
  <c r="G157" i="1"/>
  <c r="F157" i="1"/>
  <c r="J157" i="1" s="1"/>
  <c r="M157" i="1" s="1"/>
  <c r="C157" i="1"/>
  <c r="H157" i="1" s="1"/>
  <c r="O156" i="1"/>
  <c r="N156" i="1"/>
  <c r="G156" i="1"/>
  <c r="F156" i="1"/>
  <c r="J156" i="1" s="1"/>
  <c r="M156" i="1" s="1"/>
  <c r="C156" i="1"/>
  <c r="H156" i="1" s="1"/>
  <c r="O155" i="1"/>
  <c r="N155" i="1"/>
  <c r="G155" i="1"/>
  <c r="F155" i="1"/>
  <c r="J155" i="1" s="1"/>
  <c r="M155" i="1" s="1"/>
  <c r="C155" i="1"/>
  <c r="H155" i="1" s="1"/>
  <c r="O154" i="1"/>
  <c r="N154" i="1"/>
  <c r="G154" i="1"/>
  <c r="F154" i="1"/>
  <c r="J154" i="1" s="1"/>
  <c r="M154" i="1" s="1"/>
  <c r="C154" i="1"/>
  <c r="H154" i="1" s="1"/>
  <c r="O153" i="1"/>
  <c r="N153" i="1"/>
  <c r="G153" i="1"/>
  <c r="F153" i="1"/>
  <c r="J153" i="1" s="1"/>
  <c r="M153" i="1" s="1"/>
  <c r="C153" i="1"/>
  <c r="H153" i="1" s="1"/>
  <c r="O152" i="1"/>
  <c r="N152" i="1"/>
  <c r="G152" i="1"/>
  <c r="F152" i="1"/>
  <c r="J152" i="1" s="1"/>
  <c r="M152" i="1" s="1"/>
  <c r="C152" i="1"/>
  <c r="H152" i="1" s="1"/>
  <c r="O151" i="1"/>
  <c r="N151" i="1"/>
  <c r="G151" i="1"/>
  <c r="F151" i="1"/>
  <c r="J151" i="1" s="1"/>
  <c r="M151" i="1" s="1"/>
  <c r="C151" i="1"/>
  <c r="H151" i="1" s="1"/>
  <c r="O150" i="1"/>
  <c r="N150" i="1"/>
  <c r="G150" i="1"/>
  <c r="F150" i="1"/>
  <c r="J150" i="1" s="1"/>
  <c r="M150" i="1" s="1"/>
  <c r="C150" i="1"/>
  <c r="H150" i="1" s="1"/>
  <c r="O149" i="1"/>
  <c r="N149" i="1"/>
  <c r="G149" i="1"/>
  <c r="F149" i="1"/>
  <c r="J149" i="1" s="1"/>
  <c r="M149" i="1" s="1"/>
  <c r="C149" i="1"/>
  <c r="H149" i="1" s="1"/>
  <c r="O148" i="1"/>
  <c r="N148" i="1"/>
  <c r="G148" i="1"/>
  <c r="F148" i="1"/>
  <c r="J148" i="1" s="1"/>
  <c r="M148" i="1" s="1"/>
  <c r="C148" i="1"/>
  <c r="H148" i="1" s="1"/>
  <c r="O147" i="1"/>
  <c r="N147" i="1"/>
  <c r="G147" i="1"/>
  <c r="F147" i="1"/>
  <c r="J147" i="1" s="1"/>
  <c r="M147" i="1" s="1"/>
  <c r="C147" i="1"/>
  <c r="H147" i="1" s="1"/>
  <c r="O146" i="1"/>
  <c r="N146" i="1"/>
  <c r="G146" i="1"/>
  <c r="F146" i="1"/>
  <c r="J146" i="1" s="1"/>
  <c r="M146" i="1" s="1"/>
  <c r="C146" i="1"/>
  <c r="H146" i="1" s="1"/>
  <c r="O145" i="1"/>
  <c r="N145" i="1"/>
  <c r="G145" i="1"/>
  <c r="F145" i="1"/>
  <c r="J145" i="1" s="1"/>
  <c r="M145" i="1" s="1"/>
  <c r="C145" i="1"/>
  <c r="H145" i="1" s="1"/>
  <c r="O144" i="1"/>
  <c r="N144" i="1"/>
  <c r="G144" i="1"/>
  <c r="F144" i="1"/>
  <c r="J144" i="1" s="1"/>
  <c r="M144" i="1" s="1"/>
  <c r="C144" i="1"/>
  <c r="H144" i="1" s="1"/>
  <c r="O143" i="1"/>
  <c r="N143" i="1"/>
  <c r="M143" i="1"/>
  <c r="G143" i="1"/>
  <c r="F143" i="1"/>
  <c r="J143" i="1" s="1"/>
  <c r="C143" i="1"/>
  <c r="H143" i="1" s="1"/>
  <c r="O142" i="1"/>
  <c r="N142" i="1"/>
  <c r="H142" i="1"/>
  <c r="G142" i="1"/>
  <c r="F142" i="1"/>
  <c r="J142" i="1" s="1"/>
  <c r="M142" i="1" s="1"/>
  <c r="C142" i="1"/>
  <c r="O141" i="1"/>
  <c r="N141" i="1"/>
  <c r="G141" i="1"/>
  <c r="F141" i="1"/>
  <c r="J141" i="1" s="1"/>
  <c r="M141" i="1" s="1"/>
  <c r="C141" i="1"/>
  <c r="H141" i="1" s="1"/>
  <c r="O140" i="1"/>
  <c r="N140" i="1"/>
  <c r="G140" i="1"/>
  <c r="F140" i="1"/>
  <c r="J140" i="1" s="1"/>
  <c r="M140" i="1" s="1"/>
  <c r="C140" i="1"/>
  <c r="H140" i="1" s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G135" i="1"/>
  <c r="F135" i="1"/>
  <c r="J135" i="1" s="1"/>
  <c r="M135" i="1" s="1"/>
  <c r="C135" i="1"/>
  <c r="H135" i="1" s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G133" i="1"/>
  <c r="F133" i="1"/>
  <c r="J133" i="1" s="1"/>
  <c r="M133" i="1" s="1"/>
  <c r="C133" i="1"/>
  <c r="H133" i="1" s="1"/>
  <c r="W132" i="1"/>
  <c r="O132" i="1"/>
  <c r="N132" i="1"/>
  <c r="G132" i="1"/>
  <c r="F132" i="1"/>
  <c r="J132" i="1" s="1"/>
  <c r="M132" i="1" s="1"/>
  <c r="C132" i="1"/>
  <c r="H132" i="1" s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G129" i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G125" i="1"/>
  <c r="F125" i="1"/>
  <c r="J125" i="1" s="1"/>
  <c r="M125" i="1" s="1"/>
  <c r="C125" i="1"/>
  <c r="H125" i="1" s="1"/>
  <c r="W124" i="1"/>
  <c r="O124" i="1"/>
  <c r="N124" i="1"/>
  <c r="G124" i="1"/>
  <c r="F124" i="1"/>
  <c r="J124" i="1" s="1"/>
  <c r="M124" i="1" s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G121" i="1"/>
  <c r="F121" i="1"/>
  <c r="J121" i="1" s="1"/>
  <c r="M121" i="1" s="1"/>
  <c r="C121" i="1"/>
  <c r="H121" i="1" s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G117" i="1"/>
  <c r="F117" i="1"/>
  <c r="J117" i="1" s="1"/>
  <c r="M117" i="1" s="1"/>
  <c r="C117" i="1"/>
  <c r="H117" i="1" s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G115" i="1"/>
  <c r="F115" i="1"/>
  <c r="J115" i="1" s="1"/>
  <c r="M115" i="1" s="1"/>
  <c r="C115" i="1"/>
  <c r="H115" i="1" s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G113" i="1"/>
  <c r="F113" i="1"/>
  <c r="J113" i="1" s="1"/>
  <c r="M113" i="1" s="1"/>
  <c r="C113" i="1"/>
  <c r="H113" i="1" s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G109" i="1"/>
  <c r="F109" i="1"/>
  <c r="J109" i="1" s="1"/>
  <c r="M109" i="1" s="1"/>
  <c r="C109" i="1"/>
  <c r="H109" i="1" s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G107" i="1"/>
  <c r="F107" i="1"/>
  <c r="J107" i="1" s="1"/>
  <c r="M107" i="1" s="1"/>
  <c r="C107" i="1"/>
  <c r="H107" i="1" s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G105" i="1"/>
  <c r="F105" i="1"/>
  <c r="J105" i="1" s="1"/>
  <c r="M105" i="1" s="1"/>
  <c r="C105" i="1"/>
  <c r="H105" i="1" s="1"/>
  <c r="W104" i="1"/>
  <c r="O104" i="1"/>
  <c r="N104" i="1"/>
  <c r="G104" i="1"/>
  <c r="F104" i="1"/>
  <c r="J104" i="1" s="1"/>
  <c r="M104" i="1" s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G100" i="1"/>
  <c r="F100" i="1"/>
  <c r="J100" i="1" s="1"/>
  <c r="M100" i="1" s="1"/>
  <c r="C100" i="1"/>
  <c r="H100" i="1" s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J96" i="1"/>
  <c r="M96" i="1" s="1"/>
  <c r="G96" i="1"/>
  <c r="F96" i="1"/>
  <c r="C96" i="1"/>
  <c r="H96" i="1" s="1"/>
  <c r="W95" i="1"/>
  <c r="O95" i="1"/>
  <c r="N95" i="1"/>
  <c r="M95" i="1"/>
  <c r="G95" i="1"/>
  <c r="F95" i="1"/>
  <c r="J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G92" i="1"/>
  <c r="F92" i="1"/>
  <c r="J92" i="1" s="1"/>
  <c r="M92" i="1" s="1"/>
  <c r="C92" i="1"/>
  <c r="H92" i="1" s="1"/>
  <c r="W91" i="1"/>
  <c r="O91" i="1"/>
  <c r="N91" i="1"/>
  <c r="G91" i="1"/>
  <c r="F91" i="1"/>
  <c r="J91" i="1" s="1"/>
  <c r="M91" i="1" s="1"/>
  <c r="C91" i="1"/>
  <c r="H91" i="1" s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G88" i="1"/>
  <c r="F88" i="1"/>
  <c r="J88" i="1" s="1"/>
  <c r="M88" i="1" s="1"/>
  <c r="C88" i="1"/>
  <c r="H88" i="1" s="1"/>
  <c r="W87" i="1"/>
  <c r="O87" i="1"/>
  <c r="N87" i="1"/>
  <c r="G87" i="1"/>
  <c r="F87" i="1"/>
  <c r="J87" i="1" s="1"/>
  <c r="M87" i="1" s="1"/>
  <c r="C87" i="1"/>
  <c r="H87" i="1" s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G83" i="1"/>
  <c r="F83" i="1"/>
  <c r="J83" i="1" s="1"/>
  <c r="M83" i="1" s="1"/>
  <c r="C83" i="1"/>
  <c r="H83" i="1" s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G81" i="1"/>
  <c r="F81" i="1"/>
  <c r="J81" i="1" s="1"/>
  <c r="M81" i="1" s="1"/>
  <c r="C81" i="1"/>
  <c r="H81" i="1" s="1"/>
  <c r="W80" i="1"/>
  <c r="O80" i="1"/>
  <c r="N80" i="1"/>
  <c r="J80" i="1"/>
  <c r="M80" i="1" s="1"/>
  <c r="G80" i="1"/>
  <c r="F80" i="1"/>
  <c r="C80" i="1"/>
  <c r="H80" i="1" s="1"/>
  <c r="W79" i="1"/>
  <c r="O79" i="1"/>
  <c r="N79" i="1"/>
  <c r="M79" i="1"/>
  <c r="G79" i="1"/>
  <c r="F79" i="1"/>
  <c r="J79" i="1" s="1"/>
  <c r="C79" i="1"/>
  <c r="H79" i="1" s="1"/>
  <c r="W78" i="1"/>
  <c r="O78" i="1"/>
  <c r="N78" i="1"/>
  <c r="G78" i="1"/>
  <c r="F78" i="1"/>
  <c r="J78" i="1" s="1"/>
  <c r="M78" i="1" s="1"/>
  <c r="C78" i="1"/>
  <c r="H78" i="1" s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G76" i="1"/>
  <c r="F76" i="1"/>
  <c r="J76" i="1" s="1"/>
  <c r="M76" i="1" s="1"/>
  <c r="C76" i="1"/>
  <c r="H76" i="1" s="1"/>
  <c r="W75" i="1"/>
  <c r="O75" i="1"/>
  <c r="N75" i="1"/>
  <c r="G75" i="1"/>
  <c r="F75" i="1"/>
  <c r="J75" i="1" s="1"/>
  <c r="M75" i="1" s="1"/>
  <c r="C75" i="1"/>
  <c r="H75" i="1" s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G72" i="1"/>
  <c r="F72" i="1"/>
  <c r="J72" i="1" s="1"/>
  <c r="M72" i="1" s="1"/>
  <c r="C72" i="1"/>
  <c r="H72" i="1" s="1"/>
  <c r="W71" i="1"/>
  <c r="O71" i="1"/>
  <c r="N71" i="1"/>
  <c r="G71" i="1"/>
  <c r="F71" i="1"/>
  <c r="J71" i="1" s="1"/>
  <c r="M71" i="1" s="1"/>
  <c r="C71" i="1"/>
  <c r="H71" i="1" s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G68" i="1"/>
  <c r="F68" i="1"/>
  <c r="J68" i="1" s="1"/>
  <c r="M68" i="1" s="1"/>
  <c r="C68" i="1"/>
  <c r="H68" i="1" s="1"/>
  <c r="W67" i="1"/>
  <c r="O67" i="1"/>
  <c r="N67" i="1"/>
  <c r="G67" i="1"/>
  <c r="F67" i="1"/>
  <c r="J67" i="1" s="1"/>
  <c r="M67" i="1" s="1"/>
  <c r="C67" i="1"/>
  <c r="H67" i="1" s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G65" i="1"/>
  <c r="F65" i="1"/>
  <c r="J65" i="1" s="1"/>
  <c r="M65" i="1" s="1"/>
  <c r="C65" i="1"/>
  <c r="H65" i="1" s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G63" i="1"/>
  <c r="F63" i="1"/>
  <c r="J63" i="1" s="1"/>
  <c r="M63" i="1" s="1"/>
  <c r="C63" i="1"/>
  <c r="H63" i="1" s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G60" i="1"/>
  <c r="F60" i="1"/>
  <c r="J60" i="1" s="1"/>
  <c r="M60" i="1" s="1"/>
  <c r="C60" i="1"/>
  <c r="H60" i="1" s="1"/>
  <c r="W59" i="1"/>
  <c r="O59" i="1"/>
  <c r="N59" i="1"/>
  <c r="G59" i="1"/>
  <c r="F59" i="1"/>
  <c r="J59" i="1" s="1"/>
  <c r="M59" i="1" s="1"/>
  <c r="C59" i="1"/>
  <c r="H59" i="1" s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G56" i="1"/>
  <c r="F56" i="1"/>
  <c r="J56" i="1" s="1"/>
  <c r="M56" i="1" s="1"/>
  <c r="C56" i="1"/>
  <c r="H56" i="1" s="1"/>
  <c r="W55" i="1"/>
  <c r="O55" i="1"/>
  <c r="N55" i="1"/>
  <c r="G55" i="1"/>
  <c r="F55" i="1"/>
  <c r="J55" i="1" s="1"/>
  <c r="M55" i="1" s="1"/>
  <c r="C55" i="1"/>
  <c r="H55" i="1" s="1"/>
  <c r="W54" i="1"/>
  <c r="O54" i="1"/>
  <c r="N54" i="1"/>
  <c r="G54" i="1"/>
  <c r="F54" i="1"/>
  <c r="J54" i="1" s="1"/>
  <c r="M54" i="1" s="1"/>
  <c r="C54" i="1"/>
  <c r="H54" i="1" s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G52" i="1"/>
  <c r="F52" i="1"/>
  <c r="J52" i="1" s="1"/>
  <c r="M52" i="1" s="1"/>
  <c r="C52" i="1"/>
  <c r="H52" i="1" s="1"/>
  <c r="W51" i="1"/>
  <c r="O51" i="1"/>
  <c r="N51" i="1"/>
  <c r="G51" i="1"/>
  <c r="F51" i="1"/>
  <c r="J51" i="1" s="1"/>
  <c r="M51" i="1" s="1"/>
  <c r="C51" i="1"/>
  <c r="H51" i="1" s="1"/>
  <c r="W50" i="1"/>
  <c r="O50" i="1"/>
  <c r="N50" i="1"/>
  <c r="G50" i="1"/>
  <c r="F50" i="1"/>
  <c r="J50" i="1" s="1"/>
  <c r="M50" i="1" s="1"/>
  <c r="C50" i="1"/>
  <c r="H50" i="1" s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G47" i="1"/>
  <c r="F47" i="1"/>
  <c r="J47" i="1" s="1"/>
  <c r="M47" i="1" s="1"/>
  <c r="C47" i="1"/>
  <c r="H47" i="1" s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G43" i="1"/>
  <c r="F43" i="1"/>
  <c r="J43" i="1" s="1"/>
  <c r="M43" i="1" s="1"/>
  <c r="C43" i="1"/>
  <c r="H43" i="1" s="1"/>
  <c r="W42" i="1"/>
  <c r="O42" i="1"/>
  <c r="N42" i="1"/>
  <c r="G42" i="1"/>
  <c r="F42" i="1"/>
  <c r="J42" i="1" s="1"/>
  <c r="M42" i="1" s="1"/>
  <c r="C42" i="1"/>
  <c r="H42" i="1" s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G40" i="1"/>
  <c r="F40" i="1"/>
  <c r="J40" i="1" s="1"/>
  <c r="M40" i="1" s="1"/>
  <c r="C40" i="1"/>
  <c r="H40" i="1" s="1"/>
  <c r="W39" i="1"/>
  <c r="O39" i="1"/>
  <c r="N39" i="1"/>
  <c r="G39" i="1"/>
  <c r="F39" i="1"/>
  <c r="J39" i="1" s="1"/>
  <c r="M39" i="1" s="1"/>
  <c r="C39" i="1"/>
  <c r="H39" i="1" s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G36" i="1"/>
  <c r="F36" i="1"/>
  <c r="J36" i="1" s="1"/>
  <c r="M36" i="1" s="1"/>
  <c r="C36" i="1"/>
  <c r="H36" i="1" s="1"/>
  <c r="W35" i="1"/>
  <c r="O35" i="1"/>
  <c r="N35" i="1"/>
  <c r="G35" i="1"/>
  <c r="F35" i="1"/>
  <c r="J35" i="1" s="1"/>
  <c r="M35" i="1" s="1"/>
  <c r="C35" i="1"/>
  <c r="H35" i="1" s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G32" i="1"/>
  <c r="F32" i="1"/>
  <c r="J32" i="1" s="1"/>
  <c r="M32" i="1" s="1"/>
  <c r="C32" i="1"/>
  <c r="H32" i="1" s="1"/>
  <c r="Z31" i="1"/>
  <c r="W31" i="1"/>
  <c r="O31" i="1"/>
  <c r="N31" i="1"/>
  <c r="G31" i="1"/>
  <c r="F31" i="1"/>
  <c r="J31" i="1" s="1"/>
  <c r="M31" i="1" s="1"/>
  <c r="C31" i="1"/>
  <c r="H31" i="1" s="1"/>
  <c r="Z30" i="1"/>
  <c r="W30" i="1"/>
  <c r="O30" i="1"/>
  <c r="N30" i="1"/>
  <c r="G30" i="1"/>
  <c r="F30" i="1"/>
  <c r="J30" i="1" s="1"/>
  <c r="M30" i="1" s="1"/>
  <c r="C30" i="1"/>
  <c r="H30" i="1" s="1"/>
  <c r="Z29" i="1"/>
  <c r="W29" i="1"/>
  <c r="O29" i="1"/>
  <c r="N29" i="1"/>
  <c r="H29" i="1"/>
  <c r="G29" i="1"/>
  <c r="F29" i="1"/>
  <c r="J29" i="1" s="1"/>
  <c r="M29" i="1" s="1"/>
  <c r="C29" i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G27" i="1"/>
  <c r="F27" i="1"/>
  <c r="J27" i="1" s="1"/>
  <c r="M27" i="1" s="1"/>
  <c r="C27" i="1"/>
  <c r="H27" i="1" s="1"/>
  <c r="Z26" i="1"/>
  <c r="W26" i="1"/>
  <c r="O26" i="1"/>
  <c r="N26" i="1"/>
  <c r="G26" i="1"/>
  <c r="F26" i="1"/>
  <c r="J26" i="1" s="1"/>
  <c r="M26" i="1" s="1"/>
  <c r="C26" i="1"/>
  <c r="H26" i="1" s="1"/>
  <c r="Z25" i="1"/>
  <c r="W25" i="1"/>
  <c r="O25" i="1"/>
  <c r="N25" i="1"/>
  <c r="G25" i="1"/>
  <c r="F25" i="1"/>
  <c r="J25" i="1" s="1"/>
  <c r="M25" i="1" s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G23" i="1"/>
  <c r="F23" i="1"/>
  <c r="J23" i="1" s="1"/>
  <c r="M23" i="1" s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H21" i="1"/>
  <c r="G21" i="1"/>
  <c r="F21" i="1"/>
  <c r="J21" i="1" s="1"/>
  <c r="M21" i="1" s="1"/>
  <c r="C21" i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J18" i="1"/>
  <c r="M18" i="1" s="1"/>
  <c r="G18" i="1"/>
  <c r="F18" i="1"/>
  <c r="C18" i="1"/>
  <c r="H18" i="1" s="1"/>
  <c r="Z17" i="1"/>
  <c r="W17" i="1"/>
  <c r="O17" i="1"/>
  <c r="N17" i="1"/>
  <c r="J17" i="1"/>
  <c r="M17" i="1" s="1"/>
  <c r="G17" i="1"/>
  <c r="F17" i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F15" i="1"/>
  <c r="J15" i="1" s="1"/>
  <c r="M15" i="1" s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H13" i="1"/>
  <c r="G13" i="1"/>
  <c r="F13" i="1"/>
  <c r="J13" i="1" s="1"/>
  <c r="M13" i="1" s="1"/>
  <c r="C13" i="1"/>
  <c r="AC12" i="1"/>
  <c r="Z12" i="1"/>
  <c r="W12" i="1"/>
  <c r="O12" i="1"/>
  <c r="N12" i="1"/>
  <c r="G12" i="1"/>
  <c r="F12" i="1"/>
  <c r="J12" i="1" s="1"/>
  <c r="M12" i="1" s="1"/>
  <c r="C12" i="1"/>
  <c r="H12" i="1" s="1"/>
  <c r="AC11" i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F9" i="1"/>
  <c r="J9" i="1" s="1"/>
  <c r="M9" i="1" s="1"/>
  <c r="C9" i="1"/>
  <c r="H9" i="1" s="1"/>
  <c r="Z8" i="1"/>
  <c r="W8" i="1"/>
  <c r="O8" i="1"/>
  <c r="N8" i="1"/>
  <c r="G8" i="1"/>
  <c r="K8" i="1" s="1"/>
  <c r="F8" i="1"/>
  <c r="J8" i="1" s="1"/>
  <c r="M8" i="1" s="1"/>
  <c r="C8" i="1"/>
  <c r="H8" i="1" s="1"/>
  <c r="AC7" i="1"/>
  <c r="Z7" i="1"/>
  <c r="W7" i="1"/>
  <c r="O7" i="1"/>
  <c r="N7" i="1"/>
  <c r="M7" i="1"/>
  <c r="G7" i="1"/>
  <c r="F7" i="1"/>
  <c r="J7" i="1" s="1"/>
  <c r="C7" i="1"/>
  <c r="H7" i="1" s="1"/>
  <c r="Z6" i="1"/>
  <c r="W6" i="1"/>
  <c r="O6" i="1"/>
  <c r="N6" i="1"/>
  <c r="G6" i="1"/>
  <c r="F6" i="1"/>
  <c r="J6" i="1" s="1"/>
  <c r="M6" i="1" s="1"/>
  <c r="C6" i="1"/>
  <c r="H6" i="1" s="1"/>
  <c r="Z5" i="1"/>
  <c r="W5" i="1"/>
  <c r="O5" i="1"/>
  <c r="N5" i="1"/>
  <c r="G5" i="1"/>
  <c r="F5" i="1"/>
  <c r="J5" i="1" s="1"/>
  <c r="M5" i="1" s="1"/>
  <c r="C5" i="1"/>
  <c r="H5" i="1" s="1"/>
  <c r="Z4" i="1"/>
  <c r="W4" i="1"/>
  <c r="O4" i="1"/>
  <c r="N4" i="1"/>
  <c r="G4" i="1"/>
  <c r="F4" i="1"/>
  <c r="J4" i="1" s="1"/>
  <c r="M4" i="1" s="1"/>
  <c r="C4" i="1"/>
  <c r="H4" i="1" s="1"/>
  <c r="S2" i="1"/>
  <c r="N2" i="1" s="1"/>
  <c r="P8" i="1" l="1"/>
  <c r="K141" i="1"/>
  <c r="P141" i="1" s="1"/>
  <c r="K149" i="1"/>
  <c r="P149" i="1" s="1"/>
  <c r="K157" i="1"/>
  <c r="P157" i="1" s="1"/>
  <c r="K165" i="1"/>
  <c r="P165" i="1" s="1"/>
  <c r="K173" i="1"/>
  <c r="P173" i="1" s="1"/>
  <c r="I1" i="2"/>
  <c r="K238" i="1"/>
  <c r="P238" i="1" s="1"/>
  <c r="K236" i="1"/>
  <c r="P236" i="1" s="1"/>
  <c r="K234" i="1"/>
  <c r="P234" i="1" s="1"/>
  <c r="K232" i="1"/>
  <c r="P232" i="1" s="1"/>
  <c r="K230" i="1"/>
  <c r="P230" i="1" s="1"/>
  <c r="K228" i="1"/>
  <c r="P228" i="1" s="1"/>
  <c r="K226" i="1"/>
  <c r="P226" i="1" s="1"/>
  <c r="K303" i="1"/>
  <c r="P303" i="1" s="1"/>
  <c r="K287" i="1"/>
  <c r="P287" i="1" s="1"/>
  <c r="K271" i="1"/>
  <c r="P271" i="1" s="1"/>
  <c r="K289" i="1"/>
  <c r="P289" i="1" s="1"/>
  <c r="K273" i="1"/>
  <c r="P273" i="1" s="1"/>
  <c r="K257" i="1"/>
  <c r="P257" i="1" s="1"/>
  <c r="K251" i="1"/>
  <c r="P251" i="1" s="1"/>
  <c r="K224" i="1"/>
  <c r="P224" i="1" s="1"/>
  <c r="K220" i="1"/>
  <c r="P220" i="1" s="1"/>
  <c r="K216" i="1"/>
  <c r="P216" i="1" s="1"/>
  <c r="K212" i="1"/>
  <c r="P212" i="1" s="1"/>
  <c r="K208" i="1"/>
  <c r="P208" i="1" s="1"/>
  <c r="K204" i="1"/>
  <c r="P204" i="1" s="1"/>
  <c r="K200" i="1"/>
  <c r="P200" i="1" s="1"/>
  <c r="K177" i="1"/>
  <c r="P177" i="1" s="1"/>
  <c r="K169" i="1"/>
  <c r="P169" i="1" s="1"/>
  <c r="K161" i="1"/>
  <c r="P161" i="1" s="1"/>
  <c r="K153" i="1"/>
  <c r="P153" i="1" s="1"/>
  <c r="K145" i="1"/>
  <c r="P145" i="1" s="1"/>
  <c r="K134" i="1"/>
  <c r="P134" i="1" s="1"/>
  <c r="K133" i="1"/>
  <c r="P133" i="1" s="1"/>
  <c r="K126" i="1"/>
  <c r="P126" i="1" s="1"/>
  <c r="K125" i="1"/>
  <c r="P125" i="1" s="1"/>
  <c r="K118" i="1"/>
  <c r="P118" i="1" s="1"/>
  <c r="K117" i="1"/>
  <c r="P117" i="1" s="1"/>
  <c r="K110" i="1"/>
  <c r="P110" i="1" s="1"/>
  <c r="K109" i="1"/>
  <c r="P109" i="1" s="1"/>
  <c r="K102" i="1"/>
  <c r="P102" i="1" s="1"/>
  <c r="K101" i="1"/>
  <c r="P101" i="1" s="1"/>
  <c r="K94" i="1"/>
  <c r="P94" i="1" s="1"/>
  <c r="K93" i="1"/>
  <c r="P93" i="1" s="1"/>
  <c r="K86" i="1"/>
  <c r="P86" i="1" s="1"/>
  <c r="K85" i="1"/>
  <c r="P85" i="1" s="1"/>
  <c r="K78" i="1"/>
  <c r="P78" i="1" s="1"/>
  <c r="K77" i="1"/>
  <c r="P77" i="1" s="1"/>
  <c r="K70" i="1"/>
  <c r="P70" i="1" s="1"/>
  <c r="K69" i="1"/>
  <c r="P69" i="1" s="1"/>
  <c r="K62" i="1"/>
  <c r="P62" i="1" s="1"/>
  <c r="K61" i="1"/>
  <c r="P61" i="1" s="1"/>
  <c r="K54" i="1"/>
  <c r="P54" i="1" s="1"/>
  <c r="K53" i="1"/>
  <c r="P53" i="1" s="1"/>
  <c r="K46" i="1"/>
  <c r="P46" i="1" s="1"/>
  <c r="K45" i="1"/>
  <c r="P45" i="1" s="1"/>
  <c r="K38" i="1"/>
  <c r="P38" i="1" s="1"/>
  <c r="K37" i="1"/>
  <c r="P37" i="1" s="1"/>
  <c r="K12" i="1"/>
  <c r="P12" i="1" s="1"/>
  <c r="K11" i="1"/>
  <c r="P11" i="1" s="1"/>
  <c r="K9" i="1"/>
  <c r="P9" i="1" s="1"/>
  <c r="K129" i="1"/>
  <c r="P129" i="1" s="1"/>
  <c r="K105" i="1"/>
  <c r="P105" i="1" s="1"/>
  <c r="K89" i="1"/>
  <c r="P89" i="1" s="1"/>
  <c r="K81" i="1"/>
  <c r="P81" i="1" s="1"/>
  <c r="K65" i="1"/>
  <c r="P65" i="1" s="1"/>
  <c r="K57" i="1"/>
  <c r="P57" i="1" s="1"/>
  <c r="K49" i="1"/>
  <c r="P49" i="1" s="1"/>
  <c r="K243" i="1"/>
  <c r="P243" i="1" s="1"/>
  <c r="K178" i="1"/>
  <c r="P178" i="1" s="1"/>
  <c r="K297" i="1"/>
  <c r="P297" i="1" s="1"/>
  <c r="K281" i="1"/>
  <c r="P281" i="1" s="1"/>
  <c r="K265" i="1"/>
  <c r="P265" i="1" s="1"/>
  <c r="K237" i="1"/>
  <c r="P237" i="1" s="1"/>
  <c r="K235" i="1"/>
  <c r="P235" i="1" s="1"/>
  <c r="K233" i="1"/>
  <c r="P233" i="1" s="1"/>
  <c r="K231" i="1"/>
  <c r="P231" i="1" s="1"/>
  <c r="K229" i="1"/>
  <c r="P229" i="1" s="1"/>
  <c r="K227" i="1"/>
  <c r="P227" i="1" s="1"/>
  <c r="K194" i="1"/>
  <c r="P194" i="1" s="1"/>
  <c r="K192" i="1"/>
  <c r="P192" i="1" s="1"/>
  <c r="K222" i="1"/>
  <c r="P222" i="1" s="1"/>
  <c r="K218" i="1"/>
  <c r="P218" i="1" s="1"/>
  <c r="K214" i="1"/>
  <c r="P214" i="1" s="1"/>
  <c r="K210" i="1"/>
  <c r="P210" i="1" s="1"/>
  <c r="K206" i="1"/>
  <c r="P206" i="1" s="1"/>
  <c r="K202" i="1"/>
  <c r="P202" i="1" s="1"/>
  <c r="K186" i="1"/>
  <c r="P186" i="1" s="1"/>
  <c r="K184" i="1"/>
  <c r="P184" i="1" s="1"/>
  <c r="K137" i="1"/>
  <c r="P137" i="1" s="1"/>
  <c r="K121" i="1"/>
  <c r="P121" i="1" s="1"/>
  <c r="K113" i="1"/>
  <c r="P113" i="1" s="1"/>
  <c r="K97" i="1"/>
  <c r="P97" i="1" s="1"/>
  <c r="K73" i="1"/>
  <c r="P73" i="1" s="1"/>
  <c r="K41" i="1"/>
  <c r="P41" i="1" s="1"/>
  <c r="K33" i="1"/>
  <c r="P33" i="1" s="1"/>
  <c r="K249" i="1"/>
  <c r="P249" i="1" s="1"/>
  <c r="K241" i="1"/>
  <c r="P241" i="1" s="1"/>
  <c r="K175" i="1"/>
  <c r="P175" i="1" s="1"/>
  <c r="K167" i="1"/>
  <c r="P167" i="1" s="1"/>
  <c r="K159" i="1"/>
  <c r="P159" i="1" s="1"/>
  <c r="K151" i="1"/>
  <c r="P151" i="1" s="1"/>
  <c r="K143" i="1"/>
  <c r="P143" i="1" s="1"/>
  <c r="K10" i="1"/>
  <c r="P10" i="1" s="1"/>
  <c r="K34" i="1"/>
  <c r="P34" i="1" s="1"/>
  <c r="K42" i="1"/>
  <c r="P42" i="1" s="1"/>
  <c r="K50" i="1"/>
  <c r="P50" i="1" s="1"/>
  <c r="K58" i="1"/>
  <c r="P58" i="1" s="1"/>
  <c r="K66" i="1"/>
  <c r="P66" i="1" s="1"/>
  <c r="K74" i="1"/>
  <c r="P74" i="1" s="1"/>
  <c r="K82" i="1"/>
  <c r="P82" i="1" s="1"/>
  <c r="K90" i="1"/>
  <c r="P90" i="1" s="1"/>
  <c r="K98" i="1"/>
  <c r="P98" i="1" s="1"/>
  <c r="K106" i="1"/>
  <c r="P106" i="1" s="1"/>
  <c r="K114" i="1"/>
  <c r="P114" i="1" s="1"/>
  <c r="K122" i="1"/>
  <c r="P122" i="1" s="1"/>
  <c r="K130" i="1"/>
  <c r="P130" i="1" s="1"/>
  <c r="K138" i="1"/>
  <c r="P138" i="1" s="1"/>
  <c r="K147" i="1"/>
  <c r="P147" i="1" s="1"/>
  <c r="K155" i="1"/>
  <c r="P155" i="1" s="1"/>
  <c r="K163" i="1"/>
  <c r="P163" i="1" s="1"/>
  <c r="K171" i="1"/>
  <c r="P171" i="1" s="1"/>
  <c r="K17" i="1"/>
  <c r="P17" i="1" s="1"/>
  <c r="K21" i="1"/>
  <c r="P21" i="1" s="1"/>
  <c r="K142" i="1"/>
  <c r="P142" i="1" s="1"/>
  <c r="K150" i="1"/>
  <c r="P150" i="1" s="1"/>
  <c r="K158" i="1"/>
  <c r="P158" i="1" s="1"/>
  <c r="K166" i="1"/>
  <c r="P166" i="1" s="1"/>
  <c r="K174" i="1"/>
  <c r="P174" i="1" s="1"/>
  <c r="K181" i="1"/>
  <c r="P181" i="1" s="1"/>
  <c r="K190" i="1"/>
  <c r="P190" i="1" s="1"/>
  <c r="K245" i="1"/>
  <c r="P245" i="1" s="1"/>
  <c r="K255" i="1"/>
  <c r="P255" i="1" s="1"/>
  <c r="K261" i="1"/>
  <c r="P261" i="1" s="1"/>
  <c r="K275" i="1"/>
  <c r="P275" i="1" s="1"/>
  <c r="K279" i="1"/>
  <c r="P279" i="1" s="1"/>
  <c r="K291" i="1"/>
  <c r="P291" i="1" s="1"/>
  <c r="K295" i="1"/>
  <c r="P295" i="1" s="1"/>
  <c r="L11" i="2"/>
  <c r="L92" i="2"/>
  <c r="K26" i="1"/>
  <c r="P26" i="1" s="1"/>
  <c r="K30" i="1"/>
  <c r="P30" i="1" s="1"/>
  <c r="K44" i="1"/>
  <c r="P44" i="1" s="1"/>
  <c r="K51" i="1"/>
  <c r="P51" i="1" s="1"/>
  <c r="K52" i="1"/>
  <c r="P52" i="1" s="1"/>
  <c r="K59" i="1"/>
  <c r="P59" i="1" s="1"/>
  <c r="K60" i="1"/>
  <c r="P60" i="1" s="1"/>
  <c r="K67" i="1"/>
  <c r="P67" i="1" s="1"/>
  <c r="K75" i="1"/>
  <c r="P75" i="1" s="1"/>
  <c r="K83" i="1"/>
  <c r="P83" i="1" s="1"/>
  <c r="K91" i="1"/>
  <c r="P91" i="1" s="1"/>
  <c r="K100" i="1"/>
  <c r="P100" i="1" s="1"/>
  <c r="K107" i="1"/>
  <c r="P107" i="1" s="1"/>
  <c r="K115" i="1"/>
  <c r="P115" i="1" s="1"/>
  <c r="K123" i="1"/>
  <c r="P123" i="1" s="1"/>
  <c r="K131" i="1"/>
  <c r="P131" i="1" s="1"/>
  <c r="K148" i="1"/>
  <c r="P148" i="1" s="1"/>
  <c r="K189" i="1"/>
  <c r="P189" i="1" s="1"/>
  <c r="K198" i="1"/>
  <c r="P198" i="1" s="1"/>
  <c r="L24" i="2"/>
  <c r="L36" i="2"/>
  <c r="L71" i="2"/>
  <c r="L80" i="2"/>
  <c r="L222" i="2"/>
  <c r="L223" i="2"/>
  <c r="K7" i="1"/>
  <c r="P7" i="1" s="1"/>
  <c r="K15" i="1"/>
  <c r="P15" i="1" s="1"/>
  <c r="K19" i="1"/>
  <c r="P19" i="1" s="1"/>
  <c r="K23" i="1"/>
  <c r="P23" i="1" s="1"/>
  <c r="K27" i="1"/>
  <c r="P27" i="1" s="1"/>
  <c r="K31" i="1"/>
  <c r="P31" i="1" s="1"/>
  <c r="K146" i="1"/>
  <c r="P146" i="1" s="1"/>
  <c r="K154" i="1"/>
  <c r="P154" i="1" s="1"/>
  <c r="K162" i="1"/>
  <c r="P162" i="1" s="1"/>
  <c r="K170" i="1"/>
  <c r="P170" i="1" s="1"/>
  <c r="K179" i="1"/>
  <c r="P179" i="1" s="1"/>
  <c r="K180" i="1"/>
  <c r="P180" i="1" s="1"/>
  <c r="K197" i="1"/>
  <c r="P197" i="1" s="1"/>
  <c r="K264" i="1"/>
  <c r="P264" i="1" s="1"/>
  <c r="K280" i="1"/>
  <c r="P280" i="1" s="1"/>
  <c r="K296" i="1"/>
  <c r="P296" i="1" s="1"/>
  <c r="L8" i="2"/>
  <c r="L20" i="2"/>
  <c r="L29" i="2"/>
  <c r="L32" i="2"/>
  <c r="L42" i="2"/>
  <c r="K5" i="1"/>
  <c r="P5" i="1" s="1"/>
  <c r="K13" i="1"/>
  <c r="P13" i="1" s="1"/>
  <c r="K25" i="1"/>
  <c r="P25" i="1" s="1"/>
  <c r="K29" i="1"/>
  <c r="P29" i="1" s="1"/>
  <c r="K195" i="1"/>
  <c r="P195" i="1" s="1"/>
  <c r="K196" i="1"/>
  <c r="P196" i="1" s="1"/>
  <c r="K254" i="1"/>
  <c r="P254" i="1" s="1"/>
  <c r="K259" i="1"/>
  <c r="P259" i="1" s="1"/>
  <c r="K263" i="1"/>
  <c r="P263" i="1" s="1"/>
  <c r="K277" i="1"/>
  <c r="P277" i="1" s="1"/>
  <c r="K293" i="1"/>
  <c r="P293" i="1" s="1"/>
  <c r="L10" i="2"/>
  <c r="L40" i="2"/>
  <c r="K6" i="1"/>
  <c r="P6" i="1" s="1"/>
  <c r="K14" i="1"/>
  <c r="P14" i="1" s="1"/>
  <c r="K18" i="1"/>
  <c r="P18" i="1" s="1"/>
  <c r="K22" i="1"/>
  <c r="P22" i="1" s="1"/>
  <c r="K35" i="1"/>
  <c r="P35" i="1" s="1"/>
  <c r="K36" i="1"/>
  <c r="P36" i="1" s="1"/>
  <c r="K43" i="1"/>
  <c r="P43" i="1" s="1"/>
  <c r="K68" i="1"/>
  <c r="P68" i="1" s="1"/>
  <c r="K76" i="1"/>
  <c r="P76" i="1" s="1"/>
  <c r="K84" i="1"/>
  <c r="P84" i="1" s="1"/>
  <c r="K92" i="1"/>
  <c r="P92" i="1" s="1"/>
  <c r="K99" i="1"/>
  <c r="P99" i="1" s="1"/>
  <c r="K108" i="1"/>
  <c r="P108" i="1" s="1"/>
  <c r="K116" i="1"/>
  <c r="P116" i="1" s="1"/>
  <c r="K124" i="1"/>
  <c r="P124" i="1" s="1"/>
  <c r="K132" i="1"/>
  <c r="P132" i="1" s="1"/>
  <c r="K139" i="1"/>
  <c r="P139" i="1" s="1"/>
  <c r="K140" i="1"/>
  <c r="P140" i="1" s="1"/>
  <c r="K156" i="1"/>
  <c r="P156" i="1" s="1"/>
  <c r="K164" i="1"/>
  <c r="P164" i="1" s="1"/>
  <c r="K172" i="1"/>
  <c r="P172" i="1" s="1"/>
  <c r="K4" i="1"/>
  <c r="P4" i="1" s="1"/>
  <c r="K16" i="1"/>
  <c r="P16" i="1" s="1"/>
  <c r="K20" i="1"/>
  <c r="P20" i="1" s="1"/>
  <c r="K24" i="1"/>
  <c r="P24" i="1" s="1"/>
  <c r="K28" i="1"/>
  <c r="P28" i="1" s="1"/>
  <c r="K32" i="1"/>
  <c r="P32" i="1" s="1"/>
  <c r="K39" i="1"/>
  <c r="P39" i="1" s="1"/>
  <c r="K40" i="1"/>
  <c r="P40" i="1" s="1"/>
  <c r="K47" i="1"/>
  <c r="P47" i="1" s="1"/>
  <c r="K48" i="1"/>
  <c r="P48" i="1" s="1"/>
  <c r="K55" i="1"/>
  <c r="P55" i="1" s="1"/>
  <c r="K56" i="1"/>
  <c r="P56" i="1" s="1"/>
  <c r="K63" i="1"/>
  <c r="P63" i="1" s="1"/>
  <c r="K64" i="1"/>
  <c r="P64" i="1" s="1"/>
  <c r="K71" i="1"/>
  <c r="P71" i="1" s="1"/>
  <c r="K72" i="1"/>
  <c r="P72" i="1" s="1"/>
  <c r="K79" i="1"/>
  <c r="P79" i="1" s="1"/>
  <c r="K80" i="1"/>
  <c r="P80" i="1" s="1"/>
  <c r="K87" i="1"/>
  <c r="P87" i="1" s="1"/>
  <c r="K88" i="1"/>
  <c r="P88" i="1" s="1"/>
  <c r="K95" i="1"/>
  <c r="P95" i="1" s="1"/>
  <c r="K96" i="1"/>
  <c r="P96" i="1" s="1"/>
  <c r="K103" i="1"/>
  <c r="P103" i="1" s="1"/>
  <c r="K104" i="1"/>
  <c r="P104" i="1" s="1"/>
  <c r="K111" i="1"/>
  <c r="P111" i="1" s="1"/>
  <c r="K112" i="1"/>
  <c r="P112" i="1" s="1"/>
  <c r="K119" i="1"/>
  <c r="P119" i="1" s="1"/>
  <c r="K120" i="1"/>
  <c r="P120" i="1" s="1"/>
  <c r="K127" i="1"/>
  <c r="P127" i="1" s="1"/>
  <c r="K128" i="1"/>
  <c r="P128" i="1" s="1"/>
  <c r="K135" i="1"/>
  <c r="P135" i="1" s="1"/>
  <c r="K136" i="1"/>
  <c r="P136" i="1" s="1"/>
  <c r="K144" i="1"/>
  <c r="P144" i="1" s="1"/>
  <c r="K152" i="1"/>
  <c r="P152" i="1" s="1"/>
  <c r="K160" i="1"/>
  <c r="P160" i="1" s="1"/>
  <c r="K168" i="1"/>
  <c r="P168" i="1" s="1"/>
  <c r="K176" i="1"/>
  <c r="P176" i="1" s="1"/>
  <c r="K182" i="1"/>
  <c r="P182" i="1" s="1"/>
  <c r="K187" i="1"/>
  <c r="P187" i="1" s="1"/>
  <c r="K188" i="1"/>
  <c r="P188" i="1" s="1"/>
  <c r="L4" i="2"/>
  <c r="L13" i="2"/>
  <c r="L16" i="2"/>
  <c r="L26" i="2"/>
  <c r="L27" i="2"/>
  <c r="L59" i="2"/>
  <c r="L122" i="2"/>
  <c r="L140" i="2"/>
  <c r="L142" i="2"/>
  <c r="K278" i="1"/>
  <c r="P278" i="1" s="1"/>
  <c r="L62" i="2"/>
  <c r="L77" i="2"/>
  <c r="L105" i="2"/>
  <c r="L133" i="2"/>
  <c r="L136" i="2"/>
  <c r="K183" i="1"/>
  <c r="P183" i="1" s="1"/>
  <c r="K191" i="1"/>
  <c r="P191" i="1" s="1"/>
  <c r="K199" i="1"/>
  <c r="P199" i="1" s="1"/>
  <c r="K201" i="1"/>
  <c r="P201" i="1" s="1"/>
  <c r="K203" i="1"/>
  <c r="P203" i="1" s="1"/>
  <c r="K205" i="1"/>
  <c r="P205" i="1" s="1"/>
  <c r="K207" i="1"/>
  <c r="P207" i="1" s="1"/>
  <c r="K209" i="1"/>
  <c r="P209" i="1" s="1"/>
  <c r="K211" i="1"/>
  <c r="P211" i="1" s="1"/>
  <c r="K213" i="1"/>
  <c r="P213" i="1" s="1"/>
  <c r="K215" i="1"/>
  <c r="P215" i="1" s="1"/>
  <c r="K217" i="1"/>
  <c r="P217" i="1" s="1"/>
  <c r="K219" i="1"/>
  <c r="P219" i="1" s="1"/>
  <c r="K221" i="1"/>
  <c r="P221" i="1" s="1"/>
  <c r="K223" i="1"/>
  <c r="P223" i="1" s="1"/>
  <c r="K225" i="1"/>
  <c r="P225" i="1" s="1"/>
  <c r="K239" i="1"/>
  <c r="P239" i="1" s="1"/>
  <c r="K244" i="1"/>
  <c r="P244" i="1" s="1"/>
  <c r="K253" i="1"/>
  <c r="P253" i="1" s="1"/>
  <c r="K267" i="1"/>
  <c r="P267" i="1" s="1"/>
  <c r="K269" i="1"/>
  <c r="P269" i="1" s="1"/>
  <c r="K272" i="1"/>
  <c r="P272" i="1" s="1"/>
  <c r="K283" i="1"/>
  <c r="P283" i="1" s="1"/>
  <c r="K285" i="1"/>
  <c r="P285" i="1" s="1"/>
  <c r="K288" i="1"/>
  <c r="P288" i="1" s="1"/>
  <c r="K299" i="1"/>
  <c r="P299" i="1" s="1"/>
  <c r="K301" i="1"/>
  <c r="P301" i="1" s="1"/>
  <c r="L9" i="2"/>
  <c r="L25" i="2"/>
  <c r="L41" i="2"/>
  <c r="L48" i="2"/>
  <c r="L60" i="2"/>
  <c r="L73" i="2"/>
  <c r="L74" i="2"/>
  <c r="L103" i="2"/>
  <c r="L113" i="2"/>
  <c r="L117" i="2"/>
  <c r="L130" i="2"/>
  <c r="L138" i="2"/>
  <c r="L194" i="2"/>
  <c r="K262" i="1"/>
  <c r="P262" i="1" s="1"/>
  <c r="K294" i="1"/>
  <c r="P294" i="1" s="1"/>
  <c r="L43" i="2"/>
  <c r="L50" i="2"/>
  <c r="L78" i="2"/>
  <c r="L109" i="2"/>
  <c r="L119" i="2"/>
  <c r="K185" i="1"/>
  <c r="P185" i="1" s="1"/>
  <c r="K193" i="1"/>
  <c r="P193" i="1" s="1"/>
  <c r="K246" i="1"/>
  <c r="P246" i="1" s="1"/>
  <c r="K247" i="1"/>
  <c r="P247" i="1" s="1"/>
  <c r="K252" i="1"/>
  <c r="P252" i="1" s="1"/>
  <c r="K270" i="1"/>
  <c r="P270" i="1" s="1"/>
  <c r="K286" i="1"/>
  <c r="P286" i="1" s="1"/>
  <c r="K302" i="1"/>
  <c r="P302" i="1" s="1"/>
  <c r="L3" i="2"/>
  <c r="L6" i="2"/>
  <c r="L7" i="2"/>
  <c r="L15" i="2"/>
  <c r="L19" i="2"/>
  <c r="L22" i="2"/>
  <c r="L23" i="2"/>
  <c r="L31" i="2"/>
  <c r="L35" i="2"/>
  <c r="L38" i="2"/>
  <c r="L39" i="2"/>
  <c r="L45" i="2"/>
  <c r="L46" i="2"/>
  <c r="L75" i="2"/>
  <c r="L82" i="2"/>
  <c r="L94" i="2"/>
  <c r="L127" i="2"/>
  <c r="L162" i="2"/>
  <c r="L165" i="2"/>
  <c r="L166" i="2"/>
  <c r="L170" i="2"/>
  <c r="L173" i="2"/>
  <c r="L174" i="2"/>
  <c r="L180" i="2"/>
  <c r="L195" i="2"/>
  <c r="L207" i="2"/>
  <c r="K240" i="1"/>
  <c r="P240" i="1" s="1"/>
  <c r="K248" i="1"/>
  <c r="P248" i="1" s="1"/>
  <c r="K256" i="1"/>
  <c r="P256" i="1" s="1"/>
  <c r="K260" i="1"/>
  <c r="P260" i="1" s="1"/>
  <c r="K268" i="1"/>
  <c r="P268" i="1" s="1"/>
  <c r="K276" i="1"/>
  <c r="P276" i="1" s="1"/>
  <c r="K284" i="1"/>
  <c r="P284" i="1" s="1"/>
  <c r="K292" i="1"/>
  <c r="P292" i="1" s="1"/>
  <c r="K300" i="1"/>
  <c r="P300" i="1" s="1"/>
  <c r="K2" i="2"/>
  <c r="L2" i="2" s="1"/>
  <c r="K18" i="2"/>
  <c r="L18" i="2" s="1"/>
  <c r="K34" i="2"/>
  <c r="L34" i="2" s="1"/>
  <c r="K57" i="2"/>
  <c r="L57" i="2" s="1"/>
  <c r="L58" i="2"/>
  <c r="L66" i="2"/>
  <c r="K89" i="2"/>
  <c r="L89" i="2" s="1"/>
  <c r="L90" i="2"/>
  <c r="L98" i="2"/>
  <c r="L101" i="2"/>
  <c r="L114" i="2"/>
  <c r="L125" i="2"/>
  <c r="L131" i="2"/>
  <c r="L148" i="2"/>
  <c r="L191" i="2"/>
  <c r="L206" i="2"/>
  <c r="K242" i="1"/>
  <c r="P242" i="1" s="1"/>
  <c r="K250" i="1"/>
  <c r="P250" i="1" s="1"/>
  <c r="K258" i="1"/>
  <c r="P258" i="1" s="1"/>
  <c r="K266" i="1"/>
  <c r="P266" i="1" s="1"/>
  <c r="K274" i="1"/>
  <c r="P274" i="1" s="1"/>
  <c r="K282" i="1"/>
  <c r="P282" i="1" s="1"/>
  <c r="K290" i="1"/>
  <c r="P290" i="1" s="1"/>
  <c r="K298" i="1"/>
  <c r="P298" i="1" s="1"/>
  <c r="K14" i="2"/>
  <c r="L14" i="2" s="1"/>
  <c r="K30" i="2"/>
  <c r="L30" i="2" s="1"/>
  <c r="L44" i="2"/>
  <c r="L55" i="2"/>
  <c r="L61" i="2"/>
  <c r="L64" i="2"/>
  <c r="L76" i="2"/>
  <c r="L87" i="2"/>
  <c r="L93" i="2"/>
  <c r="L96" i="2"/>
  <c r="L111" i="2"/>
  <c r="K124" i="2"/>
  <c r="L124" i="2" s="1"/>
  <c r="L126" i="2"/>
  <c r="L139" i="2"/>
  <c r="L159" i="2"/>
  <c r="L208" i="2"/>
  <c r="L209" i="2"/>
  <c r="K53" i="2"/>
  <c r="L53" i="2" s="1"/>
  <c r="K69" i="2"/>
  <c r="L69" i="2" s="1"/>
  <c r="K85" i="2"/>
  <c r="L85" i="2" s="1"/>
  <c r="K108" i="2"/>
  <c r="L108" i="2" s="1"/>
  <c r="L115" i="2"/>
  <c r="K137" i="2"/>
  <c r="L137" i="2" s="1"/>
  <c r="L146" i="2"/>
  <c r="K149" i="2"/>
  <c r="L149" i="2" s="1"/>
  <c r="L150" i="2"/>
  <c r="L178" i="2"/>
  <c r="K181" i="2"/>
  <c r="L181" i="2" s="1"/>
  <c r="L182" i="2"/>
  <c r="L198" i="2"/>
  <c r="L214" i="2"/>
  <c r="L49" i="2"/>
  <c r="L54" i="2"/>
  <c r="L65" i="2"/>
  <c r="L70" i="2"/>
  <c r="L81" i="2"/>
  <c r="L86" i="2"/>
  <c r="L97" i="2"/>
  <c r="L110" i="2"/>
  <c r="L121" i="2"/>
  <c r="L129" i="2"/>
  <c r="L135" i="2"/>
  <c r="L141" i="2"/>
  <c r="L154" i="2"/>
  <c r="L157" i="2"/>
  <c r="L158" i="2"/>
  <c r="L186" i="2"/>
  <c r="L189" i="2"/>
  <c r="L190" i="2"/>
  <c r="L200" i="2"/>
  <c r="L201" i="2"/>
  <c r="L203" i="2"/>
  <c r="L216" i="2"/>
  <c r="L217" i="2"/>
  <c r="K112" i="2"/>
  <c r="L112" i="2" s="1"/>
  <c r="K128" i="2"/>
  <c r="L128" i="2" s="1"/>
  <c r="K144" i="2"/>
  <c r="L144" i="2" s="1"/>
  <c r="K152" i="2"/>
  <c r="L152" i="2" s="1"/>
  <c r="K160" i="2"/>
  <c r="L160" i="2" s="1"/>
  <c r="K168" i="2"/>
  <c r="L168" i="2" s="1"/>
  <c r="K176" i="2"/>
  <c r="L176" i="2" s="1"/>
  <c r="K184" i="2"/>
  <c r="L184" i="2" s="1"/>
  <c r="K192" i="2"/>
  <c r="L192" i="2" s="1"/>
  <c r="L202" i="2"/>
  <c r="L210" i="2"/>
  <c r="L218" i="2"/>
  <c r="L145" i="2"/>
  <c r="L153" i="2"/>
  <c r="L161" i="2"/>
  <c r="L169" i="2"/>
  <c r="L177" i="2"/>
  <c r="L185" i="2"/>
  <c r="L193" i="2"/>
  <c r="L196" i="2"/>
  <c r="L204" i="2"/>
  <c r="L212" i="2"/>
  <c r="L220" i="2"/>
  <c r="L219" i="2" l="1"/>
  <c r="L211" i="2"/>
  <c r="L187" i="2"/>
  <c r="L179" i="2"/>
  <c r="L171" i="2"/>
  <c r="L163" i="2"/>
  <c r="L155" i="2"/>
  <c r="L147" i="2"/>
  <c r="L215" i="2"/>
  <c r="L199" i="2"/>
  <c r="L188" i="2"/>
  <c r="L167" i="2"/>
  <c r="L156" i="2"/>
  <c r="L134" i="2"/>
  <c r="L132" i="2"/>
  <c r="L120" i="2"/>
  <c r="L106" i="2"/>
  <c r="L99" i="2"/>
  <c r="L83" i="2"/>
  <c r="L67" i="2"/>
  <c r="L51" i="2"/>
  <c r="L213" i="2"/>
  <c r="L197" i="2"/>
  <c r="L95" i="2"/>
  <c r="L72" i="2"/>
  <c r="L63" i="2"/>
  <c r="L205" i="2"/>
  <c r="L123" i="2"/>
  <c r="L100" i="2"/>
  <c r="L68" i="2"/>
  <c r="L172" i="2"/>
  <c r="L164" i="2"/>
  <c r="L151" i="2"/>
  <c r="L143" i="2"/>
  <c r="L84" i="2"/>
  <c r="L104" i="2"/>
  <c r="L183" i="2"/>
  <c r="L175" i="2"/>
  <c r="L116" i="2"/>
  <c r="L102" i="2"/>
  <c r="L56" i="2"/>
  <c r="L47" i="2"/>
  <c r="L37" i="2"/>
  <c r="L33" i="2"/>
  <c r="L21" i="2"/>
  <c r="L17" i="2"/>
  <c r="L5" i="2"/>
  <c r="L118" i="2"/>
  <c r="L107" i="2"/>
  <c r="L52" i="2"/>
  <c r="L12" i="2"/>
  <c r="L91" i="2"/>
  <c r="L88" i="2"/>
  <c r="L28" i="2"/>
  <c r="L221" i="2"/>
  <c r="L79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<sst xmlns="http://schemas.openxmlformats.org/spreadsheetml/2006/main" count="40" uniqueCount="33">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</sst>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zoomScale="85" zoomScaleNormal="85" workbookViewId="0">
      <selection activeCell="M4" sqref="M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>
        <v>6.0532287999999997E-2</v>
      </c>
      <c r="B4">
        <v>0.96381616999999997</v>
      </c>
      <c r="C4">
        <f t="shared" ref="C4:C67" si="0">A4*B4</f>
        <v>5.8341997981496953E-2</v>
      </c>
      <c r="D4">
        <v>1.6199999999999999E-2</v>
      </c>
      <c r="E4">
        <v>3.81E-3</v>
      </c>
      <c r="F4">
        <f t="shared" ref="F4:F67" si="1">A4*200</f>
        <v>12.106457599999999</v>
      </c>
      <c r="G4">
        <f t="shared" ref="G4:G67" si="2">-B4</f>
        <v>-0.96381616999999997</v>
      </c>
      <c r="H4">
        <f t="shared" ref="H4:H67" si="3">-C4*200</f>
        <v>-11.668399596299391</v>
      </c>
      <c r="I4">
        <v>1</v>
      </c>
      <c r="J4">
        <f t="shared" ref="J4:J67" si="4">LN(F4/1000)</f>
        <v>-4.4140162827887277</v>
      </c>
      <c r="K4">
        <f t="shared" ref="K4:K67" si="5">((-G4)-$N$2)</f>
        <v>-0.25790898177521748</v>
      </c>
      <c r="L4">
        <v>1</v>
      </c>
      <c r="M4">
        <f t="shared" ref="M4:M67" si="6">-1*($S$4+($S$5*J4))</f>
        <v>0.31956980321502854</v>
      </c>
      <c r="N4">
        <f t="shared" ref="N4:N67" si="7">D4*A4</f>
        <v>9.8062306559999995E-4</v>
      </c>
      <c r="O4">
        <f t="shared" ref="O4:O67" si="8">E4*A4</f>
        <v>2.3062801728E-4</v>
      </c>
      <c r="P4">
        <f t="shared" ref="P4:P67" si="9">-K4-M4-N4-O4</f>
        <v>-6.2872072522691044E-2</v>
      </c>
      <c r="R4" s="2" t="s">
        <v>25</v>
      </c>
      <c r="S4">
        <v>-0.64400000000000002</v>
      </c>
      <c r="V4">
        <v>-6</v>
      </c>
      <c r="W4">
        <f t="shared" ref="W4:W35" si="10">V4*$S$5+$S$4</f>
        <v>-0.20300000000000007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>
        <v>0.11145061000000001</v>
      </c>
      <c r="B5">
        <v>0.85685796000000003</v>
      </c>
      <c r="C5">
        <f t="shared" si="0"/>
        <v>9.5497342325355603E-2</v>
      </c>
      <c r="D5">
        <v>1.6199999999999999E-2</v>
      </c>
      <c r="E5">
        <v>3.81E-3</v>
      </c>
      <c r="F5">
        <f t="shared" si="1"/>
        <v>22.290122</v>
      </c>
      <c r="G5">
        <f t="shared" si="2"/>
        <v>-0.85685796000000003</v>
      </c>
      <c r="H5">
        <f t="shared" si="3"/>
        <v>-19.099468465071119</v>
      </c>
      <c r="I5">
        <v>1</v>
      </c>
      <c r="J5">
        <f t="shared" si="4"/>
        <v>-3.8036116582929225</v>
      </c>
      <c r="K5">
        <f t="shared" si="5"/>
        <v>-0.36486719177521743</v>
      </c>
      <c r="L5">
        <v>1</v>
      </c>
      <c r="M5">
        <f t="shared" si="6"/>
        <v>0.36443454311547024</v>
      </c>
      <c r="N5">
        <f t="shared" si="7"/>
        <v>1.8054998820000001E-3</v>
      </c>
      <c r="O5">
        <f t="shared" si="8"/>
        <v>4.2462682410000004E-4</v>
      </c>
      <c r="P5">
        <f t="shared" si="9"/>
        <v>-1.7974780463528189E-3</v>
      </c>
      <c r="R5" s="2" t="s">
        <v>27</v>
      </c>
      <c r="S5">
        <v>-7.3499999999999996E-2</v>
      </c>
      <c r="V5">
        <v>-5.9</v>
      </c>
      <c r="W5">
        <f t="shared" si="10"/>
        <v>-0.21035000000000004</v>
      </c>
      <c r="Y5">
        <v>0.01</v>
      </c>
      <c r="Z5">
        <f t="shared" si="11"/>
        <v>-0.25431960000000003</v>
      </c>
    </row>
    <row r="6" spans="1:29" x14ac:dyDescent="0.3">
      <c r="A6">
        <v>0.16287814</v>
      </c>
      <c r="B6">
        <v>0.82569837999999995</v>
      </c>
      <c r="C6">
        <f t="shared" si="0"/>
        <v>0.13448821633541319</v>
      </c>
      <c r="D6">
        <v>1.6199999999999999E-2</v>
      </c>
      <c r="E6">
        <v>3.81E-3</v>
      </c>
      <c r="F6">
        <f t="shared" si="1"/>
        <v>32.575628000000002</v>
      </c>
      <c r="G6">
        <f t="shared" si="2"/>
        <v>-0.82569837999999995</v>
      </c>
      <c r="H6">
        <f t="shared" si="3"/>
        <v>-26.897643267082639</v>
      </c>
      <c r="I6">
        <v>1</v>
      </c>
      <c r="J6">
        <f t="shared" si="4"/>
        <v>-3.4241908775691838</v>
      </c>
      <c r="K6">
        <f t="shared" si="5"/>
        <v>-0.3960267717752175</v>
      </c>
      <c r="L6">
        <v>1</v>
      </c>
      <c r="M6">
        <f t="shared" si="6"/>
        <v>0.39232197049866502</v>
      </c>
      <c r="N6">
        <f t="shared" si="7"/>
        <v>2.6386258679999999E-3</v>
      </c>
      <c r="O6">
        <f t="shared" si="8"/>
        <v>6.205657134E-4</v>
      </c>
      <c r="P6">
        <f t="shared" si="9"/>
        <v>4.4560969515248302E-4</v>
      </c>
      <c r="V6">
        <v>-5.8</v>
      </c>
      <c r="W6">
        <f t="shared" si="10"/>
        <v>-0.21770000000000006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>
        <v>0.21328728</v>
      </c>
      <c r="B7">
        <v>0.80626189999999998</v>
      </c>
      <c r="C7">
        <f t="shared" si="0"/>
        <v>0.17196540761863199</v>
      </c>
      <c r="D7">
        <v>1.6199999999999999E-2</v>
      </c>
      <c r="E7">
        <v>3.81E-3</v>
      </c>
      <c r="F7">
        <f t="shared" si="1"/>
        <v>42.657455999999996</v>
      </c>
      <c r="G7">
        <f t="shared" si="2"/>
        <v>-0.80626189999999998</v>
      </c>
      <c r="H7">
        <f t="shared" si="3"/>
        <v>-34.393081523726401</v>
      </c>
      <c r="I7">
        <v>1</v>
      </c>
      <c r="J7">
        <f t="shared" si="4"/>
        <v>-3.1545532020349913</v>
      </c>
      <c r="K7">
        <f t="shared" si="5"/>
        <v>-0.41546325177521748</v>
      </c>
      <c r="L7">
        <v>1</v>
      </c>
      <c r="M7">
        <f t="shared" si="6"/>
        <v>0.41214033965042818</v>
      </c>
      <c r="N7">
        <f t="shared" si="7"/>
        <v>3.4552539359999999E-3</v>
      </c>
      <c r="O7">
        <f t="shared" si="8"/>
        <v>8.1262453680000003E-4</v>
      </c>
      <c r="P7">
        <f t="shared" si="9"/>
        <v>-9.449663480106987E-4</v>
      </c>
      <c r="V7">
        <v>-5.7</v>
      </c>
      <c r="W7">
        <f t="shared" si="10"/>
        <v>-0.22505000000000003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>
        <v>0.26420563000000002</v>
      </c>
      <c r="B8">
        <v>0.79255319000000002</v>
      </c>
      <c r="C8">
        <f t="shared" si="0"/>
        <v>0.20939701487245974</v>
      </c>
      <c r="D8">
        <v>1.6199999999999999E-2</v>
      </c>
      <c r="E8">
        <v>3.81E-3</v>
      </c>
      <c r="F8">
        <f t="shared" si="1"/>
        <v>52.841126000000003</v>
      </c>
      <c r="G8">
        <f t="shared" si="2"/>
        <v>-0.79255319000000002</v>
      </c>
      <c r="H8">
        <f t="shared" si="3"/>
        <v>-41.879402974491946</v>
      </c>
      <c r="I8">
        <v>1</v>
      </c>
      <c r="J8">
        <f t="shared" si="4"/>
        <v>-2.94046548994113</v>
      </c>
      <c r="K8">
        <f t="shared" si="5"/>
        <v>-0.42917196177521744</v>
      </c>
      <c r="L8">
        <v>1</v>
      </c>
      <c r="M8">
        <f t="shared" si="6"/>
        <v>0.427875786489327</v>
      </c>
      <c r="N8">
        <f t="shared" si="7"/>
        <v>4.2801312060000004E-3</v>
      </c>
      <c r="O8">
        <f t="shared" si="8"/>
        <v>1.0066234503000001E-3</v>
      </c>
      <c r="P8">
        <f t="shared" si="9"/>
        <v>-3.9905793704095678E-3</v>
      </c>
      <c r="V8">
        <v>-5.6</v>
      </c>
      <c r="W8">
        <f t="shared" si="10"/>
        <v>-0.23240000000000005</v>
      </c>
      <c r="Y8">
        <v>0.04</v>
      </c>
      <c r="Z8">
        <f t="shared" si="11"/>
        <v>-6.0840000000006444E-4</v>
      </c>
    </row>
    <row r="9" spans="1:29" x14ac:dyDescent="0.3">
      <c r="A9">
        <v>0.31461475</v>
      </c>
      <c r="B9">
        <v>0.78079200000000004</v>
      </c>
      <c r="C9">
        <f t="shared" si="0"/>
        <v>0.24564867988200001</v>
      </c>
      <c r="D9">
        <v>1.6199999999999999E-2</v>
      </c>
      <c r="E9">
        <v>3.81E-3</v>
      </c>
      <c r="F9">
        <f t="shared" si="1"/>
        <v>62.92295</v>
      </c>
      <c r="G9">
        <f t="shared" si="2"/>
        <v>-0.78079200000000004</v>
      </c>
      <c r="H9">
        <f t="shared" si="3"/>
        <v>-49.129735976399999</v>
      </c>
      <c r="I9">
        <v>1</v>
      </c>
      <c r="J9">
        <f t="shared" si="4"/>
        <v>-2.7658443169578755</v>
      </c>
      <c r="K9">
        <f t="shared" si="5"/>
        <v>-0.44093315177521741</v>
      </c>
      <c r="L9">
        <v>1</v>
      </c>
      <c r="M9">
        <f t="shared" si="6"/>
        <v>0.44071044270359616</v>
      </c>
      <c r="N9">
        <f t="shared" si="7"/>
        <v>5.0967589499999995E-3</v>
      </c>
      <c r="O9">
        <f t="shared" si="8"/>
        <v>1.1986821975E-3</v>
      </c>
      <c r="P9">
        <f t="shared" si="9"/>
        <v>-6.0727320758787477E-3</v>
      </c>
      <c r="V9">
        <v>-5.5</v>
      </c>
      <c r="W9">
        <f t="shared" si="10"/>
        <v>-0.23975000000000002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>
        <v>0.36807900999999998</v>
      </c>
      <c r="B10">
        <v>0.77065366999999996</v>
      </c>
      <c r="C10">
        <f t="shared" si="0"/>
        <v>0.28366143990646669</v>
      </c>
      <c r="D10">
        <v>1.6199999999999999E-2</v>
      </c>
      <c r="E10">
        <v>3.81E-3</v>
      </c>
      <c r="F10">
        <f t="shared" si="1"/>
        <v>73.615802000000002</v>
      </c>
      <c r="G10">
        <f t="shared" si="2"/>
        <v>-0.77065366999999996</v>
      </c>
      <c r="H10">
        <f t="shared" si="3"/>
        <v>-56.732287981293339</v>
      </c>
      <c r="I10">
        <v>1</v>
      </c>
      <c r="J10">
        <f t="shared" si="4"/>
        <v>-2.60889557520533</v>
      </c>
      <c r="K10">
        <f t="shared" si="5"/>
        <v>-0.4510714817752175</v>
      </c>
      <c r="L10">
        <v>1</v>
      </c>
      <c r="M10">
        <f t="shared" si="6"/>
        <v>0.45224617522240829</v>
      </c>
      <c r="N10">
        <f t="shared" si="7"/>
        <v>5.9628799619999995E-3</v>
      </c>
      <c r="O10">
        <f t="shared" si="8"/>
        <v>1.4023810281E-3</v>
      </c>
      <c r="P10">
        <f t="shared" si="9"/>
        <v>-8.5399544372907893E-3</v>
      </c>
      <c r="V10">
        <v>-5.4</v>
      </c>
      <c r="W10">
        <f t="shared" si="10"/>
        <v>-0.24709999999999999</v>
      </c>
      <c r="Y10">
        <v>0.06</v>
      </c>
      <c r="Z10">
        <f t="shared" si="11"/>
        <v>0.16853239999999992</v>
      </c>
    </row>
    <row r="11" spans="1:29" x14ac:dyDescent="0.3">
      <c r="A11">
        <v>0.41899731000000001</v>
      </c>
      <c r="B11">
        <v>0.76059175000000001</v>
      </c>
      <c r="C11">
        <f t="shared" si="0"/>
        <v>0.31868589725819252</v>
      </c>
      <c r="D11">
        <v>1.6199999999999999E-2</v>
      </c>
      <c r="E11">
        <v>3.81E-3</v>
      </c>
      <c r="F11">
        <f t="shared" si="1"/>
        <v>83.799462000000005</v>
      </c>
      <c r="G11">
        <f t="shared" si="2"/>
        <v>-0.76059175000000001</v>
      </c>
      <c r="H11">
        <f t="shared" si="3"/>
        <v>-63.737179451638504</v>
      </c>
      <c r="I11">
        <v>1</v>
      </c>
      <c r="J11">
        <f t="shared" si="4"/>
        <v>-2.4793286915624408</v>
      </c>
      <c r="K11">
        <f t="shared" si="5"/>
        <v>-0.46113340177521744</v>
      </c>
      <c r="L11">
        <v>1</v>
      </c>
      <c r="M11">
        <f t="shared" si="6"/>
        <v>0.46176934117016066</v>
      </c>
      <c r="N11">
        <f t="shared" si="7"/>
        <v>6.7877564219999999E-3</v>
      </c>
      <c r="O11">
        <f t="shared" si="8"/>
        <v>1.5963797511000001E-3</v>
      </c>
      <c r="P11">
        <f t="shared" si="9"/>
        <v>-9.020075568043219E-3</v>
      </c>
      <c r="V11">
        <v>-5.3</v>
      </c>
      <c r="W11">
        <f t="shared" si="10"/>
        <v>-0.25445000000000007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>
        <v>0.46940649000000001</v>
      </c>
      <c r="B12">
        <v>0.75209539999999997</v>
      </c>
      <c r="C12">
        <f t="shared" si="0"/>
        <v>0.353038461859146</v>
      </c>
      <c r="D12">
        <v>1.6199999999999999E-2</v>
      </c>
      <c r="E12">
        <v>3.81E-3</v>
      </c>
      <c r="F12">
        <f t="shared" si="1"/>
        <v>93.881298000000001</v>
      </c>
      <c r="G12">
        <f t="shared" si="2"/>
        <v>-0.75209539999999997</v>
      </c>
      <c r="H12">
        <f t="shared" si="3"/>
        <v>-70.607692371829202</v>
      </c>
      <c r="I12">
        <v>1</v>
      </c>
      <c r="J12">
        <f t="shared" si="4"/>
        <v>-2.3657240819338381</v>
      </c>
      <c r="K12">
        <f t="shared" si="5"/>
        <v>-0.46962975177521749</v>
      </c>
      <c r="L12">
        <v>1</v>
      </c>
      <c r="M12">
        <f t="shared" si="6"/>
        <v>0.47011927997786296</v>
      </c>
      <c r="N12">
        <f t="shared" si="7"/>
        <v>7.6043851379999994E-3</v>
      </c>
      <c r="O12">
        <f t="shared" si="8"/>
        <v>1.7884387269000001E-3</v>
      </c>
      <c r="P12">
        <f t="shared" si="9"/>
        <v>-9.8823520675454714E-3</v>
      </c>
      <c r="V12">
        <v>-5.2</v>
      </c>
      <c r="W12">
        <f t="shared" si="10"/>
        <v>-0.26180000000000003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>
        <v>0.52083398000000003</v>
      </c>
      <c r="B13">
        <v>0.74443917999999998</v>
      </c>
      <c r="C13">
        <f t="shared" si="0"/>
        <v>0.38772922098733642</v>
      </c>
      <c r="D13">
        <v>1.6199999999999999E-2</v>
      </c>
      <c r="E13">
        <v>3.81E-3</v>
      </c>
      <c r="F13">
        <f t="shared" si="1"/>
        <v>104.16679600000001</v>
      </c>
      <c r="G13">
        <f t="shared" si="2"/>
        <v>-0.74443917999999998</v>
      </c>
      <c r="H13">
        <f t="shared" si="3"/>
        <v>-77.545844197467289</v>
      </c>
      <c r="I13">
        <v>1</v>
      </c>
      <c r="J13">
        <f t="shared" si="4"/>
        <v>-2.2617618568745614</v>
      </c>
      <c r="K13">
        <f t="shared" si="5"/>
        <v>-0.47728597177521748</v>
      </c>
      <c r="L13">
        <v>1</v>
      </c>
      <c r="M13">
        <f t="shared" si="6"/>
        <v>0.47776050351971977</v>
      </c>
      <c r="N13">
        <f t="shared" si="7"/>
        <v>8.4375104760000003E-3</v>
      </c>
      <c r="O13">
        <f t="shared" si="8"/>
        <v>1.9843774638E-3</v>
      </c>
      <c r="P13">
        <f t="shared" si="9"/>
        <v>-1.0896419684302293E-2</v>
      </c>
      <c r="V13">
        <v>-5.0999999999999996</v>
      </c>
      <c r="W13">
        <f t="shared" si="10"/>
        <v>-0.26915000000000006</v>
      </c>
      <c r="Y13">
        <v>0.09</v>
      </c>
      <c r="Z13">
        <f t="shared" si="11"/>
        <v>0.42224359999999983</v>
      </c>
    </row>
    <row r="14" spans="1:29" x14ac:dyDescent="0.3">
      <c r="A14">
        <v>0.57226153999999996</v>
      </c>
      <c r="B14">
        <v>0.73800485999999998</v>
      </c>
      <c r="C14">
        <f t="shared" si="0"/>
        <v>0.42233179771108437</v>
      </c>
      <c r="D14">
        <v>1.6199999999999999E-2</v>
      </c>
      <c r="E14">
        <v>3.81E-3</v>
      </c>
      <c r="F14">
        <f t="shared" si="1"/>
        <v>114.45230799999999</v>
      </c>
      <c r="G14">
        <f t="shared" si="2"/>
        <v>-0.73800485999999998</v>
      </c>
      <c r="H14">
        <f t="shared" si="3"/>
        <v>-84.466359542216878</v>
      </c>
      <c r="I14">
        <v>1</v>
      </c>
      <c r="J14">
        <f t="shared" si="4"/>
        <v>-2.1675970667755342</v>
      </c>
      <c r="K14">
        <f t="shared" si="5"/>
        <v>-0.48372029177521747</v>
      </c>
      <c r="L14">
        <v>1</v>
      </c>
      <c r="M14">
        <f t="shared" si="6"/>
        <v>0.48468161559199829</v>
      </c>
      <c r="N14">
        <f t="shared" si="7"/>
        <v>9.2706369479999984E-3</v>
      </c>
      <c r="O14">
        <f t="shared" si="8"/>
        <v>2.1803164673999996E-3</v>
      </c>
      <c r="P14">
        <f t="shared" si="9"/>
        <v>-1.2412277232180823E-2</v>
      </c>
      <c r="V14">
        <v>-5</v>
      </c>
      <c r="W14">
        <f t="shared" si="10"/>
        <v>-0.27650000000000002</v>
      </c>
      <c r="Y14">
        <v>0.1</v>
      </c>
      <c r="Z14">
        <f t="shared" si="11"/>
        <v>0.50681399999999999</v>
      </c>
    </row>
    <row r="15" spans="1:29" x14ac:dyDescent="0.3">
      <c r="A15">
        <v>0.6241982399999999</v>
      </c>
      <c r="B15">
        <v>0.72979497999999998</v>
      </c>
      <c r="C15">
        <f t="shared" si="0"/>
        <v>0.45553674207683514</v>
      </c>
      <c r="D15">
        <v>1.6199999999999999E-2</v>
      </c>
      <c r="E15">
        <v>3.81E-3</v>
      </c>
      <c r="F15">
        <f t="shared" si="1"/>
        <v>124.83964799999998</v>
      </c>
      <c r="G15">
        <f t="shared" si="2"/>
        <v>-0.72979497999999998</v>
      </c>
      <c r="H15">
        <f t="shared" si="3"/>
        <v>-91.107348415367028</v>
      </c>
      <c r="I15">
        <v>1</v>
      </c>
      <c r="J15">
        <f t="shared" si="4"/>
        <v>-2.0807251811926331</v>
      </c>
      <c r="K15">
        <f t="shared" si="5"/>
        <v>-0.49193017177521747</v>
      </c>
      <c r="L15">
        <v>1</v>
      </c>
      <c r="M15">
        <f t="shared" si="6"/>
        <v>0.49106669918234147</v>
      </c>
      <c r="N15">
        <f t="shared" si="7"/>
        <v>1.0112011487999999E-2</v>
      </c>
      <c r="O15">
        <f t="shared" si="8"/>
        <v>2.3781952943999997E-3</v>
      </c>
      <c r="P15">
        <f t="shared" si="9"/>
        <v>-1.1626734189523997E-2</v>
      </c>
      <c r="V15">
        <v>-4.9000000000000004</v>
      </c>
      <c r="W15">
        <f t="shared" si="10"/>
        <v>-0.28384999999999999</v>
      </c>
      <c r="Y15">
        <v>0.11</v>
      </c>
      <c r="Z15">
        <f t="shared" si="11"/>
        <v>0.59138439999999992</v>
      </c>
    </row>
    <row r="16" spans="1:29" x14ac:dyDescent="0.3">
      <c r="A16">
        <v>0.67766248000000007</v>
      </c>
      <c r="B16">
        <v>0.72332244999999995</v>
      </c>
      <c r="C16">
        <f t="shared" si="0"/>
        <v>0.49016848530667601</v>
      </c>
      <c r="D16">
        <v>1.6199999999999999E-2</v>
      </c>
      <c r="E16">
        <v>3.81E-3</v>
      </c>
      <c r="F16">
        <f t="shared" si="1"/>
        <v>135.53249600000001</v>
      </c>
      <c r="G16">
        <f t="shared" si="2"/>
        <v>-0.72332244999999995</v>
      </c>
      <c r="H16">
        <f t="shared" si="3"/>
        <v>-98.033697061335204</v>
      </c>
      <c r="I16">
        <v>1</v>
      </c>
      <c r="J16">
        <f t="shared" si="4"/>
        <v>-1.9985438445370622</v>
      </c>
      <c r="K16">
        <f t="shared" si="5"/>
        <v>-0.4984027017752175</v>
      </c>
      <c r="L16">
        <v>1</v>
      </c>
      <c r="M16">
        <f t="shared" si="6"/>
        <v>0.49710702742652596</v>
      </c>
      <c r="N16">
        <f t="shared" si="7"/>
        <v>1.0978132176000001E-2</v>
      </c>
      <c r="O16">
        <f t="shared" si="8"/>
        <v>2.5818940488000004E-3</v>
      </c>
      <c r="P16">
        <f t="shared" si="9"/>
        <v>-1.2264351876108456E-2</v>
      </c>
      <c r="V16">
        <v>-4.8</v>
      </c>
      <c r="W16">
        <f t="shared" si="10"/>
        <v>-0.29120000000000007</v>
      </c>
      <c r="Y16">
        <v>0.12</v>
      </c>
      <c r="Z16">
        <f t="shared" si="11"/>
        <v>0.67595479999999986</v>
      </c>
    </row>
    <row r="17" spans="1:26" x14ac:dyDescent="0.3">
      <c r="A17">
        <v>0.72858075</v>
      </c>
      <c r="B17">
        <v>0.71669727999999999</v>
      </c>
      <c r="C17">
        <f t="shared" si="0"/>
        <v>0.52217184178536002</v>
      </c>
      <c r="D17">
        <v>1.6199999999999999E-2</v>
      </c>
      <c r="E17">
        <v>3.81E-3</v>
      </c>
      <c r="F17">
        <f t="shared" si="1"/>
        <v>145.71615</v>
      </c>
      <c r="G17">
        <f t="shared" si="2"/>
        <v>-0.71669727999999999</v>
      </c>
      <c r="H17">
        <f t="shared" si="3"/>
        <v>-104.434368357072</v>
      </c>
      <c r="I17">
        <v>1</v>
      </c>
      <c r="J17">
        <f t="shared" si="4"/>
        <v>-1.9260947277233307</v>
      </c>
      <c r="K17">
        <f t="shared" si="5"/>
        <v>-0.50502787177521746</v>
      </c>
      <c r="L17">
        <v>1</v>
      </c>
      <c r="M17">
        <f t="shared" si="6"/>
        <v>0.50243203751233523</v>
      </c>
      <c r="N17">
        <f t="shared" si="7"/>
        <v>1.1803008149999999E-2</v>
      </c>
      <c r="O17">
        <f t="shared" si="8"/>
        <v>2.7758926575E-3</v>
      </c>
      <c r="P17">
        <f t="shared" si="9"/>
        <v>-1.1983066544617765E-2</v>
      </c>
      <c r="V17">
        <v>-4.7</v>
      </c>
      <c r="W17">
        <f t="shared" si="10"/>
        <v>-0.29855000000000004</v>
      </c>
      <c r="Y17">
        <v>0.13</v>
      </c>
      <c r="Z17">
        <f t="shared" si="11"/>
        <v>0.7605251999999999</v>
      </c>
    </row>
    <row r="18" spans="1:26" x14ac:dyDescent="0.3">
      <c r="A18">
        <v>0.7794990799999999</v>
      </c>
      <c r="B18">
        <v>0.71016747000000002</v>
      </c>
      <c r="C18">
        <f t="shared" si="0"/>
        <v>0.55357488951092759</v>
      </c>
      <c r="D18">
        <v>1.6199999999999999E-2</v>
      </c>
      <c r="E18">
        <v>3.81E-3</v>
      </c>
      <c r="F18">
        <f t="shared" si="1"/>
        <v>155.89981599999999</v>
      </c>
      <c r="G18">
        <f t="shared" si="2"/>
        <v>-0.71016747000000002</v>
      </c>
      <c r="H18">
        <f t="shared" si="3"/>
        <v>-110.71497790218552</v>
      </c>
      <c r="I18">
        <v>1</v>
      </c>
      <c r="J18">
        <f t="shared" si="4"/>
        <v>-1.8585416831628487</v>
      </c>
      <c r="K18">
        <f t="shared" si="5"/>
        <v>-0.51155768177521743</v>
      </c>
      <c r="L18">
        <v>1</v>
      </c>
      <c r="M18">
        <f t="shared" si="6"/>
        <v>0.50739718628753061</v>
      </c>
      <c r="N18">
        <f t="shared" si="7"/>
        <v>1.2627885095999998E-2</v>
      </c>
      <c r="O18">
        <f t="shared" si="8"/>
        <v>2.9698914947999997E-3</v>
      </c>
      <c r="P18">
        <f t="shared" si="9"/>
        <v>-1.1437281103113177E-2</v>
      </c>
      <c r="V18">
        <v>-4.5999999999999996</v>
      </c>
      <c r="W18">
        <f t="shared" si="10"/>
        <v>-0.30590000000000006</v>
      </c>
      <c r="Y18">
        <v>0.14000000000000001</v>
      </c>
      <c r="Z18">
        <f t="shared" si="11"/>
        <v>0.84509559999999995</v>
      </c>
    </row>
    <row r="19" spans="1:26" x14ac:dyDescent="0.3">
      <c r="A19">
        <v>0.83041735999999999</v>
      </c>
      <c r="B19">
        <v>0.70419145000000005</v>
      </c>
      <c r="C19">
        <f t="shared" si="0"/>
        <v>0.58477280484357208</v>
      </c>
      <c r="D19">
        <v>1.6199999999999999E-2</v>
      </c>
      <c r="E19">
        <v>3.81E-3</v>
      </c>
      <c r="F19">
        <f t="shared" si="1"/>
        <v>166.083472</v>
      </c>
      <c r="G19">
        <f t="shared" si="2"/>
        <v>-0.70419145000000005</v>
      </c>
      <c r="H19">
        <f t="shared" si="3"/>
        <v>-116.95456096871442</v>
      </c>
      <c r="I19">
        <v>1</v>
      </c>
      <c r="J19">
        <f t="shared" si="4"/>
        <v>-1.7952647736354634</v>
      </c>
      <c r="K19">
        <f t="shared" si="5"/>
        <v>-0.5175337017752174</v>
      </c>
      <c r="L19">
        <v>1</v>
      </c>
      <c r="M19">
        <f t="shared" si="6"/>
        <v>0.51204803913779351</v>
      </c>
      <c r="N19">
        <f t="shared" si="7"/>
        <v>1.3452761232E-2</v>
      </c>
      <c r="O19">
        <f t="shared" si="8"/>
        <v>3.1638901415999999E-3</v>
      </c>
      <c r="P19">
        <f t="shared" si="9"/>
        <v>-1.1130988736176106E-2</v>
      </c>
      <c r="V19">
        <v>-4.5000000000000098</v>
      </c>
      <c r="W19">
        <f t="shared" si="10"/>
        <v>-0.31324999999999931</v>
      </c>
      <c r="Y19">
        <v>0.15</v>
      </c>
      <c r="Z19">
        <f t="shared" si="11"/>
        <v>0.92966599999999977</v>
      </c>
    </row>
    <row r="20" spans="1:26" x14ac:dyDescent="0.3">
      <c r="A20">
        <v>0.88082654000000005</v>
      </c>
      <c r="B20">
        <v>0.69880724000000005</v>
      </c>
      <c r="C20">
        <f t="shared" si="0"/>
        <v>0.61552796333614967</v>
      </c>
      <c r="D20">
        <v>1.6199999999999999E-2</v>
      </c>
      <c r="E20">
        <v>3.81E-3</v>
      </c>
      <c r="F20">
        <f t="shared" si="1"/>
        <v>176.16530800000001</v>
      </c>
      <c r="G20">
        <f t="shared" si="2"/>
        <v>-0.69880724000000005</v>
      </c>
      <c r="H20">
        <f t="shared" si="3"/>
        <v>-123.10559266722993</v>
      </c>
      <c r="I20">
        <v>1</v>
      </c>
      <c r="J20">
        <f t="shared" si="4"/>
        <v>-1.7363324747632616</v>
      </c>
      <c r="K20">
        <f t="shared" si="5"/>
        <v>-0.5229179117752174</v>
      </c>
      <c r="L20">
        <v>1</v>
      </c>
      <c r="M20">
        <f t="shared" si="6"/>
        <v>0.5163795631049003</v>
      </c>
      <c r="N20">
        <f t="shared" si="7"/>
        <v>1.4269389948E-2</v>
      </c>
      <c r="O20">
        <f t="shared" si="8"/>
        <v>3.3559491174000003E-3</v>
      </c>
      <c r="P20">
        <f t="shared" si="9"/>
        <v>-1.1086990395082893E-2</v>
      </c>
      <c r="V20">
        <v>-4.4000000000000101</v>
      </c>
      <c r="W20">
        <f t="shared" si="10"/>
        <v>-0.32059999999999927</v>
      </c>
      <c r="Y20">
        <v>0.16</v>
      </c>
      <c r="Z20">
        <f t="shared" si="11"/>
        <v>1.0142363999999997</v>
      </c>
    </row>
    <row r="21" spans="1:26" x14ac:dyDescent="0.3">
      <c r="A21">
        <v>0.93276323999999999</v>
      </c>
      <c r="B21">
        <v>0.69319390999999997</v>
      </c>
      <c r="C21">
        <f t="shared" si="0"/>
        <v>0.64658579743986833</v>
      </c>
      <c r="D21">
        <v>1.6199999999999999E-2</v>
      </c>
      <c r="E21">
        <v>3.81E-3</v>
      </c>
      <c r="F21">
        <f t="shared" si="1"/>
        <v>186.552648</v>
      </c>
      <c r="G21">
        <f t="shared" si="2"/>
        <v>-0.69319390999999997</v>
      </c>
      <c r="H21">
        <f t="shared" si="3"/>
        <v>-129.31715948797367</v>
      </c>
      <c r="I21">
        <v>1</v>
      </c>
      <c r="J21">
        <f t="shared" si="4"/>
        <v>-1.6790417848298105</v>
      </c>
      <c r="K21">
        <f t="shared" si="5"/>
        <v>-0.52853124177521749</v>
      </c>
      <c r="L21">
        <v>1</v>
      </c>
      <c r="M21">
        <f t="shared" si="6"/>
        <v>0.52059042881500894</v>
      </c>
      <c r="N21">
        <f t="shared" si="7"/>
        <v>1.5110764487999999E-2</v>
      </c>
      <c r="O21">
        <f t="shared" si="8"/>
        <v>3.5538279443999999E-3</v>
      </c>
      <c r="P21">
        <f t="shared" si="9"/>
        <v>-1.0723779472191455E-2</v>
      </c>
      <c r="V21">
        <v>-4.3000000000000096</v>
      </c>
      <c r="W21">
        <f t="shared" si="10"/>
        <v>-0.32794999999999935</v>
      </c>
      <c r="Y21">
        <v>0.17</v>
      </c>
      <c r="Z21">
        <f t="shared" si="11"/>
        <v>1.0988067999999998</v>
      </c>
    </row>
    <row r="22" spans="1:26" x14ac:dyDescent="0.3">
      <c r="A22">
        <v>0.98520911</v>
      </c>
      <c r="B22">
        <v>0.68796246999999999</v>
      </c>
      <c r="C22">
        <f t="shared" si="0"/>
        <v>0.67778689278210169</v>
      </c>
      <c r="D22">
        <v>1.6199999999999999E-2</v>
      </c>
      <c r="E22">
        <v>3.81E-3</v>
      </c>
      <c r="F22">
        <f t="shared" si="1"/>
        <v>197.041822</v>
      </c>
      <c r="G22">
        <f t="shared" si="2"/>
        <v>-0.68796246999999999</v>
      </c>
      <c r="H22">
        <f t="shared" si="3"/>
        <v>-135.55737855642033</v>
      </c>
      <c r="I22">
        <v>1</v>
      </c>
      <c r="J22">
        <f t="shared" si="4"/>
        <v>-1.6243392783591757</v>
      </c>
      <c r="K22">
        <f t="shared" si="5"/>
        <v>-0.53376268177521746</v>
      </c>
      <c r="L22">
        <v>1</v>
      </c>
      <c r="M22">
        <f t="shared" si="6"/>
        <v>0.52461106304060057</v>
      </c>
      <c r="N22">
        <f t="shared" si="7"/>
        <v>1.5960387582E-2</v>
      </c>
      <c r="O22">
        <f t="shared" si="8"/>
        <v>3.7536467090999999E-3</v>
      </c>
      <c r="P22">
        <f t="shared" si="9"/>
        <v>-1.0562415556483105E-2</v>
      </c>
      <c r="V22">
        <v>-4.2000000000000099</v>
      </c>
      <c r="W22">
        <f t="shared" si="10"/>
        <v>-0.33529999999999932</v>
      </c>
      <c r="Y22">
        <v>0.18</v>
      </c>
      <c r="Z22">
        <f t="shared" si="11"/>
        <v>1.1833771999999998</v>
      </c>
    </row>
    <row r="23" spans="1:26" x14ac:dyDescent="0.3">
      <c r="A23">
        <v>1.0381642</v>
      </c>
      <c r="B23">
        <v>0.68275017000000005</v>
      </c>
      <c r="C23">
        <f t="shared" si="0"/>
        <v>0.70880678403791408</v>
      </c>
      <c r="D23">
        <v>1.6199999999999999E-2</v>
      </c>
      <c r="E23">
        <v>3.81E-3</v>
      </c>
      <c r="F23">
        <f t="shared" si="1"/>
        <v>207.63283999999999</v>
      </c>
      <c r="G23">
        <f t="shared" si="2"/>
        <v>-0.68275017000000005</v>
      </c>
      <c r="H23">
        <f t="shared" si="3"/>
        <v>-141.76135680758281</v>
      </c>
      <c r="I23">
        <v>1</v>
      </c>
      <c r="J23">
        <f t="shared" si="4"/>
        <v>-1.5719839513762734</v>
      </c>
      <c r="K23">
        <f t="shared" si="5"/>
        <v>-0.53897498177521741</v>
      </c>
      <c r="L23">
        <v>1</v>
      </c>
      <c r="M23">
        <f t="shared" si="6"/>
        <v>0.52845917957384392</v>
      </c>
      <c r="N23">
        <f t="shared" si="7"/>
        <v>1.6818260039999998E-2</v>
      </c>
      <c r="O23">
        <f t="shared" si="8"/>
        <v>3.9554056019999997E-3</v>
      </c>
      <c r="P23">
        <f t="shared" si="9"/>
        <v>-1.0257863440626507E-2</v>
      </c>
      <c r="V23">
        <v>-4.1000000000000103</v>
      </c>
      <c r="W23">
        <f t="shared" si="10"/>
        <v>-0.34264999999999929</v>
      </c>
      <c r="Y23">
        <v>0.19</v>
      </c>
      <c r="Z23">
        <f t="shared" si="11"/>
        <v>1.2679475999999998</v>
      </c>
    </row>
    <row r="24" spans="1:26" x14ac:dyDescent="0.3">
      <c r="A24">
        <v>1.0890826</v>
      </c>
      <c r="B24">
        <v>0.67738503000000005</v>
      </c>
      <c r="C24">
        <f t="shared" si="0"/>
        <v>0.73772824967347805</v>
      </c>
      <c r="D24">
        <v>1.6199999999999999E-2</v>
      </c>
      <c r="E24">
        <v>3.81E-3</v>
      </c>
      <c r="F24">
        <f t="shared" si="1"/>
        <v>217.81652</v>
      </c>
      <c r="G24">
        <f t="shared" si="2"/>
        <v>-0.67738503000000005</v>
      </c>
      <c r="H24">
        <f t="shared" si="3"/>
        <v>-147.5456499346956</v>
      </c>
      <c r="I24">
        <v>1</v>
      </c>
      <c r="J24">
        <f t="shared" si="4"/>
        <v>-1.5241022219565754</v>
      </c>
      <c r="K24">
        <f t="shared" si="5"/>
        <v>-0.5443401217752174</v>
      </c>
      <c r="L24">
        <v>1</v>
      </c>
      <c r="M24">
        <f t="shared" si="6"/>
        <v>0.53197848668619174</v>
      </c>
      <c r="N24">
        <f t="shared" si="7"/>
        <v>1.7643138119999999E-2</v>
      </c>
      <c r="O24">
        <f t="shared" si="8"/>
        <v>4.1494047060000004E-3</v>
      </c>
      <c r="P24">
        <f t="shared" si="9"/>
        <v>-9.4309077369743415E-3</v>
      </c>
      <c r="V24">
        <v>-4.0000000000000098</v>
      </c>
      <c r="W24">
        <f t="shared" si="10"/>
        <v>-0.34999999999999931</v>
      </c>
      <c r="Y24">
        <v>0.2</v>
      </c>
      <c r="Z24">
        <f t="shared" si="11"/>
        <v>1.3525179999999999</v>
      </c>
    </row>
    <row r="25" spans="1:26" x14ac:dyDescent="0.3">
      <c r="A25">
        <v>1.1394918000000001</v>
      </c>
      <c r="B25">
        <v>0.67287916000000003</v>
      </c>
      <c r="C25">
        <f t="shared" si="0"/>
        <v>0.76674028521088811</v>
      </c>
      <c r="D25">
        <v>1.6199999999999999E-2</v>
      </c>
      <c r="E25">
        <v>3.81E-3</v>
      </c>
      <c r="F25">
        <f t="shared" si="1"/>
        <v>227.89836000000003</v>
      </c>
      <c r="G25">
        <f t="shared" si="2"/>
        <v>-0.67287916000000003</v>
      </c>
      <c r="H25">
        <f t="shared" si="3"/>
        <v>-153.34805704217763</v>
      </c>
      <c r="I25">
        <v>1</v>
      </c>
      <c r="J25">
        <f t="shared" si="4"/>
        <v>-1.4788555388950479</v>
      </c>
      <c r="K25">
        <f t="shared" si="5"/>
        <v>-0.54884599177521742</v>
      </c>
      <c r="L25">
        <v>1</v>
      </c>
      <c r="M25">
        <f t="shared" si="6"/>
        <v>0.53530411789121402</v>
      </c>
      <c r="N25">
        <f t="shared" si="7"/>
        <v>1.8459767160000001E-2</v>
      </c>
      <c r="O25">
        <f t="shared" si="8"/>
        <v>4.3414637579999998E-3</v>
      </c>
      <c r="P25">
        <f t="shared" si="9"/>
        <v>-9.259357033996593E-3</v>
      </c>
      <c r="V25">
        <v>-3.9000000000000101</v>
      </c>
      <c r="W25">
        <f t="shared" si="10"/>
        <v>-0.35734999999999928</v>
      </c>
      <c r="Y25">
        <v>0.21</v>
      </c>
      <c r="Z25">
        <f t="shared" si="11"/>
        <v>1.4370883999999999</v>
      </c>
    </row>
    <row r="26" spans="1:26" x14ac:dyDescent="0.3">
      <c r="A26">
        <v>1.1924467999999999</v>
      </c>
      <c r="B26">
        <v>0.66827773999999995</v>
      </c>
      <c r="C26">
        <f t="shared" si="0"/>
        <v>0.79688565257423194</v>
      </c>
      <c r="D26">
        <v>1.6199999999999999E-2</v>
      </c>
      <c r="E26">
        <v>3.81E-3</v>
      </c>
      <c r="F26">
        <f t="shared" si="1"/>
        <v>238.48935999999998</v>
      </c>
      <c r="G26">
        <f t="shared" si="2"/>
        <v>-0.66827773999999995</v>
      </c>
      <c r="H26">
        <f t="shared" si="3"/>
        <v>-159.37713051484639</v>
      </c>
      <c r="I26">
        <v>1</v>
      </c>
      <c r="J26">
        <f t="shared" si="4"/>
        <v>-1.4334305818082222</v>
      </c>
      <c r="K26">
        <f t="shared" si="5"/>
        <v>-0.5534474117752175</v>
      </c>
      <c r="L26">
        <v>1</v>
      </c>
      <c r="M26">
        <f t="shared" si="6"/>
        <v>0.53864285223709563</v>
      </c>
      <c r="N26">
        <f t="shared" si="7"/>
        <v>1.9317638159999997E-2</v>
      </c>
      <c r="O26">
        <f t="shared" si="8"/>
        <v>4.543222308E-3</v>
      </c>
      <c r="P26">
        <f t="shared" si="9"/>
        <v>-9.0563009298781222E-3</v>
      </c>
      <c r="V26">
        <v>-3.80000000000001</v>
      </c>
      <c r="W26">
        <f t="shared" si="10"/>
        <v>-0.3646999999999993</v>
      </c>
      <c r="Y26">
        <v>0.22</v>
      </c>
      <c r="Z26">
        <f t="shared" si="11"/>
        <v>1.5216588</v>
      </c>
    </row>
    <row r="27" spans="1:26" x14ac:dyDescent="0.3">
      <c r="A27">
        <v>1.2433650999999999</v>
      </c>
      <c r="B27">
        <v>0.66325635000000005</v>
      </c>
      <c r="C27">
        <f t="shared" si="0"/>
        <v>0.82466979794338502</v>
      </c>
      <c r="D27">
        <v>1.6199999999999999E-2</v>
      </c>
      <c r="E27">
        <v>3.81E-3</v>
      </c>
      <c r="F27">
        <f t="shared" si="1"/>
        <v>248.67301999999998</v>
      </c>
      <c r="G27">
        <f t="shared" si="2"/>
        <v>-0.66325635000000005</v>
      </c>
      <c r="H27">
        <f t="shared" si="3"/>
        <v>-164.933959588677</v>
      </c>
      <c r="I27">
        <v>1</v>
      </c>
      <c r="J27">
        <f t="shared" si="4"/>
        <v>-1.3916164181750161</v>
      </c>
      <c r="K27">
        <f t="shared" si="5"/>
        <v>-0.5584688017752174</v>
      </c>
      <c r="L27">
        <v>1</v>
      </c>
      <c r="M27">
        <f t="shared" si="6"/>
        <v>0.54171619326413634</v>
      </c>
      <c r="N27">
        <f t="shared" si="7"/>
        <v>2.0142514619999996E-2</v>
      </c>
      <c r="O27">
        <f t="shared" si="8"/>
        <v>4.7372210309999992E-3</v>
      </c>
      <c r="P27">
        <f t="shared" si="9"/>
        <v>-8.1271271399189268E-3</v>
      </c>
      <c r="V27">
        <v>-3.7000000000000099</v>
      </c>
      <c r="W27">
        <f t="shared" si="10"/>
        <v>-0.37204999999999933</v>
      </c>
      <c r="Y27">
        <v>0.23</v>
      </c>
      <c r="Z27">
        <f t="shared" si="11"/>
        <v>1.6062292</v>
      </c>
    </row>
    <row r="28" spans="1:26" x14ac:dyDescent="0.3">
      <c r="A28">
        <v>1.295811</v>
      </c>
      <c r="B28">
        <v>0.65896045999999997</v>
      </c>
      <c r="C28">
        <f t="shared" si="0"/>
        <v>0.85388821263306003</v>
      </c>
      <c r="D28">
        <v>1.6199999999999999E-2</v>
      </c>
      <c r="E28">
        <v>3.81E-3</v>
      </c>
      <c r="F28">
        <f t="shared" si="1"/>
        <v>259.16219999999998</v>
      </c>
      <c r="G28">
        <f t="shared" si="2"/>
        <v>-0.65896045999999997</v>
      </c>
      <c r="H28">
        <f t="shared" si="3"/>
        <v>-170.777642526612</v>
      </c>
      <c r="I28">
        <v>1</v>
      </c>
      <c r="J28">
        <f t="shared" si="4"/>
        <v>-1.3503011584720652</v>
      </c>
      <c r="K28">
        <f t="shared" si="5"/>
        <v>-0.56276469177521748</v>
      </c>
      <c r="L28">
        <v>1</v>
      </c>
      <c r="M28">
        <f t="shared" si="6"/>
        <v>0.54475286485230323</v>
      </c>
      <c r="N28">
        <f t="shared" si="7"/>
        <v>2.09921382E-2</v>
      </c>
      <c r="O28">
        <f t="shared" si="8"/>
        <v>4.9370399100000005E-3</v>
      </c>
      <c r="P28">
        <f t="shared" si="9"/>
        <v>-7.9173511870857458E-3</v>
      </c>
      <c r="V28">
        <v>-3.6000000000000099</v>
      </c>
      <c r="W28">
        <f t="shared" si="10"/>
        <v>-0.37939999999999929</v>
      </c>
      <c r="Y28">
        <v>0.24</v>
      </c>
      <c r="Z28">
        <f t="shared" si="11"/>
        <v>1.6907995999999996</v>
      </c>
    </row>
    <row r="29" spans="1:26" x14ac:dyDescent="0.3">
      <c r="A29">
        <v>1.3462201</v>
      </c>
      <c r="B29">
        <v>0.65441632000000005</v>
      </c>
      <c r="C29">
        <f t="shared" si="0"/>
        <v>0.88098840375203213</v>
      </c>
      <c r="D29">
        <v>1.6199999999999999E-2</v>
      </c>
      <c r="E29">
        <v>3.81E-3</v>
      </c>
      <c r="F29">
        <f t="shared" si="1"/>
        <v>269.24401999999998</v>
      </c>
      <c r="G29">
        <f t="shared" si="2"/>
        <v>-0.65441632000000005</v>
      </c>
      <c r="H29">
        <f t="shared" si="3"/>
        <v>-176.19768075040642</v>
      </c>
      <c r="I29">
        <v>1</v>
      </c>
      <c r="J29">
        <f t="shared" si="4"/>
        <v>-1.3121371730344356</v>
      </c>
      <c r="K29">
        <f t="shared" si="5"/>
        <v>-0.5673088317752174</v>
      </c>
      <c r="L29">
        <v>1</v>
      </c>
      <c r="M29">
        <f t="shared" si="6"/>
        <v>0.54755791778196905</v>
      </c>
      <c r="N29">
        <f t="shared" si="7"/>
        <v>2.180876562E-2</v>
      </c>
      <c r="O29">
        <f t="shared" si="8"/>
        <v>5.1290985810000002E-3</v>
      </c>
      <c r="P29">
        <f t="shared" si="9"/>
        <v>-7.1869502077516467E-3</v>
      </c>
      <c r="V29">
        <v>-3.5000000000000102</v>
      </c>
      <c r="W29">
        <f t="shared" si="10"/>
        <v>-0.38674999999999926</v>
      </c>
      <c r="Y29">
        <v>0.25</v>
      </c>
      <c r="Z29">
        <f t="shared" si="11"/>
        <v>1.7753699999999997</v>
      </c>
    </row>
    <row r="30" spans="1:26" x14ac:dyDescent="0.3">
      <c r="A30">
        <v>1.3991752</v>
      </c>
      <c r="B30">
        <v>0.64994859999999999</v>
      </c>
      <c r="C30">
        <f t="shared" si="0"/>
        <v>0.90939196239471998</v>
      </c>
      <c r="D30">
        <v>1.6199999999999999E-2</v>
      </c>
      <c r="E30">
        <v>3.81E-3</v>
      </c>
      <c r="F30">
        <f t="shared" si="1"/>
        <v>279.83503999999999</v>
      </c>
      <c r="G30">
        <f t="shared" si="2"/>
        <v>-0.64994859999999999</v>
      </c>
      <c r="H30">
        <f t="shared" si="3"/>
        <v>-181.87839247894399</v>
      </c>
      <c r="I30">
        <v>1</v>
      </c>
      <c r="J30">
        <f t="shared" si="4"/>
        <v>-1.2735549922828753</v>
      </c>
      <c r="K30">
        <f t="shared" si="5"/>
        <v>-0.57177655177521747</v>
      </c>
      <c r="L30">
        <v>1</v>
      </c>
      <c r="M30">
        <f t="shared" si="6"/>
        <v>0.55039370806720866</v>
      </c>
      <c r="N30">
        <f t="shared" si="7"/>
        <v>2.2666638239999998E-2</v>
      </c>
      <c r="O30">
        <f t="shared" si="8"/>
        <v>5.3308575120000002E-3</v>
      </c>
      <c r="P30">
        <f t="shared" si="9"/>
        <v>-6.6146520439911956E-3</v>
      </c>
      <c r="V30">
        <v>-3.4000000000000101</v>
      </c>
      <c r="W30">
        <f t="shared" si="10"/>
        <v>-0.39409999999999928</v>
      </c>
      <c r="Y30">
        <v>0.26</v>
      </c>
      <c r="Z30">
        <f t="shared" si="11"/>
        <v>1.8599403999999997</v>
      </c>
    </row>
    <row r="31" spans="1:26" x14ac:dyDescent="0.3">
      <c r="A31">
        <v>1.4495842000000001</v>
      </c>
      <c r="B31">
        <v>0.64611094999999996</v>
      </c>
      <c r="C31">
        <f t="shared" si="0"/>
        <v>0.93659222456698998</v>
      </c>
      <c r="D31">
        <v>1.6199999999999999E-2</v>
      </c>
      <c r="E31">
        <v>3.81E-3</v>
      </c>
      <c r="F31">
        <f t="shared" si="1"/>
        <v>289.91684000000004</v>
      </c>
      <c r="G31">
        <f t="shared" si="2"/>
        <v>-0.64611094999999996</v>
      </c>
      <c r="H31">
        <f t="shared" si="3"/>
        <v>-187.318444913398</v>
      </c>
      <c r="I31">
        <v>1</v>
      </c>
      <c r="J31">
        <f t="shared" si="4"/>
        <v>-1.238161155745422</v>
      </c>
      <c r="K31">
        <f t="shared" si="5"/>
        <v>-0.57561420177521749</v>
      </c>
      <c r="L31">
        <v>1</v>
      </c>
      <c r="M31">
        <f t="shared" si="6"/>
        <v>0.55299515505271146</v>
      </c>
      <c r="N31">
        <f t="shared" si="7"/>
        <v>2.348326404E-2</v>
      </c>
      <c r="O31">
        <f t="shared" si="8"/>
        <v>5.522915802E-3</v>
      </c>
      <c r="P31">
        <f t="shared" si="9"/>
        <v>-6.3871331194939691E-3</v>
      </c>
      <c r="V31">
        <v>-3.30000000000001</v>
      </c>
      <c r="W31">
        <f t="shared" si="10"/>
        <v>-0.40144999999999931</v>
      </c>
      <c r="Y31">
        <v>0.27</v>
      </c>
      <c r="Z31">
        <f t="shared" si="11"/>
        <v>1.9445107999999998</v>
      </c>
    </row>
    <row r="32" spans="1:26" x14ac:dyDescent="0.3">
      <c r="A32">
        <v>1.5025393</v>
      </c>
      <c r="B32">
        <v>0.64173864999999997</v>
      </c>
      <c r="C32">
        <f t="shared" si="0"/>
        <v>0.96423754195394495</v>
      </c>
      <c r="D32">
        <v>1.6199999999999999E-2</v>
      </c>
      <c r="E32">
        <v>3.81E-3</v>
      </c>
      <c r="F32">
        <f t="shared" si="1"/>
        <v>300.50785999999999</v>
      </c>
      <c r="G32">
        <f t="shared" si="2"/>
        <v>-0.64173864999999997</v>
      </c>
      <c r="H32">
        <f t="shared" si="3"/>
        <v>-192.84750839078899</v>
      </c>
      <c r="I32">
        <v>1</v>
      </c>
      <c r="J32">
        <f t="shared" si="4"/>
        <v>-1.2022813689429575</v>
      </c>
      <c r="K32">
        <f t="shared" si="5"/>
        <v>-0.57998650177521749</v>
      </c>
      <c r="L32">
        <v>1</v>
      </c>
      <c r="M32">
        <f t="shared" si="6"/>
        <v>0.55563231938269264</v>
      </c>
      <c r="N32">
        <f t="shared" si="7"/>
        <v>2.4341136659999998E-2</v>
      </c>
      <c r="O32">
        <f t="shared" si="8"/>
        <v>5.724674733E-3</v>
      </c>
      <c r="P32">
        <f t="shared" si="9"/>
        <v>-5.7116290004751505E-3</v>
      </c>
      <c r="V32">
        <v>-3.2000000000000099</v>
      </c>
      <c r="W32">
        <f t="shared" si="10"/>
        <v>-0.40879999999999928</v>
      </c>
    </row>
    <row r="33" spans="1:23" x14ac:dyDescent="0.3">
      <c r="A33">
        <v>1.5534578000000001</v>
      </c>
      <c r="B33">
        <v>0.63759553000000002</v>
      </c>
      <c r="C33">
        <f t="shared" si="0"/>
        <v>0.99047774932363408</v>
      </c>
      <c r="D33">
        <v>1.6199999999999999E-2</v>
      </c>
      <c r="E33">
        <v>3.81E-3</v>
      </c>
      <c r="F33">
        <f t="shared" si="1"/>
        <v>310.69156000000004</v>
      </c>
      <c r="G33">
        <f t="shared" si="2"/>
        <v>-0.63759553000000002</v>
      </c>
      <c r="H33">
        <f t="shared" si="3"/>
        <v>-198.09554986472682</v>
      </c>
      <c r="I33">
        <v>1</v>
      </c>
      <c r="J33">
        <f t="shared" si="4"/>
        <v>-1.1689546274194278</v>
      </c>
      <c r="K33">
        <f t="shared" si="5"/>
        <v>-0.58412962177521743</v>
      </c>
      <c r="L33">
        <v>1</v>
      </c>
      <c r="M33">
        <f t="shared" si="6"/>
        <v>0.55808183488467211</v>
      </c>
      <c r="N33">
        <f t="shared" si="7"/>
        <v>2.5166016360000001E-2</v>
      </c>
      <c r="O33">
        <f t="shared" si="8"/>
        <v>5.9186742180000005E-3</v>
      </c>
      <c r="P33">
        <f t="shared" si="9"/>
        <v>-5.0369036874546805E-3</v>
      </c>
      <c r="V33">
        <v>-3.1000000000000099</v>
      </c>
      <c r="W33">
        <f t="shared" si="10"/>
        <v>-0.4161499999999993</v>
      </c>
    </row>
    <row r="34" spans="1:23" x14ac:dyDescent="0.3">
      <c r="A34">
        <v>1.6043761000000001</v>
      </c>
      <c r="B34">
        <v>0.63347149000000003</v>
      </c>
      <c r="C34">
        <f t="shared" si="0"/>
        <v>1.0163265185873891</v>
      </c>
      <c r="D34">
        <v>1.6199999999999999E-2</v>
      </c>
      <c r="E34">
        <v>3.81E-3</v>
      </c>
      <c r="F34">
        <f t="shared" si="1"/>
        <v>320.87522000000001</v>
      </c>
      <c r="G34">
        <f t="shared" si="2"/>
        <v>-0.63347149000000003</v>
      </c>
      <c r="H34">
        <f t="shared" si="3"/>
        <v>-203.26530371747782</v>
      </c>
      <c r="I34">
        <v>1</v>
      </c>
      <c r="J34">
        <f t="shared" si="4"/>
        <v>-1.136702954165824</v>
      </c>
      <c r="K34">
        <f t="shared" si="5"/>
        <v>-0.58825366177521743</v>
      </c>
      <c r="L34">
        <v>1</v>
      </c>
      <c r="M34">
        <f t="shared" si="6"/>
        <v>0.56045233286881191</v>
      </c>
      <c r="N34">
        <f t="shared" si="7"/>
        <v>2.599089282E-2</v>
      </c>
      <c r="O34">
        <f t="shared" si="8"/>
        <v>6.1126729410000006E-3</v>
      </c>
      <c r="P34">
        <f t="shared" si="9"/>
        <v>-4.3022368545944803E-3</v>
      </c>
      <c r="V34">
        <v>-3.0000000000000102</v>
      </c>
      <c r="W34">
        <f t="shared" si="10"/>
        <v>-0.42349999999999927</v>
      </c>
    </row>
    <row r="35" spans="1:23" x14ac:dyDescent="0.3">
      <c r="A35">
        <v>1.6558036</v>
      </c>
      <c r="B35">
        <v>0.62976748000000005</v>
      </c>
      <c r="C35">
        <f t="shared" si="0"/>
        <v>1.0427712605469281</v>
      </c>
      <c r="D35">
        <v>1.6199999999999999E-2</v>
      </c>
      <c r="E35">
        <v>3.81E-3</v>
      </c>
      <c r="F35">
        <f t="shared" si="1"/>
        <v>331.16072000000003</v>
      </c>
      <c r="G35">
        <f t="shared" si="2"/>
        <v>-0.62976748000000005</v>
      </c>
      <c r="H35">
        <f t="shared" si="3"/>
        <v>-208.55425210938563</v>
      </c>
      <c r="I35">
        <v>1</v>
      </c>
      <c r="J35">
        <f t="shared" si="4"/>
        <v>-1.1051514625382703</v>
      </c>
      <c r="K35">
        <f t="shared" si="5"/>
        <v>-0.59195767177521741</v>
      </c>
      <c r="L35">
        <v>1</v>
      </c>
      <c r="M35">
        <f t="shared" si="6"/>
        <v>0.56277136750343715</v>
      </c>
      <c r="N35">
        <f t="shared" si="7"/>
        <v>2.682401832E-2</v>
      </c>
      <c r="O35">
        <f t="shared" si="8"/>
        <v>6.3086117160000002E-3</v>
      </c>
      <c r="P35">
        <f t="shared" si="9"/>
        <v>-3.9463257642197392E-3</v>
      </c>
      <c r="V35">
        <v>-2.9000000000000101</v>
      </c>
      <c r="W35">
        <f t="shared" si="10"/>
        <v>-0.43084999999999929</v>
      </c>
    </row>
    <row r="36" spans="1:23" x14ac:dyDescent="0.3">
      <c r="A36">
        <v>1.7082493999999999</v>
      </c>
      <c r="B36">
        <v>0.62550974000000004</v>
      </c>
      <c r="C36">
        <f t="shared" si="0"/>
        <v>1.068526638049156</v>
      </c>
      <c r="D36">
        <v>1.6199999999999999E-2</v>
      </c>
      <c r="E36">
        <v>3.81E-3</v>
      </c>
      <c r="F36">
        <f t="shared" si="1"/>
        <v>341.64988</v>
      </c>
      <c r="G36">
        <f t="shared" si="2"/>
        <v>-0.62550974000000004</v>
      </c>
      <c r="H36">
        <f t="shared" si="3"/>
        <v>-213.70532760983122</v>
      </c>
      <c r="I36">
        <v>1</v>
      </c>
      <c r="J36">
        <f t="shared" si="4"/>
        <v>-1.0739688089920572</v>
      </c>
      <c r="K36">
        <f t="shared" si="5"/>
        <v>-0.59621541177521742</v>
      </c>
      <c r="L36">
        <v>1</v>
      </c>
      <c r="M36">
        <f t="shared" si="6"/>
        <v>0.56506329253908383</v>
      </c>
      <c r="N36">
        <f t="shared" si="7"/>
        <v>2.7673640279999998E-2</v>
      </c>
      <c r="O36">
        <f t="shared" si="8"/>
        <v>6.508430214E-3</v>
      </c>
      <c r="P36">
        <f t="shared" si="9"/>
        <v>-3.0299512578664074E-3</v>
      </c>
      <c r="V36">
        <v>-2.80000000000001</v>
      </c>
      <c r="W36">
        <f t="shared" ref="W36:W67" si="12">V36*$S$5+$S$4</f>
        <v>-0.43819999999999926</v>
      </c>
    </row>
    <row r="37" spans="1:23" x14ac:dyDescent="0.3">
      <c r="A37">
        <v>1.7596769000000001</v>
      </c>
      <c r="B37">
        <v>0.62190120999999998</v>
      </c>
      <c r="C37">
        <f t="shared" si="0"/>
        <v>1.0943451933190491</v>
      </c>
      <c r="D37">
        <v>1.6199999999999999E-2</v>
      </c>
      <c r="E37">
        <v>3.81E-3</v>
      </c>
      <c r="F37">
        <f t="shared" si="1"/>
        <v>351.93538000000001</v>
      </c>
      <c r="G37">
        <f t="shared" si="2"/>
        <v>-0.62190120999999998</v>
      </c>
      <c r="H37">
        <f t="shared" si="3"/>
        <v>-218.86903866380982</v>
      </c>
      <c r="I37">
        <v>1</v>
      </c>
      <c r="J37">
        <f t="shared" si="4"/>
        <v>-1.0443076997822818</v>
      </c>
      <c r="K37">
        <f t="shared" si="5"/>
        <v>-0.59982394177521747</v>
      </c>
      <c r="L37">
        <v>1</v>
      </c>
      <c r="M37">
        <f t="shared" si="6"/>
        <v>0.56724338406600228</v>
      </c>
      <c r="N37">
        <f t="shared" si="7"/>
        <v>2.8506765779999999E-2</v>
      </c>
      <c r="O37">
        <f t="shared" si="8"/>
        <v>6.7043689890000004E-3</v>
      </c>
      <c r="P37">
        <f t="shared" si="9"/>
        <v>-2.6305770597848024E-3</v>
      </c>
      <c r="V37">
        <v>-2.7000000000000099</v>
      </c>
      <c r="W37">
        <f t="shared" si="12"/>
        <v>-0.44554999999999934</v>
      </c>
    </row>
    <row r="38" spans="1:23" x14ac:dyDescent="0.3">
      <c r="A38">
        <v>1.8105952999999999</v>
      </c>
      <c r="B38">
        <v>0.61812078999999998</v>
      </c>
      <c r="C38">
        <f t="shared" si="0"/>
        <v>1.119166597206287</v>
      </c>
      <c r="D38">
        <v>1.6199999999999999E-2</v>
      </c>
      <c r="E38">
        <v>3.81E-3</v>
      </c>
      <c r="F38">
        <f t="shared" si="1"/>
        <v>362.11905999999999</v>
      </c>
      <c r="G38">
        <f t="shared" si="2"/>
        <v>-0.61812078999999998</v>
      </c>
      <c r="H38">
        <f t="shared" si="3"/>
        <v>-223.8333194412574</v>
      </c>
      <c r="I38">
        <v>1</v>
      </c>
      <c r="J38">
        <f t="shared" si="4"/>
        <v>-1.0157822262028551</v>
      </c>
      <c r="K38">
        <f t="shared" si="5"/>
        <v>-0.60360436177521748</v>
      </c>
      <c r="L38">
        <v>1</v>
      </c>
      <c r="M38">
        <f t="shared" si="6"/>
        <v>0.56934000637409021</v>
      </c>
      <c r="N38">
        <f t="shared" si="7"/>
        <v>2.9331643859999996E-2</v>
      </c>
      <c r="O38">
        <f t="shared" si="8"/>
        <v>6.8983680929999994E-3</v>
      </c>
      <c r="P38">
        <f t="shared" si="9"/>
        <v>-1.9656565518727286E-3</v>
      </c>
      <c r="V38">
        <v>-2.6000000000000099</v>
      </c>
      <c r="W38">
        <f t="shared" si="12"/>
        <v>-0.4528999999999993</v>
      </c>
    </row>
    <row r="39" spans="1:23" x14ac:dyDescent="0.3">
      <c r="A39">
        <v>1.8615134</v>
      </c>
      <c r="B39">
        <v>0.61445497999999998</v>
      </c>
      <c r="C39">
        <f t="shared" si="0"/>
        <v>1.143816178966732</v>
      </c>
      <c r="D39">
        <v>1.6199999999999999E-2</v>
      </c>
      <c r="E39">
        <v>3.81E-3</v>
      </c>
      <c r="F39">
        <f t="shared" si="1"/>
        <v>372.30268000000001</v>
      </c>
      <c r="G39">
        <f t="shared" si="2"/>
        <v>-0.61445497999999998</v>
      </c>
      <c r="H39">
        <f t="shared" si="3"/>
        <v>-228.76323579334641</v>
      </c>
      <c r="I39">
        <v>1</v>
      </c>
      <c r="J39">
        <f t="shared" si="4"/>
        <v>-0.98804809963353823</v>
      </c>
      <c r="K39">
        <f t="shared" si="5"/>
        <v>-0.60727017177521747</v>
      </c>
      <c r="L39">
        <v>1</v>
      </c>
      <c r="M39">
        <f t="shared" si="6"/>
        <v>0.57137846467693498</v>
      </c>
      <c r="N39">
        <f t="shared" si="7"/>
        <v>3.0156517079999997E-2</v>
      </c>
      <c r="O39">
        <f t="shared" si="8"/>
        <v>7.0923660539999999E-3</v>
      </c>
      <c r="P39">
        <f t="shared" si="9"/>
        <v>-1.3571760357175087E-3</v>
      </c>
      <c r="V39">
        <v>-2.5000000000000102</v>
      </c>
      <c r="W39">
        <f t="shared" si="12"/>
        <v>-0.46024999999999927</v>
      </c>
    </row>
    <row r="40" spans="1:23" x14ac:dyDescent="0.3">
      <c r="A40">
        <v>1.9139595</v>
      </c>
      <c r="B40">
        <v>0.61088461000000005</v>
      </c>
      <c r="C40">
        <f t="shared" si="0"/>
        <v>1.1692084027132952</v>
      </c>
      <c r="D40">
        <v>1.6199999999999999E-2</v>
      </c>
      <c r="E40">
        <v>3.81E-3</v>
      </c>
      <c r="F40">
        <f t="shared" si="1"/>
        <v>382.7919</v>
      </c>
      <c r="G40">
        <f t="shared" si="2"/>
        <v>-0.61088461000000005</v>
      </c>
      <c r="H40">
        <f t="shared" si="3"/>
        <v>-233.84168054265905</v>
      </c>
      <c r="I40">
        <v>1</v>
      </c>
      <c r="J40">
        <f t="shared" si="4"/>
        <v>-0.96026377950181929</v>
      </c>
      <c r="K40">
        <f t="shared" si="5"/>
        <v>-0.6108405417752174</v>
      </c>
      <c r="L40">
        <v>1</v>
      </c>
      <c r="M40">
        <f t="shared" si="6"/>
        <v>0.57342061220661633</v>
      </c>
      <c r="N40">
        <f t="shared" si="7"/>
        <v>3.1006143899999998E-2</v>
      </c>
      <c r="O40">
        <f t="shared" si="8"/>
        <v>7.2921856949999999E-3</v>
      </c>
      <c r="P40">
        <f t="shared" si="9"/>
        <v>-8.7840002639892438E-4</v>
      </c>
      <c r="V40">
        <v>-2.4000000000000101</v>
      </c>
      <c r="W40">
        <f t="shared" si="12"/>
        <v>-0.46759999999999929</v>
      </c>
    </row>
    <row r="41" spans="1:23" x14ac:dyDescent="0.3">
      <c r="A41">
        <v>1.965387</v>
      </c>
      <c r="B41">
        <v>0.60710423999999996</v>
      </c>
      <c r="C41">
        <f t="shared" si="0"/>
        <v>1.1931947809408798</v>
      </c>
      <c r="D41">
        <v>1.6199999999999999E-2</v>
      </c>
      <c r="E41">
        <v>3.81E-3</v>
      </c>
      <c r="F41">
        <f t="shared" si="1"/>
        <v>393.07740000000001</v>
      </c>
      <c r="G41">
        <f t="shared" si="2"/>
        <v>-0.60710423999999996</v>
      </c>
      <c r="H41">
        <f t="shared" si="3"/>
        <v>-238.63895618817597</v>
      </c>
      <c r="I41">
        <v>1</v>
      </c>
      <c r="J41">
        <f t="shared" si="4"/>
        <v>-0.93374873993941898</v>
      </c>
      <c r="K41">
        <f t="shared" si="5"/>
        <v>-0.61462091177521749</v>
      </c>
      <c r="L41">
        <v>1</v>
      </c>
      <c r="M41">
        <f t="shared" si="6"/>
        <v>0.57536946761445273</v>
      </c>
      <c r="N41">
        <f t="shared" si="7"/>
        <v>3.1839269399999995E-2</v>
      </c>
      <c r="O41">
        <f t="shared" si="8"/>
        <v>7.4881244700000004E-3</v>
      </c>
      <c r="P41">
        <f t="shared" si="9"/>
        <v>-7.5949709235236147E-5</v>
      </c>
      <c r="V41">
        <v>-2.30000000000001</v>
      </c>
      <c r="W41">
        <f t="shared" si="12"/>
        <v>-0.47494999999999932</v>
      </c>
    </row>
    <row r="42" spans="1:23" x14ac:dyDescent="0.3">
      <c r="A42">
        <v>2.0193604999999999</v>
      </c>
      <c r="B42">
        <v>0.60351478999999997</v>
      </c>
      <c r="C42">
        <f t="shared" si="0"/>
        <v>1.2187139280917949</v>
      </c>
      <c r="D42">
        <v>1.6199999999999999E-2</v>
      </c>
      <c r="E42">
        <v>3.81E-3</v>
      </c>
      <c r="F42">
        <f t="shared" si="1"/>
        <v>403.87209999999999</v>
      </c>
      <c r="G42">
        <f t="shared" si="2"/>
        <v>-0.60351478999999997</v>
      </c>
      <c r="H42">
        <f t="shared" si="3"/>
        <v>-243.74278561835899</v>
      </c>
      <c r="I42">
        <v>1</v>
      </c>
      <c r="J42">
        <f t="shared" si="4"/>
        <v>-0.90665703530274655</v>
      </c>
      <c r="K42">
        <f t="shared" si="5"/>
        <v>-0.61821036177521749</v>
      </c>
      <c r="L42">
        <v>1</v>
      </c>
      <c r="M42">
        <f t="shared" si="6"/>
        <v>0.57736070790524818</v>
      </c>
      <c r="N42">
        <f t="shared" si="7"/>
        <v>3.2713640099999997E-2</v>
      </c>
      <c r="O42">
        <f t="shared" si="8"/>
        <v>7.6937635049999994E-3</v>
      </c>
      <c r="P42">
        <f t="shared" si="9"/>
        <v>4.4225026496930858E-4</v>
      </c>
      <c r="V42">
        <v>-2.2000000000000099</v>
      </c>
      <c r="W42">
        <f t="shared" si="12"/>
        <v>-0.48229999999999928</v>
      </c>
    </row>
    <row r="43" spans="1:23" x14ac:dyDescent="0.3">
      <c r="A43">
        <v>2.0697695</v>
      </c>
      <c r="B43">
        <v>0.59977256999999995</v>
      </c>
      <c r="C43">
        <f t="shared" si="0"/>
        <v>1.2413909723226149</v>
      </c>
      <c r="D43">
        <v>1.6199999999999999E-2</v>
      </c>
      <c r="E43">
        <v>3.81E-3</v>
      </c>
      <c r="F43">
        <f t="shared" si="1"/>
        <v>413.95390000000003</v>
      </c>
      <c r="G43">
        <f t="shared" si="2"/>
        <v>-0.59977256999999995</v>
      </c>
      <c r="H43">
        <f t="shared" si="3"/>
        <v>-248.27819446452298</v>
      </c>
      <c r="I43">
        <v>1</v>
      </c>
      <c r="J43">
        <f t="shared" si="4"/>
        <v>-0.8820006640139948</v>
      </c>
      <c r="K43">
        <f t="shared" si="5"/>
        <v>-0.62195258177521751</v>
      </c>
      <c r="L43">
        <v>1</v>
      </c>
      <c r="M43">
        <f t="shared" si="6"/>
        <v>0.57917295119497136</v>
      </c>
      <c r="N43">
        <f t="shared" si="7"/>
        <v>3.3530265900000002E-2</v>
      </c>
      <c r="O43">
        <f t="shared" si="8"/>
        <v>7.885821795000001E-3</v>
      </c>
      <c r="P43">
        <f t="shared" si="9"/>
        <v>1.3635428852461391E-3</v>
      </c>
      <c r="V43">
        <v>-2.1000000000000099</v>
      </c>
      <c r="W43">
        <f t="shared" si="12"/>
        <v>-0.48964999999999931</v>
      </c>
    </row>
    <row r="44" spans="1:23" x14ac:dyDescent="0.3">
      <c r="A44">
        <v>2.1206879999999999</v>
      </c>
      <c r="B44">
        <v>0.59639310999999995</v>
      </c>
      <c r="C44">
        <f t="shared" si="0"/>
        <v>1.2647637116596799</v>
      </c>
      <c r="D44">
        <v>1.6199999999999999E-2</v>
      </c>
      <c r="E44">
        <v>3.81E-3</v>
      </c>
      <c r="F44">
        <f t="shared" si="1"/>
        <v>424.13759999999996</v>
      </c>
      <c r="G44">
        <f t="shared" si="2"/>
        <v>-0.59639310999999995</v>
      </c>
      <c r="H44">
        <f t="shared" si="3"/>
        <v>-252.95274233193598</v>
      </c>
      <c r="I44">
        <v>1</v>
      </c>
      <c r="J44">
        <f t="shared" si="4"/>
        <v>-0.85769734809621179</v>
      </c>
      <c r="K44">
        <f t="shared" si="5"/>
        <v>-0.62533204177521751</v>
      </c>
      <c r="L44">
        <v>1</v>
      </c>
      <c r="M44">
        <f t="shared" si="6"/>
        <v>0.58095924491492845</v>
      </c>
      <c r="N44">
        <f t="shared" si="7"/>
        <v>3.4355145599999998E-2</v>
      </c>
      <c r="O44">
        <f t="shared" si="8"/>
        <v>8.0798212799999998E-3</v>
      </c>
      <c r="P44">
        <f t="shared" si="9"/>
        <v>1.9378299802890568E-3</v>
      </c>
      <c r="V44">
        <v>-2.0000000000000102</v>
      </c>
      <c r="W44">
        <f t="shared" si="12"/>
        <v>-0.49699999999999928</v>
      </c>
    </row>
    <row r="45" spans="1:23" x14ac:dyDescent="0.3">
      <c r="A45">
        <v>2.1710972000000002</v>
      </c>
      <c r="B45">
        <v>0.59310912999999998</v>
      </c>
      <c r="C45">
        <f t="shared" si="0"/>
        <v>1.2876975714374361</v>
      </c>
      <c r="D45">
        <v>1.6199999999999999E-2</v>
      </c>
      <c r="E45">
        <v>3.81E-3</v>
      </c>
      <c r="F45">
        <f t="shared" si="1"/>
        <v>434.21944000000002</v>
      </c>
      <c r="G45">
        <f t="shared" si="2"/>
        <v>-0.59310912999999998</v>
      </c>
      <c r="H45">
        <f t="shared" si="3"/>
        <v>-257.53951428748724</v>
      </c>
      <c r="I45">
        <v>1</v>
      </c>
      <c r="J45">
        <f t="shared" si="4"/>
        <v>-0.83420525054570882</v>
      </c>
      <c r="K45">
        <f t="shared" si="5"/>
        <v>-0.62861602177521747</v>
      </c>
      <c r="L45">
        <v>1</v>
      </c>
      <c r="M45">
        <f t="shared" si="6"/>
        <v>0.58268591408489046</v>
      </c>
      <c r="N45">
        <f t="shared" si="7"/>
        <v>3.517177464E-2</v>
      </c>
      <c r="O45">
        <f t="shared" si="8"/>
        <v>8.271880332000001E-3</v>
      </c>
      <c r="P45">
        <f t="shared" si="9"/>
        <v>2.4864527183270143E-3</v>
      </c>
      <c r="V45">
        <v>-1.9000000000000099</v>
      </c>
      <c r="W45">
        <f t="shared" si="12"/>
        <v>-0.5043499999999993</v>
      </c>
    </row>
    <row r="46" spans="1:23" x14ac:dyDescent="0.3">
      <c r="A46">
        <v>2.2255798000000002</v>
      </c>
      <c r="B46">
        <v>0.58974879999999996</v>
      </c>
      <c r="C46">
        <f t="shared" si="0"/>
        <v>1.3125330163542401</v>
      </c>
      <c r="D46">
        <v>1.6199999999999999E-2</v>
      </c>
      <c r="E46">
        <v>3.81E-3</v>
      </c>
      <c r="F46">
        <f t="shared" si="1"/>
        <v>445.11596000000003</v>
      </c>
      <c r="G46">
        <f t="shared" si="2"/>
        <v>-0.58974879999999996</v>
      </c>
      <c r="H46">
        <f t="shared" si="3"/>
        <v>-262.50660327084802</v>
      </c>
      <c r="I46">
        <v>1</v>
      </c>
      <c r="J46">
        <f t="shared" si="4"/>
        <v>-0.80942044649241751</v>
      </c>
      <c r="K46">
        <f t="shared" si="5"/>
        <v>-0.63197635177521749</v>
      </c>
      <c r="L46">
        <v>1</v>
      </c>
      <c r="M46">
        <f t="shared" si="6"/>
        <v>0.58450759718280731</v>
      </c>
      <c r="N46">
        <f t="shared" si="7"/>
        <v>3.6054392760000005E-2</v>
      </c>
      <c r="O46">
        <f t="shared" si="8"/>
        <v>8.4794590380000007E-3</v>
      </c>
      <c r="P46">
        <f t="shared" si="9"/>
        <v>2.9349027944101727E-3</v>
      </c>
      <c r="V46">
        <v>-1.80000000000001</v>
      </c>
      <c r="W46">
        <f t="shared" si="12"/>
        <v>-0.51169999999999927</v>
      </c>
    </row>
    <row r="47" spans="1:23" x14ac:dyDescent="0.3">
      <c r="A47">
        <v>2.2785348999999999</v>
      </c>
      <c r="B47">
        <v>0.58640753999999995</v>
      </c>
      <c r="C47">
        <f t="shared" si="0"/>
        <v>1.3361500455131459</v>
      </c>
      <c r="D47">
        <v>1.6199999999999999E-2</v>
      </c>
      <c r="E47">
        <v>3.81E-3</v>
      </c>
      <c r="F47">
        <f t="shared" si="1"/>
        <v>455.70697999999999</v>
      </c>
      <c r="G47">
        <f t="shared" si="2"/>
        <v>-0.58640753999999995</v>
      </c>
      <c r="H47">
        <f t="shared" si="3"/>
        <v>-267.2300091026292</v>
      </c>
      <c r="I47">
        <v>1</v>
      </c>
      <c r="J47">
        <f t="shared" si="4"/>
        <v>-0.78590526373502601</v>
      </c>
      <c r="K47">
        <f t="shared" si="5"/>
        <v>-0.63531761177521751</v>
      </c>
      <c r="L47">
        <v>1</v>
      </c>
      <c r="M47">
        <f t="shared" si="6"/>
        <v>0.58623596311547566</v>
      </c>
      <c r="N47">
        <f t="shared" si="7"/>
        <v>3.6912265379999996E-2</v>
      </c>
      <c r="O47">
        <f t="shared" si="8"/>
        <v>8.6812179689999998E-3</v>
      </c>
      <c r="P47">
        <f t="shared" si="9"/>
        <v>3.4881653107418538E-3</v>
      </c>
      <c r="V47">
        <v>-1.7000000000000199</v>
      </c>
      <c r="W47">
        <f t="shared" si="12"/>
        <v>-0.51904999999999857</v>
      </c>
    </row>
    <row r="48" spans="1:23" x14ac:dyDescent="0.3">
      <c r="A48">
        <v>2.3294530999999998</v>
      </c>
      <c r="B48">
        <v>0.583009</v>
      </c>
      <c r="C48">
        <f t="shared" si="0"/>
        <v>1.3580921223778999</v>
      </c>
      <c r="D48">
        <v>1.6199999999999999E-2</v>
      </c>
      <c r="E48">
        <v>3.81E-3</v>
      </c>
      <c r="F48">
        <f t="shared" si="1"/>
        <v>465.89061999999996</v>
      </c>
      <c r="G48">
        <f t="shared" si="2"/>
        <v>-0.583009</v>
      </c>
      <c r="H48">
        <f t="shared" si="3"/>
        <v>-271.61842447557996</v>
      </c>
      <c r="I48">
        <v>1</v>
      </c>
      <c r="J48">
        <f t="shared" si="4"/>
        <v>-0.76380439343782647</v>
      </c>
      <c r="K48">
        <f t="shared" si="5"/>
        <v>-0.63871615177521746</v>
      </c>
      <c r="L48">
        <v>1</v>
      </c>
      <c r="M48">
        <f t="shared" si="6"/>
        <v>0.58786037708231975</v>
      </c>
      <c r="N48">
        <f t="shared" si="7"/>
        <v>3.7737140219999993E-2</v>
      </c>
      <c r="O48">
        <f t="shared" si="8"/>
        <v>8.8752163110000001E-3</v>
      </c>
      <c r="P48">
        <f t="shared" si="9"/>
        <v>4.2434181618977111E-3</v>
      </c>
      <c r="V48">
        <v>-1.6000000000000201</v>
      </c>
      <c r="W48">
        <f t="shared" si="12"/>
        <v>-0.52639999999999854</v>
      </c>
    </row>
    <row r="49" spans="1:23" x14ac:dyDescent="0.3">
      <c r="A49">
        <v>2.3813895999999999</v>
      </c>
      <c r="B49">
        <v>0.57940048</v>
      </c>
      <c r="C49">
        <f t="shared" si="0"/>
        <v>1.379778277307008</v>
      </c>
      <c r="D49">
        <v>1.6199999999999999E-2</v>
      </c>
      <c r="E49">
        <v>3.81E-3</v>
      </c>
      <c r="F49">
        <f t="shared" si="1"/>
        <v>476.27791999999999</v>
      </c>
      <c r="G49">
        <f t="shared" si="2"/>
        <v>-0.57940048</v>
      </c>
      <c r="H49">
        <f t="shared" si="3"/>
        <v>-275.95565546140159</v>
      </c>
      <c r="I49">
        <v>1</v>
      </c>
      <c r="J49">
        <f t="shared" si="4"/>
        <v>-0.74175372958766916</v>
      </c>
      <c r="K49">
        <f t="shared" si="5"/>
        <v>-0.64232467177521746</v>
      </c>
      <c r="L49">
        <v>1</v>
      </c>
      <c r="M49">
        <f t="shared" si="6"/>
        <v>0.58948110087530636</v>
      </c>
      <c r="N49">
        <f t="shared" si="7"/>
        <v>3.8578511519999997E-2</v>
      </c>
      <c r="O49">
        <f t="shared" si="8"/>
        <v>9.0730943759999988E-3</v>
      </c>
      <c r="P49">
        <f t="shared" si="9"/>
        <v>5.1919650039111004E-3</v>
      </c>
      <c r="V49">
        <v>-1.50000000000002</v>
      </c>
      <c r="W49">
        <f t="shared" si="12"/>
        <v>-0.53374999999999861</v>
      </c>
    </row>
    <row r="50" spans="1:23" x14ac:dyDescent="0.3">
      <c r="A50">
        <v>2.4323081000000002</v>
      </c>
      <c r="B50">
        <v>0.57651746000000004</v>
      </c>
      <c r="C50">
        <f t="shared" si="0"/>
        <v>1.4022680877494262</v>
      </c>
      <c r="D50">
        <v>1.6199999999999999E-2</v>
      </c>
      <c r="E50">
        <v>3.81E-3</v>
      </c>
      <c r="F50">
        <f t="shared" si="1"/>
        <v>486.46162000000004</v>
      </c>
      <c r="G50">
        <f t="shared" si="2"/>
        <v>-0.57651746000000004</v>
      </c>
      <c r="H50">
        <f t="shared" si="3"/>
        <v>-280.45361754988522</v>
      </c>
      <c r="I50">
        <v>1</v>
      </c>
      <c r="J50">
        <f t="shared" si="4"/>
        <v>-0.72059727049889188</v>
      </c>
      <c r="K50">
        <f t="shared" si="5"/>
        <v>-0.64520769177521742</v>
      </c>
      <c r="L50">
        <v>1</v>
      </c>
      <c r="M50">
        <f t="shared" si="6"/>
        <v>0.59103610061833145</v>
      </c>
      <c r="N50">
        <f t="shared" si="7"/>
        <v>3.940339122E-2</v>
      </c>
      <c r="O50">
        <f t="shared" si="8"/>
        <v>9.267093861000001E-3</v>
      </c>
      <c r="P50">
        <f t="shared" si="9"/>
        <v>5.5011060758859663E-3</v>
      </c>
      <c r="V50">
        <v>-1.4000000000000199</v>
      </c>
      <c r="W50">
        <f t="shared" si="12"/>
        <v>-0.54109999999999858</v>
      </c>
    </row>
    <row r="51" spans="1:23" x14ac:dyDescent="0.3">
      <c r="A51">
        <v>2.4842449000000002</v>
      </c>
      <c r="B51">
        <v>0.57329076999999995</v>
      </c>
      <c r="C51">
        <f t="shared" si="0"/>
        <v>1.424194671589573</v>
      </c>
      <c r="D51">
        <v>1.6199999999999999E-2</v>
      </c>
      <c r="E51">
        <v>3.81E-3</v>
      </c>
      <c r="F51">
        <f t="shared" si="1"/>
        <v>496.84898000000004</v>
      </c>
      <c r="G51">
        <f t="shared" si="2"/>
        <v>-0.57329076999999995</v>
      </c>
      <c r="H51">
        <f t="shared" si="3"/>
        <v>-284.83893431791461</v>
      </c>
      <c r="I51">
        <v>1</v>
      </c>
      <c r="J51">
        <f t="shared" si="4"/>
        <v>-0.69946916224035283</v>
      </c>
      <c r="K51">
        <f t="shared" si="5"/>
        <v>-0.64843438177521751</v>
      </c>
      <c r="L51">
        <v>1</v>
      </c>
      <c r="M51">
        <f t="shared" si="6"/>
        <v>0.59258901657533414</v>
      </c>
      <c r="N51">
        <f t="shared" si="7"/>
        <v>4.0244767380000004E-2</v>
      </c>
      <c r="O51">
        <f t="shared" si="8"/>
        <v>9.4649730689999999E-3</v>
      </c>
      <c r="P51">
        <f t="shared" si="9"/>
        <v>6.1356247508833634E-3</v>
      </c>
      <c r="V51">
        <v>-1.30000000000002</v>
      </c>
      <c r="W51">
        <f t="shared" si="12"/>
        <v>-0.54844999999999855</v>
      </c>
    </row>
    <row r="52" spans="1:23" x14ac:dyDescent="0.3">
      <c r="A52">
        <v>2.5356724000000002</v>
      </c>
      <c r="B52">
        <v>0.57000678999999999</v>
      </c>
      <c r="C52">
        <f t="shared" si="0"/>
        <v>1.4453504852155961</v>
      </c>
      <c r="D52">
        <v>1.6199999999999999E-2</v>
      </c>
      <c r="E52">
        <v>3.81E-3</v>
      </c>
      <c r="F52">
        <f t="shared" si="1"/>
        <v>507.13448000000005</v>
      </c>
      <c r="G52">
        <f t="shared" si="2"/>
        <v>-0.57000678999999999</v>
      </c>
      <c r="H52">
        <f t="shared" si="3"/>
        <v>-289.07009704311923</v>
      </c>
      <c r="I52">
        <v>1</v>
      </c>
      <c r="J52">
        <f t="shared" si="4"/>
        <v>-0.67897906401427666</v>
      </c>
      <c r="K52">
        <f t="shared" si="5"/>
        <v>-0.65171836177521747</v>
      </c>
      <c r="L52">
        <v>1</v>
      </c>
      <c r="M52">
        <f t="shared" si="6"/>
        <v>0.59409503879495074</v>
      </c>
      <c r="N52">
        <f t="shared" si="7"/>
        <v>4.1077892880000001E-2</v>
      </c>
      <c r="O52">
        <f t="shared" si="8"/>
        <v>9.6609118440000013E-3</v>
      </c>
      <c r="P52">
        <f t="shared" si="9"/>
        <v>6.884518256266731E-3</v>
      </c>
      <c r="V52">
        <v>-1.2000000000000199</v>
      </c>
      <c r="W52">
        <f t="shared" si="12"/>
        <v>-0.55579999999999852</v>
      </c>
    </row>
    <row r="53" spans="1:23" x14ac:dyDescent="0.3">
      <c r="A53">
        <v>2.5881181999999998</v>
      </c>
      <c r="B53">
        <v>0.56685644000000002</v>
      </c>
      <c r="C53">
        <f t="shared" si="0"/>
        <v>1.467091469151208</v>
      </c>
      <c r="D53">
        <v>1.6199999999999999E-2</v>
      </c>
      <c r="E53">
        <v>3.81E-3</v>
      </c>
      <c r="F53">
        <f t="shared" si="1"/>
        <v>517.62363999999991</v>
      </c>
      <c r="G53">
        <f t="shared" si="2"/>
        <v>-0.56685644000000002</v>
      </c>
      <c r="H53">
        <f t="shared" si="3"/>
        <v>-293.41829383024162</v>
      </c>
      <c r="I53">
        <v>1</v>
      </c>
      <c r="J53">
        <f t="shared" si="4"/>
        <v>-0.6585068645045471</v>
      </c>
      <c r="K53">
        <f t="shared" si="5"/>
        <v>-0.65486871177521744</v>
      </c>
      <c r="L53">
        <v>1</v>
      </c>
      <c r="M53">
        <f t="shared" si="6"/>
        <v>0.59559974545891581</v>
      </c>
      <c r="N53">
        <f t="shared" si="7"/>
        <v>4.1927514839999992E-2</v>
      </c>
      <c r="O53">
        <f t="shared" si="8"/>
        <v>9.8607303419999993E-3</v>
      </c>
      <c r="P53">
        <f t="shared" si="9"/>
        <v>7.4807211343016385E-3</v>
      </c>
      <c r="V53">
        <v>-1.1000000000000201</v>
      </c>
      <c r="W53">
        <f t="shared" si="12"/>
        <v>-0.56314999999999849</v>
      </c>
    </row>
    <row r="54" spans="1:23" x14ac:dyDescent="0.3">
      <c r="A54">
        <v>2.6400549</v>
      </c>
      <c r="B54">
        <v>0.56387799999999999</v>
      </c>
      <c r="C54">
        <f t="shared" si="0"/>
        <v>1.4886688769022001</v>
      </c>
      <c r="D54">
        <v>1.6199999999999999E-2</v>
      </c>
      <c r="E54">
        <v>3.81E-3</v>
      </c>
      <c r="F54">
        <f t="shared" si="1"/>
        <v>528.01098000000002</v>
      </c>
      <c r="G54">
        <f t="shared" si="2"/>
        <v>-0.56387799999999999</v>
      </c>
      <c r="H54">
        <f t="shared" si="3"/>
        <v>-297.73377538044002</v>
      </c>
      <c r="I54">
        <v>1</v>
      </c>
      <c r="J54">
        <f t="shared" si="4"/>
        <v>-0.63863820003755256</v>
      </c>
      <c r="K54">
        <f t="shared" si="5"/>
        <v>-0.65784715177521746</v>
      </c>
      <c r="L54">
        <v>1</v>
      </c>
      <c r="M54">
        <f t="shared" si="6"/>
        <v>0.59706009229723989</v>
      </c>
      <c r="N54">
        <f t="shared" si="7"/>
        <v>4.2768889379999994E-2</v>
      </c>
      <c r="O54">
        <f t="shared" si="8"/>
        <v>1.0058609168999999E-2</v>
      </c>
      <c r="P54">
        <f t="shared" si="9"/>
        <v>7.959560928977585E-3</v>
      </c>
      <c r="V54">
        <v>-1.00000000000002</v>
      </c>
      <c r="W54">
        <f t="shared" si="12"/>
        <v>-0.57049999999999856</v>
      </c>
    </row>
    <row r="55" spans="1:23" x14ac:dyDescent="0.3">
      <c r="A55">
        <v>2.6925007000000001</v>
      </c>
      <c r="B55">
        <v>0.56051761</v>
      </c>
      <c r="C55">
        <f t="shared" si="0"/>
        <v>1.509194057287327</v>
      </c>
      <c r="D55">
        <v>1.6199999999999999E-2</v>
      </c>
      <c r="E55">
        <v>3.81E-3</v>
      </c>
      <c r="F55">
        <f t="shared" si="1"/>
        <v>538.50013999999999</v>
      </c>
      <c r="G55">
        <f t="shared" si="2"/>
        <v>-0.56051761</v>
      </c>
      <c r="H55">
        <f t="shared" si="3"/>
        <v>-301.8388114574654</v>
      </c>
      <c r="I55">
        <v>1</v>
      </c>
      <c r="J55">
        <f t="shared" si="4"/>
        <v>-0.61896752240429764</v>
      </c>
      <c r="K55">
        <f t="shared" si="5"/>
        <v>-0.66120754177521746</v>
      </c>
      <c r="L55">
        <v>1</v>
      </c>
      <c r="M55">
        <f t="shared" si="6"/>
        <v>0.59850588710328412</v>
      </c>
      <c r="N55">
        <f t="shared" si="7"/>
        <v>4.3618511339999999E-2</v>
      </c>
      <c r="O55">
        <f t="shared" si="8"/>
        <v>1.0258427667000001E-2</v>
      </c>
      <c r="P55">
        <f t="shared" si="9"/>
        <v>8.8247156649333379E-3</v>
      </c>
      <c r="V55">
        <v>-0.90000000000002001</v>
      </c>
      <c r="W55">
        <f t="shared" si="12"/>
        <v>-0.57784999999999853</v>
      </c>
    </row>
    <row r="56" spans="1:23" x14ac:dyDescent="0.3">
      <c r="A56">
        <v>2.7444375000000001</v>
      </c>
      <c r="B56">
        <v>0.55763459000000004</v>
      </c>
      <c r="C56">
        <f t="shared" si="0"/>
        <v>1.5303932800931253</v>
      </c>
      <c r="D56">
        <v>1.6199999999999999E-2</v>
      </c>
      <c r="E56">
        <v>3.81E-3</v>
      </c>
      <c r="F56">
        <f t="shared" si="1"/>
        <v>548.88750000000005</v>
      </c>
      <c r="G56">
        <f t="shared" si="2"/>
        <v>-0.55763459000000004</v>
      </c>
      <c r="H56">
        <f t="shared" si="3"/>
        <v>-306.07865601862505</v>
      </c>
      <c r="I56">
        <v>1</v>
      </c>
      <c r="J56">
        <f t="shared" si="4"/>
        <v>-0.59986177650396189</v>
      </c>
      <c r="K56">
        <f t="shared" si="5"/>
        <v>-0.66409056177521741</v>
      </c>
      <c r="L56">
        <v>1</v>
      </c>
      <c r="M56">
        <f t="shared" si="6"/>
        <v>0.5999101594269588</v>
      </c>
      <c r="N56">
        <f t="shared" si="7"/>
        <v>4.4459887499999996E-2</v>
      </c>
      <c r="O56">
        <f t="shared" si="8"/>
        <v>1.0456306875E-2</v>
      </c>
      <c r="P56">
        <f t="shared" si="9"/>
        <v>9.2642079732586178E-3</v>
      </c>
      <c r="V56">
        <v>-0.80000000000002003</v>
      </c>
      <c r="W56">
        <f t="shared" si="12"/>
        <v>-0.5851999999999985</v>
      </c>
    </row>
    <row r="57" spans="1:23" x14ac:dyDescent="0.3">
      <c r="A57">
        <v>2.7948466999999999</v>
      </c>
      <c r="B57">
        <v>0.55448430999999998</v>
      </c>
      <c r="C57">
        <f t="shared" si="0"/>
        <v>1.5496986440052769</v>
      </c>
      <c r="D57">
        <v>1.6199999999999999E-2</v>
      </c>
      <c r="E57">
        <v>3.81E-3</v>
      </c>
      <c r="F57">
        <f t="shared" si="1"/>
        <v>558.96933999999999</v>
      </c>
      <c r="G57">
        <f t="shared" si="2"/>
        <v>-0.55448430999999998</v>
      </c>
      <c r="H57">
        <f t="shared" si="3"/>
        <v>-309.93972880105537</v>
      </c>
      <c r="I57">
        <v>1</v>
      </c>
      <c r="J57">
        <f t="shared" si="4"/>
        <v>-0.58166065527399624</v>
      </c>
      <c r="K57">
        <f t="shared" si="5"/>
        <v>-0.66724084177521747</v>
      </c>
      <c r="L57">
        <v>1</v>
      </c>
      <c r="M57">
        <f t="shared" si="6"/>
        <v>0.6012479418373613</v>
      </c>
      <c r="N57">
        <f t="shared" si="7"/>
        <v>4.5276516539999999E-2</v>
      </c>
      <c r="O57">
        <f t="shared" si="8"/>
        <v>1.0648365926999999E-2</v>
      </c>
      <c r="P57">
        <f t="shared" si="9"/>
        <v>1.0068017470856177E-2</v>
      </c>
      <c r="V57">
        <v>-0.70000000000002005</v>
      </c>
      <c r="W57">
        <f t="shared" si="12"/>
        <v>-0.59254999999999858</v>
      </c>
    </row>
    <row r="58" spans="1:23" x14ac:dyDescent="0.3">
      <c r="A58">
        <v>2.8493293</v>
      </c>
      <c r="B58">
        <v>0.55144852</v>
      </c>
      <c r="C58">
        <f t="shared" si="0"/>
        <v>1.5712584254776361</v>
      </c>
      <c r="D58">
        <v>1.6199999999999999E-2</v>
      </c>
      <c r="E58">
        <v>3.81E-3</v>
      </c>
      <c r="F58">
        <f t="shared" si="1"/>
        <v>569.86586</v>
      </c>
      <c r="G58">
        <f t="shared" si="2"/>
        <v>-0.55144852</v>
      </c>
      <c r="H58">
        <f t="shared" si="3"/>
        <v>-314.25168509552719</v>
      </c>
      <c r="I58">
        <v>1</v>
      </c>
      <c r="J58">
        <f t="shared" si="4"/>
        <v>-0.56235427918210867</v>
      </c>
      <c r="K58">
        <f t="shared" si="5"/>
        <v>-0.67027663177521746</v>
      </c>
      <c r="L58">
        <v>1</v>
      </c>
      <c r="M58">
        <f t="shared" si="6"/>
        <v>0.60266696048011503</v>
      </c>
      <c r="N58">
        <f t="shared" si="7"/>
        <v>4.6159134659999997E-2</v>
      </c>
      <c r="O58">
        <f t="shared" si="8"/>
        <v>1.0855944633000001E-2</v>
      </c>
      <c r="P58">
        <f t="shared" si="9"/>
        <v>1.0594592002102428E-2</v>
      </c>
      <c r="V58">
        <v>-0.60000000000001996</v>
      </c>
      <c r="W58">
        <f t="shared" si="12"/>
        <v>-0.59989999999999855</v>
      </c>
    </row>
    <row r="59" spans="1:23" x14ac:dyDescent="0.3">
      <c r="A59">
        <v>2.8997383000000001</v>
      </c>
      <c r="B59">
        <v>0.54831730999999995</v>
      </c>
      <c r="C59">
        <f t="shared" si="0"/>
        <v>1.5899767043599728</v>
      </c>
      <c r="D59">
        <v>1.6199999999999999E-2</v>
      </c>
      <c r="E59">
        <v>3.81E-3</v>
      </c>
      <c r="F59">
        <f t="shared" si="1"/>
        <v>579.94766000000004</v>
      </c>
      <c r="G59">
        <f t="shared" si="2"/>
        <v>-0.54831730999999995</v>
      </c>
      <c r="H59">
        <f t="shared" si="3"/>
        <v>-317.99534087199459</v>
      </c>
      <c r="I59">
        <v>1</v>
      </c>
      <c r="J59">
        <f t="shared" si="4"/>
        <v>-0.54481742089298046</v>
      </c>
      <c r="K59">
        <f t="shared" si="5"/>
        <v>-0.67340784177521751</v>
      </c>
      <c r="L59">
        <v>1</v>
      </c>
      <c r="M59">
        <f t="shared" si="6"/>
        <v>0.60395591956436601</v>
      </c>
      <c r="N59">
        <f t="shared" si="7"/>
        <v>4.6975760460000002E-2</v>
      </c>
      <c r="O59">
        <f t="shared" si="8"/>
        <v>1.1048002923000001E-2</v>
      </c>
      <c r="P59">
        <f t="shared" si="9"/>
        <v>1.14281588278515E-2</v>
      </c>
      <c r="V59">
        <v>-0.50000000000001998</v>
      </c>
      <c r="W59">
        <f t="shared" si="12"/>
        <v>-0.60724999999999851</v>
      </c>
    </row>
    <row r="60" spans="1:23" x14ac:dyDescent="0.3">
      <c r="A60">
        <v>2.9521841000000002</v>
      </c>
      <c r="B60">
        <v>0.54526246</v>
      </c>
      <c r="C60">
        <f t="shared" si="0"/>
        <v>1.6097151647388861</v>
      </c>
      <c r="D60">
        <v>1.6199999999999999E-2</v>
      </c>
      <c r="E60">
        <v>3.81E-3</v>
      </c>
      <c r="F60">
        <f t="shared" si="1"/>
        <v>590.43682000000001</v>
      </c>
      <c r="G60">
        <f t="shared" si="2"/>
        <v>-0.54526246</v>
      </c>
      <c r="H60">
        <f t="shared" si="3"/>
        <v>-321.94303294777723</v>
      </c>
      <c r="I60">
        <v>1</v>
      </c>
      <c r="J60">
        <f t="shared" si="4"/>
        <v>-0.52689264314181383</v>
      </c>
      <c r="K60">
        <f t="shared" si="5"/>
        <v>-0.67646269177521745</v>
      </c>
      <c r="L60">
        <v>1</v>
      </c>
      <c r="M60">
        <f t="shared" si="6"/>
        <v>0.60527339072907671</v>
      </c>
      <c r="N60">
        <f t="shared" si="7"/>
        <v>4.782538242E-2</v>
      </c>
      <c r="O60">
        <f t="shared" si="8"/>
        <v>1.1247821421E-2</v>
      </c>
      <c r="P60">
        <f t="shared" si="9"/>
        <v>1.211609720514074E-2</v>
      </c>
      <c r="V60">
        <v>-0.40000000000002001</v>
      </c>
      <c r="W60">
        <f t="shared" si="12"/>
        <v>-0.61459999999999859</v>
      </c>
    </row>
    <row r="61" spans="1:23" x14ac:dyDescent="0.3">
      <c r="A61">
        <v>3.0071759999999998</v>
      </c>
      <c r="B61">
        <v>0.54232216</v>
      </c>
      <c r="C61">
        <f t="shared" si="0"/>
        <v>1.6308581838201599</v>
      </c>
      <c r="D61">
        <v>1.6199999999999999E-2</v>
      </c>
      <c r="E61">
        <v>3.81E-3</v>
      </c>
      <c r="F61">
        <f t="shared" si="1"/>
        <v>601.43520000000001</v>
      </c>
      <c r="G61">
        <f t="shared" si="2"/>
        <v>-0.54232216</v>
      </c>
      <c r="H61">
        <f t="shared" si="3"/>
        <v>-326.17163676403197</v>
      </c>
      <c r="I61">
        <v>1</v>
      </c>
      <c r="J61">
        <f t="shared" si="4"/>
        <v>-0.50843648004408593</v>
      </c>
      <c r="K61">
        <f t="shared" si="5"/>
        <v>-0.67940299177521746</v>
      </c>
      <c r="L61">
        <v>1</v>
      </c>
      <c r="M61">
        <f t="shared" si="6"/>
        <v>0.60662991871675975</v>
      </c>
      <c r="N61">
        <f t="shared" si="7"/>
        <v>4.8716251199999998E-2</v>
      </c>
      <c r="O61">
        <f t="shared" si="8"/>
        <v>1.1457340559999999E-2</v>
      </c>
      <c r="P61">
        <f t="shared" si="9"/>
        <v>1.2599481298457707E-2</v>
      </c>
      <c r="V61">
        <v>-0.30000000000001997</v>
      </c>
      <c r="W61">
        <f t="shared" si="12"/>
        <v>-0.62194999999999856</v>
      </c>
    </row>
    <row r="62" spans="1:23" x14ac:dyDescent="0.3">
      <c r="A62">
        <v>3.0621679999999998</v>
      </c>
      <c r="B62">
        <v>0.53921001999999996</v>
      </c>
      <c r="C62">
        <f t="shared" si="0"/>
        <v>1.6511516685233598</v>
      </c>
      <c r="D62">
        <v>1.6199999999999999E-2</v>
      </c>
      <c r="E62">
        <v>3.81E-3</v>
      </c>
      <c r="F62">
        <f t="shared" si="1"/>
        <v>612.43359999999996</v>
      </c>
      <c r="G62">
        <f t="shared" si="2"/>
        <v>-0.53921001999999996</v>
      </c>
      <c r="H62">
        <f t="shared" si="3"/>
        <v>-330.23033370467198</v>
      </c>
      <c r="I62">
        <v>1</v>
      </c>
      <c r="J62">
        <f t="shared" si="4"/>
        <v>-0.49031475060311008</v>
      </c>
      <c r="K62">
        <f t="shared" si="5"/>
        <v>-0.6825151317752175</v>
      </c>
      <c r="L62">
        <v>1</v>
      </c>
      <c r="M62">
        <f t="shared" si="6"/>
        <v>0.60796186583067147</v>
      </c>
      <c r="N62">
        <f t="shared" si="7"/>
        <v>4.9607121599999991E-2</v>
      </c>
      <c r="O62">
        <f t="shared" si="8"/>
        <v>1.1666860079999999E-2</v>
      </c>
      <c r="P62">
        <f t="shared" si="9"/>
        <v>1.3279284264546042E-2</v>
      </c>
      <c r="V62">
        <v>-0.20000000000002</v>
      </c>
      <c r="W62">
        <f t="shared" si="12"/>
        <v>-0.62929999999999853</v>
      </c>
    </row>
    <row r="63" spans="1:23" x14ac:dyDescent="0.3">
      <c r="A63">
        <v>3.1125769000000001</v>
      </c>
      <c r="B63">
        <v>0.53609788000000003</v>
      </c>
      <c r="C63">
        <f t="shared" si="0"/>
        <v>1.6686458774269721</v>
      </c>
      <c r="D63">
        <v>1.6199999999999999E-2</v>
      </c>
      <c r="E63">
        <v>3.81E-3</v>
      </c>
      <c r="F63">
        <f t="shared" si="1"/>
        <v>622.51538000000005</v>
      </c>
      <c r="G63">
        <f t="shared" si="2"/>
        <v>-0.53609788000000003</v>
      </c>
      <c r="H63">
        <f t="shared" si="3"/>
        <v>-333.72917548539442</v>
      </c>
      <c r="I63">
        <v>1</v>
      </c>
      <c r="J63">
        <f t="shared" si="4"/>
        <v>-0.47398694412117365</v>
      </c>
      <c r="K63">
        <f t="shared" si="5"/>
        <v>-0.68562727177521743</v>
      </c>
      <c r="L63">
        <v>1</v>
      </c>
      <c r="M63">
        <f t="shared" si="6"/>
        <v>0.60916195960709374</v>
      </c>
      <c r="N63">
        <f t="shared" si="7"/>
        <v>5.0423745780000001E-2</v>
      </c>
      <c r="O63">
        <f t="shared" si="8"/>
        <v>1.1858917989E-2</v>
      </c>
      <c r="P63">
        <f t="shared" si="9"/>
        <v>1.4182648399123688E-2</v>
      </c>
      <c r="V63">
        <v>-0.10000000000002</v>
      </c>
      <c r="W63">
        <f t="shared" si="12"/>
        <v>-0.63664999999999849</v>
      </c>
    </row>
    <row r="64" spans="1:23" x14ac:dyDescent="0.3">
      <c r="A64">
        <v>3.1634951</v>
      </c>
      <c r="B64">
        <v>0.5333485</v>
      </c>
      <c r="C64">
        <f t="shared" si="0"/>
        <v>1.6872453663423501</v>
      </c>
      <c r="D64">
        <v>1.6199999999999999E-2</v>
      </c>
      <c r="E64">
        <v>3.81E-3</v>
      </c>
      <c r="F64">
        <f t="shared" si="1"/>
        <v>632.69902000000002</v>
      </c>
      <c r="G64">
        <f t="shared" si="2"/>
        <v>-0.5333485</v>
      </c>
      <c r="H64">
        <f t="shared" si="3"/>
        <v>-337.44907326847004</v>
      </c>
      <c r="I64">
        <v>1</v>
      </c>
      <c r="J64">
        <f t="shared" si="4"/>
        <v>-0.45776045174783642</v>
      </c>
      <c r="K64">
        <f t="shared" si="5"/>
        <v>-0.68837665177521745</v>
      </c>
      <c r="L64">
        <v>1</v>
      </c>
      <c r="M64">
        <f t="shared" si="6"/>
        <v>0.61035460679653408</v>
      </c>
      <c r="N64">
        <f t="shared" si="7"/>
        <v>5.1248620619999997E-2</v>
      </c>
      <c r="O64">
        <f t="shared" si="8"/>
        <v>1.2052916331E-2</v>
      </c>
      <c r="P64">
        <f t="shared" si="9"/>
        <v>1.4720508027683371E-2</v>
      </c>
      <c r="V64">
        <v>-2.0428103653102899E-14</v>
      </c>
      <c r="W64">
        <f t="shared" si="12"/>
        <v>-0.64399999999999846</v>
      </c>
    </row>
    <row r="65" spans="1:23" x14ac:dyDescent="0.3">
      <c r="A65">
        <v>3.2139042999999998</v>
      </c>
      <c r="B65">
        <v>0.53050363</v>
      </c>
      <c r="C65">
        <f t="shared" si="0"/>
        <v>1.7049878976226089</v>
      </c>
      <c r="D65">
        <v>1.6199999999999999E-2</v>
      </c>
      <c r="E65">
        <v>3.81E-3</v>
      </c>
      <c r="F65">
        <f t="shared" si="1"/>
        <v>642.78085999999996</v>
      </c>
      <c r="G65">
        <f t="shared" si="2"/>
        <v>-0.53050363</v>
      </c>
      <c r="H65">
        <f t="shared" si="3"/>
        <v>-340.99757952452177</v>
      </c>
      <c r="I65">
        <v>1</v>
      </c>
      <c r="J65">
        <f t="shared" si="4"/>
        <v>-0.44195142154217992</v>
      </c>
      <c r="K65">
        <f t="shared" si="5"/>
        <v>-0.69122152177521745</v>
      </c>
      <c r="L65">
        <v>1</v>
      </c>
      <c r="M65">
        <f t="shared" si="6"/>
        <v>0.61151657051664976</v>
      </c>
      <c r="N65">
        <f t="shared" si="7"/>
        <v>5.2065249659999993E-2</v>
      </c>
      <c r="O65">
        <f t="shared" si="8"/>
        <v>1.2244975383E-2</v>
      </c>
      <c r="P65">
        <f t="shared" si="9"/>
        <v>1.5394726215567698E-2</v>
      </c>
      <c r="V65">
        <v>9.9999999999980105E-2</v>
      </c>
      <c r="W65">
        <f t="shared" si="12"/>
        <v>-0.65134999999999854</v>
      </c>
    </row>
    <row r="66" spans="1:23" x14ac:dyDescent="0.3">
      <c r="A66">
        <v>3.2653317999999998</v>
      </c>
      <c r="B66">
        <v>0.52763974999999996</v>
      </c>
      <c r="C66">
        <f t="shared" si="0"/>
        <v>1.7229188546190497</v>
      </c>
      <c r="D66">
        <v>1.6199999999999999E-2</v>
      </c>
      <c r="E66">
        <v>3.81E-3</v>
      </c>
      <c r="F66">
        <f t="shared" si="1"/>
        <v>653.06635999999992</v>
      </c>
      <c r="G66">
        <f t="shared" si="2"/>
        <v>-0.52763974999999996</v>
      </c>
      <c r="H66">
        <f t="shared" si="3"/>
        <v>-344.58377092380994</v>
      </c>
      <c r="I66">
        <v>1</v>
      </c>
      <c r="J66">
        <f t="shared" si="4"/>
        <v>-0.42607653159181924</v>
      </c>
      <c r="K66">
        <f t="shared" si="5"/>
        <v>-0.69408540177521749</v>
      </c>
      <c r="L66">
        <v>1</v>
      </c>
      <c r="M66">
        <f t="shared" si="6"/>
        <v>0.61268337492800129</v>
      </c>
      <c r="N66">
        <f t="shared" si="7"/>
        <v>5.2898375159999997E-2</v>
      </c>
      <c r="O66">
        <f t="shared" si="8"/>
        <v>1.2440914157999999E-2</v>
      </c>
      <c r="P66">
        <f t="shared" si="9"/>
        <v>1.6062737529216206E-2</v>
      </c>
      <c r="V66">
        <v>0.19999999999998</v>
      </c>
      <c r="W66">
        <f t="shared" si="12"/>
        <v>-0.65869999999999851</v>
      </c>
    </row>
    <row r="67" spans="1:23" x14ac:dyDescent="0.3">
      <c r="A67">
        <v>3.3172685999999998</v>
      </c>
      <c r="B67">
        <v>0.52477580000000001</v>
      </c>
      <c r="C67">
        <f t="shared" si="0"/>
        <v>1.7408222833798799</v>
      </c>
      <c r="D67">
        <v>1.6199999999999999E-2</v>
      </c>
      <c r="E67">
        <v>3.81E-3</v>
      </c>
      <c r="F67">
        <f t="shared" si="1"/>
        <v>663.45371999999998</v>
      </c>
      <c r="G67">
        <f t="shared" si="2"/>
        <v>-0.52477580000000001</v>
      </c>
      <c r="H67">
        <f t="shared" si="3"/>
        <v>-348.164456675976</v>
      </c>
      <c r="I67">
        <v>1</v>
      </c>
      <c r="J67">
        <f t="shared" si="4"/>
        <v>-0.41029617896137532</v>
      </c>
      <c r="K67">
        <f t="shared" si="5"/>
        <v>-0.69694935177521744</v>
      </c>
      <c r="L67">
        <v>1</v>
      </c>
      <c r="M67">
        <f t="shared" si="6"/>
        <v>0.61384323084633896</v>
      </c>
      <c r="N67">
        <f t="shared" si="7"/>
        <v>5.3739751319999994E-2</v>
      </c>
      <c r="O67">
        <f t="shared" si="8"/>
        <v>1.2638793366E-2</v>
      </c>
      <c r="P67">
        <f t="shared" si="9"/>
        <v>1.6727576242878486E-2</v>
      </c>
      <c r="V67">
        <v>0.29999999999998</v>
      </c>
      <c r="W67">
        <f t="shared" si="12"/>
        <v>-0.66604999999999859</v>
      </c>
    </row>
    <row r="68" spans="1:23" x14ac:dyDescent="0.3">
      <c r="A68">
        <v>3.3676777000000002</v>
      </c>
      <c r="B68">
        <v>0.52200734999999998</v>
      </c>
      <c r="C68">
        <f t="shared" ref="C68:C131" si="13">A68*B68</f>
        <v>1.757952511831095</v>
      </c>
      <c r="D68">
        <v>1.6199999999999999E-2</v>
      </c>
      <c r="E68">
        <v>3.81E-3</v>
      </c>
      <c r="F68">
        <f t="shared" ref="F68:F131" si="14">A68*200</f>
        <v>673.53554000000008</v>
      </c>
      <c r="G68">
        <f t="shared" ref="G68:G131" si="15">-B68</f>
        <v>-0.52200734999999998</v>
      </c>
      <c r="H68">
        <f t="shared" ref="H68:H131" si="16">-C68*200</f>
        <v>-351.59050236621903</v>
      </c>
      <c r="I68">
        <v>1</v>
      </c>
      <c r="J68">
        <f t="shared" ref="J68:J131" si="17">LN(F68/1000)</f>
        <v>-0.39521451540740388</v>
      </c>
      <c r="K68">
        <f t="shared" ref="K68:K131" si="18">((-G68)-$N$2)</f>
        <v>-0.69971780177521747</v>
      </c>
      <c r="L68">
        <v>1</v>
      </c>
      <c r="M68">
        <f t="shared" ref="M68:M131" si="19">-1*($S$4+($S$5*J68))</f>
        <v>0.6149517331175558</v>
      </c>
      <c r="N68">
        <f t="shared" ref="N68:N131" si="20">D68*A68</f>
        <v>5.4556378740000001E-2</v>
      </c>
      <c r="O68">
        <f t="shared" ref="O68:O131" si="21">E68*A68</f>
        <v>1.2830852037000001E-2</v>
      </c>
      <c r="P68">
        <f t="shared" ref="P68:P131" si="22">-K68-M68-N68-O68</f>
        <v>1.7378837880661673E-2</v>
      </c>
      <c r="V68">
        <v>0.39999999999997998</v>
      </c>
      <c r="W68">
        <f t="shared" ref="W68:W99" si="23">V68*$S$5+$S$4</f>
        <v>-0.67339999999999856</v>
      </c>
    </row>
    <row r="69" spans="1:23" x14ac:dyDescent="0.3">
      <c r="A69">
        <v>3.4185959000000001</v>
      </c>
      <c r="B69">
        <v>0.51929616999999995</v>
      </c>
      <c r="C69">
        <f t="shared" si="13"/>
        <v>1.7752637576477028</v>
      </c>
      <c r="D69">
        <v>1.6199999999999999E-2</v>
      </c>
      <c r="E69">
        <v>3.81E-3</v>
      </c>
      <c r="F69">
        <f t="shared" si="14"/>
        <v>683.71918000000005</v>
      </c>
      <c r="G69">
        <f t="shared" si="15"/>
        <v>-0.51929616999999995</v>
      </c>
      <c r="H69">
        <f t="shared" si="16"/>
        <v>-355.05275152954056</v>
      </c>
      <c r="I69">
        <v>1</v>
      </c>
      <c r="J69">
        <f t="shared" si="17"/>
        <v>-0.38020800121614839</v>
      </c>
      <c r="K69">
        <f t="shared" si="18"/>
        <v>-0.70242898177521751</v>
      </c>
      <c r="L69">
        <v>1</v>
      </c>
      <c r="M69">
        <f t="shared" si="19"/>
        <v>0.61605471191061312</v>
      </c>
      <c r="N69">
        <f t="shared" si="20"/>
        <v>5.5381253579999998E-2</v>
      </c>
      <c r="O69">
        <f t="shared" si="21"/>
        <v>1.3024850379000001E-2</v>
      </c>
      <c r="P69">
        <f t="shared" si="22"/>
        <v>1.7968165905604391E-2</v>
      </c>
      <c r="V69">
        <v>0.49999999999998002</v>
      </c>
      <c r="W69">
        <f t="shared" si="23"/>
        <v>-0.68074999999999852</v>
      </c>
    </row>
    <row r="70" spans="1:23" x14ac:dyDescent="0.3">
      <c r="A70">
        <v>3.4705327000000001</v>
      </c>
      <c r="B70">
        <v>0.51633673999999996</v>
      </c>
      <c r="C70">
        <f t="shared" si="13"/>
        <v>1.7919635403813978</v>
      </c>
      <c r="D70">
        <v>1.6199999999999999E-2</v>
      </c>
      <c r="E70">
        <v>3.81E-3</v>
      </c>
      <c r="F70">
        <f t="shared" si="14"/>
        <v>694.10654</v>
      </c>
      <c r="G70">
        <f t="shared" si="15"/>
        <v>-0.51633673999999996</v>
      </c>
      <c r="H70">
        <f t="shared" si="16"/>
        <v>-358.39270807627958</v>
      </c>
      <c r="I70">
        <v>1</v>
      </c>
      <c r="J70">
        <f t="shared" si="17"/>
        <v>-0.36512981440754066</v>
      </c>
      <c r="K70">
        <f t="shared" si="18"/>
        <v>-0.70538841177521749</v>
      </c>
      <c r="L70">
        <v>1</v>
      </c>
      <c r="M70">
        <f t="shared" si="19"/>
        <v>0.61716295864104576</v>
      </c>
      <c r="N70">
        <f t="shared" si="20"/>
        <v>5.6222629740000002E-2</v>
      </c>
      <c r="O70">
        <f t="shared" si="21"/>
        <v>1.3222729587E-2</v>
      </c>
      <c r="P70">
        <f t="shared" si="22"/>
        <v>1.8780093807171737E-2</v>
      </c>
      <c r="V70">
        <v>0.59999999999997999</v>
      </c>
      <c r="W70">
        <f t="shared" si="23"/>
        <v>-0.6880999999999986</v>
      </c>
    </row>
    <row r="71" spans="1:23" x14ac:dyDescent="0.3">
      <c r="A71">
        <v>3.5209419</v>
      </c>
      <c r="B71">
        <v>0.51370192000000003</v>
      </c>
      <c r="C71">
        <f t="shared" si="13"/>
        <v>1.808714614238448</v>
      </c>
      <c r="D71">
        <v>1.6199999999999999E-2</v>
      </c>
      <c r="E71">
        <v>3.81E-3</v>
      </c>
      <c r="F71">
        <f t="shared" si="14"/>
        <v>704.18837999999994</v>
      </c>
      <c r="G71">
        <f t="shared" si="15"/>
        <v>-0.51370192000000003</v>
      </c>
      <c r="H71">
        <f t="shared" si="16"/>
        <v>-361.74292284768961</v>
      </c>
      <c r="I71">
        <v>1</v>
      </c>
      <c r="J71">
        <f t="shared" si="17"/>
        <v>-0.35070937339136365</v>
      </c>
      <c r="K71">
        <f t="shared" si="18"/>
        <v>-0.70802323177521742</v>
      </c>
      <c r="L71">
        <v>1</v>
      </c>
      <c r="M71">
        <f t="shared" si="19"/>
        <v>0.61822286105573476</v>
      </c>
      <c r="N71">
        <f t="shared" si="20"/>
        <v>5.7039258779999998E-2</v>
      </c>
      <c r="O71">
        <f t="shared" si="21"/>
        <v>1.3414788638999999E-2</v>
      </c>
      <c r="P71">
        <f t="shared" si="22"/>
        <v>1.9346323300482662E-2</v>
      </c>
      <c r="V71">
        <v>0.69999999999997997</v>
      </c>
      <c r="W71">
        <f t="shared" si="23"/>
        <v>-0.69544999999999857</v>
      </c>
    </row>
    <row r="72" spans="1:23" x14ac:dyDescent="0.3">
      <c r="A72">
        <v>3.5733879000000002</v>
      </c>
      <c r="B72">
        <v>0.51110529999999998</v>
      </c>
      <c r="C72">
        <f t="shared" si="13"/>
        <v>1.82637749464587</v>
      </c>
      <c r="D72">
        <v>1.6199999999999999E-2</v>
      </c>
      <c r="E72">
        <v>3.81E-3</v>
      </c>
      <c r="F72">
        <f t="shared" si="14"/>
        <v>714.67758000000003</v>
      </c>
      <c r="G72">
        <f t="shared" si="15"/>
        <v>-0.51110529999999998</v>
      </c>
      <c r="H72">
        <f t="shared" si="16"/>
        <v>-365.27549892917398</v>
      </c>
      <c r="I72">
        <v>1</v>
      </c>
      <c r="J72">
        <f t="shared" si="17"/>
        <v>-0.33592377505375925</v>
      </c>
      <c r="K72">
        <f t="shared" si="18"/>
        <v>-0.71061985177521747</v>
      </c>
      <c r="L72">
        <v>1</v>
      </c>
      <c r="M72">
        <f t="shared" si="19"/>
        <v>0.61930960253354872</v>
      </c>
      <c r="N72">
        <f t="shared" si="20"/>
        <v>5.788888398E-2</v>
      </c>
      <c r="O72">
        <f t="shared" si="21"/>
        <v>1.3614607899E-2</v>
      </c>
      <c r="P72">
        <f t="shared" si="22"/>
        <v>1.980675736266875E-2</v>
      </c>
      <c r="V72">
        <v>0.79999999999997995</v>
      </c>
      <c r="W72">
        <f t="shared" si="23"/>
        <v>-0.70279999999999854</v>
      </c>
    </row>
    <row r="73" spans="1:23" x14ac:dyDescent="0.3">
      <c r="A73">
        <v>3.6263424999999998</v>
      </c>
      <c r="B73">
        <v>0.50820321000000002</v>
      </c>
      <c r="C73">
        <f t="shared" si="13"/>
        <v>1.842918899059425</v>
      </c>
      <c r="D73">
        <v>1.6199999999999999E-2</v>
      </c>
      <c r="E73">
        <v>3.81E-3</v>
      </c>
      <c r="F73">
        <f t="shared" si="14"/>
        <v>725.2684999999999</v>
      </c>
      <c r="G73">
        <f t="shared" si="15"/>
        <v>-0.50820321000000002</v>
      </c>
      <c r="H73">
        <f t="shared" si="16"/>
        <v>-368.58377981188499</v>
      </c>
      <c r="I73">
        <v>1</v>
      </c>
      <c r="J73">
        <f t="shared" si="17"/>
        <v>-0.32121334786059502</v>
      </c>
      <c r="K73">
        <f t="shared" si="18"/>
        <v>-0.71352194177521744</v>
      </c>
      <c r="L73">
        <v>1</v>
      </c>
      <c r="M73">
        <f t="shared" si="19"/>
        <v>0.62039081893224624</v>
      </c>
      <c r="N73">
        <f t="shared" si="20"/>
        <v>5.8746748499999994E-2</v>
      </c>
      <c r="O73">
        <f t="shared" si="21"/>
        <v>1.3816364925E-2</v>
      </c>
      <c r="P73">
        <f t="shared" si="22"/>
        <v>2.0568009417971211E-2</v>
      </c>
      <c r="V73">
        <v>0.89999999999998004</v>
      </c>
      <c r="W73">
        <f t="shared" si="23"/>
        <v>-0.7101499999999985</v>
      </c>
    </row>
    <row r="74" spans="1:23" x14ac:dyDescent="0.3">
      <c r="A74">
        <v>3.6792981</v>
      </c>
      <c r="B74">
        <v>0.50566387000000002</v>
      </c>
      <c r="C74">
        <f t="shared" si="13"/>
        <v>1.8604881161296472</v>
      </c>
      <c r="D74">
        <v>1.6199999999999999E-2</v>
      </c>
      <c r="E74">
        <v>3.81E-3</v>
      </c>
      <c r="F74">
        <f t="shared" si="14"/>
        <v>735.85961999999995</v>
      </c>
      <c r="G74">
        <f t="shared" si="15"/>
        <v>-0.50566387000000002</v>
      </c>
      <c r="H74">
        <f t="shared" si="16"/>
        <v>-372.09762322592945</v>
      </c>
      <c r="I74">
        <v>1</v>
      </c>
      <c r="J74">
        <f t="shared" si="17"/>
        <v>-0.30671591214089766</v>
      </c>
      <c r="K74">
        <f t="shared" si="18"/>
        <v>-0.71606128177521744</v>
      </c>
      <c r="L74">
        <v>1</v>
      </c>
      <c r="M74">
        <f t="shared" si="19"/>
        <v>0.62145638045764406</v>
      </c>
      <c r="N74">
        <f t="shared" si="20"/>
        <v>5.9604629219999997E-2</v>
      </c>
      <c r="O74">
        <f t="shared" si="21"/>
        <v>1.4018125761E-2</v>
      </c>
      <c r="P74">
        <f t="shared" si="22"/>
        <v>2.098214633657338E-2</v>
      </c>
      <c r="V74">
        <v>0.99999999999998002</v>
      </c>
      <c r="W74">
        <f t="shared" si="23"/>
        <v>-0.71749999999999858</v>
      </c>
    </row>
    <row r="75" spans="1:23" x14ac:dyDescent="0.3">
      <c r="A75">
        <v>3.7312344</v>
      </c>
      <c r="B75">
        <v>0.50281900000000002</v>
      </c>
      <c r="C75">
        <f t="shared" si="13"/>
        <v>1.8761355497736001</v>
      </c>
      <c r="D75">
        <v>1.6199999999999999E-2</v>
      </c>
      <c r="E75">
        <v>3.81E-3</v>
      </c>
      <c r="F75">
        <f t="shared" si="14"/>
        <v>746.24688000000003</v>
      </c>
      <c r="G75">
        <f t="shared" si="15"/>
        <v>-0.50281900000000002</v>
      </c>
      <c r="H75">
        <f t="shared" si="16"/>
        <v>-375.22710995471999</v>
      </c>
      <c r="I75">
        <v>1</v>
      </c>
      <c r="J75">
        <f t="shared" si="17"/>
        <v>-0.29269879518858777</v>
      </c>
      <c r="K75">
        <f t="shared" si="18"/>
        <v>-0.71890615177521744</v>
      </c>
      <c r="L75">
        <v>1</v>
      </c>
      <c r="M75">
        <f t="shared" si="19"/>
        <v>0.62248663855363884</v>
      </c>
      <c r="N75">
        <f t="shared" si="20"/>
        <v>6.0445997279999997E-2</v>
      </c>
      <c r="O75">
        <f t="shared" si="21"/>
        <v>1.4216003063999999E-2</v>
      </c>
      <c r="P75">
        <f t="shared" si="22"/>
        <v>2.1757512877578607E-2</v>
      </c>
      <c r="V75">
        <v>1.0999999999999699</v>
      </c>
      <c r="W75">
        <f t="shared" si="23"/>
        <v>-0.72484999999999777</v>
      </c>
    </row>
    <row r="76" spans="1:23" x14ac:dyDescent="0.3">
      <c r="A76">
        <v>3.7821525999999999</v>
      </c>
      <c r="B76">
        <v>0.50031787000000005</v>
      </c>
      <c r="C76">
        <f t="shared" si="13"/>
        <v>1.8922785328469622</v>
      </c>
      <c r="D76">
        <v>1.6199999999999999E-2</v>
      </c>
      <c r="E76">
        <v>3.81E-3</v>
      </c>
      <c r="F76">
        <f t="shared" si="14"/>
        <v>756.43052</v>
      </c>
      <c r="G76">
        <f t="shared" si="15"/>
        <v>-0.50031787000000005</v>
      </c>
      <c r="H76">
        <f t="shared" si="16"/>
        <v>-378.45570656939242</v>
      </c>
      <c r="I76">
        <v>1</v>
      </c>
      <c r="J76">
        <f t="shared" si="17"/>
        <v>-0.27914459399015285</v>
      </c>
      <c r="K76">
        <f t="shared" si="18"/>
        <v>-0.7214072817752174</v>
      </c>
      <c r="L76">
        <v>1</v>
      </c>
      <c r="M76">
        <f t="shared" si="19"/>
        <v>0.62348287234172384</v>
      </c>
      <c r="N76">
        <f t="shared" si="20"/>
        <v>6.1270872119999993E-2</v>
      </c>
      <c r="O76">
        <f t="shared" si="21"/>
        <v>1.4410001406E-2</v>
      </c>
      <c r="P76">
        <f t="shared" si="22"/>
        <v>2.2243535907493572E-2</v>
      </c>
      <c r="V76">
        <v>1.19999999999997</v>
      </c>
      <c r="W76">
        <f t="shared" si="23"/>
        <v>-0.73219999999999785</v>
      </c>
    </row>
    <row r="77" spans="1:23" x14ac:dyDescent="0.3">
      <c r="A77">
        <v>3.8356172000000002</v>
      </c>
      <c r="B77">
        <v>0.49743479000000002</v>
      </c>
      <c r="C77">
        <f t="shared" si="13"/>
        <v>1.9079694364023883</v>
      </c>
      <c r="D77">
        <v>1.6199999999999999E-2</v>
      </c>
      <c r="E77">
        <v>3.81E-3</v>
      </c>
      <c r="F77">
        <f t="shared" si="14"/>
        <v>767.12344000000007</v>
      </c>
      <c r="G77">
        <f t="shared" si="15"/>
        <v>-0.49743479000000002</v>
      </c>
      <c r="H77">
        <f t="shared" si="16"/>
        <v>-381.59388728047765</v>
      </c>
      <c r="I77">
        <v>1</v>
      </c>
      <c r="J77">
        <f t="shared" si="17"/>
        <v>-0.26510755184183293</v>
      </c>
      <c r="K77">
        <f t="shared" si="18"/>
        <v>-0.72429036177521744</v>
      </c>
      <c r="L77">
        <v>1</v>
      </c>
      <c r="M77">
        <f t="shared" si="19"/>
        <v>0.62451459493962524</v>
      </c>
      <c r="N77">
        <f t="shared" si="20"/>
        <v>6.2136998639999996E-2</v>
      </c>
      <c r="O77">
        <f t="shared" si="21"/>
        <v>1.4613701532000001E-2</v>
      </c>
      <c r="P77">
        <f t="shared" si="22"/>
        <v>2.3025066663592199E-2</v>
      </c>
      <c r="V77">
        <v>1.2999999999999701</v>
      </c>
      <c r="W77">
        <f t="shared" si="23"/>
        <v>-0.73954999999999782</v>
      </c>
    </row>
    <row r="78" spans="1:23" x14ac:dyDescent="0.3">
      <c r="A78">
        <v>3.8880631999999999</v>
      </c>
      <c r="B78">
        <v>0.49483818000000002</v>
      </c>
      <c r="C78">
        <f t="shared" si="13"/>
        <v>1.923962117612976</v>
      </c>
      <c r="D78">
        <v>1.6199999999999999E-2</v>
      </c>
      <c r="E78">
        <v>3.81E-3</v>
      </c>
      <c r="F78">
        <f t="shared" si="14"/>
        <v>777.61263999999994</v>
      </c>
      <c r="G78">
        <f t="shared" si="15"/>
        <v>-0.49483818000000002</v>
      </c>
      <c r="H78">
        <f t="shared" si="16"/>
        <v>-384.79242352259519</v>
      </c>
      <c r="I78">
        <v>1</v>
      </c>
      <c r="J78">
        <f t="shared" si="17"/>
        <v>-0.25152677082398828</v>
      </c>
      <c r="K78">
        <f t="shared" si="18"/>
        <v>-0.72688697177521744</v>
      </c>
      <c r="L78">
        <v>1</v>
      </c>
      <c r="M78">
        <f t="shared" si="19"/>
        <v>0.62551278234443686</v>
      </c>
      <c r="N78">
        <f t="shared" si="20"/>
        <v>6.2986623839999992E-2</v>
      </c>
      <c r="O78">
        <f t="shared" si="21"/>
        <v>1.4813520792E-2</v>
      </c>
      <c r="P78">
        <f t="shared" si="22"/>
        <v>2.3574044798780589E-2</v>
      </c>
      <c r="V78">
        <v>1.3999999999999699</v>
      </c>
      <c r="W78">
        <f t="shared" si="23"/>
        <v>-0.74689999999999779</v>
      </c>
    </row>
    <row r="79" spans="1:23" x14ac:dyDescent="0.3">
      <c r="A79">
        <v>3.9399997999999998</v>
      </c>
      <c r="B79">
        <v>0.49195516</v>
      </c>
      <c r="C79">
        <f t="shared" si="13"/>
        <v>1.9383032320089679</v>
      </c>
      <c r="D79">
        <v>1.6199999999999999E-2</v>
      </c>
      <c r="E79">
        <v>3.81E-3</v>
      </c>
      <c r="F79">
        <f t="shared" si="14"/>
        <v>787.99995999999999</v>
      </c>
      <c r="G79">
        <f t="shared" si="15"/>
        <v>-0.49195516</v>
      </c>
      <c r="H79">
        <f t="shared" si="16"/>
        <v>-387.6606464017936</v>
      </c>
      <c r="I79">
        <v>1</v>
      </c>
      <c r="J79">
        <f t="shared" si="17"/>
        <v>-0.23825723988568059</v>
      </c>
      <c r="K79">
        <f t="shared" si="18"/>
        <v>-0.7297699917752174</v>
      </c>
      <c r="L79">
        <v>1</v>
      </c>
      <c r="M79">
        <f t="shared" si="19"/>
        <v>0.62648809286840246</v>
      </c>
      <c r="N79">
        <f t="shared" si="20"/>
        <v>6.3827996759999991E-2</v>
      </c>
      <c r="O79">
        <f t="shared" si="21"/>
        <v>1.5011399238E-2</v>
      </c>
      <c r="P79">
        <f t="shared" si="22"/>
        <v>2.4442502908814948E-2</v>
      </c>
      <c r="V79">
        <v>1.49999999999997</v>
      </c>
      <c r="W79">
        <f t="shared" si="23"/>
        <v>-0.75424999999999787</v>
      </c>
    </row>
    <row r="80" spans="1:23" x14ac:dyDescent="0.3">
      <c r="A80">
        <v>3.9904088999999998</v>
      </c>
      <c r="B80">
        <v>0.48939672000000001</v>
      </c>
      <c r="C80">
        <f t="shared" si="13"/>
        <v>1.9528930271188079</v>
      </c>
      <c r="D80">
        <v>1.6199999999999999E-2</v>
      </c>
      <c r="E80">
        <v>3.81E-3</v>
      </c>
      <c r="F80">
        <f t="shared" si="14"/>
        <v>798.08177999999998</v>
      </c>
      <c r="G80">
        <f t="shared" si="15"/>
        <v>-0.48939672000000001</v>
      </c>
      <c r="H80">
        <f t="shared" si="16"/>
        <v>-390.57860542376159</v>
      </c>
      <c r="I80">
        <v>1</v>
      </c>
      <c r="J80">
        <f t="shared" si="17"/>
        <v>-0.22554420558016056</v>
      </c>
      <c r="K80">
        <f t="shared" si="18"/>
        <v>-0.73232843177521745</v>
      </c>
      <c r="L80">
        <v>1</v>
      </c>
      <c r="M80">
        <f t="shared" si="19"/>
        <v>0.62742250088985818</v>
      </c>
      <c r="N80">
        <f t="shared" si="20"/>
        <v>6.4644624179999999E-2</v>
      </c>
      <c r="O80">
        <f t="shared" si="21"/>
        <v>1.5203457908999999E-2</v>
      </c>
      <c r="P80">
        <f t="shared" si="22"/>
        <v>2.5057848796359271E-2</v>
      </c>
      <c r="V80">
        <v>1.5999999999999699</v>
      </c>
      <c r="W80">
        <f t="shared" si="23"/>
        <v>-0.76159999999999783</v>
      </c>
    </row>
    <row r="81" spans="1:23" x14ac:dyDescent="0.3">
      <c r="A81">
        <v>4.0438729999999996</v>
      </c>
      <c r="B81">
        <v>0.48659005999999999</v>
      </c>
      <c r="C81">
        <f t="shared" si="13"/>
        <v>1.9677084057023797</v>
      </c>
      <c r="D81">
        <v>1.6199999999999999E-2</v>
      </c>
      <c r="E81">
        <v>3.81E-3</v>
      </c>
      <c r="F81">
        <f t="shared" si="14"/>
        <v>808.77459999999996</v>
      </c>
      <c r="G81">
        <f t="shared" si="15"/>
        <v>-0.48659005999999999</v>
      </c>
      <c r="H81">
        <f t="shared" si="16"/>
        <v>-393.54168114047593</v>
      </c>
      <c r="I81">
        <v>1</v>
      </c>
      <c r="J81">
        <f t="shared" si="17"/>
        <v>-0.21223501631895914</v>
      </c>
      <c r="K81">
        <f t="shared" si="18"/>
        <v>-0.73513509177521752</v>
      </c>
      <c r="L81">
        <v>1</v>
      </c>
      <c r="M81">
        <f t="shared" si="19"/>
        <v>0.62840072630055654</v>
      </c>
      <c r="N81">
        <f t="shared" si="20"/>
        <v>6.5510742599999991E-2</v>
      </c>
      <c r="O81">
        <f t="shared" si="21"/>
        <v>1.5407156129999999E-2</v>
      </c>
      <c r="P81">
        <f t="shared" si="22"/>
        <v>2.5816466744660985E-2</v>
      </c>
      <c r="V81">
        <v>1.69999999999997</v>
      </c>
      <c r="W81">
        <f t="shared" si="23"/>
        <v>-0.7689499999999978</v>
      </c>
    </row>
    <row r="82" spans="1:23" x14ac:dyDescent="0.3">
      <c r="A82">
        <v>4.0942824999999994</v>
      </c>
      <c r="B82">
        <v>0.48426074000000002</v>
      </c>
      <c r="C82">
        <f t="shared" si="13"/>
        <v>1.9827002732190497</v>
      </c>
      <c r="D82">
        <v>1.6199999999999999E-2</v>
      </c>
      <c r="E82">
        <v>3.81E-3</v>
      </c>
      <c r="F82">
        <f t="shared" si="14"/>
        <v>818.85649999999987</v>
      </c>
      <c r="G82">
        <f t="shared" si="15"/>
        <v>-0.48426074000000002</v>
      </c>
      <c r="H82">
        <f t="shared" si="16"/>
        <v>-396.54005464380992</v>
      </c>
      <c r="I82">
        <v>1</v>
      </c>
      <c r="J82">
        <f t="shared" si="17"/>
        <v>-0.19984642415599069</v>
      </c>
      <c r="K82">
        <f t="shared" si="18"/>
        <v>-0.73746441177521738</v>
      </c>
      <c r="L82">
        <v>1</v>
      </c>
      <c r="M82">
        <f t="shared" si="19"/>
        <v>0.62931128782453472</v>
      </c>
      <c r="N82">
        <f t="shared" si="20"/>
        <v>6.6327376499999993E-2</v>
      </c>
      <c r="O82">
        <f t="shared" si="21"/>
        <v>1.5599216324999998E-2</v>
      </c>
      <c r="P82">
        <f t="shared" si="22"/>
        <v>2.622653112568267E-2</v>
      </c>
      <c r="V82">
        <v>1.7999999999999701</v>
      </c>
      <c r="W82">
        <f t="shared" si="23"/>
        <v>-0.77629999999999777</v>
      </c>
    </row>
    <row r="83" spans="1:23" x14ac:dyDescent="0.3">
      <c r="A83">
        <v>4.1446918999999998</v>
      </c>
      <c r="B83">
        <v>0.48156863</v>
      </c>
      <c r="C83">
        <f t="shared" si="13"/>
        <v>1.9959536000550968</v>
      </c>
      <c r="D83">
        <v>1.6199999999999999E-2</v>
      </c>
      <c r="E83">
        <v>3.81E-3</v>
      </c>
      <c r="F83">
        <f t="shared" si="14"/>
        <v>828.93837999999994</v>
      </c>
      <c r="G83">
        <f t="shared" si="15"/>
        <v>-0.48156863</v>
      </c>
      <c r="H83">
        <f t="shared" si="16"/>
        <v>-399.19072001101938</v>
      </c>
      <c r="I83">
        <v>1</v>
      </c>
      <c r="J83">
        <f t="shared" si="17"/>
        <v>-0.18760945712818924</v>
      </c>
      <c r="K83">
        <f t="shared" si="18"/>
        <v>-0.74015652177521751</v>
      </c>
      <c r="L83">
        <v>1</v>
      </c>
      <c r="M83">
        <f t="shared" si="19"/>
        <v>0.63021070490107811</v>
      </c>
      <c r="N83">
        <f t="shared" si="20"/>
        <v>6.7144008779999986E-2</v>
      </c>
      <c r="O83">
        <f t="shared" si="21"/>
        <v>1.5791276138999999E-2</v>
      </c>
      <c r="P83">
        <f t="shared" si="22"/>
        <v>2.7010531955139416E-2</v>
      </c>
      <c r="V83">
        <v>1.8999999999999699</v>
      </c>
      <c r="W83">
        <f t="shared" si="23"/>
        <v>-0.78364999999999774</v>
      </c>
    </row>
    <row r="84" spans="1:23" x14ac:dyDescent="0.3">
      <c r="A84">
        <v>4.1951010999999996</v>
      </c>
      <c r="B84">
        <v>0.47904837</v>
      </c>
      <c r="C84">
        <f t="shared" si="13"/>
        <v>2.0096563439402066</v>
      </c>
      <c r="D84">
        <v>1.6199999999999999E-2</v>
      </c>
      <c r="E84">
        <v>3.81E-3</v>
      </c>
      <c r="F84">
        <f t="shared" si="14"/>
        <v>839.02021999999988</v>
      </c>
      <c r="G84">
        <f t="shared" si="15"/>
        <v>-0.47904837</v>
      </c>
      <c r="H84">
        <f t="shared" si="16"/>
        <v>-401.93126878804134</v>
      </c>
      <c r="I84">
        <v>1</v>
      </c>
      <c r="J84">
        <f t="shared" si="17"/>
        <v>-0.17552047268614474</v>
      </c>
      <c r="K84">
        <f t="shared" si="18"/>
        <v>-0.74267678177521745</v>
      </c>
      <c r="L84">
        <v>1</v>
      </c>
      <c r="M84">
        <f t="shared" si="19"/>
        <v>0.63109924525756833</v>
      </c>
      <c r="N84">
        <f t="shared" si="20"/>
        <v>6.7960637819999989E-2</v>
      </c>
      <c r="O84">
        <f t="shared" si="21"/>
        <v>1.5983335190999998E-2</v>
      </c>
      <c r="P84">
        <f t="shared" si="22"/>
        <v>2.7633563506649136E-2</v>
      </c>
      <c r="V84">
        <v>1.99999999999997</v>
      </c>
      <c r="W84">
        <f t="shared" si="23"/>
        <v>-0.79099999999999782</v>
      </c>
    </row>
    <row r="85" spans="1:23" x14ac:dyDescent="0.3">
      <c r="A85">
        <v>4.2531479000000001</v>
      </c>
      <c r="B85">
        <v>0.47635630000000001</v>
      </c>
      <c r="C85">
        <f t="shared" si="13"/>
        <v>2.0260137969967702</v>
      </c>
      <c r="D85">
        <v>1.6199999999999999E-2</v>
      </c>
      <c r="E85">
        <v>3.81E-3</v>
      </c>
      <c r="F85">
        <f t="shared" si="14"/>
        <v>850.62958000000003</v>
      </c>
      <c r="G85">
        <f t="shared" si="15"/>
        <v>-0.47635630000000001</v>
      </c>
      <c r="H85">
        <f t="shared" si="16"/>
        <v>-405.20275939935402</v>
      </c>
      <c r="I85">
        <v>1</v>
      </c>
      <c r="J85">
        <f t="shared" si="17"/>
        <v>-0.16177852131463424</v>
      </c>
      <c r="K85">
        <f t="shared" si="18"/>
        <v>-0.7453688517752175</v>
      </c>
      <c r="L85">
        <v>1</v>
      </c>
      <c r="M85">
        <f t="shared" si="19"/>
        <v>0.63210927868337441</v>
      </c>
      <c r="N85">
        <f t="shared" si="20"/>
        <v>6.8900995980000004E-2</v>
      </c>
      <c r="O85">
        <f t="shared" si="21"/>
        <v>1.6204493499000001E-2</v>
      </c>
      <c r="P85">
        <f t="shared" si="22"/>
        <v>2.8154083612843085E-2</v>
      </c>
      <c r="V85">
        <v>2.0999999999999699</v>
      </c>
      <c r="W85">
        <f t="shared" si="23"/>
        <v>-0.79834999999999778</v>
      </c>
    </row>
    <row r="86" spans="1:23" x14ac:dyDescent="0.3">
      <c r="A86">
        <v>4.3040658999999986</v>
      </c>
      <c r="B86">
        <v>0.47381693000000003</v>
      </c>
      <c r="C86">
        <f t="shared" si="13"/>
        <v>2.0393392912556862</v>
      </c>
      <c r="D86">
        <v>1.6199999999999999E-2</v>
      </c>
      <c r="E86">
        <v>3.81E-3</v>
      </c>
      <c r="F86">
        <f t="shared" si="14"/>
        <v>860.81317999999976</v>
      </c>
      <c r="G86">
        <f t="shared" si="15"/>
        <v>-0.47381693000000003</v>
      </c>
      <c r="H86">
        <f t="shared" si="16"/>
        <v>-407.86785825113725</v>
      </c>
      <c r="I86">
        <v>1</v>
      </c>
      <c r="J86">
        <f t="shared" si="17"/>
        <v>-0.14987777835354477</v>
      </c>
      <c r="K86">
        <f t="shared" si="18"/>
        <v>-0.74790822177521743</v>
      </c>
      <c r="L86">
        <v>1</v>
      </c>
      <c r="M86">
        <f t="shared" si="19"/>
        <v>0.63298398329101446</v>
      </c>
      <c r="N86">
        <f t="shared" si="20"/>
        <v>6.9725867579999976E-2</v>
      </c>
      <c r="O86">
        <f t="shared" si="21"/>
        <v>1.6398491078999995E-2</v>
      </c>
      <c r="P86">
        <f t="shared" si="22"/>
        <v>2.8799879825202997E-2</v>
      </c>
      <c r="V86">
        <v>2.19999999999997</v>
      </c>
      <c r="W86">
        <f t="shared" si="23"/>
        <v>-0.80569999999999786</v>
      </c>
    </row>
    <row r="87" spans="1:23" x14ac:dyDescent="0.3">
      <c r="A87">
        <v>4.3549844000000002</v>
      </c>
      <c r="B87">
        <v>0.47091481000000002</v>
      </c>
      <c r="C87">
        <f t="shared" si="13"/>
        <v>2.0508266512789644</v>
      </c>
      <c r="D87">
        <v>1.6199999999999999E-2</v>
      </c>
      <c r="E87">
        <v>3.81E-3</v>
      </c>
      <c r="F87">
        <f t="shared" si="14"/>
        <v>870.99688000000003</v>
      </c>
      <c r="G87">
        <f t="shared" si="15"/>
        <v>-0.47091481000000002</v>
      </c>
      <c r="H87">
        <f t="shared" si="16"/>
        <v>-410.16533025579287</v>
      </c>
      <c r="I87">
        <v>1</v>
      </c>
      <c r="J87">
        <f t="shared" si="17"/>
        <v>-0.13811688422560209</v>
      </c>
      <c r="K87">
        <f t="shared" si="18"/>
        <v>-0.75081034177521744</v>
      </c>
      <c r="L87">
        <v>1</v>
      </c>
      <c r="M87">
        <f t="shared" si="19"/>
        <v>0.6338484090094183</v>
      </c>
      <c r="N87">
        <f t="shared" si="20"/>
        <v>7.0550747280000006E-2</v>
      </c>
      <c r="O87">
        <f t="shared" si="21"/>
        <v>1.6592490564000001E-2</v>
      </c>
      <c r="P87">
        <f t="shared" si="22"/>
        <v>2.981869492179913E-2</v>
      </c>
      <c r="V87">
        <v>2.2999999999999701</v>
      </c>
      <c r="W87">
        <f t="shared" si="23"/>
        <v>-0.81304999999999783</v>
      </c>
    </row>
    <row r="88" spans="1:23" x14ac:dyDescent="0.3">
      <c r="A88">
        <v>4.4053935999999991</v>
      </c>
      <c r="B88">
        <v>0.46875733000000003</v>
      </c>
      <c r="C88">
        <f t="shared" si="13"/>
        <v>2.0650605415350878</v>
      </c>
      <c r="D88">
        <v>1.6199999999999999E-2</v>
      </c>
      <c r="E88">
        <v>3.81E-3</v>
      </c>
      <c r="F88">
        <f t="shared" si="14"/>
        <v>881.07871999999986</v>
      </c>
      <c r="G88">
        <f t="shared" si="15"/>
        <v>-0.46875733000000003</v>
      </c>
      <c r="H88">
        <f t="shared" si="16"/>
        <v>-413.01210830701757</v>
      </c>
      <c r="I88">
        <v>1</v>
      </c>
      <c r="J88">
        <f t="shared" si="17"/>
        <v>-0.1266083040297544</v>
      </c>
      <c r="K88">
        <f t="shared" si="18"/>
        <v>-0.75296782177521737</v>
      </c>
      <c r="L88">
        <v>1</v>
      </c>
      <c r="M88">
        <f t="shared" si="19"/>
        <v>0.63469428965381303</v>
      </c>
      <c r="N88">
        <f t="shared" si="20"/>
        <v>7.1367376319999981E-2</v>
      </c>
      <c r="O88">
        <f t="shared" si="21"/>
        <v>1.6784549615999997E-2</v>
      </c>
      <c r="P88">
        <f t="shared" si="22"/>
        <v>3.0121606185404368E-2</v>
      </c>
      <c r="V88">
        <v>2.3999999999999702</v>
      </c>
      <c r="W88">
        <f t="shared" si="23"/>
        <v>-0.8203999999999978</v>
      </c>
    </row>
    <row r="89" spans="1:23" x14ac:dyDescent="0.3">
      <c r="A89">
        <v>4.4573306000000006</v>
      </c>
      <c r="B89">
        <v>0.46629435000000002</v>
      </c>
      <c r="C89">
        <f t="shared" si="13"/>
        <v>2.0784280748621105</v>
      </c>
      <c r="D89">
        <v>1.6199999999999999E-2</v>
      </c>
      <c r="E89">
        <v>3.81E-3</v>
      </c>
      <c r="F89">
        <f t="shared" si="14"/>
        <v>891.46612000000016</v>
      </c>
      <c r="G89">
        <f t="shared" si="15"/>
        <v>-0.46629435000000002</v>
      </c>
      <c r="H89">
        <f t="shared" si="16"/>
        <v>-415.68561497242212</v>
      </c>
      <c r="I89">
        <v>1</v>
      </c>
      <c r="J89">
        <f t="shared" si="17"/>
        <v>-0.11488784576620295</v>
      </c>
      <c r="K89">
        <f t="shared" si="18"/>
        <v>-0.75543080177521738</v>
      </c>
      <c r="L89">
        <v>1</v>
      </c>
      <c r="M89">
        <f t="shared" si="19"/>
        <v>0.63555574333618414</v>
      </c>
      <c r="N89">
        <f t="shared" si="20"/>
        <v>7.2208755720000004E-2</v>
      </c>
      <c r="O89">
        <f t="shared" si="21"/>
        <v>1.6982429586000002E-2</v>
      </c>
      <c r="P89">
        <f t="shared" si="22"/>
        <v>3.0683873133033227E-2</v>
      </c>
      <c r="V89">
        <v>2.4999999999999698</v>
      </c>
      <c r="W89">
        <f t="shared" si="23"/>
        <v>-0.82774999999999777</v>
      </c>
    </row>
    <row r="90" spans="1:23" x14ac:dyDescent="0.3">
      <c r="A90">
        <v>4.5077392999999999</v>
      </c>
      <c r="B90">
        <v>0.46358316999999999</v>
      </c>
      <c r="C90">
        <f t="shared" si="13"/>
        <v>2.089712074227581</v>
      </c>
      <c r="D90">
        <v>1.6199999999999999E-2</v>
      </c>
      <c r="E90">
        <v>3.81E-3</v>
      </c>
      <c r="F90">
        <f t="shared" si="14"/>
        <v>901.54786000000001</v>
      </c>
      <c r="G90">
        <f t="shared" si="15"/>
        <v>-0.46358316999999999</v>
      </c>
      <c r="H90">
        <f t="shared" si="16"/>
        <v>-417.94241484551617</v>
      </c>
      <c r="I90">
        <v>1</v>
      </c>
      <c r="J90">
        <f t="shared" si="17"/>
        <v>-0.10364214845233348</v>
      </c>
      <c r="K90">
        <f t="shared" si="18"/>
        <v>-0.75814198177521752</v>
      </c>
      <c r="L90">
        <v>1</v>
      </c>
      <c r="M90">
        <f t="shared" si="19"/>
        <v>0.63638230208875346</v>
      </c>
      <c r="N90">
        <f t="shared" si="20"/>
        <v>7.3025376659999988E-2</v>
      </c>
      <c r="O90">
        <f t="shared" si="21"/>
        <v>1.7174486733E-2</v>
      </c>
      <c r="P90">
        <f t="shared" si="22"/>
        <v>3.1559816293464077E-2</v>
      </c>
      <c r="V90">
        <v>2.5999999999999699</v>
      </c>
      <c r="W90">
        <f t="shared" si="23"/>
        <v>-0.83509999999999773</v>
      </c>
    </row>
    <row r="91" spans="1:23" x14ac:dyDescent="0.3">
      <c r="A91">
        <v>4.5581484000000003</v>
      </c>
      <c r="B91">
        <v>0.46121564999999998</v>
      </c>
      <c r="C91">
        <f t="shared" si="13"/>
        <v>2.1022893771024602</v>
      </c>
      <c r="D91">
        <v>1.6199999999999999E-2</v>
      </c>
      <c r="E91">
        <v>3.81E-3</v>
      </c>
      <c r="F91">
        <f t="shared" si="14"/>
        <v>911.62968000000001</v>
      </c>
      <c r="G91">
        <f t="shared" si="15"/>
        <v>-0.46121564999999998</v>
      </c>
      <c r="H91">
        <f t="shared" si="16"/>
        <v>-420.45787542049203</v>
      </c>
      <c r="I91">
        <v>1</v>
      </c>
      <c r="J91">
        <f t="shared" si="17"/>
        <v>-9.2521424001077698E-2</v>
      </c>
      <c r="K91">
        <f t="shared" si="18"/>
        <v>-0.76050950177521748</v>
      </c>
      <c r="L91">
        <v>1</v>
      </c>
      <c r="M91">
        <f t="shared" si="19"/>
        <v>0.63719967533592081</v>
      </c>
      <c r="N91">
        <f t="shared" si="20"/>
        <v>7.3842004079999995E-2</v>
      </c>
      <c r="O91">
        <f t="shared" si="21"/>
        <v>1.7366545404000001E-2</v>
      </c>
      <c r="P91">
        <f t="shared" si="22"/>
        <v>3.2101276955296673E-2</v>
      </c>
      <c r="V91">
        <v>2.69999999999997</v>
      </c>
      <c r="W91">
        <f t="shared" si="23"/>
        <v>-0.84244999999999781</v>
      </c>
    </row>
    <row r="92" spans="1:23" x14ac:dyDescent="0.3">
      <c r="A92">
        <v>4.6111034999999996</v>
      </c>
      <c r="B92">
        <v>0.45859992999999999</v>
      </c>
      <c r="C92">
        <f t="shared" si="13"/>
        <v>2.1146517423227547</v>
      </c>
      <c r="D92">
        <v>1.6199999999999999E-2</v>
      </c>
      <c r="E92">
        <v>3.81E-3</v>
      </c>
      <c r="F92">
        <f t="shared" si="14"/>
        <v>922.22069999999997</v>
      </c>
      <c r="G92">
        <f t="shared" si="15"/>
        <v>-0.45859992999999999</v>
      </c>
      <c r="H92">
        <f t="shared" si="16"/>
        <v>-422.93034846455095</v>
      </c>
      <c r="I92">
        <v>1</v>
      </c>
      <c r="J92">
        <f t="shared" si="17"/>
        <v>-8.0970713137439018E-2</v>
      </c>
      <c r="K92">
        <f t="shared" si="18"/>
        <v>-0.76312522177521747</v>
      </c>
      <c r="L92">
        <v>1</v>
      </c>
      <c r="M92">
        <f t="shared" si="19"/>
        <v>0.63804865258439825</v>
      </c>
      <c r="N92">
        <f t="shared" si="20"/>
        <v>7.4699876699999987E-2</v>
      </c>
      <c r="O92">
        <f t="shared" si="21"/>
        <v>1.7568304335E-2</v>
      </c>
      <c r="P92">
        <f t="shared" si="22"/>
        <v>3.2808388155819233E-2</v>
      </c>
      <c r="V92">
        <v>2.7999999999999701</v>
      </c>
      <c r="W92">
        <f t="shared" si="23"/>
        <v>-0.84979999999999778</v>
      </c>
    </row>
    <row r="93" spans="1:23" x14ac:dyDescent="0.3">
      <c r="A93">
        <v>4.6615127000000003</v>
      </c>
      <c r="B93">
        <v>0.45617511999999999</v>
      </c>
      <c r="C93">
        <f t="shared" si="13"/>
        <v>2.1264661153040243</v>
      </c>
      <c r="D93">
        <v>1.6199999999999999E-2</v>
      </c>
      <c r="E93">
        <v>3.81E-3</v>
      </c>
      <c r="F93">
        <f t="shared" si="14"/>
        <v>932.30254000000002</v>
      </c>
      <c r="G93">
        <f t="shared" si="15"/>
        <v>-0.45617511999999999</v>
      </c>
      <c r="H93">
        <f t="shared" si="16"/>
        <v>-425.29322306080485</v>
      </c>
      <c r="I93">
        <v>1</v>
      </c>
      <c r="J93">
        <f t="shared" si="17"/>
        <v>-7.0097903238279219E-2</v>
      </c>
      <c r="K93">
        <f t="shared" si="18"/>
        <v>-0.76555003177521752</v>
      </c>
      <c r="L93">
        <v>1</v>
      </c>
      <c r="M93">
        <f t="shared" si="19"/>
        <v>0.63884780411198649</v>
      </c>
      <c r="N93">
        <f t="shared" si="20"/>
        <v>7.5516505740000003E-2</v>
      </c>
      <c r="O93">
        <f t="shared" si="21"/>
        <v>1.7760363387000003E-2</v>
      </c>
      <c r="P93">
        <f t="shared" si="22"/>
        <v>3.342535853623102E-2</v>
      </c>
      <c r="V93">
        <v>2.8999999999999702</v>
      </c>
      <c r="W93">
        <f t="shared" si="23"/>
        <v>-0.85714999999999786</v>
      </c>
    </row>
    <row r="94" spans="1:23" x14ac:dyDescent="0.3">
      <c r="A94">
        <v>4.7149766</v>
      </c>
      <c r="B94">
        <v>0.45373123999999998</v>
      </c>
      <c r="C94">
        <f t="shared" si="13"/>
        <v>2.1393321792889837</v>
      </c>
      <c r="D94">
        <v>1.6199999999999999E-2</v>
      </c>
      <c r="E94">
        <v>3.81E-3</v>
      </c>
      <c r="F94">
        <f t="shared" si="14"/>
        <v>942.99531999999999</v>
      </c>
      <c r="G94">
        <f t="shared" si="15"/>
        <v>-0.45373123999999998</v>
      </c>
      <c r="H94">
        <f t="shared" si="16"/>
        <v>-427.86643585779672</v>
      </c>
      <c r="I94">
        <v>1</v>
      </c>
      <c r="J94">
        <f t="shared" si="17"/>
        <v>-5.8693959245406192E-2</v>
      </c>
      <c r="K94">
        <f t="shared" si="18"/>
        <v>-0.76799391177521747</v>
      </c>
      <c r="L94">
        <v>1</v>
      </c>
      <c r="M94">
        <f t="shared" si="19"/>
        <v>0.63968599399546267</v>
      </c>
      <c r="N94">
        <f t="shared" si="20"/>
        <v>7.6382620919999991E-2</v>
      </c>
      <c r="O94">
        <f t="shared" si="21"/>
        <v>1.7964060846E-2</v>
      </c>
      <c r="P94">
        <f t="shared" si="22"/>
        <v>3.3961236013754822E-2</v>
      </c>
      <c r="V94">
        <v>2.9999999999999698</v>
      </c>
      <c r="W94">
        <f t="shared" si="23"/>
        <v>-0.86449999999999783</v>
      </c>
    </row>
    <row r="95" spans="1:23" x14ac:dyDescent="0.3">
      <c r="A95">
        <v>4.7669135999999996</v>
      </c>
      <c r="B95">
        <v>0.45084822000000002</v>
      </c>
      <c r="C95">
        <f t="shared" si="13"/>
        <v>2.149154511453792</v>
      </c>
      <c r="D95">
        <v>1.6199999999999999E-2</v>
      </c>
      <c r="E95">
        <v>3.81E-3</v>
      </c>
      <c r="F95">
        <f t="shared" si="14"/>
        <v>953.38271999999995</v>
      </c>
      <c r="G95">
        <f t="shared" si="15"/>
        <v>-0.45084822000000002</v>
      </c>
      <c r="H95">
        <f t="shared" si="16"/>
        <v>-429.83090229075839</v>
      </c>
      <c r="I95">
        <v>1</v>
      </c>
      <c r="J95">
        <f t="shared" si="17"/>
        <v>-4.7738860982335388E-2</v>
      </c>
      <c r="K95">
        <f t="shared" si="18"/>
        <v>-0.77087693177521743</v>
      </c>
      <c r="L95">
        <v>1</v>
      </c>
      <c r="M95">
        <f t="shared" si="19"/>
        <v>0.64049119371779839</v>
      </c>
      <c r="N95">
        <f t="shared" si="20"/>
        <v>7.7224000319999986E-2</v>
      </c>
      <c r="O95">
        <f t="shared" si="21"/>
        <v>1.8161940815999998E-2</v>
      </c>
      <c r="P95">
        <f t="shared" si="22"/>
        <v>3.4999796921419059E-2</v>
      </c>
      <c r="V95">
        <v>3.0999999999999699</v>
      </c>
      <c r="W95">
        <f t="shared" si="23"/>
        <v>-0.87184999999999779</v>
      </c>
    </row>
    <row r="96" spans="1:23" x14ac:dyDescent="0.3">
      <c r="A96">
        <v>4.8183413000000002</v>
      </c>
      <c r="B96">
        <v>0.44853798</v>
      </c>
      <c r="C96">
        <f t="shared" si="13"/>
        <v>2.1612090736525742</v>
      </c>
      <c r="D96">
        <v>1.6199999999999999E-2</v>
      </c>
      <c r="E96">
        <v>3.81E-3</v>
      </c>
      <c r="F96">
        <f t="shared" si="14"/>
        <v>963.66826000000003</v>
      </c>
      <c r="G96">
        <f t="shared" si="15"/>
        <v>-0.44853798</v>
      </c>
      <c r="H96">
        <f t="shared" si="16"/>
        <v>-432.24181473051482</v>
      </c>
      <c r="I96">
        <v>1</v>
      </c>
      <c r="J96">
        <f t="shared" si="17"/>
        <v>-3.7008172228141942E-2</v>
      </c>
      <c r="K96">
        <f t="shared" si="18"/>
        <v>-0.77318717177521745</v>
      </c>
      <c r="L96">
        <v>1</v>
      </c>
      <c r="M96">
        <f t="shared" si="19"/>
        <v>0.64127989934123153</v>
      </c>
      <c r="N96">
        <f t="shared" si="20"/>
        <v>7.8057129059999994E-2</v>
      </c>
      <c r="O96">
        <f t="shared" si="21"/>
        <v>1.8357880353000001E-2</v>
      </c>
      <c r="P96">
        <f t="shared" si="22"/>
        <v>3.5492263020985931E-2</v>
      </c>
      <c r="V96">
        <v>3.19999999999997</v>
      </c>
      <c r="W96">
        <f t="shared" si="23"/>
        <v>-0.87919999999999776</v>
      </c>
    </row>
    <row r="97" spans="1:23" x14ac:dyDescent="0.3">
      <c r="A97">
        <v>4.8707870999999994</v>
      </c>
      <c r="B97">
        <v>0.44584590000000002</v>
      </c>
      <c r="C97">
        <f t="shared" si="13"/>
        <v>2.1716204583078897</v>
      </c>
      <c r="D97">
        <v>1.6199999999999999E-2</v>
      </c>
      <c r="E97">
        <v>3.81E-3</v>
      </c>
      <c r="F97">
        <f t="shared" si="14"/>
        <v>974.15741999999989</v>
      </c>
      <c r="G97">
        <f t="shared" si="15"/>
        <v>-0.44584590000000002</v>
      </c>
      <c r="H97">
        <f t="shared" si="16"/>
        <v>-434.32409166157794</v>
      </c>
      <c r="I97">
        <v>1</v>
      </c>
      <c r="J97">
        <f t="shared" si="17"/>
        <v>-2.6182366222467508E-2</v>
      </c>
      <c r="K97">
        <f t="shared" si="18"/>
        <v>-0.77587925177521744</v>
      </c>
      <c r="L97">
        <v>1</v>
      </c>
      <c r="M97">
        <f t="shared" si="19"/>
        <v>0.64207559608264864</v>
      </c>
      <c r="N97">
        <f t="shared" si="20"/>
        <v>7.8906751019999985E-2</v>
      </c>
      <c r="O97">
        <f t="shared" si="21"/>
        <v>1.8557698850999997E-2</v>
      </c>
      <c r="P97">
        <f t="shared" si="22"/>
        <v>3.6339205821568819E-2</v>
      </c>
      <c r="V97">
        <v>3.2999999999999701</v>
      </c>
      <c r="W97">
        <f t="shared" si="23"/>
        <v>-0.88654999999999784</v>
      </c>
    </row>
    <row r="98" spans="1:23" x14ac:dyDescent="0.3">
      <c r="A98">
        <v>4.9211962999999992</v>
      </c>
      <c r="B98">
        <v>0.44347838000000001</v>
      </c>
      <c r="C98">
        <f t="shared" si="13"/>
        <v>2.1824441627859938</v>
      </c>
      <c r="D98">
        <v>1.6199999999999999E-2</v>
      </c>
      <c r="E98">
        <v>3.81E-3</v>
      </c>
      <c r="F98">
        <f t="shared" si="14"/>
        <v>984.23925999999983</v>
      </c>
      <c r="G98">
        <f t="shared" si="15"/>
        <v>-0.44347838000000001</v>
      </c>
      <c r="H98">
        <f t="shared" si="16"/>
        <v>-436.48883255719875</v>
      </c>
      <c r="I98">
        <v>1</v>
      </c>
      <c r="J98">
        <f t="shared" si="17"/>
        <v>-1.5886261079648838E-2</v>
      </c>
      <c r="K98">
        <f t="shared" si="18"/>
        <v>-0.77824677177521751</v>
      </c>
      <c r="L98">
        <v>1</v>
      </c>
      <c r="M98">
        <f t="shared" si="19"/>
        <v>0.64283235981064579</v>
      </c>
      <c r="N98">
        <f t="shared" si="20"/>
        <v>7.9723380059999988E-2</v>
      </c>
      <c r="O98">
        <f t="shared" si="21"/>
        <v>1.8749757902999997E-2</v>
      </c>
      <c r="P98">
        <f t="shared" si="22"/>
        <v>3.6941274001571725E-2</v>
      </c>
      <c r="V98">
        <v>3.3999999999999702</v>
      </c>
      <c r="W98">
        <f t="shared" si="23"/>
        <v>-0.89389999999999781</v>
      </c>
    </row>
    <row r="99" spans="1:23" x14ac:dyDescent="0.3">
      <c r="A99">
        <v>4.9751699</v>
      </c>
      <c r="B99">
        <v>0.44111085</v>
      </c>
      <c r="C99">
        <f t="shared" si="13"/>
        <v>2.194601423483415</v>
      </c>
      <c r="D99">
        <v>1.6199999999999999E-2</v>
      </c>
      <c r="E99">
        <v>3.81E-3</v>
      </c>
      <c r="F99">
        <f t="shared" si="14"/>
        <v>995.03398000000004</v>
      </c>
      <c r="G99">
        <f t="shared" si="15"/>
        <v>-0.44111085</v>
      </c>
      <c r="H99">
        <f t="shared" si="16"/>
        <v>-438.92028469668298</v>
      </c>
      <c r="I99">
        <v>1</v>
      </c>
      <c r="J99">
        <f t="shared" si="17"/>
        <v>-4.9783916528990573E-3</v>
      </c>
      <c r="K99">
        <f t="shared" si="18"/>
        <v>-0.7806143017752174</v>
      </c>
      <c r="L99">
        <v>1</v>
      </c>
      <c r="M99">
        <f t="shared" si="19"/>
        <v>0.64363408821351198</v>
      </c>
      <c r="N99">
        <f t="shared" si="20"/>
        <v>8.0597752379999998E-2</v>
      </c>
      <c r="O99">
        <f t="shared" si="21"/>
        <v>1.8955397318999999E-2</v>
      </c>
      <c r="P99">
        <f t="shared" si="22"/>
        <v>3.7427063862705424E-2</v>
      </c>
      <c r="V99">
        <v>3.4999999999999698</v>
      </c>
      <c r="W99">
        <f t="shared" si="23"/>
        <v>-0.90124999999999778</v>
      </c>
    </row>
    <row r="100" spans="1:23" x14ac:dyDescent="0.3">
      <c r="A100">
        <v>5.0265972000000003</v>
      </c>
      <c r="B100">
        <v>0.43872424999999998</v>
      </c>
      <c r="C100">
        <f t="shared" si="13"/>
        <v>2.2052900866220999</v>
      </c>
      <c r="D100">
        <v>1.6199999999999999E-2</v>
      </c>
      <c r="E100">
        <v>3.81E-3</v>
      </c>
      <c r="F100">
        <f t="shared" si="14"/>
        <v>1005.3194400000001</v>
      </c>
      <c r="G100">
        <f t="shared" si="15"/>
        <v>-0.43872424999999998</v>
      </c>
      <c r="H100">
        <f t="shared" si="16"/>
        <v>-441.05801732442001</v>
      </c>
      <c r="I100">
        <v>1</v>
      </c>
      <c r="J100">
        <f t="shared" si="17"/>
        <v>5.3053417534608491E-3</v>
      </c>
      <c r="K100">
        <f t="shared" si="18"/>
        <v>-0.78300090177521753</v>
      </c>
      <c r="L100">
        <v>1</v>
      </c>
      <c r="M100">
        <f t="shared" si="19"/>
        <v>0.64438994261887939</v>
      </c>
      <c r="N100">
        <f t="shared" si="20"/>
        <v>8.1430874639999998E-2</v>
      </c>
      <c r="O100">
        <f t="shared" si="21"/>
        <v>1.9151335332000002E-2</v>
      </c>
      <c r="P100">
        <f t="shared" si="22"/>
        <v>3.8028749184338143E-2</v>
      </c>
      <c r="V100">
        <v>3.5999999999999699</v>
      </c>
      <c r="W100">
        <f t="shared" ref="W100:W131" si="24">V100*$S$5+$S$4</f>
        <v>-0.90859999999999785</v>
      </c>
    </row>
    <row r="101" spans="1:23" x14ac:dyDescent="0.3">
      <c r="A101">
        <v>5.0785337000000004</v>
      </c>
      <c r="B101">
        <v>0.43603217999999999</v>
      </c>
      <c r="C101">
        <f t="shared" si="13"/>
        <v>2.214404120414466</v>
      </c>
      <c r="D101">
        <v>1.6199999999999999E-2</v>
      </c>
      <c r="E101">
        <v>3.81E-3</v>
      </c>
      <c r="F101">
        <f t="shared" si="14"/>
        <v>1015.7067400000001</v>
      </c>
      <c r="G101">
        <f t="shared" si="15"/>
        <v>-0.43603217999999999</v>
      </c>
      <c r="H101">
        <f t="shared" si="16"/>
        <v>-442.88082408289318</v>
      </c>
      <c r="I101">
        <v>1</v>
      </c>
      <c r="J101">
        <f t="shared" si="17"/>
        <v>1.5584665758964332E-2</v>
      </c>
      <c r="K101">
        <f t="shared" si="18"/>
        <v>-0.78569297177521746</v>
      </c>
      <c r="L101">
        <v>1</v>
      </c>
      <c r="M101">
        <f t="shared" si="19"/>
        <v>0.64514547293328395</v>
      </c>
      <c r="N101">
        <f t="shared" si="20"/>
        <v>8.2272245940000002E-2</v>
      </c>
      <c r="O101">
        <f t="shared" si="21"/>
        <v>1.9349213397000003E-2</v>
      </c>
      <c r="P101">
        <f t="shared" si="22"/>
        <v>3.8926039504933507E-2</v>
      </c>
      <c r="V101">
        <v>3.69999999999997</v>
      </c>
      <c r="W101">
        <f t="shared" si="24"/>
        <v>-0.91594999999999782</v>
      </c>
    </row>
    <row r="102" spans="1:23" x14ac:dyDescent="0.3">
      <c r="A102">
        <v>5.1304702000000004</v>
      </c>
      <c r="B102">
        <v>0.43351191</v>
      </c>
      <c r="C102">
        <f t="shared" si="13"/>
        <v>2.2241199356000823</v>
      </c>
      <c r="D102">
        <v>1.6199999999999999E-2</v>
      </c>
      <c r="E102">
        <v>3.81E-3</v>
      </c>
      <c r="F102">
        <f t="shared" si="14"/>
        <v>1026.0940400000002</v>
      </c>
      <c r="G102">
        <f t="shared" si="15"/>
        <v>-0.43351191</v>
      </c>
      <c r="H102">
        <f t="shared" si="16"/>
        <v>-444.82398712001645</v>
      </c>
      <c r="I102">
        <v>1</v>
      </c>
      <c r="J102">
        <f t="shared" si="17"/>
        <v>2.5759399468417172E-2</v>
      </c>
      <c r="K102">
        <f t="shared" si="18"/>
        <v>-0.78821324177521745</v>
      </c>
      <c r="L102">
        <v>1</v>
      </c>
      <c r="M102">
        <f t="shared" si="19"/>
        <v>0.64589331586092869</v>
      </c>
      <c r="N102">
        <f t="shared" si="20"/>
        <v>8.3113617240000007E-2</v>
      </c>
      <c r="O102">
        <f t="shared" si="21"/>
        <v>1.9547091462000003E-2</v>
      </c>
      <c r="P102">
        <f t="shared" si="22"/>
        <v>3.965921721228876E-2</v>
      </c>
      <c r="V102">
        <v>3.7999999999999701</v>
      </c>
      <c r="W102">
        <f t="shared" si="24"/>
        <v>-0.92329999999999779</v>
      </c>
    </row>
    <row r="103" spans="1:23" x14ac:dyDescent="0.3">
      <c r="A103">
        <v>5.1849526000000008</v>
      </c>
      <c r="B103">
        <v>0.43095347000000001</v>
      </c>
      <c r="C103">
        <f t="shared" si="13"/>
        <v>2.2344733147555225</v>
      </c>
      <c r="D103">
        <v>1.6199999999999999E-2</v>
      </c>
      <c r="E103">
        <v>3.81E-3</v>
      </c>
      <c r="F103">
        <f t="shared" si="14"/>
        <v>1036.9905200000001</v>
      </c>
      <c r="G103">
        <f t="shared" si="15"/>
        <v>-0.43095347000000001</v>
      </c>
      <c r="H103">
        <f t="shared" si="16"/>
        <v>-446.89466295110446</v>
      </c>
      <c r="I103">
        <v>1</v>
      </c>
      <c r="J103">
        <f t="shared" si="17"/>
        <v>3.6322787450541523E-2</v>
      </c>
      <c r="K103">
        <f t="shared" si="18"/>
        <v>-0.79077168177521751</v>
      </c>
      <c r="L103">
        <v>1</v>
      </c>
      <c r="M103">
        <f t="shared" si="19"/>
        <v>0.64666972487761487</v>
      </c>
      <c r="N103">
        <f t="shared" si="20"/>
        <v>8.3996232120000014E-2</v>
      </c>
      <c r="O103">
        <f t="shared" si="21"/>
        <v>1.9754669406000003E-2</v>
      </c>
      <c r="P103">
        <f t="shared" si="22"/>
        <v>4.035105537160262E-2</v>
      </c>
      <c r="V103">
        <v>3.8999999999999599</v>
      </c>
      <c r="W103">
        <f t="shared" si="24"/>
        <v>-0.93064999999999709</v>
      </c>
    </row>
    <row r="104" spans="1:23" x14ac:dyDescent="0.3">
      <c r="A104">
        <v>5.2353623000000002</v>
      </c>
      <c r="B104">
        <v>0.42854776999999999</v>
      </c>
      <c r="C104">
        <f t="shared" si="13"/>
        <v>2.243602838807071</v>
      </c>
      <c r="D104">
        <v>1.6199999999999999E-2</v>
      </c>
      <c r="E104">
        <v>3.81E-3</v>
      </c>
      <c r="F104">
        <f t="shared" si="14"/>
        <v>1047.0724600000001</v>
      </c>
      <c r="G104">
        <f t="shared" si="15"/>
        <v>-0.42854776999999999</v>
      </c>
      <c r="H104">
        <f t="shared" si="16"/>
        <v>-448.7205677614142</v>
      </c>
      <c r="I104">
        <v>1</v>
      </c>
      <c r="J104">
        <f t="shared" si="17"/>
        <v>4.599813675252281E-2</v>
      </c>
      <c r="K104">
        <f t="shared" si="18"/>
        <v>-0.79317738177521746</v>
      </c>
      <c r="L104">
        <v>1</v>
      </c>
      <c r="M104">
        <f t="shared" si="19"/>
        <v>0.64738086305131048</v>
      </c>
      <c r="N104">
        <f t="shared" si="20"/>
        <v>8.4812869259999993E-2</v>
      </c>
      <c r="O104">
        <f t="shared" si="21"/>
        <v>1.9946730363000001E-2</v>
      </c>
      <c r="P104">
        <f t="shared" si="22"/>
        <v>4.1036919100906982E-2</v>
      </c>
      <c r="V104">
        <v>3.99999999999996</v>
      </c>
      <c r="W104">
        <f t="shared" si="24"/>
        <v>-0.93799999999999706</v>
      </c>
    </row>
    <row r="105" spans="1:23" x14ac:dyDescent="0.3">
      <c r="A105">
        <v>5.2857710000000004</v>
      </c>
      <c r="B105">
        <v>0.42608478999999999</v>
      </c>
      <c r="C105">
        <f t="shared" si="13"/>
        <v>2.2521866265230903</v>
      </c>
      <c r="D105">
        <v>1.6199999999999999E-2</v>
      </c>
      <c r="E105">
        <v>3.81E-3</v>
      </c>
      <c r="F105">
        <f t="shared" si="14"/>
        <v>1057.1542000000002</v>
      </c>
      <c r="G105">
        <f t="shared" si="15"/>
        <v>-0.42608478999999999</v>
      </c>
      <c r="H105">
        <f t="shared" si="16"/>
        <v>-450.43732530461807</v>
      </c>
      <c r="I105">
        <v>1</v>
      </c>
      <c r="J105">
        <f t="shared" si="17"/>
        <v>5.5580580826977609E-2</v>
      </c>
      <c r="K105">
        <f t="shared" si="18"/>
        <v>-0.79564036177521746</v>
      </c>
      <c r="L105">
        <v>1</v>
      </c>
      <c r="M105">
        <f t="shared" si="19"/>
        <v>0.64808517269078292</v>
      </c>
      <c r="N105">
        <f t="shared" si="20"/>
        <v>8.5629490200000005E-2</v>
      </c>
      <c r="O105">
        <f t="shared" si="21"/>
        <v>2.0138787510000002E-2</v>
      </c>
      <c r="P105">
        <f t="shared" si="22"/>
        <v>4.1786911374434535E-2</v>
      </c>
      <c r="V105">
        <v>4.0999999999999996</v>
      </c>
      <c r="W105">
        <f t="shared" si="24"/>
        <v>-0.94534999999999991</v>
      </c>
    </row>
    <row r="106" spans="1:23" x14ac:dyDescent="0.3">
      <c r="A106">
        <v>5.3361806999999999</v>
      </c>
      <c r="B106">
        <v>0.42373635999999998</v>
      </c>
      <c r="C106">
        <f t="shared" si="13"/>
        <v>2.2611337861202516</v>
      </c>
      <c r="D106">
        <v>1.6199999999999999E-2</v>
      </c>
      <c r="E106">
        <v>3.81E-3</v>
      </c>
      <c r="F106">
        <f t="shared" si="14"/>
        <v>1067.23614</v>
      </c>
      <c r="G106">
        <f t="shared" si="15"/>
        <v>-0.42373635999999998</v>
      </c>
      <c r="H106">
        <f t="shared" si="16"/>
        <v>-452.22675722405035</v>
      </c>
      <c r="I106">
        <v>1</v>
      </c>
      <c r="J106">
        <f t="shared" si="17"/>
        <v>6.5072259923680126E-2</v>
      </c>
      <c r="K106">
        <f t="shared" si="18"/>
        <v>-0.79798879177521753</v>
      </c>
      <c r="L106">
        <v>1</v>
      </c>
      <c r="M106">
        <f t="shared" si="19"/>
        <v>0.64878281110439051</v>
      </c>
      <c r="N106">
        <f t="shared" si="20"/>
        <v>8.6446127339999998E-2</v>
      </c>
      <c r="O106">
        <f t="shared" si="21"/>
        <v>2.0330848467E-2</v>
      </c>
      <c r="P106">
        <f t="shared" si="22"/>
        <v>4.2429004863827023E-2</v>
      </c>
      <c r="V106">
        <v>4.2</v>
      </c>
      <c r="W106">
        <f t="shared" si="24"/>
        <v>-0.95269999999999999</v>
      </c>
    </row>
    <row r="107" spans="1:23" x14ac:dyDescent="0.3">
      <c r="A107">
        <v>5.3916816000000001</v>
      </c>
      <c r="B107">
        <v>0.42119699999999999</v>
      </c>
      <c r="C107">
        <f t="shared" si="13"/>
        <v>2.2709601148752001</v>
      </c>
      <c r="D107">
        <v>1.6199999999999999E-2</v>
      </c>
      <c r="E107">
        <v>3.81E-3</v>
      </c>
      <c r="F107">
        <f t="shared" si="14"/>
        <v>1078.3363200000001</v>
      </c>
      <c r="G107">
        <f t="shared" si="15"/>
        <v>-0.42119699999999999</v>
      </c>
      <c r="H107">
        <f t="shared" si="16"/>
        <v>-454.19202297504</v>
      </c>
      <c r="I107">
        <v>1</v>
      </c>
      <c r="J107">
        <f t="shared" si="17"/>
        <v>7.5419408987255521E-2</v>
      </c>
      <c r="K107">
        <f t="shared" si="18"/>
        <v>-0.80052815177521741</v>
      </c>
      <c r="L107">
        <v>1</v>
      </c>
      <c r="M107">
        <f t="shared" si="19"/>
        <v>0.64954332656056335</v>
      </c>
      <c r="N107">
        <f t="shared" si="20"/>
        <v>8.7345241919999997E-2</v>
      </c>
      <c r="O107">
        <f t="shared" si="21"/>
        <v>2.0542306896E-2</v>
      </c>
      <c r="P107">
        <f t="shared" si="22"/>
        <v>4.3097276398654065E-2</v>
      </c>
      <c r="V107">
        <v>4.3</v>
      </c>
      <c r="W107">
        <f t="shared" si="24"/>
        <v>-0.96004999999999996</v>
      </c>
    </row>
    <row r="108" spans="1:23" x14ac:dyDescent="0.3">
      <c r="A108">
        <v>5.4436182000000004</v>
      </c>
      <c r="B108">
        <v>0.4185431</v>
      </c>
      <c r="C108">
        <f t="shared" si="13"/>
        <v>2.27838883664442</v>
      </c>
      <c r="D108">
        <v>1.6199999999999999E-2</v>
      </c>
      <c r="E108">
        <v>3.81E-3</v>
      </c>
      <c r="F108">
        <f t="shared" si="14"/>
        <v>1088.7236400000002</v>
      </c>
      <c r="G108">
        <f t="shared" si="15"/>
        <v>-0.4185431</v>
      </c>
      <c r="H108">
        <f t="shared" si="16"/>
        <v>-455.67776732888399</v>
      </c>
      <c r="I108">
        <v>1</v>
      </c>
      <c r="J108">
        <f t="shared" si="17"/>
        <v>8.5006037640043483E-2</v>
      </c>
      <c r="K108">
        <f t="shared" si="18"/>
        <v>-0.80318205177521751</v>
      </c>
      <c r="L108">
        <v>1</v>
      </c>
      <c r="M108">
        <f t="shared" si="19"/>
        <v>0.65024794376654316</v>
      </c>
      <c r="N108">
        <f t="shared" si="20"/>
        <v>8.8186614839999997E-2</v>
      </c>
      <c r="O108">
        <f t="shared" si="21"/>
        <v>2.0740185342000002E-2</v>
      </c>
      <c r="P108">
        <f t="shared" si="22"/>
        <v>4.4007307826674349E-2</v>
      </c>
      <c r="V108">
        <v>4.4000000000000004</v>
      </c>
      <c r="W108">
        <f t="shared" si="24"/>
        <v>-0.96740000000000004</v>
      </c>
    </row>
    <row r="109" spans="1:23" x14ac:dyDescent="0.3">
      <c r="A109">
        <v>5.4955546999999996</v>
      </c>
      <c r="B109">
        <v>0.41609921999999999</v>
      </c>
      <c r="C109">
        <f t="shared" si="13"/>
        <v>2.286696024137334</v>
      </c>
      <c r="D109">
        <v>1.6199999999999999E-2</v>
      </c>
      <c r="E109">
        <v>3.81E-3</v>
      </c>
      <c r="F109">
        <f t="shared" si="14"/>
        <v>1099.11094</v>
      </c>
      <c r="G109">
        <f t="shared" si="15"/>
        <v>-0.41609921999999999</v>
      </c>
      <c r="H109">
        <f t="shared" si="16"/>
        <v>-457.3392048274668</v>
      </c>
      <c r="I109">
        <v>1</v>
      </c>
      <c r="J109">
        <f t="shared" si="17"/>
        <v>9.4501616641579675E-2</v>
      </c>
      <c r="K109">
        <f t="shared" si="18"/>
        <v>-0.80562593177521746</v>
      </c>
      <c r="L109">
        <v>1</v>
      </c>
      <c r="M109">
        <f t="shared" si="19"/>
        <v>0.65094586882315608</v>
      </c>
      <c r="N109">
        <f t="shared" si="20"/>
        <v>8.9027986139999987E-2</v>
      </c>
      <c r="O109">
        <f t="shared" si="21"/>
        <v>2.0938063406999999E-2</v>
      </c>
      <c r="P109">
        <f t="shared" si="22"/>
        <v>4.4714013405061398E-2</v>
      </c>
      <c r="V109">
        <v>4.5</v>
      </c>
      <c r="W109">
        <f t="shared" si="24"/>
        <v>-0.97475000000000001</v>
      </c>
    </row>
    <row r="110" spans="1:23" x14ac:dyDescent="0.3">
      <c r="A110">
        <v>5.5505463999999991</v>
      </c>
      <c r="B110">
        <v>0.41367440999999999</v>
      </c>
      <c r="C110">
        <f t="shared" si="13"/>
        <v>2.2961190071976234</v>
      </c>
      <c r="D110">
        <v>1.6199999999999999E-2</v>
      </c>
      <c r="E110">
        <v>3.81E-3</v>
      </c>
      <c r="F110">
        <f t="shared" si="14"/>
        <v>1110.1092799999999</v>
      </c>
      <c r="G110">
        <f t="shared" si="15"/>
        <v>-0.41367440999999999</v>
      </c>
      <c r="H110">
        <f t="shared" si="16"/>
        <v>-459.22380143952466</v>
      </c>
      <c r="I110">
        <v>1</v>
      </c>
      <c r="J110">
        <f t="shared" si="17"/>
        <v>0.10445846092876555</v>
      </c>
      <c r="K110">
        <f t="shared" si="18"/>
        <v>-0.80805074177521741</v>
      </c>
      <c r="L110">
        <v>1</v>
      </c>
      <c r="M110">
        <f t="shared" si="19"/>
        <v>0.65167769687826427</v>
      </c>
      <c r="N110">
        <f t="shared" si="20"/>
        <v>8.9918851679999981E-2</v>
      </c>
      <c r="O110">
        <f t="shared" si="21"/>
        <v>2.1147581783999995E-2</v>
      </c>
      <c r="P110">
        <f t="shared" si="22"/>
        <v>4.5306611432953163E-2</v>
      </c>
      <c r="V110">
        <v>4.5999999999999996</v>
      </c>
      <c r="W110">
        <f t="shared" si="24"/>
        <v>-0.98209999999999997</v>
      </c>
    </row>
    <row r="111" spans="1:23" x14ac:dyDescent="0.3">
      <c r="A111">
        <v>5.6009555999999989</v>
      </c>
      <c r="B111">
        <v>0.41128780999999998</v>
      </c>
      <c r="C111">
        <f t="shared" si="13"/>
        <v>2.3036047626312355</v>
      </c>
      <c r="D111">
        <v>1.6199999999999999E-2</v>
      </c>
      <c r="E111">
        <v>3.81E-3</v>
      </c>
      <c r="F111">
        <f t="shared" si="14"/>
        <v>1120.1911199999997</v>
      </c>
      <c r="G111">
        <f t="shared" si="15"/>
        <v>-0.41128780999999998</v>
      </c>
      <c r="H111">
        <f t="shared" si="16"/>
        <v>-460.72095252624712</v>
      </c>
      <c r="I111">
        <v>1</v>
      </c>
      <c r="J111">
        <f t="shared" si="17"/>
        <v>0.11349931360630948</v>
      </c>
      <c r="K111">
        <f t="shared" si="18"/>
        <v>-0.81043734177521753</v>
      </c>
      <c r="L111">
        <v>1</v>
      </c>
      <c r="M111">
        <f t="shared" si="19"/>
        <v>0.65234219955006378</v>
      </c>
      <c r="N111">
        <f t="shared" si="20"/>
        <v>9.0735480719999984E-2</v>
      </c>
      <c r="O111">
        <f t="shared" si="21"/>
        <v>2.1339640835999995E-2</v>
      </c>
      <c r="P111">
        <f t="shared" si="22"/>
        <v>4.6020020669153769E-2</v>
      </c>
      <c r="V111">
        <v>4.7</v>
      </c>
      <c r="W111">
        <f t="shared" si="24"/>
        <v>-0.98944999999999994</v>
      </c>
    </row>
    <row r="112" spans="1:23" x14ac:dyDescent="0.3">
      <c r="A112">
        <v>5.6534019000000004</v>
      </c>
      <c r="B112">
        <v>0.40893939000000001</v>
      </c>
      <c r="C112">
        <f t="shared" si="13"/>
        <v>2.3118987244108413</v>
      </c>
      <c r="D112">
        <v>1.6199999999999999E-2</v>
      </c>
      <c r="E112">
        <v>3.81E-3</v>
      </c>
      <c r="F112">
        <f t="shared" si="14"/>
        <v>1130.68038</v>
      </c>
      <c r="G112">
        <f t="shared" si="15"/>
        <v>-0.40893939000000001</v>
      </c>
      <c r="H112">
        <f t="shared" si="16"/>
        <v>-462.37974488216827</v>
      </c>
      <c r="I112">
        <v>1</v>
      </c>
      <c r="J112">
        <f t="shared" si="17"/>
        <v>0.12281955772573272</v>
      </c>
      <c r="K112">
        <f t="shared" si="18"/>
        <v>-0.81278576177521744</v>
      </c>
      <c r="L112">
        <v>1</v>
      </c>
      <c r="M112">
        <f t="shared" si="19"/>
        <v>0.65302723749284142</v>
      </c>
      <c r="N112">
        <f t="shared" si="20"/>
        <v>9.1585110780000006E-2</v>
      </c>
      <c r="O112">
        <f t="shared" si="21"/>
        <v>2.1539461239000003E-2</v>
      </c>
      <c r="P112">
        <f t="shared" si="22"/>
        <v>4.6633952263376015E-2</v>
      </c>
      <c r="V112">
        <v>4.8</v>
      </c>
      <c r="W112">
        <f t="shared" si="24"/>
        <v>-0.99679999999999991</v>
      </c>
    </row>
    <row r="113" spans="1:23" x14ac:dyDescent="0.3">
      <c r="A113">
        <v>5.7068661999999986</v>
      </c>
      <c r="B113">
        <v>0.40596092</v>
      </c>
      <c r="C113">
        <f t="shared" si="13"/>
        <v>2.3167646528689034</v>
      </c>
      <c r="D113">
        <v>1.6199999999999999E-2</v>
      </c>
      <c r="E113">
        <v>3.81E-3</v>
      </c>
      <c r="F113">
        <f t="shared" si="14"/>
        <v>1141.3732399999997</v>
      </c>
      <c r="G113">
        <f t="shared" si="15"/>
        <v>-0.40596092</v>
      </c>
      <c r="H113">
        <f t="shared" si="16"/>
        <v>-463.35293057378067</v>
      </c>
      <c r="I113">
        <v>1</v>
      </c>
      <c r="J113">
        <f t="shared" si="17"/>
        <v>0.13223213395339695</v>
      </c>
      <c r="K113">
        <f t="shared" si="18"/>
        <v>-0.8157642317752174</v>
      </c>
      <c r="L113">
        <v>1</v>
      </c>
      <c r="M113">
        <f t="shared" si="19"/>
        <v>0.65371906184557471</v>
      </c>
      <c r="N113">
        <f t="shared" si="20"/>
        <v>9.2451232439999975E-2</v>
      </c>
      <c r="O113">
        <f t="shared" si="21"/>
        <v>2.1743160221999996E-2</v>
      </c>
      <c r="P113">
        <f t="shared" si="22"/>
        <v>4.7850777267642711E-2</v>
      </c>
      <c r="V113">
        <v>4.9000000000000004</v>
      </c>
      <c r="W113">
        <f t="shared" si="24"/>
        <v>-1.0041500000000001</v>
      </c>
    </row>
    <row r="114" spans="1:23" x14ac:dyDescent="0.3">
      <c r="A114">
        <v>5.7593114999999999</v>
      </c>
      <c r="B114">
        <v>0.40378429999999998</v>
      </c>
      <c r="C114">
        <f t="shared" si="13"/>
        <v>2.32551956250945</v>
      </c>
      <c r="D114">
        <v>1.6199999999999999E-2</v>
      </c>
      <c r="E114">
        <v>3.81E-3</v>
      </c>
      <c r="F114">
        <f t="shared" si="14"/>
        <v>1151.8623</v>
      </c>
      <c r="G114">
        <f t="shared" si="15"/>
        <v>-0.40378429999999998</v>
      </c>
      <c r="H114">
        <f t="shared" si="16"/>
        <v>-465.10391250189002</v>
      </c>
      <c r="I114">
        <v>1</v>
      </c>
      <c r="J114">
        <f t="shared" si="17"/>
        <v>0.14138002387927021</v>
      </c>
      <c r="K114">
        <f t="shared" si="18"/>
        <v>-0.81794085177521747</v>
      </c>
      <c r="L114">
        <v>1</v>
      </c>
      <c r="M114">
        <f t="shared" si="19"/>
        <v>0.65439143175512637</v>
      </c>
      <c r="N114">
        <f t="shared" si="20"/>
        <v>9.330084629999999E-2</v>
      </c>
      <c r="O114">
        <f t="shared" si="21"/>
        <v>2.1942976815000001E-2</v>
      </c>
      <c r="P114">
        <f t="shared" si="22"/>
        <v>4.8305596905091105E-2</v>
      </c>
      <c r="V114">
        <v>5</v>
      </c>
      <c r="W114">
        <f t="shared" si="24"/>
        <v>-1.0115000000000001</v>
      </c>
    </row>
    <row r="115" spans="1:23" x14ac:dyDescent="0.3">
      <c r="A115">
        <v>5.8097212000000003</v>
      </c>
      <c r="B115">
        <v>0.40113040999999999</v>
      </c>
      <c r="C115">
        <f t="shared" si="13"/>
        <v>2.3304558469416921</v>
      </c>
      <c r="D115">
        <v>1.6199999999999999E-2</v>
      </c>
      <c r="E115">
        <v>3.81E-3</v>
      </c>
      <c r="F115">
        <f t="shared" si="14"/>
        <v>1161.94424</v>
      </c>
      <c r="G115">
        <f t="shared" si="15"/>
        <v>-0.40113040999999999</v>
      </c>
      <c r="H115">
        <f t="shared" si="16"/>
        <v>-466.09116938833841</v>
      </c>
      <c r="I115">
        <v>1</v>
      </c>
      <c r="J115">
        <f t="shared" si="17"/>
        <v>0.15009467104770663</v>
      </c>
      <c r="K115">
        <f t="shared" si="18"/>
        <v>-0.82059474177521752</v>
      </c>
      <c r="L115">
        <v>1</v>
      </c>
      <c r="M115">
        <f t="shared" si="19"/>
        <v>0.65503195832200645</v>
      </c>
      <c r="N115">
        <f t="shared" si="20"/>
        <v>9.4117483439999997E-2</v>
      </c>
      <c r="O115">
        <f t="shared" si="21"/>
        <v>2.2135037772000002E-2</v>
      </c>
      <c r="P115">
        <f t="shared" si="22"/>
        <v>4.9310262241211072E-2</v>
      </c>
      <c r="V115">
        <v>5.0999999999999996</v>
      </c>
      <c r="W115">
        <f t="shared" si="24"/>
        <v>-1.01885</v>
      </c>
    </row>
    <row r="116" spans="1:23" x14ac:dyDescent="0.3">
      <c r="A116">
        <v>5.8626763000000013</v>
      </c>
      <c r="B116">
        <v>0.39872469999999999</v>
      </c>
      <c r="C116">
        <f t="shared" si="13"/>
        <v>2.3375938489146106</v>
      </c>
      <c r="D116">
        <v>1.6199999999999999E-2</v>
      </c>
      <c r="E116">
        <v>3.81E-3</v>
      </c>
      <c r="F116">
        <f t="shared" si="14"/>
        <v>1172.5352600000003</v>
      </c>
      <c r="G116">
        <f t="shared" si="15"/>
        <v>-0.39872469999999999</v>
      </c>
      <c r="H116">
        <f t="shared" si="16"/>
        <v>-467.51876978292211</v>
      </c>
      <c r="I116">
        <v>1</v>
      </c>
      <c r="J116">
        <f t="shared" si="17"/>
        <v>0.15916829338079874</v>
      </c>
      <c r="K116">
        <f t="shared" si="18"/>
        <v>-0.82300045177521741</v>
      </c>
      <c r="L116">
        <v>1</v>
      </c>
      <c r="M116">
        <f t="shared" si="19"/>
        <v>0.65569886956348877</v>
      </c>
      <c r="N116">
        <f t="shared" si="20"/>
        <v>9.4975356060000016E-2</v>
      </c>
      <c r="O116">
        <f t="shared" si="21"/>
        <v>2.2336796703000004E-2</v>
      </c>
      <c r="P116">
        <f t="shared" si="22"/>
        <v>4.9989429448728619E-2</v>
      </c>
      <c r="V116">
        <v>5.2</v>
      </c>
      <c r="W116">
        <f t="shared" si="24"/>
        <v>-1.0262</v>
      </c>
    </row>
    <row r="117" spans="1:23" x14ac:dyDescent="0.3">
      <c r="A117">
        <v>5.9135941999999986</v>
      </c>
      <c r="B117">
        <v>0.39610898</v>
      </c>
      <c r="C117">
        <f t="shared" si="13"/>
        <v>2.3424277666959155</v>
      </c>
      <c r="D117">
        <v>1.6199999999999999E-2</v>
      </c>
      <c r="E117">
        <v>3.81E-3</v>
      </c>
      <c r="F117">
        <f t="shared" si="14"/>
        <v>1182.7188399999998</v>
      </c>
      <c r="G117">
        <f t="shared" si="15"/>
        <v>-0.39610898</v>
      </c>
      <c r="H117">
        <f t="shared" si="16"/>
        <v>-468.48555333918307</v>
      </c>
      <c r="I117">
        <v>1</v>
      </c>
      <c r="J117">
        <f t="shared" si="17"/>
        <v>0.1678158898005484</v>
      </c>
      <c r="K117">
        <f t="shared" si="18"/>
        <v>-0.82561617177521751</v>
      </c>
      <c r="L117">
        <v>1</v>
      </c>
      <c r="M117">
        <f t="shared" si="19"/>
        <v>0.65633446790034033</v>
      </c>
      <c r="N117">
        <f t="shared" si="20"/>
        <v>9.5800226039999978E-2</v>
      </c>
      <c r="O117">
        <f t="shared" si="21"/>
        <v>2.2530793901999996E-2</v>
      </c>
      <c r="P117">
        <f t="shared" si="22"/>
        <v>5.0950683932877203E-2</v>
      </c>
      <c r="V117">
        <v>5.3</v>
      </c>
      <c r="W117">
        <f t="shared" si="24"/>
        <v>-1.03355</v>
      </c>
    </row>
    <row r="118" spans="1:23" x14ac:dyDescent="0.3">
      <c r="A118">
        <v>5.9650220000000003</v>
      </c>
      <c r="B118">
        <v>0.39387512000000002</v>
      </c>
      <c r="C118">
        <f t="shared" si="13"/>
        <v>2.3494737560526402</v>
      </c>
      <c r="D118">
        <v>1.6199999999999999E-2</v>
      </c>
      <c r="E118">
        <v>3.81E-3</v>
      </c>
      <c r="F118">
        <f t="shared" si="14"/>
        <v>1193.0044</v>
      </c>
      <c r="G118">
        <f t="shared" si="15"/>
        <v>-0.39387512000000002</v>
      </c>
      <c r="H118">
        <f t="shared" si="16"/>
        <v>-469.89475121052806</v>
      </c>
      <c r="I118">
        <v>1</v>
      </c>
      <c r="J118">
        <f t="shared" si="17"/>
        <v>0.17647483129003386</v>
      </c>
      <c r="K118">
        <f t="shared" si="18"/>
        <v>-0.82785003177521743</v>
      </c>
      <c r="L118">
        <v>1</v>
      </c>
      <c r="M118">
        <f t="shared" si="19"/>
        <v>0.65697090009981751</v>
      </c>
      <c r="N118">
        <f t="shared" si="20"/>
        <v>9.6633356399999995E-2</v>
      </c>
      <c r="O118">
        <f t="shared" si="21"/>
        <v>2.2726733820000001E-2</v>
      </c>
      <c r="P118">
        <f t="shared" si="22"/>
        <v>5.1519041455399928E-2</v>
      </c>
      <c r="V118">
        <v>5.4</v>
      </c>
      <c r="W118">
        <f t="shared" si="24"/>
        <v>-1.0409000000000002</v>
      </c>
    </row>
    <row r="119" spans="1:23" x14ac:dyDescent="0.3">
      <c r="A119">
        <v>6.0169584999999994</v>
      </c>
      <c r="B119">
        <v>0.39118301999999999</v>
      </c>
      <c r="C119">
        <f t="shared" si="13"/>
        <v>2.3537319972446697</v>
      </c>
      <c r="D119">
        <v>1.6199999999999999E-2</v>
      </c>
      <c r="E119">
        <v>3.81E-3</v>
      </c>
      <c r="F119">
        <f t="shared" si="14"/>
        <v>1203.3916999999999</v>
      </c>
      <c r="G119">
        <f t="shared" si="15"/>
        <v>-0.39118301999999999</v>
      </c>
      <c r="H119">
        <f t="shared" si="16"/>
        <v>-470.74639944893397</v>
      </c>
      <c r="I119">
        <v>1</v>
      </c>
      <c r="J119">
        <f t="shared" si="17"/>
        <v>0.18514398665551587</v>
      </c>
      <c r="K119">
        <f t="shared" si="18"/>
        <v>-0.83054213177521752</v>
      </c>
      <c r="L119">
        <v>1</v>
      </c>
      <c r="M119">
        <f t="shared" si="19"/>
        <v>0.65760808301918039</v>
      </c>
      <c r="N119">
        <f t="shared" si="20"/>
        <v>9.7474727699999986E-2</v>
      </c>
      <c r="O119">
        <f t="shared" si="21"/>
        <v>2.2924611884999998E-2</v>
      </c>
      <c r="P119">
        <f t="shared" si="22"/>
        <v>5.2534709171037142E-2</v>
      </c>
      <c r="V119">
        <v>5.5</v>
      </c>
      <c r="W119">
        <f t="shared" si="24"/>
        <v>-1.0482499999999999</v>
      </c>
    </row>
    <row r="120" spans="1:23" x14ac:dyDescent="0.3">
      <c r="A120">
        <v>6.0673681999999998</v>
      </c>
      <c r="B120">
        <v>0.38879641999999998</v>
      </c>
      <c r="C120">
        <f t="shared" si="13"/>
        <v>2.3589710349818436</v>
      </c>
      <c r="D120">
        <v>1.6199999999999999E-2</v>
      </c>
      <c r="E120">
        <v>3.81E-3</v>
      </c>
      <c r="F120">
        <f t="shared" si="14"/>
        <v>1213.4736399999999</v>
      </c>
      <c r="G120">
        <f t="shared" si="15"/>
        <v>-0.38879641999999998</v>
      </c>
      <c r="H120">
        <f t="shared" si="16"/>
        <v>-471.7942069963687</v>
      </c>
      <c r="I120">
        <v>1</v>
      </c>
      <c r="J120">
        <f t="shared" si="17"/>
        <v>0.19348702365769246</v>
      </c>
      <c r="K120">
        <f t="shared" si="18"/>
        <v>-0.83292873177521742</v>
      </c>
      <c r="L120">
        <v>1</v>
      </c>
      <c r="M120">
        <f t="shared" si="19"/>
        <v>0.6582212962388404</v>
      </c>
      <c r="N120">
        <f t="shared" si="20"/>
        <v>9.8291364839999992E-2</v>
      </c>
      <c r="O120">
        <f t="shared" si="21"/>
        <v>2.3116672841999999E-2</v>
      </c>
      <c r="P120">
        <f t="shared" si="22"/>
        <v>5.3299397854377026E-2</v>
      </c>
      <c r="V120">
        <v>5.6</v>
      </c>
      <c r="W120">
        <f t="shared" si="24"/>
        <v>-1.0556000000000001</v>
      </c>
    </row>
    <row r="121" spans="1:23" x14ac:dyDescent="0.3">
      <c r="A121">
        <v>6.1208320000000001</v>
      </c>
      <c r="B121">
        <v>0.38658165999999999</v>
      </c>
      <c r="C121">
        <f t="shared" si="13"/>
        <v>2.36620139514112</v>
      </c>
      <c r="D121">
        <v>1.6199999999999999E-2</v>
      </c>
      <c r="E121">
        <v>3.81E-3</v>
      </c>
      <c r="F121">
        <f t="shared" si="14"/>
        <v>1224.1664000000001</v>
      </c>
      <c r="G121">
        <f t="shared" si="15"/>
        <v>-0.38658165999999999</v>
      </c>
      <c r="H121">
        <f t="shared" si="16"/>
        <v>-473.24027902822399</v>
      </c>
      <c r="I121">
        <v>1</v>
      </c>
      <c r="J121">
        <f t="shared" si="17"/>
        <v>0.20226012256249989</v>
      </c>
      <c r="K121">
        <f t="shared" si="18"/>
        <v>-0.83514349177521741</v>
      </c>
      <c r="L121">
        <v>1</v>
      </c>
      <c r="M121">
        <f t="shared" si="19"/>
        <v>0.6588661190083438</v>
      </c>
      <c r="N121">
        <f t="shared" si="20"/>
        <v>9.9157478399999999E-2</v>
      </c>
      <c r="O121">
        <f t="shared" si="21"/>
        <v>2.332036992E-2</v>
      </c>
      <c r="P121">
        <f t="shared" si="22"/>
        <v>5.3799524446873609E-2</v>
      </c>
      <c r="V121">
        <v>5.7</v>
      </c>
      <c r="W121">
        <f t="shared" si="24"/>
        <v>-1.0629500000000001</v>
      </c>
    </row>
    <row r="122" spans="1:23" x14ac:dyDescent="0.3">
      <c r="A122">
        <v>6.1722592999999986</v>
      </c>
      <c r="B122">
        <v>0.38392773000000002</v>
      </c>
      <c r="C122">
        <f t="shared" si="13"/>
        <v>2.3697015020203884</v>
      </c>
      <c r="D122">
        <v>1.6199999999999999E-2</v>
      </c>
      <c r="E122">
        <v>3.81E-3</v>
      </c>
      <c r="F122">
        <f t="shared" si="14"/>
        <v>1234.4518599999997</v>
      </c>
      <c r="G122">
        <f t="shared" si="15"/>
        <v>-0.38392773000000002</v>
      </c>
      <c r="H122">
        <f t="shared" si="16"/>
        <v>-473.94030040407768</v>
      </c>
      <c r="I122">
        <v>1</v>
      </c>
      <c r="J122">
        <f t="shared" si="17"/>
        <v>0.21062703349799586</v>
      </c>
      <c r="K122">
        <f t="shared" si="18"/>
        <v>-0.83779742177521743</v>
      </c>
      <c r="L122">
        <v>1</v>
      </c>
      <c r="M122">
        <f t="shared" si="19"/>
        <v>0.65948108696210272</v>
      </c>
      <c r="N122">
        <f t="shared" si="20"/>
        <v>9.999060065999997E-2</v>
      </c>
      <c r="O122">
        <f t="shared" si="21"/>
        <v>2.3516307932999993E-2</v>
      </c>
      <c r="P122">
        <f t="shared" si="22"/>
        <v>5.480942622011474E-2</v>
      </c>
      <c r="V122">
        <v>5.8</v>
      </c>
      <c r="W122">
        <f t="shared" si="24"/>
        <v>-1.0703</v>
      </c>
    </row>
    <row r="123" spans="1:23" x14ac:dyDescent="0.3">
      <c r="A123">
        <v>6.2231776999999999</v>
      </c>
      <c r="B123">
        <v>0.38119744999999999</v>
      </c>
      <c r="C123">
        <f t="shared" si="13"/>
        <v>2.3722594701368651</v>
      </c>
      <c r="D123">
        <v>1.6199999999999999E-2</v>
      </c>
      <c r="E123">
        <v>3.81E-3</v>
      </c>
      <c r="F123">
        <f t="shared" si="14"/>
        <v>1244.63554</v>
      </c>
      <c r="G123">
        <f t="shared" si="15"/>
        <v>-0.38119744999999999</v>
      </c>
      <c r="H123">
        <f t="shared" si="16"/>
        <v>-474.45189402737304</v>
      </c>
      <c r="I123">
        <v>1</v>
      </c>
      <c r="J123">
        <f t="shared" si="17"/>
        <v>0.21884274810443546</v>
      </c>
      <c r="K123">
        <f t="shared" si="18"/>
        <v>-0.84052770177521752</v>
      </c>
      <c r="L123">
        <v>1</v>
      </c>
      <c r="M123">
        <f t="shared" si="19"/>
        <v>0.66008494198567602</v>
      </c>
      <c r="N123">
        <f t="shared" si="20"/>
        <v>0.10081547873999999</v>
      </c>
      <c r="O123">
        <f t="shared" si="21"/>
        <v>2.3710307037E-2</v>
      </c>
      <c r="P123">
        <f t="shared" si="22"/>
        <v>5.5916974012541504E-2</v>
      </c>
      <c r="V123">
        <v>5.9</v>
      </c>
      <c r="W123">
        <f t="shared" si="24"/>
        <v>-1.07765</v>
      </c>
    </row>
    <row r="124" spans="1:23" x14ac:dyDescent="0.3">
      <c r="A124">
        <v>6.2751143000000003</v>
      </c>
      <c r="B124">
        <v>0.37894452000000001</v>
      </c>
      <c r="C124">
        <f t="shared" si="13"/>
        <v>2.3779201763586362</v>
      </c>
      <c r="D124">
        <v>1.6199999999999999E-2</v>
      </c>
      <c r="E124">
        <v>3.81E-3</v>
      </c>
      <c r="F124">
        <f t="shared" si="14"/>
        <v>1255.02286</v>
      </c>
      <c r="G124">
        <f t="shared" si="15"/>
        <v>-0.37894452000000001</v>
      </c>
      <c r="H124">
        <f t="shared" si="16"/>
        <v>-475.58403527172726</v>
      </c>
      <c r="I124">
        <v>1</v>
      </c>
      <c r="J124">
        <f t="shared" si="17"/>
        <v>0.22715378755729576</v>
      </c>
      <c r="K124">
        <f t="shared" si="18"/>
        <v>-0.84278063177521745</v>
      </c>
      <c r="L124">
        <v>1</v>
      </c>
      <c r="M124">
        <f t="shared" si="19"/>
        <v>0.6606958033854613</v>
      </c>
      <c r="N124">
        <f t="shared" si="20"/>
        <v>0.10165685166000001</v>
      </c>
      <c r="O124">
        <f t="shared" si="21"/>
        <v>2.3908185483E-2</v>
      </c>
      <c r="P124">
        <f t="shared" si="22"/>
        <v>5.6519791246756143E-2</v>
      </c>
      <c r="V124">
        <v>6</v>
      </c>
      <c r="W124">
        <f t="shared" si="24"/>
        <v>-1.085</v>
      </c>
    </row>
    <row r="125" spans="1:23" x14ac:dyDescent="0.3">
      <c r="A125">
        <v>6.3280692999999992</v>
      </c>
      <c r="B125">
        <v>0.37638605000000003</v>
      </c>
      <c r="C125">
        <f t="shared" si="13"/>
        <v>2.3817970079532649</v>
      </c>
      <c r="D125">
        <v>1.6199999999999999E-2</v>
      </c>
      <c r="E125">
        <v>3.81E-3</v>
      </c>
      <c r="F125">
        <f t="shared" si="14"/>
        <v>1265.6138599999999</v>
      </c>
      <c r="G125">
        <f t="shared" si="15"/>
        <v>-0.37638605000000003</v>
      </c>
      <c r="H125">
        <f t="shared" si="16"/>
        <v>-476.35940159065296</v>
      </c>
      <c r="I125">
        <v>1</v>
      </c>
      <c r="J125">
        <f t="shared" si="17"/>
        <v>0.23555726929872065</v>
      </c>
      <c r="K125">
        <f t="shared" si="18"/>
        <v>-0.84533910177521743</v>
      </c>
      <c r="L125">
        <v>1</v>
      </c>
      <c r="M125">
        <f t="shared" si="19"/>
        <v>0.66131345929345597</v>
      </c>
      <c r="N125">
        <f t="shared" si="20"/>
        <v>0.10251472265999999</v>
      </c>
      <c r="O125">
        <f t="shared" si="21"/>
        <v>2.4109944032999996E-2</v>
      </c>
      <c r="P125">
        <f t="shared" si="22"/>
        <v>5.7400975788761466E-2</v>
      </c>
      <c r="V125">
        <v>6.1</v>
      </c>
      <c r="W125">
        <f t="shared" si="24"/>
        <v>-1.0923499999999999</v>
      </c>
    </row>
    <row r="126" spans="1:23" x14ac:dyDescent="0.3">
      <c r="A126">
        <v>6.3789878</v>
      </c>
      <c r="B126">
        <v>0.37394217000000002</v>
      </c>
      <c r="C126">
        <f t="shared" si="13"/>
        <v>2.3853725403355259</v>
      </c>
      <c r="D126">
        <v>1.6199999999999999E-2</v>
      </c>
      <c r="E126">
        <v>3.81E-3</v>
      </c>
      <c r="F126">
        <f t="shared" si="14"/>
        <v>1275.79756</v>
      </c>
      <c r="G126">
        <f t="shared" si="15"/>
        <v>-0.37394217000000002</v>
      </c>
      <c r="H126">
        <f t="shared" si="16"/>
        <v>-477.07450806710517</v>
      </c>
      <c r="I126">
        <v>1</v>
      </c>
      <c r="J126">
        <f t="shared" si="17"/>
        <v>0.24357152029841478</v>
      </c>
      <c r="K126">
        <f t="shared" si="18"/>
        <v>-0.84778298177521738</v>
      </c>
      <c r="L126">
        <v>1</v>
      </c>
      <c r="M126">
        <f t="shared" si="19"/>
        <v>0.66190250674193352</v>
      </c>
      <c r="N126">
        <f t="shared" si="20"/>
        <v>0.10333960235999999</v>
      </c>
      <c r="O126">
        <f t="shared" si="21"/>
        <v>2.4303943517999999E-2</v>
      </c>
      <c r="P126">
        <f t="shared" si="22"/>
        <v>5.8236929155283876E-2</v>
      </c>
      <c r="V126">
        <v>6.2</v>
      </c>
      <c r="W126">
        <f t="shared" si="24"/>
        <v>-1.0996999999999999</v>
      </c>
    </row>
    <row r="127" spans="1:23" x14ac:dyDescent="0.3">
      <c r="A127">
        <v>6.4304145999999998</v>
      </c>
      <c r="B127">
        <v>0.37128826999999998</v>
      </c>
      <c r="C127">
        <f t="shared" si="13"/>
        <v>2.3875375122167419</v>
      </c>
      <c r="D127">
        <v>1.6199999999999999E-2</v>
      </c>
      <c r="E127">
        <v>3.81E-3</v>
      </c>
      <c r="F127">
        <f t="shared" si="14"/>
        <v>1286.0829200000001</v>
      </c>
      <c r="G127">
        <f t="shared" si="15"/>
        <v>-0.37128826999999998</v>
      </c>
      <c r="H127">
        <f t="shared" si="16"/>
        <v>-477.50750244334836</v>
      </c>
      <c r="I127">
        <v>1</v>
      </c>
      <c r="J127">
        <f t="shared" si="17"/>
        <v>0.25160110274141173</v>
      </c>
      <c r="K127">
        <f t="shared" si="18"/>
        <v>-0.85043688177521748</v>
      </c>
      <c r="L127">
        <v>1</v>
      </c>
      <c r="M127">
        <f t="shared" si="19"/>
        <v>0.66249268105149373</v>
      </c>
      <c r="N127">
        <f t="shared" si="20"/>
        <v>0.10417271651999999</v>
      </c>
      <c r="O127">
        <f t="shared" si="21"/>
        <v>2.4499879626000001E-2</v>
      </c>
      <c r="P127">
        <f t="shared" si="22"/>
        <v>5.9271604577723763E-2</v>
      </c>
      <c r="V127">
        <v>6.3</v>
      </c>
      <c r="W127">
        <f t="shared" si="24"/>
        <v>-1.1070500000000001</v>
      </c>
    </row>
    <row r="128" spans="1:23" x14ac:dyDescent="0.3">
      <c r="A128">
        <v>6.4813334999999999</v>
      </c>
      <c r="B128">
        <v>0.36872982999999998</v>
      </c>
      <c r="C128">
        <f t="shared" si="13"/>
        <v>2.3898609996283047</v>
      </c>
      <c r="D128">
        <v>1.6199999999999999E-2</v>
      </c>
      <c r="E128">
        <v>3.81E-3</v>
      </c>
      <c r="F128">
        <f t="shared" si="14"/>
        <v>1296.2666999999999</v>
      </c>
      <c r="G128">
        <f t="shared" si="15"/>
        <v>-0.36872982999999998</v>
      </c>
      <c r="H128">
        <f t="shared" si="16"/>
        <v>-477.97219992566096</v>
      </c>
      <c r="I128">
        <v>1</v>
      </c>
      <c r="J128">
        <f t="shared" si="17"/>
        <v>0.25948836379587203</v>
      </c>
      <c r="K128">
        <f t="shared" si="18"/>
        <v>-0.85299532177521753</v>
      </c>
      <c r="L128">
        <v>1</v>
      </c>
      <c r="M128">
        <f t="shared" si="19"/>
        <v>0.6630723947389966</v>
      </c>
      <c r="N128">
        <f t="shared" si="20"/>
        <v>0.1049976027</v>
      </c>
      <c r="O128">
        <f t="shared" si="21"/>
        <v>2.4693880634999998E-2</v>
      </c>
      <c r="P128">
        <f t="shared" si="22"/>
        <v>6.0231443701220938E-2</v>
      </c>
      <c r="V128">
        <v>6.4</v>
      </c>
      <c r="W128">
        <f t="shared" si="24"/>
        <v>-1.1144000000000001</v>
      </c>
    </row>
    <row r="129" spans="1:23" x14ac:dyDescent="0.3">
      <c r="A129">
        <v>6.5322519999999997</v>
      </c>
      <c r="B129">
        <v>0.36636229999999997</v>
      </c>
      <c r="C129">
        <f t="shared" si="13"/>
        <v>2.3931708668995997</v>
      </c>
      <c r="D129">
        <v>1.6199999999999999E-2</v>
      </c>
      <c r="E129">
        <v>3.81E-3</v>
      </c>
      <c r="F129">
        <f t="shared" si="14"/>
        <v>1306.4503999999999</v>
      </c>
      <c r="G129">
        <f t="shared" si="15"/>
        <v>-0.36636229999999997</v>
      </c>
      <c r="H129">
        <f t="shared" si="16"/>
        <v>-478.63417337991996</v>
      </c>
      <c r="I129">
        <v>1</v>
      </c>
      <c r="J129">
        <f t="shared" si="17"/>
        <v>0.26731384123185442</v>
      </c>
      <c r="K129">
        <f t="shared" si="18"/>
        <v>-0.85536285177521743</v>
      </c>
      <c r="L129">
        <v>1</v>
      </c>
      <c r="M129">
        <f t="shared" si="19"/>
        <v>0.66364756733054131</v>
      </c>
      <c r="N129">
        <f t="shared" si="20"/>
        <v>0.10582248239999999</v>
      </c>
      <c r="O129">
        <f t="shared" si="21"/>
        <v>2.4887880120000001E-2</v>
      </c>
      <c r="P129">
        <f t="shared" si="22"/>
        <v>6.1004921924676131E-2</v>
      </c>
      <c r="V129">
        <v>6.5</v>
      </c>
      <c r="W129">
        <f t="shared" si="24"/>
        <v>-1.12175</v>
      </c>
    </row>
    <row r="130" spans="1:23" x14ac:dyDescent="0.3">
      <c r="A130">
        <v>6.5857162999999996</v>
      </c>
      <c r="B130">
        <v>0.36368929999999999</v>
      </c>
      <c r="C130">
        <f t="shared" si="13"/>
        <v>2.3951545511455898</v>
      </c>
      <c r="D130">
        <v>1.6199999999999999E-2</v>
      </c>
      <c r="E130">
        <v>3.81E-3</v>
      </c>
      <c r="F130">
        <f t="shared" si="14"/>
        <v>1317.1432599999998</v>
      </c>
      <c r="G130">
        <f t="shared" si="15"/>
        <v>-0.36368929999999999</v>
      </c>
      <c r="H130">
        <f t="shared" si="16"/>
        <v>-479.03091022911798</v>
      </c>
      <c r="I130">
        <v>1</v>
      </c>
      <c r="J130">
        <f t="shared" si="17"/>
        <v>0.2754651943699753</v>
      </c>
      <c r="K130">
        <f t="shared" si="18"/>
        <v>-0.85803585177521746</v>
      </c>
      <c r="L130">
        <v>1</v>
      </c>
      <c r="M130">
        <f t="shared" si="19"/>
        <v>0.66424669178619322</v>
      </c>
      <c r="N130">
        <f t="shared" si="20"/>
        <v>0.10668860405999998</v>
      </c>
      <c r="O130">
        <f t="shared" si="21"/>
        <v>2.5091579103E-2</v>
      </c>
      <c r="P130">
        <f t="shared" si="22"/>
        <v>6.2008976826024256E-2</v>
      </c>
      <c r="V130">
        <v>6.6</v>
      </c>
      <c r="W130">
        <f t="shared" si="24"/>
        <v>-1.1291</v>
      </c>
    </row>
    <row r="131" spans="1:23" x14ac:dyDescent="0.3">
      <c r="A131">
        <v>6.6371435999999999</v>
      </c>
      <c r="B131">
        <v>0.36126452999999997</v>
      </c>
      <c r="C131">
        <f t="shared" si="13"/>
        <v>2.3977645631965077</v>
      </c>
      <c r="D131">
        <v>1.6199999999999999E-2</v>
      </c>
      <c r="E131">
        <v>3.81E-3</v>
      </c>
      <c r="F131">
        <f t="shared" si="14"/>
        <v>1327.4287199999999</v>
      </c>
      <c r="G131">
        <f t="shared" si="15"/>
        <v>-0.36126452999999997</v>
      </c>
      <c r="H131">
        <f t="shared" si="16"/>
        <v>-479.55291263930155</v>
      </c>
      <c r="I131">
        <v>1</v>
      </c>
      <c r="J131">
        <f t="shared" si="17"/>
        <v>0.28324377777707899</v>
      </c>
      <c r="K131">
        <f t="shared" si="18"/>
        <v>-0.86046062177521754</v>
      </c>
      <c r="L131">
        <v>1</v>
      </c>
      <c r="M131">
        <f t="shared" si="19"/>
        <v>0.66481841766661531</v>
      </c>
      <c r="N131">
        <f t="shared" si="20"/>
        <v>0.10752172632</v>
      </c>
      <c r="O131">
        <f t="shared" si="21"/>
        <v>2.5287517116E-2</v>
      </c>
      <c r="P131">
        <f t="shared" si="22"/>
        <v>6.2832960672602231E-2</v>
      </c>
      <c r="V131">
        <v>6.7</v>
      </c>
      <c r="W131">
        <f t="shared" si="24"/>
        <v>-1.13645</v>
      </c>
    </row>
    <row r="132" spans="1:23" x14ac:dyDescent="0.3">
      <c r="A132">
        <v>6.6885707999999999</v>
      </c>
      <c r="B132">
        <v>0.35845786000000002</v>
      </c>
      <c r="C132">
        <f t="shared" ref="C132:C195" si="25">A132*B132</f>
        <v>2.3975707754264879</v>
      </c>
      <c r="D132">
        <v>1.6199999999999999E-2</v>
      </c>
      <c r="E132">
        <v>3.81E-3</v>
      </c>
      <c r="F132">
        <f t="shared" ref="F132:F195" si="26">A132*200</f>
        <v>1337.71416</v>
      </c>
      <c r="G132">
        <f t="shared" ref="G132:G195" si="27">-B132</f>
        <v>-0.35845786000000002</v>
      </c>
      <c r="H132">
        <f t="shared" ref="H132:H195" si="28">-C132*200</f>
        <v>-479.5141550852976</v>
      </c>
      <c r="I132">
        <v>1</v>
      </c>
      <c r="J132">
        <f t="shared" ref="J132:J195" si="29">LN(F132/1000)</f>
        <v>0.29096230659641364</v>
      </c>
      <c r="K132">
        <f t="shared" ref="K132:K195" si="30">((-G132)-$N$2)</f>
        <v>-0.86326729177521744</v>
      </c>
      <c r="L132">
        <v>1</v>
      </c>
      <c r="M132">
        <f t="shared" ref="M132:M195" si="31">-1*($S$4+($S$5*J132))</f>
        <v>0.66538572953483643</v>
      </c>
      <c r="N132">
        <f t="shared" ref="N132:N195" si="32">D132*A132</f>
        <v>0.10835484695999999</v>
      </c>
      <c r="O132">
        <f t="shared" ref="O132:O195" si="33">E132*A132</f>
        <v>2.5483454748000001E-2</v>
      </c>
      <c r="P132">
        <f t="shared" ref="P132:P195" si="34">-K132-M132-N132-O132</f>
        <v>6.4043260532381019E-2</v>
      </c>
      <c r="V132">
        <v>6.8</v>
      </c>
      <c r="W132">
        <f t="shared" ref="W132:W139" si="35">V132*$S$5+$S$4</f>
        <v>-1.1437999999999999</v>
      </c>
    </row>
    <row r="133" spans="1:23" x14ac:dyDescent="0.3">
      <c r="A133">
        <v>6.7440723</v>
      </c>
      <c r="B133">
        <v>0.35614762</v>
      </c>
      <c r="C133">
        <f t="shared" si="25"/>
        <v>2.401885298752926</v>
      </c>
      <c r="D133">
        <v>1.6199999999999999E-2</v>
      </c>
      <c r="E133">
        <v>3.81E-3</v>
      </c>
      <c r="F133">
        <f t="shared" si="26"/>
        <v>1348.8144600000001</v>
      </c>
      <c r="G133">
        <f t="shared" si="27"/>
        <v>-0.35614762</v>
      </c>
      <c r="H133">
        <f t="shared" si="28"/>
        <v>-480.3770597505852</v>
      </c>
      <c r="I133">
        <v>1</v>
      </c>
      <c r="J133">
        <f t="shared" si="29"/>
        <v>0.29922602884855776</v>
      </c>
      <c r="K133">
        <f t="shared" si="30"/>
        <v>-0.86557753177521746</v>
      </c>
      <c r="L133">
        <v>1</v>
      </c>
      <c r="M133">
        <f t="shared" si="31"/>
        <v>0.66599311312036902</v>
      </c>
      <c r="N133">
        <f t="shared" si="32"/>
        <v>0.10925397126</v>
      </c>
      <c r="O133">
        <f t="shared" si="33"/>
        <v>2.5694915463000002E-2</v>
      </c>
      <c r="P133">
        <f t="shared" si="34"/>
        <v>6.4635531931848442E-2</v>
      </c>
      <c r="V133">
        <v>6.9</v>
      </c>
      <c r="W133">
        <f t="shared" si="35"/>
        <v>-1.1511499999999999</v>
      </c>
    </row>
    <row r="134" spans="1:23" x14ac:dyDescent="0.3">
      <c r="A134">
        <v>6.7970268999999996</v>
      </c>
      <c r="B134">
        <v>0.35332187999999998</v>
      </c>
      <c r="C134">
        <f t="shared" si="25"/>
        <v>2.4015383227185718</v>
      </c>
      <c r="D134">
        <v>1.6199999999999999E-2</v>
      </c>
      <c r="E134">
        <v>3.81E-3</v>
      </c>
      <c r="F134">
        <f t="shared" si="26"/>
        <v>1359.4053799999999</v>
      </c>
      <c r="G134">
        <f t="shared" si="27"/>
        <v>-0.35332187999999998</v>
      </c>
      <c r="H134">
        <f t="shared" si="28"/>
        <v>-480.30766454371434</v>
      </c>
      <c r="I134">
        <v>1</v>
      </c>
      <c r="J134">
        <f t="shared" si="29"/>
        <v>0.30704738355093475</v>
      </c>
      <c r="K134">
        <f t="shared" si="30"/>
        <v>-0.86840327177521748</v>
      </c>
      <c r="L134">
        <v>1</v>
      </c>
      <c r="M134">
        <f t="shared" si="31"/>
        <v>0.66656798269099371</v>
      </c>
      <c r="N134">
        <f t="shared" si="32"/>
        <v>0.11011183577999999</v>
      </c>
      <c r="O134">
        <f t="shared" si="33"/>
        <v>2.5896672488999999E-2</v>
      </c>
      <c r="P134">
        <f t="shared" si="34"/>
        <v>6.5826780815223779E-2</v>
      </c>
      <c r="V134">
        <v>7</v>
      </c>
      <c r="W134">
        <f t="shared" si="35"/>
        <v>-1.1585000000000001</v>
      </c>
    </row>
    <row r="135" spans="1:23" x14ac:dyDescent="0.3">
      <c r="A135">
        <v>6.8479453000000001</v>
      </c>
      <c r="B135">
        <v>0.35091618000000002</v>
      </c>
      <c r="C135">
        <f t="shared" si="25"/>
        <v>2.4030548055249543</v>
      </c>
      <c r="D135">
        <v>1.6199999999999999E-2</v>
      </c>
      <c r="E135">
        <v>3.81E-3</v>
      </c>
      <c r="F135">
        <f t="shared" si="26"/>
        <v>1369.58906</v>
      </c>
      <c r="G135">
        <f t="shared" si="27"/>
        <v>-0.35091618000000002</v>
      </c>
      <c r="H135">
        <f t="shared" si="28"/>
        <v>-480.61096110499085</v>
      </c>
      <c r="I135">
        <v>1</v>
      </c>
      <c r="J135">
        <f t="shared" si="29"/>
        <v>0.31451073863979367</v>
      </c>
      <c r="K135">
        <f t="shared" si="30"/>
        <v>-0.87080897177521743</v>
      </c>
      <c r="L135">
        <v>1</v>
      </c>
      <c r="M135">
        <f t="shared" si="31"/>
        <v>0.6671165392900249</v>
      </c>
      <c r="N135">
        <f t="shared" si="32"/>
        <v>0.11093671385999999</v>
      </c>
      <c r="O135">
        <f t="shared" si="33"/>
        <v>2.6090671592999999E-2</v>
      </c>
      <c r="P135">
        <f t="shared" si="34"/>
        <v>6.6665047032192531E-2</v>
      </c>
      <c r="V135">
        <v>7.1</v>
      </c>
      <c r="W135">
        <f t="shared" si="35"/>
        <v>-1.1658499999999998</v>
      </c>
    </row>
    <row r="136" spans="1:23" x14ac:dyDescent="0.3">
      <c r="A136">
        <v>6.9009004000000003</v>
      </c>
      <c r="B136">
        <v>0.34822409999999998</v>
      </c>
      <c r="C136">
        <f t="shared" si="25"/>
        <v>2.40305983097964</v>
      </c>
      <c r="D136">
        <v>1.6199999999999999E-2</v>
      </c>
      <c r="E136">
        <v>3.81E-3</v>
      </c>
      <c r="F136">
        <f t="shared" si="26"/>
        <v>1380.1800800000001</v>
      </c>
      <c r="G136">
        <f t="shared" si="27"/>
        <v>-0.34822409999999998</v>
      </c>
      <c r="H136">
        <f t="shared" si="28"/>
        <v>-480.61196619592801</v>
      </c>
      <c r="I136">
        <v>1</v>
      </c>
      <c r="J136">
        <f t="shared" si="29"/>
        <v>0.32221398340929785</v>
      </c>
      <c r="K136">
        <f t="shared" si="30"/>
        <v>-0.87350105177521753</v>
      </c>
      <c r="L136">
        <v>1</v>
      </c>
      <c r="M136">
        <f t="shared" si="31"/>
        <v>0.66768272778058346</v>
      </c>
      <c r="N136">
        <f t="shared" si="32"/>
        <v>0.11179458648</v>
      </c>
      <c r="O136">
        <f t="shared" si="33"/>
        <v>2.6292430524000002E-2</v>
      </c>
      <c r="P136">
        <f t="shared" si="34"/>
        <v>6.7731306990634066E-2</v>
      </c>
      <c r="V136">
        <v>7.2</v>
      </c>
      <c r="W136">
        <f t="shared" si="35"/>
        <v>-1.1732</v>
      </c>
    </row>
    <row r="137" spans="1:23" x14ac:dyDescent="0.3">
      <c r="A137">
        <v>6.9518187999999999</v>
      </c>
      <c r="B137">
        <v>0.34570383999999998</v>
      </c>
      <c r="C137">
        <f t="shared" si="25"/>
        <v>2.403270454144192</v>
      </c>
      <c r="D137">
        <v>1.6199999999999999E-2</v>
      </c>
      <c r="E137">
        <v>3.81E-3</v>
      </c>
      <c r="F137">
        <f t="shared" si="26"/>
        <v>1390.36376</v>
      </c>
      <c r="G137">
        <f t="shared" si="27"/>
        <v>-0.34570383999999998</v>
      </c>
      <c r="H137">
        <f t="shared" si="28"/>
        <v>-480.65409082883843</v>
      </c>
      <c r="I137">
        <v>1</v>
      </c>
      <c r="J137">
        <f t="shared" si="29"/>
        <v>0.32956541074741991</v>
      </c>
      <c r="K137">
        <f t="shared" si="30"/>
        <v>-0.87602131177521747</v>
      </c>
      <c r="L137">
        <v>1</v>
      </c>
      <c r="M137">
        <f t="shared" si="31"/>
        <v>0.6682230576899354</v>
      </c>
      <c r="N137">
        <f t="shared" si="32"/>
        <v>0.11261946455999999</v>
      </c>
      <c r="O137">
        <f t="shared" si="33"/>
        <v>2.6486429627999998E-2</v>
      </c>
      <c r="P137">
        <f t="shared" si="34"/>
        <v>6.869235989728209E-2</v>
      </c>
      <c r="V137">
        <v>7.3</v>
      </c>
      <c r="W137">
        <f t="shared" si="35"/>
        <v>-1.18055</v>
      </c>
    </row>
    <row r="138" spans="1:23" x14ac:dyDescent="0.3">
      <c r="A138">
        <v>7.0037554000000002</v>
      </c>
      <c r="B138">
        <v>0.34297356000000001</v>
      </c>
      <c r="C138">
        <f t="shared" si="25"/>
        <v>2.4021029229072242</v>
      </c>
      <c r="D138">
        <v>1.6199999999999999E-2</v>
      </c>
      <c r="E138">
        <v>3.81E-3</v>
      </c>
      <c r="F138">
        <f t="shared" si="26"/>
        <v>1400.75108</v>
      </c>
      <c r="G138">
        <f t="shared" si="27"/>
        <v>-0.34297356000000001</v>
      </c>
      <c r="H138">
        <f t="shared" si="28"/>
        <v>-480.42058458144481</v>
      </c>
      <c r="I138">
        <v>1</v>
      </c>
      <c r="J138">
        <f t="shared" si="29"/>
        <v>0.33700857847848703</v>
      </c>
      <c r="K138">
        <f t="shared" si="30"/>
        <v>-0.87875159177521744</v>
      </c>
      <c r="L138">
        <v>1</v>
      </c>
      <c r="M138">
        <f t="shared" si="31"/>
        <v>0.6687701305181688</v>
      </c>
      <c r="N138">
        <f t="shared" si="32"/>
        <v>0.11346083747999999</v>
      </c>
      <c r="O138">
        <f t="shared" si="33"/>
        <v>2.6684308074000001E-2</v>
      </c>
      <c r="P138">
        <f t="shared" si="34"/>
        <v>6.9836315703048643E-2</v>
      </c>
      <c r="V138">
        <v>7.4</v>
      </c>
      <c r="W138">
        <f t="shared" si="35"/>
        <v>-1.1879</v>
      </c>
    </row>
    <row r="139" spans="1:23" x14ac:dyDescent="0.3">
      <c r="A139">
        <v>7.0546743000000003</v>
      </c>
      <c r="B139">
        <v>0.34051058000000001</v>
      </c>
      <c r="C139">
        <f t="shared" si="25"/>
        <v>2.4021912376040944</v>
      </c>
      <c r="D139">
        <v>1.6199999999999999E-2</v>
      </c>
      <c r="E139">
        <v>3.81E-3</v>
      </c>
      <c r="F139">
        <f t="shared" si="26"/>
        <v>1410.9348600000001</v>
      </c>
      <c r="G139">
        <f t="shared" si="27"/>
        <v>-0.34051058000000001</v>
      </c>
      <c r="H139">
        <f t="shared" si="28"/>
        <v>-480.43824752081889</v>
      </c>
      <c r="I139">
        <v>1</v>
      </c>
      <c r="J139">
        <f t="shared" si="29"/>
        <v>0.34425250596517187</v>
      </c>
      <c r="K139">
        <f t="shared" si="30"/>
        <v>-0.88121457177521745</v>
      </c>
      <c r="L139">
        <v>1</v>
      </c>
      <c r="M139">
        <f t="shared" si="31"/>
        <v>0.66930255918844017</v>
      </c>
      <c r="N139">
        <f t="shared" si="32"/>
        <v>0.11428572366</v>
      </c>
      <c r="O139">
        <f t="shared" si="33"/>
        <v>2.6878309083000002E-2</v>
      </c>
      <c r="P139">
        <f t="shared" si="34"/>
        <v>7.0747979843777273E-2</v>
      </c>
      <c r="V139">
        <v>7.5</v>
      </c>
      <c r="W139">
        <f t="shared" si="35"/>
        <v>-1.1952500000000001</v>
      </c>
    </row>
    <row r="140" spans="1:23" x14ac:dyDescent="0.3">
      <c r="A140">
        <v>7.1117020999999996</v>
      </c>
      <c r="B140">
        <v>0.33795214000000001</v>
      </c>
      <c r="C140">
        <f t="shared" si="25"/>
        <v>2.4034149437374941</v>
      </c>
      <c r="D140">
        <v>1.6199999999999999E-2</v>
      </c>
      <c r="E140">
        <v>3.81E-3</v>
      </c>
      <c r="F140">
        <f t="shared" si="26"/>
        <v>1422.34042</v>
      </c>
      <c r="G140">
        <f t="shared" si="27"/>
        <v>-0.33795214000000001</v>
      </c>
      <c r="H140">
        <f t="shared" si="28"/>
        <v>-480.68298874749883</v>
      </c>
      <c r="I140">
        <v>1</v>
      </c>
      <c r="J140">
        <f t="shared" si="29"/>
        <v>0.35230369794858923</v>
      </c>
      <c r="K140">
        <f t="shared" si="30"/>
        <v>-0.88377301177521739</v>
      </c>
      <c r="L140">
        <v>1</v>
      </c>
      <c r="M140">
        <f t="shared" si="31"/>
        <v>0.66989432179922137</v>
      </c>
      <c r="N140">
        <f t="shared" si="32"/>
        <v>0.11520957401999998</v>
      </c>
      <c r="O140">
        <f t="shared" si="33"/>
        <v>2.7095585000999997E-2</v>
      </c>
      <c r="P140">
        <f t="shared" si="34"/>
        <v>7.1573530954996037E-2</v>
      </c>
    </row>
    <row r="141" spans="1:23" x14ac:dyDescent="0.3">
      <c r="A141">
        <v>7.1641484000000002</v>
      </c>
      <c r="B141">
        <v>0.33503091000000002</v>
      </c>
      <c r="C141">
        <f t="shared" si="25"/>
        <v>2.400211157827044</v>
      </c>
      <c r="D141">
        <v>1.6199999999999999E-2</v>
      </c>
      <c r="E141">
        <v>3.81E-3</v>
      </c>
      <c r="F141">
        <f t="shared" si="26"/>
        <v>1432.8296800000001</v>
      </c>
      <c r="G141">
        <f t="shared" si="27"/>
        <v>-0.33503091000000002</v>
      </c>
      <c r="H141">
        <f t="shared" si="28"/>
        <v>-480.04223156540877</v>
      </c>
      <c r="I141">
        <v>1</v>
      </c>
      <c r="J141">
        <f t="shared" si="29"/>
        <v>0.35965128623435261</v>
      </c>
      <c r="K141">
        <f t="shared" si="30"/>
        <v>-0.8866942417752175</v>
      </c>
      <c r="L141">
        <v>1</v>
      </c>
      <c r="M141">
        <f t="shared" si="31"/>
        <v>0.67043436953822488</v>
      </c>
      <c r="N141">
        <f t="shared" si="32"/>
        <v>0.11605920407999999</v>
      </c>
      <c r="O141">
        <f t="shared" si="33"/>
        <v>2.7295405404000002E-2</v>
      </c>
      <c r="P141">
        <f t="shared" si="34"/>
        <v>7.2905262752992611E-2</v>
      </c>
    </row>
    <row r="142" spans="1:23" x14ac:dyDescent="0.3">
      <c r="A142">
        <v>7.2150669000000009</v>
      </c>
      <c r="B142">
        <v>0.33256793000000001</v>
      </c>
      <c r="C142">
        <f t="shared" si="25"/>
        <v>2.3994998637445173</v>
      </c>
      <c r="D142">
        <v>1.6199999999999999E-2</v>
      </c>
      <c r="E142">
        <v>3.81E-3</v>
      </c>
      <c r="F142">
        <f t="shared" si="26"/>
        <v>1443.0133800000001</v>
      </c>
      <c r="G142">
        <f t="shared" si="27"/>
        <v>-0.33256793000000001</v>
      </c>
      <c r="H142">
        <f t="shared" si="28"/>
        <v>-479.89997274890345</v>
      </c>
      <c r="I142">
        <v>1</v>
      </c>
      <c r="J142">
        <f t="shared" si="29"/>
        <v>0.36673355209801822</v>
      </c>
      <c r="K142">
        <f t="shared" si="30"/>
        <v>-0.8891572217752175</v>
      </c>
      <c r="L142">
        <v>1</v>
      </c>
      <c r="M142">
        <f t="shared" si="31"/>
        <v>0.67095491607920432</v>
      </c>
      <c r="N142">
        <f t="shared" si="32"/>
        <v>0.11688408378000001</v>
      </c>
      <c r="O142">
        <f t="shared" si="33"/>
        <v>2.7489404889000004E-2</v>
      </c>
      <c r="P142">
        <f t="shared" si="34"/>
        <v>7.3828817027013161E-2</v>
      </c>
    </row>
    <row r="143" spans="1:23" x14ac:dyDescent="0.3">
      <c r="A143">
        <v>7.2659848999999994</v>
      </c>
      <c r="B143">
        <v>0.32997131000000002</v>
      </c>
      <c r="C143">
        <f t="shared" si="25"/>
        <v>2.3975665558932189</v>
      </c>
      <c r="D143">
        <v>1.6199999999999999E-2</v>
      </c>
      <c r="E143">
        <v>3.81E-3</v>
      </c>
      <c r="F143">
        <f t="shared" si="26"/>
        <v>1453.1969799999999</v>
      </c>
      <c r="G143">
        <f t="shared" si="27"/>
        <v>-0.32997131000000002</v>
      </c>
      <c r="H143">
        <f t="shared" si="28"/>
        <v>-479.51331117864379</v>
      </c>
      <c r="I143">
        <v>1</v>
      </c>
      <c r="J143">
        <f t="shared" si="29"/>
        <v>0.37376594319044104</v>
      </c>
      <c r="K143">
        <f t="shared" si="30"/>
        <v>-0.89175384177521744</v>
      </c>
      <c r="L143">
        <v>1</v>
      </c>
      <c r="M143">
        <f t="shared" si="31"/>
        <v>0.67147179682449742</v>
      </c>
      <c r="N143">
        <f t="shared" si="32"/>
        <v>0.11770895537999998</v>
      </c>
      <c r="O143">
        <f t="shared" si="33"/>
        <v>2.7683402468999998E-2</v>
      </c>
      <c r="P143">
        <f t="shared" si="34"/>
        <v>7.4889687101720032E-2</v>
      </c>
    </row>
    <row r="144" spans="1:23" x14ac:dyDescent="0.3">
      <c r="A144">
        <v>7.3194487000000006</v>
      </c>
      <c r="B144">
        <v>0.32731742000000003</v>
      </c>
      <c r="C144">
        <f t="shared" si="25"/>
        <v>2.3957830643063542</v>
      </c>
      <c r="D144">
        <v>1.6199999999999999E-2</v>
      </c>
      <c r="E144">
        <v>3.81E-3</v>
      </c>
      <c r="F144">
        <f t="shared" si="26"/>
        <v>1463.8897400000001</v>
      </c>
      <c r="G144">
        <f t="shared" si="27"/>
        <v>-0.32731742000000003</v>
      </c>
      <c r="H144">
        <f t="shared" si="28"/>
        <v>-479.15661286127084</v>
      </c>
      <c r="I144">
        <v>1</v>
      </c>
      <c r="J144">
        <f t="shared" si="29"/>
        <v>0.38109709849521228</v>
      </c>
      <c r="K144">
        <f t="shared" si="30"/>
        <v>-0.89440773177521748</v>
      </c>
      <c r="L144">
        <v>1</v>
      </c>
      <c r="M144">
        <f t="shared" si="31"/>
        <v>0.67201063673939809</v>
      </c>
      <c r="N144">
        <f t="shared" si="32"/>
        <v>0.11857506894</v>
      </c>
      <c r="O144">
        <f t="shared" si="33"/>
        <v>2.7887099547000003E-2</v>
      </c>
      <c r="P144">
        <f t="shared" si="34"/>
        <v>7.5934926548819393E-2</v>
      </c>
    </row>
    <row r="145" spans="1:16" x14ac:dyDescent="0.3">
      <c r="A145">
        <v>7.3724048</v>
      </c>
      <c r="B145">
        <v>0.32456803000000001</v>
      </c>
      <c r="C145">
        <f t="shared" si="25"/>
        <v>2.3928469022985439</v>
      </c>
      <c r="D145">
        <v>1.6199999999999999E-2</v>
      </c>
      <c r="E145">
        <v>3.81E-3</v>
      </c>
      <c r="F145">
        <f t="shared" si="26"/>
        <v>1474.4809600000001</v>
      </c>
      <c r="G145">
        <f t="shared" si="27"/>
        <v>-0.32456803000000001</v>
      </c>
      <c r="H145">
        <f t="shared" si="28"/>
        <v>-478.56938045970878</v>
      </c>
      <c r="I145">
        <v>1</v>
      </c>
      <c r="J145">
        <f t="shared" si="29"/>
        <v>0.38830603633800825</v>
      </c>
      <c r="K145">
        <f t="shared" si="30"/>
        <v>-0.89715712177521745</v>
      </c>
      <c r="L145">
        <v>1</v>
      </c>
      <c r="M145">
        <f t="shared" si="31"/>
        <v>0.67254049367084368</v>
      </c>
      <c r="N145">
        <f t="shared" si="32"/>
        <v>0.11943295776</v>
      </c>
      <c r="O145">
        <f t="shared" si="33"/>
        <v>2.8088862288000001E-2</v>
      </c>
      <c r="P145">
        <f t="shared" si="34"/>
        <v>7.7094808056373768E-2</v>
      </c>
    </row>
    <row r="146" spans="1:16" x14ac:dyDescent="0.3">
      <c r="A146">
        <v>7.4238315000000004</v>
      </c>
      <c r="B146">
        <v>0.32204777000000001</v>
      </c>
      <c r="C146">
        <f t="shared" si="25"/>
        <v>2.3908283794307552</v>
      </c>
      <c r="D146">
        <v>1.6199999999999999E-2</v>
      </c>
      <c r="E146">
        <v>3.81E-3</v>
      </c>
      <c r="F146">
        <f t="shared" si="26"/>
        <v>1484.7663</v>
      </c>
      <c r="G146">
        <f t="shared" si="27"/>
        <v>-0.32204777000000001</v>
      </c>
      <c r="H146">
        <f t="shared" si="28"/>
        <v>-478.16567588615106</v>
      </c>
      <c r="I146">
        <v>1</v>
      </c>
      <c r="J146">
        <f t="shared" si="29"/>
        <v>0.39525738613274325</v>
      </c>
      <c r="K146">
        <f t="shared" si="30"/>
        <v>-0.8996773817752175</v>
      </c>
      <c r="L146">
        <v>1</v>
      </c>
      <c r="M146">
        <f t="shared" si="31"/>
        <v>0.67305141788075662</v>
      </c>
      <c r="N146">
        <f t="shared" si="32"/>
        <v>0.1202660703</v>
      </c>
      <c r="O146">
        <f t="shared" si="33"/>
        <v>2.8284798015000001E-2</v>
      </c>
      <c r="P146">
        <f t="shared" si="34"/>
        <v>7.8075095579460879E-2</v>
      </c>
    </row>
    <row r="147" spans="1:16" x14ac:dyDescent="0.3">
      <c r="A147">
        <v>7.4742407000000002</v>
      </c>
      <c r="B147">
        <v>0.31939387000000002</v>
      </c>
      <c r="C147">
        <f t="shared" si="25"/>
        <v>2.3872266624845091</v>
      </c>
      <c r="D147">
        <v>1.6199999999999999E-2</v>
      </c>
      <c r="E147">
        <v>3.81E-3</v>
      </c>
      <c r="F147">
        <f t="shared" si="26"/>
        <v>1494.8481400000001</v>
      </c>
      <c r="G147">
        <f t="shared" si="27"/>
        <v>-0.31939387000000002</v>
      </c>
      <c r="H147">
        <f t="shared" si="28"/>
        <v>-477.44533249690181</v>
      </c>
      <c r="I147">
        <v>1</v>
      </c>
      <c r="J147">
        <f t="shared" si="29"/>
        <v>0.40202462308787712</v>
      </c>
      <c r="K147">
        <f t="shared" si="30"/>
        <v>-0.90233128177521738</v>
      </c>
      <c r="L147">
        <v>1</v>
      </c>
      <c r="M147">
        <f t="shared" si="31"/>
        <v>0.67354880979695897</v>
      </c>
      <c r="N147">
        <f t="shared" si="32"/>
        <v>0.12108269934</v>
      </c>
      <c r="O147">
        <f t="shared" si="33"/>
        <v>2.8476857067000001E-2</v>
      </c>
      <c r="P147">
        <f t="shared" si="34"/>
        <v>7.9222915571258407E-2</v>
      </c>
    </row>
    <row r="148" spans="1:16" x14ac:dyDescent="0.3">
      <c r="A148">
        <v>7.5251592</v>
      </c>
      <c r="B148">
        <v>0.31656814</v>
      </c>
      <c r="C148">
        <f t="shared" si="25"/>
        <v>2.3822256511478881</v>
      </c>
      <c r="D148">
        <v>1.6199999999999999E-2</v>
      </c>
      <c r="E148">
        <v>3.81E-3</v>
      </c>
      <c r="F148">
        <f t="shared" si="26"/>
        <v>1505.0318400000001</v>
      </c>
      <c r="G148">
        <f t="shared" si="27"/>
        <v>-0.31656814</v>
      </c>
      <c r="H148">
        <f t="shared" si="28"/>
        <v>-476.44513022957761</v>
      </c>
      <c r="I148">
        <v>1</v>
      </c>
      <c r="J148">
        <f t="shared" si="29"/>
        <v>0.40881405412323035</v>
      </c>
      <c r="K148">
        <f t="shared" si="30"/>
        <v>-0.90515701177521746</v>
      </c>
      <c r="L148">
        <v>1</v>
      </c>
      <c r="M148">
        <f t="shared" si="31"/>
        <v>0.67404783297805748</v>
      </c>
      <c r="N148">
        <f t="shared" si="32"/>
        <v>0.12190757903999999</v>
      </c>
      <c r="O148">
        <f t="shared" si="33"/>
        <v>2.8670856551999999E-2</v>
      </c>
      <c r="P148">
        <f t="shared" si="34"/>
        <v>8.0530743205159988E-2</v>
      </c>
    </row>
    <row r="149" spans="1:16" x14ac:dyDescent="0.3">
      <c r="A149">
        <v>7.5755688000000001</v>
      </c>
      <c r="B149">
        <v>0.31395242000000001</v>
      </c>
      <c r="C149">
        <f t="shared" si="25"/>
        <v>2.3783681576364959</v>
      </c>
      <c r="D149">
        <v>1.6199999999999999E-2</v>
      </c>
      <c r="E149">
        <v>3.81E-3</v>
      </c>
      <c r="F149">
        <f t="shared" si="26"/>
        <v>1515.11376</v>
      </c>
      <c r="G149">
        <f t="shared" si="27"/>
        <v>-0.31395242000000001</v>
      </c>
      <c r="H149">
        <f t="shared" si="28"/>
        <v>-475.67363152729916</v>
      </c>
      <c r="I149">
        <v>1</v>
      </c>
      <c r="J149">
        <f t="shared" si="29"/>
        <v>0.41549052525119734</v>
      </c>
      <c r="K149">
        <f t="shared" si="30"/>
        <v>-0.90777273177521745</v>
      </c>
      <c r="L149">
        <v>1</v>
      </c>
      <c r="M149">
        <f t="shared" si="31"/>
        <v>0.67453855360596304</v>
      </c>
      <c r="N149">
        <f t="shared" si="32"/>
        <v>0.12272421455999999</v>
      </c>
      <c r="O149">
        <f t="shared" si="33"/>
        <v>2.8862917128000001E-2</v>
      </c>
      <c r="P149">
        <f t="shared" si="34"/>
        <v>8.1647046481254412E-2</v>
      </c>
    </row>
    <row r="150" spans="1:16" x14ac:dyDescent="0.3">
      <c r="A150">
        <v>7.6259775000000003</v>
      </c>
      <c r="B150">
        <v>0.31147033000000002</v>
      </c>
      <c r="C150">
        <f t="shared" si="25"/>
        <v>2.3752657284975753</v>
      </c>
      <c r="D150">
        <v>1.6199999999999999E-2</v>
      </c>
      <c r="E150">
        <v>3.81E-3</v>
      </c>
      <c r="F150">
        <f t="shared" si="26"/>
        <v>1525.1955</v>
      </c>
      <c r="G150">
        <f t="shared" si="27"/>
        <v>-0.31147033000000002</v>
      </c>
      <c r="H150">
        <f t="shared" si="28"/>
        <v>-475.05314569951508</v>
      </c>
      <c r="I150">
        <v>1</v>
      </c>
      <c r="J150">
        <f t="shared" si="29"/>
        <v>0.42212259856418904</v>
      </c>
      <c r="K150">
        <f t="shared" si="30"/>
        <v>-0.91025482177521744</v>
      </c>
      <c r="L150">
        <v>1</v>
      </c>
      <c r="M150">
        <f t="shared" si="31"/>
        <v>0.67502601099446791</v>
      </c>
      <c r="N150">
        <f t="shared" si="32"/>
        <v>0.1235408355</v>
      </c>
      <c r="O150">
        <f t="shared" si="33"/>
        <v>2.9054974275000003E-2</v>
      </c>
      <c r="P150">
        <f t="shared" si="34"/>
        <v>8.2633001005749523E-2</v>
      </c>
    </row>
    <row r="151" spans="1:16" x14ac:dyDescent="0.3">
      <c r="A151">
        <v>7.6789326000000004</v>
      </c>
      <c r="B151">
        <v>0.30870186999999999</v>
      </c>
      <c r="C151">
        <f t="shared" si="25"/>
        <v>2.370500853223962</v>
      </c>
      <c r="D151">
        <v>1.6199999999999999E-2</v>
      </c>
      <c r="E151">
        <v>3.81E-3</v>
      </c>
      <c r="F151">
        <f t="shared" si="26"/>
        <v>1535.7865200000001</v>
      </c>
      <c r="G151">
        <f t="shared" si="27"/>
        <v>-0.30870186999999999</v>
      </c>
      <c r="H151">
        <f t="shared" si="28"/>
        <v>-474.1001706447924</v>
      </c>
      <c r="I151">
        <v>1</v>
      </c>
      <c r="J151">
        <f t="shared" si="29"/>
        <v>0.42904264069125719</v>
      </c>
      <c r="K151">
        <f t="shared" si="30"/>
        <v>-0.91302328177521752</v>
      </c>
      <c r="L151">
        <v>1</v>
      </c>
      <c r="M151">
        <f t="shared" si="31"/>
        <v>0.67553463409080738</v>
      </c>
      <c r="N151">
        <f t="shared" si="32"/>
        <v>0.12439870812000001</v>
      </c>
      <c r="O151">
        <f t="shared" si="33"/>
        <v>2.9256733206000002E-2</v>
      </c>
      <c r="P151">
        <f t="shared" si="34"/>
        <v>8.3833206358410128E-2</v>
      </c>
    </row>
    <row r="152" spans="1:16" x14ac:dyDescent="0.3">
      <c r="A152">
        <v>7.7308690999999996</v>
      </c>
      <c r="B152">
        <v>0.30578064999999999</v>
      </c>
      <c r="C152">
        <f t="shared" si="25"/>
        <v>2.3639501784629147</v>
      </c>
      <c r="D152">
        <v>1.6199999999999999E-2</v>
      </c>
      <c r="E152">
        <v>3.81E-3</v>
      </c>
      <c r="F152">
        <f t="shared" si="26"/>
        <v>1546.17382</v>
      </c>
      <c r="G152">
        <f t="shared" si="27"/>
        <v>-0.30578064999999999</v>
      </c>
      <c r="H152">
        <f t="shared" si="28"/>
        <v>-472.79003569258293</v>
      </c>
      <c r="I152">
        <v>1</v>
      </c>
      <c r="J152">
        <f t="shared" si="29"/>
        <v>0.43578337592801158</v>
      </c>
      <c r="K152">
        <f t="shared" si="30"/>
        <v>-0.91594450177521747</v>
      </c>
      <c r="L152">
        <v>1</v>
      </c>
      <c r="M152">
        <f t="shared" si="31"/>
        <v>0.67603007813070892</v>
      </c>
      <c r="N152">
        <f t="shared" si="32"/>
        <v>0.12524007941999998</v>
      </c>
      <c r="O152">
        <f t="shared" si="33"/>
        <v>2.9454611270999999E-2</v>
      </c>
      <c r="P152">
        <f t="shared" si="34"/>
        <v>8.521973295350857E-2</v>
      </c>
    </row>
    <row r="153" spans="1:16" x14ac:dyDescent="0.3">
      <c r="A153">
        <v>7.7812783000000003</v>
      </c>
      <c r="B153">
        <v>0.30316493</v>
      </c>
      <c r="C153">
        <f t="shared" si="25"/>
        <v>2.359010691130019</v>
      </c>
      <c r="D153">
        <v>1.6199999999999999E-2</v>
      </c>
      <c r="E153">
        <v>3.81E-3</v>
      </c>
      <c r="F153">
        <f t="shared" si="26"/>
        <v>1556.25566</v>
      </c>
      <c r="G153">
        <f t="shared" si="27"/>
        <v>-0.30316493</v>
      </c>
      <c r="H153">
        <f t="shared" si="28"/>
        <v>-471.80213822600382</v>
      </c>
      <c r="I153">
        <v>1</v>
      </c>
      <c r="J153">
        <f t="shared" si="29"/>
        <v>0.44228271817205811</v>
      </c>
      <c r="K153">
        <f t="shared" si="30"/>
        <v>-0.91856022177521746</v>
      </c>
      <c r="L153">
        <v>1</v>
      </c>
      <c r="M153">
        <f t="shared" si="31"/>
        <v>0.67650777978564625</v>
      </c>
      <c r="N153">
        <f t="shared" si="32"/>
        <v>0.12605670846</v>
      </c>
      <c r="O153">
        <f t="shared" si="33"/>
        <v>2.9646670323000002E-2</v>
      </c>
      <c r="P153">
        <f t="shared" si="34"/>
        <v>8.6349063206571208E-2</v>
      </c>
    </row>
    <row r="154" spans="1:16" x14ac:dyDescent="0.3">
      <c r="A154">
        <v>7.8342334000000013</v>
      </c>
      <c r="B154">
        <v>0.30053011000000002</v>
      </c>
      <c r="C154">
        <f t="shared" si="25"/>
        <v>2.3544230254676743</v>
      </c>
      <c r="D154">
        <v>1.6199999999999999E-2</v>
      </c>
      <c r="E154">
        <v>3.81E-3</v>
      </c>
      <c r="F154">
        <f t="shared" si="26"/>
        <v>1566.8466800000003</v>
      </c>
      <c r="G154">
        <f t="shared" si="27"/>
        <v>-0.30053011000000002</v>
      </c>
      <c r="H154">
        <f t="shared" si="28"/>
        <v>-470.88460509353484</v>
      </c>
      <c r="I154">
        <v>1</v>
      </c>
      <c r="J154">
        <f t="shared" si="29"/>
        <v>0.4490651155748191</v>
      </c>
      <c r="K154">
        <f t="shared" si="30"/>
        <v>-0.92119504177521749</v>
      </c>
      <c r="L154">
        <v>1</v>
      </c>
      <c r="M154">
        <f t="shared" si="31"/>
        <v>0.67700628599474921</v>
      </c>
      <c r="N154">
        <f t="shared" si="32"/>
        <v>0.12691458108000001</v>
      </c>
      <c r="O154">
        <f t="shared" si="33"/>
        <v>2.9848429254000004E-2</v>
      </c>
      <c r="P154">
        <f t="shared" si="34"/>
        <v>8.7425745446468278E-2</v>
      </c>
    </row>
    <row r="155" spans="1:16" x14ac:dyDescent="0.3">
      <c r="A155">
        <v>7.8851518999999994</v>
      </c>
      <c r="B155">
        <v>0.29778074999999998</v>
      </c>
      <c r="C155">
        <f t="shared" si="25"/>
        <v>2.3480464466459248</v>
      </c>
      <c r="D155">
        <v>1.6199999999999999E-2</v>
      </c>
      <c r="E155">
        <v>3.81E-3</v>
      </c>
      <c r="F155">
        <f t="shared" si="26"/>
        <v>1577.0303799999999</v>
      </c>
      <c r="G155">
        <f t="shared" si="27"/>
        <v>-0.29778074999999998</v>
      </c>
      <c r="H155">
        <f t="shared" si="28"/>
        <v>-469.60928932918495</v>
      </c>
      <c r="I155">
        <v>1</v>
      </c>
      <c r="J155">
        <f t="shared" si="29"/>
        <v>0.45554357222147013</v>
      </c>
      <c r="K155">
        <f t="shared" si="30"/>
        <v>-0.92394440177521742</v>
      </c>
      <c r="L155">
        <v>1</v>
      </c>
      <c r="M155">
        <f t="shared" si="31"/>
        <v>0.6774824525582781</v>
      </c>
      <c r="N155">
        <f t="shared" si="32"/>
        <v>0.12773946077999998</v>
      </c>
      <c r="O155">
        <f t="shared" si="33"/>
        <v>3.0042428739E-2</v>
      </c>
      <c r="P155">
        <f t="shared" si="34"/>
        <v>8.8680059697939337E-2</v>
      </c>
    </row>
    <row r="156" spans="1:16" x14ac:dyDescent="0.3">
      <c r="A156">
        <v>7.9355609999999999</v>
      </c>
      <c r="B156">
        <v>0.29487862999999997</v>
      </c>
      <c r="C156">
        <f t="shared" si="25"/>
        <v>2.3400273559614297</v>
      </c>
      <c r="D156">
        <v>1.6199999999999999E-2</v>
      </c>
      <c r="E156">
        <v>3.81E-3</v>
      </c>
      <c r="F156">
        <f t="shared" si="26"/>
        <v>1587.1122</v>
      </c>
      <c r="G156">
        <f t="shared" si="27"/>
        <v>-0.29487862999999997</v>
      </c>
      <c r="H156">
        <f t="shared" si="28"/>
        <v>-468.00547119228594</v>
      </c>
      <c r="I156">
        <v>1</v>
      </c>
      <c r="J156">
        <f t="shared" si="29"/>
        <v>0.46191613847807711</v>
      </c>
      <c r="K156">
        <f t="shared" si="30"/>
        <v>-0.92684652177521754</v>
      </c>
      <c r="L156">
        <v>1</v>
      </c>
      <c r="M156">
        <f t="shared" si="31"/>
        <v>0.67795083617813867</v>
      </c>
      <c r="N156">
        <f t="shared" si="32"/>
        <v>0.1285560882</v>
      </c>
      <c r="O156">
        <f t="shared" si="33"/>
        <v>3.023448741E-2</v>
      </c>
      <c r="P156">
        <f t="shared" si="34"/>
        <v>9.0105109987078866E-2</v>
      </c>
    </row>
    <row r="157" spans="1:16" x14ac:dyDescent="0.3">
      <c r="A157">
        <v>7.9874976000000002</v>
      </c>
      <c r="B157">
        <v>0.29212925000000001</v>
      </c>
      <c r="C157">
        <f t="shared" si="25"/>
        <v>2.3333816832648</v>
      </c>
      <c r="D157">
        <v>1.6199999999999999E-2</v>
      </c>
      <c r="E157">
        <v>3.81E-3</v>
      </c>
      <c r="F157">
        <f t="shared" si="26"/>
        <v>1597.4995200000001</v>
      </c>
      <c r="G157">
        <f t="shared" si="27"/>
        <v>-0.29212925000000001</v>
      </c>
      <c r="H157">
        <f t="shared" si="28"/>
        <v>-466.67633665296</v>
      </c>
      <c r="I157">
        <v>1</v>
      </c>
      <c r="J157">
        <f t="shared" si="29"/>
        <v>0.46843960680002422</v>
      </c>
      <c r="K157">
        <f t="shared" si="30"/>
        <v>-0.92959590177521745</v>
      </c>
      <c r="L157">
        <v>1</v>
      </c>
      <c r="M157">
        <f t="shared" si="31"/>
        <v>0.67843031109980179</v>
      </c>
      <c r="N157">
        <f t="shared" si="32"/>
        <v>0.12939746112</v>
      </c>
      <c r="O157">
        <f t="shared" si="33"/>
        <v>3.0432365855999999E-2</v>
      </c>
      <c r="P157">
        <f t="shared" si="34"/>
        <v>9.1335763699415665E-2</v>
      </c>
    </row>
    <row r="158" spans="1:16" x14ac:dyDescent="0.3">
      <c r="A158">
        <v>8.0379066999999988</v>
      </c>
      <c r="B158">
        <v>0.28932260999999998</v>
      </c>
      <c r="C158">
        <f t="shared" si="25"/>
        <v>2.3255481453804867</v>
      </c>
      <c r="D158">
        <v>1.6199999999999999E-2</v>
      </c>
      <c r="E158">
        <v>3.81E-3</v>
      </c>
      <c r="F158">
        <f t="shared" si="26"/>
        <v>1607.5813399999997</v>
      </c>
      <c r="G158">
        <f t="shared" si="27"/>
        <v>-0.28932260999999998</v>
      </c>
      <c r="H158">
        <f t="shared" si="28"/>
        <v>-465.10962907609735</v>
      </c>
      <c r="I158">
        <v>1</v>
      </c>
      <c r="J158">
        <f t="shared" si="29"/>
        <v>0.47473077616052661</v>
      </c>
      <c r="K158">
        <f t="shared" si="30"/>
        <v>-0.93240254177521753</v>
      </c>
      <c r="L158">
        <v>1</v>
      </c>
      <c r="M158">
        <f t="shared" si="31"/>
        <v>0.67889271204779877</v>
      </c>
      <c r="N158">
        <f t="shared" si="32"/>
        <v>0.13021408853999997</v>
      </c>
      <c r="O158">
        <f t="shared" si="33"/>
        <v>3.0624424526999997E-2</v>
      </c>
      <c r="P158">
        <f t="shared" si="34"/>
        <v>9.2671316660418793E-2</v>
      </c>
    </row>
    <row r="159" spans="1:16" x14ac:dyDescent="0.3">
      <c r="A159">
        <v>8.0898437999999988</v>
      </c>
      <c r="B159">
        <v>0.28664961</v>
      </c>
      <c r="C159">
        <f t="shared" si="25"/>
        <v>2.3189505702309177</v>
      </c>
      <c r="D159">
        <v>1.6199999999999999E-2</v>
      </c>
      <c r="E159">
        <v>3.81E-3</v>
      </c>
      <c r="F159">
        <f t="shared" si="26"/>
        <v>1617.9687599999997</v>
      </c>
      <c r="G159">
        <f t="shared" si="27"/>
        <v>-0.28664961</v>
      </c>
      <c r="H159">
        <f t="shared" si="28"/>
        <v>-463.79011404618353</v>
      </c>
      <c r="I159">
        <v>1</v>
      </c>
      <c r="J159">
        <f t="shared" si="29"/>
        <v>0.48117151066251018</v>
      </c>
      <c r="K159">
        <f t="shared" si="30"/>
        <v>-0.93507554177521746</v>
      </c>
      <c r="L159">
        <v>1</v>
      </c>
      <c r="M159">
        <f t="shared" si="31"/>
        <v>0.67936610603369452</v>
      </c>
      <c r="N159">
        <f t="shared" si="32"/>
        <v>0.13105546955999997</v>
      </c>
      <c r="O159">
        <f t="shared" si="33"/>
        <v>3.0822304877999994E-2</v>
      </c>
      <c r="P159">
        <f t="shared" si="34"/>
        <v>9.3831661303522967E-2</v>
      </c>
    </row>
    <row r="160" spans="1:16" x14ac:dyDescent="0.3">
      <c r="A160">
        <v>8.1402523999999996</v>
      </c>
      <c r="B160">
        <v>0.28367111</v>
      </c>
      <c r="C160">
        <f t="shared" si="25"/>
        <v>2.309154433988164</v>
      </c>
      <c r="D160">
        <v>1.6199999999999999E-2</v>
      </c>
      <c r="E160">
        <v>3.81E-3</v>
      </c>
      <c r="F160">
        <f t="shared" si="26"/>
        <v>1628.0504799999999</v>
      </c>
      <c r="G160">
        <f t="shared" si="27"/>
        <v>-0.28367111</v>
      </c>
      <c r="H160">
        <f t="shared" si="28"/>
        <v>-461.83088679763279</v>
      </c>
      <c r="I160">
        <v>1</v>
      </c>
      <c r="J160">
        <f t="shared" si="29"/>
        <v>0.48738327447063734</v>
      </c>
      <c r="K160">
        <f t="shared" si="30"/>
        <v>-0.93805404177521745</v>
      </c>
      <c r="L160">
        <v>1</v>
      </c>
      <c r="M160">
        <f t="shared" si="31"/>
        <v>0.67982267067359181</v>
      </c>
      <c r="N160">
        <f t="shared" si="32"/>
        <v>0.13187208887999999</v>
      </c>
      <c r="O160">
        <f t="shared" si="33"/>
        <v>3.1014361644E-2</v>
      </c>
      <c r="P160">
        <f t="shared" si="34"/>
        <v>9.5344920577625655E-2</v>
      </c>
    </row>
    <row r="161" spans="1:16" x14ac:dyDescent="0.3">
      <c r="A161">
        <v>8.194735399999999</v>
      </c>
      <c r="B161">
        <v>0.28099811000000002</v>
      </c>
      <c r="C161">
        <f t="shared" si="25"/>
        <v>2.302705159350094</v>
      </c>
      <c r="D161">
        <v>1.6199999999999999E-2</v>
      </c>
      <c r="E161">
        <v>3.81E-3</v>
      </c>
      <c r="F161">
        <f t="shared" si="26"/>
        <v>1638.9470799999999</v>
      </c>
      <c r="G161">
        <f t="shared" si="27"/>
        <v>-0.28099811000000002</v>
      </c>
      <c r="H161">
        <f t="shared" si="28"/>
        <v>-460.5410318700188</v>
      </c>
      <c r="I161">
        <v>1</v>
      </c>
      <c r="J161">
        <f t="shared" si="29"/>
        <v>0.49405401125994858</v>
      </c>
      <c r="K161">
        <f t="shared" si="30"/>
        <v>-0.94072704177521738</v>
      </c>
      <c r="L161">
        <v>1</v>
      </c>
      <c r="M161">
        <f t="shared" si="31"/>
        <v>0.68031296982760625</v>
      </c>
      <c r="N161">
        <f t="shared" si="32"/>
        <v>0.13275471347999998</v>
      </c>
      <c r="O161">
        <f t="shared" si="33"/>
        <v>3.1221941873999997E-2</v>
      </c>
      <c r="P161">
        <f t="shared" si="34"/>
        <v>9.6437416593611144E-2</v>
      </c>
    </row>
    <row r="162" spans="1:16" x14ac:dyDescent="0.3">
      <c r="A162">
        <v>8.2471807000000013</v>
      </c>
      <c r="B162">
        <v>0.27824875999999998</v>
      </c>
      <c r="C162">
        <f t="shared" si="25"/>
        <v>2.2947678032709322</v>
      </c>
      <c r="D162">
        <v>1.6199999999999999E-2</v>
      </c>
      <c r="E162">
        <v>3.81E-3</v>
      </c>
      <c r="F162">
        <f t="shared" si="26"/>
        <v>1649.4361400000003</v>
      </c>
      <c r="G162">
        <f t="shared" si="27"/>
        <v>-0.27824875999999998</v>
      </c>
      <c r="H162">
        <f t="shared" si="28"/>
        <v>-458.95356065418645</v>
      </c>
      <c r="I162">
        <v>1</v>
      </c>
      <c r="J162">
        <f t="shared" si="29"/>
        <v>0.50043349617501431</v>
      </c>
      <c r="K162">
        <f t="shared" si="30"/>
        <v>-0.94347639177521747</v>
      </c>
      <c r="L162">
        <v>1</v>
      </c>
      <c r="M162">
        <f t="shared" si="31"/>
        <v>0.68078186196886359</v>
      </c>
      <c r="N162">
        <f t="shared" si="32"/>
        <v>0.13360432734000002</v>
      </c>
      <c r="O162">
        <f t="shared" si="33"/>
        <v>3.1421758467000002E-2</v>
      </c>
      <c r="P162">
        <f t="shared" si="34"/>
        <v>9.7668443999353857E-2</v>
      </c>
    </row>
    <row r="163" spans="1:16" x14ac:dyDescent="0.3">
      <c r="A163">
        <v>8.2981005999999997</v>
      </c>
      <c r="B163">
        <v>0.27530845999999998</v>
      </c>
      <c r="C163">
        <f t="shared" si="25"/>
        <v>2.2845372971110756</v>
      </c>
      <c r="D163">
        <v>1.6199999999999999E-2</v>
      </c>
      <c r="E163">
        <v>3.81E-3</v>
      </c>
      <c r="F163">
        <f t="shared" si="26"/>
        <v>1659.62012</v>
      </c>
      <c r="G163">
        <f t="shared" si="27"/>
        <v>-0.27530845999999998</v>
      </c>
      <c r="H163">
        <f t="shared" si="28"/>
        <v>-456.90745942221508</v>
      </c>
      <c r="I163">
        <v>1</v>
      </c>
      <c r="J163">
        <f t="shared" si="29"/>
        <v>0.50658873280631767</v>
      </c>
      <c r="K163">
        <f t="shared" si="30"/>
        <v>-0.94641669177521748</v>
      </c>
      <c r="L163">
        <v>1</v>
      </c>
      <c r="M163">
        <f t="shared" si="31"/>
        <v>0.6812342718612644</v>
      </c>
      <c r="N163">
        <f t="shared" si="32"/>
        <v>0.13442922971999999</v>
      </c>
      <c r="O163">
        <f t="shared" si="33"/>
        <v>3.1615763286E-2</v>
      </c>
      <c r="P163">
        <f t="shared" si="34"/>
        <v>9.9137426907953102E-2</v>
      </c>
    </row>
    <row r="164" spans="1:16" x14ac:dyDescent="0.3">
      <c r="A164">
        <v>8.3485087999999994</v>
      </c>
      <c r="B164">
        <v>0.27210084000000001</v>
      </c>
      <c r="C164">
        <f t="shared" si="25"/>
        <v>2.2716362572273918</v>
      </c>
      <c r="D164">
        <v>1.6199999999999999E-2</v>
      </c>
      <c r="E164">
        <v>3.81E-3</v>
      </c>
      <c r="F164">
        <f t="shared" si="26"/>
        <v>1669.7017599999999</v>
      </c>
      <c r="G164">
        <f t="shared" si="27"/>
        <v>-0.27210084000000001</v>
      </c>
      <c r="H164">
        <f t="shared" si="28"/>
        <v>-454.32725144547834</v>
      </c>
      <c r="I164">
        <v>1</v>
      </c>
      <c r="J164">
        <f t="shared" si="29"/>
        <v>0.51264502365379028</v>
      </c>
      <c r="K164">
        <f t="shared" si="30"/>
        <v>-0.94962431177521744</v>
      </c>
      <c r="L164">
        <v>1</v>
      </c>
      <c r="M164">
        <f t="shared" si="31"/>
        <v>0.68167940923855364</v>
      </c>
      <c r="N164">
        <f t="shared" si="32"/>
        <v>0.13524584256</v>
      </c>
      <c r="O164">
        <f t="shared" si="33"/>
        <v>3.1807818527999999E-2</v>
      </c>
      <c r="P164">
        <f t="shared" si="34"/>
        <v>0.10089124144866382</v>
      </c>
    </row>
    <row r="165" spans="1:16" x14ac:dyDescent="0.3">
      <c r="A165">
        <v>8.3989180000000001</v>
      </c>
      <c r="B165">
        <v>0.26916054</v>
      </c>
      <c r="C165">
        <f t="shared" si="25"/>
        <v>2.2606573042957199</v>
      </c>
      <c r="D165">
        <v>1.6199999999999999E-2</v>
      </c>
      <c r="E165">
        <v>3.81E-3</v>
      </c>
      <c r="F165">
        <f t="shared" si="26"/>
        <v>1679.7836</v>
      </c>
      <c r="G165">
        <f t="shared" si="27"/>
        <v>-0.26916054</v>
      </c>
      <c r="H165">
        <f t="shared" si="28"/>
        <v>-452.131460859144</v>
      </c>
      <c r="I165">
        <v>1</v>
      </c>
      <c r="J165">
        <f t="shared" si="29"/>
        <v>0.51866497559469882</v>
      </c>
      <c r="K165">
        <f t="shared" si="30"/>
        <v>-0.95256461177521745</v>
      </c>
      <c r="L165">
        <v>1</v>
      </c>
      <c r="M165">
        <f t="shared" si="31"/>
        <v>0.68212187570621041</v>
      </c>
      <c r="N165">
        <f t="shared" si="32"/>
        <v>0.13606247159999998</v>
      </c>
      <c r="O165">
        <f t="shared" si="33"/>
        <v>3.1999877580000002E-2</v>
      </c>
      <c r="P165">
        <f t="shared" si="34"/>
        <v>0.10238038688900705</v>
      </c>
    </row>
    <row r="166" spans="1:16" x14ac:dyDescent="0.3">
      <c r="A166">
        <v>8.4498369000000011</v>
      </c>
      <c r="B166">
        <v>0.26646847000000001</v>
      </c>
      <c r="C166">
        <f t="shared" si="25"/>
        <v>2.2516151104925433</v>
      </c>
      <c r="D166">
        <v>1.6199999999999999E-2</v>
      </c>
      <c r="E166">
        <v>3.81E-3</v>
      </c>
      <c r="F166">
        <f t="shared" si="26"/>
        <v>1689.9673800000003</v>
      </c>
      <c r="G166">
        <f t="shared" si="27"/>
        <v>-0.26646847000000001</v>
      </c>
      <c r="H166">
        <f t="shared" si="28"/>
        <v>-450.32302209850866</v>
      </c>
      <c r="I166">
        <v>1</v>
      </c>
      <c r="J166">
        <f t="shared" si="29"/>
        <v>0.52470922697355271</v>
      </c>
      <c r="K166">
        <f t="shared" si="30"/>
        <v>-0.9552566817752175</v>
      </c>
      <c r="L166">
        <v>1</v>
      </c>
      <c r="M166">
        <f t="shared" si="31"/>
        <v>0.68256612818255613</v>
      </c>
      <c r="N166">
        <f t="shared" si="32"/>
        <v>0.13688735778000002</v>
      </c>
      <c r="O166">
        <f t="shared" si="33"/>
        <v>3.2193878589000004E-2</v>
      </c>
      <c r="P166">
        <f t="shared" si="34"/>
        <v>0.10360931722366135</v>
      </c>
    </row>
    <row r="167" spans="1:16" x14ac:dyDescent="0.3">
      <c r="A167">
        <v>8.5007549000000004</v>
      </c>
      <c r="B167">
        <v>0.26356634000000001</v>
      </c>
      <c r="C167">
        <f t="shared" si="25"/>
        <v>2.2405128562300662</v>
      </c>
      <c r="D167">
        <v>1.6199999999999999E-2</v>
      </c>
      <c r="E167">
        <v>3.81E-3</v>
      </c>
      <c r="F167">
        <f t="shared" si="26"/>
        <v>1700.1509800000001</v>
      </c>
      <c r="G167">
        <f t="shared" si="27"/>
        <v>-0.26356634000000001</v>
      </c>
      <c r="H167">
        <f t="shared" si="28"/>
        <v>-448.10257124601327</v>
      </c>
      <c r="I167">
        <v>1</v>
      </c>
      <c r="J167">
        <f t="shared" si="29"/>
        <v>0.53071705888334508</v>
      </c>
      <c r="K167">
        <f t="shared" si="30"/>
        <v>-0.95815881177521744</v>
      </c>
      <c r="L167">
        <v>1</v>
      </c>
      <c r="M167">
        <f t="shared" si="31"/>
        <v>0.68300770382792586</v>
      </c>
      <c r="N167">
        <f t="shared" si="32"/>
        <v>0.13771222938</v>
      </c>
      <c r="O167">
        <f t="shared" si="33"/>
        <v>3.2387876169000004E-2</v>
      </c>
      <c r="P167">
        <f t="shared" si="34"/>
        <v>0.10505100239829158</v>
      </c>
    </row>
    <row r="168" spans="1:16" x14ac:dyDescent="0.3">
      <c r="A168">
        <v>8.5521826000000001</v>
      </c>
      <c r="B168">
        <v>0.26051149000000001</v>
      </c>
      <c r="C168">
        <f t="shared" si="25"/>
        <v>2.2279418318780739</v>
      </c>
      <c r="D168">
        <v>1.6199999999999999E-2</v>
      </c>
      <c r="E168">
        <v>3.81E-3</v>
      </c>
      <c r="F168">
        <f t="shared" si="26"/>
        <v>1710.43652</v>
      </c>
      <c r="G168">
        <f t="shared" si="27"/>
        <v>-0.26051149000000001</v>
      </c>
      <c r="H168">
        <f t="shared" si="28"/>
        <v>-445.58836637561478</v>
      </c>
      <c r="I168">
        <v>1</v>
      </c>
      <c r="J168">
        <f t="shared" si="29"/>
        <v>0.53674861279128816</v>
      </c>
      <c r="K168">
        <f t="shared" si="30"/>
        <v>-0.96121366177521739</v>
      </c>
      <c r="L168">
        <v>1</v>
      </c>
      <c r="M168">
        <f t="shared" si="31"/>
        <v>0.6834510230401597</v>
      </c>
      <c r="N168">
        <f t="shared" si="32"/>
        <v>0.13854535811999999</v>
      </c>
      <c r="O168">
        <f t="shared" si="33"/>
        <v>3.2583815706000004E-2</v>
      </c>
      <c r="P168">
        <f t="shared" si="34"/>
        <v>0.1066334649090577</v>
      </c>
    </row>
    <row r="169" spans="1:16" x14ac:dyDescent="0.3">
      <c r="A169">
        <v>8.6031005999999994</v>
      </c>
      <c r="B169">
        <v>0.25743753000000003</v>
      </c>
      <c r="C169">
        <f t="shared" si="25"/>
        <v>2.2147609688055181</v>
      </c>
      <c r="D169">
        <v>1.6199999999999999E-2</v>
      </c>
      <c r="E169">
        <v>3.81E-3</v>
      </c>
      <c r="F169">
        <f t="shared" si="26"/>
        <v>1720.6201199999998</v>
      </c>
      <c r="G169">
        <f t="shared" si="27"/>
        <v>-0.25743753000000003</v>
      </c>
      <c r="H169">
        <f t="shared" si="28"/>
        <v>-442.95219376110362</v>
      </c>
      <c r="I169">
        <v>1</v>
      </c>
      <c r="J169">
        <f t="shared" si="29"/>
        <v>0.54268476073199845</v>
      </c>
      <c r="K169">
        <f t="shared" si="30"/>
        <v>-0.96428762177521743</v>
      </c>
      <c r="L169">
        <v>1</v>
      </c>
      <c r="M169">
        <f t="shared" si="31"/>
        <v>0.68388732991380186</v>
      </c>
      <c r="N169">
        <f t="shared" si="32"/>
        <v>0.13937022971999999</v>
      </c>
      <c r="O169">
        <f t="shared" si="33"/>
        <v>3.2777813285999997E-2</v>
      </c>
      <c r="P169">
        <f t="shared" si="34"/>
        <v>0.10825224885541559</v>
      </c>
    </row>
    <row r="170" spans="1:16" x14ac:dyDescent="0.3">
      <c r="A170">
        <v>8.6540195000000004</v>
      </c>
      <c r="B170">
        <v>0.25468814000000001</v>
      </c>
      <c r="C170">
        <f t="shared" si="25"/>
        <v>2.2040761299787301</v>
      </c>
      <c r="D170">
        <v>1.6199999999999999E-2</v>
      </c>
      <c r="E170">
        <v>3.81E-3</v>
      </c>
      <c r="F170">
        <f t="shared" si="26"/>
        <v>1730.8039000000001</v>
      </c>
      <c r="G170">
        <f t="shared" si="27"/>
        <v>-0.25468814000000001</v>
      </c>
      <c r="H170">
        <f t="shared" si="28"/>
        <v>-440.815225995746</v>
      </c>
      <c r="I170">
        <v>1</v>
      </c>
      <c r="J170">
        <f t="shared" si="29"/>
        <v>0.5485859826593289</v>
      </c>
      <c r="K170">
        <f t="shared" si="30"/>
        <v>-0.96703701177521739</v>
      </c>
      <c r="L170">
        <v>1</v>
      </c>
      <c r="M170">
        <f t="shared" si="31"/>
        <v>0.6843210697254607</v>
      </c>
      <c r="N170">
        <f t="shared" si="32"/>
        <v>0.1401951159</v>
      </c>
      <c r="O170">
        <f t="shared" si="33"/>
        <v>3.2971814294999999E-2</v>
      </c>
      <c r="P170">
        <f t="shared" si="34"/>
        <v>0.1095490118547567</v>
      </c>
    </row>
    <row r="171" spans="1:16" x14ac:dyDescent="0.3">
      <c r="A171">
        <v>8.7100293000000004</v>
      </c>
      <c r="B171">
        <v>0.25182422999999998</v>
      </c>
      <c r="C171">
        <f t="shared" si="25"/>
        <v>2.1933964217499389</v>
      </c>
      <c r="D171">
        <v>1.6199999999999999E-2</v>
      </c>
      <c r="E171">
        <v>3.81E-3</v>
      </c>
      <c r="F171">
        <f t="shared" si="26"/>
        <v>1742.00586</v>
      </c>
      <c r="G171">
        <f t="shared" si="27"/>
        <v>-0.25182422999999998</v>
      </c>
      <c r="H171">
        <f t="shared" si="28"/>
        <v>-438.67928434998777</v>
      </c>
      <c r="I171">
        <v>1</v>
      </c>
      <c r="J171">
        <f t="shared" si="29"/>
        <v>0.55503724237413632</v>
      </c>
      <c r="K171">
        <f t="shared" si="30"/>
        <v>-0.96990092177521747</v>
      </c>
      <c r="L171">
        <v>1</v>
      </c>
      <c r="M171">
        <f t="shared" si="31"/>
        <v>0.68479523731449898</v>
      </c>
      <c r="N171">
        <f t="shared" si="32"/>
        <v>0.14110247466</v>
      </c>
      <c r="O171">
        <f t="shared" si="33"/>
        <v>3.3185211632999999E-2</v>
      </c>
      <c r="P171">
        <f t="shared" si="34"/>
        <v>0.11081799816771848</v>
      </c>
    </row>
    <row r="172" spans="1:16" x14ac:dyDescent="0.3">
      <c r="A172">
        <v>8.7018817999999989</v>
      </c>
      <c r="B172">
        <v>0.25144237000000003</v>
      </c>
      <c r="C172">
        <f t="shared" si="25"/>
        <v>2.188021783251866</v>
      </c>
      <c r="D172">
        <v>1.6199999999999999E-2</v>
      </c>
      <c r="E172">
        <v>3.81E-3</v>
      </c>
      <c r="F172">
        <f t="shared" si="26"/>
        <v>1740.3763599999997</v>
      </c>
      <c r="G172">
        <f t="shared" si="27"/>
        <v>-0.25144237000000003</v>
      </c>
      <c r="H172">
        <f t="shared" si="28"/>
        <v>-437.60435665037323</v>
      </c>
      <c r="I172">
        <v>1</v>
      </c>
      <c r="J172">
        <f t="shared" si="29"/>
        <v>0.55410138868778847</v>
      </c>
      <c r="K172">
        <f t="shared" si="30"/>
        <v>-0.97028278177521743</v>
      </c>
      <c r="L172">
        <v>1</v>
      </c>
      <c r="M172">
        <f t="shared" si="31"/>
        <v>0.68472645206855243</v>
      </c>
      <c r="N172">
        <f t="shared" si="32"/>
        <v>0.14097048515999996</v>
      </c>
      <c r="O172">
        <f t="shared" si="33"/>
        <v>3.3154169657999999E-2</v>
      </c>
      <c r="P172">
        <f t="shared" si="34"/>
        <v>0.11143167488866504</v>
      </c>
    </row>
    <row r="173" spans="1:16" x14ac:dyDescent="0.3">
      <c r="C173">
        <f t="shared" si="25"/>
        <v>0</v>
      </c>
      <c r="D173">
        <v>1.6199999999999999E-2</v>
      </c>
      <c r="E173">
        <v>3.81E-3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1:16" x14ac:dyDescent="0.3">
      <c r="C174">
        <f t="shared" si="25"/>
        <v>0</v>
      </c>
      <c r="D174">
        <v>1.6199999999999999E-2</v>
      </c>
      <c r="E174">
        <v>3.81E-3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1:16" x14ac:dyDescent="0.3">
      <c r="C175">
        <f t="shared" si="25"/>
        <v>0</v>
      </c>
      <c r="D175">
        <v>1.6199999999999999E-2</v>
      </c>
      <c r="E175">
        <v>3.81E-3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1:16" x14ac:dyDescent="0.3">
      <c r="C176">
        <f t="shared" si="25"/>
        <v>0</v>
      </c>
      <c r="D176">
        <v>1.6199999999999999E-2</v>
      </c>
      <c r="E176">
        <v>3.81E-3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1.6199999999999999E-2</v>
      </c>
      <c r="E177">
        <v>3.81E-3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1.6199999999999999E-2</v>
      </c>
      <c r="E178">
        <v>3.81E-3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1.6199999999999999E-2</v>
      </c>
      <c r="E179">
        <v>3.81E-3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1.6199999999999999E-2</v>
      </c>
      <c r="E180">
        <v>3.81E-3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1.6199999999999999E-2</v>
      </c>
      <c r="E181">
        <v>3.81E-3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1.6199999999999999E-2</v>
      </c>
      <c r="E182">
        <v>3.81E-3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1.6199999999999999E-2</v>
      </c>
      <c r="E183">
        <v>3.81E-3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1.6199999999999999E-2</v>
      </c>
      <c r="E184">
        <v>3.81E-3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1.6199999999999999E-2</v>
      </c>
      <c r="E185">
        <v>3.81E-3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1.6199999999999999E-2</v>
      </c>
      <c r="E186">
        <v>3.81E-3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1.6199999999999999E-2</v>
      </c>
      <c r="E187">
        <v>3.81E-3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1.6199999999999999E-2</v>
      </c>
      <c r="E188">
        <v>3.81E-3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1.6199999999999999E-2</v>
      </c>
      <c r="E189">
        <v>3.81E-3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1.6199999999999999E-2</v>
      </c>
      <c r="E190">
        <v>3.81E-3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1.6199999999999999E-2</v>
      </c>
      <c r="E191">
        <v>3.81E-3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1.6199999999999999E-2</v>
      </c>
      <c r="E192">
        <v>3.81E-3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1.6199999999999999E-2</v>
      </c>
      <c r="E193">
        <v>3.81E-3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1.6199999999999999E-2</v>
      </c>
      <c r="E194">
        <v>3.81E-3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1.6199999999999999E-2</v>
      </c>
      <c r="E195">
        <v>3.81E-3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1.6199999999999999E-2</v>
      </c>
      <c r="E196">
        <v>3.81E-3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1.6199999999999999E-2</v>
      </c>
      <c r="E197">
        <v>3.81E-3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1.6199999999999999E-2</v>
      </c>
      <c r="E198">
        <v>3.81E-3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1.6199999999999999E-2</v>
      </c>
      <c r="E199">
        <v>3.81E-3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1.6199999999999999E-2</v>
      </c>
      <c r="E200">
        <v>3.81E-3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1.6199999999999999E-2</v>
      </c>
      <c r="E201">
        <v>3.81E-3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1.6199999999999999E-2</v>
      </c>
      <c r="E202">
        <v>3.81E-3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1.6199999999999999E-2</v>
      </c>
      <c r="E203">
        <v>3.81E-3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1.6199999999999999E-2</v>
      </c>
      <c r="E204">
        <v>3.81E-3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1.6199999999999999E-2</v>
      </c>
      <c r="E205">
        <v>3.81E-3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1.6199999999999999E-2</v>
      </c>
      <c r="E206">
        <v>3.81E-3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1.6199999999999999E-2</v>
      </c>
      <c r="E207">
        <v>3.81E-3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1.6199999999999999E-2</v>
      </c>
      <c r="E208">
        <v>3.81E-3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1.6199999999999999E-2</v>
      </c>
      <c r="E209">
        <v>3.81E-3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1.6199999999999999E-2</v>
      </c>
      <c r="E210">
        <v>3.81E-3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1.6199999999999999E-2</v>
      </c>
      <c r="E211">
        <v>3.81E-3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1.6199999999999999E-2</v>
      </c>
      <c r="E212">
        <v>3.81E-3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1.6199999999999999E-2</v>
      </c>
      <c r="E213">
        <v>3.81E-3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1.6199999999999999E-2</v>
      </c>
      <c r="E214">
        <v>3.81E-3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1.6199999999999999E-2</v>
      </c>
      <c r="E215">
        <v>3.81E-3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1.6199999999999999E-2</v>
      </c>
      <c r="E216">
        <v>3.81E-3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1.6199999999999999E-2</v>
      </c>
      <c r="E217">
        <v>3.81E-3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1.6199999999999999E-2</v>
      </c>
      <c r="E218">
        <v>3.81E-3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1.6199999999999999E-2</v>
      </c>
      <c r="E219">
        <v>3.81E-3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1.6199999999999999E-2</v>
      </c>
      <c r="E220">
        <v>3.81E-3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1.6199999999999999E-2</v>
      </c>
      <c r="E221">
        <v>3.81E-3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1.6199999999999999E-2</v>
      </c>
      <c r="E222">
        <v>3.81E-3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1.6199999999999999E-2</v>
      </c>
      <c r="E223">
        <v>3.81E-3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1.6199999999999999E-2</v>
      </c>
      <c r="E224">
        <v>3.81E-3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1.6199999999999999E-2</v>
      </c>
      <c r="E225">
        <v>3.81E-3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1.6199999999999999E-2</v>
      </c>
      <c r="E226">
        <v>3.81E-3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1.6199999999999999E-2</v>
      </c>
      <c r="E227">
        <v>3.81E-3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1.6199999999999999E-2</v>
      </c>
      <c r="E228">
        <v>3.81E-3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1.6199999999999999E-2</v>
      </c>
      <c r="E229">
        <v>3.81E-3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1.6199999999999999E-2</v>
      </c>
      <c r="E230">
        <v>3.81E-3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1.6199999999999999E-2</v>
      </c>
      <c r="E231">
        <v>3.81E-3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1.6199999999999999E-2</v>
      </c>
      <c r="E232">
        <v>3.81E-3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1.6199999999999999E-2</v>
      </c>
      <c r="E233">
        <v>3.81E-3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1.6199999999999999E-2</v>
      </c>
      <c r="E234">
        <v>3.81E-3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1.6199999999999999E-2</v>
      </c>
      <c r="E235">
        <v>3.81E-3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1.6199999999999999E-2</v>
      </c>
      <c r="E236">
        <v>3.81E-3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1.6199999999999999E-2</v>
      </c>
      <c r="E237">
        <v>3.81E-3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1.6199999999999999E-2</v>
      </c>
      <c r="E238">
        <v>3.81E-3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1.6199999999999999E-2</v>
      </c>
      <c r="E239">
        <v>3.81E-3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1.6199999999999999E-2</v>
      </c>
      <c r="E240">
        <v>3.81E-3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1.6199999999999999E-2</v>
      </c>
      <c r="E241">
        <v>3.81E-3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1.6199999999999999E-2</v>
      </c>
      <c r="E242">
        <v>3.81E-3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1.6199999999999999E-2</v>
      </c>
      <c r="E243">
        <v>3.81E-3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1.6199999999999999E-2</v>
      </c>
      <c r="E244">
        <v>3.81E-3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1.6199999999999999E-2</v>
      </c>
      <c r="E245">
        <v>3.81E-3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1.6199999999999999E-2</v>
      </c>
      <c r="E246">
        <v>3.81E-3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1.6199999999999999E-2</v>
      </c>
      <c r="E247">
        <v>3.81E-3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1.6199999999999999E-2</v>
      </c>
      <c r="E248">
        <v>3.81E-3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1.6199999999999999E-2</v>
      </c>
      <c r="E249">
        <v>3.81E-3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1.6199999999999999E-2</v>
      </c>
      <c r="E250">
        <v>3.81E-3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1.6199999999999999E-2</v>
      </c>
      <c r="E251">
        <v>3.81E-3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1.6199999999999999E-2</v>
      </c>
      <c r="E252">
        <v>3.81E-3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1.6199999999999999E-2</v>
      </c>
      <c r="E253">
        <v>3.81E-3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1.6199999999999999E-2</v>
      </c>
      <c r="E254">
        <v>3.81E-3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1.6199999999999999E-2</v>
      </c>
      <c r="E255">
        <v>3.81E-3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1.6199999999999999E-2</v>
      </c>
      <c r="E256">
        <v>3.81E-3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1.6199999999999999E-2</v>
      </c>
      <c r="E257">
        <v>3.81E-3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1.6199999999999999E-2</v>
      </c>
      <c r="E258">
        <v>3.81E-3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1.6199999999999999E-2</v>
      </c>
      <c r="E259">
        <v>3.81E-3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1.6199999999999999E-2</v>
      </c>
      <c r="E260">
        <v>3.81E-3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1.6199999999999999E-2</v>
      </c>
      <c r="E261">
        <v>3.81E-3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1.6199999999999999E-2</v>
      </c>
      <c r="E262">
        <v>3.81E-3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1.6199999999999999E-2</v>
      </c>
      <c r="E263">
        <v>3.81E-3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1.6199999999999999E-2</v>
      </c>
      <c r="E264">
        <v>3.81E-3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1.6199999999999999E-2</v>
      </c>
      <c r="E265">
        <v>3.81E-3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1.6199999999999999E-2</v>
      </c>
      <c r="E266">
        <v>3.81E-3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1.6199999999999999E-2</v>
      </c>
      <c r="E267">
        <v>3.81E-3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1.6199999999999999E-2</v>
      </c>
      <c r="E268">
        <v>3.81E-3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1.6199999999999999E-2</v>
      </c>
      <c r="E269">
        <v>3.81E-3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1.6199999999999999E-2</v>
      </c>
      <c r="E270">
        <v>3.81E-3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1.6199999999999999E-2</v>
      </c>
      <c r="E271">
        <v>3.81E-3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1.6199999999999999E-2</v>
      </c>
      <c r="E272">
        <v>3.81E-3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1.6199999999999999E-2</v>
      </c>
      <c r="E273">
        <v>3.81E-3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1.6199999999999999E-2</v>
      </c>
      <c r="E274">
        <v>3.81E-3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1.6199999999999999E-2</v>
      </c>
      <c r="E275">
        <v>3.81E-3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1.6199999999999999E-2</v>
      </c>
      <c r="E276">
        <v>3.81E-3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1.6199999999999999E-2</v>
      </c>
      <c r="E277">
        <v>3.81E-3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1.6199999999999999E-2</v>
      </c>
      <c r="E278">
        <v>3.81E-3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1.6199999999999999E-2</v>
      </c>
      <c r="E279">
        <v>3.81E-3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1.6199999999999999E-2</v>
      </c>
      <c r="E280">
        <v>3.81E-3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1.6199999999999999E-2</v>
      </c>
      <c r="E281">
        <v>3.81E-3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1.6199999999999999E-2</v>
      </c>
      <c r="E282">
        <v>3.81E-3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1.6199999999999999E-2</v>
      </c>
      <c r="E283">
        <v>3.81E-3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1.6199999999999999E-2</v>
      </c>
      <c r="E284">
        <v>3.81E-3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1.6199999999999999E-2</v>
      </c>
      <c r="E285">
        <v>3.81E-3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1.6199999999999999E-2</v>
      </c>
      <c r="E286">
        <v>3.81E-3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3.8158201924077539E-3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3.8158201924077539E-3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3.8158201924077539E-3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3.8158201924077539E-3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3.8158201924077539E-3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3.8158201924077539E-3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3.8158201924077539E-3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3.8158201924077539E-3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3.8158201924077539E-3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3.8158201924077539E-3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3.8158201924077539E-3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3.8158201924077539E-3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3.8158201924077539E-3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3.8158201924077539E-3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3.8158201924077539E-3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3.8158201924077539E-3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3.8158201924077539E-3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2026-06-15T03:15:29Z</dcterms:modified>
</cp:coreProperties>
</file>