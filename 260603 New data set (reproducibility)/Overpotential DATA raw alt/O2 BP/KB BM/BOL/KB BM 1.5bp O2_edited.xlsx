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KB BM\BOL\"/>
    </mc:Choice>
  </mc:AlternateContent>
  <xr:revisionPtr revIDLastSave="0" documentId="13_ncr:1_{E64B1EEC-068E-4F47-B46F-BE70981FC459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B222" i="2"/>
  <c r="E222" i="2" s="1"/>
  <c r="O221" i="2"/>
  <c r="I221" i="2"/>
  <c r="K221" i="2" s="1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B218" i="2"/>
  <c r="E218" i="2" s="1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I213" i="2"/>
  <c r="K213" i="2" s="1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B210" i="2"/>
  <c r="E210" i="2" s="1"/>
  <c r="O209" i="2"/>
  <c r="I209" i="2"/>
  <c r="K209" i="2" s="1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B206" i="2"/>
  <c r="E206" i="2" s="1"/>
  <c r="O205" i="2"/>
  <c r="I205" i="2"/>
  <c r="K205" i="2" s="1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B202" i="2"/>
  <c r="E202" i="2" s="1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I197" i="2"/>
  <c r="K197" i="2" s="1"/>
  <c r="B197" i="2"/>
  <c r="E197" i="2" s="1"/>
  <c r="O196" i="2"/>
  <c r="I196" i="2"/>
  <c r="K196" i="2" s="1"/>
  <c r="E196" i="2"/>
  <c r="B196" i="2"/>
  <c r="O195" i="2"/>
  <c r="K195" i="2"/>
  <c r="I195" i="2"/>
  <c r="F195" i="2"/>
  <c r="E195" i="2"/>
  <c r="B195" i="2"/>
  <c r="O194" i="2"/>
  <c r="I194" i="2"/>
  <c r="K194" i="2" s="1"/>
  <c r="F194" i="2"/>
  <c r="B194" i="2"/>
  <c r="E194" i="2" s="1"/>
  <c r="O193" i="2"/>
  <c r="I193" i="2"/>
  <c r="K193" i="2" s="1"/>
  <c r="F193" i="2"/>
  <c r="E193" i="2"/>
  <c r="B193" i="2"/>
  <c r="O192" i="2"/>
  <c r="I192" i="2"/>
  <c r="F192" i="2"/>
  <c r="K192" i="2" s="1"/>
  <c r="B192" i="2"/>
  <c r="E192" i="2" s="1"/>
  <c r="O191" i="2"/>
  <c r="I191" i="2"/>
  <c r="K191" i="2" s="1"/>
  <c r="F191" i="2"/>
  <c r="E191" i="2"/>
  <c r="B191" i="2"/>
  <c r="O190" i="2"/>
  <c r="I190" i="2"/>
  <c r="K190" i="2" s="1"/>
  <c r="F190" i="2"/>
  <c r="B190" i="2"/>
  <c r="E190" i="2" s="1"/>
  <c r="O189" i="2"/>
  <c r="I189" i="2"/>
  <c r="F189" i="2"/>
  <c r="E189" i="2"/>
  <c r="B189" i="2"/>
  <c r="O188" i="2"/>
  <c r="K188" i="2"/>
  <c r="I188" i="2"/>
  <c r="F188" i="2"/>
  <c r="E188" i="2"/>
  <c r="B188" i="2"/>
  <c r="O187" i="2"/>
  <c r="I187" i="2"/>
  <c r="K187" i="2" s="1"/>
  <c r="F187" i="2"/>
  <c r="B187" i="2"/>
  <c r="E187" i="2" s="1"/>
  <c r="O186" i="2"/>
  <c r="I186" i="2"/>
  <c r="F186" i="2"/>
  <c r="K186" i="2" s="1"/>
  <c r="B186" i="2"/>
  <c r="E186" i="2" s="1"/>
  <c r="O185" i="2"/>
  <c r="I185" i="2"/>
  <c r="F185" i="2"/>
  <c r="E185" i="2"/>
  <c r="B185" i="2"/>
  <c r="O184" i="2"/>
  <c r="K184" i="2"/>
  <c r="I184" i="2"/>
  <c r="F184" i="2"/>
  <c r="E184" i="2"/>
  <c r="B184" i="2"/>
  <c r="O183" i="2"/>
  <c r="I183" i="2"/>
  <c r="K183" i="2" s="1"/>
  <c r="F183" i="2"/>
  <c r="B183" i="2"/>
  <c r="E183" i="2" s="1"/>
  <c r="O182" i="2"/>
  <c r="I182" i="2"/>
  <c r="K182" i="2" s="1"/>
  <c r="F182" i="2"/>
  <c r="B182" i="2"/>
  <c r="E182" i="2" s="1"/>
  <c r="O181" i="2"/>
  <c r="I181" i="2"/>
  <c r="F181" i="2"/>
  <c r="E181" i="2"/>
  <c r="B181" i="2"/>
  <c r="O180" i="2"/>
  <c r="I180" i="2"/>
  <c r="F180" i="2"/>
  <c r="K180" i="2" s="1"/>
  <c r="E180" i="2"/>
  <c r="B180" i="2"/>
  <c r="O179" i="2"/>
  <c r="K179" i="2"/>
  <c r="I179" i="2"/>
  <c r="F179" i="2"/>
  <c r="E179" i="2"/>
  <c r="B179" i="2"/>
  <c r="O178" i="2"/>
  <c r="I178" i="2"/>
  <c r="K178" i="2" s="1"/>
  <c r="F178" i="2"/>
  <c r="B178" i="2"/>
  <c r="E178" i="2" s="1"/>
  <c r="O177" i="2"/>
  <c r="I177" i="2"/>
  <c r="K177" i="2" s="1"/>
  <c r="F177" i="2"/>
  <c r="E177" i="2"/>
  <c r="B177" i="2"/>
  <c r="O176" i="2"/>
  <c r="I176" i="2"/>
  <c r="F176" i="2"/>
  <c r="K176" i="2" s="1"/>
  <c r="B176" i="2"/>
  <c r="E176" i="2" s="1"/>
  <c r="O175" i="2"/>
  <c r="I175" i="2"/>
  <c r="K175" i="2" s="1"/>
  <c r="F175" i="2"/>
  <c r="E175" i="2"/>
  <c r="B175" i="2"/>
  <c r="O174" i="2"/>
  <c r="I174" i="2"/>
  <c r="K174" i="2" s="1"/>
  <c r="F174" i="2"/>
  <c r="B174" i="2"/>
  <c r="E174" i="2" s="1"/>
  <c r="O173" i="2"/>
  <c r="I173" i="2"/>
  <c r="F173" i="2"/>
  <c r="E173" i="2"/>
  <c r="B173" i="2"/>
  <c r="O172" i="2"/>
  <c r="K172" i="2"/>
  <c r="I172" i="2"/>
  <c r="F172" i="2"/>
  <c r="E172" i="2"/>
  <c r="B172" i="2"/>
  <c r="O171" i="2"/>
  <c r="I171" i="2"/>
  <c r="K171" i="2" s="1"/>
  <c r="F171" i="2"/>
  <c r="B171" i="2"/>
  <c r="E171" i="2" s="1"/>
  <c r="O170" i="2"/>
  <c r="K170" i="2"/>
  <c r="I170" i="2"/>
  <c r="F170" i="2"/>
  <c r="B170" i="2"/>
  <c r="E170" i="2" s="1"/>
  <c r="O169" i="2"/>
  <c r="I169" i="2"/>
  <c r="F169" i="2"/>
  <c r="E169" i="2"/>
  <c r="B169" i="2"/>
  <c r="O168" i="2"/>
  <c r="K168" i="2"/>
  <c r="I168" i="2"/>
  <c r="F168" i="2"/>
  <c r="B168" i="2"/>
  <c r="E168" i="2" s="1"/>
  <c r="O167" i="2"/>
  <c r="K167" i="2"/>
  <c r="I167" i="2"/>
  <c r="F167" i="2"/>
  <c r="B167" i="2"/>
  <c r="E167" i="2" s="1"/>
  <c r="O166" i="2"/>
  <c r="I166" i="2"/>
  <c r="K166" i="2" s="1"/>
  <c r="F166" i="2"/>
  <c r="B166" i="2"/>
  <c r="E166" i="2" s="1"/>
  <c r="O165" i="2"/>
  <c r="I165" i="2"/>
  <c r="F165" i="2"/>
  <c r="E165" i="2"/>
  <c r="B165" i="2"/>
  <c r="O164" i="2"/>
  <c r="I164" i="2"/>
  <c r="F164" i="2"/>
  <c r="K164" i="2" s="1"/>
  <c r="E164" i="2"/>
  <c r="B164" i="2"/>
  <c r="O163" i="2"/>
  <c r="K163" i="2"/>
  <c r="I163" i="2"/>
  <c r="F163" i="2"/>
  <c r="E163" i="2"/>
  <c r="B163" i="2"/>
  <c r="O162" i="2"/>
  <c r="K162" i="2"/>
  <c r="I162" i="2"/>
  <c r="F162" i="2"/>
  <c r="B162" i="2"/>
  <c r="E162" i="2" s="1"/>
  <c r="O161" i="2"/>
  <c r="I161" i="2"/>
  <c r="K161" i="2" s="1"/>
  <c r="F161" i="2"/>
  <c r="E161" i="2"/>
  <c r="B161" i="2"/>
  <c r="O160" i="2"/>
  <c r="K160" i="2"/>
  <c r="I160" i="2"/>
  <c r="F160" i="2"/>
  <c r="B160" i="2"/>
  <c r="E160" i="2" s="1"/>
  <c r="O159" i="2"/>
  <c r="I159" i="2"/>
  <c r="K159" i="2" s="1"/>
  <c r="F159" i="2"/>
  <c r="E159" i="2"/>
  <c r="B159" i="2"/>
  <c r="O158" i="2"/>
  <c r="I158" i="2"/>
  <c r="K158" i="2" s="1"/>
  <c r="F158" i="2"/>
  <c r="B158" i="2"/>
  <c r="E158" i="2" s="1"/>
  <c r="O157" i="2"/>
  <c r="I157" i="2"/>
  <c r="F157" i="2"/>
  <c r="E157" i="2"/>
  <c r="B157" i="2"/>
  <c r="O156" i="2"/>
  <c r="K156" i="2"/>
  <c r="I156" i="2"/>
  <c r="F156" i="2"/>
  <c r="E156" i="2"/>
  <c r="B156" i="2"/>
  <c r="O155" i="2"/>
  <c r="I155" i="2"/>
  <c r="K155" i="2" s="1"/>
  <c r="F155" i="2"/>
  <c r="B155" i="2"/>
  <c r="E155" i="2" s="1"/>
  <c r="O154" i="2"/>
  <c r="K154" i="2"/>
  <c r="I154" i="2"/>
  <c r="F154" i="2"/>
  <c r="B154" i="2"/>
  <c r="E154" i="2" s="1"/>
  <c r="O153" i="2"/>
  <c r="I153" i="2"/>
  <c r="F153" i="2"/>
  <c r="E153" i="2"/>
  <c r="B153" i="2"/>
  <c r="O152" i="2"/>
  <c r="K152" i="2"/>
  <c r="I152" i="2"/>
  <c r="F152" i="2"/>
  <c r="B152" i="2"/>
  <c r="E152" i="2" s="1"/>
  <c r="O151" i="2"/>
  <c r="I151" i="2"/>
  <c r="K151" i="2" s="1"/>
  <c r="F151" i="2"/>
  <c r="B151" i="2"/>
  <c r="E151" i="2" s="1"/>
  <c r="O150" i="2"/>
  <c r="I150" i="2"/>
  <c r="K150" i="2" s="1"/>
  <c r="F150" i="2"/>
  <c r="B150" i="2"/>
  <c r="E150" i="2" s="1"/>
  <c r="O149" i="2"/>
  <c r="I149" i="2"/>
  <c r="F149" i="2"/>
  <c r="E149" i="2"/>
  <c r="B149" i="2"/>
  <c r="O148" i="2"/>
  <c r="I148" i="2"/>
  <c r="F148" i="2"/>
  <c r="K148" i="2" s="1"/>
  <c r="E148" i="2"/>
  <c r="B148" i="2"/>
  <c r="O147" i="2"/>
  <c r="K147" i="2"/>
  <c r="I147" i="2"/>
  <c r="F147" i="2"/>
  <c r="E147" i="2"/>
  <c r="B147" i="2"/>
  <c r="O146" i="2"/>
  <c r="I146" i="2"/>
  <c r="K146" i="2" s="1"/>
  <c r="F146" i="2"/>
  <c r="B146" i="2"/>
  <c r="E146" i="2" s="1"/>
  <c r="O145" i="2"/>
  <c r="I145" i="2"/>
  <c r="K145" i="2" s="1"/>
  <c r="F145" i="2"/>
  <c r="E145" i="2"/>
  <c r="B145" i="2"/>
  <c r="O144" i="2"/>
  <c r="K144" i="2"/>
  <c r="I144" i="2"/>
  <c r="F144" i="2"/>
  <c r="B144" i="2"/>
  <c r="E144" i="2" s="1"/>
  <c r="O143" i="2"/>
  <c r="I143" i="2"/>
  <c r="K143" i="2" s="1"/>
  <c r="F143" i="2"/>
  <c r="E143" i="2"/>
  <c r="B143" i="2"/>
  <c r="O142" i="2"/>
  <c r="I142" i="2"/>
  <c r="K142" i="2" s="1"/>
  <c r="F142" i="2"/>
  <c r="B142" i="2"/>
  <c r="E142" i="2" s="1"/>
  <c r="O141" i="2"/>
  <c r="I141" i="2"/>
  <c r="F141" i="2"/>
  <c r="E141" i="2"/>
  <c r="B141" i="2"/>
  <c r="O140" i="2"/>
  <c r="K140" i="2"/>
  <c r="I140" i="2"/>
  <c r="F140" i="2"/>
  <c r="E140" i="2"/>
  <c r="B140" i="2"/>
  <c r="O139" i="2"/>
  <c r="K139" i="2"/>
  <c r="I139" i="2"/>
  <c r="F139" i="2"/>
  <c r="B139" i="2"/>
  <c r="E139" i="2" s="1"/>
  <c r="O138" i="2"/>
  <c r="I138" i="2"/>
  <c r="F138" i="2"/>
  <c r="K138" i="2" s="1"/>
  <c r="B138" i="2"/>
  <c r="E138" i="2" s="1"/>
  <c r="O137" i="2"/>
  <c r="I137" i="2"/>
  <c r="F137" i="2"/>
  <c r="E137" i="2"/>
  <c r="B137" i="2"/>
  <c r="O136" i="2"/>
  <c r="K136" i="2"/>
  <c r="I136" i="2"/>
  <c r="F136" i="2"/>
  <c r="B136" i="2"/>
  <c r="E136" i="2" s="1"/>
  <c r="O135" i="2"/>
  <c r="I135" i="2"/>
  <c r="K135" i="2" s="1"/>
  <c r="F135" i="2"/>
  <c r="B135" i="2"/>
  <c r="E135" i="2" s="1"/>
  <c r="O134" i="2"/>
  <c r="I134" i="2"/>
  <c r="K134" i="2" s="1"/>
  <c r="F134" i="2"/>
  <c r="B134" i="2"/>
  <c r="E134" i="2" s="1"/>
  <c r="O133" i="2"/>
  <c r="I133" i="2"/>
  <c r="F133" i="2"/>
  <c r="E133" i="2"/>
  <c r="B133" i="2"/>
  <c r="O132" i="2"/>
  <c r="I132" i="2"/>
  <c r="F132" i="2"/>
  <c r="K132" i="2" s="1"/>
  <c r="E132" i="2"/>
  <c r="B132" i="2"/>
  <c r="O131" i="2"/>
  <c r="K131" i="2"/>
  <c r="I131" i="2"/>
  <c r="F131" i="2"/>
  <c r="E131" i="2"/>
  <c r="B131" i="2"/>
  <c r="O130" i="2"/>
  <c r="I130" i="2"/>
  <c r="K130" i="2" s="1"/>
  <c r="F130" i="2"/>
  <c r="B130" i="2"/>
  <c r="E130" i="2" s="1"/>
  <c r="O129" i="2"/>
  <c r="I129" i="2"/>
  <c r="K129" i="2" s="1"/>
  <c r="F129" i="2"/>
  <c r="E129" i="2"/>
  <c r="B129" i="2"/>
  <c r="O128" i="2"/>
  <c r="I128" i="2"/>
  <c r="F128" i="2"/>
  <c r="K128" i="2" s="1"/>
  <c r="B128" i="2"/>
  <c r="E128" i="2" s="1"/>
  <c r="O127" i="2"/>
  <c r="I127" i="2"/>
  <c r="K127" i="2" s="1"/>
  <c r="F127" i="2"/>
  <c r="E127" i="2"/>
  <c r="B127" i="2"/>
  <c r="O126" i="2"/>
  <c r="I126" i="2"/>
  <c r="K126" i="2" s="1"/>
  <c r="F126" i="2"/>
  <c r="B126" i="2"/>
  <c r="E126" i="2" s="1"/>
  <c r="O125" i="2"/>
  <c r="I125" i="2"/>
  <c r="F125" i="2"/>
  <c r="E125" i="2"/>
  <c r="B125" i="2"/>
  <c r="O124" i="2"/>
  <c r="K124" i="2"/>
  <c r="I124" i="2"/>
  <c r="F124" i="2"/>
  <c r="E124" i="2"/>
  <c r="B124" i="2"/>
  <c r="O123" i="2"/>
  <c r="I123" i="2"/>
  <c r="K123" i="2" s="1"/>
  <c r="F123" i="2"/>
  <c r="B123" i="2"/>
  <c r="E123" i="2" s="1"/>
  <c r="O122" i="2"/>
  <c r="I122" i="2"/>
  <c r="F122" i="2"/>
  <c r="K122" i="2" s="1"/>
  <c r="B122" i="2"/>
  <c r="E122" i="2" s="1"/>
  <c r="O121" i="2"/>
  <c r="I121" i="2"/>
  <c r="F121" i="2"/>
  <c r="E121" i="2"/>
  <c r="B121" i="2"/>
  <c r="O120" i="2"/>
  <c r="K120" i="2"/>
  <c r="I120" i="2"/>
  <c r="F120" i="2"/>
  <c r="E120" i="2"/>
  <c r="B120" i="2"/>
  <c r="O119" i="2"/>
  <c r="I119" i="2"/>
  <c r="K119" i="2" s="1"/>
  <c r="F119" i="2"/>
  <c r="B119" i="2"/>
  <c r="E119" i="2" s="1"/>
  <c r="O118" i="2"/>
  <c r="K118" i="2"/>
  <c r="I118" i="2"/>
  <c r="F118" i="2"/>
  <c r="B118" i="2"/>
  <c r="E118" i="2" s="1"/>
  <c r="O117" i="2"/>
  <c r="I117" i="2"/>
  <c r="F117" i="2"/>
  <c r="E117" i="2"/>
  <c r="B117" i="2"/>
  <c r="O116" i="2"/>
  <c r="K116" i="2"/>
  <c r="I116" i="2"/>
  <c r="F116" i="2"/>
  <c r="B116" i="2"/>
  <c r="E116" i="2" s="1"/>
  <c r="O115" i="2"/>
  <c r="I115" i="2"/>
  <c r="K115" i="2" s="1"/>
  <c r="F115" i="2"/>
  <c r="B115" i="2"/>
  <c r="E115" i="2" s="1"/>
  <c r="O114" i="2"/>
  <c r="I114" i="2"/>
  <c r="K114" i="2" s="1"/>
  <c r="F114" i="2"/>
  <c r="B114" i="2"/>
  <c r="E114" i="2" s="1"/>
  <c r="O113" i="2"/>
  <c r="I113" i="2"/>
  <c r="F113" i="2"/>
  <c r="E113" i="2"/>
  <c r="B113" i="2"/>
  <c r="O112" i="2"/>
  <c r="I112" i="2"/>
  <c r="F112" i="2"/>
  <c r="K112" i="2" s="1"/>
  <c r="E112" i="2"/>
  <c r="B112" i="2"/>
  <c r="O111" i="2"/>
  <c r="K111" i="2"/>
  <c r="I111" i="2"/>
  <c r="F111" i="2"/>
  <c r="E111" i="2"/>
  <c r="B111" i="2"/>
  <c r="O110" i="2"/>
  <c r="I110" i="2"/>
  <c r="K110" i="2" s="1"/>
  <c r="F110" i="2"/>
  <c r="B110" i="2"/>
  <c r="E110" i="2" s="1"/>
  <c r="O109" i="2"/>
  <c r="I109" i="2"/>
  <c r="K109" i="2" s="1"/>
  <c r="F109" i="2"/>
  <c r="E109" i="2"/>
  <c r="B109" i="2"/>
  <c r="O108" i="2"/>
  <c r="I108" i="2"/>
  <c r="F108" i="2"/>
  <c r="K108" i="2" s="1"/>
  <c r="B108" i="2"/>
  <c r="E108" i="2" s="1"/>
  <c r="O107" i="2"/>
  <c r="I107" i="2"/>
  <c r="K107" i="2" s="1"/>
  <c r="F107" i="2"/>
  <c r="E107" i="2"/>
  <c r="B107" i="2"/>
  <c r="O106" i="2"/>
  <c r="I106" i="2"/>
  <c r="K106" i="2" s="1"/>
  <c r="F106" i="2"/>
  <c r="B106" i="2"/>
  <c r="E106" i="2" s="1"/>
  <c r="O105" i="2"/>
  <c r="I105" i="2"/>
  <c r="F105" i="2"/>
  <c r="E105" i="2"/>
  <c r="B105" i="2"/>
  <c r="O104" i="2"/>
  <c r="K104" i="2"/>
  <c r="I104" i="2"/>
  <c r="F104" i="2"/>
  <c r="E104" i="2"/>
  <c r="B104" i="2"/>
  <c r="O103" i="2"/>
  <c r="I103" i="2"/>
  <c r="K103" i="2" s="1"/>
  <c r="F103" i="2"/>
  <c r="B103" i="2"/>
  <c r="E103" i="2" s="1"/>
  <c r="O102" i="2"/>
  <c r="K102" i="2"/>
  <c r="I102" i="2"/>
  <c r="F102" i="2"/>
  <c r="B102" i="2"/>
  <c r="E102" i="2" s="1"/>
  <c r="O101" i="2"/>
  <c r="I101" i="2"/>
  <c r="F101" i="2"/>
  <c r="E101" i="2"/>
  <c r="B101" i="2"/>
  <c r="O100" i="2"/>
  <c r="K100" i="2"/>
  <c r="I100" i="2"/>
  <c r="F100" i="2"/>
  <c r="B100" i="2"/>
  <c r="E100" i="2" s="1"/>
  <c r="O99" i="2"/>
  <c r="I99" i="2"/>
  <c r="K99" i="2" s="1"/>
  <c r="F99" i="2"/>
  <c r="B99" i="2"/>
  <c r="E99" i="2" s="1"/>
  <c r="O98" i="2"/>
  <c r="I98" i="2"/>
  <c r="K98" i="2" s="1"/>
  <c r="F98" i="2"/>
  <c r="B98" i="2"/>
  <c r="E98" i="2" s="1"/>
  <c r="O97" i="2"/>
  <c r="I97" i="2"/>
  <c r="F97" i="2"/>
  <c r="E97" i="2"/>
  <c r="B97" i="2"/>
  <c r="O96" i="2"/>
  <c r="I96" i="2"/>
  <c r="F96" i="2"/>
  <c r="K96" i="2" s="1"/>
  <c r="E96" i="2"/>
  <c r="B96" i="2"/>
  <c r="O95" i="2"/>
  <c r="K95" i="2"/>
  <c r="I95" i="2"/>
  <c r="F95" i="2"/>
  <c r="E95" i="2"/>
  <c r="B95" i="2"/>
  <c r="O94" i="2"/>
  <c r="I94" i="2"/>
  <c r="K94" i="2" s="1"/>
  <c r="F94" i="2"/>
  <c r="B94" i="2"/>
  <c r="E94" i="2" s="1"/>
  <c r="O93" i="2"/>
  <c r="I93" i="2"/>
  <c r="K93" i="2" s="1"/>
  <c r="F93" i="2"/>
  <c r="E93" i="2"/>
  <c r="B93" i="2"/>
  <c r="O92" i="2"/>
  <c r="I92" i="2"/>
  <c r="F92" i="2"/>
  <c r="K92" i="2" s="1"/>
  <c r="B92" i="2"/>
  <c r="E92" i="2" s="1"/>
  <c r="O91" i="2"/>
  <c r="I91" i="2"/>
  <c r="K91" i="2" s="1"/>
  <c r="F91" i="2"/>
  <c r="E91" i="2"/>
  <c r="B91" i="2"/>
  <c r="O90" i="2"/>
  <c r="I90" i="2"/>
  <c r="K90" i="2" s="1"/>
  <c r="F90" i="2"/>
  <c r="B90" i="2"/>
  <c r="E90" i="2" s="1"/>
  <c r="O89" i="2"/>
  <c r="I89" i="2"/>
  <c r="F89" i="2"/>
  <c r="E89" i="2"/>
  <c r="B89" i="2"/>
  <c r="O88" i="2"/>
  <c r="K88" i="2"/>
  <c r="I88" i="2"/>
  <c r="F88" i="2"/>
  <c r="E88" i="2"/>
  <c r="B88" i="2"/>
  <c r="O87" i="2"/>
  <c r="I87" i="2"/>
  <c r="K87" i="2" s="1"/>
  <c r="F87" i="2"/>
  <c r="B87" i="2"/>
  <c r="E87" i="2" s="1"/>
  <c r="O86" i="2"/>
  <c r="K86" i="2"/>
  <c r="I86" i="2"/>
  <c r="F86" i="2"/>
  <c r="B86" i="2"/>
  <c r="E86" i="2" s="1"/>
  <c r="O85" i="2"/>
  <c r="I85" i="2"/>
  <c r="F85" i="2"/>
  <c r="E85" i="2"/>
  <c r="B85" i="2"/>
  <c r="O84" i="2"/>
  <c r="K84" i="2"/>
  <c r="I84" i="2"/>
  <c r="F84" i="2"/>
  <c r="B84" i="2"/>
  <c r="E84" i="2" s="1"/>
  <c r="O83" i="2"/>
  <c r="I83" i="2"/>
  <c r="K83" i="2" s="1"/>
  <c r="F83" i="2"/>
  <c r="B83" i="2"/>
  <c r="E83" i="2" s="1"/>
  <c r="O82" i="2"/>
  <c r="I82" i="2"/>
  <c r="K82" i="2" s="1"/>
  <c r="F82" i="2"/>
  <c r="B82" i="2"/>
  <c r="E82" i="2" s="1"/>
  <c r="O81" i="2"/>
  <c r="I81" i="2"/>
  <c r="F81" i="2"/>
  <c r="E81" i="2"/>
  <c r="B81" i="2"/>
  <c r="O80" i="2"/>
  <c r="I80" i="2"/>
  <c r="F80" i="2"/>
  <c r="K80" i="2" s="1"/>
  <c r="E80" i="2"/>
  <c r="B80" i="2"/>
  <c r="O79" i="2"/>
  <c r="K79" i="2"/>
  <c r="I79" i="2"/>
  <c r="F79" i="2"/>
  <c r="E79" i="2"/>
  <c r="B79" i="2"/>
  <c r="O78" i="2"/>
  <c r="I78" i="2"/>
  <c r="K78" i="2" s="1"/>
  <c r="F78" i="2"/>
  <c r="B78" i="2"/>
  <c r="E78" i="2" s="1"/>
  <c r="O77" i="2"/>
  <c r="I77" i="2"/>
  <c r="K77" i="2" s="1"/>
  <c r="F77" i="2"/>
  <c r="E77" i="2"/>
  <c r="B77" i="2"/>
  <c r="O76" i="2"/>
  <c r="I76" i="2"/>
  <c r="F76" i="2"/>
  <c r="K76" i="2" s="1"/>
  <c r="B76" i="2"/>
  <c r="E76" i="2" s="1"/>
  <c r="O75" i="2"/>
  <c r="I75" i="2"/>
  <c r="K75" i="2" s="1"/>
  <c r="F75" i="2"/>
  <c r="E75" i="2"/>
  <c r="B75" i="2"/>
  <c r="O74" i="2"/>
  <c r="I74" i="2"/>
  <c r="K74" i="2" s="1"/>
  <c r="F74" i="2"/>
  <c r="B74" i="2"/>
  <c r="E74" i="2" s="1"/>
  <c r="O73" i="2"/>
  <c r="I73" i="2"/>
  <c r="K73" i="2" s="1"/>
  <c r="F73" i="2"/>
  <c r="E73" i="2"/>
  <c r="B73" i="2"/>
  <c r="O72" i="2"/>
  <c r="I72" i="2"/>
  <c r="F72" i="2"/>
  <c r="K72" i="2" s="1"/>
  <c r="E72" i="2"/>
  <c r="B72" i="2"/>
  <c r="O71" i="2"/>
  <c r="K71" i="2"/>
  <c r="I71" i="2"/>
  <c r="F71" i="2"/>
  <c r="B71" i="2"/>
  <c r="E71" i="2" s="1"/>
  <c r="O70" i="2"/>
  <c r="I70" i="2"/>
  <c r="K70" i="2" s="1"/>
  <c r="F70" i="2"/>
  <c r="B70" i="2"/>
  <c r="E70" i="2" s="1"/>
  <c r="O69" i="2"/>
  <c r="I69" i="2"/>
  <c r="K69" i="2" s="1"/>
  <c r="F69" i="2"/>
  <c r="E69" i="2"/>
  <c r="B69" i="2"/>
  <c r="O68" i="2"/>
  <c r="I68" i="2"/>
  <c r="F68" i="2"/>
  <c r="K68" i="2" s="1"/>
  <c r="B68" i="2"/>
  <c r="E68" i="2" s="1"/>
  <c r="O67" i="2"/>
  <c r="I67" i="2"/>
  <c r="K67" i="2" s="1"/>
  <c r="F67" i="2"/>
  <c r="E67" i="2"/>
  <c r="B67" i="2"/>
  <c r="O66" i="2"/>
  <c r="K66" i="2"/>
  <c r="I66" i="2"/>
  <c r="F66" i="2"/>
  <c r="B66" i="2"/>
  <c r="E66" i="2" s="1"/>
  <c r="O65" i="2"/>
  <c r="I65" i="2"/>
  <c r="F65" i="2"/>
  <c r="E65" i="2"/>
  <c r="B65" i="2"/>
  <c r="O64" i="2"/>
  <c r="K64" i="2"/>
  <c r="I64" i="2"/>
  <c r="F64" i="2"/>
  <c r="B64" i="2"/>
  <c r="E64" i="2" s="1"/>
  <c r="O63" i="2"/>
  <c r="I63" i="2"/>
  <c r="K63" i="2" s="1"/>
  <c r="F63" i="2"/>
  <c r="B63" i="2"/>
  <c r="E63" i="2" s="1"/>
  <c r="O62" i="2"/>
  <c r="K62" i="2"/>
  <c r="I62" i="2"/>
  <c r="F62" i="2"/>
  <c r="B62" i="2"/>
  <c r="E62" i="2" s="1"/>
  <c r="O61" i="2"/>
  <c r="I61" i="2"/>
  <c r="F61" i="2"/>
  <c r="E61" i="2"/>
  <c r="B61" i="2"/>
  <c r="O60" i="2"/>
  <c r="K60" i="2"/>
  <c r="I60" i="2"/>
  <c r="F60" i="2"/>
  <c r="E60" i="2"/>
  <c r="B60" i="2"/>
  <c r="O59" i="2"/>
  <c r="I59" i="2"/>
  <c r="K59" i="2" s="1"/>
  <c r="F59" i="2"/>
  <c r="B59" i="2"/>
  <c r="E59" i="2" s="1"/>
  <c r="O58" i="2"/>
  <c r="I58" i="2"/>
  <c r="K58" i="2" s="1"/>
  <c r="F58" i="2"/>
  <c r="B58" i="2"/>
  <c r="E58" i="2" s="1"/>
  <c r="O57" i="2"/>
  <c r="I57" i="2"/>
  <c r="K57" i="2" s="1"/>
  <c r="F57" i="2"/>
  <c r="E57" i="2"/>
  <c r="B57" i="2"/>
  <c r="O56" i="2"/>
  <c r="I56" i="2"/>
  <c r="F56" i="2"/>
  <c r="K56" i="2" s="1"/>
  <c r="E56" i="2"/>
  <c r="B56" i="2"/>
  <c r="O55" i="2"/>
  <c r="K55" i="2"/>
  <c r="I55" i="2"/>
  <c r="F55" i="2"/>
  <c r="B55" i="2"/>
  <c r="E55" i="2" s="1"/>
  <c r="O54" i="2"/>
  <c r="I54" i="2"/>
  <c r="K54" i="2" s="1"/>
  <c r="F54" i="2"/>
  <c r="B54" i="2"/>
  <c r="E54" i="2" s="1"/>
  <c r="O53" i="2"/>
  <c r="I53" i="2"/>
  <c r="K53" i="2" s="1"/>
  <c r="F53" i="2"/>
  <c r="E53" i="2"/>
  <c r="B53" i="2"/>
  <c r="O52" i="2"/>
  <c r="I52" i="2"/>
  <c r="F52" i="2"/>
  <c r="K52" i="2" s="1"/>
  <c r="B52" i="2"/>
  <c r="E52" i="2" s="1"/>
  <c r="O51" i="2"/>
  <c r="I51" i="2"/>
  <c r="K51" i="2" s="1"/>
  <c r="F51" i="2"/>
  <c r="E51" i="2"/>
  <c r="B51" i="2"/>
  <c r="O50" i="2"/>
  <c r="K50" i="2"/>
  <c r="I50" i="2"/>
  <c r="F50" i="2"/>
  <c r="B50" i="2"/>
  <c r="E50" i="2" s="1"/>
  <c r="O49" i="2"/>
  <c r="I49" i="2"/>
  <c r="F49" i="2"/>
  <c r="E49" i="2"/>
  <c r="B49" i="2"/>
  <c r="O48" i="2"/>
  <c r="K48" i="2"/>
  <c r="I48" i="2"/>
  <c r="F48" i="2"/>
  <c r="B48" i="2"/>
  <c r="E48" i="2" s="1"/>
  <c r="O47" i="2"/>
  <c r="I47" i="2"/>
  <c r="K47" i="2" s="1"/>
  <c r="F47" i="2"/>
  <c r="B47" i="2"/>
  <c r="E47" i="2" s="1"/>
  <c r="O46" i="2"/>
  <c r="K46" i="2"/>
  <c r="I46" i="2"/>
  <c r="F46" i="2"/>
  <c r="B46" i="2"/>
  <c r="E46" i="2" s="1"/>
  <c r="O45" i="2"/>
  <c r="I45" i="2"/>
  <c r="F45" i="2"/>
  <c r="E45" i="2"/>
  <c r="B45" i="2"/>
  <c r="O44" i="2"/>
  <c r="K44" i="2"/>
  <c r="I44" i="2"/>
  <c r="F44" i="2"/>
  <c r="E44" i="2"/>
  <c r="B44" i="2"/>
  <c r="O43" i="2"/>
  <c r="I43" i="2"/>
  <c r="K43" i="2" s="1"/>
  <c r="F43" i="2"/>
  <c r="B43" i="2"/>
  <c r="E43" i="2" s="1"/>
  <c r="O42" i="2"/>
  <c r="I42" i="2"/>
  <c r="K42" i="2" s="1"/>
  <c r="F42" i="2"/>
  <c r="B42" i="2"/>
  <c r="E42" i="2" s="1"/>
  <c r="O41" i="2"/>
  <c r="I41" i="2"/>
  <c r="K41" i="2" s="1"/>
  <c r="F41" i="2"/>
  <c r="E41" i="2"/>
  <c r="B41" i="2"/>
  <c r="O40" i="2"/>
  <c r="I40" i="2"/>
  <c r="F40" i="2"/>
  <c r="K40" i="2" s="1"/>
  <c r="E40" i="2"/>
  <c r="B40" i="2"/>
  <c r="O39" i="2"/>
  <c r="K39" i="2"/>
  <c r="I39" i="2"/>
  <c r="F39" i="2"/>
  <c r="B39" i="2"/>
  <c r="E39" i="2" s="1"/>
  <c r="O38" i="2"/>
  <c r="I38" i="2"/>
  <c r="K38" i="2" s="1"/>
  <c r="F38" i="2"/>
  <c r="B38" i="2"/>
  <c r="E38" i="2" s="1"/>
  <c r="O37" i="2"/>
  <c r="I37" i="2"/>
  <c r="K37" i="2" s="1"/>
  <c r="F37" i="2"/>
  <c r="E37" i="2"/>
  <c r="B37" i="2"/>
  <c r="O36" i="2"/>
  <c r="I36" i="2"/>
  <c r="F36" i="2"/>
  <c r="K36" i="2" s="1"/>
  <c r="B36" i="2"/>
  <c r="E36" i="2" s="1"/>
  <c r="O35" i="2"/>
  <c r="I35" i="2"/>
  <c r="K35" i="2" s="1"/>
  <c r="F35" i="2"/>
  <c r="E35" i="2"/>
  <c r="B35" i="2"/>
  <c r="O34" i="2"/>
  <c r="K34" i="2"/>
  <c r="I34" i="2"/>
  <c r="F34" i="2"/>
  <c r="B34" i="2"/>
  <c r="E34" i="2" s="1"/>
  <c r="O33" i="2"/>
  <c r="I33" i="2"/>
  <c r="F33" i="2"/>
  <c r="E33" i="2"/>
  <c r="B33" i="2"/>
  <c r="O32" i="2"/>
  <c r="K32" i="2"/>
  <c r="I32" i="2"/>
  <c r="F32" i="2"/>
  <c r="B32" i="2"/>
  <c r="E32" i="2" s="1"/>
  <c r="O31" i="2"/>
  <c r="I31" i="2"/>
  <c r="K31" i="2" s="1"/>
  <c r="F31" i="2"/>
  <c r="B31" i="2"/>
  <c r="E31" i="2" s="1"/>
  <c r="O30" i="2"/>
  <c r="K30" i="2"/>
  <c r="I30" i="2"/>
  <c r="F30" i="2"/>
  <c r="B30" i="2"/>
  <c r="E30" i="2" s="1"/>
  <c r="O29" i="2"/>
  <c r="I29" i="2"/>
  <c r="F29" i="2"/>
  <c r="E29" i="2"/>
  <c r="B29" i="2"/>
  <c r="O28" i="2"/>
  <c r="K28" i="2"/>
  <c r="I28" i="2"/>
  <c r="F28" i="2"/>
  <c r="E28" i="2"/>
  <c r="B28" i="2"/>
  <c r="O27" i="2"/>
  <c r="I27" i="2"/>
  <c r="K27" i="2" s="1"/>
  <c r="F27" i="2"/>
  <c r="B27" i="2"/>
  <c r="E27" i="2" s="1"/>
  <c r="O26" i="2"/>
  <c r="I26" i="2"/>
  <c r="K26" i="2" s="1"/>
  <c r="F26" i="2"/>
  <c r="B26" i="2"/>
  <c r="E26" i="2" s="1"/>
  <c r="O25" i="2"/>
  <c r="I25" i="2"/>
  <c r="K25" i="2" s="1"/>
  <c r="F25" i="2"/>
  <c r="E25" i="2"/>
  <c r="B25" i="2"/>
  <c r="O24" i="2"/>
  <c r="I24" i="2"/>
  <c r="F24" i="2"/>
  <c r="K24" i="2" s="1"/>
  <c r="E24" i="2"/>
  <c r="B24" i="2"/>
  <c r="O23" i="2"/>
  <c r="K23" i="2"/>
  <c r="I23" i="2"/>
  <c r="F23" i="2"/>
  <c r="B23" i="2"/>
  <c r="E23" i="2" s="1"/>
  <c r="O22" i="2"/>
  <c r="I22" i="2"/>
  <c r="K22" i="2" s="1"/>
  <c r="F22" i="2"/>
  <c r="B22" i="2"/>
  <c r="E22" i="2" s="1"/>
  <c r="O21" i="2"/>
  <c r="I21" i="2"/>
  <c r="K21" i="2" s="1"/>
  <c r="F21" i="2"/>
  <c r="E21" i="2"/>
  <c r="B21" i="2"/>
  <c r="O20" i="2"/>
  <c r="I20" i="2"/>
  <c r="F20" i="2"/>
  <c r="K20" i="2" s="1"/>
  <c r="B20" i="2"/>
  <c r="E20" i="2" s="1"/>
  <c r="O19" i="2"/>
  <c r="I19" i="2"/>
  <c r="K19" i="2" s="1"/>
  <c r="F19" i="2"/>
  <c r="E19" i="2"/>
  <c r="B19" i="2"/>
  <c r="O18" i="2"/>
  <c r="K18" i="2"/>
  <c r="I18" i="2"/>
  <c r="F18" i="2"/>
  <c r="B18" i="2"/>
  <c r="E18" i="2" s="1"/>
  <c r="O17" i="2"/>
  <c r="I17" i="2"/>
  <c r="F17" i="2"/>
  <c r="E17" i="2"/>
  <c r="B17" i="2"/>
  <c r="O16" i="2"/>
  <c r="K16" i="2"/>
  <c r="I16" i="2"/>
  <c r="F16" i="2"/>
  <c r="B16" i="2"/>
  <c r="E16" i="2" s="1"/>
  <c r="O15" i="2"/>
  <c r="I15" i="2"/>
  <c r="K15" i="2" s="1"/>
  <c r="F15" i="2"/>
  <c r="B15" i="2"/>
  <c r="E15" i="2" s="1"/>
  <c r="O14" i="2"/>
  <c r="K14" i="2"/>
  <c r="I14" i="2"/>
  <c r="F14" i="2"/>
  <c r="B14" i="2"/>
  <c r="E14" i="2" s="1"/>
  <c r="O13" i="2"/>
  <c r="I13" i="2"/>
  <c r="F13" i="2"/>
  <c r="E13" i="2"/>
  <c r="B13" i="2"/>
  <c r="O12" i="2"/>
  <c r="K12" i="2"/>
  <c r="I12" i="2"/>
  <c r="F12" i="2"/>
  <c r="E12" i="2"/>
  <c r="B12" i="2"/>
  <c r="O11" i="2"/>
  <c r="I11" i="2"/>
  <c r="K11" i="2" s="1"/>
  <c r="F11" i="2"/>
  <c r="B11" i="2"/>
  <c r="E11" i="2" s="1"/>
  <c r="O10" i="2"/>
  <c r="I10" i="2"/>
  <c r="K10" i="2" s="1"/>
  <c r="F10" i="2"/>
  <c r="B10" i="2"/>
  <c r="E10" i="2" s="1"/>
  <c r="O9" i="2"/>
  <c r="I9" i="2"/>
  <c r="K9" i="2" s="1"/>
  <c r="F9" i="2"/>
  <c r="E9" i="2"/>
  <c r="B9" i="2"/>
  <c r="O8" i="2"/>
  <c r="I8" i="2"/>
  <c r="F8" i="2"/>
  <c r="K8" i="2" s="1"/>
  <c r="E8" i="2"/>
  <c r="B8" i="2"/>
  <c r="O7" i="2"/>
  <c r="K7" i="2"/>
  <c r="I7" i="2"/>
  <c r="F7" i="2"/>
  <c r="B7" i="2"/>
  <c r="E7" i="2" s="1"/>
  <c r="O6" i="2"/>
  <c r="I6" i="2"/>
  <c r="K6" i="2" s="1"/>
  <c r="F6" i="2"/>
  <c r="B6" i="2"/>
  <c r="E6" i="2" s="1"/>
  <c r="O5" i="2"/>
  <c r="I5" i="2"/>
  <c r="K5" i="2" s="1"/>
  <c r="F5" i="2"/>
  <c r="E5" i="2"/>
  <c r="B5" i="2"/>
  <c r="O4" i="2"/>
  <c r="I4" i="2"/>
  <c r="F4" i="2"/>
  <c r="K4" i="2" s="1"/>
  <c r="B4" i="2"/>
  <c r="E4" i="2" s="1"/>
  <c r="O3" i="2"/>
  <c r="I3" i="2"/>
  <c r="K3" i="2" s="1"/>
  <c r="F3" i="2"/>
  <c r="E3" i="2"/>
  <c r="B3" i="2"/>
  <c r="O2" i="2"/>
  <c r="K2" i="2"/>
  <c r="I2" i="2"/>
  <c r="F2" i="2"/>
  <c r="B2" i="2"/>
  <c r="E2" i="2" s="1"/>
  <c r="O303" i="1"/>
  <c r="N303" i="1"/>
  <c r="M303" i="1"/>
  <c r="H303" i="1"/>
  <c r="G303" i="1"/>
  <c r="F303" i="1"/>
  <c r="J303" i="1" s="1"/>
  <c r="C303" i="1"/>
  <c r="O302" i="1"/>
  <c r="N302" i="1"/>
  <c r="H302" i="1"/>
  <c r="G302" i="1"/>
  <c r="F302" i="1"/>
  <c r="J302" i="1" s="1"/>
  <c r="M302" i="1" s="1"/>
  <c r="C302" i="1"/>
  <c r="O301" i="1"/>
  <c r="N301" i="1"/>
  <c r="H301" i="1"/>
  <c r="G301" i="1"/>
  <c r="F301" i="1"/>
  <c r="J301" i="1" s="1"/>
  <c r="M301" i="1" s="1"/>
  <c r="C301" i="1"/>
  <c r="O300" i="1"/>
  <c r="N300" i="1"/>
  <c r="J300" i="1"/>
  <c r="M300" i="1" s="1"/>
  <c r="G300" i="1"/>
  <c r="F300" i="1"/>
  <c r="C300" i="1"/>
  <c r="H300" i="1" s="1"/>
  <c r="O299" i="1"/>
  <c r="N299" i="1"/>
  <c r="H299" i="1"/>
  <c r="G299" i="1"/>
  <c r="F299" i="1"/>
  <c r="J299" i="1" s="1"/>
  <c r="M299" i="1" s="1"/>
  <c r="C299" i="1"/>
  <c r="O298" i="1"/>
  <c r="N298" i="1"/>
  <c r="H298" i="1"/>
  <c r="G298" i="1"/>
  <c r="F298" i="1"/>
  <c r="J298" i="1" s="1"/>
  <c r="M298" i="1" s="1"/>
  <c r="C298" i="1"/>
  <c r="O297" i="1"/>
  <c r="N297" i="1"/>
  <c r="H297" i="1"/>
  <c r="G297" i="1"/>
  <c r="F297" i="1"/>
  <c r="J297" i="1" s="1"/>
  <c r="M297" i="1" s="1"/>
  <c r="C297" i="1"/>
  <c r="O296" i="1"/>
  <c r="N296" i="1"/>
  <c r="J296" i="1"/>
  <c r="M296" i="1" s="1"/>
  <c r="G296" i="1"/>
  <c r="F296" i="1"/>
  <c r="C296" i="1"/>
  <c r="H296" i="1" s="1"/>
  <c r="O295" i="1"/>
  <c r="N295" i="1"/>
  <c r="H295" i="1"/>
  <c r="G295" i="1"/>
  <c r="F295" i="1"/>
  <c r="J295" i="1" s="1"/>
  <c r="M295" i="1" s="1"/>
  <c r="C295" i="1"/>
  <c r="O294" i="1"/>
  <c r="N294" i="1"/>
  <c r="H294" i="1"/>
  <c r="G294" i="1"/>
  <c r="F294" i="1"/>
  <c r="J294" i="1" s="1"/>
  <c r="M294" i="1" s="1"/>
  <c r="C294" i="1"/>
  <c r="O293" i="1"/>
  <c r="N293" i="1"/>
  <c r="H293" i="1"/>
  <c r="G293" i="1"/>
  <c r="F293" i="1"/>
  <c r="J293" i="1" s="1"/>
  <c r="M293" i="1" s="1"/>
  <c r="C293" i="1"/>
  <c r="O292" i="1"/>
  <c r="N292" i="1"/>
  <c r="J292" i="1"/>
  <c r="M292" i="1" s="1"/>
  <c r="G292" i="1"/>
  <c r="F292" i="1"/>
  <c r="C292" i="1"/>
  <c r="H292" i="1" s="1"/>
  <c r="O291" i="1"/>
  <c r="N291" i="1"/>
  <c r="H291" i="1"/>
  <c r="G291" i="1"/>
  <c r="F291" i="1"/>
  <c r="J291" i="1" s="1"/>
  <c r="M291" i="1" s="1"/>
  <c r="C291" i="1"/>
  <c r="O290" i="1"/>
  <c r="N290" i="1"/>
  <c r="H290" i="1"/>
  <c r="G290" i="1"/>
  <c r="F290" i="1"/>
  <c r="J290" i="1" s="1"/>
  <c r="M290" i="1" s="1"/>
  <c r="C290" i="1"/>
  <c r="O289" i="1"/>
  <c r="N289" i="1"/>
  <c r="H289" i="1"/>
  <c r="G289" i="1"/>
  <c r="F289" i="1"/>
  <c r="J289" i="1" s="1"/>
  <c r="M289" i="1" s="1"/>
  <c r="C289" i="1"/>
  <c r="O288" i="1"/>
  <c r="N288" i="1"/>
  <c r="J288" i="1"/>
  <c r="M288" i="1" s="1"/>
  <c r="G288" i="1"/>
  <c r="F288" i="1"/>
  <c r="C288" i="1"/>
  <c r="H288" i="1" s="1"/>
  <c r="O287" i="1"/>
  <c r="N287" i="1"/>
  <c r="M287" i="1"/>
  <c r="H287" i="1"/>
  <c r="G287" i="1"/>
  <c r="F287" i="1"/>
  <c r="J287" i="1" s="1"/>
  <c r="C287" i="1"/>
  <c r="O286" i="1"/>
  <c r="N286" i="1"/>
  <c r="H286" i="1"/>
  <c r="G286" i="1"/>
  <c r="F286" i="1"/>
  <c r="J286" i="1" s="1"/>
  <c r="M286" i="1" s="1"/>
  <c r="C286" i="1"/>
  <c r="O285" i="1"/>
  <c r="N285" i="1"/>
  <c r="H285" i="1"/>
  <c r="G285" i="1"/>
  <c r="F285" i="1"/>
  <c r="J285" i="1" s="1"/>
  <c r="M285" i="1" s="1"/>
  <c r="C285" i="1"/>
  <c r="O284" i="1"/>
  <c r="N284" i="1"/>
  <c r="J284" i="1"/>
  <c r="M284" i="1" s="1"/>
  <c r="G284" i="1"/>
  <c r="F284" i="1"/>
  <c r="C284" i="1"/>
  <c r="H284" i="1" s="1"/>
  <c r="O283" i="1"/>
  <c r="N283" i="1"/>
  <c r="H283" i="1"/>
  <c r="G283" i="1"/>
  <c r="F283" i="1"/>
  <c r="J283" i="1" s="1"/>
  <c r="M283" i="1" s="1"/>
  <c r="C283" i="1"/>
  <c r="O282" i="1"/>
  <c r="N282" i="1"/>
  <c r="H282" i="1"/>
  <c r="G282" i="1"/>
  <c r="F282" i="1"/>
  <c r="J282" i="1" s="1"/>
  <c r="M282" i="1" s="1"/>
  <c r="C282" i="1"/>
  <c r="O281" i="1"/>
  <c r="N281" i="1"/>
  <c r="H281" i="1"/>
  <c r="G281" i="1"/>
  <c r="F281" i="1"/>
  <c r="J281" i="1" s="1"/>
  <c r="M281" i="1" s="1"/>
  <c r="C281" i="1"/>
  <c r="O280" i="1"/>
  <c r="N280" i="1"/>
  <c r="J280" i="1"/>
  <c r="M280" i="1" s="1"/>
  <c r="G280" i="1"/>
  <c r="F280" i="1"/>
  <c r="C280" i="1"/>
  <c r="H280" i="1" s="1"/>
  <c r="O279" i="1"/>
  <c r="N279" i="1"/>
  <c r="H279" i="1"/>
  <c r="G279" i="1"/>
  <c r="F279" i="1"/>
  <c r="J279" i="1" s="1"/>
  <c r="M279" i="1" s="1"/>
  <c r="C279" i="1"/>
  <c r="O278" i="1"/>
  <c r="N278" i="1"/>
  <c r="H278" i="1"/>
  <c r="G278" i="1"/>
  <c r="F278" i="1"/>
  <c r="J278" i="1" s="1"/>
  <c r="M278" i="1" s="1"/>
  <c r="C278" i="1"/>
  <c r="O277" i="1"/>
  <c r="N277" i="1"/>
  <c r="H277" i="1"/>
  <c r="G277" i="1"/>
  <c r="F277" i="1"/>
  <c r="J277" i="1" s="1"/>
  <c r="M277" i="1" s="1"/>
  <c r="C277" i="1"/>
  <c r="O276" i="1"/>
  <c r="N276" i="1"/>
  <c r="J276" i="1"/>
  <c r="M276" i="1" s="1"/>
  <c r="G276" i="1"/>
  <c r="F276" i="1"/>
  <c r="C276" i="1"/>
  <c r="H276" i="1" s="1"/>
  <c r="O275" i="1"/>
  <c r="N275" i="1"/>
  <c r="H275" i="1"/>
  <c r="G275" i="1"/>
  <c r="F275" i="1"/>
  <c r="J275" i="1" s="1"/>
  <c r="M275" i="1" s="1"/>
  <c r="C275" i="1"/>
  <c r="O274" i="1"/>
  <c r="N274" i="1"/>
  <c r="H274" i="1"/>
  <c r="G274" i="1"/>
  <c r="F274" i="1"/>
  <c r="J274" i="1" s="1"/>
  <c r="M274" i="1" s="1"/>
  <c r="C274" i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G272" i="1"/>
  <c r="F272" i="1"/>
  <c r="C272" i="1"/>
  <c r="H272" i="1" s="1"/>
  <c r="O271" i="1"/>
  <c r="N271" i="1"/>
  <c r="M271" i="1"/>
  <c r="H271" i="1"/>
  <c r="G271" i="1"/>
  <c r="F271" i="1"/>
  <c r="J271" i="1" s="1"/>
  <c r="C271" i="1"/>
  <c r="O270" i="1"/>
  <c r="N270" i="1"/>
  <c r="H270" i="1"/>
  <c r="G270" i="1"/>
  <c r="F270" i="1"/>
  <c r="J270" i="1" s="1"/>
  <c r="M270" i="1" s="1"/>
  <c r="C270" i="1"/>
  <c r="O269" i="1"/>
  <c r="N269" i="1"/>
  <c r="H269" i="1"/>
  <c r="G269" i="1"/>
  <c r="F269" i="1"/>
  <c r="J269" i="1" s="1"/>
  <c r="M269" i="1" s="1"/>
  <c r="C269" i="1"/>
  <c r="O268" i="1"/>
  <c r="N268" i="1"/>
  <c r="J268" i="1"/>
  <c r="M268" i="1" s="1"/>
  <c r="G268" i="1"/>
  <c r="F268" i="1"/>
  <c r="C268" i="1"/>
  <c r="H268" i="1" s="1"/>
  <c r="O267" i="1"/>
  <c r="N267" i="1"/>
  <c r="H267" i="1"/>
  <c r="G267" i="1"/>
  <c r="F267" i="1"/>
  <c r="J267" i="1" s="1"/>
  <c r="M267" i="1" s="1"/>
  <c r="C267" i="1"/>
  <c r="O266" i="1"/>
  <c r="N266" i="1"/>
  <c r="H266" i="1"/>
  <c r="G266" i="1"/>
  <c r="F266" i="1"/>
  <c r="J266" i="1" s="1"/>
  <c r="M266" i="1" s="1"/>
  <c r="C266" i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H263" i="1"/>
  <c r="G263" i="1"/>
  <c r="F263" i="1"/>
  <c r="J263" i="1" s="1"/>
  <c r="M263" i="1" s="1"/>
  <c r="C263" i="1"/>
  <c r="O262" i="1"/>
  <c r="N262" i="1"/>
  <c r="H262" i="1"/>
  <c r="G262" i="1"/>
  <c r="F262" i="1"/>
  <c r="J262" i="1" s="1"/>
  <c r="M262" i="1" s="1"/>
  <c r="C262" i="1"/>
  <c r="O261" i="1"/>
  <c r="N261" i="1"/>
  <c r="H261" i="1"/>
  <c r="G261" i="1"/>
  <c r="F261" i="1"/>
  <c r="J261" i="1" s="1"/>
  <c r="M261" i="1" s="1"/>
  <c r="C261" i="1"/>
  <c r="O260" i="1"/>
  <c r="N260" i="1"/>
  <c r="J260" i="1"/>
  <c r="M260" i="1" s="1"/>
  <c r="G260" i="1"/>
  <c r="F260" i="1"/>
  <c r="C260" i="1"/>
  <c r="H260" i="1" s="1"/>
  <c r="O259" i="1"/>
  <c r="N259" i="1"/>
  <c r="H259" i="1"/>
  <c r="G259" i="1"/>
  <c r="F259" i="1"/>
  <c r="J259" i="1" s="1"/>
  <c r="M259" i="1" s="1"/>
  <c r="C259" i="1"/>
  <c r="O258" i="1"/>
  <c r="N258" i="1"/>
  <c r="H258" i="1"/>
  <c r="G258" i="1"/>
  <c r="F258" i="1"/>
  <c r="J258" i="1" s="1"/>
  <c r="M258" i="1" s="1"/>
  <c r="C258" i="1"/>
  <c r="O257" i="1"/>
  <c r="N257" i="1"/>
  <c r="H257" i="1"/>
  <c r="G257" i="1"/>
  <c r="F257" i="1"/>
  <c r="J257" i="1" s="1"/>
  <c r="M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M255" i="1"/>
  <c r="H255" i="1"/>
  <c r="G255" i="1"/>
  <c r="F255" i="1"/>
  <c r="J255" i="1" s="1"/>
  <c r="C255" i="1"/>
  <c r="O254" i="1"/>
  <c r="N254" i="1"/>
  <c r="H254" i="1"/>
  <c r="G254" i="1"/>
  <c r="F254" i="1"/>
  <c r="J254" i="1" s="1"/>
  <c r="M254" i="1" s="1"/>
  <c r="C254" i="1"/>
  <c r="O253" i="1"/>
  <c r="N253" i="1"/>
  <c r="H253" i="1"/>
  <c r="G253" i="1"/>
  <c r="F253" i="1"/>
  <c r="J253" i="1" s="1"/>
  <c r="M253" i="1" s="1"/>
  <c r="C253" i="1"/>
  <c r="O252" i="1"/>
  <c r="N252" i="1"/>
  <c r="J252" i="1"/>
  <c r="M252" i="1" s="1"/>
  <c r="G252" i="1"/>
  <c r="F252" i="1"/>
  <c r="C252" i="1"/>
  <c r="H252" i="1" s="1"/>
  <c r="O251" i="1"/>
  <c r="N251" i="1"/>
  <c r="H251" i="1"/>
  <c r="G251" i="1"/>
  <c r="F251" i="1"/>
  <c r="J251" i="1" s="1"/>
  <c r="M251" i="1" s="1"/>
  <c r="C251" i="1"/>
  <c r="O250" i="1"/>
  <c r="N250" i="1"/>
  <c r="H250" i="1"/>
  <c r="G250" i="1"/>
  <c r="F250" i="1"/>
  <c r="J250" i="1" s="1"/>
  <c r="M250" i="1" s="1"/>
  <c r="C250" i="1"/>
  <c r="O249" i="1"/>
  <c r="N249" i="1"/>
  <c r="H249" i="1"/>
  <c r="G249" i="1"/>
  <c r="F249" i="1"/>
  <c r="J249" i="1" s="1"/>
  <c r="M249" i="1" s="1"/>
  <c r="C249" i="1"/>
  <c r="O248" i="1"/>
  <c r="N248" i="1"/>
  <c r="J248" i="1"/>
  <c r="M248" i="1" s="1"/>
  <c r="G248" i="1"/>
  <c r="F248" i="1"/>
  <c r="C248" i="1"/>
  <c r="H248" i="1" s="1"/>
  <c r="O247" i="1"/>
  <c r="N247" i="1"/>
  <c r="H247" i="1"/>
  <c r="G247" i="1"/>
  <c r="F247" i="1"/>
  <c r="J247" i="1" s="1"/>
  <c r="M247" i="1" s="1"/>
  <c r="C247" i="1"/>
  <c r="O246" i="1"/>
  <c r="N246" i="1"/>
  <c r="H246" i="1"/>
  <c r="G246" i="1"/>
  <c r="F246" i="1"/>
  <c r="J246" i="1" s="1"/>
  <c r="M246" i="1" s="1"/>
  <c r="C246" i="1"/>
  <c r="O245" i="1"/>
  <c r="N245" i="1"/>
  <c r="H245" i="1"/>
  <c r="G245" i="1"/>
  <c r="F245" i="1"/>
  <c r="J245" i="1" s="1"/>
  <c r="M245" i="1" s="1"/>
  <c r="C245" i="1"/>
  <c r="O244" i="1"/>
  <c r="N244" i="1"/>
  <c r="J244" i="1"/>
  <c r="M244" i="1" s="1"/>
  <c r="G244" i="1"/>
  <c r="F244" i="1"/>
  <c r="C244" i="1"/>
  <c r="H244" i="1" s="1"/>
  <c r="O243" i="1"/>
  <c r="N243" i="1"/>
  <c r="M243" i="1"/>
  <c r="J243" i="1"/>
  <c r="H243" i="1"/>
  <c r="G243" i="1"/>
  <c r="F243" i="1"/>
  <c r="C243" i="1"/>
  <c r="O242" i="1"/>
  <c r="N242" i="1"/>
  <c r="J242" i="1"/>
  <c r="M242" i="1" s="1"/>
  <c r="G242" i="1"/>
  <c r="F242" i="1"/>
  <c r="C242" i="1"/>
  <c r="H242" i="1" s="1"/>
  <c r="O241" i="1"/>
  <c r="N241" i="1"/>
  <c r="M241" i="1"/>
  <c r="J241" i="1"/>
  <c r="H241" i="1"/>
  <c r="G241" i="1"/>
  <c r="F241" i="1"/>
  <c r="C241" i="1"/>
  <c r="O240" i="1"/>
  <c r="N240" i="1"/>
  <c r="J240" i="1"/>
  <c r="M240" i="1" s="1"/>
  <c r="G240" i="1"/>
  <c r="F240" i="1"/>
  <c r="C240" i="1"/>
  <c r="H240" i="1" s="1"/>
  <c r="O239" i="1"/>
  <c r="N239" i="1"/>
  <c r="M239" i="1"/>
  <c r="J239" i="1"/>
  <c r="H239" i="1"/>
  <c r="G239" i="1"/>
  <c r="F239" i="1"/>
  <c r="C239" i="1"/>
  <c r="O238" i="1"/>
  <c r="N238" i="1"/>
  <c r="J238" i="1"/>
  <c r="M238" i="1" s="1"/>
  <c r="G238" i="1"/>
  <c r="F238" i="1"/>
  <c r="C238" i="1"/>
  <c r="H238" i="1" s="1"/>
  <c r="O237" i="1"/>
  <c r="N237" i="1"/>
  <c r="M237" i="1"/>
  <c r="J237" i="1"/>
  <c r="H237" i="1"/>
  <c r="G237" i="1"/>
  <c r="F237" i="1"/>
  <c r="C237" i="1"/>
  <c r="O236" i="1"/>
  <c r="N236" i="1"/>
  <c r="J236" i="1"/>
  <c r="M236" i="1" s="1"/>
  <c r="G236" i="1"/>
  <c r="F236" i="1"/>
  <c r="C236" i="1"/>
  <c r="H236" i="1" s="1"/>
  <c r="O235" i="1"/>
  <c r="N235" i="1"/>
  <c r="M235" i="1"/>
  <c r="J235" i="1"/>
  <c r="H235" i="1"/>
  <c r="G235" i="1"/>
  <c r="F235" i="1"/>
  <c r="C235" i="1"/>
  <c r="O234" i="1"/>
  <c r="N234" i="1"/>
  <c r="J234" i="1"/>
  <c r="M234" i="1" s="1"/>
  <c r="G234" i="1"/>
  <c r="F234" i="1"/>
  <c r="C234" i="1"/>
  <c r="H234" i="1" s="1"/>
  <c r="O233" i="1"/>
  <c r="N233" i="1"/>
  <c r="M233" i="1"/>
  <c r="J233" i="1"/>
  <c r="H233" i="1"/>
  <c r="G233" i="1"/>
  <c r="F233" i="1"/>
  <c r="C233" i="1"/>
  <c r="O232" i="1"/>
  <c r="N232" i="1"/>
  <c r="J232" i="1"/>
  <c r="M232" i="1" s="1"/>
  <c r="G232" i="1"/>
  <c r="F232" i="1"/>
  <c r="C232" i="1"/>
  <c r="H232" i="1" s="1"/>
  <c r="O231" i="1"/>
  <c r="N231" i="1"/>
  <c r="M231" i="1"/>
  <c r="J231" i="1"/>
  <c r="H231" i="1"/>
  <c r="G231" i="1"/>
  <c r="F231" i="1"/>
  <c r="C231" i="1"/>
  <c r="O230" i="1"/>
  <c r="N230" i="1"/>
  <c r="J230" i="1"/>
  <c r="M230" i="1" s="1"/>
  <c r="G230" i="1"/>
  <c r="F230" i="1"/>
  <c r="C230" i="1"/>
  <c r="H230" i="1" s="1"/>
  <c r="O229" i="1"/>
  <c r="N229" i="1"/>
  <c r="M229" i="1"/>
  <c r="J229" i="1"/>
  <c r="H229" i="1"/>
  <c r="G229" i="1"/>
  <c r="F229" i="1"/>
  <c r="C229" i="1"/>
  <c r="O228" i="1"/>
  <c r="N228" i="1"/>
  <c r="J228" i="1"/>
  <c r="M228" i="1" s="1"/>
  <c r="G228" i="1"/>
  <c r="F228" i="1"/>
  <c r="C228" i="1"/>
  <c r="H228" i="1" s="1"/>
  <c r="O227" i="1"/>
  <c r="N227" i="1"/>
  <c r="M227" i="1"/>
  <c r="J227" i="1"/>
  <c r="H227" i="1"/>
  <c r="G227" i="1"/>
  <c r="F227" i="1"/>
  <c r="C227" i="1"/>
  <c r="O226" i="1"/>
  <c r="N226" i="1"/>
  <c r="J226" i="1"/>
  <c r="M226" i="1" s="1"/>
  <c r="G226" i="1"/>
  <c r="F226" i="1"/>
  <c r="C226" i="1"/>
  <c r="H226" i="1" s="1"/>
  <c r="O225" i="1"/>
  <c r="N225" i="1"/>
  <c r="J225" i="1"/>
  <c r="M225" i="1" s="1"/>
  <c r="H225" i="1"/>
  <c r="G225" i="1"/>
  <c r="F225" i="1"/>
  <c r="C225" i="1"/>
  <c r="O224" i="1"/>
  <c r="N224" i="1"/>
  <c r="H224" i="1"/>
  <c r="G224" i="1"/>
  <c r="F224" i="1"/>
  <c r="J224" i="1" s="1"/>
  <c r="M224" i="1" s="1"/>
  <c r="C224" i="1"/>
  <c r="O223" i="1"/>
  <c r="N223" i="1"/>
  <c r="J223" i="1"/>
  <c r="M223" i="1" s="1"/>
  <c r="H223" i="1"/>
  <c r="G223" i="1"/>
  <c r="F223" i="1"/>
  <c r="C223" i="1"/>
  <c r="O222" i="1"/>
  <c r="N222" i="1"/>
  <c r="H222" i="1"/>
  <c r="G222" i="1"/>
  <c r="F222" i="1"/>
  <c r="J222" i="1" s="1"/>
  <c r="M222" i="1" s="1"/>
  <c r="C222" i="1"/>
  <c r="O221" i="1"/>
  <c r="N221" i="1"/>
  <c r="J221" i="1"/>
  <c r="M221" i="1" s="1"/>
  <c r="H221" i="1"/>
  <c r="G221" i="1"/>
  <c r="F221" i="1"/>
  <c r="C221" i="1"/>
  <c r="O220" i="1"/>
  <c r="N220" i="1"/>
  <c r="H220" i="1"/>
  <c r="G220" i="1"/>
  <c r="F220" i="1"/>
  <c r="J220" i="1" s="1"/>
  <c r="M220" i="1" s="1"/>
  <c r="C220" i="1"/>
  <c r="O219" i="1"/>
  <c r="N219" i="1"/>
  <c r="J219" i="1"/>
  <c r="M219" i="1" s="1"/>
  <c r="H219" i="1"/>
  <c r="G219" i="1"/>
  <c r="F219" i="1"/>
  <c r="C219" i="1"/>
  <c r="O218" i="1"/>
  <c r="N218" i="1"/>
  <c r="H218" i="1"/>
  <c r="G218" i="1"/>
  <c r="F218" i="1"/>
  <c r="J218" i="1" s="1"/>
  <c r="M218" i="1" s="1"/>
  <c r="C218" i="1"/>
  <c r="O217" i="1"/>
  <c r="N217" i="1"/>
  <c r="J217" i="1"/>
  <c r="M217" i="1" s="1"/>
  <c r="H217" i="1"/>
  <c r="G217" i="1"/>
  <c r="F217" i="1"/>
  <c r="C217" i="1"/>
  <c r="O216" i="1"/>
  <c r="N216" i="1"/>
  <c r="H216" i="1"/>
  <c r="G216" i="1"/>
  <c r="F216" i="1"/>
  <c r="J216" i="1" s="1"/>
  <c r="M216" i="1" s="1"/>
  <c r="C216" i="1"/>
  <c r="O215" i="1"/>
  <c r="N215" i="1"/>
  <c r="J215" i="1"/>
  <c r="M215" i="1" s="1"/>
  <c r="H215" i="1"/>
  <c r="G215" i="1"/>
  <c r="F215" i="1"/>
  <c r="C215" i="1"/>
  <c r="O214" i="1"/>
  <c r="N214" i="1"/>
  <c r="H214" i="1"/>
  <c r="G214" i="1"/>
  <c r="F214" i="1"/>
  <c r="J214" i="1" s="1"/>
  <c r="M214" i="1" s="1"/>
  <c r="C214" i="1"/>
  <c r="O213" i="1"/>
  <c r="N213" i="1"/>
  <c r="J213" i="1"/>
  <c r="M213" i="1" s="1"/>
  <c r="H213" i="1"/>
  <c r="G213" i="1"/>
  <c r="F213" i="1"/>
  <c r="C213" i="1"/>
  <c r="O212" i="1"/>
  <c r="N212" i="1"/>
  <c r="H212" i="1"/>
  <c r="G212" i="1"/>
  <c r="F212" i="1"/>
  <c r="J212" i="1" s="1"/>
  <c r="M212" i="1" s="1"/>
  <c r="C212" i="1"/>
  <c r="O211" i="1"/>
  <c r="N211" i="1"/>
  <c r="J211" i="1"/>
  <c r="M211" i="1" s="1"/>
  <c r="H211" i="1"/>
  <c r="G211" i="1"/>
  <c r="F211" i="1"/>
  <c r="C211" i="1"/>
  <c r="O210" i="1"/>
  <c r="N210" i="1"/>
  <c r="H210" i="1"/>
  <c r="G210" i="1"/>
  <c r="F210" i="1"/>
  <c r="J210" i="1" s="1"/>
  <c r="M210" i="1" s="1"/>
  <c r="C210" i="1"/>
  <c r="O209" i="1"/>
  <c r="N209" i="1"/>
  <c r="J209" i="1"/>
  <c r="M209" i="1" s="1"/>
  <c r="H209" i="1"/>
  <c r="G209" i="1"/>
  <c r="F209" i="1"/>
  <c r="C209" i="1"/>
  <c r="O208" i="1"/>
  <c r="N208" i="1"/>
  <c r="H208" i="1"/>
  <c r="G208" i="1"/>
  <c r="F208" i="1"/>
  <c r="J208" i="1" s="1"/>
  <c r="M208" i="1" s="1"/>
  <c r="C208" i="1"/>
  <c r="O207" i="1"/>
  <c r="N207" i="1"/>
  <c r="J207" i="1"/>
  <c r="M207" i="1" s="1"/>
  <c r="H207" i="1"/>
  <c r="G207" i="1"/>
  <c r="F207" i="1"/>
  <c r="C207" i="1"/>
  <c r="O206" i="1"/>
  <c r="N206" i="1"/>
  <c r="H206" i="1"/>
  <c r="G206" i="1"/>
  <c r="F206" i="1"/>
  <c r="J206" i="1" s="1"/>
  <c r="M206" i="1" s="1"/>
  <c r="C206" i="1"/>
  <c r="O205" i="1"/>
  <c r="N205" i="1"/>
  <c r="J205" i="1"/>
  <c r="M205" i="1" s="1"/>
  <c r="H205" i="1"/>
  <c r="G205" i="1"/>
  <c r="F205" i="1"/>
  <c r="C205" i="1"/>
  <c r="O204" i="1"/>
  <c r="N204" i="1"/>
  <c r="H204" i="1"/>
  <c r="G204" i="1"/>
  <c r="F204" i="1"/>
  <c r="J204" i="1" s="1"/>
  <c r="M204" i="1" s="1"/>
  <c r="C204" i="1"/>
  <c r="O203" i="1"/>
  <c r="N203" i="1"/>
  <c r="J203" i="1"/>
  <c r="M203" i="1" s="1"/>
  <c r="H203" i="1"/>
  <c r="G203" i="1"/>
  <c r="F203" i="1"/>
  <c r="C203" i="1"/>
  <c r="O202" i="1"/>
  <c r="N202" i="1"/>
  <c r="H202" i="1"/>
  <c r="G202" i="1"/>
  <c r="F202" i="1"/>
  <c r="J202" i="1" s="1"/>
  <c r="M202" i="1" s="1"/>
  <c r="C202" i="1"/>
  <c r="O201" i="1"/>
  <c r="N201" i="1"/>
  <c r="J201" i="1"/>
  <c r="M201" i="1" s="1"/>
  <c r="H201" i="1"/>
  <c r="G201" i="1"/>
  <c r="F201" i="1"/>
  <c r="C201" i="1"/>
  <c r="O200" i="1"/>
  <c r="N200" i="1"/>
  <c r="H200" i="1"/>
  <c r="G200" i="1"/>
  <c r="F200" i="1"/>
  <c r="J200" i="1" s="1"/>
  <c r="M200" i="1" s="1"/>
  <c r="C200" i="1"/>
  <c r="O199" i="1"/>
  <c r="N199" i="1"/>
  <c r="J199" i="1"/>
  <c r="M199" i="1" s="1"/>
  <c r="H199" i="1"/>
  <c r="G199" i="1"/>
  <c r="F199" i="1"/>
  <c r="C199" i="1"/>
  <c r="O198" i="1"/>
  <c r="N198" i="1"/>
  <c r="H198" i="1"/>
  <c r="G198" i="1"/>
  <c r="F198" i="1"/>
  <c r="J198" i="1" s="1"/>
  <c r="M198" i="1" s="1"/>
  <c r="C198" i="1"/>
  <c r="O197" i="1"/>
  <c r="N197" i="1"/>
  <c r="J197" i="1"/>
  <c r="M197" i="1" s="1"/>
  <c r="H197" i="1"/>
  <c r="G197" i="1"/>
  <c r="F197" i="1"/>
  <c r="C197" i="1"/>
  <c r="O196" i="1"/>
  <c r="N196" i="1"/>
  <c r="H196" i="1"/>
  <c r="G196" i="1"/>
  <c r="F196" i="1"/>
  <c r="J196" i="1" s="1"/>
  <c r="M196" i="1" s="1"/>
  <c r="C196" i="1"/>
  <c r="O195" i="1"/>
  <c r="N195" i="1"/>
  <c r="J195" i="1"/>
  <c r="M195" i="1" s="1"/>
  <c r="H195" i="1"/>
  <c r="G195" i="1"/>
  <c r="F195" i="1"/>
  <c r="C195" i="1"/>
  <c r="O194" i="1"/>
  <c r="N194" i="1"/>
  <c r="H194" i="1"/>
  <c r="G194" i="1"/>
  <c r="F194" i="1"/>
  <c r="J194" i="1" s="1"/>
  <c r="M194" i="1" s="1"/>
  <c r="C194" i="1"/>
  <c r="O193" i="1"/>
  <c r="N193" i="1"/>
  <c r="J193" i="1"/>
  <c r="M193" i="1" s="1"/>
  <c r="G193" i="1"/>
  <c r="F193" i="1"/>
  <c r="C193" i="1"/>
  <c r="H193" i="1" s="1"/>
  <c r="O192" i="1"/>
  <c r="N192" i="1"/>
  <c r="H192" i="1"/>
  <c r="G192" i="1"/>
  <c r="F192" i="1"/>
  <c r="J192" i="1" s="1"/>
  <c r="M192" i="1" s="1"/>
  <c r="C192" i="1"/>
  <c r="O191" i="1"/>
  <c r="N191" i="1"/>
  <c r="J191" i="1"/>
  <c r="M191" i="1" s="1"/>
  <c r="G191" i="1"/>
  <c r="F191" i="1"/>
  <c r="C191" i="1"/>
  <c r="H191" i="1" s="1"/>
  <c r="O190" i="1"/>
  <c r="N190" i="1"/>
  <c r="M190" i="1"/>
  <c r="H190" i="1"/>
  <c r="G190" i="1"/>
  <c r="F190" i="1"/>
  <c r="J190" i="1" s="1"/>
  <c r="C190" i="1"/>
  <c r="O189" i="1"/>
  <c r="N189" i="1"/>
  <c r="J189" i="1"/>
  <c r="M189" i="1" s="1"/>
  <c r="G189" i="1"/>
  <c r="F189" i="1"/>
  <c r="C189" i="1"/>
  <c r="H189" i="1" s="1"/>
  <c r="O188" i="1"/>
  <c r="N188" i="1"/>
  <c r="H188" i="1"/>
  <c r="G188" i="1"/>
  <c r="F188" i="1"/>
  <c r="J188" i="1" s="1"/>
  <c r="M188" i="1" s="1"/>
  <c r="C188" i="1"/>
  <c r="O187" i="1"/>
  <c r="N187" i="1"/>
  <c r="G187" i="1"/>
  <c r="F187" i="1"/>
  <c r="J187" i="1" s="1"/>
  <c r="M187" i="1" s="1"/>
  <c r="C187" i="1"/>
  <c r="H187" i="1" s="1"/>
  <c r="O186" i="1"/>
  <c r="N186" i="1"/>
  <c r="M186" i="1"/>
  <c r="H186" i="1"/>
  <c r="G186" i="1"/>
  <c r="F186" i="1"/>
  <c r="J186" i="1" s="1"/>
  <c r="C186" i="1"/>
  <c r="O185" i="1"/>
  <c r="N185" i="1"/>
  <c r="J185" i="1"/>
  <c r="M185" i="1" s="1"/>
  <c r="G185" i="1"/>
  <c r="F185" i="1"/>
  <c r="C185" i="1"/>
  <c r="H185" i="1" s="1"/>
  <c r="O184" i="1"/>
  <c r="N184" i="1"/>
  <c r="H184" i="1"/>
  <c r="G184" i="1"/>
  <c r="F184" i="1"/>
  <c r="J184" i="1" s="1"/>
  <c r="M184" i="1" s="1"/>
  <c r="C184" i="1"/>
  <c r="O183" i="1"/>
  <c r="N183" i="1"/>
  <c r="G183" i="1"/>
  <c r="F183" i="1"/>
  <c r="J183" i="1" s="1"/>
  <c r="M183" i="1" s="1"/>
  <c r="C183" i="1"/>
  <c r="H183" i="1" s="1"/>
  <c r="O182" i="1"/>
  <c r="N182" i="1"/>
  <c r="M182" i="1"/>
  <c r="H182" i="1"/>
  <c r="G182" i="1"/>
  <c r="F182" i="1"/>
  <c r="J182" i="1" s="1"/>
  <c r="C182" i="1"/>
  <c r="O181" i="1"/>
  <c r="N181" i="1"/>
  <c r="J181" i="1"/>
  <c r="M181" i="1" s="1"/>
  <c r="G181" i="1"/>
  <c r="F181" i="1"/>
  <c r="C181" i="1"/>
  <c r="H181" i="1" s="1"/>
  <c r="O180" i="1"/>
  <c r="N180" i="1"/>
  <c r="H180" i="1"/>
  <c r="G180" i="1"/>
  <c r="F180" i="1"/>
  <c r="J180" i="1" s="1"/>
  <c r="M180" i="1" s="1"/>
  <c r="C180" i="1"/>
  <c r="O179" i="1"/>
  <c r="N179" i="1"/>
  <c r="G179" i="1"/>
  <c r="F179" i="1"/>
  <c r="J179" i="1" s="1"/>
  <c r="M179" i="1" s="1"/>
  <c r="C179" i="1"/>
  <c r="H179" i="1" s="1"/>
  <c r="O178" i="1"/>
  <c r="N178" i="1"/>
  <c r="M178" i="1"/>
  <c r="H178" i="1"/>
  <c r="G178" i="1"/>
  <c r="F178" i="1"/>
  <c r="J178" i="1" s="1"/>
  <c r="C178" i="1"/>
  <c r="O177" i="1"/>
  <c r="N177" i="1"/>
  <c r="J177" i="1"/>
  <c r="M177" i="1" s="1"/>
  <c r="G177" i="1"/>
  <c r="F177" i="1"/>
  <c r="C177" i="1"/>
  <c r="H177" i="1" s="1"/>
  <c r="O176" i="1"/>
  <c r="N176" i="1"/>
  <c r="H176" i="1"/>
  <c r="G176" i="1"/>
  <c r="F176" i="1"/>
  <c r="J176" i="1" s="1"/>
  <c r="M176" i="1" s="1"/>
  <c r="C176" i="1"/>
  <c r="O175" i="1"/>
  <c r="N175" i="1"/>
  <c r="G175" i="1"/>
  <c r="F175" i="1"/>
  <c r="J175" i="1" s="1"/>
  <c r="M175" i="1" s="1"/>
  <c r="C175" i="1"/>
  <c r="H175" i="1" s="1"/>
  <c r="O174" i="1"/>
  <c r="N174" i="1"/>
  <c r="M174" i="1"/>
  <c r="H174" i="1"/>
  <c r="G174" i="1"/>
  <c r="F174" i="1"/>
  <c r="J174" i="1" s="1"/>
  <c r="C174" i="1"/>
  <c r="O173" i="1"/>
  <c r="N173" i="1"/>
  <c r="J173" i="1"/>
  <c r="M173" i="1" s="1"/>
  <c r="G173" i="1"/>
  <c r="F173" i="1"/>
  <c r="C173" i="1"/>
  <c r="H173" i="1" s="1"/>
  <c r="O172" i="1"/>
  <c r="N172" i="1"/>
  <c r="H172" i="1"/>
  <c r="G172" i="1"/>
  <c r="F172" i="1"/>
  <c r="J172" i="1" s="1"/>
  <c r="M172" i="1" s="1"/>
  <c r="C172" i="1"/>
  <c r="O171" i="1"/>
  <c r="N171" i="1"/>
  <c r="G171" i="1"/>
  <c r="F171" i="1"/>
  <c r="J171" i="1" s="1"/>
  <c r="M171" i="1" s="1"/>
  <c r="C171" i="1"/>
  <c r="H171" i="1" s="1"/>
  <c r="O170" i="1"/>
  <c r="N170" i="1"/>
  <c r="M170" i="1"/>
  <c r="H170" i="1"/>
  <c r="G170" i="1"/>
  <c r="F170" i="1"/>
  <c r="J170" i="1" s="1"/>
  <c r="C170" i="1"/>
  <c r="O169" i="1"/>
  <c r="N169" i="1"/>
  <c r="J169" i="1"/>
  <c r="M169" i="1" s="1"/>
  <c r="G169" i="1"/>
  <c r="F169" i="1"/>
  <c r="C169" i="1"/>
  <c r="H169" i="1" s="1"/>
  <c r="O168" i="1"/>
  <c r="N168" i="1"/>
  <c r="H168" i="1"/>
  <c r="G168" i="1"/>
  <c r="F168" i="1"/>
  <c r="J168" i="1" s="1"/>
  <c r="M168" i="1" s="1"/>
  <c r="C168" i="1"/>
  <c r="O167" i="1"/>
  <c r="N167" i="1"/>
  <c r="G167" i="1"/>
  <c r="F167" i="1"/>
  <c r="J167" i="1" s="1"/>
  <c r="M167" i="1" s="1"/>
  <c r="C167" i="1"/>
  <c r="H167" i="1" s="1"/>
  <c r="O166" i="1"/>
  <c r="N166" i="1"/>
  <c r="M166" i="1"/>
  <c r="H166" i="1"/>
  <c r="G166" i="1"/>
  <c r="F166" i="1"/>
  <c r="J166" i="1" s="1"/>
  <c r="C166" i="1"/>
  <c r="O165" i="1"/>
  <c r="N165" i="1"/>
  <c r="J165" i="1"/>
  <c r="M165" i="1" s="1"/>
  <c r="G165" i="1"/>
  <c r="F165" i="1"/>
  <c r="C165" i="1"/>
  <c r="H165" i="1" s="1"/>
  <c r="O164" i="1"/>
  <c r="N164" i="1"/>
  <c r="H164" i="1"/>
  <c r="G164" i="1"/>
  <c r="F164" i="1"/>
  <c r="J164" i="1" s="1"/>
  <c r="M164" i="1" s="1"/>
  <c r="C164" i="1"/>
  <c r="O163" i="1"/>
  <c r="N163" i="1"/>
  <c r="G163" i="1"/>
  <c r="F163" i="1"/>
  <c r="J163" i="1" s="1"/>
  <c r="M163" i="1" s="1"/>
  <c r="C163" i="1"/>
  <c r="H163" i="1" s="1"/>
  <c r="O162" i="1"/>
  <c r="N162" i="1"/>
  <c r="M162" i="1"/>
  <c r="H162" i="1"/>
  <c r="G162" i="1"/>
  <c r="F162" i="1"/>
  <c r="J162" i="1" s="1"/>
  <c r="C162" i="1"/>
  <c r="O161" i="1"/>
  <c r="N161" i="1"/>
  <c r="J161" i="1"/>
  <c r="M161" i="1" s="1"/>
  <c r="G161" i="1"/>
  <c r="F161" i="1"/>
  <c r="C161" i="1"/>
  <c r="H161" i="1" s="1"/>
  <c r="O160" i="1"/>
  <c r="N160" i="1"/>
  <c r="H160" i="1"/>
  <c r="G160" i="1"/>
  <c r="F160" i="1"/>
  <c r="J160" i="1" s="1"/>
  <c r="M160" i="1" s="1"/>
  <c r="C160" i="1"/>
  <c r="O159" i="1"/>
  <c r="N159" i="1"/>
  <c r="G159" i="1"/>
  <c r="F159" i="1"/>
  <c r="J159" i="1" s="1"/>
  <c r="M159" i="1" s="1"/>
  <c r="C159" i="1"/>
  <c r="H159" i="1" s="1"/>
  <c r="O158" i="1"/>
  <c r="N158" i="1"/>
  <c r="M158" i="1"/>
  <c r="H158" i="1"/>
  <c r="G158" i="1"/>
  <c r="F158" i="1"/>
  <c r="J158" i="1" s="1"/>
  <c r="C158" i="1"/>
  <c r="O157" i="1"/>
  <c r="N157" i="1"/>
  <c r="J157" i="1"/>
  <c r="M157" i="1" s="1"/>
  <c r="G157" i="1"/>
  <c r="F157" i="1"/>
  <c r="C157" i="1"/>
  <c r="H157" i="1" s="1"/>
  <c r="O156" i="1"/>
  <c r="N156" i="1"/>
  <c r="H156" i="1"/>
  <c r="G156" i="1"/>
  <c r="F156" i="1"/>
  <c r="J156" i="1" s="1"/>
  <c r="M156" i="1" s="1"/>
  <c r="C156" i="1"/>
  <c r="O155" i="1"/>
  <c r="N155" i="1"/>
  <c r="G155" i="1"/>
  <c r="F155" i="1"/>
  <c r="J155" i="1" s="1"/>
  <c r="M155" i="1" s="1"/>
  <c r="C155" i="1"/>
  <c r="H155" i="1" s="1"/>
  <c r="O154" i="1"/>
  <c r="N154" i="1"/>
  <c r="M154" i="1"/>
  <c r="H154" i="1"/>
  <c r="G154" i="1"/>
  <c r="F154" i="1"/>
  <c r="J154" i="1" s="1"/>
  <c r="C154" i="1"/>
  <c r="O153" i="1"/>
  <c r="N153" i="1"/>
  <c r="J153" i="1"/>
  <c r="M153" i="1" s="1"/>
  <c r="G153" i="1"/>
  <c r="F153" i="1"/>
  <c r="C153" i="1"/>
  <c r="H153" i="1" s="1"/>
  <c r="O152" i="1"/>
  <c r="N152" i="1"/>
  <c r="H152" i="1"/>
  <c r="G152" i="1"/>
  <c r="F152" i="1"/>
  <c r="J152" i="1" s="1"/>
  <c r="M152" i="1" s="1"/>
  <c r="C152" i="1"/>
  <c r="O151" i="1"/>
  <c r="N151" i="1"/>
  <c r="G151" i="1"/>
  <c r="F151" i="1"/>
  <c r="J151" i="1" s="1"/>
  <c r="M151" i="1" s="1"/>
  <c r="C151" i="1"/>
  <c r="H151" i="1" s="1"/>
  <c r="O150" i="1"/>
  <c r="N150" i="1"/>
  <c r="M150" i="1"/>
  <c r="H150" i="1"/>
  <c r="G150" i="1"/>
  <c r="F150" i="1"/>
  <c r="J150" i="1" s="1"/>
  <c r="C150" i="1"/>
  <c r="O149" i="1"/>
  <c r="N149" i="1"/>
  <c r="J149" i="1"/>
  <c r="M149" i="1" s="1"/>
  <c r="G149" i="1"/>
  <c r="F149" i="1"/>
  <c r="C149" i="1"/>
  <c r="H149" i="1" s="1"/>
  <c r="O148" i="1"/>
  <c r="N148" i="1"/>
  <c r="H148" i="1"/>
  <c r="G148" i="1"/>
  <c r="F148" i="1"/>
  <c r="J148" i="1" s="1"/>
  <c r="M148" i="1" s="1"/>
  <c r="C148" i="1"/>
  <c r="O147" i="1"/>
  <c r="N147" i="1"/>
  <c r="G147" i="1"/>
  <c r="F147" i="1"/>
  <c r="J147" i="1" s="1"/>
  <c r="M147" i="1" s="1"/>
  <c r="C147" i="1"/>
  <c r="H147" i="1" s="1"/>
  <c r="O146" i="1"/>
  <c r="N146" i="1"/>
  <c r="M146" i="1"/>
  <c r="H146" i="1"/>
  <c r="G146" i="1"/>
  <c r="F146" i="1"/>
  <c r="J146" i="1" s="1"/>
  <c r="C146" i="1"/>
  <c r="O145" i="1"/>
  <c r="N145" i="1"/>
  <c r="J145" i="1"/>
  <c r="M145" i="1" s="1"/>
  <c r="G145" i="1"/>
  <c r="F145" i="1"/>
  <c r="C145" i="1"/>
  <c r="H145" i="1" s="1"/>
  <c r="O144" i="1"/>
  <c r="N144" i="1"/>
  <c r="H144" i="1"/>
  <c r="G144" i="1"/>
  <c r="F144" i="1"/>
  <c r="J144" i="1" s="1"/>
  <c r="M144" i="1" s="1"/>
  <c r="C144" i="1"/>
  <c r="O143" i="1"/>
  <c r="N143" i="1"/>
  <c r="G143" i="1"/>
  <c r="F143" i="1"/>
  <c r="J143" i="1" s="1"/>
  <c r="M143" i="1" s="1"/>
  <c r="C143" i="1"/>
  <c r="H143" i="1" s="1"/>
  <c r="O142" i="1"/>
  <c r="N142" i="1"/>
  <c r="M142" i="1"/>
  <c r="H142" i="1"/>
  <c r="G142" i="1"/>
  <c r="F142" i="1"/>
  <c r="J142" i="1" s="1"/>
  <c r="C142" i="1"/>
  <c r="O141" i="1"/>
  <c r="N141" i="1"/>
  <c r="J141" i="1"/>
  <c r="M141" i="1" s="1"/>
  <c r="G141" i="1"/>
  <c r="F141" i="1"/>
  <c r="C141" i="1"/>
  <c r="H141" i="1" s="1"/>
  <c r="O140" i="1"/>
  <c r="N140" i="1"/>
  <c r="H140" i="1"/>
  <c r="G140" i="1"/>
  <c r="F140" i="1"/>
  <c r="J140" i="1" s="1"/>
  <c r="M140" i="1" s="1"/>
  <c r="C140" i="1"/>
  <c r="W139" i="1"/>
  <c r="O139" i="1"/>
  <c r="N139" i="1"/>
  <c r="G139" i="1"/>
  <c r="F139" i="1"/>
  <c r="J139" i="1" s="1"/>
  <c r="M139" i="1" s="1"/>
  <c r="C139" i="1"/>
  <c r="H139" i="1" s="1"/>
  <c r="W138" i="1"/>
  <c r="O138" i="1"/>
  <c r="N138" i="1"/>
  <c r="J138" i="1"/>
  <c r="M138" i="1" s="1"/>
  <c r="H138" i="1"/>
  <c r="G138" i="1"/>
  <c r="F138" i="1"/>
  <c r="C138" i="1"/>
  <c r="W137" i="1"/>
  <c r="O137" i="1"/>
  <c r="N137" i="1"/>
  <c r="J137" i="1"/>
  <c r="M137" i="1" s="1"/>
  <c r="G137" i="1"/>
  <c r="F137" i="1"/>
  <c r="C137" i="1"/>
  <c r="H137" i="1" s="1"/>
  <c r="W136" i="1"/>
  <c r="O136" i="1"/>
  <c r="N136" i="1"/>
  <c r="H136" i="1"/>
  <c r="G136" i="1"/>
  <c r="F136" i="1"/>
  <c r="J136" i="1" s="1"/>
  <c r="M136" i="1" s="1"/>
  <c r="C136" i="1"/>
  <c r="W135" i="1"/>
  <c r="O135" i="1"/>
  <c r="N135" i="1"/>
  <c r="G135" i="1"/>
  <c r="F135" i="1"/>
  <c r="J135" i="1" s="1"/>
  <c r="M135" i="1" s="1"/>
  <c r="C135" i="1"/>
  <c r="H135" i="1" s="1"/>
  <c r="W134" i="1"/>
  <c r="O134" i="1"/>
  <c r="N134" i="1"/>
  <c r="J134" i="1"/>
  <c r="M134" i="1" s="1"/>
  <c r="H134" i="1"/>
  <c r="G134" i="1"/>
  <c r="F134" i="1"/>
  <c r="C134" i="1"/>
  <c r="W133" i="1"/>
  <c r="O133" i="1"/>
  <c r="N133" i="1"/>
  <c r="J133" i="1"/>
  <c r="M133" i="1" s="1"/>
  <c r="H133" i="1"/>
  <c r="G133" i="1"/>
  <c r="F133" i="1"/>
  <c r="C133" i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J129" i="1"/>
  <c r="M129" i="1" s="1"/>
  <c r="H129" i="1"/>
  <c r="G129" i="1"/>
  <c r="F129" i="1"/>
  <c r="C129" i="1"/>
  <c r="W128" i="1"/>
  <c r="O128" i="1"/>
  <c r="N128" i="1"/>
  <c r="J128" i="1"/>
  <c r="M128" i="1" s="1"/>
  <c r="H128" i="1"/>
  <c r="G128" i="1"/>
  <c r="F128" i="1"/>
  <c r="C128" i="1"/>
  <c r="W127" i="1"/>
  <c r="O127" i="1"/>
  <c r="N127" i="1"/>
  <c r="H127" i="1"/>
  <c r="G127" i="1"/>
  <c r="F127" i="1"/>
  <c r="J127" i="1" s="1"/>
  <c r="M127" i="1" s="1"/>
  <c r="C127" i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J124" i="1"/>
  <c r="M124" i="1" s="1"/>
  <c r="H124" i="1"/>
  <c r="G124" i="1"/>
  <c r="F124" i="1"/>
  <c r="C124" i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J122" i="1"/>
  <c r="M122" i="1" s="1"/>
  <c r="G122" i="1"/>
  <c r="F122" i="1"/>
  <c r="C122" i="1"/>
  <c r="H122" i="1" s="1"/>
  <c r="W121" i="1"/>
  <c r="O121" i="1"/>
  <c r="N121" i="1"/>
  <c r="J121" i="1"/>
  <c r="M121" i="1" s="1"/>
  <c r="G121" i="1"/>
  <c r="F121" i="1"/>
  <c r="C121" i="1"/>
  <c r="H121" i="1" s="1"/>
  <c r="W120" i="1"/>
  <c r="O120" i="1"/>
  <c r="N120" i="1"/>
  <c r="M120" i="1"/>
  <c r="J120" i="1"/>
  <c r="H120" i="1"/>
  <c r="G120" i="1"/>
  <c r="F120" i="1"/>
  <c r="C120" i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J117" i="1"/>
  <c r="M117" i="1" s="1"/>
  <c r="H117" i="1"/>
  <c r="G117" i="1"/>
  <c r="F117" i="1"/>
  <c r="C117" i="1"/>
  <c r="W116" i="1"/>
  <c r="O116" i="1"/>
  <c r="N116" i="1"/>
  <c r="J116" i="1"/>
  <c r="M116" i="1" s="1"/>
  <c r="G116" i="1"/>
  <c r="F116" i="1"/>
  <c r="C116" i="1"/>
  <c r="H116" i="1" s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J113" i="1"/>
  <c r="M113" i="1" s="1"/>
  <c r="H113" i="1"/>
  <c r="G113" i="1"/>
  <c r="F113" i="1"/>
  <c r="C113" i="1"/>
  <c r="W112" i="1"/>
  <c r="O112" i="1"/>
  <c r="N112" i="1"/>
  <c r="J112" i="1"/>
  <c r="M112" i="1" s="1"/>
  <c r="H112" i="1"/>
  <c r="G112" i="1"/>
  <c r="F112" i="1"/>
  <c r="C112" i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J110" i="1"/>
  <c r="M110" i="1" s="1"/>
  <c r="G110" i="1"/>
  <c r="F110" i="1"/>
  <c r="C110" i="1"/>
  <c r="H110" i="1" s="1"/>
  <c r="W109" i="1"/>
  <c r="O109" i="1"/>
  <c r="N109" i="1"/>
  <c r="H109" i="1"/>
  <c r="G109" i="1"/>
  <c r="F109" i="1"/>
  <c r="J109" i="1" s="1"/>
  <c r="M109" i="1" s="1"/>
  <c r="C109" i="1"/>
  <c r="W108" i="1"/>
  <c r="O108" i="1"/>
  <c r="N108" i="1"/>
  <c r="J108" i="1"/>
  <c r="M108" i="1" s="1"/>
  <c r="H108" i="1"/>
  <c r="G108" i="1"/>
  <c r="F108" i="1"/>
  <c r="C108" i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J105" i="1"/>
  <c r="M105" i="1" s="1"/>
  <c r="G105" i="1"/>
  <c r="F105" i="1"/>
  <c r="C105" i="1"/>
  <c r="H105" i="1" s="1"/>
  <c r="W104" i="1"/>
  <c r="O104" i="1"/>
  <c r="N104" i="1"/>
  <c r="M104" i="1"/>
  <c r="J104" i="1"/>
  <c r="H104" i="1"/>
  <c r="G104" i="1"/>
  <c r="F104" i="1"/>
  <c r="C104" i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J101" i="1"/>
  <c r="M101" i="1" s="1"/>
  <c r="H101" i="1"/>
  <c r="G101" i="1"/>
  <c r="F101" i="1"/>
  <c r="C101" i="1"/>
  <c r="W100" i="1"/>
  <c r="O100" i="1"/>
  <c r="N100" i="1"/>
  <c r="J100" i="1"/>
  <c r="M100" i="1" s="1"/>
  <c r="G100" i="1"/>
  <c r="F100" i="1"/>
  <c r="C100" i="1"/>
  <c r="H100" i="1" s="1"/>
  <c r="W99" i="1"/>
  <c r="O99" i="1"/>
  <c r="N99" i="1"/>
  <c r="H99" i="1"/>
  <c r="G99" i="1"/>
  <c r="F99" i="1"/>
  <c r="J99" i="1" s="1"/>
  <c r="M99" i="1" s="1"/>
  <c r="C99" i="1"/>
  <c r="W98" i="1"/>
  <c r="O98" i="1"/>
  <c r="N98" i="1"/>
  <c r="G98" i="1"/>
  <c r="F98" i="1"/>
  <c r="J98" i="1" s="1"/>
  <c r="M98" i="1" s="1"/>
  <c r="C98" i="1"/>
  <c r="H98" i="1" s="1"/>
  <c r="W97" i="1"/>
  <c r="O97" i="1"/>
  <c r="N97" i="1"/>
  <c r="J97" i="1"/>
  <c r="M97" i="1" s="1"/>
  <c r="H97" i="1"/>
  <c r="G97" i="1"/>
  <c r="F97" i="1"/>
  <c r="C97" i="1"/>
  <c r="W96" i="1"/>
  <c r="O96" i="1"/>
  <c r="N96" i="1"/>
  <c r="J96" i="1"/>
  <c r="M96" i="1" s="1"/>
  <c r="H96" i="1"/>
  <c r="G96" i="1"/>
  <c r="F96" i="1"/>
  <c r="C96" i="1"/>
  <c r="W95" i="1"/>
  <c r="O95" i="1"/>
  <c r="N95" i="1"/>
  <c r="H95" i="1"/>
  <c r="G95" i="1"/>
  <c r="F95" i="1"/>
  <c r="J95" i="1" s="1"/>
  <c r="M95" i="1" s="1"/>
  <c r="C95" i="1"/>
  <c r="W94" i="1"/>
  <c r="O94" i="1"/>
  <c r="N94" i="1"/>
  <c r="J94" i="1"/>
  <c r="M94" i="1" s="1"/>
  <c r="G94" i="1"/>
  <c r="F94" i="1"/>
  <c r="C94" i="1"/>
  <c r="H94" i="1" s="1"/>
  <c r="W93" i="1"/>
  <c r="O93" i="1"/>
  <c r="N93" i="1"/>
  <c r="H93" i="1"/>
  <c r="G93" i="1"/>
  <c r="F93" i="1"/>
  <c r="J93" i="1" s="1"/>
  <c r="M93" i="1" s="1"/>
  <c r="C93" i="1"/>
  <c r="W92" i="1"/>
  <c r="O92" i="1"/>
  <c r="N92" i="1"/>
  <c r="J92" i="1"/>
  <c r="M92" i="1" s="1"/>
  <c r="H92" i="1"/>
  <c r="G92" i="1"/>
  <c r="F92" i="1"/>
  <c r="C92" i="1"/>
  <c r="W91" i="1"/>
  <c r="O91" i="1"/>
  <c r="N91" i="1"/>
  <c r="H91" i="1"/>
  <c r="G91" i="1"/>
  <c r="F91" i="1"/>
  <c r="J91" i="1" s="1"/>
  <c r="M91" i="1" s="1"/>
  <c r="C91" i="1"/>
  <c r="W90" i="1"/>
  <c r="O90" i="1"/>
  <c r="N90" i="1"/>
  <c r="J90" i="1"/>
  <c r="M90" i="1" s="1"/>
  <c r="G90" i="1"/>
  <c r="F90" i="1"/>
  <c r="C90" i="1"/>
  <c r="H90" i="1" s="1"/>
  <c r="W89" i="1"/>
  <c r="O89" i="1"/>
  <c r="N89" i="1"/>
  <c r="J89" i="1"/>
  <c r="M89" i="1" s="1"/>
  <c r="G89" i="1"/>
  <c r="F89" i="1"/>
  <c r="C89" i="1"/>
  <c r="H89" i="1" s="1"/>
  <c r="W88" i="1"/>
  <c r="O88" i="1"/>
  <c r="N88" i="1"/>
  <c r="M88" i="1"/>
  <c r="J88" i="1"/>
  <c r="H88" i="1"/>
  <c r="G88" i="1"/>
  <c r="F88" i="1"/>
  <c r="C88" i="1"/>
  <c r="W87" i="1"/>
  <c r="O87" i="1"/>
  <c r="N87" i="1"/>
  <c r="H87" i="1"/>
  <c r="G87" i="1"/>
  <c r="F87" i="1"/>
  <c r="J87" i="1" s="1"/>
  <c r="M87" i="1" s="1"/>
  <c r="C87" i="1"/>
  <c r="W86" i="1"/>
  <c r="O86" i="1"/>
  <c r="N86" i="1"/>
  <c r="G86" i="1"/>
  <c r="F86" i="1"/>
  <c r="J86" i="1" s="1"/>
  <c r="M86" i="1" s="1"/>
  <c r="C86" i="1"/>
  <c r="H86" i="1" s="1"/>
  <c r="W85" i="1"/>
  <c r="O85" i="1"/>
  <c r="N85" i="1"/>
  <c r="J85" i="1"/>
  <c r="M85" i="1" s="1"/>
  <c r="H85" i="1"/>
  <c r="G85" i="1"/>
  <c r="F85" i="1"/>
  <c r="C85" i="1"/>
  <c r="W84" i="1"/>
  <c r="O84" i="1"/>
  <c r="N84" i="1"/>
  <c r="J84" i="1"/>
  <c r="M84" i="1" s="1"/>
  <c r="G84" i="1"/>
  <c r="F84" i="1"/>
  <c r="C84" i="1"/>
  <c r="H84" i="1" s="1"/>
  <c r="W83" i="1"/>
  <c r="O83" i="1"/>
  <c r="N83" i="1"/>
  <c r="H83" i="1"/>
  <c r="G83" i="1"/>
  <c r="F83" i="1"/>
  <c r="J83" i="1" s="1"/>
  <c r="M83" i="1" s="1"/>
  <c r="C83" i="1"/>
  <c r="W82" i="1"/>
  <c r="O82" i="1"/>
  <c r="N82" i="1"/>
  <c r="G82" i="1"/>
  <c r="F82" i="1"/>
  <c r="J82" i="1" s="1"/>
  <c r="M82" i="1" s="1"/>
  <c r="C82" i="1"/>
  <c r="H82" i="1" s="1"/>
  <c r="W81" i="1"/>
  <c r="O81" i="1"/>
  <c r="N81" i="1"/>
  <c r="J81" i="1"/>
  <c r="M81" i="1" s="1"/>
  <c r="H81" i="1"/>
  <c r="G81" i="1"/>
  <c r="F81" i="1"/>
  <c r="C81" i="1"/>
  <c r="W80" i="1"/>
  <c r="O80" i="1"/>
  <c r="N80" i="1"/>
  <c r="J80" i="1"/>
  <c r="M80" i="1" s="1"/>
  <c r="H80" i="1"/>
  <c r="G80" i="1"/>
  <c r="F80" i="1"/>
  <c r="C80" i="1"/>
  <c r="W79" i="1"/>
  <c r="O79" i="1"/>
  <c r="N79" i="1"/>
  <c r="H79" i="1"/>
  <c r="G79" i="1"/>
  <c r="F79" i="1"/>
  <c r="J79" i="1" s="1"/>
  <c r="M79" i="1" s="1"/>
  <c r="C79" i="1"/>
  <c r="W78" i="1"/>
  <c r="O78" i="1"/>
  <c r="N78" i="1"/>
  <c r="J78" i="1"/>
  <c r="M78" i="1" s="1"/>
  <c r="G78" i="1"/>
  <c r="F78" i="1"/>
  <c r="C78" i="1"/>
  <c r="H78" i="1" s="1"/>
  <c r="W77" i="1"/>
  <c r="O77" i="1"/>
  <c r="N77" i="1"/>
  <c r="H77" i="1"/>
  <c r="G77" i="1"/>
  <c r="F77" i="1"/>
  <c r="J77" i="1" s="1"/>
  <c r="M77" i="1" s="1"/>
  <c r="C77" i="1"/>
  <c r="W76" i="1"/>
  <c r="O76" i="1"/>
  <c r="N76" i="1"/>
  <c r="J76" i="1"/>
  <c r="M76" i="1" s="1"/>
  <c r="H76" i="1"/>
  <c r="G76" i="1"/>
  <c r="F76" i="1"/>
  <c r="C76" i="1"/>
  <c r="W75" i="1"/>
  <c r="O75" i="1"/>
  <c r="N75" i="1"/>
  <c r="H75" i="1"/>
  <c r="G75" i="1"/>
  <c r="F75" i="1"/>
  <c r="J75" i="1" s="1"/>
  <c r="M75" i="1" s="1"/>
  <c r="C75" i="1"/>
  <c r="W74" i="1"/>
  <c r="O74" i="1"/>
  <c r="N74" i="1"/>
  <c r="J74" i="1"/>
  <c r="M74" i="1" s="1"/>
  <c r="G74" i="1"/>
  <c r="F74" i="1"/>
  <c r="C74" i="1"/>
  <c r="H74" i="1" s="1"/>
  <c r="W73" i="1"/>
  <c r="O73" i="1"/>
  <c r="N73" i="1"/>
  <c r="J73" i="1"/>
  <c r="M73" i="1" s="1"/>
  <c r="G73" i="1"/>
  <c r="F73" i="1"/>
  <c r="C73" i="1"/>
  <c r="H73" i="1" s="1"/>
  <c r="W72" i="1"/>
  <c r="O72" i="1"/>
  <c r="N72" i="1"/>
  <c r="M72" i="1"/>
  <c r="J72" i="1"/>
  <c r="H72" i="1"/>
  <c r="G72" i="1"/>
  <c r="F72" i="1"/>
  <c r="C72" i="1"/>
  <c r="W71" i="1"/>
  <c r="O71" i="1"/>
  <c r="N71" i="1"/>
  <c r="H71" i="1"/>
  <c r="G71" i="1"/>
  <c r="F71" i="1"/>
  <c r="J71" i="1" s="1"/>
  <c r="M71" i="1" s="1"/>
  <c r="C71" i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J69" i="1"/>
  <c r="M69" i="1" s="1"/>
  <c r="H69" i="1"/>
  <c r="G69" i="1"/>
  <c r="F69" i="1"/>
  <c r="C69" i="1"/>
  <c r="W68" i="1"/>
  <c r="O68" i="1"/>
  <c r="N68" i="1"/>
  <c r="J68" i="1"/>
  <c r="M68" i="1" s="1"/>
  <c r="G68" i="1"/>
  <c r="F68" i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G66" i="1"/>
  <c r="F66" i="1"/>
  <c r="J66" i="1" s="1"/>
  <c r="M66" i="1" s="1"/>
  <c r="C66" i="1"/>
  <c r="H66" i="1" s="1"/>
  <c r="W65" i="1"/>
  <c r="O65" i="1"/>
  <c r="N65" i="1"/>
  <c r="J65" i="1"/>
  <c r="M65" i="1" s="1"/>
  <c r="H65" i="1"/>
  <c r="G65" i="1"/>
  <c r="F65" i="1"/>
  <c r="C65" i="1"/>
  <c r="W64" i="1"/>
  <c r="O64" i="1"/>
  <c r="N64" i="1"/>
  <c r="J64" i="1"/>
  <c r="M64" i="1" s="1"/>
  <c r="G64" i="1"/>
  <c r="F64" i="1"/>
  <c r="C64" i="1"/>
  <c r="H64" i="1" s="1"/>
  <c r="W63" i="1"/>
  <c r="O63" i="1"/>
  <c r="N63" i="1"/>
  <c r="J63" i="1"/>
  <c r="M63" i="1" s="1"/>
  <c r="H63" i="1"/>
  <c r="G63" i="1"/>
  <c r="F63" i="1"/>
  <c r="C63" i="1"/>
  <c r="W62" i="1"/>
  <c r="O62" i="1"/>
  <c r="N62" i="1"/>
  <c r="M62" i="1"/>
  <c r="J62" i="1"/>
  <c r="H62" i="1"/>
  <c r="G62" i="1"/>
  <c r="F62" i="1"/>
  <c r="C62" i="1"/>
  <c r="W61" i="1"/>
  <c r="O61" i="1"/>
  <c r="N61" i="1"/>
  <c r="H61" i="1"/>
  <c r="G61" i="1"/>
  <c r="F61" i="1"/>
  <c r="J61" i="1" s="1"/>
  <c r="M61" i="1" s="1"/>
  <c r="C61" i="1"/>
  <c r="W60" i="1"/>
  <c r="O60" i="1"/>
  <c r="N60" i="1"/>
  <c r="J60" i="1"/>
  <c r="M60" i="1" s="1"/>
  <c r="G60" i="1"/>
  <c r="F60" i="1"/>
  <c r="C60" i="1"/>
  <c r="H60" i="1" s="1"/>
  <c r="W59" i="1"/>
  <c r="O59" i="1"/>
  <c r="N59" i="1"/>
  <c r="J59" i="1"/>
  <c r="M59" i="1" s="1"/>
  <c r="H59" i="1"/>
  <c r="G59" i="1"/>
  <c r="F59" i="1"/>
  <c r="C59" i="1"/>
  <c r="W58" i="1"/>
  <c r="O58" i="1"/>
  <c r="N58" i="1"/>
  <c r="M58" i="1"/>
  <c r="J58" i="1"/>
  <c r="H58" i="1"/>
  <c r="G58" i="1"/>
  <c r="F58" i="1"/>
  <c r="C58" i="1"/>
  <c r="W57" i="1"/>
  <c r="O57" i="1"/>
  <c r="N57" i="1"/>
  <c r="H57" i="1"/>
  <c r="G57" i="1"/>
  <c r="F57" i="1"/>
  <c r="J57" i="1" s="1"/>
  <c r="M57" i="1" s="1"/>
  <c r="C57" i="1"/>
  <c r="W56" i="1"/>
  <c r="O56" i="1"/>
  <c r="N56" i="1"/>
  <c r="J56" i="1"/>
  <c r="M56" i="1" s="1"/>
  <c r="G56" i="1"/>
  <c r="F56" i="1"/>
  <c r="C56" i="1"/>
  <c r="H56" i="1" s="1"/>
  <c r="W55" i="1"/>
  <c r="O55" i="1"/>
  <c r="N55" i="1"/>
  <c r="J55" i="1"/>
  <c r="M55" i="1" s="1"/>
  <c r="H55" i="1"/>
  <c r="G55" i="1"/>
  <c r="F55" i="1"/>
  <c r="C55" i="1"/>
  <c r="W54" i="1"/>
  <c r="O54" i="1"/>
  <c r="N54" i="1"/>
  <c r="M54" i="1"/>
  <c r="J54" i="1"/>
  <c r="H54" i="1"/>
  <c r="G54" i="1"/>
  <c r="F54" i="1"/>
  <c r="C54" i="1"/>
  <c r="W53" i="1"/>
  <c r="O53" i="1"/>
  <c r="N53" i="1"/>
  <c r="H53" i="1"/>
  <c r="G53" i="1"/>
  <c r="F53" i="1"/>
  <c r="J53" i="1" s="1"/>
  <c r="M53" i="1" s="1"/>
  <c r="C53" i="1"/>
  <c r="W52" i="1"/>
  <c r="O52" i="1"/>
  <c r="N52" i="1"/>
  <c r="J52" i="1"/>
  <c r="M52" i="1" s="1"/>
  <c r="G52" i="1"/>
  <c r="F52" i="1"/>
  <c r="C52" i="1"/>
  <c r="H52" i="1" s="1"/>
  <c r="W51" i="1"/>
  <c r="O51" i="1"/>
  <c r="N51" i="1"/>
  <c r="J51" i="1"/>
  <c r="M51" i="1" s="1"/>
  <c r="H51" i="1"/>
  <c r="G51" i="1"/>
  <c r="F51" i="1"/>
  <c r="C51" i="1"/>
  <c r="W50" i="1"/>
  <c r="O50" i="1"/>
  <c r="N50" i="1"/>
  <c r="M50" i="1"/>
  <c r="J50" i="1"/>
  <c r="H50" i="1"/>
  <c r="G50" i="1"/>
  <c r="F50" i="1"/>
  <c r="C50" i="1"/>
  <c r="W49" i="1"/>
  <c r="O49" i="1"/>
  <c r="N49" i="1"/>
  <c r="H49" i="1"/>
  <c r="G49" i="1"/>
  <c r="F49" i="1"/>
  <c r="J49" i="1" s="1"/>
  <c r="M49" i="1" s="1"/>
  <c r="C49" i="1"/>
  <c r="W48" i="1"/>
  <c r="O48" i="1"/>
  <c r="N48" i="1"/>
  <c r="J48" i="1"/>
  <c r="M48" i="1" s="1"/>
  <c r="G48" i="1"/>
  <c r="F48" i="1"/>
  <c r="C48" i="1"/>
  <c r="H48" i="1" s="1"/>
  <c r="W47" i="1"/>
  <c r="O47" i="1"/>
  <c r="N47" i="1"/>
  <c r="J47" i="1"/>
  <c r="M47" i="1" s="1"/>
  <c r="H47" i="1"/>
  <c r="G47" i="1"/>
  <c r="F47" i="1"/>
  <c r="C47" i="1"/>
  <c r="W46" i="1"/>
  <c r="O46" i="1"/>
  <c r="N46" i="1"/>
  <c r="M46" i="1"/>
  <c r="J46" i="1"/>
  <c r="H46" i="1"/>
  <c r="G46" i="1"/>
  <c r="F46" i="1"/>
  <c r="C46" i="1"/>
  <c r="W45" i="1"/>
  <c r="O45" i="1"/>
  <c r="N45" i="1"/>
  <c r="H45" i="1"/>
  <c r="G45" i="1"/>
  <c r="F45" i="1"/>
  <c r="J45" i="1" s="1"/>
  <c r="M45" i="1" s="1"/>
  <c r="C45" i="1"/>
  <c r="W44" i="1"/>
  <c r="O44" i="1"/>
  <c r="N44" i="1"/>
  <c r="J44" i="1"/>
  <c r="M44" i="1" s="1"/>
  <c r="G44" i="1"/>
  <c r="F44" i="1"/>
  <c r="C44" i="1"/>
  <c r="H44" i="1" s="1"/>
  <c r="W43" i="1"/>
  <c r="O43" i="1"/>
  <c r="N43" i="1"/>
  <c r="J43" i="1"/>
  <c r="M43" i="1" s="1"/>
  <c r="H43" i="1"/>
  <c r="G43" i="1"/>
  <c r="F43" i="1"/>
  <c r="C43" i="1"/>
  <c r="W42" i="1"/>
  <c r="O42" i="1"/>
  <c r="N42" i="1"/>
  <c r="M42" i="1"/>
  <c r="J42" i="1"/>
  <c r="H42" i="1"/>
  <c r="G42" i="1"/>
  <c r="F42" i="1"/>
  <c r="C42" i="1"/>
  <c r="W41" i="1"/>
  <c r="O41" i="1"/>
  <c r="N41" i="1"/>
  <c r="H41" i="1"/>
  <c r="G41" i="1"/>
  <c r="F41" i="1"/>
  <c r="J41" i="1" s="1"/>
  <c r="M41" i="1" s="1"/>
  <c r="C41" i="1"/>
  <c r="W40" i="1"/>
  <c r="O40" i="1"/>
  <c r="N40" i="1"/>
  <c r="J40" i="1"/>
  <c r="M40" i="1" s="1"/>
  <c r="G40" i="1"/>
  <c r="F40" i="1"/>
  <c r="C40" i="1"/>
  <c r="H40" i="1" s="1"/>
  <c r="W39" i="1"/>
  <c r="O39" i="1"/>
  <c r="N39" i="1"/>
  <c r="J39" i="1"/>
  <c r="M39" i="1" s="1"/>
  <c r="H39" i="1"/>
  <c r="G39" i="1"/>
  <c r="F39" i="1"/>
  <c r="C39" i="1"/>
  <c r="W38" i="1"/>
  <c r="O38" i="1"/>
  <c r="N38" i="1"/>
  <c r="M38" i="1"/>
  <c r="J38" i="1"/>
  <c r="H38" i="1"/>
  <c r="G38" i="1"/>
  <c r="F38" i="1"/>
  <c r="C38" i="1"/>
  <c r="W37" i="1"/>
  <c r="O37" i="1"/>
  <c r="N37" i="1"/>
  <c r="H37" i="1"/>
  <c r="G37" i="1"/>
  <c r="F37" i="1"/>
  <c r="J37" i="1" s="1"/>
  <c r="M37" i="1" s="1"/>
  <c r="C37" i="1"/>
  <c r="W36" i="1"/>
  <c r="O36" i="1"/>
  <c r="N36" i="1"/>
  <c r="J36" i="1"/>
  <c r="M36" i="1" s="1"/>
  <c r="G36" i="1"/>
  <c r="F36" i="1"/>
  <c r="C36" i="1"/>
  <c r="H36" i="1" s="1"/>
  <c r="W35" i="1"/>
  <c r="O35" i="1"/>
  <c r="N35" i="1"/>
  <c r="J35" i="1"/>
  <c r="M35" i="1" s="1"/>
  <c r="H35" i="1"/>
  <c r="G35" i="1"/>
  <c r="F35" i="1"/>
  <c r="C35" i="1"/>
  <c r="W34" i="1"/>
  <c r="O34" i="1"/>
  <c r="N34" i="1"/>
  <c r="M34" i="1"/>
  <c r="J34" i="1"/>
  <c r="H34" i="1"/>
  <c r="G34" i="1"/>
  <c r="F34" i="1"/>
  <c r="C34" i="1"/>
  <c r="W33" i="1"/>
  <c r="O33" i="1"/>
  <c r="N33" i="1"/>
  <c r="H33" i="1"/>
  <c r="G33" i="1"/>
  <c r="F33" i="1"/>
  <c r="J33" i="1" s="1"/>
  <c r="M33" i="1" s="1"/>
  <c r="C33" i="1"/>
  <c r="W32" i="1"/>
  <c r="O32" i="1"/>
  <c r="N32" i="1"/>
  <c r="J32" i="1"/>
  <c r="M32" i="1" s="1"/>
  <c r="G32" i="1"/>
  <c r="F32" i="1"/>
  <c r="C32" i="1"/>
  <c r="H32" i="1" s="1"/>
  <c r="Z31" i="1"/>
  <c r="W31" i="1"/>
  <c r="O31" i="1"/>
  <c r="N31" i="1"/>
  <c r="J31" i="1"/>
  <c r="M31" i="1" s="1"/>
  <c r="G31" i="1"/>
  <c r="F31" i="1"/>
  <c r="C31" i="1"/>
  <c r="H31" i="1" s="1"/>
  <c r="Z30" i="1"/>
  <c r="W30" i="1"/>
  <c r="O30" i="1"/>
  <c r="N30" i="1"/>
  <c r="J30" i="1"/>
  <c r="M30" i="1" s="1"/>
  <c r="G30" i="1"/>
  <c r="F30" i="1"/>
  <c r="C30" i="1"/>
  <c r="H30" i="1" s="1"/>
  <c r="Z29" i="1"/>
  <c r="W29" i="1"/>
  <c r="O29" i="1"/>
  <c r="N29" i="1"/>
  <c r="J29" i="1"/>
  <c r="M29" i="1" s="1"/>
  <c r="G29" i="1"/>
  <c r="F29" i="1"/>
  <c r="C29" i="1"/>
  <c r="H29" i="1" s="1"/>
  <c r="Z28" i="1"/>
  <c r="W28" i="1"/>
  <c r="O28" i="1"/>
  <c r="N28" i="1"/>
  <c r="J28" i="1"/>
  <c r="M28" i="1" s="1"/>
  <c r="G28" i="1"/>
  <c r="F28" i="1"/>
  <c r="C28" i="1"/>
  <c r="H28" i="1" s="1"/>
  <c r="Z27" i="1"/>
  <c r="W27" i="1"/>
  <c r="O27" i="1"/>
  <c r="N27" i="1"/>
  <c r="J27" i="1"/>
  <c r="M27" i="1" s="1"/>
  <c r="G27" i="1"/>
  <c r="F27" i="1"/>
  <c r="C27" i="1"/>
  <c r="H27" i="1" s="1"/>
  <c r="Z26" i="1"/>
  <c r="W26" i="1"/>
  <c r="O26" i="1"/>
  <c r="N26" i="1"/>
  <c r="J26" i="1"/>
  <c r="M26" i="1" s="1"/>
  <c r="G26" i="1"/>
  <c r="F26" i="1"/>
  <c r="C26" i="1"/>
  <c r="H26" i="1" s="1"/>
  <c r="Z25" i="1"/>
  <c r="W25" i="1"/>
  <c r="O25" i="1"/>
  <c r="N25" i="1"/>
  <c r="J25" i="1"/>
  <c r="M25" i="1" s="1"/>
  <c r="G25" i="1"/>
  <c r="F25" i="1"/>
  <c r="C25" i="1"/>
  <c r="H25" i="1" s="1"/>
  <c r="Z24" i="1"/>
  <c r="W24" i="1"/>
  <c r="O24" i="1"/>
  <c r="N24" i="1"/>
  <c r="J24" i="1"/>
  <c r="M24" i="1" s="1"/>
  <c r="G24" i="1"/>
  <c r="F24" i="1"/>
  <c r="C24" i="1"/>
  <c r="H24" i="1" s="1"/>
  <c r="Z23" i="1"/>
  <c r="W23" i="1"/>
  <c r="O23" i="1"/>
  <c r="N23" i="1"/>
  <c r="J23" i="1"/>
  <c r="M23" i="1" s="1"/>
  <c r="G23" i="1"/>
  <c r="F23" i="1"/>
  <c r="C23" i="1"/>
  <c r="H23" i="1" s="1"/>
  <c r="Z22" i="1"/>
  <c r="W22" i="1"/>
  <c r="O22" i="1"/>
  <c r="N22" i="1"/>
  <c r="J22" i="1"/>
  <c r="M22" i="1" s="1"/>
  <c r="G22" i="1"/>
  <c r="F22" i="1"/>
  <c r="C22" i="1"/>
  <c r="H22" i="1" s="1"/>
  <c r="Z21" i="1"/>
  <c r="W21" i="1"/>
  <c r="O21" i="1"/>
  <c r="N21" i="1"/>
  <c r="J21" i="1"/>
  <c r="M21" i="1" s="1"/>
  <c r="G21" i="1"/>
  <c r="F21" i="1"/>
  <c r="C21" i="1"/>
  <c r="H21" i="1" s="1"/>
  <c r="Z20" i="1"/>
  <c r="W20" i="1"/>
  <c r="O20" i="1"/>
  <c r="N20" i="1"/>
  <c r="J20" i="1"/>
  <c r="M20" i="1" s="1"/>
  <c r="G20" i="1"/>
  <c r="F20" i="1"/>
  <c r="C20" i="1"/>
  <c r="H20" i="1" s="1"/>
  <c r="Z19" i="1"/>
  <c r="W19" i="1"/>
  <c r="O19" i="1"/>
  <c r="N19" i="1"/>
  <c r="J19" i="1"/>
  <c r="M19" i="1" s="1"/>
  <c r="G19" i="1"/>
  <c r="F19" i="1"/>
  <c r="C19" i="1"/>
  <c r="H19" i="1" s="1"/>
  <c r="Z18" i="1"/>
  <c r="W18" i="1"/>
  <c r="O18" i="1"/>
  <c r="N18" i="1"/>
  <c r="J18" i="1"/>
  <c r="M18" i="1" s="1"/>
  <c r="G18" i="1"/>
  <c r="F18" i="1"/>
  <c r="C18" i="1"/>
  <c r="H18" i="1" s="1"/>
  <c r="Z17" i="1"/>
  <c r="W17" i="1"/>
  <c r="O17" i="1"/>
  <c r="N17" i="1"/>
  <c r="J17" i="1"/>
  <c r="M17" i="1" s="1"/>
  <c r="G17" i="1"/>
  <c r="F17" i="1"/>
  <c r="C17" i="1"/>
  <c r="H17" i="1" s="1"/>
  <c r="Z16" i="1"/>
  <c r="W16" i="1"/>
  <c r="O16" i="1"/>
  <c r="N16" i="1"/>
  <c r="J16" i="1"/>
  <c r="M16" i="1" s="1"/>
  <c r="G16" i="1"/>
  <c r="F16" i="1"/>
  <c r="C16" i="1"/>
  <c r="H16" i="1" s="1"/>
  <c r="Z15" i="1"/>
  <c r="W15" i="1"/>
  <c r="O15" i="1"/>
  <c r="N15" i="1"/>
  <c r="J15" i="1"/>
  <c r="M15" i="1" s="1"/>
  <c r="G15" i="1"/>
  <c r="F15" i="1"/>
  <c r="C15" i="1"/>
  <c r="H15" i="1" s="1"/>
  <c r="Z14" i="1"/>
  <c r="W14" i="1"/>
  <c r="O14" i="1"/>
  <c r="N14" i="1"/>
  <c r="J14" i="1"/>
  <c r="M14" i="1" s="1"/>
  <c r="G14" i="1"/>
  <c r="F14" i="1"/>
  <c r="C14" i="1"/>
  <c r="H14" i="1" s="1"/>
  <c r="Z13" i="1"/>
  <c r="W13" i="1"/>
  <c r="O13" i="1"/>
  <c r="N13" i="1"/>
  <c r="J13" i="1"/>
  <c r="M13" i="1" s="1"/>
  <c r="G13" i="1"/>
  <c r="F13" i="1"/>
  <c r="C13" i="1"/>
  <c r="H13" i="1" s="1"/>
  <c r="Z12" i="1"/>
  <c r="W12" i="1"/>
  <c r="O12" i="1"/>
  <c r="N12" i="1"/>
  <c r="H12" i="1"/>
  <c r="G12" i="1"/>
  <c r="F12" i="1"/>
  <c r="J12" i="1" s="1"/>
  <c r="M12" i="1" s="1"/>
  <c r="C12" i="1"/>
  <c r="Z11" i="1"/>
  <c r="W11" i="1"/>
  <c r="O11" i="1"/>
  <c r="N11" i="1"/>
  <c r="M11" i="1"/>
  <c r="J11" i="1"/>
  <c r="H11" i="1"/>
  <c r="G11" i="1"/>
  <c r="K11" i="1" s="1"/>
  <c r="F11" i="1"/>
  <c r="C11" i="1"/>
  <c r="Z10" i="1"/>
  <c r="W10" i="1"/>
  <c r="O10" i="1"/>
  <c r="N10" i="1"/>
  <c r="M10" i="1"/>
  <c r="J10" i="1"/>
  <c r="H10" i="1"/>
  <c r="G10" i="1"/>
  <c r="F10" i="1"/>
  <c r="C10" i="1"/>
  <c r="Z9" i="1"/>
  <c r="W9" i="1"/>
  <c r="O9" i="1"/>
  <c r="N9" i="1"/>
  <c r="M9" i="1"/>
  <c r="J9" i="1"/>
  <c r="H9" i="1"/>
  <c r="G9" i="1"/>
  <c r="K9" i="1" s="1"/>
  <c r="F9" i="1"/>
  <c r="C9" i="1"/>
  <c r="Z8" i="1"/>
  <c r="W8" i="1"/>
  <c r="O8" i="1"/>
  <c r="N8" i="1"/>
  <c r="M8" i="1"/>
  <c r="J8" i="1"/>
  <c r="H8" i="1"/>
  <c r="G8" i="1"/>
  <c r="F8" i="1"/>
  <c r="C8" i="1"/>
  <c r="AC7" i="1"/>
  <c r="AC11" i="1" s="1"/>
  <c r="AC12" i="1" s="1"/>
  <c r="Z7" i="1"/>
  <c r="W7" i="1"/>
  <c r="O7" i="1"/>
  <c r="N7" i="1"/>
  <c r="J7" i="1"/>
  <c r="M7" i="1" s="1"/>
  <c r="H7" i="1"/>
  <c r="G7" i="1"/>
  <c r="F7" i="1"/>
  <c r="C7" i="1"/>
  <c r="Z6" i="1"/>
  <c r="W6" i="1"/>
  <c r="O6" i="1"/>
  <c r="N6" i="1"/>
  <c r="J6" i="1"/>
  <c r="M6" i="1" s="1"/>
  <c r="H6" i="1"/>
  <c r="G6" i="1"/>
  <c r="F6" i="1"/>
  <c r="C6" i="1"/>
  <c r="Z5" i="1"/>
  <c r="W5" i="1"/>
  <c r="O5" i="1"/>
  <c r="N5" i="1"/>
  <c r="J5" i="1"/>
  <c r="M5" i="1" s="1"/>
  <c r="H5" i="1"/>
  <c r="G5" i="1"/>
  <c r="F5" i="1"/>
  <c r="C5" i="1"/>
  <c r="Z4" i="1"/>
  <c r="W4" i="1"/>
  <c r="O4" i="1"/>
  <c r="N4" i="1"/>
  <c r="J4" i="1"/>
  <c r="M4" i="1" s="1"/>
  <c r="H4" i="1"/>
  <c r="G4" i="1"/>
  <c r="F4" i="1"/>
  <c r="C4" i="1"/>
  <c r="S2" i="1"/>
  <c r="N2" i="1" s="1"/>
  <c r="P9" i="1" l="1"/>
  <c r="P11" i="1"/>
  <c r="K34" i="1"/>
  <c r="P34" i="1" s="1"/>
  <c r="K50" i="1"/>
  <c r="P50" i="1" s="1"/>
  <c r="K46" i="1"/>
  <c r="P46" i="1" s="1"/>
  <c r="K62" i="1"/>
  <c r="P62" i="1" s="1"/>
  <c r="K70" i="1"/>
  <c r="P70" i="1" s="1"/>
  <c r="K86" i="1"/>
  <c r="P86" i="1" s="1"/>
  <c r="K102" i="1"/>
  <c r="P102" i="1" s="1"/>
  <c r="K118" i="1"/>
  <c r="P118" i="1" s="1"/>
  <c r="K135" i="1"/>
  <c r="P135" i="1" s="1"/>
  <c r="K196" i="1"/>
  <c r="P196" i="1" s="1"/>
  <c r="K300" i="1"/>
  <c r="P300" i="1" s="1"/>
  <c r="K296" i="1"/>
  <c r="P296" i="1" s="1"/>
  <c r="K292" i="1"/>
  <c r="P292" i="1" s="1"/>
  <c r="K288" i="1"/>
  <c r="P288" i="1" s="1"/>
  <c r="K284" i="1"/>
  <c r="P284" i="1" s="1"/>
  <c r="K280" i="1"/>
  <c r="P280" i="1" s="1"/>
  <c r="K276" i="1"/>
  <c r="P276" i="1" s="1"/>
  <c r="K272" i="1"/>
  <c r="P272" i="1" s="1"/>
  <c r="K268" i="1"/>
  <c r="P268" i="1" s="1"/>
  <c r="K264" i="1"/>
  <c r="P264" i="1" s="1"/>
  <c r="K260" i="1"/>
  <c r="P260" i="1" s="1"/>
  <c r="K256" i="1"/>
  <c r="P256" i="1" s="1"/>
  <c r="K252" i="1"/>
  <c r="P252" i="1" s="1"/>
  <c r="K248" i="1"/>
  <c r="P248" i="1" s="1"/>
  <c r="K225" i="1"/>
  <c r="P225" i="1" s="1"/>
  <c r="K223" i="1"/>
  <c r="P223" i="1" s="1"/>
  <c r="K221" i="1"/>
  <c r="P221" i="1" s="1"/>
  <c r="K219" i="1"/>
  <c r="P219" i="1" s="1"/>
  <c r="K217" i="1"/>
  <c r="P217" i="1" s="1"/>
  <c r="K215" i="1"/>
  <c r="P215" i="1" s="1"/>
  <c r="K213" i="1"/>
  <c r="P213" i="1" s="1"/>
  <c r="K211" i="1"/>
  <c r="P211" i="1" s="1"/>
  <c r="K209" i="1"/>
  <c r="P209" i="1" s="1"/>
  <c r="K207" i="1"/>
  <c r="P207" i="1" s="1"/>
  <c r="K205" i="1"/>
  <c r="P205" i="1" s="1"/>
  <c r="K203" i="1"/>
  <c r="P203" i="1" s="1"/>
  <c r="K201" i="1"/>
  <c r="P201" i="1" s="1"/>
  <c r="K199" i="1"/>
  <c r="P199" i="1" s="1"/>
  <c r="K197" i="1"/>
  <c r="P197" i="1" s="1"/>
  <c r="K195" i="1"/>
  <c r="P195" i="1" s="1"/>
  <c r="K303" i="1"/>
  <c r="P303" i="1" s="1"/>
  <c r="K295" i="1"/>
  <c r="P295" i="1" s="1"/>
  <c r="K287" i="1"/>
  <c r="P287" i="1" s="1"/>
  <c r="K279" i="1"/>
  <c r="P279" i="1" s="1"/>
  <c r="K271" i="1"/>
  <c r="P271" i="1" s="1"/>
  <c r="K263" i="1"/>
  <c r="P263" i="1" s="1"/>
  <c r="K255" i="1"/>
  <c r="P255" i="1" s="1"/>
  <c r="K247" i="1"/>
  <c r="P247" i="1" s="1"/>
  <c r="K193" i="1"/>
  <c r="P193" i="1" s="1"/>
  <c r="K189" i="1"/>
  <c r="P189" i="1" s="1"/>
  <c r="K185" i="1"/>
  <c r="P185" i="1" s="1"/>
  <c r="K181" i="1"/>
  <c r="P181" i="1" s="1"/>
  <c r="K177" i="1"/>
  <c r="P177" i="1" s="1"/>
  <c r="K173" i="1"/>
  <c r="P173" i="1" s="1"/>
  <c r="K169" i="1"/>
  <c r="P169" i="1" s="1"/>
  <c r="K165" i="1"/>
  <c r="P165" i="1" s="1"/>
  <c r="K161" i="1"/>
  <c r="P161" i="1" s="1"/>
  <c r="K157" i="1"/>
  <c r="P157" i="1" s="1"/>
  <c r="K153" i="1"/>
  <c r="P153" i="1" s="1"/>
  <c r="K149" i="1"/>
  <c r="P149" i="1" s="1"/>
  <c r="K145" i="1"/>
  <c r="P145" i="1" s="1"/>
  <c r="K141" i="1"/>
  <c r="P141" i="1" s="1"/>
  <c r="K134" i="1"/>
  <c r="P134" i="1" s="1"/>
  <c r="K298" i="1"/>
  <c r="P298" i="1" s="1"/>
  <c r="K290" i="1"/>
  <c r="P290" i="1" s="1"/>
  <c r="K282" i="1"/>
  <c r="P282" i="1" s="1"/>
  <c r="K274" i="1"/>
  <c r="P274" i="1" s="1"/>
  <c r="K266" i="1"/>
  <c r="P266" i="1" s="1"/>
  <c r="K258" i="1"/>
  <c r="P258" i="1" s="1"/>
  <c r="K250" i="1"/>
  <c r="P250" i="1" s="1"/>
  <c r="K244" i="1"/>
  <c r="P244" i="1" s="1"/>
  <c r="K242" i="1"/>
  <c r="P242" i="1" s="1"/>
  <c r="K240" i="1"/>
  <c r="P240" i="1" s="1"/>
  <c r="K238" i="1"/>
  <c r="P238" i="1" s="1"/>
  <c r="K236" i="1"/>
  <c r="P236" i="1" s="1"/>
  <c r="K234" i="1"/>
  <c r="P234" i="1" s="1"/>
  <c r="K232" i="1"/>
  <c r="P232" i="1" s="1"/>
  <c r="K230" i="1"/>
  <c r="P230" i="1" s="1"/>
  <c r="K228" i="1"/>
  <c r="P228" i="1" s="1"/>
  <c r="K226" i="1"/>
  <c r="P226" i="1" s="1"/>
  <c r="K299" i="1"/>
  <c r="P299" i="1" s="1"/>
  <c r="K291" i="1"/>
  <c r="P291" i="1" s="1"/>
  <c r="K283" i="1"/>
  <c r="P283" i="1" s="1"/>
  <c r="K275" i="1"/>
  <c r="P275" i="1" s="1"/>
  <c r="K267" i="1"/>
  <c r="P267" i="1" s="1"/>
  <c r="K259" i="1"/>
  <c r="P259" i="1" s="1"/>
  <c r="K251" i="1"/>
  <c r="P251" i="1" s="1"/>
  <c r="K192" i="1"/>
  <c r="P192" i="1" s="1"/>
  <c r="K191" i="1"/>
  <c r="P191" i="1" s="1"/>
  <c r="K188" i="1"/>
  <c r="P188" i="1" s="1"/>
  <c r="K187" i="1"/>
  <c r="P187" i="1" s="1"/>
  <c r="K184" i="1"/>
  <c r="P184" i="1" s="1"/>
  <c r="K183" i="1"/>
  <c r="P183" i="1" s="1"/>
  <c r="K180" i="1"/>
  <c r="P180" i="1" s="1"/>
  <c r="K179" i="1"/>
  <c r="P179" i="1" s="1"/>
  <c r="K176" i="1"/>
  <c r="P176" i="1" s="1"/>
  <c r="K175" i="1"/>
  <c r="P175" i="1" s="1"/>
  <c r="K172" i="1"/>
  <c r="P172" i="1" s="1"/>
  <c r="K171" i="1"/>
  <c r="P171" i="1" s="1"/>
  <c r="K168" i="1"/>
  <c r="P168" i="1" s="1"/>
  <c r="K167" i="1"/>
  <c r="P167" i="1" s="1"/>
  <c r="K164" i="1"/>
  <c r="P164" i="1" s="1"/>
  <c r="K163" i="1"/>
  <c r="P163" i="1" s="1"/>
  <c r="K160" i="1"/>
  <c r="P160" i="1" s="1"/>
  <c r="K159" i="1"/>
  <c r="P159" i="1" s="1"/>
  <c r="K156" i="1"/>
  <c r="P156" i="1" s="1"/>
  <c r="K155" i="1"/>
  <c r="P155" i="1" s="1"/>
  <c r="K152" i="1"/>
  <c r="P152" i="1" s="1"/>
  <c r="K151" i="1"/>
  <c r="P151" i="1" s="1"/>
  <c r="K148" i="1"/>
  <c r="P148" i="1" s="1"/>
  <c r="K147" i="1"/>
  <c r="P147" i="1" s="1"/>
  <c r="K144" i="1"/>
  <c r="P144" i="1" s="1"/>
  <c r="K143" i="1"/>
  <c r="P143" i="1" s="1"/>
  <c r="K140" i="1"/>
  <c r="P140" i="1" s="1"/>
  <c r="K129" i="1"/>
  <c r="P129" i="1" s="1"/>
  <c r="K113" i="1"/>
  <c r="P113" i="1" s="1"/>
  <c r="K97" i="1"/>
  <c r="P97" i="1" s="1"/>
  <c r="K81" i="1"/>
  <c r="P81" i="1" s="1"/>
  <c r="K65" i="1"/>
  <c r="P65" i="1" s="1"/>
  <c r="K103" i="1"/>
  <c r="P103" i="1" s="1"/>
  <c r="K94" i="1"/>
  <c r="P94" i="1" s="1"/>
  <c r="K78" i="1"/>
  <c r="P78" i="1" s="1"/>
  <c r="K56" i="1"/>
  <c r="P56" i="1" s="1"/>
  <c r="K48" i="1"/>
  <c r="P48" i="1" s="1"/>
  <c r="K29" i="1"/>
  <c r="P29" i="1" s="1"/>
  <c r="K28" i="1"/>
  <c r="P28" i="1" s="1"/>
  <c r="K27" i="1"/>
  <c r="P27" i="1" s="1"/>
  <c r="K26" i="1"/>
  <c r="P26" i="1" s="1"/>
  <c r="K23" i="1"/>
  <c r="P23" i="1" s="1"/>
  <c r="K17" i="1"/>
  <c r="P17" i="1" s="1"/>
  <c r="K16" i="1"/>
  <c r="P16" i="1" s="1"/>
  <c r="K14" i="1"/>
  <c r="P14" i="1" s="1"/>
  <c r="K77" i="1"/>
  <c r="P77" i="1" s="1"/>
  <c r="K61" i="1"/>
  <c r="P61" i="1" s="1"/>
  <c r="K302" i="1"/>
  <c r="P302" i="1" s="1"/>
  <c r="K286" i="1"/>
  <c r="P286" i="1" s="1"/>
  <c r="K270" i="1"/>
  <c r="P270" i="1" s="1"/>
  <c r="K254" i="1"/>
  <c r="P254" i="1" s="1"/>
  <c r="K138" i="1"/>
  <c r="P138" i="1" s="1"/>
  <c r="K117" i="1"/>
  <c r="P117" i="1" s="1"/>
  <c r="K101" i="1"/>
  <c r="P101" i="1" s="1"/>
  <c r="K85" i="1"/>
  <c r="P85" i="1" s="1"/>
  <c r="K69" i="1"/>
  <c r="P69" i="1" s="1"/>
  <c r="K63" i="1"/>
  <c r="P63" i="1" s="1"/>
  <c r="K59" i="1"/>
  <c r="P59" i="1" s="1"/>
  <c r="K55" i="1"/>
  <c r="P55" i="1" s="1"/>
  <c r="K51" i="1"/>
  <c r="P51" i="1" s="1"/>
  <c r="K47" i="1"/>
  <c r="P47" i="1" s="1"/>
  <c r="K43" i="1"/>
  <c r="P43" i="1" s="1"/>
  <c r="K39" i="1"/>
  <c r="P39" i="1" s="1"/>
  <c r="K35" i="1"/>
  <c r="P35" i="1" s="1"/>
  <c r="K7" i="1"/>
  <c r="P7" i="1" s="1"/>
  <c r="K6" i="1"/>
  <c r="P6" i="1" s="1"/>
  <c r="K5" i="1"/>
  <c r="P5" i="1" s="1"/>
  <c r="K4" i="1"/>
  <c r="P4" i="1" s="1"/>
  <c r="K89" i="1"/>
  <c r="P89" i="1" s="1"/>
  <c r="K87" i="1"/>
  <c r="P87" i="1" s="1"/>
  <c r="K73" i="1"/>
  <c r="P73" i="1" s="1"/>
  <c r="K71" i="1"/>
  <c r="P71" i="1" s="1"/>
  <c r="K60" i="1"/>
  <c r="P60" i="1" s="1"/>
  <c r="K40" i="1"/>
  <c r="P40" i="1" s="1"/>
  <c r="K32" i="1"/>
  <c r="P32" i="1" s="1"/>
  <c r="K31" i="1"/>
  <c r="P31" i="1" s="1"/>
  <c r="K22" i="1"/>
  <c r="P22" i="1" s="1"/>
  <c r="K18" i="1"/>
  <c r="P18" i="1" s="1"/>
  <c r="K15" i="1"/>
  <c r="P15" i="1" s="1"/>
  <c r="K66" i="1"/>
  <c r="P66" i="1" s="1"/>
  <c r="K200" i="1"/>
  <c r="P200" i="1" s="1"/>
  <c r="K126" i="1"/>
  <c r="P126" i="1" s="1"/>
  <c r="K121" i="1"/>
  <c r="P121" i="1" s="1"/>
  <c r="K119" i="1"/>
  <c r="P119" i="1" s="1"/>
  <c r="K110" i="1"/>
  <c r="P110" i="1" s="1"/>
  <c r="K105" i="1"/>
  <c r="P105" i="1" s="1"/>
  <c r="K64" i="1"/>
  <c r="P64" i="1" s="1"/>
  <c r="K52" i="1"/>
  <c r="P52" i="1" s="1"/>
  <c r="K44" i="1"/>
  <c r="P44" i="1" s="1"/>
  <c r="K36" i="1"/>
  <c r="P36" i="1" s="1"/>
  <c r="K30" i="1"/>
  <c r="P30" i="1" s="1"/>
  <c r="K25" i="1"/>
  <c r="P25" i="1" s="1"/>
  <c r="K24" i="1"/>
  <c r="P24" i="1" s="1"/>
  <c r="K21" i="1"/>
  <c r="P21" i="1" s="1"/>
  <c r="K20" i="1"/>
  <c r="P20" i="1" s="1"/>
  <c r="K19" i="1"/>
  <c r="P19" i="1" s="1"/>
  <c r="K13" i="1"/>
  <c r="P13" i="1" s="1"/>
  <c r="K91" i="1"/>
  <c r="P91" i="1" s="1"/>
  <c r="K82" i="1"/>
  <c r="P82" i="1" s="1"/>
  <c r="K75" i="1"/>
  <c r="P75" i="1" s="1"/>
  <c r="K53" i="1"/>
  <c r="P53" i="1" s="1"/>
  <c r="K49" i="1"/>
  <c r="P49" i="1" s="1"/>
  <c r="K41" i="1"/>
  <c r="P41" i="1" s="1"/>
  <c r="K12" i="1"/>
  <c r="P12" i="1" s="1"/>
  <c r="I1" i="2"/>
  <c r="K294" i="1"/>
  <c r="P294" i="1" s="1"/>
  <c r="K278" i="1"/>
  <c r="P278" i="1" s="1"/>
  <c r="K262" i="1"/>
  <c r="P262" i="1" s="1"/>
  <c r="K246" i="1"/>
  <c r="P246" i="1" s="1"/>
  <c r="K202" i="1"/>
  <c r="P202" i="1" s="1"/>
  <c r="K194" i="1"/>
  <c r="P194" i="1" s="1"/>
  <c r="K136" i="1"/>
  <c r="P136" i="1" s="1"/>
  <c r="K130" i="1"/>
  <c r="P130" i="1" s="1"/>
  <c r="K125" i="1"/>
  <c r="P125" i="1" s="1"/>
  <c r="K123" i="1"/>
  <c r="P123" i="1" s="1"/>
  <c r="K114" i="1"/>
  <c r="P114" i="1" s="1"/>
  <c r="K109" i="1"/>
  <c r="P109" i="1" s="1"/>
  <c r="K107" i="1"/>
  <c r="P107" i="1" s="1"/>
  <c r="K98" i="1"/>
  <c r="P98" i="1" s="1"/>
  <c r="K93" i="1"/>
  <c r="P93" i="1" s="1"/>
  <c r="K57" i="1"/>
  <c r="P57" i="1" s="1"/>
  <c r="K45" i="1"/>
  <c r="P45" i="1" s="1"/>
  <c r="K37" i="1"/>
  <c r="P37" i="1" s="1"/>
  <c r="K33" i="1"/>
  <c r="P33" i="1" s="1"/>
  <c r="K8" i="1"/>
  <c r="P8" i="1" s="1"/>
  <c r="K10" i="1"/>
  <c r="P10" i="1" s="1"/>
  <c r="K42" i="1"/>
  <c r="P42" i="1" s="1"/>
  <c r="K58" i="1"/>
  <c r="P58" i="1" s="1"/>
  <c r="K74" i="1"/>
  <c r="P74" i="1" s="1"/>
  <c r="K79" i="1"/>
  <c r="P79" i="1" s="1"/>
  <c r="K90" i="1"/>
  <c r="P90" i="1" s="1"/>
  <c r="K95" i="1"/>
  <c r="P95" i="1" s="1"/>
  <c r="K106" i="1"/>
  <c r="P106" i="1" s="1"/>
  <c r="K111" i="1"/>
  <c r="P111" i="1" s="1"/>
  <c r="K122" i="1"/>
  <c r="P122" i="1" s="1"/>
  <c r="K127" i="1"/>
  <c r="P127" i="1" s="1"/>
  <c r="K198" i="1"/>
  <c r="P198" i="1" s="1"/>
  <c r="K38" i="1"/>
  <c r="P38" i="1" s="1"/>
  <c r="K54" i="1"/>
  <c r="P54" i="1" s="1"/>
  <c r="K67" i="1"/>
  <c r="P67" i="1" s="1"/>
  <c r="K83" i="1"/>
  <c r="P83" i="1" s="1"/>
  <c r="K99" i="1"/>
  <c r="P99" i="1" s="1"/>
  <c r="K115" i="1"/>
  <c r="P115" i="1" s="1"/>
  <c r="K131" i="1"/>
  <c r="P131" i="1" s="1"/>
  <c r="K108" i="1"/>
  <c r="P108" i="1" s="1"/>
  <c r="K124" i="1"/>
  <c r="P124" i="1" s="1"/>
  <c r="K210" i="1"/>
  <c r="P210" i="1" s="1"/>
  <c r="K218" i="1"/>
  <c r="P218" i="1" s="1"/>
  <c r="K229" i="1"/>
  <c r="P229" i="1" s="1"/>
  <c r="K233" i="1"/>
  <c r="P233" i="1" s="1"/>
  <c r="K237" i="1"/>
  <c r="P237" i="1" s="1"/>
  <c r="K241" i="1"/>
  <c r="P241" i="1" s="1"/>
  <c r="K245" i="1"/>
  <c r="P245" i="1" s="1"/>
  <c r="K261" i="1"/>
  <c r="P261" i="1" s="1"/>
  <c r="K277" i="1"/>
  <c r="P277" i="1" s="1"/>
  <c r="K293" i="1"/>
  <c r="P293" i="1" s="1"/>
  <c r="L2" i="2"/>
  <c r="L46" i="2"/>
  <c r="L86" i="2"/>
  <c r="K72" i="1"/>
  <c r="P72" i="1" s="1"/>
  <c r="K120" i="1"/>
  <c r="P120" i="1" s="1"/>
  <c r="K139" i="1"/>
  <c r="P139" i="1" s="1"/>
  <c r="K204" i="1"/>
  <c r="P204" i="1" s="1"/>
  <c r="K212" i="1"/>
  <c r="P212" i="1" s="1"/>
  <c r="K220" i="1"/>
  <c r="P220" i="1" s="1"/>
  <c r="L59" i="2"/>
  <c r="L91" i="2"/>
  <c r="L178" i="2"/>
  <c r="K76" i="1"/>
  <c r="P76" i="1" s="1"/>
  <c r="K92" i="1"/>
  <c r="P92" i="1" s="1"/>
  <c r="K104" i="1"/>
  <c r="P104" i="1" s="1"/>
  <c r="K68" i="1"/>
  <c r="P68" i="1" s="1"/>
  <c r="K84" i="1"/>
  <c r="P84" i="1" s="1"/>
  <c r="K100" i="1"/>
  <c r="P100" i="1" s="1"/>
  <c r="K116" i="1"/>
  <c r="P116" i="1" s="1"/>
  <c r="K132" i="1"/>
  <c r="P132" i="1" s="1"/>
  <c r="K142" i="1"/>
  <c r="P142" i="1" s="1"/>
  <c r="K146" i="1"/>
  <c r="P146" i="1" s="1"/>
  <c r="K150" i="1"/>
  <c r="P150" i="1" s="1"/>
  <c r="K154" i="1"/>
  <c r="P154" i="1" s="1"/>
  <c r="K158" i="1"/>
  <c r="P158" i="1" s="1"/>
  <c r="K162" i="1"/>
  <c r="P162" i="1" s="1"/>
  <c r="K166" i="1"/>
  <c r="P166" i="1" s="1"/>
  <c r="K170" i="1"/>
  <c r="P170" i="1" s="1"/>
  <c r="K174" i="1"/>
  <c r="P174" i="1" s="1"/>
  <c r="K178" i="1"/>
  <c r="P178" i="1" s="1"/>
  <c r="K182" i="1"/>
  <c r="P182" i="1" s="1"/>
  <c r="K186" i="1"/>
  <c r="P186" i="1" s="1"/>
  <c r="K206" i="1"/>
  <c r="P206" i="1" s="1"/>
  <c r="K214" i="1"/>
  <c r="P214" i="1" s="1"/>
  <c r="K222" i="1"/>
  <c r="P222" i="1" s="1"/>
  <c r="K227" i="1"/>
  <c r="P227" i="1" s="1"/>
  <c r="K231" i="1"/>
  <c r="P231" i="1" s="1"/>
  <c r="K235" i="1"/>
  <c r="P235" i="1" s="1"/>
  <c r="K239" i="1"/>
  <c r="P239" i="1" s="1"/>
  <c r="K243" i="1"/>
  <c r="P243" i="1" s="1"/>
  <c r="K253" i="1"/>
  <c r="P253" i="1" s="1"/>
  <c r="K269" i="1"/>
  <c r="P269" i="1" s="1"/>
  <c r="K285" i="1"/>
  <c r="P285" i="1" s="1"/>
  <c r="K301" i="1"/>
  <c r="P301" i="1" s="1"/>
  <c r="L15" i="2"/>
  <c r="L112" i="2"/>
  <c r="K88" i="1"/>
  <c r="P88" i="1" s="1"/>
  <c r="K80" i="1"/>
  <c r="P80" i="1" s="1"/>
  <c r="K96" i="1"/>
  <c r="P96" i="1" s="1"/>
  <c r="K112" i="1"/>
  <c r="P112" i="1" s="1"/>
  <c r="K128" i="1"/>
  <c r="P128" i="1" s="1"/>
  <c r="K137" i="1"/>
  <c r="P137" i="1" s="1"/>
  <c r="K190" i="1"/>
  <c r="P190" i="1" s="1"/>
  <c r="K208" i="1"/>
  <c r="P208" i="1" s="1"/>
  <c r="K216" i="1"/>
  <c r="P216" i="1" s="1"/>
  <c r="K224" i="1"/>
  <c r="P224" i="1" s="1"/>
  <c r="L27" i="2"/>
  <c r="L55" i="2"/>
  <c r="L144" i="2"/>
  <c r="R225" i="1"/>
  <c r="L4" i="2"/>
  <c r="L36" i="2"/>
  <c r="L68" i="2"/>
  <c r="L94" i="2"/>
  <c r="L138" i="2"/>
  <c r="L176" i="2"/>
  <c r="L223" i="2"/>
  <c r="K249" i="1"/>
  <c r="P249" i="1" s="1"/>
  <c r="K257" i="1"/>
  <c r="P257" i="1" s="1"/>
  <c r="K265" i="1"/>
  <c r="P265" i="1" s="1"/>
  <c r="K273" i="1"/>
  <c r="P273" i="1" s="1"/>
  <c r="K281" i="1"/>
  <c r="P281" i="1" s="1"/>
  <c r="K289" i="1"/>
  <c r="P289" i="1" s="1"/>
  <c r="K297" i="1"/>
  <c r="P297" i="1" s="1"/>
  <c r="L9" i="2"/>
  <c r="L41" i="2"/>
  <c r="L73" i="2"/>
  <c r="L92" i="2"/>
  <c r="L108" i="2"/>
  <c r="L126" i="2"/>
  <c r="L162" i="2"/>
  <c r="L183" i="2"/>
  <c r="L196" i="2"/>
  <c r="L220" i="2"/>
  <c r="K133" i="1"/>
  <c r="P133" i="1" s="1"/>
  <c r="L99" i="2"/>
  <c r="L107" i="2"/>
  <c r="L127" i="2"/>
  <c r="L139" i="2"/>
  <c r="L167" i="2"/>
  <c r="L180" i="2"/>
  <c r="L212" i="2"/>
  <c r="L134" i="2"/>
  <c r="L170" i="2"/>
  <c r="L204" i="2"/>
  <c r="K13" i="2"/>
  <c r="K29" i="2"/>
  <c r="K45" i="2"/>
  <c r="L45" i="2" s="1"/>
  <c r="K61" i="2"/>
  <c r="L61" i="2" s="1"/>
  <c r="L215" i="2"/>
  <c r="K17" i="2"/>
  <c r="L17" i="2" s="1"/>
  <c r="K33" i="2"/>
  <c r="K49" i="2"/>
  <c r="K65" i="2"/>
  <c r="L65" i="2" s="1"/>
  <c r="K81" i="2"/>
  <c r="L81" i="2" s="1"/>
  <c r="K85" i="2"/>
  <c r="K97" i="2"/>
  <c r="K101" i="2"/>
  <c r="L101" i="2" s="1"/>
  <c r="K113" i="2"/>
  <c r="L113" i="2" s="1"/>
  <c r="K117" i="2"/>
  <c r="L117" i="2" s="1"/>
  <c r="L174" i="2"/>
  <c r="L199" i="2"/>
  <c r="L217" i="2"/>
  <c r="K89" i="2"/>
  <c r="L89" i="2" s="1"/>
  <c r="K105" i="2"/>
  <c r="L105" i="2" s="1"/>
  <c r="K121" i="2"/>
  <c r="L121" i="2" s="1"/>
  <c r="K133" i="2"/>
  <c r="K137" i="2"/>
  <c r="L137" i="2" s="1"/>
  <c r="K149" i="2"/>
  <c r="L149" i="2" s="1"/>
  <c r="K153" i="2"/>
  <c r="L153" i="2" s="1"/>
  <c r="K165" i="2"/>
  <c r="K169" i="2"/>
  <c r="L169" i="2" s="1"/>
  <c r="K181" i="2"/>
  <c r="L181" i="2" s="1"/>
  <c r="K185" i="2"/>
  <c r="L185" i="2" s="1"/>
  <c r="K125" i="2"/>
  <c r="K141" i="2"/>
  <c r="L141" i="2" s="1"/>
  <c r="K157" i="2"/>
  <c r="L157" i="2" s="1"/>
  <c r="K173" i="2"/>
  <c r="L173" i="2" s="1"/>
  <c r="K189" i="2"/>
  <c r="L210" i="2" l="1"/>
  <c r="L218" i="2"/>
  <c r="L216" i="2"/>
  <c r="L198" i="2"/>
  <c r="L163" i="2"/>
  <c r="L161" i="2"/>
  <c r="L140" i="2"/>
  <c r="L214" i="2"/>
  <c r="L188" i="2"/>
  <c r="L147" i="2"/>
  <c r="L145" i="2"/>
  <c r="L124" i="2"/>
  <c r="L206" i="2"/>
  <c r="L195" i="2"/>
  <c r="L193" i="2"/>
  <c r="L172" i="2"/>
  <c r="L164" i="2"/>
  <c r="L131" i="2"/>
  <c r="L129" i="2"/>
  <c r="L211" i="2"/>
  <c r="L179" i="2"/>
  <c r="L159" i="2"/>
  <c r="L219" i="2"/>
  <c r="L202" i="2"/>
  <c r="L200" i="2"/>
  <c r="L79" i="2"/>
  <c r="L77" i="2"/>
  <c r="L67" i="2"/>
  <c r="L60" i="2"/>
  <c r="L51" i="2"/>
  <c r="L44" i="2"/>
  <c r="L35" i="2"/>
  <c r="L28" i="2"/>
  <c r="L19" i="2"/>
  <c r="L12" i="2"/>
  <c r="L3" i="2"/>
  <c r="L222" i="2"/>
  <c r="L184" i="2"/>
  <c r="L148" i="2"/>
  <c r="L120" i="2"/>
  <c r="L109" i="2"/>
  <c r="L104" i="2"/>
  <c r="L93" i="2"/>
  <c r="L72" i="2"/>
  <c r="L56" i="2"/>
  <c r="L40" i="2"/>
  <c r="L24" i="2"/>
  <c r="L8" i="2"/>
  <c r="L88" i="2"/>
  <c r="L69" i="2"/>
  <c r="L5" i="2"/>
  <c r="L156" i="2"/>
  <c r="L111" i="2"/>
  <c r="L53" i="2"/>
  <c r="L177" i="2"/>
  <c r="L95" i="2"/>
  <c r="L37" i="2"/>
  <c r="L75" i="2"/>
  <c r="L21" i="2"/>
  <c r="L189" i="2"/>
  <c r="L125" i="2"/>
  <c r="L165" i="2"/>
  <c r="L133" i="2"/>
  <c r="L221" i="2"/>
  <c r="L166" i="2"/>
  <c r="L97" i="2"/>
  <c r="L49" i="2"/>
  <c r="L158" i="2"/>
  <c r="L29" i="2"/>
  <c r="L160" i="2"/>
  <c r="L209" i="2"/>
  <c r="L152" i="2"/>
  <c r="L115" i="2"/>
  <c r="L98" i="2"/>
  <c r="L213" i="2"/>
  <c r="L192" i="2"/>
  <c r="L182" i="2"/>
  <c r="L151" i="2"/>
  <c r="L123" i="2"/>
  <c r="L106" i="2"/>
  <c r="L84" i="2"/>
  <c r="L58" i="2"/>
  <c r="L26" i="2"/>
  <c r="L205" i="2"/>
  <c r="L155" i="2"/>
  <c r="L136" i="2"/>
  <c r="L90" i="2"/>
  <c r="L64" i="2"/>
  <c r="L32" i="2"/>
  <c r="L135" i="2"/>
  <c r="L50" i="2"/>
  <c r="L6" i="2"/>
  <c r="L54" i="2"/>
  <c r="L14" i="2"/>
  <c r="L168" i="2"/>
  <c r="L78" i="2"/>
  <c r="L38" i="2"/>
  <c r="L71" i="2"/>
  <c r="L43" i="2"/>
  <c r="L85" i="2"/>
  <c r="L33" i="2"/>
  <c r="L150" i="2"/>
  <c r="L13" i="2"/>
  <c r="L142" i="2"/>
  <c r="L191" i="2"/>
  <c r="L143" i="2"/>
  <c r="L114" i="2"/>
  <c r="L76" i="2"/>
  <c r="L203" i="2"/>
  <c r="L190" i="2"/>
  <c r="L175" i="2"/>
  <c r="L132" i="2"/>
  <c r="L119" i="2"/>
  <c r="L103" i="2"/>
  <c r="L80" i="2"/>
  <c r="L57" i="2"/>
  <c r="L25" i="2"/>
  <c r="L197" i="2"/>
  <c r="L154" i="2"/>
  <c r="L122" i="2"/>
  <c r="L83" i="2"/>
  <c r="L52" i="2"/>
  <c r="L20" i="2"/>
  <c r="L208" i="2"/>
  <c r="L130" i="2"/>
  <c r="L31" i="2"/>
  <c r="L39" i="2"/>
  <c r="L11" i="2"/>
  <c r="L116" i="2"/>
  <c r="L63" i="2"/>
  <c r="L23" i="2"/>
  <c r="L100" i="2"/>
  <c r="L66" i="2"/>
  <c r="L22" i="2"/>
  <c r="L201" i="2"/>
  <c r="L187" i="2"/>
  <c r="L171" i="2"/>
  <c r="L128" i="2"/>
  <c r="L118" i="2"/>
  <c r="L102" i="2"/>
  <c r="L74" i="2"/>
  <c r="L42" i="2"/>
  <c r="L10" i="2"/>
  <c r="L186" i="2"/>
  <c r="L146" i="2"/>
  <c r="L110" i="2"/>
  <c r="L82" i="2"/>
  <c r="L48" i="2"/>
  <c r="L16" i="2"/>
  <c r="L207" i="2"/>
  <c r="L70" i="2"/>
  <c r="L30" i="2"/>
  <c r="L34" i="2"/>
  <c r="L194" i="2"/>
  <c r="L96" i="2"/>
  <c r="L62" i="2"/>
  <c r="L18" i="2"/>
  <c r="L87" i="2"/>
  <c r="L47" i="2"/>
  <c r="L7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<sst xmlns="http://schemas.openxmlformats.org/spreadsheetml/2006/main" count="40" uniqueCount="33">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</sst>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I3" zoomScale="85" zoomScaleNormal="85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-0.42670999999999998</v>
      </c>
      <c r="AC3" t="s">
        <v>24</v>
      </c>
    </row>
    <row r="4" spans="1:29" x14ac:dyDescent="0.3">
      <c r="A4">
        <v>2.6417E-2</v>
      </c>
      <c r="B4">
        <v>0.9839</v>
      </c>
      <c r="C4">
        <f t="shared" ref="C4:C67" si="0">A4*B4</f>
        <v>2.59916863E-2</v>
      </c>
      <c r="D4">
        <v>1.4500000000000001E-2</v>
      </c>
      <c r="E4">
        <v>1.089E-2</v>
      </c>
      <c r="F4">
        <f t="shared" ref="F4:F67" si="1">A4*200</f>
        <v>5.2834000000000003</v>
      </c>
      <c r="G4">
        <f t="shared" ref="G4:G67" si="2">-B4</f>
        <v>-0.9839</v>
      </c>
      <c r="H4">
        <f t="shared" ref="H4:H67" si="3">-C4*200</f>
        <v>-5.1983372599999997</v>
      </c>
      <c r="I4">
        <v>1</v>
      </c>
      <c r="J4">
        <f t="shared" ref="J4:J67" si="4">LN(F4/1000)</f>
        <v>-5.2431854491100367</v>
      </c>
      <c r="K4">
        <f t="shared" ref="K4:K67" si="5">((-G4)-$N$2)</f>
        <v>-0.23782515177521746</v>
      </c>
      <c r="L4">
        <v>1</v>
      </c>
      <c r="M4">
        <f t="shared" ref="M4:M67" si="6">-1*($S$4+($S$5*J4))</f>
        <v>0.22477265700257665</v>
      </c>
      <c r="N4">
        <f t="shared" ref="N4:N67" si="7">D4*A4</f>
        <v>3.8304650000000001E-4</v>
      </c>
      <c r="O4">
        <f t="shared" ref="O4:O67" si="8">E4*A4</f>
        <v>2.8768112999999999E-4</v>
      </c>
      <c r="P4">
        <f t="shared" ref="P4:P67" si="9">-K4-M4-N4-O4</f>
        <v>1.2381767142640811E-2</v>
      </c>
      <c r="R4" s="2" t="s">
        <v>25</v>
      </c>
      <c r="S4">
        <v>-0.49034</v>
      </c>
      <c r="V4">
        <v>-6</v>
      </c>
      <c r="W4">
        <f t="shared" ref="W4:W35" si="10">V4*$S$5+$S$4</f>
        <v>-0.18643999999999999</v>
      </c>
      <c r="Y4">
        <v>0</v>
      </c>
      <c r="Z4">
        <f t="shared" ref="Z4:Z31" si="11">$AB$4*Y4+$AB$3</f>
        <v>-0.42670999999999998</v>
      </c>
      <c r="AB4">
        <v>12.38261</v>
      </c>
      <c r="AC4" t="s">
        <v>26</v>
      </c>
    </row>
    <row r="5" spans="1:29" x14ac:dyDescent="0.3">
      <c r="A5">
        <v>7.9881250000000001E-2</v>
      </c>
      <c r="B5">
        <v>0.97736999999999996</v>
      </c>
      <c r="C5">
        <f t="shared" si="0"/>
        <v>7.8073537312499997E-2</v>
      </c>
      <c r="D5">
        <v>1.4500000000000001E-2</v>
      </c>
      <c r="E5">
        <v>1.089E-2</v>
      </c>
      <c r="F5">
        <f t="shared" si="1"/>
        <v>15.97625</v>
      </c>
      <c r="G5">
        <f t="shared" si="2"/>
        <v>-0.97736999999999996</v>
      </c>
      <c r="H5">
        <f t="shared" si="3"/>
        <v>-15.6147074625</v>
      </c>
      <c r="I5">
        <v>1</v>
      </c>
      <c r="J5">
        <f t="shared" si="4"/>
        <v>-4.1366520345183497</v>
      </c>
      <c r="K5">
        <f t="shared" si="5"/>
        <v>-0.24435515177521749</v>
      </c>
      <c r="L5">
        <v>1</v>
      </c>
      <c r="M5">
        <f t="shared" si="6"/>
        <v>0.2808185744516456</v>
      </c>
      <c r="N5">
        <f t="shared" si="7"/>
        <v>1.1582781250000001E-3</v>
      </c>
      <c r="O5">
        <f t="shared" si="8"/>
        <v>8.6990681250000005E-4</v>
      </c>
      <c r="P5">
        <f t="shared" si="9"/>
        <v>-3.8491607613928107E-2</v>
      </c>
      <c r="R5" s="2" t="s">
        <v>27</v>
      </c>
      <c r="S5">
        <v>-5.0650000000000001E-2</v>
      </c>
      <c r="V5">
        <v>-5.9</v>
      </c>
      <c r="W5">
        <f t="shared" si="10"/>
        <v>-0.19150499999999998</v>
      </c>
      <c r="Y5">
        <v>0.01</v>
      </c>
      <c r="Z5">
        <f t="shared" si="11"/>
        <v>-0.30288389999999998</v>
      </c>
    </row>
    <row r="6" spans="1:29" x14ac:dyDescent="0.3">
      <c r="A6">
        <v>0.1302904</v>
      </c>
      <c r="B6">
        <v>0.91595000000000004</v>
      </c>
      <c r="C6">
        <f t="shared" si="0"/>
        <v>0.11933949188000001</v>
      </c>
      <c r="D6">
        <v>1.4500000000000001E-2</v>
      </c>
      <c r="E6">
        <v>1.089E-2</v>
      </c>
      <c r="F6">
        <f t="shared" si="1"/>
        <v>26.05808</v>
      </c>
      <c r="G6">
        <f t="shared" si="2"/>
        <v>-0.91595000000000004</v>
      </c>
      <c r="H6">
        <f t="shared" si="3"/>
        <v>-23.867898376000003</v>
      </c>
      <c r="I6">
        <v>1</v>
      </c>
      <c r="J6">
        <f t="shared" si="4"/>
        <v>-3.6474273861316604</v>
      </c>
      <c r="K6">
        <f t="shared" si="5"/>
        <v>-0.30577515177521741</v>
      </c>
      <c r="L6">
        <v>1</v>
      </c>
      <c r="M6">
        <f t="shared" si="6"/>
        <v>0.30559780289243144</v>
      </c>
      <c r="N6">
        <f t="shared" si="7"/>
        <v>1.8892108000000002E-3</v>
      </c>
      <c r="O6">
        <f t="shared" si="8"/>
        <v>1.418862456E-3</v>
      </c>
      <c r="P6">
        <f t="shared" si="9"/>
        <v>-3.1307243732140231E-3</v>
      </c>
      <c r="V6">
        <v>-5.8</v>
      </c>
      <c r="W6">
        <f t="shared" si="10"/>
        <v>-0.19657000000000002</v>
      </c>
      <c r="Y6">
        <v>0.02</v>
      </c>
      <c r="Z6">
        <f t="shared" si="11"/>
        <v>-0.17905779999999999</v>
      </c>
      <c r="AB6" t="s">
        <v>28</v>
      </c>
    </row>
    <row r="7" spans="1:29" x14ac:dyDescent="0.3">
      <c r="A7">
        <v>0.18273629999999999</v>
      </c>
      <c r="B7">
        <v>0.89798</v>
      </c>
      <c r="C7">
        <f t="shared" si="0"/>
        <v>0.164093542674</v>
      </c>
      <c r="D7">
        <v>1.4500000000000001E-2</v>
      </c>
      <c r="E7">
        <v>1.089E-2</v>
      </c>
      <c r="F7">
        <f t="shared" si="1"/>
        <v>36.547260000000001</v>
      </c>
      <c r="G7">
        <f t="shared" si="2"/>
        <v>-0.89798</v>
      </c>
      <c r="H7">
        <f t="shared" si="3"/>
        <v>-32.818708534800002</v>
      </c>
      <c r="I7">
        <v>1</v>
      </c>
      <c r="J7">
        <f t="shared" si="4"/>
        <v>-3.3091490613966994</v>
      </c>
      <c r="K7">
        <f t="shared" si="5"/>
        <v>-0.32374515177521745</v>
      </c>
      <c r="L7">
        <v>1</v>
      </c>
      <c r="M7">
        <f t="shared" si="6"/>
        <v>0.32273160004025714</v>
      </c>
      <c r="N7">
        <f t="shared" si="7"/>
        <v>2.64967635E-3</v>
      </c>
      <c r="O7">
        <f t="shared" si="8"/>
        <v>1.9899983069999998E-3</v>
      </c>
      <c r="P7">
        <f t="shared" si="9"/>
        <v>-3.6261229220396836E-3</v>
      </c>
      <c r="V7">
        <v>-5.7</v>
      </c>
      <c r="W7">
        <f t="shared" si="10"/>
        <v>-0.20163500000000001</v>
      </c>
      <c r="Y7">
        <v>0.03</v>
      </c>
      <c r="Z7">
        <f t="shared" si="11"/>
        <v>-5.5231699999999995E-2</v>
      </c>
      <c r="AB7" t="s">
        <v>29</v>
      </c>
      <c r="AC7">
        <f>-AB3/AB4</f>
        <v>3.4460424740826043E-2</v>
      </c>
    </row>
    <row r="8" spans="1:29" x14ac:dyDescent="0.3">
      <c r="A8">
        <v>0.23721890000000001</v>
      </c>
      <c r="B8">
        <v>0.88490000000000002</v>
      </c>
      <c r="C8">
        <f t="shared" si="0"/>
        <v>0.20991500461000001</v>
      </c>
      <c r="D8">
        <v>1.4500000000000001E-2</v>
      </c>
      <c r="E8">
        <v>1.089E-2</v>
      </c>
      <c r="F8">
        <f t="shared" si="1"/>
        <v>47.443780000000004</v>
      </c>
      <c r="G8">
        <f t="shared" si="2"/>
        <v>-0.88490000000000002</v>
      </c>
      <c r="H8">
        <f t="shared" si="3"/>
        <v>-41.983000922000002</v>
      </c>
      <c r="I8">
        <v>1</v>
      </c>
      <c r="J8">
        <f t="shared" si="4"/>
        <v>-3.0482098478716391</v>
      </c>
      <c r="K8">
        <f t="shared" si="5"/>
        <v>-0.33682515177521744</v>
      </c>
      <c r="L8">
        <v>1</v>
      </c>
      <c r="M8">
        <f t="shared" si="6"/>
        <v>0.33594817120530152</v>
      </c>
      <c r="N8">
        <f t="shared" si="7"/>
        <v>3.4396740500000004E-3</v>
      </c>
      <c r="O8">
        <f t="shared" si="8"/>
        <v>2.583313821E-3</v>
      </c>
      <c r="P8">
        <f t="shared" si="9"/>
        <v>-5.1460073010840806E-3</v>
      </c>
      <c r="V8">
        <v>-5.6</v>
      </c>
      <c r="W8">
        <f t="shared" si="10"/>
        <v>-0.20669999999999999</v>
      </c>
      <c r="Y8">
        <v>0.04</v>
      </c>
      <c r="Z8">
        <f t="shared" si="11"/>
        <v>6.85944E-2</v>
      </c>
    </row>
    <row r="9" spans="1:29" x14ac:dyDescent="0.3">
      <c r="A9">
        <v>0.28762805000000002</v>
      </c>
      <c r="B9">
        <v>0.87646000000000002</v>
      </c>
      <c r="C9">
        <f t="shared" si="0"/>
        <v>0.252094480703</v>
      </c>
      <c r="D9">
        <v>1.4500000000000001E-2</v>
      </c>
      <c r="E9">
        <v>1.089E-2</v>
      </c>
      <c r="F9">
        <f t="shared" si="1"/>
        <v>57.525610000000007</v>
      </c>
      <c r="G9">
        <f t="shared" si="2"/>
        <v>-0.87646000000000002</v>
      </c>
      <c r="H9">
        <f t="shared" si="3"/>
        <v>-50.418896140599998</v>
      </c>
      <c r="I9">
        <v>1</v>
      </c>
      <c r="J9">
        <f t="shared" si="4"/>
        <v>-2.8555250390317499</v>
      </c>
      <c r="K9">
        <f t="shared" si="5"/>
        <v>-0.34526515177521744</v>
      </c>
      <c r="L9">
        <v>1</v>
      </c>
      <c r="M9">
        <f t="shared" si="6"/>
        <v>0.34570765677304183</v>
      </c>
      <c r="N9">
        <f t="shared" si="7"/>
        <v>4.1706067250000005E-3</v>
      </c>
      <c r="O9">
        <f t="shared" si="8"/>
        <v>3.1322694645000006E-3</v>
      </c>
      <c r="P9">
        <f t="shared" si="9"/>
        <v>-7.7453811873243895E-3</v>
      </c>
      <c r="V9">
        <v>-5.5</v>
      </c>
      <c r="W9">
        <f t="shared" si="10"/>
        <v>-0.21176499999999998</v>
      </c>
      <c r="Y9">
        <v>0.05</v>
      </c>
      <c r="Z9">
        <f t="shared" si="11"/>
        <v>0.19242050000000005</v>
      </c>
      <c r="AB9" t="s">
        <v>30</v>
      </c>
      <c r="AC9">
        <v>3.083E-2</v>
      </c>
    </row>
    <row r="10" spans="1:29" x14ac:dyDescent="0.3">
      <c r="A10">
        <v>0.34007389999999998</v>
      </c>
      <c r="B10">
        <v>0.86748999999999998</v>
      </c>
      <c r="C10">
        <f t="shared" si="0"/>
        <v>0.295010707511</v>
      </c>
      <c r="D10">
        <v>1.4500000000000001E-2</v>
      </c>
      <c r="E10">
        <v>1.089E-2</v>
      </c>
      <c r="F10">
        <f t="shared" si="1"/>
        <v>68.014780000000002</v>
      </c>
      <c r="G10">
        <f t="shared" si="2"/>
        <v>-0.86748999999999998</v>
      </c>
      <c r="H10">
        <f t="shared" si="3"/>
        <v>-59.002141502200004</v>
      </c>
      <c r="I10">
        <v>1</v>
      </c>
      <c r="J10">
        <f t="shared" si="4"/>
        <v>-2.6880302444825821</v>
      </c>
      <c r="K10">
        <f t="shared" si="5"/>
        <v>-0.35423515177521747</v>
      </c>
      <c r="L10">
        <v>1</v>
      </c>
      <c r="M10">
        <f t="shared" si="6"/>
        <v>0.35419126811695723</v>
      </c>
      <c r="N10">
        <f t="shared" si="7"/>
        <v>4.9310715499999999E-3</v>
      </c>
      <c r="O10">
        <f t="shared" si="8"/>
        <v>3.7034047709999999E-3</v>
      </c>
      <c r="P10">
        <f t="shared" si="9"/>
        <v>-8.590592662739753E-3</v>
      </c>
      <c r="V10">
        <v>-5.4</v>
      </c>
      <c r="W10">
        <f t="shared" si="10"/>
        <v>-0.21682999999999997</v>
      </c>
      <c r="Y10">
        <v>0.06</v>
      </c>
      <c r="Z10">
        <f t="shared" si="11"/>
        <v>0.31624659999999999</v>
      </c>
    </row>
    <row r="11" spans="1:29" x14ac:dyDescent="0.3">
      <c r="A11">
        <v>0.39099220000000001</v>
      </c>
      <c r="B11">
        <v>0.86070999999999998</v>
      </c>
      <c r="C11">
        <f t="shared" si="0"/>
        <v>0.33653089646200002</v>
      </c>
      <c r="D11">
        <v>1.4500000000000001E-2</v>
      </c>
      <c r="E11">
        <v>1.089E-2</v>
      </c>
      <c r="F11">
        <f t="shared" si="1"/>
        <v>78.198440000000005</v>
      </c>
      <c r="G11">
        <f t="shared" si="2"/>
        <v>-0.86070999999999998</v>
      </c>
      <c r="H11">
        <f t="shared" si="3"/>
        <v>-67.306179292400003</v>
      </c>
      <c r="I11">
        <v>1</v>
      </c>
      <c r="J11">
        <f t="shared" si="4"/>
        <v>-2.5485055804789574</v>
      </c>
      <c r="K11">
        <f t="shared" si="5"/>
        <v>-0.36101515177521748</v>
      </c>
      <c r="L11">
        <v>1</v>
      </c>
      <c r="M11">
        <f t="shared" si="6"/>
        <v>0.36125819234874079</v>
      </c>
      <c r="N11">
        <f t="shared" si="7"/>
        <v>5.6693869000000001E-3</v>
      </c>
      <c r="O11">
        <f t="shared" si="8"/>
        <v>4.257905058E-3</v>
      </c>
      <c r="P11">
        <f t="shared" si="9"/>
        <v>-1.0170332531523312E-2</v>
      </c>
      <c r="V11">
        <v>-5.3</v>
      </c>
      <c r="W11">
        <f t="shared" si="10"/>
        <v>-0.22189500000000001</v>
      </c>
      <c r="Y11">
        <v>7.0000000000000007E-2</v>
      </c>
      <c r="Z11">
        <f t="shared" si="11"/>
        <v>0.44007270000000004</v>
      </c>
      <c r="AB11" t="s">
        <v>31</v>
      </c>
      <c r="AC11">
        <f>AC7-AC9</f>
        <v>3.630424740826043E-3</v>
      </c>
    </row>
    <row r="12" spans="1:29" x14ac:dyDescent="0.3">
      <c r="A12">
        <v>0.44241975</v>
      </c>
      <c r="B12">
        <v>0.85468</v>
      </c>
      <c r="C12">
        <f t="shared" si="0"/>
        <v>0.37812731192999999</v>
      </c>
      <c r="D12">
        <v>1.4500000000000001E-2</v>
      </c>
      <c r="E12">
        <v>1.089E-2</v>
      </c>
      <c r="F12">
        <f t="shared" si="1"/>
        <v>88.483949999999993</v>
      </c>
      <c r="G12">
        <f t="shared" si="2"/>
        <v>-0.85468</v>
      </c>
      <c r="H12">
        <f t="shared" si="3"/>
        <v>-75.625462385999995</v>
      </c>
      <c r="I12">
        <v>1</v>
      </c>
      <c r="J12">
        <f t="shared" si="4"/>
        <v>-2.4249340993474324</v>
      </c>
      <c r="K12">
        <f t="shared" si="5"/>
        <v>-0.36704515177521746</v>
      </c>
      <c r="L12">
        <v>1</v>
      </c>
      <c r="M12">
        <f t="shared" si="6"/>
        <v>0.36751708786805254</v>
      </c>
      <c r="N12">
        <f t="shared" si="7"/>
        <v>6.4150863750000002E-3</v>
      </c>
      <c r="O12">
        <f t="shared" si="8"/>
        <v>4.8179510775000003E-3</v>
      </c>
      <c r="P12">
        <f t="shared" si="9"/>
        <v>-1.170497354533508E-2</v>
      </c>
      <c r="V12">
        <v>-5.2</v>
      </c>
      <c r="W12">
        <f t="shared" si="10"/>
        <v>-0.22696</v>
      </c>
      <c r="Y12">
        <v>0.08</v>
      </c>
      <c r="Z12">
        <f t="shared" si="11"/>
        <v>0.56389880000000003</v>
      </c>
      <c r="AC12">
        <f>AC11*3</f>
        <v>1.0891274222478129E-2</v>
      </c>
    </row>
    <row r="13" spans="1:29" x14ac:dyDescent="0.3">
      <c r="A13">
        <v>0.49333804999999997</v>
      </c>
      <c r="B13">
        <v>0.84902999999999995</v>
      </c>
      <c r="C13">
        <f t="shared" si="0"/>
        <v>0.41885880459149993</v>
      </c>
      <c r="D13">
        <v>1.4500000000000001E-2</v>
      </c>
      <c r="E13">
        <v>1.089E-2</v>
      </c>
      <c r="F13">
        <f t="shared" si="1"/>
        <v>98.667609999999996</v>
      </c>
      <c r="G13">
        <f t="shared" si="2"/>
        <v>-0.84902999999999995</v>
      </c>
      <c r="H13">
        <f t="shared" si="3"/>
        <v>-83.771760918299989</v>
      </c>
      <c r="I13">
        <v>1</v>
      </c>
      <c r="J13">
        <f t="shared" si="4"/>
        <v>-2.31599855256108</v>
      </c>
      <c r="K13">
        <f t="shared" si="5"/>
        <v>-0.3726951517752175</v>
      </c>
      <c r="L13">
        <v>1</v>
      </c>
      <c r="M13">
        <f t="shared" si="6"/>
        <v>0.37303467331278128</v>
      </c>
      <c r="N13">
        <f t="shared" si="7"/>
        <v>7.1534017250000003E-3</v>
      </c>
      <c r="O13">
        <f t="shared" si="8"/>
        <v>5.3724513644999999E-3</v>
      </c>
      <c r="P13">
        <f t="shared" si="9"/>
        <v>-1.2865374627063782E-2</v>
      </c>
      <c r="V13">
        <v>-5.0999999999999996</v>
      </c>
      <c r="W13">
        <f t="shared" si="10"/>
        <v>-0.23202500000000004</v>
      </c>
      <c r="Y13">
        <v>0.09</v>
      </c>
      <c r="Z13">
        <f t="shared" si="11"/>
        <v>0.68772490000000008</v>
      </c>
    </row>
    <row r="14" spans="1:29" x14ac:dyDescent="0.3">
      <c r="A14">
        <v>0.54527479999999995</v>
      </c>
      <c r="B14">
        <v>0.84431</v>
      </c>
      <c r="C14">
        <f t="shared" si="0"/>
        <v>0.46038096638799997</v>
      </c>
      <c r="D14">
        <v>1.4500000000000001E-2</v>
      </c>
      <c r="E14">
        <v>1.089E-2</v>
      </c>
      <c r="F14">
        <f t="shared" si="1"/>
        <v>109.05495999999999</v>
      </c>
      <c r="G14">
        <f t="shared" si="2"/>
        <v>-0.84431</v>
      </c>
      <c r="H14">
        <f t="shared" si="3"/>
        <v>-92.076193277599998</v>
      </c>
      <c r="I14">
        <v>1</v>
      </c>
      <c r="J14">
        <f t="shared" si="4"/>
        <v>-2.2159033036457894</v>
      </c>
      <c r="K14">
        <f t="shared" si="5"/>
        <v>-0.37741515177521745</v>
      </c>
      <c r="L14">
        <v>1</v>
      </c>
      <c r="M14">
        <f t="shared" si="6"/>
        <v>0.37810449767034077</v>
      </c>
      <c r="N14">
        <f t="shared" si="7"/>
        <v>7.9064845999999994E-3</v>
      </c>
      <c r="O14">
        <f t="shared" si="8"/>
        <v>5.9380425719999996E-3</v>
      </c>
      <c r="P14">
        <f t="shared" si="9"/>
        <v>-1.4533873067123317E-2</v>
      </c>
      <c r="V14">
        <v>-5</v>
      </c>
      <c r="W14">
        <f t="shared" si="10"/>
        <v>-0.23709000000000002</v>
      </c>
      <c r="Y14">
        <v>0.1</v>
      </c>
      <c r="Z14">
        <f t="shared" si="11"/>
        <v>0.81155100000000013</v>
      </c>
    </row>
    <row r="15" spans="1:29" x14ac:dyDescent="0.3">
      <c r="A15">
        <v>0.59721150000000001</v>
      </c>
      <c r="B15">
        <v>0.83891000000000004</v>
      </c>
      <c r="C15">
        <f t="shared" si="0"/>
        <v>0.50100669946499998</v>
      </c>
      <c r="D15">
        <v>1.4500000000000001E-2</v>
      </c>
      <c r="E15">
        <v>1.089E-2</v>
      </c>
      <c r="F15">
        <f t="shared" si="1"/>
        <v>119.4423</v>
      </c>
      <c r="G15">
        <f t="shared" si="2"/>
        <v>-0.83891000000000004</v>
      </c>
      <c r="H15">
        <f t="shared" si="3"/>
        <v>-100.201339893</v>
      </c>
      <c r="I15">
        <v>1</v>
      </c>
      <c r="J15">
        <f t="shared" si="4"/>
        <v>-2.1249218694061311</v>
      </c>
      <c r="K15">
        <f t="shared" si="5"/>
        <v>-0.38281515177521741</v>
      </c>
      <c r="L15">
        <v>1</v>
      </c>
      <c r="M15">
        <f t="shared" si="6"/>
        <v>0.38271270731457946</v>
      </c>
      <c r="N15">
        <f t="shared" si="7"/>
        <v>8.6595667500000001E-3</v>
      </c>
      <c r="O15">
        <f t="shared" si="8"/>
        <v>6.5036332350000003E-3</v>
      </c>
      <c r="P15">
        <f t="shared" si="9"/>
        <v>-1.5060755524362049E-2</v>
      </c>
      <c r="V15">
        <v>-4.9000000000000004</v>
      </c>
      <c r="W15">
        <f t="shared" si="10"/>
        <v>-0.24215499999999998</v>
      </c>
      <c r="Y15">
        <v>0.11</v>
      </c>
      <c r="Z15">
        <f t="shared" si="11"/>
        <v>0.93537709999999996</v>
      </c>
    </row>
    <row r="16" spans="1:29" x14ac:dyDescent="0.3">
      <c r="A16">
        <v>0.64762059999999999</v>
      </c>
      <c r="B16">
        <v>0.83459000000000005</v>
      </c>
      <c r="C16">
        <f t="shared" si="0"/>
        <v>0.54049767655400005</v>
      </c>
      <c r="D16">
        <v>1.4500000000000001E-2</v>
      </c>
      <c r="E16">
        <v>1.089E-2</v>
      </c>
      <c r="F16">
        <f t="shared" si="1"/>
        <v>129.52412000000001</v>
      </c>
      <c r="G16">
        <f t="shared" si="2"/>
        <v>-0.83459000000000005</v>
      </c>
      <c r="H16">
        <f t="shared" si="3"/>
        <v>-108.09953531080001</v>
      </c>
      <c r="I16">
        <v>1</v>
      </c>
      <c r="J16">
        <f t="shared" si="4"/>
        <v>-2.0438881603595664</v>
      </c>
      <c r="K16">
        <f t="shared" si="5"/>
        <v>-0.3871351517752174</v>
      </c>
      <c r="L16">
        <v>1</v>
      </c>
      <c r="M16">
        <f t="shared" si="6"/>
        <v>0.38681706467778798</v>
      </c>
      <c r="N16">
        <f t="shared" si="7"/>
        <v>9.3904986999999995E-3</v>
      </c>
      <c r="O16">
        <f t="shared" si="8"/>
        <v>7.0525883339999998E-3</v>
      </c>
      <c r="P16">
        <f t="shared" si="9"/>
        <v>-1.6124999936570579E-2</v>
      </c>
      <c r="V16">
        <v>-4.8</v>
      </c>
      <c r="W16">
        <f t="shared" si="10"/>
        <v>-0.24722</v>
      </c>
      <c r="Y16">
        <v>0.12</v>
      </c>
      <c r="Z16">
        <f t="shared" si="11"/>
        <v>1.0592032</v>
      </c>
    </row>
    <row r="17" spans="1:26" x14ac:dyDescent="0.3">
      <c r="A17">
        <v>0.69802969999999998</v>
      </c>
      <c r="B17">
        <v>0.83030000000000004</v>
      </c>
      <c r="C17">
        <f t="shared" si="0"/>
        <v>0.57957405990999999</v>
      </c>
      <c r="D17">
        <v>1.4500000000000001E-2</v>
      </c>
      <c r="E17">
        <v>1.089E-2</v>
      </c>
      <c r="F17">
        <f t="shared" si="1"/>
        <v>139.60594</v>
      </c>
      <c r="G17">
        <f t="shared" si="2"/>
        <v>-0.83030000000000004</v>
      </c>
      <c r="H17">
        <f t="shared" si="3"/>
        <v>-115.914811982</v>
      </c>
      <c r="I17">
        <v>1</v>
      </c>
      <c r="J17">
        <f t="shared" si="4"/>
        <v>-1.96893153941583</v>
      </c>
      <c r="K17">
        <f t="shared" si="5"/>
        <v>-0.39142515177521742</v>
      </c>
      <c r="L17">
        <v>1</v>
      </c>
      <c r="M17">
        <f t="shared" si="6"/>
        <v>0.3906136175285882</v>
      </c>
      <c r="N17">
        <f t="shared" si="7"/>
        <v>1.0121430650000001E-2</v>
      </c>
      <c r="O17">
        <f t="shared" si="8"/>
        <v>7.6015434330000001E-3</v>
      </c>
      <c r="P17">
        <f t="shared" si="9"/>
        <v>-1.6911439836370782E-2</v>
      </c>
      <c r="V17">
        <v>-4.7</v>
      </c>
      <c r="W17">
        <f t="shared" si="10"/>
        <v>-0.25228499999999998</v>
      </c>
      <c r="Y17">
        <v>0.13</v>
      </c>
      <c r="Z17">
        <f t="shared" si="11"/>
        <v>1.1830293000000001</v>
      </c>
    </row>
    <row r="18" spans="1:26" x14ac:dyDescent="0.3">
      <c r="A18">
        <v>0.75149394999999997</v>
      </c>
      <c r="B18">
        <v>0.82606000000000002</v>
      </c>
      <c r="C18">
        <f t="shared" si="0"/>
        <v>0.62077909233700002</v>
      </c>
      <c r="D18">
        <v>1.4500000000000001E-2</v>
      </c>
      <c r="E18">
        <v>1.089E-2</v>
      </c>
      <c r="F18">
        <f t="shared" si="1"/>
        <v>150.29879</v>
      </c>
      <c r="G18">
        <f t="shared" si="2"/>
        <v>-0.82606000000000002</v>
      </c>
      <c r="H18">
        <f t="shared" si="3"/>
        <v>-124.1558184674</v>
      </c>
      <c r="I18">
        <v>1</v>
      </c>
      <c r="J18">
        <f t="shared" si="4"/>
        <v>-1.89513003282115</v>
      </c>
      <c r="K18">
        <f t="shared" si="5"/>
        <v>-0.39566515177521744</v>
      </c>
      <c r="L18">
        <v>1</v>
      </c>
      <c r="M18">
        <f t="shared" si="6"/>
        <v>0.39435166383760878</v>
      </c>
      <c r="N18">
        <f t="shared" si="7"/>
        <v>1.0896662275E-2</v>
      </c>
      <c r="O18">
        <f t="shared" si="8"/>
        <v>8.1837691155000006E-3</v>
      </c>
      <c r="P18">
        <f t="shared" si="9"/>
        <v>-1.7766943452891343E-2</v>
      </c>
      <c r="V18">
        <v>-4.5999999999999996</v>
      </c>
      <c r="W18">
        <f t="shared" si="10"/>
        <v>-0.25735000000000002</v>
      </c>
      <c r="Y18">
        <v>0.14000000000000001</v>
      </c>
      <c r="Z18">
        <f t="shared" si="11"/>
        <v>1.3068554000000001</v>
      </c>
    </row>
    <row r="19" spans="1:26" x14ac:dyDescent="0.3">
      <c r="A19">
        <v>0.80190315000000001</v>
      </c>
      <c r="B19">
        <v>0.82216</v>
      </c>
      <c r="C19">
        <f t="shared" si="0"/>
        <v>0.65929269380400002</v>
      </c>
      <c r="D19">
        <v>1.4500000000000001E-2</v>
      </c>
      <c r="E19">
        <v>1.089E-2</v>
      </c>
      <c r="F19">
        <f t="shared" si="1"/>
        <v>160.38063</v>
      </c>
      <c r="G19">
        <f t="shared" si="2"/>
        <v>-0.82216</v>
      </c>
      <c r="H19">
        <f t="shared" si="3"/>
        <v>-131.8585387608</v>
      </c>
      <c r="I19">
        <v>1</v>
      </c>
      <c r="J19">
        <f t="shared" si="4"/>
        <v>-1.8302053514403749</v>
      </c>
      <c r="K19">
        <f t="shared" si="5"/>
        <v>-0.39956515177521745</v>
      </c>
      <c r="L19">
        <v>1</v>
      </c>
      <c r="M19">
        <f t="shared" si="6"/>
        <v>0.397640098949545</v>
      </c>
      <c r="N19">
        <f t="shared" si="7"/>
        <v>1.1627595675000001E-2</v>
      </c>
      <c r="O19">
        <f t="shared" si="8"/>
        <v>8.7327253034999996E-3</v>
      </c>
      <c r="P19">
        <f t="shared" si="9"/>
        <v>-1.8435268152827543E-2</v>
      </c>
      <c r="V19">
        <v>-4.5000000000000098</v>
      </c>
      <c r="W19">
        <f t="shared" si="10"/>
        <v>-0.26241499999999951</v>
      </c>
      <c r="Y19">
        <v>0.15</v>
      </c>
      <c r="Z19">
        <f t="shared" si="11"/>
        <v>1.4306814999999999</v>
      </c>
    </row>
    <row r="20" spans="1:26" x14ac:dyDescent="0.3">
      <c r="A20">
        <v>0.85383980000000004</v>
      </c>
      <c r="B20">
        <v>0.81850000000000001</v>
      </c>
      <c r="C20">
        <f t="shared" si="0"/>
        <v>0.69886787630000002</v>
      </c>
      <c r="D20">
        <v>1.4500000000000001E-2</v>
      </c>
      <c r="E20">
        <v>1.089E-2</v>
      </c>
      <c r="F20">
        <f t="shared" si="1"/>
        <v>170.76796000000002</v>
      </c>
      <c r="G20">
        <f t="shared" si="2"/>
        <v>-0.81850000000000001</v>
      </c>
      <c r="H20">
        <f t="shared" si="3"/>
        <v>-139.77357526</v>
      </c>
      <c r="I20">
        <v>1</v>
      </c>
      <c r="J20">
        <f t="shared" si="4"/>
        <v>-1.7674496030464777</v>
      </c>
      <c r="K20">
        <f t="shared" si="5"/>
        <v>-0.40322515177521745</v>
      </c>
      <c r="L20">
        <v>1</v>
      </c>
      <c r="M20">
        <f t="shared" si="6"/>
        <v>0.40081867760569589</v>
      </c>
      <c r="N20">
        <f t="shared" si="7"/>
        <v>1.2380677100000001E-2</v>
      </c>
      <c r="O20">
        <f t="shared" si="8"/>
        <v>9.2983154220000006E-3</v>
      </c>
      <c r="P20">
        <f t="shared" si="9"/>
        <v>-1.9272518352478445E-2</v>
      </c>
      <c r="V20">
        <v>-4.4000000000000101</v>
      </c>
      <c r="W20">
        <f t="shared" si="10"/>
        <v>-0.2674799999999995</v>
      </c>
      <c r="Y20">
        <v>0.16</v>
      </c>
      <c r="Z20">
        <f t="shared" si="11"/>
        <v>1.5545076</v>
      </c>
    </row>
    <row r="21" spans="1:26" x14ac:dyDescent="0.3">
      <c r="A21">
        <v>0.90424895000000005</v>
      </c>
      <c r="B21">
        <v>0.81476999999999999</v>
      </c>
      <c r="C21">
        <f t="shared" si="0"/>
        <v>0.73675491699150009</v>
      </c>
      <c r="D21">
        <v>1.4500000000000001E-2</v>
      </c>
      <c r="E21">
        <v>1.089E-2</v>
      </c>
      <c r="F21">
        <f t="shared" si="1"/>
        <v>180.84979000000001</v>
      </c>
      <c r="G21">
        <f t="shared" si="2"/>
        <v>-0.81476999999999999</v>
      </c>
      <c r="H21">
        <f t="shared" si="3"/>
        <v>-147.35098339830003</v>
      </c>
      <c r="I21">
        <v>1</v>
      </c>
      <c r="J21">
        <f t="shared" si="4"/>
        <v>-1.7100884817680053</v>
      </c>
      <c r="K21">
        <f t="shared" si="5"/>
        <v>-0.40695515177521746</v>
      </c>
      <c r="L21">
        <v>1</v>
      </c>
      <c r="M21">
        <f t="shared" si="6"/>
        <v>0.40372401839845051</v>
      </c>
      <c r="N21">
        <f t="shared" si="7"/>
        <v>1.3111609775000001E-2</v>
      </c>
      <c r="O21">
        <f t="shared" si="8"/>
        <v>9.8472710655000007E-3</v>
      </c>
      <c r="P21">
        <f t="shared" si="9"/>
        <v>-1.9727747463733056E-2</v>
      </c>
      <c r="V21">
        <v>-4.3000000000000096</v>
      </c>
      <c r="W21">
        <f t="shared" si="10"/>
        <v>-0.27254499999999948</v>
      </c>
      <c r="Y21">
        <v>0.17</v>
      </c>
      <c r="Z21">
        <f t="shared" si="11"/>
        <v>1.6783337</v>
      </c>
    </row>
    <row r="22" spans="1:26" x14ac:dyDescent="0.3">
      <c r="A22">
        <v>0.95771315000000001</v>
      </c>
      <c r="B22">
        <v>0.81094999999999995</v>
      </c>
      <c r="C22">
        <f t="shared" si="0"/>
        <v>0.77665747899249993</v>
      </c>
      <c r="D22">
        <v>1.4500000000000001E-2</v>
      </c>
      <c r="E22">
        <v>1.089E-2</v>
      </c>
      <c r="F22">
        <f t="shared" si="1"/>
        <v>191.54263</v>
      </c>
      <c r="G22">
        <f t="shared" si="2"/>
        <v>-0.81094999999999995</v>
      </c>
      <c r="H22">
        <f t="shared" si="3"/>
        <v>-155.33149579849999</v>
      </c>
      <c r="I22">
        <v>1</v>
      </c>
      <c r="J22">
        <f t="shared" si="4"/>
        <v>-1.6526448841695234</v>
      </c>
      <c r="K22">
        <f t="shared" si="5"/>
        <v>-0.41077515177521751</v>
      </c>
      <c r="L22">
        <v>1</v>
      </c>
      <c r="M22">
        <f t="shared" si="6"/>
        <v>0.40663353661681362</v>
      </c>
      <c r="N22">
        <f t="shared" si="7"/>
        <v>1.3886840675000001E-2</v>
      </c>
      <c r="O22">
        <f t="shared" si="8"/>
        <v>1.04294962035E-2</v>
      </c>
      <c r="P22">
        <f t="shared" si="9"/>
        <v>-2.0174721720096114E-2</v>
      </c>
      <c r="V22">
        <v>-4.2000000000000099</v>
      </c>
      <c r="W22">
        <f t="shared" si="10"/>
        <v>-0.27760999999999947</v>
      </c>
      <c r="Y22">
        <v>0.18</v>
      </c>
      <c r="Z22">
        <f t="shared" si="11"/>
        <v>1.8021598000000001</v>
      </c>
    </row>
    <row r="23" spans="1:26" x14ac:dyDescent="0.3">
      <c r="A23">
        <v>1.0096499000000001</v>
      </c>
      <c r="B23">
        <v>0.80742000000000003</v>
      </c>
      <c r="C23">
        <f t="shared" si="0"/>
        <v>0.81521152225800009</v>
      </c>
      <c r="D23">
        <v>1.4500000000000001E-2</v>
      </c>
      <c r="E23">
        <v>1.089E-2</v>
      </c>
      <c r="F23">
        <f t="shared" si="1"/>
        <v>201.92998000000003</v>
      </c>
      <c r="G23">
        <f t="shared" si="2"/>
        <v>-0.80742000000000003</v>
      </c>
      <c r="H23">
        <f t="shared" si="3"/>
        <v>-163.04230445160002</v>
      </c>
      <c r="I23">
        <v>1</v>
      </c>
      <c r="J23">
        <f t="shared" si="4"/>
        <v>-1.5998342753356336</v>
      </c>
      <c r="K23">
        <f t="shared" si="5"/>
        <v>-0.41430515177521743</v>
      </c>
      <c r="L23">
        <v>1</v>
      </c>
      <c r="M23">
        <f t="shared" si="6"/>
        <v>0.40930839395425017</v>
      </c>
      <c r="N23">
        <f t="shared" si="7"/>
        <v>1.4639923550000003E-2</v>
      </c>
      <c r="O23">
        <f t="shared" si="8"/>
        <v>1.0995087411000002E-2</v>
      </c>
      <c r="P23">
        <f t="shared" si="9"/>
        <v>-2.0638253140032748E-2</v>
      </c>
      <c r="V23">
        <v>-4.1000000000000103</v>
      </c>
      <c r="W23">
        <f t="shared" si="10"/>
        <v>-0.28267499999999945</v>
      </c>
      <c r="Y23">
        <v>0.19</v>
      </c>
      <c r="Z23">
        <f t="shared" si="11"/>
        <v>1.9259859000000001</v>
      </c>
    </row>
    <row r="24" spans="1:26" x14ac:dyDescent="0.3">
      <c r="A24">
        <v>1.0636234</v>
      </c>
      <c r="B24">
        <v>0.80413999999999997</v>
      </c>
      <c r="C24">
        <f t="shared" si="0"/>
        <v>0.85530212087599999</v>
      </c>
      <c r="D24">
        <v>1.4500000000000001E-2</v>
      </c>
      <c r="E24">
        <v>1.089E-2</v>
      </c>
      <c r="F24">
        <f t="shared" si="1"/>
        <v>212.72468000000001</v>
      </c>
      <c r="G24">
        <f t="shared" si="2"/>
        <v>-0.80413999999999997</v>
      </c>
      <c r="H24">
        <f t="shared" si="3"/>
        <v>-171.06042417520001</v>
      </c>
      <c r="I24">
        <v>1</v>
      </c>
      <c r="J24">
        <f t="shared" si="4"/>
        <v>-1.5477565315372233</v>
      </c>
      <c r="K24">
        <f t="shared" si="5"/>
        <v>-0.41758515177521749</v>
      </c>
      <c r="L24">
        <v>1</v>
      </c>
      <c r="M24">
        <f t="shared" si="6"/>
        <v>0.41194613167763966</v>
      </c>
      <c r="N24">
        <f t="shared" si="7"/>
        <v>1.5422539300000001E-2</v>
      </c>
      <c r="O24">
        <f t="shared" si="8"/>
        <v>1.1582858826000001E-2</v>
      </c>
      <c r="P24">
        <f t="shared" si="9"/>
        <v>-2.1366378028422173E-2</v>
      </c>
      <c r="V24">
        <v>-4.0000000000000098</v>
      </c>
      <c r="W24">
        <f t="shared" si="10"/>
        <v>-0.2877399999999995</v>
      </c>
      <c r="Y24">
        <v>0.2</v>
      </c>
      <c r="Z24">
        <f t="shared" si="11"/>
        <v>2.0498120000000002</v>
      </c>
    </row>
    <row r="25" spans="1:26" x14ac:dyDescent="0.3">
      <c r="A25">
        <v>1.115051</v>
      </c>
      <c r="B25">
        <v>0.80067999999999995</v>
      </c>
      <c r="C25">
        <f t="shared" si="0"/>
        <v>0.89279903467999999</v>
      </c>
      <c r="D25">
        <v>1.4500000000000001E-2</v>
      </c>
      <c r="E25">
        <v>1.089E-2</v>
      </c>
      <c r="F25">
        <f t="shared" si="1"/>
        <v>223.0102</v>
      </c>
      <c r="G25">
        <f t="shared" si="2"/>
        <v>-0.80067999999999995</v>
      </c>
      <c r="H25">
        <f t="shared" si="3"/>
        <v>-178.559806936</v>
      </c>
      <c r="I25">
        <v>1</v>
      </c>
      <c r="J25">
        <f t="shared" si="4"/>
        <v>-1.5005377686577421</v>
      </c>
      <c r="K25">
        <f t="shared" si="5"/>
        <v>-0.42104515177521751</v>
      </c>
      <c r="L25">
        <v>1</v>
      </c>
      <c r="M25">
        <f t="shared" si="6"/>
        <v>0.41433776201748534</v>
      </c>
      <c r="N25">
        <f t="shared" si="7"/>
        <v>1.6168239500000001E-2</v>
      </c>
      <c r="O25">
        <f t="shared" si="8"/>
        <v>1.214290539E-2</v>
      </c>
      <c r="P25">
        <f t="shared" si="9"/>
        <v>-2.1603755132267838E-2</v>
      </c>
      <c r="V25">
        <v>-3.9000000000000101</v>
      </c>
      <c r="W25">
        <f t="shared" si="10"/>
        <v>-0.29280499999999948</v>
      </c>
      <c r="Y25">
        <v>0.21</v>
      </c>
      <c r="Z25">
        <f t="shared" si="11"/>
        <v>2.1736380999999998</v>
      </c>
    </row>
    <row r="26" spans="1:26" x14ac:dyDescent="0.3">
      <c r="A26">
        <v>1.1669877</v>
      </c>
      <c r="B26">
        <v>0.79764999999999997</v>
      </c>
      <c r="C26">
        <f t="shared" si="0"/>
        <v>0.93084773890499994</v>
      </c>
      <c r="D26">
        <v>1.4500000000000001E-2</v>
      </c>
      <c r="E26">
        <v>1.089E-2</v>
      </c>
      <c r="F26">
        <f t="shared" si="1"/>
        <v>233.39753999999999</v>
      </c>
      <c r="G26">
        <f t="shared" si="2"/>
        <v>-0.79764999999999997</v>
      </c>
      <c r="H26">
        <f t="shared" si="3"/>
        <v>-186.16954778099998</v>
      </c>
      <c r="I26">
        <v>1</v>
      </c>
      <c r="J26">
        <f t="shared" si="4"/>
        <v>-1.4550120990309845</v>
      </c>
      <c r="K26">
        <f t="shared" si="5"/>
        <v>-0.42407515177521748</v>
      </c>
      <c r="L26">
        <v>1</v>
      </c>
      <c r="M26">
        <f t="shared" si="6"/>
        <v>0.41664363718408065</v>
      </c>
      <c r="N26">
        <f t="shared" si="7"/>
        <v>1.6921321650000001E-2</v>
      </c>
      <c r="O26">
        <f t="shared" si="8"/>
        <v>1.2708496053E-2</v>
      </c>
      <c r="P26">
        <f t="shared" si="9"/>
        <v>-2.2198303111863167E-2</v>
      </c>
      <c r="V26">
        <v>-3.80000000000001</v>
      </c>
      <c r="W26">
        <f t="shared" si="10"/>
        <v>-0.29786999999999952</v>
      </c>
      <c r="Y26">
        <v>0.22</v>
      </c>
      <c r="Z26">
        <f t="shared" si="11"/>
        <v>2.2974641999999998</v>
      </c>
    </row>
    <row r="27" spans="1:26" x14ac:dyDescent="0.3">
      <c r="A27">
        <v>1.2173967000000001</v>
      </c>
      <c r="B27">
        <v>0.79435999999999996</v>
      </c>
      <c r="C27">
        <f t="shared" si="0"/>
        <v>0.96705124261200004</v>
      </c>
      <c r="D27">
        <v>1.4500000000000001E-2</v>
      </c>
      <c r="E27">
        <v>1.089E-2</v>
      </c>
      <c r="F27">
        <f t="shared" si="1"/>
        <v>243.47934000000004</v>
      </c>
      <c r="G27">
        <f t="shared" si="2"/>
        <v>-0.79435999999999996</v>
      </c>
      <c r="H27">
        <f t="shared" si="3"/>
        <v>-193.4102485224</v>
      </c>
      <c r="I27">
        <v>1</v>
      </c>
      <c r="J27">
        <f t="shared" si="4"/>
        <v>-1.4127231860550107</v>
      </c>
      <c r="K27">
        <f t="shared" si="5"/>
        <v>-0.4273651517752175</v>
      </c>
      <c r="L27">
        <v>1</v>
      </c>
      <c r="M27">
        <f t="shared" si="6"/>
        <v>0.41878557062631372</v>
      </c>
      <c r="N27">
        <f t="shared" si="7"/>
        <v>1.7652252150000002E-2</v>
      </c>
      <c r="O27">
        <f t="shared" si="8"/>
        <v>1.3257450063000002E-2</v>
      </c>
      <c r="P27">
        <f t="shared" si="9"/>
        <v>-2.2330121064096223E-2</v>
      </c>
      <c r="V27">
        <v>-3.7000000000000099</v>
      </c>
      <c r="W27">
        <f t="shared" si="10"/>
        <v>-0.30293499999999951</v>
      </c>
      <c r="Y27">
        <v>0.23</v>
      </c>
      <c r="Z27">
        <f t="shared" si="11"/>
        <v>2.4212903000000003</v>
      </c>
    </row>
    <row r="28" spans="1:26" x14ac:dyDescent="0.3">
      <c r="A28">
        <v>1.2688242000000001</v>
      </c>
      <c r="B28">
        <v>0.79113999999999995</v>
      </c>
      <c r="C28">
        <f t="shared" si="0"/>
        <v>1.0038175775880001</v>
      </c>
      <c r="D28">
        <v>1.4500000000000001E-2</v>
      </c>
      <c r="E28">
        <v>1.089E-2</v>
      </c>
      <c r="F28">
        <f t="shared" si="1"/>
        <v>253.76484000000002</v>
      </c>
      <c r="G28">
        <f t="shared" si="2"/>
        <v>-0.79113999999999995</v>
      </c>
      <c r="H28">
        <f t="shared" si="3"/>
        <v>-200.76351551760001</v>
      </c>
      <c r="I28">
        <v>1</v>
      </c>
      <c r="J28">
        <f t="shared" si="4"/>
        <v>-1.3713472675775689</v>
      </c>
      <c r="K28">
        <f t="shared" si="5"/>
        <v>-0.4305851517752175</v>
      </c>
      <c r="L28">
        <v>1</v>
      </c>
      <c r="M28">
        <f t="shared" si="6"/>
        <v>0.42088126089719613</v>
      </c>
      <c r="N28">
        <f t="shared" si="7"/>
        <v>1.8397950900000001E-2</v>
      </c>
      <c r="O28">
        <f t="shared" si="8"/>
        <v>1.3817495538000001E-2</v>
      </c>
      <c r="P28">
        <f t="shared" si="9"/>
        <v>-2.2511555559978632E-2</v>
      </c>
      <c r="V28">
        <v>-3.6000000000000099</v>
      </c>
      <c r="W28">
        <f t="shared" si="10"/>
        <v>-0.3079999999999995</v>
      </c>
      <c r="Y28">
        <v>0.24</v>
      </c>
      <c r="Z28">
        <f t="shared" si="11"/>
        <v>2.5451163999999999</v>
      </c>
    </row>
    <row r="29" spans="1:26" x14ac:dyDescent="0.3">
      <c r="A29">
        <v>1.3233069</v>
      </c>
      <c r="B29">
        <v>0.78798999999999997</v>
      </c>
      <c r="C29">
        <f t="shared" si="0"/>
        <v>1.042752604131</v>
      </c>
      <c r="D29">
        <v>1.4500000000000001E-2</v>
      </c>
      <c r="E29">
        <v>1.089E-2</v>
      </c>
      <c r="F29">
        <f t="shared" si="1"/>
        <v>264.66138000000001</v>
      </c>
      <c r="G29">
        <f t="shared" si="2"/>
        <v>-0.78798999999999997</v>
      </c>
      <c r="H29">
        <f t="shared" si="3"/>
        <v>-208.5505208262</v>
      </c>
      <c r="I29">
        <v>1</v>
      </c>
      <c r="J29">
        <f t="shared" si="4"/>
        <v>-1.3293040814136934</v>
      </c>
      <c r="K29">
        <f t="shared" si="5"/>
        <v>-0.43373515177521749</v>
      </c>
      <c r="L29">
        <v>1</v>
      </c>
      <c r="M29">
        <f t="shared" si="6"/>
        <v>0.4230107482763964</v>
      </c>
      <c r="N29">
        <f t="shared" si="7"/>
        <v>1.9187950049999999E-2</v>
      </c>
      <c r="O29">
        <f t="shared" si="8"/>
        <v>1.4410812141E-2</v>
      </c>
      <c r="P29">
        <f t="shared" si="9"/>
        <v>-2.2874358692178909E-2</v>
      </c>
      <c r="V29">
        <v>-3.5000000000000102</v>
      </c>
      <c r="W29">
        <f t="shared" si="10"/>
        <v>-0.31306499999999948</v>
      </c>
      <c r="Y29">
        <v>0.25</v>
      </c>
      <c r="Z29">
        <f t="shared" si="11"/>
        <v>2.6689425</v>
      </c>
    </row>
    <row r="30" spans="1:26" x14ac:dyDescent="0.3">
      <c r="A30">
        <v>1.3767711</v>
      </c>
      <c r="B30">
        <v>0.78473999999999999</v>
      </c>
      <c r="C30">
        <f t="shared" si="0"/>
        <v>1.0804073530139999</v>
      </c>
      <c r="D30">
        <v>1.4500000000000001E-2</v>
      </c>
      <c r="E30">
        <v>1.089E-2</v>
      </c>
      <c r="F30">
        <f t="shared" si="1"/>
        <v>275.35422</v>
      </c>
      <c r="G30">
        <f t="shared" si="2"/>
        <v>-0.78473999999999999</v>
      </c>
      <c r="H30">
        <f t="shared" si="3"/>
        <v>-216.08147060279998</v>
      </c>
      <c r="I30">
        <v>1</v>
      </c>
      <c r="J30">
        <f t="shared" si="4"/>
        <v>-1.2896969374422953</v>
      </c>
      <c r="K30">
        <f t="shared" si="5"/>
        <v>-0.43698515177521746</v>
      </c>
      <c r="L30">
        <v>1</v>
      </c>
      <c r="M30">
        <f t="shared" si="6"/>
        <v>0.42501685011854773</v>
      </c>
      <c r="N30">
        <f t="shared" si="7"/>
        <v>1.9963180950000003E-2</v>
      </c>
      <c r="O30">
        <f t="shared" si="8"/>
        <v>1.4993037279000001E-2</v>
      </c>
      <c r="P30">
        <f t="shared" si="9"/>
        <v>-2.2987916572330271E-2</v>
      </c>
      <c r="V30">
        <v>-3.4000000000000101</v>
      </c>
      <c r="W30">
        <f t="shared" si="10"/>
        <v>-0.31812999999999947</v>
      </c>
      <c r="Y30">
        <v>0.26</v>
      </c>
      <c r="Z30">
        <f t="shared" si="11"/>
        <v>2.7927686</v>
      </c>
    </row>
    <row r="31" spans="1:26" x14ac:dyDescent="0.3">
      <c r="A31">
        <v>1.4287078</v>
      </c>
      <c r="B31">
        <v>0.78183999999999998</v>
      </c>
      <c r="C31">
        <f t="shared" si="0"/>
        <v>1.117020906352</v>
      </c>
      <c r="D31">
        <v>1.4500000000000001E-2</v>
      </c>
      <c r="E31">
        <v>1.089E-2</v>
      </c>
      <c r="F31">
        <f t="shared" si="1"/>
        <v>285.74155999999999</v>
      </c>
      <c r="G31">
        <f t="shared" si="2"/>
        <v>-0.78183999999999998</v>
      </c>
      <c r="H31">
        <f t="shared" si="3"/>
        <v>-223.40418127040002</v>
      </c>
      <c r="I31">
        <v>1</v>
      </c>
      <c r="J31">
        <f t="shared" si="4"/>
        <v>-1.2526675130513838</v>
      </c>
      <c r="K31">
        <f t="shared" si="5"/>
        <v>-0.43988515177521748</v>
      </c>
      <c r="L31">
        <v>1</v>
      </c>
      <c r="M31">
        <f t="shared" si="6"/>
        <v>0.42689239046394739</v>
      </c>
      <c r="N31">
        <f t="shared" si="7"/>
        <v>2.07162631E-2</v>
      </c>
      <c r="O31">
        <f t="shared" si="8"/>
        <v>1.5558627942000001E-2</v>
      </c>
      <c r="P31">
        <f t="shared" si="9"/>
        <v>-2.3282129730729916E-2</v>
      </c>
      <c r="V31">
        <v>-3.30000000000001</v>
      </c>
      <c r="W31">
        <f t="shared" si="10"/>
        <v>-0.32319499999999945</v>
      </c>
      <c r="Y31">
        <v>0.27</v>
      </c>
      <c r="Z31">
        <f t="shared" si="11"/>
        <v>2.9165947000000001</v>
      </c>
    </row>
    <row r="32" spans="1:26" x14ac:dyDescent="0.3">
      <c r="A32">
        <v>1.4791169</v>
      </c>
      <c r="B32">
        <v>0.77886</v>
      </c>
      <c r="C32">
        <f t="shared" si="0"/>
        <v>1.1520249887339999</v>
      </c>
      <c r="D32">
        <v>1.4500000000000001E-2</v>
      </c>
      <c r="E32">
        <v>1.089E-2</v>
      </c>
      <c r="F32">
        <f t="shared" si="1"/>
        <v>295.82337999999999</v>
      </c>
      <c r="G32">
        <f t="shared" si="2"/>
        <v>-0.77886</v>
      </c>
      <c r="H32">
        <f t="shared" si="3"/>
        <v>-230.40499774679998</v>
      </c>
      <c r="I32">
        <v>1</v>
      </c>
      <c r="J32">
        <f t="shared" si="4"/>
        <v>-1.2179926919371067</v>
      </c>
      <c r="K32">
        <f t="shared" si="5"/>
        <v>-0.44286515177521746</v>
      </c>
      <c r="L32">
        <v>1</v>
      </c>
      <c r="M32">
        <f t="shared" si="6"/>
        <v>0.42864867015338554</v>
      </c>
      <c r="N32">
        <f t="shared" si="7"/>
        <v>2.1447195049999999E-2</v>
      </c>
      <c r="O32">
        <f t="shared" si="8"/>
        <v>1.6107583041E-2</v>
      </c>
      <c r="P32">
        <f t="shared" si="9"/>
        <v>-2.3338296469168077E-2</v>
      </c>
      <c r="V32">
        <v>-3.2000000000000099</v>
      </c>
      <c r="W32">
        <f t="shared" si="10"/>
        <v>-0.3282599999999995</v>
      </c>
    </row>
    <row r="33" spans="1:23" x14ac:dyDescent="0.3">
      <c r="A33">
        <v>1.5295259999999999</v>
      </c>
      <c r="B33">
        <v>0.77615000000000001</v>
      </c>
      <c r="C33">
        <f t="shared" si="0"/>
        <v>1.1871416048999999</v>
      </c>
      <c r="D33">
        <v>1.4500000000000001E-2</v>
      </c>
      <c r="E33">
        <v>1.089E-2</v>
      </c>
      <c r="F33">
        <f t="shared" si="1"/>
        <v>305.90519999999998</v>
      </c>
      <c r="G33">
        <f t="shared" si="2"/>
        <v>-0.77615000000000001</v>
      </c>
      <c r="H33">
        <f t="shared" si="3"/>
        <v>-237.42832097999997</v>
      </c>
      <c r="I33">
        <v>1</v>
      </c>
      <c r="J33">
        <f t="shared" si="4"/>
        <v>-1.1844800289504736</v>
      </c>
      <c r="K33">
        <f t="shared" si="5"/>
        <v>-0.44557515177521745</v>
      </c>
      <c r="L33">
        <v>1</v>
      </c>
      <c r="M33">
        <f t="shared" si="6"/>
        <v>0.43034608653365852</v>
      </c>
      <c r="N33">
        <f t="shared" si="7"/>
        <v>2.2178126999999999E-2</v>
      </c>
      <c r="O33">
        <f t="shared" si="8"/>
        <v>1.665653814E-2</v>
      </c>
      <c r="P33">
        <f t="shared" si="9"/>
        <v>-2.3605599898441073E-2</v>
      </c>
      <c r="V33">
        <v>-3.1000000000000099</v>
      </c>
      <c r="W33">
        <f t="shared" si="10"/>
        <v>-0.33332499999999954</v>
      </c>
    </row>
    <row r="34" spans="1:23" x14ac:dyDescent="0.3">
      <c r="A34">
        <v>1.5814629</v>
      </c>
      <c r="B34">
        <v>0.77322999999999997</v>
      </c>
      <c r="C34">
        <f t="shared" si="0"/>
        <v>1.2228345581669999</v>
      </c>
      <c r="D34">
        <v>1.4500000000000001E-2</v>
      </c>
      <c r="E34">
        <v>1.089E-2</v>
      </c>
      <c r="F34">
        <f t="shared" si="1"/>
        <v>316.29257999999999</v>
      </c>
      <c r="G34">
        <f t="shared" si="2"/>
        <v>-0.77322999999999997</v>
      </c>
      <c r="H34">
        <f t="shared" si="3"/>
        <v>-244.5669116334</v>
      </c>
      <c r="I34">
        <v>1</v>
      </c>
      <c r="J34">
        <f t="shared" si="4"/>
        <v>-1.1510876076873955</v>
      </c>
      <c r="K34">
        <f t="shared" si="5"/>
        <v>-0.44849515177521748</v>
      </c>
      <c r="L34">
        <v>1</v>
      </c>
      <c r="M34">
        <f t="shared" si="6"/>
        <v>0.43203741267063345</v>
      </c>
      <c r="N34">
        <f t="shared" si="7"/>
        <v>2.293121205E-2</v>
      </c>
      <c r="O34">
        <f t="shared" si="8"/>
        <v>1.7222130981000002E-2</v>
      </c>
      <c r="P34">
        <f t="shared" si="9"/>
        <v>-2.3695603926415967E-2</v>
      </c>
      <c r="V34">
        <v>-3.0000000000000102</v>
      </c>
      <c r="W34">
        <f t="shared" si="10"/>
        <v>-0.33838999999999947</v>
      </c>
    </row>
    <row r="35" spans="1:23" x14ac:dyDescent="0.3">
      <c r="A35">
        <v>1.6328902999999999</v>
      </c>
      <c r="B35">
        <v>0.77053000000000005</v>
      </c>
      <c r="C35">
        <f t="shared" si="0"/>
        <v>1.258190962859</v>
      </c>
      <c r="D35">
        <v>1.4500000000000001E-2</v>
      </c>
      <c r="E35">
        <v>1.089E-2</v>
      </c>
      <c r="F35">
        <f t="shared" si="1"/>
        <v>326.57805999999999</v>
      </c>
      <c r="G35">
        <f t="shared" si="2"/>
        <v>-0.77053000000000005</v>
      </c>
      <c r="H35">
        <f t="shared" si="3"/>
        <v>-251.6381925718</v>
      </c>
      <c r="I35">
        <v>1</v>
      </c>
      <c r="J35">
        <f t="shared" si="4"/>
        <v>-1.1190862776771391</v>
      </c>
      <c r="K35">
        <f t="shared" si="5"/>
        <v>-0.45119515177521741</v>
      </c>
      <c r="L35">
        <v>1</v>
      </c>
      <c r="M35">
        <f t="shared" si="6"/>
        <v>0.43365828003565288</v>
      </c>
      <c r="N35">
        <f t="shared" si="7"/>
        <v>2.3676909350000001E-2</v>
      </c>
      <c r="O35">
        <f t="shared" si="8"/>
        <v>1.7782175367000001E-2</v>
      </c>
      <c r="P35">
        <f t="shared" si="9"/>
        <v>-2.3922212977435471E-2</v>
      </c>
      <c r="V35">
        <v>-2.9000000000000101</v>
      </c>
      <c r="W35">
        <f t="shared" si="10"/>
        <v>-0.34345499999999951</v>
      </c>
    </row>
    <row r="36" spans="1:23" x14ac:dyDescent="0.3">
      <c r="A36">
        <v>1.6832993999999999</v>
      </c>
      <c r="B36">
        <v>0.76785999999999999</v>
      </c>
      <c r="C36">
        <f t="shared" si="0"/>
        <v>1.2925382772839999</v>
      </c>
      <c r="D36">
        <v>1.4500000000000001E-2</v>
      </c>
      <c r="E36">
        <v>1.089E-2</v>
      </c>
      <c r="F36">
        <f t="shared" si="1"/>
        <v>336.65987999999999</v>
      </c>
      <c r="G36">
        <f t="shared" si="2"/>
        <v>-0.76785999999999999</v>
      </c>
      <c r="H36">
        <f t="shared" si="3"/>
        <v>-258.50765545679997</v>
      </c>
      <c r="I36">
        <v>1</v>
      </c>
      <c r="J36">
        <f t="shared" si="4"/>
        <v>-1.0886821164339668</v>
      </c>
      <c r="K36">
        <f t="shared" si="5"/>
        <v>-0.45386515177521747</v>
      </c>
      <c r="L36">
        <v>1</v>
      </c>
      <c r="M36">
        <f t="shared" si="6"/>
        <v>0.43519825080261959</v>
      </c>
      <c r="N36">
        <f t="shared" si="7"/>
        <v>2.44078413E-2</v>
      </c>
      <c r="O36">
        <f t="shared" si="8"/>
        <v>1.8331130466E-2</v>
      </c>
      <c r="P36">
        <f t="shared" si="9"/>
        <v>-2.4072070793402123E-2</v>
      </c>
      <c r="V36">
        <v>-2.80000000000001</v>
      </c>
      <c r="W36">
        <f t="shared" ref="W36:W67" si="12">V36*$S$5+$S$4</f>
        <v>-0.3485199999999995</v>
      </c>
    </row>
    <row r="37" spans="1:23" x14ac:dyDescent="0.3">
      <c r="A37">
        <v>1.7357452</v>
      </c>
      <c r="B37">
        <v>0.76505000000000001</v>
      </c>
      <c r="C37">
        <f t="shared" si="0"/>
        <v>1.3279318652600001</v>
      </c>
      <c r="D37">
        <v>1.4500000000000001E-2</v>
      </c>
      <c r="E37">
        <v>1.089E-2</v>
      </c>
      <c r="F37">
        <f t="shared" si="1"/>
        <v>347.14904000000001</v>
      </c>
      <c r="G37">
        <f t="shared" si="2"/>
        <v>-0.76505000000000001</v>
      </c>
      <c r="H37">
        <f t="shared" si="3"/>
        <v>-265.586373052</v>
      </c>
      <c r="I37">
        <v>1</v>
      </c>
      <c r="J37">
        <f t="shared" si="4"/>
        <v>-1.0580010811618763</v>
      </c>
      <c r="K37">
        <f t="shared" si="5"/>
        <v>-0.45667515177521745</v>
      </c>
      <c r="L37">
        <v>1</v>
      </c>
      <c r="M37">
        <f t="shared" si="6"/>
        <v>0.43675224523915096</v>
      </c>
      <c r="N37">
        <f t="shared" si="7"/>
        <v>2.51683054E-2</v>
      </c>
      <c r="O37">
        <f t="shared" si="8"/>
        <v>1.8902265228000002E-2</v>
      </c>
      <c r="P37">
        <f t="shared" si="9"/>
        <v>-2.4147664091933516E-2</v>
      </c>
      <c r="V37">
        <v>-2.7000000000000099</v>
      </c>
      <c r="W37">
        <f t="shared" si="12"/>
        <v>-0.35358499999999948</v>
      </c>
    </row>
    <row r="38" spans="1:23" x14ac:dyDescent="0.3">
      <c r="A38">
        <v>1.7866636</v>
      </c>
      <c r="B38">
        <v>0.76231000000000004</v>
      </c>
      <c r="C38">
        <f t="shared" si="0"/>
        <v>1.3619915289160001</v>
      </c>
      <c r="D38">
        <v>1.4500000000000001E-2</v>
      </c>
      <c r="E38">
        <v>1.089E-2</v>
      </c>
      <c r="F38">
        <f t="shared" si="1"/>
        <v>357.33271999999999</v>
      </c>
      <c r="G38">
        <f t="shared" si="2"/>
        <v>-0.76231000000000004</v>
      </c>
      <c r="H38">
        <f t="shared" si="3"/>
        <v>-272.39830578319999</v>
      </c>
      <c r="I38">
        <v>1</v>
      </c>
      <c r="J38">
        <f t="shared" si="4"/>
        <v>-1.029087942438883</v>
      </c>
      <c r="K38">
        <f t="shared" si="5"/>
        <v>-0.45941515177521741</v>
      </c>
      <c r="L38">
        <v>1</v>
      </c>
      <c r="M38">
        <f t="shared" si="6"/>
        <v>0.43821669571547056</v>
      </c>
      <c r="N38">
        <f t="shared" si="7"/>
        <v>2.59066222E-2</v>
      </c>
      <c r="O38">
        <f t="shared" si="8"/>
        <v>1.9456766604E-2</v>
      </c>
      <c r="P38">
        <f t="shared" si="9"/>
        <v>-2.4164932744253149E-2</v>
      </c>
      <c r="V38">
        <v>-2.6000000000000099</v>
      </c>
      <c r="W38">
        <f t="shared" si="12"/>
        <v>-0.35864999999999947</v>
      </c>
    </row>
    <row r="39" spans="1:23" x14ac:dyDescent="0.3">
      <c r="A39">
        <v>1.8396188</v>
      </c>
      <c r="B39">
        <v>0.75973000000000002</v>
      </c>
      <c r="C39">
        <f t="shared" si="0"/>
        <v>1.3976135909239999</v>
      </c>
      <c r="D39">
        <v>1.4500000000000001E-2</v>
      </c>
      <c r="E39">
        <v>1.089E-2</v>
      </c>
      <c r="F39">
        <f t="shared" si="1"/>
        <v>367.92376000000002</v>
      </c>
      <c r="G39">
        <f t="shared" si="2"/>
        <v>-0.75973000000000002</v>
      </c>
      <c r="H39">
        <f t="shared" si="3"/>
        <v>-279.5227181848</v>
      </c>
      <c r="I39">
        <v>1</v>
      </c>
      <c r="J39">
        <f t="shared" si="4"/>
        <v>-0.99987953618972925</v>
      </c>
      <c r="K39">
        <f t="shared" si="5"/>
        <v>-0.46199515177521744</v>
      </c>
      <c r="L39">
        <v>1</v>
      </c>
      <c r="M39">
        <f t="shared" si="6"/>
        <v>0.43969610149199023</v>
      </c>
      <c r="N39">
        <f t="shared" si="7"/>
        <v>2.6674472600000002E-2</v>
      </c>
      <c r="O39">
        <f t="shared" si="8"/>
        <v>2.0033448732000001E-2</v>
      </c>
      <c r="P39">
        <f t="shared" si="9"/>
        <v>-2.4408871048772797E-2</v>
      </c>
      <c r="V39">
        <v>-2.5000000000000102</v>
      </c>
      <c r="W39">
        <f t="shared" si="12"/>
        <v>-0.36371499999999946</v>
      </c>
    </row>
    <row r="40" spans="1:23" x14ac:dyDescent="0.3">
      <c r="A40">
        <v>1.8925737</v>
      </c>
      <c r="B40">
        <v>0.75683</v>
      </c>
      <c r="C40">
        <f t="shared" si="0"/>
        <v>1.4323565533710001</v>
      </c>
      <c r="D40">
        <v>1.4500000000000001E-2</v>
      </c>
      <c r="E40">
        <v>1.089E-2</v>
      </c>
      <c r="F40">
        <f t="shared" si="1"/>
        <v>378.51474000000002</v>
      </c>
      <c r="G40">
        <f t="shared" si="2"/>
        <v>-0.75683</v>
      </c>
      <c r="H40">
        <f t="shared" si="3"/>
        <v>-286.47131067420003</v>
      </c>
      <c r="I40">
        <v>1</v>
      </c>
      <c r="J40">
        <f t="shared" si="4"/>
        <v>-0.97150026366607056</v>
      </c>
      <c r="K40">
        <f t="shared" si="5"/>
        <v>-0.46489515177521745</v>
      </c>
      <c r="L40">
        <v>1</v>
      </c>
      <c r="M40">
        <f t="shared" si="6"/>
        <v>0.4411335116453135</v>
      </c>
      <c r="N40">
        <f t="shared" si="7"/>
        <v>2.7442318650000002E-2</v>
      </c>
      <c r="O40">
        <f t="shared" si="8"/>
        <v>2.0610127593000002E-2</v>
      </c>
      <c r="P40">
        <f t="shared" si="9"/>
        <v>-2.4290806113096055E-2</v>
      </c>
      <c r="V40">
        <v>-2.4000000000000101</v>
      </c>
      <c r="W40">
        <f t="shared" si="12"/>
        <v>-0.3687799999999995</v>
      </c>
    </row>
    <row r="41" spans="1:23" x14ac:dyDescent="0.3">
      <c r="A41">
        <v>1.9429829000000001</v>
      </c>
      <c r="B41">
        <v>0.75448000000000004</v>
      </c>
      <c r="C41">
        <f t="shared" si="0"/>
        <v>1.4659417383920001</v>
      </c>
      <c r="D41">
        <v>1.4500000000000001E-2</v>
      </c>
      <c r="E41">
        <v>1.089E-2</v>
      </c>
      <c r="F41">
        <f t="shared" si="1"/>
        <v>388.59658000000002</v>
      </c>
      <c r="G41">
        <f t="shared" si="2"/>
        <v>-0.75448000000000004</v>
      </c>
      <c r="H41">
        <f t="shared" si="3"/>
        <v>-293.18834767840002</v>
      </c>
      <c r="I41">
        <v>1</v>
      </c>
      <c r="J41">
        <f t="shared" si="4"/>
        <v>-0.94521354290099358</v>
      </c>
      <c r="K41">
        <f t="shared" si="5"/>
        <v>-0.46724515177521742</v>
      </c>
      <c r="L41">
        <v>1</v>
      </c>
      <c r="M41">
        <f t="shared" si="6"/>
        <v>0.44246493405206466</v>
      </c>
      <c r="N41">
        <f t="shared" si="7"/>
        <v>2.8173252050000003E-2</v>
      </c>
      <c r="O41">
        <f t="shared" si="8"/>
        <v>2.1159083781000003E-2</v>
      </c>
      <c r="P41">
        <f t="shared" si="9"/>
        <v>-2.4552118107847253E-2</v>
      </c>
      <c r="V41">
        <v>-2.30000000000001</v>
      </c>
      <c r="W41">
        <f t="shared" si="12"/>
        <v>-0.37384499999999948</v>
      </c>
    </row>
    <row r="42" spans="1:23" x14ac:dyDescent="0.3">
      <c r="A42">
        <v>1.9954288</v>
      </c>
      <c r="B42">
        <v>0.75166999999999995</v>
      </c>
      <c r="C42">
        <f t="shared" si="0"/>
        <v>1.4999039660959999</v>
      </c>
      <c r="D42">
        <v>1.4500000000000001E-2</v>
      </c>
      <c r="E42">
        <v>1.089E-2</v>
      </c>
      <c r="F42">
        <f t="shared" si="1"/>
        <v>399.08575999999999</v>
      </c>
      <c r="G42">
        <f t="shared" si="2"/>
        <v>-0.75166999999999995</v>
      </c>
      <c r="H42">
        <f t="shared" si="3"/>
        <v>-299.9807932192</v>
      </c>
      <c r="I42">
        <v>1</v>
      </c>
      <c r="J42">
        <f t="shared" si="4"/>
        <v>-0.91857894784463656</v>
      </c>
      <c r="K42">
        <f t="shared" si="5"/>
        <v>-0.47005515177521751</v>
      </c>
      <c r="L42">
        <v>1</v>
      </c>
      <c r="M42">
        <f t="shared" si="6"/>
        <v>0.44381397629166913</v>
      </c>
      <c r="N42">
        <f t="shared" si="7"/>
        <v>2.8933717600000002E-2</v>
      </c>
      <c r="O42">
        <f t="shared" si="8"/>
        <v>2.1730219631999999E-2</v>
      </c>
      <c r="P42">
        <f t="shared" si="9"/>
        <v>-2.4422761748451628E-2</v>
      </c>
      <c r="V42">
        <v>-2.2000000000000099</v>
      </c>
      <c r="W42">
        <f t="shared" si="12"/>
        <v>-0.37890999999999952</v>
      </c>
    </row>
    <row r="43" spans="1:23" x14ac:dyDescent="0.3">
      <c r="A43">
        <v>2.048384</v>
      </c>
      <c r="B43">
        <v>0.74924999999999997</v>
      </c>
      <c r="C43">
        <f t="shared" si="0"/>
        <v>1.5347517119999998</v>
      </c>
      <c r="D43">
        <v>1.4500000000000001E-2</v>
      </c>
      <c r="E43">
        <v>1.089E-2</v>
      </c>
      <c r="F43">
        <f t="shared" si="1"/>
        <v>409.67680000000001</v>
      </c>
      <c r="G43">
        <f t="shared" si="2"/>
        <v>-0.74924999999999997</v>
      </c>
      <c r="H43">
        <f t="shared" si="3"/>
        <v>-306.95034239999995</v>
      </c>
      <c r="I43">
        <v>1</v>
      </c>
      <c r="J43">
        <f t="shared" si="4"/>
        <v>-0.8923867228327671</v>
      </c>
      <c r="K43">
        <f t="shared" si="5"/>
        <v>-0.47247515177521748</v>
      </c>
      <c r="L43">
        <v>1</v>
      </c>
      <c r="M43">
        <f t="shared" si="6"/>
        <v>0.44514061248852033</v>
      </c>
      <c r="N43">
        <f t="shared" si="7"/>
        <v>2.9701568000000001E-2</v>
      </c>
      <c r="O43">
        <f t="shared" si="8"/>
        <v>2.2306901760000001E-2</v>
      </c>
      <c r="P43">
        <f t="shared" si="9"/>
        <v>-2.4673930473302845E-2</v>
      </c>
      <c r="V43">
        <v>-2.1000000000000099</v>
      </c>
      <c r="W43">
        <f t="shared" si="12"/>
        <v>-0.38397499999999951</v>
      </c>
    </row>
    <row r="44" spans="1:23" x14ac:dyDescent="0.3">
      <c r="A44">
        <v>2.0987930000000001</v>
      </c>
      <c r="B44">
        <v>0.74678</v>
      </c>
      <c r="C44">
        <f t="shared" si="0"/>
        <v>1.5673366365400001</v>
      </c>
      <c r="D44">
        <v>1.4500000000000001E-2</v>
      </c>
      <c r="E44">
        <v>1.089E-2</v>
      </c>
      <c r="F44">
        <f t="shared" si="1"/>
        <v>419.7586</v>
      </c>
      <c r="G44">
        <f t="shared" si="2"/>
        <v>-0.74678</v>
      </c>
      <c r="H44">
        <f t="shared" si="3"/>
        <v>-313.46732730799999</v>
      </c>
      <c r="I44">
        <v>1</v>
      </c>
      <c r="J44">
        <f t="shared" si="4"/>
        <v>-0.86807549484842694</v>
      </c>
      <c r="K44">
        <f t="shared" si="5"/>
        <v>-0.47494515177521746</v>
      </c>
      <c r="L44">
        <v>1</v>
      </c>
      <c r="M44">
        <f t="shared" si="6"/>
        <v>0.44637197618592717</v>
      </c>
      <c r="N44">
        <f t="shared" si="7"/>
        <v>3.0432498500000002E-2</v>
      </c>
      <c r="O44">
        <f t="shared" si="8"/>
        <v>2.2855855770000003E-2</v>
      </c>
      <c r="P44">
        <f t="shared" si="9"/>
        <v>-2.4715178680709715E-2</v>
      </c>
      <c r="V44">
        <v>-2.0000000000000102</v>
      </c>
      <c r="W44">
        <f t="shared" si="12"/>
        <v>-0.3890399999999995</v>
      </c>
    </row>
    <row r="45" spans="1:23" x14ac:dyDescent="0.3">
      <c r="A45">
        <v>2.1497114000000002</v>
      </c>
      <c r="B45">
        <v>0.74428000000000005</v>
      </c>
      <c r="C45">
        <f t="shared" si="0"/>
        <v>1.5999872007920002</v>
      </c>
      <c r="D45">
        <v>1.4500000000000001E-2</v>
      </c>
      <c r="E45">
        <v>1.089E-2</v>
      </c>
      <c r="F45">
        <f t="shared" si="1"/>
        <v>429.94228000000004</v>
      </c>
      <c r="G45">
        <f t="shared" si="2"/>
        <v>-0.74428000000000005</v>
      </c>
      <c r="H45">
        <f t="shared" si="3"/>
        <v>-319.99744015840002</v>
      </c>
      <c r="I45">
        <v>1</v>
      </c>
      <c r="J45">
        <f t="shared" si="4"/>
        <v>-0.84410431186266444</v>
      </c>
      <c r="K45">
        <f t="shared" si="5"/>
        <v>-0.4774451517752174</v>
      </c>
      <c r="L45">
        <v>1</v>
      </c>
      <c r="M45">
        <f t="shared" si="6"/>
        <v>0.44758611660415604</v>
      </c>
      <c r="N45">
        <f t="shared" si="7"/>
        <v>3.1170815300000005E-2</v>
      </c>
      <c r="O45">
        <f t="shared" si="8"/>
        <v>2.3410357146000003E-2</v>
      </c>
      <c r="P45">
        <f t="shared" si="9"/>
        <v>-2.4722137274938643E-2</v>
      </c>
      <c r="V45">
        <v>-1.9000000000000099</v>
      </c>
      <c r="W45">
        <f t="shared" si="12"/>
        <v>-0.39410499999999948</v>
      </c>
    </row>
    <row r="46" spans="1:23" x14ac:dyDescent="0.3">
      <c r="A46">
        <v>2.2016482000000002</v>
      </c>
      <c r="B46">
        <v>0.74197000000000002</v>
      </c>
      <c r="C46">
        <f t="shared" si="0"/>
        <v>1.6335569149540001</v>
      </c>
      <c r="D46">
        <v>1.4500000000000001E-2</v>
      </c>
      <c r="E46">
        <v>1.089E-2</v>
      </c>
      <c r="F46">
        <f t="shared" si="1"/>
        <v>440.32964000000004</v>
      </c>
      <c r="G46">
        <f t="shared" si="2"/>
        <v>-0.74197000000000002</v>
      </c>
      <c r="H46">
        <f t="shared" si="3"/>
        <v>-326.71138299080002</v>
      </c>
      <c r="I46">
        <v>1</v>
      </c>
      <c r="J46">
        <f t="shared" si="4"/>
        <v>-0.8202316507482601</v>
      </c>
      <c r="K46">
        <f t="shared" si="5"/>
        <v>-0.47975515177521744</v>
      </c>
      <c r="L46">
        <v>1</v>
      </c>
      <c r="M46">
        <f t="shared" si="6"/>
        <v>0.44879526688960064</v>
      </c>
      <c r="N46">
        <f t="shared" si="7"/>
        <v>3.1923898900000004E-2</v>
      </c>
      <c r="O46">
        <f t="shared" si="8"/>
        <v>2.3975948898000001E-2</v>
      </c>
      <c r="P46">
        <f t="shared" si="9"/>
        <v>-2.493996291238321E-2</v>
      </c>
      <c r="V46">
        <v>-1.80000000000001</v>
      </c>
      <c r="W46">
        <f t="shared" si="12"/>
        <v>-0.39916999999999947</v>
      </c>
    </row>
    <row r="47" spans="1:23" x14ac:dyDescent="0.3">
      <c r="A47">
        <v>2.2535847000000002</v>
      </c>
      <c r="B47">
        <v>0.73938000000000004</v>
      </c>
      <c r="C47">
        <f t="shared" si="0"/>
        <v>1.6662554554860003</v>
      </c>
      <c r="D47">
        <v>1.4500000000000001E-2</v>
      </c>
      <c r="E47">
        <v>1.089E-2</v>
      </c>
      <c r="F47">
        <f t="shared" si="1"/>
        <v>450.71694000000002</v>
      </c>
      <c r="G47">
        <f t="shared" si="2"/>
        <v>-0.73938000000000004</v>
      </c>
      <c r="H47">
        <f t="shared" si="3"/>
        <v>-333.25109109720006</v>
      </c>
      <c r="I47">
        <v>1</v>
      </c>
      <c r="J47">
        <f t="shared" si="4"/>
        <v>-0.79691576401450104</v>
      </c>
      <c r="K47">
        <f t="shared" si="5"/>
        <v>-0.48234515177521742</v>
      </c>
      <c r="L47">
        <v>1</v>
      </c>
      <c r="M47">
        <f t="shared" si="6"/>
        <v>0.44997621655266551</v>
      </c>
      <c r="N47">
        <f t="shared" si="7"/>
        <v>3.2676978150000008E-2</v>
      </c>
      <c r="O47">
        <f t="shared" si="8"/>
        <v>2.4541537383000002E-2</v>
      </c>
      <c r="P47">
        <f t="shared" si="9"/>
        <v>-2.4849580310448101E-2</v>
      </c>
      <c r="V47">
        <v>-1.7000000000000199</v>
      </c>
      <c r="W47">
        <f t="shared" si="12"/>
        <v>-0.40423499999999901</v>
      </c>
    </row>
    <row r="48" spans="1:23" x14ac:dyDescent="0.3">
      <c r="A48">
        <v>2.3060307999999998</v>
      </c>
      <c r="B48">
        <v>0.73675999999999997</v>
      </c>
      <c r="C48">
        <f t="shared" si="0"/>
        <v>1.6989912522079997</v>
      </c>
      <c r="D48">
        <v>1.4500000000000001E-2</v>
      </c>
      <c r="E48">
        <v>1.089E-2</v>
      </c>
      <c r="F48">
        <f t="shared" si="1"/>
        <v>461.20615999999995</v>
      </c>
      <c r="G48">
        <f t="shared" si="2"/>
        <v>-0.73675999999999997</v>
      </c>
      <c r="H48">
        <f t="shared" si="3"/>
        <v>-339.79825044159998</v>
      </c>
      <c r="I48">
        <v>1</v>
      </c>
      <c r="J48">
        <f t="shared" si="4"/>
        <v>-0.77391013421502486</v>
      </c>
      <c r="K48">
        <f t="shared" si="5"/>
        <v>-0.48496515177521748</v>
      </c>
      <c r="L48">
        <v>1</v>
      </c>
      <c r="M48">
        <f t="shared" si="6"/>
        <v>0.45114145170200898</v>
      </c>
      <c r="N48">
        <f t="shared" si="7"/>
        <v>3.3437446599999997E-2</v>
      </c>
      <c r="O48">
        <f t="shared" si="8"/>
        <v>2.5112675411999998E-2</v>
      </c>
      <c r="P48">
        <f t="shared" si="9"/>
        <v>-2.4726421938791487E-2</v>
      </c>
      <c r="V48">
        <v>-1.6000000000000201</v>
      </c>
      <c r="W48">
        <f t="shared" si="12"/>
        <v>-0.409299999999999</v>
      </c>
    </row>
    <row r="49" spans="1:23" x14ac:dyDescent="0.3">
      <c r="A49">
        <v>2.3625503000000001</v>
      </c>
      <c r="B49">
        <v>0.73421999999999998</v>
      </c>
      <c r="C49">
        <f t="shared" si="0"/>
        <v>1.7346316812660001</v>
      </c>
      <c r="D49">
        <v>1.4500000000000001E-2</v>
      </c>
      <c r="E49">
        <v>1.089E-2</v>
      </c>
      <c r="F49">
        <f t="shared" si="1"/>
        <v>472.51006000000001</v>
      </c>
      <c r="G49">
        <f t="shared" si="2"/>
        <v>-0.73421999999999998</v>
      </c>
      <c r="H49">
        <f t="shared" si="3"/>
        <v>-346.92633625320002</v>
      </c>
      <c r="I49">
        <v>1</v>
      </c>
      <c r="J49">
        <f t="shared" si="4"/>
        <v>-0.7496962412696988</v>
      </c>
      <c r="K49">
        <f t="shared" si="5"/>
        <v>-0.48750515177521747</v>
      </c>
      <c r="L49">
        <v>1</v>
      </c>
      <c r="M49">
        <f t="shared" si="6"/>
        <v>0.45236788537968975</v>
      </c>
      <c r="N49">
        <f t="shared" si="7"/>
        <v>3.4256979350000001E-2</v>
      </c>
      <c r="O49">
        <f t="shared" si="8"/>
        <v>2.5728172767000002E-2</v>
      </c>
      <c r="P49">
        <f t="shared" si="9"/>
        <v>-2.4847885721472281E-2</v>
      </c>
      <c r="V49">
        <v>-1.50000000000002</v>
      </c>
      <c r="W49">
        <f t="shared" si="12"/>
        <v>-0.41436499999999898</v>
      </c>
    </row>
    <row r="50" spans="1:23" x14ac:dyDescent="0.3">
      <c r="A50">
        <v>2.4185603000000002</v>
      </c>
      <c r="B50">
        <v>0.73153000000000001</v>
      </c>
      <c r="C50">
        <f t="shared" si="0"/>
        <v>1.7692494162590002</v>
      </c>
      <c r="D50">
        <v>1.4500000000000001E-2</v>
      </c>
      <c r="E50">
        <v>1.089E-2</v>
      </c>
      <c r="F50">
        <f t="shared" si="1"/>
        <v>483.71206000000006</v>
      </c>
      <c r="G50">
        <f t="shared" si="2"/>
        <v>-0.73153000000000001</v>
      </c>
      <c r="H50">
        <f t="shared" si="3"/>
        <v>-353.84988325180007</v>
      </c>
      <c r="I50">
        <v>1</v>
      </c>
      <c r="J50">
        <f t="shared" si="4"/>
        <v>-0.72626546665442404</v>
      </c>
      <c r="K50">
        <f t="shared" si="5"/>
        <v>-0.49019515177521744</v>
      </c>
      <c r="L50">
        <v>1</v>
      </c>
      <c r="M50">
        <f t="shared" si="6"/>
        <v>0.4535546541139534</v>
      </c>
      <c r="N50">
        <f t="shared" si="7"/>
        <v>3.5069124350000008E-2</v>
      </c>
      <c r="O50">
        <f t="shared" si="8"/>
        <v>2.6338121667000003E-2</v>
      </c>
      <c r="P50">
        <f t="shared" si="9"/>
        <v>-2.4766748355735974E-2</v>
      </c>
      <c r="V50">
        <v>-1.4000000000000199</v>
      </c>
      <c r="W50">
        <f t="shared" si="12"/>
        <v>-0.41942999999999897</v>
      </c>
    </row>
    <row r="51" spans="1:23" x14ac:dyDescent="0.3">
      <c r="A51">
        <v>2.4745702999999999</v>
      </c>
      <c r="B51">
        <v>0.72890999999999995</v>
      </c>
      <c r="C51">
        <f t="shared" si="0"/>
        <v>1.8037390373729998</v>
      </c>
      <c r="D51">
        <v>1.4500000000000001E-2</v>
      </c>
      <c r="E51">
        <v>1.089E-2</v>
      </c>
      <c r="F51">
        <f t="shared" si="1"/>
        <v>494.91405999999995</v>
      </c>
      <c r="G51">
        <f t="shared" si="2"/>
        <v>-0.72890999999999995</v>
      </c>
      <c r="H51">
        <f t="shared" si="3"/>
        <v>-360.74780747459994</v>
      </c>
      <c r="I51">
        <v>1</v>
      </c>
      <c r="J51">
        <f t="shared" si="4"/>
        <v>-0.7033711476480935</v>
      </c>
      <c r="K51">
        <f t="shared" si="5"/>
        <v>-0.49281515177521751</v>
      </c>
      <c r="L51">
        <v>1</v>
      </c>
      <c r="M51">
        <f t="shared" si="6"/>
        <v>0.45471425137162408</v>
      </c>
      <c r="N51">
        <f t="shared" si="7"/>
        <v>3.5881269350000002E-2</v>
      </c>
      <c r="O51">
        <f t="shared" si="8"/>
        <v>2.6948070567E-2</v>
      </c>
      <c r="P51">
        <f t="shared" si="9"/>
        <v>-2.4728439513406572E-2</v>
      </c>
      <c r="V51">
        <v>-1.30000000000002</v>
      </c>
      <c r="W51">
        <f t="shared" si="12"/>
        <v>-0.42449499999999896</v>
      </c>
    </row>
    <row r="52" spans="1:23" x14ac:dyDescent="0.3">
      <c r="A52">
        <v>2.5259977999999998</v>
      </c>
      <c r="B52">
        <v>0.72643000000000002</v>
      </c>
      <c r="C52">
        <f t="shared" si="0"/>
        <v>1.834960581854</v>
      </c>
      <c r="D52">
        <v>1.4500000000000001E-2</v>
      </c>
      <c r="E52">
        <v>1.089E-2</v>
      </c>
      <c r="F52">
        <f t="shared" si="1"/>
        <v>505.19955999999996</v>
      </c>
      <c r="G52">
        <f t="shared" si="2"/>
        <v>-0.72643000000000002</v>
      </c>
      <c r="H52">
        <f t="shared" si="3"/>
        <v>-366.99211637079998</v>
      </c>
      <c r="I52">
        <v>1</v>
      </c>
      <c r="J52">
        <f t="shared" si="4"/>
        <v>-0.6828017594483814</v>
      </c>
      <c r="K52">
        <f t="shared" si="5"/>
        <v>-0.49529515177521743</v>
      </c>
      <c r="L52">
        <v>1</v>
      </c>
      <c r="M52">
        <f t="shared" si="6"/>
        <v>0.45575609088393948</v>
      </c>
      <c r="N52">
        <f t="shared" si="7"/>
        <v>3.6626968099999997E-2</v>
      </c>
      <c r="O52">
        <f t="shared" si="8"/>
        <v>2.7508116042E-2</v>
      </c>
      <c r="P52">
        <f t="shared" si="9"/>
        <v>-2.4596023250722042E-2</v>
      </c>
      <c r="V52">
        <v>-1.2000000000000199</v>
      </c>
      <c r="W52">
        <f t="shared" si="12"/>
        <v>-0.429559999999999</v>
      </c>
    </row>
    <row r="53" spans="1:23" x14ac:dyDescent="0.3">
      <c r="A53">
        <v>2.5789526</v>
      </c>
      <c r="B53">
        <v>0.72411999999999999</v>
      </c>
      <c r="C53">
        <f t="shared" si="0"/>
        <v>1.8674711567119999</v>
      </c>
      <c r="D53">
        <v>1.4500000000000001E-2</v>
      </c>
      <c r="E53">
        <v>1.089E-2</v>
      </c>
      <c r="F53">
        <f t="shared" si="1"/>
        <v>515.79052000000001</v>
      </c>
      <c r="G53">
        <f t="shared" si="2"/>
        <v>-0.72411999999999999</v>
      </c>
      <c r="H53">
        <f t="shared" si="3"/>
        <v>-373.49423134239998</v>
      </c>
      <c r="I53">
        <v>1</v>
      </c>
      <c r="J53">
        <f t="shared" si="4"/>
        <v>-0.66205456492054315</v>
      </c>
      <c r="K53">
        <f t="shared" si="5"/>
        <v>-0.49760515177521747</v>
      </c>
      <c r="L53">
        <v>1</v>
      </c>
      <c r="M53">
        <f t="shared" si="6"/>
        <v>0.45680693628677449</v>
      </c>
      <c r="N53">
        <f t="shared" si="7"/>
        <v>3.7394812700000002E-2</v>
      </c>
      <c r="O53">
        <f t="shared" si="8"/>
        <v>2.8084793814000003E-2</v>
      </c>
      <c r="P53">
        <f t="shared" si="9"/>
        <v>-2.4681391025557026E-2</v>
      </c>
      <c r="V53">
        <v>-1.1000000000000201</v>
      </c>
      <c r="W53">
        <f t="shared" si="12"/>
        <v>-0.43462499999999898</v>
      </c>
    </row>
    <row r="54" spans="1:23" x14ac:dyDescent="0.3">
      <c r="A54">
        <v>2.6308896000000002</v>
      </c>
      <c r="B54">
        <v>0.72172999999999998</v>
      </c>
      <c r="C54">
        <f t="shared" si="0"/>
        <v>1.898791951008</v>
      </c>
      <c r="D54">
        <v>1.4500000000000001E-2</v>
      </c>
      <c r="E54">
        <v>1.089E-2</v>
      </c>
      <c r="F54">
        <f t="shared" si="1"/>
        <v>526.17792000000009</v>
      </c>
      <c r="G54">
        <f t="shared" si="2"/>
        <v>-0.72172999999999998</v>
      </c>
      <c r="H54">
        <f t="shared" si="3"/>
        <v>-379.75839020159998</v>
      </c>
      <c r="I54">
        <v>1</v>
      </c>
      <c r="J54">
        <f t="shared" si="4"/>
        <v>-0.64211587248781254</v>
      </c>
      <c r="K54">
        <f t="shared" si="5"/>
        <v>-0.49999515177521747</v>
      </c>
      <c r="L54">
        <v>1</v>
      </c>
      <c r="M54">
        <f t="shared" si="6"/>
        <v>0.4578168310584923</v>
      </c>
      <c r="N54">
        <f t="shared" si="7"/>
        <v>3.8147899200000002E-2</v>
      </c>
      <c r="O54">
        <f t="shared" si="8"/>
        <v>2.8650387744000003E-2</v>
      </c>
      <c r="P54">
        <f t="shared" si="9"/>
        <v>-2.4619966227274834E-2</v>
      </c>
      <c r="V54">
        <v>-1.00000000000002</v>
      </c>
      <c r="W54">
        <f t="shared" si="12"/>
        <v>-0.43968999999999897</v>
      </c>
    </row>
    <row r="55" spans="1:23" x14ac:dyDescent="0.3">
      <c r="A55">
        <v>2.6812985999999999</v>
      </c>
      <c r="B55">
        <v>0.71938000000000002</v>
      </c>
      <c r="C55">
        <f t="shared" si="0"/>
        <v>1.9288725868679999</v>
      </c>
      <c r="D55">
        <v>1.4500000000000001E-2</v>
      </c>
      <c r="E55">
        <v>1.089E-2</v>
      </c>
      <c r="F55">
        <f t="shared" si="1"/>
        <v>536.25972000000002</v>
      </c>
      <c r="G55">
        <f t="shared" si="2"/>
        <v>-0.71938000000000002</v>
      </c>
      <c r="H55">
        <f t="shared" si="3"/>
        <v>-385.77451737359996</v>
      </c>
      <c r="I55">
        <v>1</v>
      </c>
      <c r="J55">
        <f t="shared" si="4"/>
        <v>-0.62313668303005609</v>
      </c>
      <c r="K55">
        <f t="shared" si="5"/>
        <v>-0.50234515177521744</v>
      </c>
      <c r="L55">
        <v>1</v>
      </c>
      <c r="M55">
        <f t="shared" si="6"/>
        <v>0.45877812700452764</v>
      </c>
      <c r="N55">
        <f t="shared" si="7"/>
        <v>3.8878829699999999E-2</v>
      </c>
      <c r="O55">
        <f t="shared" si="8"/>
        <v>2.9199341753999998E-2</v>
      </c>
      <c r="P55">
        <f t="shared" si="9"/>
        <v>-2.4511146683310198E-2</v>
      </c>
      <c r="V55">
        <v>-0.90000000000002001</v>
      </c>
      <c r="W55">
        <f t="shared" si="12"/>
        <v>-0.44475499999999901</v>
      </c>
    </row>
    <row r="56" spans="1:23" x14ac:dyDescent="0.3">
      <c r="A56">
        <v>2.7337444</v>
      </c>
      <c r="B56">
        <v>0.71686000000000005</v>
      </c>
      <c r="C56">
        <f t="shared" si="0"/>
        <v>1.959712010584</v>
      </c>
      <c r="D56">
        <v>1.4500000000000001E-2</v>
      </c>
      <c r="E56">
        <v>1.089E-2</v>
      </c>
      <c r="F56">
        <f t="shared" si="1"/>
        <v>546.74887999999999</v>
      </c>
      <c r="G56">
        <f t="shared" si="2"/>
        <v>-0.71686000000000005</v>
      </c>
      <c r="H56">
        <f t="shared" si="3"/>
        <v>-391.9424021168</v>
      </c>
      <c r="I56">
        <v>1</v>
      </c>
      <c r="J56">
        <f t="shared" si="4"/>
        <v>-0.60376566789557928</v>
      </c>
      <c r="K56">
        <f t="shared" si="5"/>
        <v>-0.5048651517752174</v>
      </c>
      <c r="L56">
        <v>1</v>
      </c>
      <c r="M56">
        <f t="shared" si="6"/>
        <v>0.45975926892108893</v>
      </c>
      <c r="N56">
        <f t="shared" si="7"/>
        <v>3.9639293800000003E-2</v>
      </c>
      <c r="O56">
        <f t="shared" si="8"/>
        <v>2.9770476516E-2</v>
      </c>
      <c r="P56">
        <f t="shared" si="9"/>
        <v>-2.4303887461871527E-2</v>
      </c>
      <c r="V56">
        <v>-0.80000000000002003</v>
      </c>
      <c r="W56">
        <f t="shared" si="12"/>
        <v>-0.449819999999999</v>
      </c>
    </row>
    <row r="57" spans="1:23" x14ac:dyDescent="0.3">
      <c r="A57">
        <v>2.7866996999999998</v>
      </c>
      <c r="B57">
        <v>0.71492</v>
      </c>
      <c r="C57">
        <f t="shared" si="0"/>
        <v>1.9922673495239998</v>
      </c>
      <c r="D57">
        <v>1.4500000000000001E-2</v>
      </c>
      <c r="E57">
        <v>1.089E-2</v>
      </c>
      <c r="F57">
        <f t="shared" si="1"/>
        <v>557.33993999999996</v>
      </c>
      <c r="G57">
        <f t="shared" si="2"/>
        <v>-0.71492</v>
      </c>
      <c r="H57">
        <f t="shared" si="3"/>
        <v>-398.45346990479993</v>
      </c>
      <c r="I57">
        <v>1</v>
      </c>
      <c r="J57">
        <f t="shared" si="4"/>
        <v>-0.58457992000887316</v>
      </c>
      <c r="K57">
        <f t="shared" si="5"/>
        <v>-0.50680515177521746</v>
      </c>
      <c r="L57">
        <v>1</v>
      </c>
      <c r="M57">
        <f t="shared" si="6"/>
        <v>0.46073102705155056</v>
      </c>
      <c r="N57">
        <f t="shared" si="7"/>
        <v>4.0407145649999997E-2</v>
      </c>
      <c r="O57">
        <f t="shared" si="8"/>
        <v>3.0347159733E-2</v>
      </c>
      <c r="P57">
        <f t="shared" si="9"/>
        <v>-2.4680180659333098E-2</v>
      </c>
      <c r="V57">
        <v>-0.70000000000002005</v>
      </c>
      <c r="W57">
        <f t="shared" si="12"/>
        <v>-0.45488499999999898</v>
      </c>
    </row>
    <row r="58" spans="1:23" x14ac:dyDescent="0.3">
      <c r="A58">
        <v>2.8381272000000002</v>
      </c>
      <c r="B58">
        <v>0.71235999999999999</v>
      </c>
      <c r="C58">
        <f t="shared" si="0"/>
        <v>2.0217682921920002</v>
      </c>
      <c r="D58">
        <v>1.4500000000000001E-2</v>
      </c>
      <c r="E58">
        <v>1.089E-2</v>
      </c>
      <c r="F58">
        <f t="shared" si="1"/>
        <v>567.62544000000003</v>
      </c>
      <c r="G58">
        <f t="shared" si="2"/>
        <v>-0.71235999999999999</v>
      </c>
      <c r="H58">
        <f t="shared" si="3"/>
        <v>-404.35365843840003</v>
      </c>
      <c r="I58">
        <v>1</v>
      </c>
      <c r="J58">
        <f t="shared" si="4"/>
        <v>-0.5662935144046658</v>
      </c>
      <c r="K58">
        <f t="shared" si="5"/>
        <v>-0.50936515177521746</v>
      </c>
      <c r="L58">
        <v>1</v>
      </c>
      <c r="M58">
        <f t="shared" si="6"/>
        <v>0.46165723349540366</v>
      </c>
      <c r="N58">
        <f t="shared" si="7"/>
        <v>4.1152844400000006E-2</v>
      </c>
      <c r="O58">
        <f t="shared" si="8"/>
        <v>3.0907205208000003E-2</v>
      </c>
      <c r="P58">
        <f t="shared" si="9"/>
        <v>-2.435213132818621E-2</v>
      </c>
      <c r="V58">
        <v>-0.60000000000001996</v>
      </c>
      <c r="W58">
        <f t="shared" si="12"/>
        <v>-0.45994999999999897</v>
      </c>
    </row>
    <row r="59" spans="1:23" x14ac:dyDescent="0.3">
      <c r="A59">
        <v>2.8926099000000001</v>
      </c>
      <c r="B59">
        <v>0.71001000000000003</v>
      </c>
      <c r="C59">
        <f t="shared" si="0"/>
        <v>2.0537819550990002</v>
      </c>
      <c r="D59">
        <v>1.4500000000000001E-2</v>
      </c>
      <c r="E59">
        <v>1.089E-2</v>
      </c>
      <c r="F59">
        <f t="shared" si="1"/>
        <v>578.52197999999999</v>
      </c>
      <c r="G59">
        <f t="shared" si="2"/>
        <v>-0.71001000000000003</v>
      </c>
      <c r="H59">
        <f t="shared" si="3"/>
        <v>-410.75639101980005</v>
      </c>
      <c r="I59">
        <v>1</v>
      </c>
      <c r="J59">
        <f t="shared" si="4"/>
        <v>-0.54727873825601592</v>
      </c>
      <c r="K59">
        <f t="shared" si="5"/>
        <v>-0.51171515177521743</v>
      </c>
      <c r="L59">
        <v>1</v>
      </c>
      <c r="M59">
        <f t="shared" si="6"/>
        <v>0.46262033190733282</v>
      </c>
      <c r="N59">
        <f t="shared" si="7"/>
        <v>4.1942843550000004E-2</v>
      </c>
      <c r="O59">
        <f t="shared" si="8"/>
        <v>3.1500521811E-2</v>
      </c>
      <c r="P59">
        <f t="shared" si="9"/>
        <v>-2.4348545493115395E-2</v>
      </c>
      <c r="V59">
        <v>-0.50000000000001998</v>
      </c>
      <c r="W59">
        <f t="shared" si="12"/>
        <v>-0.46501499999999896</v>
      </c>
    </row>
    <row r="60" spans="1:23" x14ac:dyDescent="0.3">
      <c r="A60">
        <v>2.9455646999999998</v>
      </c>
      <c r="B60">
        <v>0.70762000000000003</v>
      </c>
      <c r="C60">
        <f t="shared" si="0"/>
        <v>2.0843404930139999</v>
      </c>
      <c r="D60">
        <v>1.4500000000000001E-2</v>
      </c>
      <c r="E60">
        <v>1.089E-2</v>
      </c>
      <c r="F60">
        <f t="shared" si="1"/>
        <v>589.11293999999998</v>
      </c>
      <c r="G60">
        <f t="shared" si="2"/>
        <v>-0.70762000000000003</v>
      </c>
      <c r="H60">
        <f t="shared" si="3"/>
        <v>-416.86809860279999</v>
      </c>
      <c r="I60">
        <v>1</v>
      </c>
      <c r="J60">
        <f t="shared" si="4"/>
        <v>-0.52913736498533237</v>
      </c>
      <c r="K60">
        <f t="shared" si="5"/>
        <v>-0.51410515177521743</v>
      </c>
      <c r="L60">
        <v>1</v>
      </c>
      <c r="M60">
        <f t="shared" si="6"/>
        <v>0.4635391924634929</v>
      </c>
      <c r="N60">
        <f t="shared" si="7"/>
        <v>4.2710688150000002E-2</v>
      </c>
      <c r="O60">
        <f t="shared" si="8"/>
        <v>3.2077199582999996E-2</v>
      </c>
      <c r="P60">
        <f t="shared" si="9"/>
        <v>-2.422192842127547E-2</v>
      </c>
      <c r="V60">
        <v>-0.40000000000002001</v>
      </c>
      <c r="W60">
        <f t="shared" si="12"/>
        <v>-0.470079999999999</v>
      </c>
    </row>
    <row r="61" spans="1:23" x14ac:dyDescent="0.3">
      <c r="A61">
        <v>2.9964832000000001</v>
      </c>
      <c r="B61">
        <v>0.70516000000000001</v>
      </c>
      <c r="C61">
        <f t="shared" si="0"/>
        <v>2.1130000933119999</v>
      </c>
      <c r="D61">
        <v>1.4500000000000001E-2</v>
      </c>
      <c r="E61">
        <v>1.089E-2</v>
      </c>
      <c r="F61">
        <f t="shared" si="1"/>
        <v>599.29664000000002</v>
      </c>
      <c r="G61">
        <f t="shared" si="2"/>
        <v>-0.70516000000000001</v>
      </c>
      <c r="H61">
        <f t="shared" si="3"/>
        <v>-422.60001866239998</v>
      </c>
      <c r="I61">
        <v>1</v>
      </c>
      <c r="J61">
        <f t="shared" si="4"/>
        <v>-0.51199857807467852</v>
      </c>
      <c r="K61">
        <f t="shared" si="5"/>
        <v>-0.51656515177521745</v>
      </c>
      <c r="L61">
        <v>1</v>
      </c>
      <c r="M61">
        <f t="shared" si="6"/>
        <v>0.46440727202051751</v>
      </c>
      <c r="N61">
        <f t="shared" si="7"/>
        <v>4.3449006400000004E-2</v>
      </c>
      <c r="O61">
        <f t="shared" si="8"/>
        <v>3.2631702048000005E-2</v>
      </c>
      <c r="P61">
        <f t="shared" si="9"/>
        <v>-2.3922828693300077E-2</v>
      </c>
      <c r="V61">
        <v>-0.30000000000001997</v>
      </c>
      <c r="W61">
        <f t="shared" si="12"/>
        <v>-0.47514499999999898</v>
      </c>
    </row>
    <row r="62" spans="1:23" x14ac:dyDescent="0.3">
      <c r="A62">
        <v>3.0468923000000001</v>
      </c>
      <c r="B62">
        <v>0.70286999999999999</v>
      </c>
      <c r="C62">
        <f t="shared" si="0"/>
        <v>2.141569190901</v>
      </c>
      <c r="D62">
        <v>1.4500000000000001E-2</v>
      </c>
      <c r="E62">
        <v>1.089E-2</v>
      </c>
      <c r="F62">
        <f t="shared" si="1"/>
        <v>609.37846000000002</v>
      </c>
      <c r="G62">
        <f t="shared" si="2"/>
        <v>-0.70286999999999999</v>
      </c>
      <c r="H62">
        <f t="shared" si="3"/>
        <v>-428.31383818019998</v>
      </c>
      <c r="I62">
        <v>1</v>
      </c>
      <c r="J62">
        <f t="shared" si="4"/>
        <v>-0.49531575929742688</v>
      </c>
      <c r="K62">
        <f t="shared" si="5"/>
        <v>-0.51885515177521746</v>
      </c>
      <c r="L62">
        <v>1</v>
      </c>
      <c r="M62">
        <f t="shared" si="6"/>
        <v>0.46525225679158533</v>
      </c>
      <c r="N62">
        <f t="shared" si="7"/>
        <v>4.4179938350000003E-2</v>
      </c>
      <c r="O62">
        <f t="shared" si="8"/>
        <v>3.3180657147000005E-2</v>
      </c>
      <c r="P62">
        <f t="shared" si="9"/>
        <v>-2.3757700513367876E-2</v>
      </c>
      <c r="V62">
        <v>-0.20000000000002</v>
      </c>
      <c r="W62">
        <f t="shared" si="12"/>
        <v>-0.48020999999999897</v>
      </c>
    </row>
    <row r="63" spans="1:23" x14ac:dyDescent="0.3">
      <c r="A63">
        <v>3.0973014999999999</v>
      </c>
      <c r="B63">
        <v>0.70072999999999996</v>
      </c>
      <c r="C63">
        <f t="shared" si="0"/>
        <v>2.1703720800949999</v>
      </c>
      <c r="D63">
        <v>1.4500000000000001E-2</v>
      </c>
      <c r="E63">
        <v>1.089E-2</v>
      </c>
      <c r="F63">
        <f t="shared" si="1"/>
        <v>619.46029999999996</v>
      </c>
      <c r="G63">
        <f t="shared" si="2"/>
        <v>-0.70072999999999996</v>
      </c>
      <c r="H63">
        <f t="shared" si="3"/>
        <v>-434.07441601900001</v>
      </c>
      <c r="I63">
        <v>1</v>
      </c>
      <c r="J63">
        <f t="shared" si="4"/>
        <v>-0.47890666390506353</v>
      </c>
      <c r="K63">
        <f t="shared" si="5"/>
        <v>-0.52099515177521749</v>
      </c>
      <c r="L63">
        <v>1</v>
      </c>
      <c r="M63">
        <f t="shared" si="6"/>
        <v>0.46608337747320855</v>
      </c>
      <c r="N63">
        <f t="shared" si="7"/>
        <v>4.4910871750000005E-2</v>
      </c>
      <c r="O63">
        <f t="shared" si="8"/>
        <v>3.3729613334999999E-2</v>
      </c>
      <c r="P63">
        <f t="shared" si="9"/>
        <v>-2.3728710782991061E-2</v>
      </c>
      <c r="V63">
        <v>-0.10000000000002</v>
      </c>
      <c r="W63">
        <f t="shared" si="12"/>
        <v>-0.48527499999999901</v>
      </c>
    </row>
    <row r="64" spans="1:23" x14ac:dyDescent="0.3">
      <c r="A64">
        <v>3.1517841999999998</v>
      </c>
      <c r="B64">
        <v>0.69876000000000005</v>
      </c>
      <c r="C64">
        <f t="shared" si="0"/>
        <v>2.2023407275919999</v>
      </c>
      <c r="D64">
        <v>1.4500000000000001E-2</v>
      </c>
      <c r="E64">
        <v>1.089E-2</v>
      </c>
      <c r="F64">
        <f t="shared" si="1"/>
        <v>630.35683999999992</v>
      </c>
      <c r="G64">
        <f t="shared" si="2"/>
        <v>-0.69876000000000005</v>
      </c>
      <c r="H64">
        <f t="shared" si="3"/>
        <v>-440.46814551839998</v>
      </c>
      <c r="I64">
        <v>1</v>
      </c>
      <c r="J64">
        <f t="shared" si="4"/>
        <v>-0.46146920724927148</v>
      </c>
      <c r="K64">
        <f t="shared" si="5"/>
        <v>-0.52296515177521741</v>
      </c>
      <c r="L64">
        <v>1</v>
      </c>
      <c r="M64">
        <f t="shared" si="6"/>
        <v>0.46696658465282437</v>
      </c>
      <c r="N64">
        <f t="shared" si="7"/>
        <v>4.5700870900000003E-2</v>
      </c>
      <c r="O64">
        <f t="shared" si="8"/>
        <v>3.4322929937999999E-2</v>
      </c>
      <c r="P64">
        <f t="shared" si="9"/>
        <v>-2.4025233715606963E-2</v>
      </c>
      <c r="V64">
        <v>-2.0428103653102899E-14</v>
      </c>
      <c r="W64">
        <f t="shared" si="12"/>
        <v>-0.49033999999999894</v>
      </c>
    </row>
    <row r="65" spans="1:23" x14ac:dyDescent="0.3">
      <c r="A65">
        <v>3.2021931000000001</v>
      </c>
      <c r="B65">
        <v>0.69623999999999997</v>
      </c>
      <c r="C65">
        <f t="shared" si="0"/>
        <v>2.2294949239439998</v>
      </c>
      <c r="D65">
        <v>1.4500000000000001E-2</v>
      </c>
      <c r="E65">
        <v>1.089E-2</v>
      </c>
      <c r="F65">
        <f t="shared" si="1"/>
        <v>640.43862000000001</v>
      </c>
      <c r="G65">
        <f t="shared" si="2"/>
        <v>-0.69623999999999997</v>
      </c>
      <c r="H65">
        <f t="shared" si="3"/>
        <v>-445.89898478879996</v>
      </c>
      <c r="I65">
        <v>1</v>
      </c>
      <c r="J65">
        <f t="shared" si="4"/>
        <v>-0.44560199361920128</v>
      </c>
      <c r="K65">
        <f t="shared" si="5"/>
        <v>-0.52548515177521748</v>
      </c>
      <c r="L65">
        <v>1</v>
      </c>
      <c r="M65">
        <f t="shared" si="6"/>
        <v>0.46777025902318747</v>
      </c>
      <c r="N65">
        <f t="shared" si="7"/>
        <v>4.6431799950000005E-2</v>
      </c>
      <c r="O65">
        <f t="shared" si="8"/>
        <v>3.4871882859000003E-2</v>
      </c>
      <c r="P65">
        <f t="shared" si="9"/>
        <v>-2.3588790056969997E-2</v>
      </c>
      <c r="V65">
        <v>9.9999999999980105E-2</v>
      </c>
      <c r="W65">
        <f t="shared" si="12"/>
        <v>-0.49540499999999899</v>
      </c>
    </row>
    <row r="66" spans="1:23" x14ac:dyDescent="0.3">
      <c r="A66">
        <v>3.2587126</v>
      </c>
      <c r="B66">
        <v>0.69372</v>
      </c>
      <c r="C66">
        <f t="shared" si="0"/>
        <v>2.260634104872</v>
      </c>
      <c r="D66">
        <v>1.4500000000000001E-2</v>
      </c>
      <c r="E66">
        <v>1.089E-2</v>
      </c>
      <c r="F66">
        <f t="shared" si="1"/>
        <v>651.74252000000001</v>
      </c>
      <c r="G66">
        <f t="shared" si="2"/>
        <v>-0.69372</v>
      </c>
      <c r="H66">
        <f t="shared" si="3"/>
        <v>-452.1268209744</v>
      </c>
      <c r="I66">
        <v>1</v>
      </c>
      <c r="J66">
        <f t="shared" si="4"/>
        <v>-0.42810570302763379</v>
      </c>
      <c r="K66">
        <f t="shared" si="5"/>
        <v>-0.52800515177521745</v>
      </c>
      <c r="L66">
        <v>1</v>
      </c>
      <c r="M66">
        <f t="shared" si="6"/>
        <v>0.46865644614165036</v>
      </c>
      <c r="N66">
        <f t="shared" si="7"/>
        <v>4.7251332700000002E-2</v>
      </c>
      <c r="O66">
        <f t="shared" si="8"/>
        <v>3.5487380214000004E-2</v>
      </c>
      <c r="P66">
        <f t="shared" si="9"/>
        <v>-2.3390007280432917E-2</v>
      </c>
      <c r="V66">
        <v>0.19999999999998</v>
      </c>
      <c r="W66">
        <f t="shared" si="12"/>
        <v>-0.50046999999999897</v>
      </c>
    </row>
    <row r="67" spans="1:23" x14ac:dyDescent="0.3">
      <c r="A67">
        <v>3.3101398999999998</v>
      </c>
      <c r="B67">
        <v>0.69155</v>
      </c>
      <c r="C67">
        <f t="shared" si="0"/>
        <v>2.2891272478449998</v>
      </c>
      <c r="D67">
        <v>1.4500000000000001E-2</v>
      </c>
      <c r="E67">
        <v>1.089E-2</v>
      </c>
      <c r="F67">
        <f t="shared" si="1"/>
        <v>662.02797999999996</v>
      </c>
      <c r="G67">
        <f t="shared" si="2"/>
        <v>-0.69155</v>
      </c>
      <c r="H67">
        <f t="shared" si="3"/>
        <v>-457.82544956899994</v>
      </c>
      <c r="I67">
        <v>1</v>
      </c>
      <c r="J67">
        <f t="shared" si="4"/>
        <v>-0.41244745807727806</v>
      </c>
      <c r="K67">
        <f t="shared" si="5"/>
        <v>-0.53017515177521746</v>
      </c>
      <c r="L67">
        <v>1</v>
      </c>
      <c r="M67">
        <f t="shared" si="6"/>
        <v>0.46944953624838587</v>
      </c>
      <c r="N67">
        <f t="shared" si="7"/>
        <v>4.7997028550000001E-2</v>
      </c>
      <c r="O67">
        <f t="shared" si="8"/>
        <v>3.6047423511000001E-2</v>
      </c>
      <c r="P67">
        <f t="shared" si="9"/>
        <v>-2.3318836534168413E-2</v>
      </c>
      <c r="V67">
        <v>0.29999999999998</v>
      </c>
      <c r="W67">
        <f t="shared" si="12"/>
        <v>-0.50553499999999896</v>
      </c>
    </row>
    <row r="68" spans="1:23" x14ac:dyDescent="0.3">
      <c r="A68">
        <v>3.363604</v>
      </c>
      <c r="B68">
        <v>0.68901000000000001</v>
      </c>
      <c r="C68">
        <f t="shared" ref="C68:C131" si="13">A68*B68</f>
        <v>2.31755679204</v>
      </c>
      <c r="D68">
        <v>1.4500000000000001E-2</v>
      </c>
      <c r="E68">
        <v>1.089E-2</v>
      </c>
      <c r="F68">
        <f t="shared" ref="F68:F131" si="14">A68*200</f>
        <v>672.72080000000005</v>
      </c>
      <c r="G68">
        <f t="shared" ref="G68:G131" si="15">-B68</f>
        <v>-0.68901000000000001</v>
      </c>
      <c r="H68">
        <f t="shared" ref="H68:H131" si="16">-C68*200</f>
        <v>-463.51135840799998</v>
      </c>
      <c r="I68">
        <v>1</v>
      </c>
      <c r="J68">
        <f t="shared" ref="J68:J131" si="17">LN(F68/1000)</f>
        <v>-0.39642489425615618</v>
      </c>
      <c r="K68">
        <f t="shared" ref="K68:K131" si="18">((-G68)-$N$2)</f>
        <v>-0.53271515177521744</v>
      </c>
      <c r="L68">
        <v>1</v>
      </c>
      <c r="M68">
        <f t="shared" ref="M68:M131" si="19">-1*($S$4+($S$5*J68))</f>
        <v>0.47026107910592568</v>
      </c>
      <c r="N68">
        <f t="shared" ref="N68:N131" si="20">D68*A68</f>
        <v>4.8772258000000006E-2</v>
      </c>
      <c r="O68">
        <f t="shared" ref="O68:O131" si="21">E68*A68</f>
        <v>3.6629647559999999E-2</v>
      </c>
      <c r="P68">
        <f t="shared" ref="P68:P131" si="22">-K68-M68-N68-O68</f>
        <v>-2.2947832890708245E-2</v>
      </c>
      <c r="V68">
        <v>0.39999999999997998</v>
      </c>
      <c r="W68">
        <f t="shared" ref="W68:W99" si="23">V68*$S$5+$S$4</f>
        <v>-0.51059999999999894</v>
      </c>
    </row>
    <row r="69" spans="1:23" x14ac:dyDescent="0.3">
      <c r="A69">
        <v>3.4140131999999999</v>
      </c>
      <c r="B69">
        <v>0.68686999999999998</v>
      </c>
      <c r="C69">
        <f t="shared" si="13"/>
        <v>2.3449832466839999</v>
      </c>
      <c r="D69">
        <v>1.4500000000000001E-2</v>
      </c>
      <c r="E69">
        <v>1.089E-2</v>
      </c>
      <c r="F69">
        <f t="shared" si="14"/>
        <v>682.80264</v>
      </c>
      <c r="G69">
        <f t="shared" si="15"/>
        <v>-0.68686999999999998</v>
      </c>
      <c r="H69">
        <f t="shared" si="16"/>
        <v>-468.99664933679998</v>
      </c>
      <c r="I69">
        <v>1</v>
      </c>
      <c r="J69">
        <f t="shared" si="17"/>
        <v>-0.38154942163698868</v>
      </c>
      <c r="K69">
        <f t="shared" si="18"/>
        <v>-0.53485515177521747</v>
      </c>
      <c r="L69">
        <v>1</v>
      </c>
      <c r="M69">
        <f t="shared" si="19"/>
        <v>0.47101452179408654</v>
      </c>
      <c r="N69">
        <f t="shared" si="20"/>
        <v>4.95031914E-2</v>
      </c>
      <c r="O69">
        <f t="shared" si="21"/>
        <v>3.7178603748E-2</v>
      </c>
      <c r="P69">
        <f t="shared" si="22"/>
        <v>-2.2841165166869064E-2</v>
      </c>
      <c r="V69">
        <v>0.49999999999998002</v>
      </c>
      <c r="W69">
        <f t="shared" si="23"/>
        <v>-0.51566499999999893</v>
      </c>
    </row>
    <row r="70" spans="1:23" x14ac:dyDescent="0.3">
      <c r="A70">
        <v>3.4649315999999999</v>
      </c>
      <c r="B70">
        <v>0.68442999999999998</v>
      </c>
      <c r="C70">
        <f t="shared" si="13"/>
        <v>2.371503134988</v>
      </c>
      <c r="D70">
        <v>1.4500000000000001E-2</v>
      </c>
      <c r="E70">
        <v>1.089E-2</v>
      </c>
      <c r="F70">
        <f t="shared" si="14"/>
        <v>692.98631999999998</v>
      </c>
      <c r="G70">
        <f t="shared" si="15"/>
        <v>-0.68442999999999998</v>
      </c>
      <c r="H70">
        <f t="shared" si="16"/>
        <v>-474.30062699760003</v>
      </c>
      <c r="I70">
        <v>1</v>
      </c>
      <c r="J70">
        <f t="shared" si="17"/>
        <v>-0.36674502024681566</v>
      </c>
      <c r="K70">
        <f t="shared" si="18"/>
        <v>-0.53729515177521747</v>
      </c>
      <c r="L70">
        <v>1</v>
      </c>
      <c r="M70">
        <f t="shared" si="19"/>
        <v>0.47176436472449879</v>
      </c>
      <c r="N70">
        <f t="shared" si="20"/>
        <v>5.02415082E-2</v>
      </c>
      <c r="O70">
        <f t="shared" si="21"/>
        <v>3.7733105124000001E-2</v>
      </c>
      <c r="P70">
        <f t="shared" si="22"/>
        <v>-2.2443826273281314E-2</v>
      </c>
      <c r="V70">
        <v>0.59999999999997999</v>
      </c>
      <c r="W70">
        <f t="shared" si="23"/>
        <v>-0.52072999999999903</v>
      </c>
    </row>
    <row r="71" spans="1:23" x14ac:dyDescent="0.3">
      <c r="A71">
        <v>3.5153411000000001</v>
      </c>
      <c r="B71">
        <v>0.68227000000000004</v>
      </c>
      <c r="C71">
        <f t="shared" si="13"/>
        <v>2.3984117722970004</v>
      </c>
      <c r="D71">
        <v>1.4500000000000001E-2</v>
      </c>
      <c r="E71">
        <v>1.089E-2</v>
      </c>
      <c r="F71">
        <f t="shared" si="14"/>
        <v>703.06822</v>
      </c>
      <c r="G71">
        <f t="shared" si="15"/>
        <v>-0.68227000000000004</v>
      </c>
      <c r="H71">
        <f t="shared" si="16"/>
        <v>-479.68235445940007</v>
      </c>
      <c r="I71">
        <v>1</v>
      </c>
      <c r="J71">
        <f t="shared" si="17"/>
        <v>-0.3523013506278917</v>
      </c>
      <c r="K71">
        <f t="shared" si="18"/>
        <v>-0.53945515177521741</v>
      </c>
      <c r="L71">
        <v>1</v>
      </c>
      <c r="M71">
        <f t="shared" si="19"/>
        <v>0.47249593659069727</v>
      </c>
      <c r="N71">
        <f t="shared" si="20"/>
        <v>5.0972445950000007E-2</v>
      </c>
      <c r="O71">
        <f t="shared" si="21"/>
        <v>3.8282064579000005E-2</v>
      </c>
      <c r="P71">
        <f t="shared" si="22"/>
        <v>-2.2295295344479875E-2</v>
      </c>
      <c r="V71">
        <v>0.69999999999997997</v>
      </c>
      <c r="W71">
        <f t="shared" si="23"/>
        <v>-0.52579499999999901</v>
      </c>
    </row>
    <row r="72" spans="1:23" x14ac:dyDescent="0.3">
      <c r="A72">
        <v>3.5672776000000002</v>
      </c>
      <c r="B72">
        <v>0.68006999999999995</v>
      </c>
      <c r="C72">
        <f t="shared" si="13"/>
        <v>2.425998477432</v>
      </c>
      <c r="D72">
        <v>1.4500000000000001E-2</v>
      </c>
      <c r="E72">
        <v>1.089E-2</v>
      </c>
      <c r="F72">
        <f t="shared" si="14"/>
        <v>713.45551999999998</v>
      </c>
      <c r="G72">
        <f t="shared" si="15"/>
        <v>-0.68006999999999995</v>
      </c>
      <c r="H72">
        <f t="shared" si="16"/>
        <v>-485.1996954864</v>
      </c>
      <c r="I72">
        <v>1</v>
      </c>
      <c r="J72">
        <f t="shared" si="17"/>
        <v>-0.33763518458313241</v>
      </c>
      <c r="K72">
        <f t="shared" si="18"/>
        <v>-0.5416551517752175</v>
      </c>
      <c r="L72">
        <v>1</v>
      </c>
      <c r="M72">
        <f t="shared" si="19"/>
        <v>0.47323877790086433</v>
      </c>
      <c r="N72">
        <f t="shared" si="20"/>
        <v>5.1725525200000004E-2</v>
      </c>
      <c r="O72">
        <f t="shared" si="21"/>
        <v>3.8847653064000003E-2</v>
      </c>
      <c r="P72">
        <f t="shared" si="22"/>
        <v>-2.2156804389646831E-2</v>
      </c>
      <c r="V72">
        <v>0.79999999999997995</v>
      </c>
      <c r="W72">
        <f t="shared" si="23"/>
        <v>-0.530859999999999</v>
      </c>
    </row>
    <row r="73" spans="1:23" x14ac:dyDescent="0.3">
      <c r="A73">
        <v>3.6176868</v>
      </c>
      <c r="B73">
        <v>0.67801</v>
      </c>
      <c r="C73">
        <f t="shared" si="13"/>
        <v>2.452827827268</v>
      </c>
      <c r="D73">
        <v>1.4500000000000001E-2</v>
      </c>
      <c r="E73">
        <v>1.089E-2</v>
      </c>
      <c r="F73">
        <f t="shared" si="14"/>
        <v>723.53736000000004</v>
      </c>
      <c r="G73">
        <f t="shared" si="15"/>
        <v>-0.67801</v>
      </c>
      <c r="H73">
        <f t="shared" si="16"/>
        <v>-490.56556545360002</v>
      </c>
      <c r="I73">
        <v>1</v>
      </c>
      <c r="J73">
        <f t="shared" si="17"/>
        <v>-0.32360309637232926</v>
      </c>
      <c r="K73">
        <f t="shared" si="18"/>
        <v>-0.54371515177521745</v>
      </c>
      <c r="L73">
        <v>1</v>
      </c>
      <c r="M73">
        <f t="shared" si="19"/>
        <v>0.47394950316874151</v>
      </c>
      <c r="N73">
        <f t="shared" si="20"/>
        <v>5.2456458600000005E-2</v>
      </c>
      <c r="O73">
        <f t="shared" si="21"/>
        <v>3.9396609252000003E-2</v>
      </c>
      <c r="P73">
        <f t="shared" si="22"/>
        <v>-2.208741924552407E-2</v>
      </c>
      <c r="V73">
        <v>0.89999999999998004</v>
      </c>
      <c r="W73">
        <f t="shared" si="23"/>
        <v>-0.53592499999999899</v>
      </c>
    </row>
    <row r="74" spans="1:23" x14ac:dyDescent="0.3">
      <c r="A74">
        <v>3.6686049999999999</v>
      </c>
      <c r="B74">
        <v>0.67576000000000003</v>
      </c>
      <c r="C74">
        <f t="shared" si="13"/>
        <v>2.4790965148000002</v>
      </c>
      <c r="D74">
        <v>1.4500000000000001E-2</v>
      </c>
      <c r="E74">
        <v>1.089E-2</v>
      </c>
      <c r="F74">
        <f t="shared" si="14"/>
        <v>733.721</v>
      </c>
      <c r="G74">
        <f t="shared" si="15"/>
        <v>-0.67576000000000003</v>
      </c>
      <c r="H74">
        <f t="shared" si="16"/>
        <v>-495.81930296000002</v>
      </c>
      <c r="I74">
        <v>1</v>
      </c>
      <c r="J74">
        <f t="shared" si="17"/>
        <v>-0.30962643161918163</v>
      </c>
      <c r="K74">
        <f t="shared" si="18"/>
        <v>-0.54596515177521743</v>
      </c>
      <c r="L74">
        <v>1</v>
      </c>
      <c r="M74">
        <f t="shared" si="19"/>
        <v>0.47465742123848842</v>
      </c>
      <c r="N74">
        <f t="shared" si="20"/>
        <v>5.3194772500000001E-2</v>
      </c>
      <c r="O74">
        <f t="shared" si="21"/>
        <v>3.9951108450000002E-2</v>
      </c>
      <c r="P74">
        <f t="shared" si="22"/>
        <v>-2.1838150413270994E-2</v>
      </c>
      <c r="V74">
        <v>0.99999999999998002</v>
      </c>
      <c r="W74">
        <f t="shared" si="23"/>
        <v>-0.54098999999999897</v>
      </c>
    </row>
    <row r="75" spans="1:23" x14ac:dyDescent="0.3">
      <c r="A75">
        <v>3.7210508</v>
      </c>
      <c r="B75">
        <v>0.67349000000000003</v>
      </c>
      <c r="C75">
        <f t="shared" si="13"/>
        <v>2.506090503292</v>
      </c>
      <c r="D75">
        <v>1.4500000000000001E-2</v>
      </c>
      <c r="E75">
        <v>1.089E-2</v>
      </c>
      <c r="F75">
        <f t="shared" si="14"/>
        <v>744.21015999999997</v>
      </c>
      <c r="G75">
        <f t="shared" si="15"/>
        <v>-0.67349000000000003</v>
      </c>
      <c r="H75">
        <f t="shared" si="16"/>
        <v>-501.21810065839998</v>
      </c>
      <c r="I75">
        <v>1</v>
      </c>
      <c r="J75">
        <f t="shared" si="17"/>
        <v>-0.29543181091878562</v>
      </c>
      <c r="K75">
        <f t="shared" si="18"/>
        <v>-0.54823515177521742</v>
      </c>
      <c r="L75">
        <v>1</v>
      </c>
      <c r="M75">
        <f t="shared" si="19"/>
        <v>0.47537637877696348</v>
      </c>
      <c r="N75">
        <f t="shared" si="20"/>
        <v>5.3955236600000005E-2</v>
      </c>
      <c r="O75">
        <f t="shared" si="21"/>
        <v>4.0522243212E-2</v>
      </c>
      <c r="P75">
        <f t="shared" si="22"/>
        <v>-2.1618706813746065E-2</v>
      </c>
      <c r="V75">
        <v>1.0999999999999699</v>
      </c>
      <c r="W75">
        <f t="shared" si="23"/>
        <v>-0.54605499999999851</v>
      </c>
    </row>
    <row r="76" spans="1:23" x14ac:dyDescent="0.3">
      <c r="A76">
        <v>3.7719692</v>
      </c>
      <c r="B76">
        <v>0.67115999999999998</v>
      </c>
      <c r="C76">
        <f t="shared" si="13"/>
        <v>2.5315948482719999</v>
      </c>
      <c r="D76">
        <v>1.4500000000000001E-2</v>
      </c>
      <c r="E76">
        <v>1.089E-2</v>
      </c>
      <c r="F76">
        <f t="shared" si="14"/>
        <v>754.39383999999995</v>
      </c>
      <c r="G76">
        <f t="shared" si="15"/>
        <v>-0.67115999999999998</v>
      </c>
      <c r="H76">
        <f t="shared" si="16"/>
        <v>-506.31896965439995</v>
      </c>
      <c r="I76">
        <v>1</v>
      </c>
      <c r="J76">
        <f t="shared" si="17"/>
        <v>-0.28184071312570702</v>
      </c>
      <c r="K76">
        <f t="shared" si="18"/>
        <v>-0.55056515177521748</v>
      </c>
      <c r="L76">
        <v>1</v>
      </c>
      <c r="M76">
        <f t="shared" si="19"/>
        <v>0.47606476788018293</v>
      </c>
      <c r="N76">
        <f t="shared" si="20"/>
        <v>5.4693553400000004E-2</v>
      </c>
      <c r="O76">
        <f t="shared" si="21"/>
        <v>4.1076744588000001E-2</v>
      </c>
      <c r="P76">
        <f t="shared" si="22"/>
        <v>-2.1269914092965456E-2</v>
      </c>
      <c r="V76">
        <v>1.19999999999997</v>
      </c>
      <c r="W76">
        <f t="shared" si="23"/>
        <v>-0.5511199999999985</v>
      </c>
    </row>
    <row r="77" spans="1:23" x14ac:dyDescent="0.3">
      <c r="A77">
        <v>3.8228876999999999</v>
      </c>
      <c r="B77">
        <v>0.66886999999999996</v>
      </c>
      <c r="C77">
        <f t="shared" si="13"/>
        <v>2.557014895899</v>
      </c>
      <c r="D77">
        <v>1.4500000000000001E-2</v>
      </c>
      <c r="E77">
        <v>1.089E-2</v>
      </c>
      <c r="F77">
        <f t="shared" si="14"/>
        <v>764.57754</v>
      </c>
      <c r="G77">
        <f t="shared" si="15"/>
        <v>-0.66886999999999996</v>
      </c>
      <c r="H77">
        <f t="shared" si="16"/>
        <v>-511.40297917980001</v>
      </c>
      <c r="I77">
        <v>1</v>
      </c>
      <c r="J77">
        <f t="shared" si="17"/>
        <v>-0.26843183298778944</v>
      </c>
      <c r="K77">
        <f t="shared" si="18"/>
        <v>-0.55285515177521749</v>
      </c>
      <c r="L77">
        <v>1</v>
      </c>
      <c r="M77">
        <f t="shared" si="19"/>
        <v>0.47674392765916845</v>
      </c>
      <c r="N77">
        <f t="shared" si="20"/>
        <v>5.5431871649999999E-2</v>
      </c>
      <c r="O77">
        <f t="shared" si="21"/>
        <v>4.1631247053000003E-2</v>
      </c>
      <c r="P77">
        <f t="shared" si="22"/>
        <v>-2.0951894586950966E-2</v>
      </c>
      <c r="V77">
        <v>1.2999999999999701</v>
      </c>
      <c r="W77">
        <f t="shared" si="23"/>
        <v>-0.55618499999999849</v>
      </c>
    </row>
    <row r="78" spans="1:23" x14ac:dyDescent="0.3">
      <c r="A78">
        <v>3.8743151999999998</v>
      </c>
      <c r="B78">
        <v>0.66657</v>
      </c>
      <c r="C78">
        <f t="shared" si="13"/>
        <v>2.5825022828640001</v>
      </c>
      <c r="D78">
        <v>1.4500000000000001E-2</v>
      </c>
      <c r="E78">
        <v>1.089E-2</v>
      </c>
      <c r="F78">
        <f t="shared" si="14"/>
        <v>774.86303999999996</v>
      </c>
      <c r="G78">
        <f t="shared" si="15"/>
        <v>-0.66657</v>
      </c>
      <c r="H78">
        <f t="shared" si="16"/>
        <v>-516.50045657279998</v>
      </c>
      <c r="I78">
        <v>1</v>
      </c>
      <c r="J78">
        <f t="shared" si="17"/>
        <v>-0.2550689878267105</v>
      </c>
      <c r="K78">
        <f t="shared" si="18"/>
        <v>-0.55515515177521746</v>
      </c>
      <c r="L78">
        <v>1</v>
      </c>
      <c r="M78">
        <f t="shared" si="19"/>
        <v>0.47742075576657711</v>
      </c>
      <c r="N78">
        <f t="shared" si="20"/>
        <v>5.6177570400000001E-2</v>
      </c>
      <c r="O78">
        <f t="shared" si="21"/>
        <v>4.2191292528000003E-2</v>
      </c>
      <c r="P78">
        <f t="shared" si="22"/>
        <v>-2.0634466919359655E-2</v>
      </c>
      <c r="V78">
        <v>1.3999999999999699</v>
      </c>
      <c r="W78">
        <f t="shared" si="23"/>
        <v>-0.56124999999999847</v>
      </c>
    </row>
    <row r="79" spans="1:23" x14ac:dyDescent="0.3">
      <c r="A79">
        <v>3.9257423999999999</v>
      </c>
      <c r="B79">
        <v>0.66442000000000001</v>
      </c>
      <c r="C79">
        <f t="shared" si="13"/>
        <v>2.6083417654079999</v>
      </c>
      <c r="D79">
        <v>1.4500000000000001E-2</v>
      </c>
      <c r="E79">
        <v>1.089E-2</v>
      </c>
      <c r="F79">
        <f t="shared" si="14"/>
        <v>785.14847999999995</v>
      </c>
      <c r="G79">
        <f t="shared" si="15"/>
        <v>-0.66442000000000001</v>
      </c>
      <c r="H79">
        <f t="shared" si="16"/>
        <v>-521.6683530816</v>
      </c>
      <c r="I79">
        <v>1</v>
      </c>
      <c r="J79">
        <f t="shared" si="17"/>
        <v>-0.24188243258885672</v>
      </c>
      <c r="K79">
        <f t="shared" si="18"/>
        <v>-0.55730515177521744</v>
      </c>
      <c r="L79">
        <v>1</v>
      </c>
      <c r="M79">
        <f t="shared" si="19"/>
        <v>0.4780886547893744</v>
      </c>
      <c r="N79">
        <f t="shared" si="20"/>
        <v>5.6923264799999998E-2</v>
      </c>
      <c r="O79">
        <f t="shared" si="21"/>
        <v>4.2751334735999999E-2</v>
      </c>
      <c r="P79">
        <f t="shared" si="22"/>
        <v>-2.0458102550156954E-2</v>
      </c>
      <c r="V79">
        <v>1.49999999999997</v>
      </c>
      <c r="W79">
        <f t="shared" si="23"/>
        <v>-0.56631499999999846</v>
      </c>
    </row>
    <row r="80" spans="1:23" x14ac:dyDescent="0.3">
      <c r="A80">
        <v>3.9781884999999999</v>
      </c>
      <c r="B80">
        <v>0.66222000000000003</v>
      </c>
      <c r="C80">
        <f t="shared" si="13"/>
        <v>2.6344359884699999</v>
      </c>
      <c r="D80">
        <v>1.4500000000000001E-2</v>
      </c>
      <c r="E80">
        <v>1.089E-2</v>
      </c>
      <c r="F80">
        <f t="shared" si="14"/>
        <v>795.6377</v>
      </c>
      <c r="G80">
        <f t="shared" si="15"/>
        <v>-0.66222000000000003</v>
      </c>
      <c r="H80">
        <f t="shared" si="16"/>
        <v>-526.88719769399995</v>
      </c>
      <c r="I80">
        <v>1</v>
      </c>
      <c r="J80">
        <f t="shared" si="17"/>
        <v>-0.22861134750406795</v>
      </c>
      <c r="K80">
        <f t="shared" si="18"/>
        <v>-0.55950515177521742</v>
      </c>
      <c r="L80">
        <v>1</v>
      </c>
      <c r="M80">
        <f t="shared" si="19"/>
        <v>0.47876083524891894</v>
      </c>
      <c r="N80">
        <f t="shared" si="20"/>
        <v>5.7683733250000001E-2</v>
      </c>
      <c r="O80">
        <f t="shared" si="21"/>
        <v>4.3322472765000002E-2</v>
      </c>
      <c r="P80">
        <f t="shared" si="22"/>
        <v>-2.0261889488701515E-2</v>
      </c>
      <c r="V80">
        <v>1.5999999999999699</v>
      </c>
      <c r="W80">
        <f t="shared" si="23"/>
        <v>-0.57137999999999844</v>
      </c>
    </row>
    <row r="81" spans="1:23" x14ac:dyDescent="0.3">
      <c r="A81">
        <v>4.0306343</v>
      </c>
      <c r="B81">
        <v>0.65973999999999999</v>
      </c>
      <c r="C81">
        <f t="shared" si="13"/>
        <v>2.6591706730819999</v>
      </c>
      <c r="D81">
        <v>1.4500000000000001E-2</v>
      </c>
      <c r="E81">
        <v>1.089E-2</v>
      </c>
      <c r="F81">
        <f t="shared" si="14"/>
        <v>806.12685999999997</v>
      </c>
      <c r="G81">
        <f t="shared" si="15"/>
        <v>-0.65973999999999999</v>
      </c>
      <c r="H81">
        <f t="shared" si="16"/>
        <v>-531.83413461639998</v>
      </c>
      <c r="I81">
        <v>1</v>
      </c>
      <c r="J81">
        <f t="shared" si="17"/>
        <v>-0.21551415431978704</v>
      </c>
      <c r="K81">
        <f t="shared" si="18"/>
        <v>-0.56198515177521746</v>
      </c>
      <c r="L81">
        <v>1</v>
      </c>
      <c r="M81">
        <f t="shared" si="19"/>
        <v>0.47942420808370279</v>
      </c>
      <c r="N81">
        <f t="shared" si="20"/>
        <v>5.8444197350000004E-2</v>
      </c>
      <c r="O81">
        <f t="shared" si="21"/>
        <v>4.3893607527E-2</v>
      </c>
      <c r="P81">
        <f t="shared" si="22"/>
        <v>-1.9776861185485328E-2</v>
      </c>
      <c r="V81">
        <v>1.69999999999997</v>
      </c>
      <c r="W81">
        <f t="shared" si="23"/>
        <v>-0.57644499999999843</v>
      </c>
    </row>
    <row r="82" spans="1:23" x14ac:dyDescent="0.3">
      <c r="A82">
        <v>4.0810434999999998</v>
      </c>
      <c r="B82">
        <v>0.65773000000000004</v>
      </c>
      <c r="C82">
        <f t="shared" si="13"/>
        <v>2.684224741255</v>
      </c>
      <c r="D82">
        <v>1.4500000000000001E-2</v>
      </c>
      <c r="E82">
        <v>1.089E-2</v>
      </c>
      <c r="F82">
        <f t="shared" si="14"/>
        <v>816.20869999999991</v>
      </c>
      <c r="G82">
        <f t="shared" si="15"/>
        <v>-0.65773000000000004</v>
      </c>
      <c r="H82">
        <f t="shared" si="16"/>
        <v>-536.84494825100001</v>
      </c>
      <c r="I82">
        <v>1</v>
      </c>
      <c r="J82">
        <f t="shared" si="17"/>
        <v>-0.20308519691507165</v>
      </c>
      <c r="K82">
        <f t="shared" si="18"/>
        <v>-0.56399515177521742</v>
      </c>
      <c r="L82">
        <v>1</v>
      </c>
      <c r="M82">
        <f t="shared" si="19"/>
        <v>0.48005373477625163</v>
      </c>
      <c r="N82">
        <f t="shared" si="20"/>
        <v>5.9175130749999999E-2</v>
      </c>
      <c r="O82">
        <f t="shared" si="21"/>
        <v>4.4442563715000001E-2</v>
      </c>
      <c r="P82">
        <f t="shared" si="22"/>
        <v>-1.967627746603421E-2</v>
      </c>
      <c r="V82">
        <v>1.7999999999999701</v>
      </c>
      <c r="W82">
        <f t="shared" si="23"/>
        <v>-0.58150999999999853</v>
      </c>
    </row>
    <row r="83" spans="1:23" x14ac:dyDescent="0.3">
      <c r="A83">
        <v>4.1324712000000003</v>
      </c>
      <c r="B83">
        <v>0.65527000000000002</v>
      </c>
      <c r="C83">
        <f t="shared" si="13"/>
        <v>2.7078844032240004</v>
      </c>
      <c r="D83">
        <v>1.4500000000000001E-2</v>
      </c>
      <c r="E83">
        <v>1.089E-2</v>
      </c>
      <c r="F83">
        <f t="shared" si="14"/>
        <v>826.4942400000001</v>
      </c>
      <c r="G83">
        <f t="shared" si="15"/>
        <v>-0.65527000000000002</v>
      </c>
      <c r="H83">
        <f t="shared" si="16"/>
        <v>-541.5768806448001</v>
      </c>
      <c r="I83">
        <v>1</v>
      </c>
      <c r="J83">
        <f t="shared" si="17"/>
        <v>-0.19056233089234806</v>
      </c>
      <c r="K83">
        <f t="shared" si="18"/>
        <v>-0.56645515177521744</v>
      </c>
      <c r="L83">
        <v>1</v>
      </c>
      <c r="M83">
        <f t="shared" si="19"/>
        <v>0.48068801794030258</v>
      </c>
      <c r="N83">
        <f t="shared" si="20"/>
        <v>5.9920832400000006E-2</v>
      </c>
      <c r="O83">
        <f t="shared" si="21"/>
        <v>4.5002611368000003E-2</v>
      </c>
      <c r="P83">
        <f t="shared" si="22"/>
        <v>-1.9156309933085154E-2</v>
      </c>
      <c r="V83">
        <v>1.8999999999999699</v>
      </c>
      <c r="W83">
        <f t="shared" si="23"/>
        <v>-0.58657499999999851</v>
      </c>
    </row>
    <row r="84" spans="1:23" x14ac:dyDescent="0.3">
      <c r="A84">
        <v>4.1828804000000002</v>
      </c>
      <c r="B84">
        <v>0.65325</v>
      </c>
      <c r="C84">
        <f t="shared" si="13"/>
        <v>2.7324666213</v>
      </c>
      <c r="D84">
        <v>1.4500000000000001E-2</v>
      </c>
      <c r="E84">
        <v>1.089E-2</v>
      </c>
      <c r="F84">
        <f t="shared" si="14"/>
        <v>836.57608000000005</v>
      </c>
      <c r="G84">
        <f t="shared" si="15"/>
        <v>-0.65325</v>
      </c>
      <c r="H84">
        <f t="shared" si="16"/>
        <v>-546.49332426000001</v>
      </c>
      <c r="I84">
        <v>1</v>
      </c>
      <c r="J84">
        <f t="shared" si="17"/>
        <v>-0.17843781230247055</v>
      </c>
      <c r="K84">
        <f t="shared" si="18"/>
        <v>-0.56847515177521746</v>
      </c>
      <c r="L84">
        <v>1</v>
      </c>
      <c r="M84">
        <f t="shared" si="19"/>
        <v>0.48130212480687984</v>
      </c>
      <c r="N84">
        <f t="shared" si="20"/>
        <v>6.0651765800000007E-2</v>
      </c>
      <c r="O84">
        <f t="shared" si="21"/>
        <v>4.5551567556000004E-2</v>
      </c>
      <c r="P84">
        <f t="shared" si="22"/>
        <v>-1.9030306387662392E-2</v>
      </c>
      <c r="V84">
        <v>1.99999999999997</v>
      </c>
      <c r="W84">
        <f t="shared" si="23"/>
        <v>-0.5916399999999985</v>
      </c>
    </row>
    <row r="85" spans="1:23" x14ac:dyDescent="0.3">
      <c r="A85">
        <v>4.2332896</v>
      </c>
      <c r="B85">
        <v>0.65092000000000005</v>
      </c>
      <c r="C85">
        <f t="shared" si="13"/>
        <v>2.755532866432</v>
      </c>
      <c r="D85">
        <v>1.4500000000000001E-2</v>
      </c>
      <c r="E85">
        <v>1.089E-2</v>
      </c>
      <c r="F85">
        <f t="shared" si="14"/>
        <v>846.65791999999999</v>
      </c>
      <c r="G85">
        <f t="shared" si="15"/>
        <v>-0.65092000000000005</v>
      </c>
      <c r="H85">
        <f t="shared" si="16"/>
        <v>-551.10657328640002</v>
      </c>
      <c r="I85">
        <v>1</v>
      </c>
      <c r="J85">
        <f t="shared" si="17"/>
        <v>-0.16645853839968808</v>
      </c>
      <c r="K85">
        <f t="shared" si="18"/>
        <v>-0.5708051517752174</v>
      </c>
      <c r="L85">
        <v>1</v>
      </c>
      <c r="M85">
        <f t="shared" si="19"/>
        <v>0.48190887503005581</v>
      </c>
      <c r="N85">
        <f t="shared" si="20"/>
        <v>6.1382699200000002E-2</v>
      </c>
      <c r="O85">
        <f t="shared" si="21"/>
        <v>4.6100523744000005E-2</v>
      </c>
      <c r="P85">
        <f t="shared" si="22"/>
        <v>-1.8586946198838411E-2</v>
      </c>
      <c r="V85">
        <v>2.0999999999999699</v>
      </c>
      <c r="W85">
        <f t="shared" si="23"/>
        <v>-0.59670499999999849</v>
      </c>
    </row>
    <row r="86" spans="1:23" x14ac:dyDescent="0.3">
      <c r="A86">
        <v>4.2852261</v>
      </c>
      <c r="B86">
        <v>0.64854999999999996</v>
      </c>
      <c r="C86">
        <f t="shared" si="13"/>
        <v>2.7791833871549998</v>
      </c>
      <c r="D86">
        <v>1.4500000000000001E-2</v>
      </c>
      <c r="E86">
        <v>1.089E-2</v>
      </c>
      <c r="F86">
        <f t="shared" si="14"/>
        <v>857.04521999999997</v>
      </c>
      <c r="G86">
        <f t="shared" si="15"/>
        <v>-0.64854999999999996</v>
      </c>
      <c r="H86">
        <f t="shared" si="16"/>
        <v>-555.836677431</v>
      </c>
      <c r="I86">
        <v>1</v>
      </c>
      <c r="J86">
        <f t="shared" si="17"/>
        <v>-0.15426459631549513</v>
      </c>
      <c r="K86">
        <f t="shared" si="18"/>
        <v>-0.5731751517752175</v>
      </c>
      <c r="L86">
        <v>1</v>
      </c>
      <c r="M86">
        <f t="shared" si="19"/>
        <v>0.48252649819662019</v>
      </c>
      <c r="N86">
        <f t="shared" si="20"/>
        <v>6.2135778450000005E-2</v>
      </c>
      <c r="O86">
        <f t="shared" si="21"/>
        <v>4.6666112229000002E-2</v>
      </c>
      <c r="P86">
        <f t="shared" si="22"/>
        <v>-1.8153237100402703E-2</v>
      </c>
      <c r="V86">
        <v>2.19999999999997</v>
      </c>
      <c r="W86">
        <f t="shared" si="23"/>
        <v>-0.60176999999999847</v>
      </c>
    </row>
    <row r="87" spans="1:23" x14ac:dyDescent="0.3">
      <c r="A87">
        <v>4.3386903999999999</v>
      </c>
      <c r="B87">
        <v>0.64622000000000002</v>
      </c>
      <c r="C87">
        <f t="shared" si="13"/>
        <v>2.803748510288</v>
      </c>
      <c r="D87">
        <v>1.4500000000000001E-2</v>
      </c>
      <c r="E87">
        <v>1.089E-2</v>
      </c>
      <c r="F87">
        <f t="shared" si="14"/>
        <v>867.73807999999997</v>
      </c>
      <c r="G87">
        <f t="shared" si="15"/>
        <v>-0.64622000000000002</v>
      </c>
      <c r="H87">
        <f t="shared" si="16"/>
        <v>-560.74970205759996</v>
      </c>
      <c r="I87">
        <v>1</v>
      </c>
      <c r="J87">
        <f t="shared" si="17"/>
        <v>-0.14186536100990013</v>
      </c>
      <c r="K87">
        <f t="shared" si="18"/>
        <v>-0.57550515177521744</v>
      </c>
      <c r="L87">
        <v>1</v>
      </c>
      <c r="M87">
        <f t="shared" si="19"/>
        <v>0.48315451946484855</v>
      </c>
      <c r="N87">
        <f t="shared" si="20"/>
        <v>6.29110108E-2</v>
      </c>
      <c r="O87">
        <f t="shared" si="21"/>
        <v>4.7248338456000002E-2</v>
      </c>
      <c r="P87">
        <f t="shared" si="22"/>
        <v>-1.7808716945631117E-2</v>
      </c>
      <c r="V87">
        <v>2.2999999999999701</v>
      </c>
      <c r="W87">
        <f t="shared" si="23"/>
        <v>-0.60683499999999846</v>
      </c>
    </row>
    <row r="88" spans="1:23" x14ac:dyDescent="0.3">
      <c r="A88">
        <v>4.3890995999999998</v>
      </c>
      <c r="B88">
        <v>0.64383000000000001</v>
      </c>
      <c r="C88">
        <f t="shared" si="13"/>
        <v>2.8258339954679998</v>
      </c>
      <c r="D88">
        <v>1.4500000000000001E-2</v>
      </c>
      <c r="E88">
        <v>1.089E-2</v>
      </c>
      <c r="F88">
        <f t="shared" si="14"/>
        <v>877.81991999999991</v>
      </c>
      <c r="G88">
        <f t="shared" si="15"/>
        <v>-0.64383000000000001</v>
      </c>
      <c r="H88">
        <f t="shared" si="16"/>
        <v>-565.16679909359993</v>
      </c>
      <c r="I88">
        <v>1</v>
      </c>
      <c r="J88">
        <f t="shared" si="17"/>
        <v>-0.13031380888911068</v>
      </c>
      <c r="K88">
        <f t="shared" si="18"/>
        <v>-0.57789515177521744</v>
      </c>
      <c r="L88">
        <v>1</v>
      </c>
      <c r="M88">
        <f t="shared" si="19"/>
        <v>0.48373960557976653</v>
      </c>
      <c r="N88">
        <f t="shared" si="20"/>
        <v>6.3641944199999995E-2</v>
      </c>
      <c r="O88">
        <f t="shared" si="21"/>
        <v>4.7797294643999996E-2</v>
      </c>
      <c r="P88">
        <f t="shared" si="22"/>
        <v>-1.7283692648549079E-2</v>
      </c>
      <c r="V88">
        <v>2.3999999999999702</v>
      </c>
      <c r="W88">
        <f t="shared" si="23"/>
        <v>-0.61189999999999845</v>
      </c>
    </row>
    <row r="89" spans="1:23" x14ac:dyDescent="0.3">
      <c r="A89">
        <v>4.4395087999999996</v>
      </c>
      <c r="B89">
        <v>0.64187000000000005</v>
      </c>
      <c r="C89">
        <f t="shared" si="13"/>
        <v>2.849587513456</v>
      </c>
      <c r="D89">
        <v>1.4500000000000001E-2</v>
      </c>
      <c r="E89">
        <v>1.089E-2</v>
      </c>
      <c r="F89">
        <f t="shared" si="14"/>
        <v>887.90175999999997</v>
      </c>
      <c r="G89">
        <f t="shared" si="15"/>
        <v>-0.64187000000000005</v>
      </c>
      <c r="H89">
        <f t="shared" si="16"/>
        <v>-569.91750269119996</v>
      </c>
      <c r="I89">
        <v>1</v>
      </c>
      <c r="J89">
        <f t="shared" si="17"/>
        <v>-0.11889417274061723</v>
      </c>
      <c r="K89">
        <f t="shared" si="18"/>
        <v>-0.5798551517752174</v>
      </c>
      <c r="L89">
        <v>1</v>
      </c>
      <c r="M89">
        <f t="shared" si="19"/>
        <v>0.48431801015068776</v>
      </c>
      <c r="N89">
        <f t="shared" si="20"/>
        <v>6.4372877600000003E-2</v>
      </c>
      <c r="O89">
        <f t="shared" si="21"/>
        <v>4.8346250831999997E-2</v>
      </c>
      <c r="P89">
        <f t="shared" si="22"/>
        <v>-1.7181986807470358E-2</v>
      </c>
      <c r="V89">
        <v>2.4999999999999698</v>
      </c>
      <c r="W89">
        <f t="shared" si="23"/>
        <v>-0.61696499999999843</v>
      </c>
    </row>
    <row r="90" spans="1:23" x14ac:dyDescent="0.3">
      <c r="A90">
        <v>4.4909365000000001</v>
      </c>
      <c r="B90">
        <v>0.63951999999999998</v>
      </c>
      <c r="C90">
        <f t="shared" si="13"/>
        <v>2.8720437104799998</v>
      </c>
      <c r="D90">
        <v>1.4500000000000001E-2</v>
      </c>
      <c r="E90">
        <v>1.089E-2</v>
      </c>
      <c r="F90">
        <f t="shared" si="14"/>
        <v>898.18730000000005</v>
      </c>
      <c r="G90">
        <f t="shared" si="15"/>
        <v>-0.63951999999999998</v>
      </c>
      <c r="H90">
        <f t="shared" si="16"/>
        <v>-574.40874209599997</v>
      </c>
      <c r="I90">
        <v>1</v>
      </c>
      <c r="J90">
        <f t="shared" si="17"/>
        <v>-0.10737665781835236</v>
      </c>
      <c r="K90">
        <f t="shared" si="18"/>
        <v>-0.58220515177521748</v>
      </c>
      <c r="L90">
        <v>1</v>
      </c>
      <c r="M90">
        <f t="shared" si="19"/>
        <v>0.48490137228150043</v>
      </c>
      <c r="N90">
        <f t="shared" si="20"/>
        <v>6.5118579250000003E-2</v>
      </c>
      <c r="O90">
        <f t="shared" si="21"/>
        <v>4.8906298485000006E-2</v>
      </c>
      <c r="P90">
        <f t="shared" si="22"/>
        <v>-1.6721098241282963E-2</v>
      </c>
      <c r="V90">
        <v>2.5999999999999699</v>
      </c>
      <c r="W90">
        <f t="shared" si="23"/>
        <v>-0.62202999999999853</v>
      </c>
    </row>
    <row r="91" spans="1:23" x14ac:dyDescent="0.3">
      <c r="A91">
        <v>4.5459281999999996</v>
      </c>
      <c r="B91">
        <v>0.63736000000000004</v>
      </c>
      <c r="C91">
        <f t="shared" si="13"/>
        <v>2.897392797552</v>
      </c>
      <c r="D91">
        <v>1.4500000000000001E-2</v>
      </c>
      <c r="E91">
        <v>1.089E-2</v>
      </c>
      <c r="F91">
        <f t="shared" si="14"/>
        <v>909.18563999999992</v>
      </c>
      <c r="G91">
        <f t="shared" si="15"/>
        <v>-0.63736000000000004</v>
      </c>
      <c r="H91">
        <f t="shared" si="16"/>
        <v>-579.47855951040003</v>
      </c>
      <c r="I91">
        <v>1</v>
      </c>
      <c r="J91">
        <f t="shared" si="17"/>
        <v>-9.5205981233184633E-2</v>
      </c>
      <c r="K91">
        <f t="shared" si="18"/>
        <v>-0.58436515177521742</v>
      </c>
      <c r="L91">
        <v>1</v>
      </c>
      <c r="M91">
        <f t="shared" si="19"/>
        <v>0.4855178170505392</v>
      </c>
      <c r="N91">
        <f t="shared" si="20"/>
        <v>6.5915958900000002E-2</v>
      </c>
      <c r="O91">
        <f t="shared" si="21"/>
        <v>4.9505158097999998E-2</v>
      </c>
      <c r="P91">
        <f t="shared" si="22"/>
        <v>-1.6573782273321784E-2</v>
      </c>
      <c r="V91">
        <v>2.69999999999997</v>
      </c>
      <c r="W91">
        <f t="shared" si="23"/>
        <v>-0.62709499999999851</v>
      </c>
    </row>
    <row r="92" spans="1:23" x14ac:dyDescent="0.3">
      <c r="A92">
        <v>4.5993925999999998</v>
      </c>
      <c r="B92">
        <v>0.63490000000000002</v>
      </c>
      <c r="C92">
        <f t="shared" si="13"/>
        <v>2.9201543617399999</v>
      </c>
      <c r="D92">
        <v>1.4500000000000001E-2</v>
      </c>
      <c r="E92">
        <v>1.089E-2</v>
      </c>
      <c r="F92">
        <f t="shared" si="14"/>
        <v>919.87851999999998</v>
      </c>
      <c r="G92">
        <f t="shared" si="15"/>
        <v>-0.63490000000000002</v>
      </c>
      <c r="H92">
        <f t="shared" si="16"/>
        <v>-584.030872348</v>
      </c>
      <c r="I92">
        <v>1</v>
      </c>
      <c r="J92">
        <f t="shared" si="17"/>
        <v>-8.3513661135819456E-2</v>
      </c>
      <c r="K92">
        <f t="shared" si="18"/>
        <v>-0.58682515177521744</v>
      </c>
      <c r="L92">
        <v>1</v>
      </c>
      <c r="M92">
        <f t="shared" si="19"/>
        <v>0.48611003306347073</v>
      </c>
      <c r="N92">
        <f t="shared" si="20"/>
        <v>6.6691192699999999E-2</v>
      </c>
      <c r="O92">
        <f t="shared" si="21"/>
        <v>5.0087385413999999E-2</v>
      </c>
      <c r="P92">
        <f t="shared" si="22"/>
        <v>-1.6063459402253288E-2</v>
      </c>
      <c r="V92">
        <v>2.7999999999999701</v>
      </c>
      <c r="W92">
        <f t="shared" si="23"/>
        <v>-0.6321599999999985</v>
      </c>
    </row>
    <row r="93" spans="1:23" x14ac:dyDescent="0.3">
      <c r="A93">
        <v>4.6503104999999998</v>
      </c>
      <c r="B93">
        <v>0.63254999999999995</v>
      </c>
      <c r="C93">
        <f t="shared" si="13"/>
        <v>2.9415539067749994</v>
      </c>
      <c r="D93">
        <v>1.4500000000000001E-2</v>
      </c>
      <c r="E93">
        <v>1.089E-2</v>
      </c>
      <c r="F93">
        <f t="shared" si="14"/>
        <v>930.06209999999999</v>
      </c>
      <c r="G93">
        <f t="shared" si="15"/>
        <v>-0.63254999999999995</v>
      </c>
      <c r="H93">
        <f t="shared" si="16"/>
        <v>-588.3107813549999</v>
      </c>
      <c r="I93">
        <v>1</v>
      </c>
      <c r="J93">
        <f t="shared" si="17"/>
        <v>-7.2503920870584257E-2</v>
      </c>
      <c r="K93">
        <f t="shared" si="18"/>
        <v>-0.58917515177521751</v>
      </c>
      <c r="L93">
        <v>1</v>
      </c>
      <c r="M93">
        <f t="shared" si="19"/>
        <v>0.48666767640790493</v>
      </c>
      <c r="N93">
        <f t="shared" si="20"/>
        <v>6.7429502249999995E-2</v>
      </c>
      <c r="O93">
        <f t="shared" si="21"/>
        <v>5.0641881345E-2</v>
      </c>
      <c r="P93">
        <f t="shared" si="22"/>
        <v>-1.5563908227687412E-2</v>
      </c>
      <c r="V93">
        <v>2.8999999999999702</v>
      </c>
      <c r="W93">
        <f t="shared" si="23"/>
        <v>-0.63722499999999849</v>
      </c>
    </row>
    <row r="94" spans="1:23" x14ac:dyDescent="0.3">
      <c r="A94">
        <v>4.7027562999999999</v>
      </c>
      <c r="B94">
        <v>0.63031999999999999</v>
      </c>
      <c r="C94">
        <f t="shared" si="13"/>
        <v>2.9642413510159997</v>
      </c>
      <c r="D94">
        <v>1.4500000000000001E-2</v>
      </c>
      <c r="E94">
        <v>1.089E-2</v>
      </c>
      <c r="F94">
        <f t="shared" si="14"/>
        <v>940.55125999999996</v>
      </c>
      <c r="G94">
        <f t="shared" si="15"/>
        <v>-0.63031999999999999</v>
      </c>
      <c r="H94">
        <f t="shared" si="16"/>
        <v>-592.84827020319995</v>
      </c>
      <c r="I94">
        <v>1</v>
      </c>
      <c r="J94">
        <f t="shared" si="17"/>
        <v>-6.1289128802305762E-2</v>
      </c>
      <c r="K94">
        <f t="shared" si="18"/>
        <v>-0.59140515177521746</v>
      </c>
      <c r="L94">
        <v>1</v>
      </c>
      <c r="M94">
        <f t="shared" si="19"/>
        <v>0.4872357056261632</v>
      </c>
      <c r="N94">
        <f t="shared" si="20"/>
        <v>6.8189966350000006E-2</v>
      </c>
      <c r="O94">
        <f t="shared" si="21"/>
        <v>5.1213016106999999E-2</v>
      </c>
      <c r="P94">
        <f t="shared" si="22"/>
        <v>-1.5233536307945737E-2</v>
      </c>
      <c r="V94">
        <v>2.9999999999999698</v>
      </c>
      <c r="W94">
        <f t="shared" si="23"/>
        <v>-0.64228999999999847</v>
      </c>
    </row>
    <row r="95" spans="1:23" x14ac:dyDescent="0.3">
      <c r="A95">
        <v>4.7608031999999998</v>
      </c>
      <c r="B95">
        <v>0.62804000000000004</v>
      </c>
      <c r="C95">
        <f t="shared" si="13"/>
        <v>2.9899748417279999</v>
      </c>
      <c r="D95">
        <v>1.4500000000000001E-2</v>
      </c>
      <c r="E95">
        <v>1.089E-2</v>
      </c>
      <c r="F95">
        <f t="shared" si="14"/>
        <v>952.16063999999994</v>
      </c>
      <c r="G95">
        <f t="shared" si="15"/>
        <v>-0.62804000000000004</v>
      </c>
      <c r="H95">
        <f t="shared" si="16"/>
        <v>-597.9949683456</v>
      </c>
      <c r="I95">
        <v>1</v>
      </c>
      <c r="J95">
        <f t="shared" si="17"/>
        <v>-4.902151892988095E-2</v>
      </c>
      <c r="K95">
        <f t="shared" si="18"/>
        <v>-0.59368515177521741</v>
      </c>
      <c r="L95">
        <v>1</v>
      </c>
      <c r="M95">
        <f t="shared" si="19"/>
        <v>0.48785706006620155</v>
      </c>
      <c r="N95">
        <f t="shared" si="20"/>
        <v>6.9031646400000007E-2</v>
      </c>
      <c r="O95">
        <f t="shared" si="21"/>
        <v>5.1845146847999998E-2</v>
      </c>
      <c r="P95">
        <f t="shared" si="22"/>
        <v>-1.5048701538984147E-2</v>
      </c>
      <c r="V95">
        <v>3.0999999999999699</v>
      </c>
      <c r="W95">
        <f t="shared" si="23"/>
        <v>-0.64735499999999846</v>
      </c>
    </row>
    <row r="96" spans="1:23" x14ac:dyDescent="0.3">
      <c r="A96">
        <v>4.8137582999999999</v>
      </c>
      <c r="B96">
        <v>0.62512000000000001</v>
      </c>
      <c r="C96">
        <f t="shared" si="13"/>
        <v>3.009176588496</v>
      </c>
      <c r="D96">
        <v>1.4500000000000001E-2</v>
      </c>
      <c r="E96">
        <v>1.089E-2</v>
      </c>
      <c r="F96">
        <f t="shared" si="14"/>
        <v>962.75166000000002</v>
      </c>
      <c r="G96">
        <f t="shared" si="15"/>
        <v>-0.62512000000000001</v>
      </c>
      <c r="H96">
        <f t="shared" si="16"/>
        <v>-601.8353176992</v>
      </c>
      <c r="I96">
        <v>1</v>
      </c>
      <c r="J96">
        <f t="shared" si="17"/>
        <v>-3.7959782061131868E-2</v>
      </c>
      <c r="K96">
        <f t="shared" si="18"/>
        <v>-0.59660515177521745</v>
      </c>
      <c r="L96">
        <v>1</v>
      </c>
      <c r="M96">
        <f t="shared" si="19"/>
        <v>0.48841733703860368</v>
      </c>
      <c r="N96">
        <f t="shared" si="20"/>
        <v>6.9799495350000004E-2</v>
      </c>
      <c r="O96">
        <f t="shared" si="21"/>
        <v>5.2421827886999998E-2</v>
      </c>
      <c r="P96">
        <f t="shared" si="22"/>
        <v>-1.4033508500386239E-2</v>
      </c>
      <c r="V96">
        <v>3.19999999999997</v>
      </c>
      <c r="W96">
        <f t="shared" si="23"/>
        <v>-0.65241999999999845</v>
      </c>
    </row>
    <row r="97" spans="1:23" x14ac:dyDescent="0.3">
      <c r="A97">
        <v>4.8677318999999999</v>
      </c>
      <c r="B97">
        <v>0.62287000000000003</v>
      </c>
      <c r="C97">
        <f t="shared" si="13"/>
        <v>3.0319641685529999</v>
      </c>
      <c r="D97">
        <v>1.4500000000000001E-2</v>
      </c>
      <c r="E97">
        <v>1.089E-2</v>
      </c>
      <c r="F97">
        <f t="shared" si="14"/>
        <v>973.54638</v>
      </c>
      <c r="G97">
        <f t="shared" si="15"/>
        <v>-0.62287000000000003</v>
      </c>
      <c r="H97">
        <f t="shared" si="16"/>
        <v>-606.39283371060003</v>
      </c>
      <c r="I97">
        <v>1</v>
      </c>
      <c r="J97">
        <f t="shared" si="17"/>
        <v>-2.6809812777787212E-2</v>
      </c>
      <c r="K97">
        <f t="shared" si="18"/>
        <v>-0.59885515177521742</v>
      </c>
      <c r="L97">
        <v>1</v>
      </c>
      <c r="M97">
        <f t="shared" si="19"/>
        <v>0.4889820829828051</v>
      </c>
      <c r="N97">
        <f t="shared" si="20"/>
        <v>7.0582112550000006E-2</v>
      </c>
      <c r="O97">
        <f t="shared" si="21"/>
        <v>5.3009600391E-2</v>
      </c>
      <c r="P97">
        <f t="shared" si="22"/>
        <v>-1.3718644148587686E-2</v>
      </c>
      <c r="V97">
        <v>3.2999999999999701</v>
      </c>
      <c r="W97">
        <f t="shared" si="23"/>
        <v>-0.65748499999999854</v>
      </c>
    </row>
    <row r="98" spans="1:23" x14ac:dyDescent="0.3">
      <c r="A98">
        <v>4.9201781999999996</v>
      </c>
      <c r="B98">
        <v>0.62041000000000002</v>
      </c>
      <c r="C98">
        <f t="shared" si="13"/>
        <v>3.0525277570619997</v>
      </c>
      <c r="D98">
        <v>1.4500000000000001E-2</v>
      </c>
      <c r="E98">
        <v>1.089E-2</v>
      </c>
      <c r="F98">
        <f t="shared" si="14"/>
        <v>984.03563999999994</v>
      </c>
      <c r="G98">
        <f t="shared" si="15"/>
        <v>-0.62041000000000002</v>
      </c>
      <c r="H98">
        <f t="shared" si="16"/>
        <v>-610.5055514124</v>
      </c>
      <c r="I98">
        <v>1</v>
      </c>
      <c r="J98">
        <f t="shared" si="17"/>
        <v>-1.6093163073599211E-2</v>
      </c>
      <c r="K98">
        <f t="shared" si="18"/>
        <v>-0.60131515177521744</v>
      </c>
      <c r="L98">
        <v>1</v>
      </c>
      <c r="M98">
        <f t="shared" si="19"/>
        <v>0.48952488129032218</v>
      </c>
      <c r="N98">
        <f t="shared" si="20"/>
        <v>7.1342583899999992E-2</v>
      </c>
      <c r="O98">
        <f t="shared" si="21"/>
        <v>5.3580740597999998E-2</v>
      </c>
      <c r="P98">
        <f t="shared" si="22"/>
        <v>-1.3133054013104731E-2</v>
      </c>
      <c r="V98">
        <v>3.3999999999999702</v>
      </c>
      <c r="W98">
        <f t="shared" si="23"/>
        <v>-0.66254999999999853</v>
      </c>
    </row>
    <row r="99" spans="1:23" x14ac:dyDescent="0.3">
      <c r="A99">
        <v>4.9731328000000001</v>
      </c>
      <c r="B99">
        <v>0.61822999999999995</v>
      </c>
      <c r="C99">
        <f t="shared" si="13"/>
        <v>3.0745398909439996</v>
      </c>
      <c r="D99">
        <v>1.4500000000000001E-2</v>
      </c>
      <c r="E99">
        <v>1.089E-2</v>
      </c>
      <c r="F99">
        <f t="shared" si="14"/>
        <v>994.62656000000004</v>
      </c>
      <c r="G99">
        <f t="shared" si="15"/>
        <v>-0.61822999999999995</v>
      </c>
      <c r="H99">
        <f t="shared" si="16"/>
        <v>-614.90797818879992</v>
      </c>
      <c r="I99">
        <v>1</v>
      </c>
      <c r="J99">
        <f t="shared" si="17"/>
        <v>-5.3879288553551558E-3</v>
      </c>
      <c r="K99">
        <f t="shared" si="18"/>
        <v>-0.60349515177521751</v>
      </c>
      <c r="L99">
        <v>1</v>
      </c>
      <c r="M99">
        <f t="shared" si="19"/>
        <v>0.49006710140347626</v>
      </c>
      <c r="N99">
        <f t="shared" si="20"/>
        <v>7.21104256E-2</v>
      </c>
      <c r="O99">
        <f t="shared" si="21"/>
        <v>5.4157416192000006E-2</v>
      </c>
      <c r="P99">
        <f t="shared" si="22"/>
        <v>-1.2839791420258755E-2</v>
      </c>
      <c r="V99">
        <v>3.4999999999999698</v>
      </c>
      <c r="W99">
        <f t="shared" si="23"/>
        <v>-0.66761499999999852</v>
      </c>
    </row>
    <row r="100" spans="1:23" x14ac:dyDescent="0.3">
      <c r="A100">
        <v>5.0296519000000002</v>
      </c>
      <c r="B100">
        <v>0.61580999999999997</v>
      </c>
      <c r="C100">
        <f t="shared" si="13"/>
        <v>3.0973099365389998</v>
      </c>
      <c r="D100">
        <v>1.4500000000000001E-2</v>
      </c>
      <c r="E100">
        <v>1.089E-2</v>
      </c>
      <c r="F100">
        <f t="shared" si="14"/>
        <v>1005.93038</v>
      </c>
      <c r="G100">
        <f t="shared" si="15"/>
        <v>-0.61580999999999997</v>
      </c>
      <c r="H100">
        <f t="shared" si="16"/>
        <v>-619.46198730779997</v>
      </c>
      <c r="I100">
        <v>1</v>
      </c>
      <c r="J100">
        <f t="shared" si="17"/>
        <v>5.9128645114151406E-3</v>
      </c>
      <c r="K100">
        <f t="shared" si="18"/>
        <v>-0.60591515177521749</v>
      </c>
      <c r="L100">
        <v>1</v>
      </c>
      <c r="M100">
        <f t="shared" si="19"/>
        <v>0.49063948658750317</v>
      </c>
      <c r="N100">
        <f t="shared" si="20"/>
        <v>7.292995255000001E-2</v>
      </c>
      <c r="O100">
        <f t="shared" si="21"/>
        <v>5.4772909191000002E-2</v>
      </c>
      <c r="P100">
        <f t="shared" si="22"/>
        <v>-1.2427196553285697E-2</v>
      </c>
      <c r="V100">
        <v>3.5999999999999699</v>
      </c>
      <c r="W100">
        <f t="shared" ref="W100:W131" si="24">V100*$S$5+$S$4</f>
        <v>-0.6726799999999985</v>
      </c>
    </row>
    <row r="101" spans="1:23" x14ac:dyDescent="0.3">
      <c r="A101">
        <v>5.0826069</v>
      </c>
      <c r="B101">
        <v>0.61331999999999998</v>
      </c>
      <c r="C101">
        <f t="shared" si="13"/>
        <v>3.117264463908</v>
      </c>
      <c r="D101">
        <v>1.4500000000000001E-2</v>
      </c>
      <c r="E101">
        <v>1.089E-2</v>
      </c>
      <c r="F101">
        <f t="shared" si="14"/>
        <v>1016.52138</v>
      </c>
      <c r="G101">
        <f t="shared" si="15"/>
        <v>-0.61331999999999998</v>
      </c>
      <c r="H101">
        <f t="shared" si="16"/>
        <v>-623.45289278159999</v>
      </c>
      <c r="I101">
        <v>1</v>
      </c>
      <c r="J101">
        <f t="shared" si="17"/>
        <v>1.6386386821297002E-2</v>
      </c>
      <c r="K101">
        <f t="shared" si="18"/>
        <v>-0.60840515177521748</v>
      </c>
      <c r="L101">
        <v>1</v>
      </c>
      <c r="M101">
        <f t="shared" si="19"/>
        <v>0.49116997049249866</v>
      </c>
      <c r="N101">
        <f t="shared" si="20"/>
        <v>7.3697800049999998E-2</v>
      </c>
      <c r="O101">
        <f t="shared" si="21"/>
        <v>5.5349589141000001E-2</v>
      </c>
      <c r="P101">
        <f t="shared" si="22"/>
        <v>-1.1812207908281185E-2</v>
      </c>
      <c r="V101">
        <v>3.69999999999997</v>
      </c>
      <c r="W101">
        <f t="shared" si="24"/>
        <v>-0.67774499999999849</v>
      </c>
    </row>
    <row r="102" spans="1:23" x14ac:dyDescent="0.3">
      <c r="A102">
        <v>5.1365806000000003</v>
      </c>
      <c r="B102">
        <v>0.61094000000000004</v>
      </c>
      <c r="C102">
        <f t="shared" si="13"/>
        <v>3.1381425517640005</v>
      </c>
      <c r="D102">
        <v>1.4500000000000001E-2</v>
      </c>
      <c r="E102">
        <v>1.089E-2</v>
      </c>
      <c r="F102">
        <f t="shared" si="14"/>
        <v>1027.31612</v>
      </c>
      <c r="G102">
        <f t="shared" si="15"/>
        <v>-0.61094000000000004</v>
      </c>
      <c r="H102">
        <f t="shared" si="16"/>
        <v>-627.62851035280005</v>
      </c>
      <c r="I102">
        <v>1</v>
      </c>
      <c r="J102">
        <f t="shared" si="17"/>
        <v>2.6949692735775414E-2</v>
      </c>
      <c r="K102">
        <f t="shared" si="18"/>
        <v>-0.61078515177521742</v>
      </c>
      <c r="L102">
        <v>1</v>
      </c>
      <c r="M102">
        <f t="shared" si="19"/>
        <v>0.49170500193706701</v>
      </c>
      <c r="N102">
        <f t="shared" si="20"/>
        <v>7.4480418700000009E-2</v>
      </c>
      <c r="O102">
        <f t="shared" si="21"/>
        <v>5.5937362734000004E-2</v>
      </c>
      <c r="P102">
        <f t="shared" si="22"/>
        <v>-1.1337631595849607E-2</v>
      </c>
      <c r="V102">
        <v>3.7999999999999701</v>
      </c>
      <c r="W102">
        <f t="shared" si="24"/>
        <v>-0.68280999999999847</v>
      </c>
    </row>
    <row r="103" spans="1:23" x14ac:dyDescent="0.3">
      <c r="A103">
        <v>5.1874989999999999</v>
      </c>
      <c r="B103">
        <v>0.60846999999999996</v>
      </c>
      <c r="C103">
        <f t="shared" si="13"/>
        <v>3.1564375165299996</v>
      </c>
      <c r="D103">
        <v>1.4500000000000001E-2</v>
      </c>
      <c r="E103">
        <v>1.089E-2</v>
      </c>
      <c r="F103">
        <f t="shared" si="14"/>
        <v>1037.4998000000001</v>
      </c>
      <c r="G103">
        <f t="shared" si="15"/>
        <v>-0.60846999999999996</v>
      </c>
      <c r="H103">
        <f t="shared" si="16"/>
        <v>-631.28750330599996</v>
      </c>
      <c r="I103">
        <v>1</v>
      </c>
      <c r="J103">
        <f t="shared" si="17"/>
        <v>3.6813780351613368E-2</v>
      </c>
      <c r="K103">
        <f t="shared" si="18"/>
        <v>-0.6132551517752175</v>
      </c>
      <c r="L103">
        <v>1</v>
      </c>
      <c r="M103">
        <f t="shared" si="19"/>
        <v>0.49220461797480919</v>
      </c>
      <c r="N103">
        <f t="shared" si="20"/>
        <v>7.5218735500000009E-2</v>
      </c>
      <c r="O103">
        <f t="shared" si="21"/>
        <v>5.6491864109999998E-2</v>
      </c>
      <c r="P103">
        <f t="shared" si="22"/>
        <v>-1.0660065809591696E-2</v>
      </c>
      <c r="V103">
        <v>3.8999999999999599</v>
      </c>
      <c r="W103">
        <f t="shared" si="24"/>
        <v>-0.68787499999999802</v>
      </c>
    </row>
    <row r="104" spans="1:23" x14ac:dyDescent="0.3">
      <c r="A104">
        <v>5.2384170000000001</v>
      </c>
      <c r="B104">
        <v>0.60636999999999996</v>
      </c>
      <c r="C104">
        <f t="shared" si="13"/>
        <v>3.1764189162899998</v>
      </c>
      <c r="D104">
        <v>1.4500000000000001E-2</v>
      </c>
      <c r="E104">
        <v>1.089E-2</v>
      </c>
      <c r="F104">
        <f t="shared" si="14"/>
        <v>1047.6834000000001</v>
      </c>
      <c r="G104">
        <f t="shared" si="15"/>
        <v>-0.60636999999999996</v>
      </c>
      <c r="H104">
        <f t="shared" si="16"/>
        <v>-635.28378325799997</v>
      </c>
      <c r="I104">
        <v>1</v>
      </c>
      <c r="J104">
        <f t="shared" si="17"/>
        <v>4.6581441021042613E-2</v>
      </c>
      <c r="K104">
        <f t="shared" si="18"/>
        <v>-0.61535515177521749</v>
      </c>
      <c r="L104">
        <v>1</v>
      </c>
      <c r="M104">
        <f t="shared" si="19"/>
        <v>0.49269934998771581</v>
      </c>
      <c r="N104">
        <f t="shared" si="20"/>
        <v>7.59570465E-2</v>
      </c>
      <c r="O104">
        <f t="shared" si="21"/>
        <v>5.7046361130000001E-2</v>
      </c>
      <c r="P104">
        <f t="shared" si="22"/>
        <v>-1.0347605842498317E-2</v>
      </c>
      <c r="V104">
        <v>3.99999999999996</v>
      </c>
      <c r="W104">
        <f t="shared" si="24"/>
        <v>-0.692939999999998</v>
      </c>
    </row>
    <row r="105" spans="1:23" x14ac:dyDescent="0.3">
      <c r="A105">
        <v>5.2888267000000004</v>
      </c>
      <c r="B105">
        <v>0.60374000000000005</v>
      </c>
      <c r="C105">
        <f t="shared" si="13"/>
        <v>3.1930762318580004</v>
      </c>
      <c r="D105">
        <v>1.4500000000000001E-2</v>
      </c>
      <c r="E105">
        <v>1.089E-2</v>
      </c>
      <c r="F105">
        <f t="shared" si="14"/>
        <v>1057.7653400000002</v>
      </c>
      <c r="G105">
        <f t="shared" si="15"/>
        <v>-0.60374000000000005</v>
      </c>
      <c r="H105">
        <f t="shared" si="16"/>
        <v>-638.61524637160005</v>
      </c>
      <c r="I105">
        <v>1</v>
      </c>
      <c r="J105">
        <f t="shared" si="17"/>
        <v>5.6158512994562863E-2</v>
      </c>
      <c r="K105">
        <f t="shared" si="18"/>
        <v>-0.6179851517752174</v>
      </c>
      <c r="L105">
        <v>1</v>
      </c>
      <c r="M105">
        <f t="shared" si="19"/>
        <v>0.49318442868317458</v>
      </c>
      <c r="N105">
        <f t="shared" si="20"/>
        <v>7.6687987150000012E-2</v>
      </c>
      <c r="O105">
        <f t="shared" si="21"/>
        <v>5.7595322763000008E-2</v>
      </c>
      <c r="P105">
        <f t="shared" si="22"/>
        <v>-9.4825868209571992E-3</v>
      </c>
      <c r="V105">
        <v>4.0999999999999996</v>
      </c>
      <c r="W105">
        <f t="shared" si="24"/>
        <v>-0.69800499999999999</v>
      </c>
    </row>
    <row r="106" spans="1:23" x14ac:dyDescent="0.3">
      <c r="A106">
        <v>5.3468730000000004</v>
      </c>
      <c r="B106">
        <v>0.60165999999999997</v>
      </c>
      <c r="C106">
        <f t="shared" si="13"/>
        <v>3.2169996091800002</v>
      </c>
      <c r="D106">
        <v>1.4500000000000001E-2</v>
      </c>
      <c r="E106">
        <v>1.089E-2</v>
      </c>
      <c r="F106">
        <f t="shared" si="14"/>
        <v>1069.3746000000001</v>
      </c>
      <c r="G106">
        <f t="shared" si="15"/>
        <v>-0.60165999999999997</v>
      </c>
      <c r="H106">
        <f t="shared" si="16"/>
        <v>-643.39992183599998</v>
      </c>
      <c r="I106">
        <v>1</v>
      </c>
      <c r="J106">
        <f t="shared" si="17"/>
        <v>6.7073991613988068E-2</v>
      </c>
      <c r="K106">
        <f t="shared" si="18"/>
        <v>-0.62006515177521748</v>
      </c>
      <c r="L106">
        <v>1</v>
      </c>
      <c r="M106">
        <f t="shared" si="19"/>
        <v>0.49373729767524849</v>
      </c>
      <c r="N106">
        <f t="shared" si="20"/>
        <v>7.7529658500000015E-2</v>
      </c>
      <c r="O106">
        <f t="shared" si="21"/>
        <v>5.8227446970000006E-2</v>
      </c>
      <c r="P106">
        <f t="shared" si="22"/>
        <v>-9.4292513700310263E-3</v>
      </c>
      <c r="V106">
        <v>4.2</v>
      </c>
      <c r="W106">
        <f t="shared" si="24"/>
        <v>-0.70306999999999997</v>
      </c>
    </row>
    <row r="107" spans="1:23" x14ac:dyDescent="0.3">
      <c r="A107">
        <v>5.3988101000000004</v>
      </c>
      <c r="B107">
        <v>0.59907999999999995</v>
      </c>
      <c r="C107">
        <f t="shared" si="13"/>
        <v>3.2343191547079999</v>
      </c>
      <c r="D107">
        <v>1.4500000000000001E-2</v>
      </c>
      <c r="E107">
        <v>1.089E-2</v>
      </c>
      <c r="F107">
        <f t="shared" si="14"/>
        <v>1079.7620200000001</v>
      </c>
      <c r="G107">
        <f t="shared" si="15"/>
        <v>-0.59907999999999995</v>
      </c>
      <c r="H107">
        <f t="shared" si="16"/>
        <v>-646.86383094159999</v>
      </c>
      <c r="I107">
        <v>1</v>
      </c>
      <c r="J107">
        <f t="shared" si="17"/>
        <v>7.674066500324038E-2</v>
      </c>
      <c r="K107">
        <f t="shared" si="18"/>
        <v>-0.62264515177521751</v>
      </c>
      <c r="L107">
        <v>1</v>
      </c>
      <c r="M107">
        <f t="shared" si="19"/>
        <v>0.49422691468241414</v>
      </c>
      <c r="N107">
        <f t="shared" si="20"/>
        <v>7.828274645000001E-2</v>
      </c>
      <c r="O107">
        <f t="shared" si="21"/>
        <v>5.8793041989000004E-2</v>
      </c>
      <c r="P107">
        <f t="shared" si="22"/>
        <v>-8.6575513461966472E-3</v>
      </c>
      <c r="V107">
        <v>4.3</v>
      </c>
      <c r="W107">
        <f t="shared" si="24"/>
        <v>-0.70813499999999996</v>
      </c>
    </row>
    <row r="108" spans="1:23" x14ac:dyDescent="0.3">
      <c r="A108">
        <v>5.4502378</v>
      </c>
      <c r="B108">
        <v>0.59663999999999995</v>
      </c>
      <c r="C108">
        <f t="shared" si="13"/>
        <v>3.2518298809919997</v>
      </c>
      <c r="D108">
        <v>1.4500000000000001E-2</v>
      </c>
      <c r="E108">
        <v>1.089E-2</v>
      </c>
      <c r="F108">
        <f t="shared" si="14"/>
        <v>1090.04756</v>
      </c>
      <c r="G108">
        <f t="shared" si="15"/>
        <v>-0.59663999999999995</v>
      </c>
      <c r="H108">
        <f t="shared" si="16"/>
        <v>-650.36597619839995</v>
      </c>
      <c r="I108">
        <v>1</v>
      </c>
      <c r="J108">
        <f t="shared" si="17"/>
        <v>8.6221328316682333E-2</v>
      </c>
      <c r="K108">
        <f t="shared" si="18"/>
        <v>-0.62508515177521751</v>
      </c>
      <c r="L108">
        <v>1</v>
      </c>
      <c r="M108">
        <f t="shared" si="19"/>
        <v>0.49470711027923997</v>
      </c>
      <c r="N108">
        <f t="shared" si="20"/>
        <v>7.9028448100000009E-2</v>
      </c>
      <c r="O108">
        <f t="shared" si="21"/>
        <v>5.9353089642E-2</v>
      </c>
      <c r="P108">
        <f t="shared" si="22"/>
        <v>-8.0034962460224721E-3</v>
      </c>
      <c r="V108">
        <v>4.4000000000000004</v>
      </c>
      <c r="W108">
        <f t="shared" si="24"/>
        <v>-0.71320000000000006</v>
      </c>
    </row>
    <row r="109" spans="1:23" x14ac:dyDescent="0.3">
      <c r="A109">
        <v>5.501665</v>
      </c>
      <c r="B109">
        <v>0.59440000000000004</v>
      </c>
      <c r="C109">
        <f t="shared" si="13"/>
        <v>3.2701896760000002</v>
      </c>
      <c r="D109">
        <v>1.4500000000000001E-2</v>
      </c>
      <c r="E109">
        <v>1.089E-2</v>
      </c>
      <c r="F109">
        <f t="shared" si="14"/>
        <v>1100.3330000000001</v>
      </c>
      <c r="G109">
        <f t="shared" si="15"/>
        <v>-0.59440000000000004</v>
      </c>
      <c r="H109">
        <f t="shared" si="16"/>
        <v>-654.03793519999999</v>
      </c>
      <c r="I109">
        <v>1</v>
      </c>
      <c r="J109">
        <f t="shared" si="17"/>
        <v>9.5612861264396901E-2</v>
      </c>
      <c r="K109">
        <f t="shared" si="18"/>
        <v>-0.62732515177521742</v>
      </c>
      <c r="L109">
        <v>1</v>
      </c>
      <c r="M109">
        <f t="shared" si="19"/>
        <v>0.49518279142304172</v>
      </c>
      <c r="N109">
        <f t="shared" si="20"/>
        <v>7.9774142500000006E-2</v>
      </c>
      <c r="O109">
        <f t="shared" si="21"/>
        <v>5.9913131850000002E-2</v>
      </c>
      <c r="P109">
        <f t="shared" si="22"/>
        <v>-7.5449139978243165E-3</v>
      </c>
      <c r="V109">
        <v>4.5</v>
      </c>
      <c r="W109">
        <f t="shared" si="24"/>
        <v>-0.71826499999999993</v>
      </c>
    </row>
    <row r="110" spans="1:23" x14ac:dyDescent="0.3">
      <c r="A110">
        <v>5.5576748</v>
      </c>
      <c r="B110">
        <v>0.59214999999999995</v>
      </c>
      <c r="C110">
        <f t="shared" si="13"/>
        <v>3.2909771328199997</v>
      </c>
      <c r="D110">
        <v>1.4500000000000001E-2</v>
      </c>
      <c r="E110">
        <v>1.089E-2</v>
      </c>
      <c r="F110">
        <f t="shared" si="14"/>
        <v>1111.53496</v>
      </c>
      <c r="G110">
        <f t="shared" si="15"/>
        <v>-0.59214999999999995</v>
      </c>
      <c r="H110">
        <f t="shared" si="16"/>
        <v>-658.19542656399994</v>
      </c>
      <c r="I110">
        <v>1</v>
      </c>
      <c r="J110">
        <f t="shared" si="17"/>
        <v>0.1057419069189322</v>
      </c>
      <c r="K110">
        <f t="shared" si="18"/>
        <v>-0.6295751517752175</v>
      </c>
      <c r="L110">
        <v>1</v>
      </c>
      <c r="M110">
        <f t="shared" si="19"/>
        <v>0.49569582758544389</v>
      </c>
      <c r="N110">
        <f t="shared" si="20"/>
        <v>8.0586284600000002E-2</v>
      </c>
      <c r="O110">
        <f t="shared" si="21"/>
        <v>6.0523078572000004E-2</v>
      </c>
      <c r="P110">
        <f t="shared" si="22"/>
        <v>-7.2300389822263986E-3</v>
      </c>
      <c r="V110">
        <v>4.5999999999999996</v>
      </c>
      <c r="W110">
        <f t="shared" si="24"/>
        <v>-0.72333000000000003</v>
      </c>
    </row>
    <row r="111" spans="1:23" x14ac:dyDescent="0.3">
      <c r="A111">
        <v>5.6106303999999998</v>
      </c>
      <c r="B111">
        <v>0.58952000000000004</v>
      </c>
      <c r="C111">
        <f t="shared" si="13"/>
        <v>3.3075788334080003</v>
      </c>
      <c r="D111">
        <v>1.4500000000000001E-2</v>
      </c>
      <c r="E111">
        <v>1.089E-2</v>
      </c>
      <c r="F111">
        <f t="shared" si="14"/>
        <v>1122.12608</v>
      </c>
      <c r="G111">
        <f t="shared" si="15"/>
        <v>-0.58952000000000004</v>
      </c>
      <c r="H111">
        <f t="shared" si="16"/>
        <v>-661.5157666816001</v>
      </c>
      <c r="I111">
        <v>1</v>
      </c>
      <c r="J111">
        <f t="shared" si="17"/>
        <v>0.11522517155387127</v>
      </c>
      <c r="K111">
        <f t="shared" si="18"/>
        <v>-0.63220515177521741</v>
      </c>
      <c r="L111">
        <v>1</v>
      </c>
      <c r="M111">
        <f t="shared" si="19"/>
        <v>0.49617615493920358</v>
      </c>
      <c r="N111">
        <f t="shared" si="20"/>
        <v>8.1354140800000002E-2</v>
      </c>
      <c r="O111">
        <f t="shared" si="21"/>
        <v>6.1099765055999997E-2</v>
      </c>
      <c r="P111">
        <f t="shared" si="22"/>
        <v>-6.4249090199861719E-3</v>
      </c>
      <c r="V111">
        <v>4.7</v>
      </c>
      <c r="W111">
        <f t="shared" si="24"/>
        <v>-0.72839500000000001</v>
      </c>
    </row>
    <row r="112" spans="1:23" x14ac:dyDescent="0.3">
      <c r="A112">
        <v>5.6615488000000003</v>
      </c>
      <c r="B112">
        <v>0.58726</v>
      </c>
      <c r="C112">
        <f t="shared" si="13"/>
        <v>3.324801148288</v>
      </c>
      <c r="D112">
        <v>1.4500000000000001E-2</v>
      </c>
      <c r="E112">
        <v>1.089E-2</v>
      </c>
      <c r="F112">
        <f t="shared" si="14"/>
        <v>1132.3097600000001</v>
      </c>
      <c r="G112">
        <f t="shared" si="15"/>
        <v>-0.58726</v>
      </c>
      <c r="H112">
        <f t="shared" si="16"/>
        <v>-664.96022965760005</v>
      </c>
      <c r="I112">
        <v>1</v>
      </c>
      <c r="J112">
        <f t="shared" si="17"/>
        <v>0.12425958192448272</v>
      </c>
      <c r="K112">
        <f t="shared" si="18"/>
        <v>-0.63446515177521745</v>
      </c>
      <c r="L112">
        <v>1</v>
      </c>
      <c r="M112">
        <f t="shared" si="19"/>
        <v>0.49663374782447506</v>
      </c>
      <c r="N112">
        <f t="shared" si="20"/>
        <v>8.2092457600000002E-2</v>
      </c>
      <c r="O112">
        <f t="shared" si="21"/>
        <v>6.1654266432000004E-2</v>
      </c>
      <c r="P112">
        <f t="shared" si="22"/>
        <v>-5.9153200812576134E-3</v>
      </c>
      <c r="V112">
        <v>4.8</v>
      </c>
      <c r="W112">
        <f t="shared" si="24"/>
        <v>-0.73346</v>
      </c>
    </row>
    <row r="113" spans="1:23" x14ac:dyDescent="0.3">
      <c r="A113">
        <v>5.7150126999999999</v>
      </c>
      <c r="B113">
        <v>0.58491000000000004</v>
      </c>
      <c r="C113">
        <f t="shared" si="13"/>
        <v>3.3427680783570004</v>
      </c>
      <c r="D113">
        <v>1.4500000000000001E-2</v>
      </c>
      <c r="E113">
        <v>1.089E-2</v>
      </c>
      <c r="F113">
        <f t="shared" si="14"/>
        <v>1143.00254</v>
      </c>
      <c r="G113">
        <f t="shared" si="15"/>
        <v>-0.58491000000000004</v>
      </c>
      <c r="H113">
        <f t="shared" si="16"/>
        <v>-668.55361567140005</v>
      </c>
      <c r="I113">
        <v>1</v>
      </c>
      <c r="J113">
        <f t="shared" si="17"/>
        <v>0.1336586070324266</v>
      </c>
      <c r="K113">
        <f t="shared" si="18"/>
        <v>-0.63681515177521741</v>
      </c>
      <c r="L113">
        <v>1</v>
      </c>
      <c r="M113">
        <f t="shared" si="19"/>
        <v>0.4971098084461924</v>
      </c>
      <c r="N113">
        <f t="shared" si="20"/>
        <v>8.2867684150000009E-2</v>
      </c>
      <c r="O113">
        <f t="shared" si="21"/>
        <v>6.2236488303E-2</v>
      </c>
      <c r="P113">
        <f t="shared" si="22"/>
        <v>-5.3988291239749978E-3</v>
      </c>
      <c r="V113">
        <v>4.9000000000000004</v>
      </c>
      <c r="W113">
        <f t="shared" si="24"/>
        <v>-0.73852499999999999</v>
      </c>
    </row>
    <row r="114" spans="1:23" x14ac:dyDescent="0.3">
      <c r="A114">
        <v>5.7654224000000003</v>
      </c>
      <c r="B114">
        <v>0.58247000000000004</v>
      </c>
      <c r="C114">
        <f t="shared" si="13"/>
        <v>3.3581855853280005</v>
      </c>
      <c r="D114">
        <v>1.4500000000000001E-2</v>
      </c>
      <c r="E114">
        <v>1.089E-2</v>
      </c>
      <c r="F114">
        <f t="shared" si="14"/>
        <v>1153.08448</v>
      </c>
      <c r="G114">
        <f t="shared" si="15"/>
        <v>-0.58247000000000004</v>
      </c>
      <c r="H114">
        <f t="shared" si="16"/>
        <v>-671.63711706560014</v>
      </c>
      <c r="I114">
        <v>1</v>
      </c>
      <c r="J114">
        <f t="shared" si="17"/>
        <v>0.14244050833396246</v>
      </c>
      <c r="K114">
        <f t="shared" si="18"/>
        <v>-0.63925515177521741</v>
      </c>
      <c r="L114">
        <v>1</v>
      </c>
      <c r="M114">
        <f t="shared" si="19"/>
        <v>0.49755461174711518</v>
      </c>
      <c r="N114">
        <f t="shared" si="20"/>
        <v>8.3598624800000007E-2</v>
      </c>
      <c r="O114">
        <f t="shared" si="21"/>
        <v>6.2785449936000007E-2</v>
      </c>
      <c r="P114">
        <f t="shared" si="22"/>
        <v>-4.6835347078977851E-3</v>
      </c>
      <c r="V114">
        <v>5</v>
      </c>
      <c r="W114">
        <f t="shared" si="24"/>
        <v>-0.74358999999999997</v>
      </c>
    </row>
    <row r="115" spans="1:23" x14ac:dyDescent="0.3">
      <c r="A115">
        <v>5.8214321</v>
      </c>
      <c r="B115">
        <v>0.58009999999999995</v>
      </c>
      <c r="C115">
        <f t="shared" si="13"/>
        <v>3.3770127612099996</v>
      </c>
      <c r="D115">
        <v>1.4500000000000001E-2</v>
      </c>
      <c r="E115">
        <v>1.089E-2</v>
      </c>
      <c r="F115">
        <f t="shared" si="14"/>
        <v>1164.2864199999999</v>
      </c>
      <c r="G115">
        <f t="shared" si="15"/>
        <v>-0.58009999999999995</v>
      </c>
      <c r="H115">
        <f t="shared" si="16"/>
        <v>-675.40255224199996</v>
      </c>
      <c r="I115">
        <v>1</v>
      </c>
      <c r="J115">
        <f t="shared" si="17"/>
        <v>0.1521083843322435</v>
      </c>
      <c r="K115">
        <f t="shared" si="18"/>
        <v>-0.64162515177521751</v>
      </c>
      <c r="L115">
        <v>1</v>
      </c>
      <c r="M115">
        <f t="shared" si="19"/>
        <v>0.49804428966642811</v>
      </c>
      <c r="N115">
        <f t="shared" si="20"/>
        <v>8.4410765450000008E-2</v>
      </c>
      <c r="O115">
        <f t="shared" si="21"/>
        <v>6.3395395569000007E-2</v>
      </c>
      <c r="P115">
        <f t="shared" si="22"/>
        <v>-4.2252989102106175E-3</v>
      </c>
      <c r="V115">
        <v>5.0999999999999996</v>
      </c>
      <c r="W115">
        <f t="shared" si="24"/>
        <v>-0.74865499999999996</v>
      </c>
    </row>
    <row r="116" spans="1:23" x14ac:dyDescent="0.3">
      <c r="A116">
        <v>5.8738783999999997</v>
      </c>
      <c r="B116">
        <v>0.57754000000000005</v>
      </c>
      <c r="C116">
        <f t="shared" si="13"/>
        <v>3.3923997311360004</v>
      </c>
      <c r="D116">
        <v>1.4500000000000001E-2</v>
      </c>
      <c r="E116">
        <v>1.089E-2</v>
      </c>
      <c r="F116">
        <f t="shared" si="14"/>
        <v>1174.77568</v>
      </c>
      <c r="G116">
        <f t="shared" si="15"/>
        <v>-0.57754000000000005</v>
      </c>
      <c r="H116">
        <f t="shared" si="16"/>
        <v>-678.47994622720012</v>
      </c>
      <c r="I116">
        <v>1</v>
      </c>
      <c r="J116">
        <f t="shared" si="17"/>
        <v>0.16107721873206879</v>
      </c>
      <c r="K116">
        <f t="shared" si="18"/>
        <v>-0.6441851517752174</v>
      </c>
      <c r="L116">
        <v>1</v>
      </c>
      <c r="M116">
        <f t="shared" si="19"/>
        <v>0.49849856112877927</v>
      </c>
      <c r="N116">
        <f t="shared" si="20"/>
        <v>8.5171236799999994E-2</v>
      </c>
      <c r="O116">
        <f t="shared" si="21"/>
        <v>6.3966535776000005E-2</v>
      </c>
      <c r="P116">
        <f t="shared" si="22"/>
        <v>-3.4511819295618695E-3</v>
      </c>
      <c r="V116">
        <v>5.2</v>
      </c>
      <c r="W116">
        <f t="shared" si="24"/>
        <v>-0.75371999999999995</v>
      </c>
    </row>
    <row r="117" spans="1:23" x14ac:dyDescent="0.3">
      <c r="A117">
        <v>5.9278516000000003</v>
      </c>
      <c r="B117">
        <v>0.57511999999999996</v>
      </c>
      <c r="C117">
        <f t="shared" si="13"/>
        <v>3.4092260121920002</v>
      </c>
      <c r="D117">
        <v>1.4500000000000001E-2</v>
      </c>
      <c r="E117">
        <v>1.089E-2</v>
      </c>
      <c r="F117">
        <f t="shared" si="14"/>
        <v>1185.57032</v>
      </c>
      <c r="G117">
        <f t="shared" si="15"/>
        <v>-0.57511999999999996</v>
      </c>
      <c r="H117">
        <f t="shared" si="16"/>
        <v>-681.84520243840007</v>
      </c>
      <c r="I117">
        <v>1</v>
      </c>
      <c r="J117">
        <f t="shared" si="17"/>
        <v>0.17022394150814457</v>
      </c>
      <c r="K117">
        <f t="shared" si="18"/>
        <v>-0.64660515177521749</v>
      </c>
      <c r="L117">
        <v>1</v>
      </c>
      <c r="M117">
        <f t="shared" si="19"/>
        <v>0.49896184263738752</v>
      </c>
      <c r="N117">
        <f t="shared" si="20"/>
        <v>8.5953848200000016E-2</v>
      </c>
      <c r="O117">
        <f t="shared" si="21"/>
        <v>6.4554303924000009E-2</v>
      </c>
      <c r="P117">
        <f t="shared" si="22"/>
        <v>-2.8648429861700547E-3</v>
      </c>
      <c r="V117">
        <v>5.3</v>
      </c>
      <c r="W117">
        <f t="shared" si="24"/>
        <v>-0.75878500000000004</v>
      </c>
    </row>
    <row r="118" spans="1:23" x14ac:dyDescent="0.3">
      <c r="A118">
        <v>5.9782602999999996</v>
      </c>
      <c r="B118">
        <v>0.57279000000000002</v>
      </c>
      <c r="C118">
        <f t="shared" si="13"/>
        <v>3.4242877172370001</v>
      </c>
      <c r="D118">
        <v>1.4500000000000001E-2</v>
      </c>
      <c r="E118">
        <v>1.089E-2</v>
      </c>
      <c r="F118">
        <f t="shared" si="14"/>
        <v>1195.6520599999999</v>
      </c>
      <c r="G118">
        <f t="shared" si="15"/>
        <v>-0.57279000000000002</v>
      </c>
      <c r="H118">
        <f t="shared" si="16"/>
        <v>-684.85754344740008</v>
      </c>
      <c r="I118">
        <v>1</v>
      </c>
      <c r="J118">
        <f t="shared" si="17"/>
        <v>0.17869169347064393</v>
      </c>
      <c r="K118">
        <f t="shared" si="18"/>
        <v>-0.64893515177521743</v>
      </c>
      <c r="L118">
        <v>1</v>
      </c>
      <c r="M118">
        <f t="shared" si="19"/>
        <v>0.4993907342742881</v>
      </c>
      <c r="N118">
        <f t="shared" si="20"/>
        <v>8.6684774349999993E-2</v>
      </c>
      <c r="O118">
        <f t="shared" si="21"/>
        <v>6.5103254666999996E-2</v>
      </c>
      <c r="P118">
        <f t="shared" si="22"/>
        <v>-2.243611516070651E-3</v>
      </c>
      <c r="V118">
        <v>5.4</v>
      </c>
      <c r="W118">
        <f t="shared" si="24"/>
        <v>-0.76385000000000003</v>
      </c>
    </row>
    <row r="119" spans="1:23" x14ac:dyDescent="0.3">
      <c r="A119">
        <v>6.0301973000000002</v>
      </c>
      <c r="B119">
        <v>0.57011999999999996</v>
      </c>
      <c r="C119">
        <f t="shared" si="13"/>
        <v>3.4379360846760001</v>
      </c>
      <c r="D119">
        <v>1.4500000000000001E-2</v>
      </c>
      <c r="E119">
        <v>1.089E-2</v>
      </c>
      <c r="F119">
        <f t="shared" si="14"/>
        <v>1206.03946</v>
      </c>
      <c r="G119">
        <f t="shared" si="15"/>
        <v>-0.57011999999999996</v>
      </c>
      <c r="H119">
        <f t="shared" si="16"/>
        <v>-687.58721693519999</v>
      </c>
      <c r="I119">
        <v>1</v>
      </c>
      <c r="J119">
        <f t="shared" si="17"/>
        <v>0.18734181750437484</v>
      </c>
      <c r="K119">
        <f t="shared" si="18"/>
        <v>-0.65160515177521749</v>
      </c>
      <c r="L119">
        <v>1</v>
      </c>
      <c r="M119">
        <f t="shared" si="19"/>
        <v>0.49982886305659657</v>
      </c>
      <c r="N119">
        <f t="shared" si="20"/>
        <v>8.7437860850000007E-2</v>
      </c>
      <c r="O119">
        <f t="shared" si="21"/>
        <v>6.5668848597000007E-2</v>
      </c>
      <c r="P119">
        <f t="shared" si="22"/>
        <v>-1.330420728379092E-3</v>
      </c>
      <c r="V119">
        <v>5.5</v>
      </c>
      <c r="W119">
        <f t="shared" si="24"/>
        <v>-0.76891500000000002</v>
      </c>
    </row>
    <row r="120" spans="1:23" x14ac:dyDescent="0.3">
      <c r="A120">
        <v>6.0811156999999998</v>
      </c>
      <c r="B120">
        <v>0.56806999999999996</v>
      </c>
      <c r="C120">
        <f t="shared" si="13"/>
        <v>3.4544993956989996</v>
      </c>
      <c r="D120">
        <v>1.4500000000000001E-2</v>
      </c>
      <c r="E120">
        <v>1.089E-2</v>
      </c>
      <c r="F120">
        <f t="shared" si="14"/>
        <v>1216.2231400000001</v>
      </c>
      <c r="G120">
        <f t="shared" si="15"/>
        <v>-0.56806999999999996</v>
      </c>
      <c r="H120">
        <f t="shared" si="16"/>
        <v>-690.89987913979996</v>
      </c>
      <c r="I120">
        <v>1</v>
      </c>
      <c r="J120">
        <f t="shared" si="17"/>
        <v>0.19575026999877984</v>
      </c>
      <c r="K120">
        <f t="shared" si="18"/>
        <v>-0.65365515177521749</v>
      </c>
      <c r="L120">
        <v>1</v>
      </c>
      <c r="M120">
        <f t="shared" si="19"/>
        <v>0.50025475117543816</v>
      </c>
      <c r="N120">
        <f t="shared" si="20"/>
        <v>8.8176177650000007E-2</v>
      </c>
      <c r="O120">
        <f t="shared" si="21"/>
        <v>6.6223349973000001E-2</v>
      </c>
      <c r="P120">
        <f t="shared" si="22"/>
        <v>-9.9912702322067781E-4</v>
      </c>
      <c r="V120">
        <v>5.6</v>
      </c>
      <c r="W120">
        <f t="shared" si="24"/>
        <v>-0.77398</v>
      </c>
    </row>
    <row r="121" spans="1:23" x14ac:dyDescent="0.3">
      <c r="A121">
        <v>6.1320337</v>
      </c>
      <c r="B121">
        <v>0.56560999999999995</v>
      </c>
      <c r="C121">
        <f t="shared" si="13"/>
        <v>3.4683395810569997</v>
      </c>
      <c r="D121">
        <v>1.4500000000000001E-2</v>
      </c>
      <c r="E121">
        <v>1.089E-2</v>
      </c>
      <c r="F121">
        <f t="shared" si="14"/>
        <v>1226.4067399999999</v>
      </c>
      <c r="G121">
        <f t="shared" si="15"/>
        <v>-0.56560999999999995</v>
      </c>
      <c r="H121">
        <f t="shared" si="16"/>
        <v>-693.66791621139998</v>
      </c>
      <c r="I121">
        <v>1</v>
      </c>
      <c r="J121">
        <f t="shared" si="17"/>
        <v>0.20408854432031337</v>
      </c>
      <c r="K121">
        <f t="shared" si="18"/>
        <v>-0.65611515177521751</v>
      </c>
      <c r="L121">
        <v>1</v>
      </c>
      <c r="M121">
        <f t="shared" si="19"/>
        <v>0.50067708476982387</v>
      </c>
      <c r="N121">
        <f t="shared" si="20"/>
        <v>8.8914488649999998E-2</v>
      </c>
      <c r="O121">
        <f t="shared" si="21"/>
        <v>6.6777846993000003E-2</v>
      </c>
      <c r="P121">
        <f t="shared" si="22"/>
        <v>-2.5426863760635854E-4</v>
      </c>
      <c r="V121">
        <v>5.7</v>
      </c>
      <c r="W121">
        <f t="shared" si="24"/>
        <v>-0.77904499999999999</v>
      </c>
    </row>
    <row r="122" spans="1:23" x14ac:dyDescent="0.3">
      <c r="A122">
        <v>6.1824434000000004</v>
      </c>
      <c r="B122">
        <v>0.56333999999999995</v>
      </c>
      <c r="C122">
        <f t="shared" si="13"/>
        <v>3.4828176649559999</v>
      </c>
      <c r="D122">
        <v>1.4500000000000001E-2</v>
      </c>
      <c r="E122">
        <v>1.089E-2</v>
      </c>
      <c r="F122">
        <f t="shared" si="14"/>
        <v>1236.4886800000002</v>
      </c>
      <c r="G122">
        <f t="shared" si="15"/>
        <v>-0.56333999999999995</v>
      </c>
      <c r="H122">
        <f t="shared" si="16"/>
        <v>-696.56353299119996</v>
      </c>
      <c r="I122">
        <v>1</v>
      </c>
      <c r="J122">
        <f t="shared" si="17"/>
        <v>0.2122756530648035</v>
      </c>
      <c r="K122">
        <f t="shared" si="18"/>
        <v>-0.6583851517752175</v>
      </c>
      <c r="L122">
        <v>1</v>
      </c>
      <c r="M122">
        <f t="shared" si="19"/>
        <v>0.5010917618277323</v>
      </c>
      <c r="N122">
        <f t="shared" si="20"/>
        <v>8.964542930000001E-2</v>
      </c>
      <c r="O122">
        <f t="shared" si="21"/>
        <v>6.7326808626000004E-2</v>
      </c>
      <c r="P122">
        <f t="shared" si="22"/>
        <v>3.2115202148519373E-4</v>
      </c>
      <c r="V122">
        <v>5.8</v>
      </c>
      <c r="W122">
        <f t="shared" si="24"/>
        <v>-0.78410999999999997</v>
      </c>
    </row>
    <row r="123" spans="1:23" x14ac:dyDescent="0.3">
      <c r="A123">
        <v>6.2353984000000002</v>
      </c>
      <c r="B123">
        <v>0.56106999999999996</v>
      </c>
      <c r="C123">
        <f t="shared" si="13"/>
        <v>3.4984949802879997</v>
      </c>
      <c r="D123">
        <v>1.4500000000000001E-2</v>
      </c>
      <c r="E123">
        <v>1.089E-2</v>
      </c>
      <c r="F123">
        <f t="shared" si="14"/>
        <v>1247.0796800000001</v>
      </c>
      <c r="G123">
        <f t="shared" si="15"/>
        <v>-0.56106999999999996</v>
      </c>
      <c r="H123">
        <f t="shared" si="16"/>
        <v>-699.69899605759997</v>
      </c>
      <c r="I123">
        <v>1</v>
      </c>
      <c r="J123">
        <f t="shared" si="17"/>
        <v>0.22080456201019932</v>
      </c>
      <c r="K123">
        <f t="shared" si="18"/>
        <v>-0.6606551517752175</v>
      </c>
      <c r="L123">
        <v>1</v>
      </c>
      <c r="M123">
        <f t="shared" si="19"/>
        <v>0.50152375106581659</v>
      </c>
      <c r="N123">
        <f t="shared" si="20"/>
        <v>9.0413276800000011E-2</v>
      </c>
      <c r="O123">
        <f t="shared" si="21"/>
        <v>6.790348857600001E-2</v>
      </c>
      <c r="P123">
        <f t="shared" si="22"/>
        <v>8.1463533340088434E-4</v>
      </c>
      <c r="V123">
        <v>5.9</v>
      </c>
      <c r="W123">
        <f t="shared" si="24"/>
        <v>-0.78917499999999996</v>
      </c>
    </row>
    <row r="124" spans="1:23" x14ac:dyDescent="0.3">
      <c r="A124">
        <v>6.2868252</v>
      </c>
      <c r="B124">
        <v>0.55869999999999997</v>
      </c>
      <c r="C124">
        <f t="shared" si="13"/>
        <v>3.51244923924</v>
      </c>
      <c r="D124">
        <v>1.4500000000000001E-2</v>
      </c>
      <c r="E124">
        <v>1.089E-2</v>
      </c>
      <c r="F124">
        <f t="shared" si="14"/>
        <v>1257.3650399999999</v>
      </c>
      <c r="G124">
        <f t="shared" si="15"/>
        <v>-0.55869999999999997</v>
      </c>
      <c r="H124">
        <f t="shared" si="16"/>
        <v>-702.48984784799995</v>
      </c>
      <c r="I124">
        <v>1</v>
      </c>
      <c r="J124">
        <f t="shared" si="17"/>
        <v>0.2290182931764525</v>
      </c>
      <c r="K124">
        <f t="shared" si="18"/>
        <v>-0.66302515177521748</v>
      </c>
      <c r="L124">
        <v>1</v>
      </c>
      <c r="M124">
        <f t="shared" si="19"/>
        <v>0.50193977654938737</v>
      </c>
      <c r="N124">
        <f t="shared" si="20"/>
        <v>9.11589654E-2</v>
      </c>
      <c r="O124">
        <f t="shared" si="21"/>
        <v>6.8463526428000007E-2</v>
      </c>
      <c r="P124">
        <f t="shared" si="22"/>
        <v>1.4628833978301004E-3</v>
      </c>
      <c r="V124">
        <v>6</v>
      </c>
      <c r="W124">
        <f t="shared" si="24"/>
        <v>-0.79424000000000006</v>
      </c>
    </row>
    <row r="125" spans="1:23" x14ac:dyDescent="0.3">
      <c r="A125">
        <v>6.3377436999999999</v>
      </c>
      <c r="B125">
        <v>0.55627000000000004</v>
      </c>
      <c r="C125">
        <f t="shared" si="13"/>
        <v>3.5254966879990004</v>
      </c>
      <c r="D125">
        <v>1.4500000000000001E-2</v>
      </c>
      <c r="E125">
        <v>1.089E-2</v>
      </c>
      <c r="F125">
        <f t="shared" si="14"/>
        <v>1267.54874</v>
      </c>
      <c r="G125">
        <f t="shared" si="15"/>
        <v>-0.55627000000000004</v>
      </c>
      <c r="H125">
        <f t="shared" si="16"/>
        <v>-705.09933759980004</v>
      </c>
      <c r="I125">
        <v>1</v>
      </c>
      <c r="J125">
        <f t="shared" si="17"/>
        <v>0.23708490939279381</v>
      </c>
      <c r="K125">
        <f t="shared" si="18"/>
        <v>-0.66545515177521741</v>
      </c>
      <c r="L125">
        <v>1</v>
      </c>
      <c r="M125">
        <f t="shared" si="19"/>
        <v>0.50234835066074501</v>
      </c>
      <c r="N125">
        <f t="shared" si="20"/>
        <v>9.1897283650000008E-2</v>
      </c>
      <c r="O125">
        <f t="shared" si="21"/>
        <v>6.9018028893000002E-2</v>
      </c>
      <c r="P125">
        <f t="shared" si="22"/>
        <v>2.1914885714723886E-3</v>
      </c>
      <c r="V125">
        <v>6.1</v>
      </c>
      <c r="W125">
        <f t="shared" si="24"/>
        <v>-0.79930499999999993</v>
      </c>
    </row>
    <row r="126" spans="1:23" x14ac:dyDescent="0.3">
      <c r="A126">
        <v>6.3896801999999999</v>
      </c>
      <c r="B126">
        <v>0.55395000000000005</v>
      </c>
      <c r="C126">
        <f t="shared" si="13"/>
        <v>3.5395633467900005</v>
      </c>
      <c r="D126">
        <v>1.4500000000000001E-2</v>
      </c>
      <c r="E126">
        <v>1.089E-2</v>
      </c>
      <c r="F126">
        <f t="shared" si="14"/>
        <v>1277.93604</v>
      </c>
      <c r="G126">
        <f t="shared" si="15"/>
        <v>-0.55395000000000005</v>
      </c>
      <c r="H126">
        <f t="shared" si="16"/>
        <v>-707.91266935800013</v>
      </c>
      <c r="I126">
        <v>1</v>
      </c>
      <c r="J126">
        <f t="shared" si="17"/>
        <v>0.24524630775459591</v>
      </c>
      <c r="K126">
        <f t="shared" si="18"/>
        <v>-0.6677751517752174</v>
      </c>
      <c r="L126">
        <v>1</v>
      </c>
      <c r="M126">
        <f t="shared" si="19"/>
        <v>0.50276172548777032</v>
      </c>
      <c r="N126">
        <f t="shared" si="20"/>
        <v>9.2650362900000005E-2</v>
      </c>
      <c r="O126">
        <f t="shared" si="21"/>
        <v>6.9583617378000007E-2</v>
      </c>
      <c r="P126">
        <f t="shared" si="22"/>
        <v>2.779446009447073E-3</v>
      </c>
      <c r="V126">
        <v>6.2</v>
      </c>
      <c r="W126">
        <f t="shared" si="24"/>
        <v>-0.80437000000000003</v>
      </c>
    </row>
    <row r="127" spans="1:23" x14ac:dyDescent="0.3">
      <c r="A127">
        <v>6.4431450000000003</v>
      </c>
      <c r="B127">
        <v>0.55142000000000002</v>
      </c>
      <c r="C127">
        <f t="shared" si="13"/>
        <v>3.5528790159000003</v>
      </c>
      <c r="D127">
        <v>1.4500000000000001E-2</v>
      </c>
      <c r="E127">
        <v>1.089E-2</v>
      </c>
      <c r="F127">
        <f t="shared" si="14"/>
        <v>1288.6290000000001</v>
      </c>
      <c r="G127">
        <f t="shared" si="15"/>
        <v>-0.55142000000000002</v>
      </c>
      <c r="H127">
        <f t="shared" si="16"/>
        <v>-710.57580318000009</v>
      </c>
      <c r="I127">
        <v>1</v>
      </c>
      <c r="J127">
        <f t="shared" si="17"/>
        <v>0.25357886251340439</v>
      </c>
      <c r="K127">
        <f t="shared" si="18"/>
        <v>-0.67030515177521743</v>
      </c>
      <c r="L127">
        <v>1</v>
      </c>
      <c r="M127">
        <f t="shared" si="19"/>
        <v>0.50318376938630394</v>
      </c>
      <c r="N127">
        <f t="shared" si="20"/>
        <v>9.342560250000001E-2</v>
      </c>
      <c r="O127">
        <f t="shared" si="21"/>
        <v>7.0165849050000006E-2</v>
      </c>
      <c r="P127">
        <f t="shared" si="22"/>
        <v>3.5299308389134809E-3</v>
      </c>
      <c r="V127">
        <v>6.3</v>
      </c>
      <c r="W127">
        <f t="shared" si="24"/>
        <v>-0.80943500000000002</v>
      </c>
    </row>
    <row r="128" spans="1:23" x14ac:dyDescent="0.3">
      <c r="A128">
        <v>6.4955908000000004</v>
      </c>
      <c r="B128">
        <v>0.54900000000000004</v>
      </c>
      <c r="C128">
        <f t="shared" si="13"/>
        <v>3.5660793492000007</v>
      </c>
      <c r="D128">
        <v>1.4500000000000001E-2</v>
      </c>
      <c r="E128">
        <v>1.089E-2</v>
      </c>
      <c r="F128">
        <f t="shared" si="14"/>
        <v>1299.11816</v>
      </c>
      <c r="G128">
        <f t="shared" si="15"/>
        <v>-0.54900000000000004</v>
      </c>
      <c r="H128">
        <f t="shared" si="16"/>
        <v>-713.2158698400001</v>
      </c>
      <c r="I128">
        <v>1</v>
      </c>
      <c r="J128">
        <f t="shared" si="17"/>
        <v>0.26168569583032109</v>
      </c>
      <c r="K128">
        <f t="shared" si="18"/>
        <v>-0.67272515177521741</v>
      </c>
      <c r="L128">
        <v>1</v>
      </c>
      <c r="M128">
        <f t="shared" si="19"/>
        <v>0.50359438049380578</v>
      </c>
      <c r="N128">
        <f t="shared" si="20"/>
        <v>9.4186066600000007E-2</v>
      </c>
      <c r="O128">
        <f t="shared" si="21"/>
        <v>7.0736983812000012E-2</v>
      </c>
      <c r="P128">
        <f t="shared" si="22"/>
        <v>4.2077208694116103E-3</v>
      </c>
      <c r="V128">
        <v>6.4</v>
      </c>
      <c r="W128">
        <f t="shared" si="24"/>
        <v>-0.8145</v>
      </c>
    </row>
    <row r="129" spans="1:23" x14ac:dyDescent="0.3">
      <c r="A129">
        <v>6.5470180999999998</v>
      </c>
      <c r="B129">
        <v>0.54669000000000001</v>
      </c>
      <c r="C129">
        <f t="shared" si="13"/>
        <v>3.5791893250890001</v>
      </c>
      <c r="D129">
        <v>1.4500000000000001E-2</v>
      </c>
      <c r="E129">
        <v>1.089E-2</v>
      </c>
      <c r="F129">
        <f t="shared" si="14"/>
        <v>1309.40362</v>
      </c>
      <c r="G129">
        <f t="shared" si="15"/>
        <v>-0.54669000000000001</v>
      </c>
      <c r="H129">
        <f t="shared" si="16"/>
        <v>-715.83786501780003</v>
      </c>
      <c r="I129">
        <v>1</v>
      </c>
      <c r="J129">
        <f t="shared" si="17"/>
        <v>0.26957178164605156</v>
      </c>
      <c r="K129">
        <f t="shared" si="18"/>
        <v>-0.67503515177521745</v>
      </c>
      <c r="L129">
        <v>1</v>
      </c>
      <c r="M129">
        <f t="shared" si="19"/>
        <v>0.50399381074037253</v>
      </c>
      <c r="N129">
        <f t="shared" si="20"/>
        <v>9.4931762449999998E-2</v>
      </c>
      <c r="O129">
        <f t="shared" si="21"/>
        <v>7.1297027109000002E-2</v>
      </c>
      <c r="P129">
        <f t="shared" si="22"/>
        <v>4.8125514758449173E-3</v>
      </c>
      <c r="V129">
        <v>6.5</v>
      </c>
      <c r="W129">
        <f t="shared" si="24"/>
        <v>-0.81956499999999999</v>
      </c>
    </row>
    <row r="130" spans="1:23" x14ac:dyDescent="0.3">
      <c r="A130">
        <v>6.6009916999999998</v>
      </c>
      <c r="B130">
        <v>0.54400000000000004</v>
      </c>
      <c r="C130">
        <f t="shared" si="13"/>
        <v>3.5909394848000002</v>
      </c>
      <c r="D130">
        <v>1.4500000000000001E-2</v>
      </c>
      <c r="E130">
        <v>1.089E-2</v>
      </c>
      <c r="F130">
        <f t="shared" si="14"/>
        <v>1320.1983399999999</v>
      </c>
      <c r="G130">
        <f t="shared" si="15"/>
        <v>-0.54400000000000004</v>
      </c>
      <c r="H130">
        <f t="shared" si="16"/>
        <v>-718.1878969600001</v>
      </c>
      <c r="I130">
        <v>1</v>
      </c>
      <c r="J130">
        <f t="shared" si="17"/>
        <v>0.27778198288649814</v>
      </c>
      <c r="K130">
        <f t="shared" si="18"/>
        <v>-0.67772515177521742</v>
      </c>
      <c r="L130">
        <v>1</v>
      </c>
      <c r="M130">
        <f t="shared" si="19"/>
        <v>0.5044096574332011</v>
      </c>
      <c r="N130">
        <f t="shared" si="20"/>
        <v>9.571437965E-2</v>
      </c>
      <c r="O130">
        <f t="shared" si="21"/>
        <v>7.1884799612999997E-2</v>
      </c>
      <c r="P130">
        <f t="shared" si="22"/>
        <v>5.7163150790163209E-3</v>
      </c>
      <c r="V130">
        <v>6.6</v>
      </c>
      <c r="W130">
        <f t="shared" si="24"/>
        <v>-0.82462999999999997</v>
      </c>
    </row>
    <row r="131" spans="1:23" x14ac:dyDescent="0.3">
      <c r="A131">
        <v>6.6534374999999999</v>
      </c>
      <c r="B131">
        <v>0.54161000000000004</v>
      </c>
      <c r="C131">
        <f t="shared" si="13"/>
        <v>3.6035682843750001</v>
      </c>
      <c r="D131">
        <v>1.4500000000000001E-2</v>
      </c>
      <c r="E131">
        <v>1.089E-2</v>
      </c>
      <c r="F131">
        <f t="shared" si="14"/>
        <v>1330.6875</v>
      </c>
      <c r="G131">
        <f t="shared" si="15"/>
        <v>-0.54161000000000004</v>
      </c>
      <c r="H131">
        <f t="shared" si="16"/>
        <v>-720.71365687499997</v>
      </c>
      <c r="I131">
        <v>1</v>
      </c>
      <c r="J131">
        <f t="shared" si="17"/>
        <v>0.28569572597117432</v>
      </c>
      <c r="K131">
        <f t="shared" si="18"/>
        <v>-0.68011515177521742</v>
      </c>
      <c r="L131">
        <v>1</v>
      </c>
      <c r="M131">
        <f t="shared" si="19"/>
        <v>0.50481048852043997</v>
      </c>
      <c r="N131">
        <f t="shared" si="20"/>
        <v>9.6474843749999997E-2</v>
      </c>
      <c r="O131">
        <f t="shared" si="21"/>
        <v>7.2455934375000003E-2</v>
      </c>
      <c r="P131">
        <f t="shared" si="22"/>
        <v>6.3738851297774485E-3</v>
      </c>
      <c r="V131">
        <v>6.7</v>
      </c>
      <c r="W131">
        <f t="shared" si="24"/>
        <v>-0.82969500000000007</v>
      </c>
    </row>
    <row r="132" spans="1:23" x14ac:dyDescent="0.3">
      <c r="A132">
        <v>6.7058833</v>
      </c>
      <c r="B132">
        <v>0.53922000000000003</v>
      </c>
      <c r="C132">
        <f t="shared" ref="C132:C195" si="25">A132*B132</f>
        <v>3.6159463930260003</v>
      </c>
      <c r="D132">
        <v>1.4500000000000001E-2</v>
      </c>
      <c r="E132">
        <v>1.089E-2</v>
      </c>
      <c r="F132">
        <f t="shared" ref="F132:F195" si="26">A132*200</f>
        <v>1341.1766600000001</v>
      </c>
      <c r="G132">
        <f t="shared" ref="G132:G195" si="27">-B132</f>
        <v>-0.53922000000000003</v>
      </c>
      <c r="H132">
        <f t="shared" ref="H132:H195" si="28">-C132*200</f>
        <v>-723.18927860520012</v>
      </c>
      <c r="I132">
        <v>1</v>
      </c>
      <c r="J132">
        <f t="shared" ref="J132:J195" si="29">LN(F132/1000)</f>
        <v>0.2935473331322393</v>
      </c>
      <c r="K132">
        <f t="shared" ref="K132:K195" si="30">((-G132)-$N$2)</f>
        <v>-0.68250515177521742</v>
      </c>
      <c r="L132">
        <v>1</v>
      </c>
      <c r="M132">
        <f t="shared" ref="M132:M195" si="31">-1*($S$4+($S$5*J132))</f>
        <v>0.50520817242314797</v>
      </c>
      <c r="N132">
        <f t="shared" ref="N132:N195" si="32">D132*A132</f>
        <v>9.7235307850000008E-2</v>
      </c>
      <c r="O132">
        <f t="shared" ref="O132:O195" si="33">E132*A132</f>
        <v>7.3027069137000009E-2</v>
      </c>
      <c r="P132">
        <f t="shared" ref="P132:P195" si="34">-K132-M132-N132-O132</f>
        <v>7.0346023650694339E-3</v>
      </c>
      <c r="V132">
        <v>6.8</v>
      </c>
      <c r="W132">
        <f t="shared" ref="W132:W139" si="35">V132*$S$5+$S$4</f>
        <v>-0.83475999999999995</v>
      </c>
    </row>
    <row r="133" spans="1:23" x14ac:dyDescent="0.3">
      <c r="A133">
        <v>6.7624022999999998</v>
      </c>
      <c r="B133">
        <v>0.53659000000000001</v>
      </c>
      <c r="C133">
        <f t="shared" si="25"/>
        <v>3.628637450157</v>
      </c>
      <c r="D133">
        <v>1.4500000000000001E-2</v>
      </c>
      <c r="E133">
        <v>1.089E-2</v>
      </c>
      <c r="F133">
        <f t="shared" si="26"/>
        <v>1352.48046</v>
      </c>
      <c r="G133">
        <f t="shared" si="27"/>
        <v>-0.53659000000000001</v>
      </c>
      <c r="H133">
        <f t="shared" si="28"/>
        <v>-725.72749003139995</v>
      </c>
      <c r="I133">
        <v>1</v>
      </c>
      <c r="J133">
        <f t="shared" si="29"/>
        <v>0.30194028431435782</v>
      </c>
      <c r="K133">
        <f t="shared" si="30"/>
        <v>-0.68513515177521744</v>
      </c>
      <c r="L133">
        <v>1</v>
      </c>
      <c r="M133">
        <f t="shared" si="31"/>
        <v>0.50563327540052228</v>
      </c>
      <c r="N133">
        <f t="shared" si="32"/>
        <v>9.8054833349999995E-2</v>
      </c>
      <c r="O133">
        <f t="shared" si="33"/>
        <v>7.3642561046999996E-2</v>
      </c>
      <c r="P133">
        <f t="shared" si="34"/>
        <v>7.8044819776951768E-3</v>
      </c>
      <c r="V133">
        <v>6.9</v>
      </c>
      <c r="W133">
        <f t="shared" si="35"/>
        <v>-0.83982500000000004</v>
      </c>
    </row>
    <row r="134" spans="1:23" x14ac:dyDescent="0.3">
      <c r="A134">
        <v>6.8128114999999996</v>
      </c>
      <c r="B134">
        <v>0.53434000000000004</v>
      </c>
      <c r="C134">
        <f t="shared" si="25"/>
        <v>3.6403576969100002</v>
      </c>
      <c r="D134">
        <v>1.4500000000000001E-2</v>
      </c>
      <c r="E134">
        <v>1.089E-2</v>
      </c>
      <c r="F134">
        <f t="shared" si="26"/>
        <v>1362.5622999999998</v>
      </c>
      <c r="G134">
        <f t="shared" si="27"/>
        <v>-0.53434000000000004</v>
      </c>
      <c r="H134">
        <f t="shared" si="28"/>
        <v>-728.07153938200008</v>
      </c>
      <c r="I134">
        <v>1</v>
      </c>
      <c r="J134">
        <f t="shared" si="29"/>
        <v>0.30936697128055868</v>
      </c>
      <c r="K134">
        <f t="shared" si="30"/>
        <v>-0.68738515177521742</v>
      </c>
      <c r="L134">
        <v>1</v>
      </c>
      <c r="M134">
        <f t="shared" si="31"/>
        <v>0.50600943709536028</v>
      </c>
      <c r="N134">
        <f t="shared" si="32"/>
        <v>9.8785766750000004E-2</v>
      </c>
      <c r="O134">
        <f t="shared" si="33"/>
        <v>7.4191517235000004E-2</v>
      </c>
      <c r="P134">
        <f t="shared" si="34"/>
        <v>8.3984306948571286E-3</v>
      </c>
      <c r="V134">
        <v>7</v>
      </c>
      <c r="W134">
        <f t="shared" si="35"/>
        <v>-0.84489000000000003</v>
      </c>
    </row>
    <row r="135" spans="1:23" x14ac:dyDescent="0.3">
      <c r="A135">
        <v>6.8637300000000003</v>
      </c>
      <c r="B135">
        <v>0.53159000000000001</v>
      </c>
      <c r="C135">
        <f t="shared" si="25"/>
        <v>3.6486902307000002</v>
      </c>
      <c r="D135">
        <v>1.4500000000000001E-2</v>
      </c>
      <c r="E135">
        <v>1.089E-2</v>
      </c>
      <c r="F135">
        <f t="shared" si="26"/>
        <v>1372.7460000000001</v>
      </c>
      <c r="G135">
        <f t="shared" si="27"/>
        <v>-0.53159000000000001</v>
      </c>
      <c r="H135">
        <f t="shared" si="28"/>
        <v>-729.73804614000005</v>
      </c>
      <c r="I135">
        <v>1</v>
      </c>
      <c r="J135">
        <f t="shared" si="29"/>
        <v>0.3168131133135576</v>
      </c>
      <c r="K135">
        <f t="shared" si="30"/>
        <v>-0.69013515177521745</v>
      </c>
      <c r="L135">
        <v>1</v>
      </c>
      <c r="M135">
        <f t="shared" si="31"/>
        <v>0.50638658418933169</v>
      </c>
      <c r="N135">
        <f t="shared" si="32"/>
        <v>9.9524085000000012E-2</v>
      </c>
      <c r="O135">
        <f t="shared" si="33"/>
        <v>7.4746019699999999E-2</v>
      </c>
      <c r="P135">
        <f t="shared" si="34"/>
        <v>9.4784628858857467E-3</v>
      </c>
      <c r="V135">
        <v>7.1</v>
      </c>
      <c r="W135">
        <f t="shared" si="35"/>
        <v>-0.84995500000000002</v>
      </c>
    </row>
    <row r="136" spans="1:23" x14ac:dyDescent="0.3">
      <c r="A136">
        <v>6.9146479000000003</v>
      </c>
      <c r="B136">
        <v>0.52947</v>
      </c>
      <c r="C136">
        <f t="shared" si="25"/>
        <v>3.6610986236130003</v>
      </c>
      <c r="D136">
        <v>1.4500000000000001E-2</v>
      </c>
      <c r="E136">
        <v>1.089E-2</v>
      </c>
      <c r="F136">
        <f t="shared" si="26"/>
        <v>1382.92958</v>
      </c>
      <c r="G136">
        <f t="shared" si="27"/>
        <v>-0.52947</v>
      </c>
      <c r="H136">
        <f t="shared" si="28"/>
        <v>-732.21972472260006</v>
      </c>
      <c r="I136">
        <v>1</v>
      </c>
      <c r="J136">
        <f t="shared" si="29"/>
        <v>0.32420413309267604</v>
      </c>
      <c r="K136">
        <f t="shared" si="30"/>
        <v>-0.69225515177521746</v>
      </c>
      <c r="L136">
        <v>1</v>
      </c>
      <c r="M136">
        <f t="shared" si="31"/>
        <v>0.50676093934114408</v>
      </c>
      <c r="N136">
        <f t="shared" si="32"/>
        <v>0.10026239455000001</v>
      </c>
      <c r="O136">
        <f t="shared" si="33"/>
        <v>7.5300515631000001E-2</v>
      </c>
      <c r="P136">
        <f t="shared" si="34"/>
        <v>9.9313022530733708E-3</v>
      </c>
      <c r="V136">
        <v>7.2</v>
      </c>
      <c r="W136">
        <f t="shared" si="35"/>
        <v>-0.85502</v>
      </c>
    </row>
    <row r="137" spans="1:23" x14ac:dyDescent="0.3">
      <c r="A137">
        <v>6.9665844999999997</v>
      </c>
      <c r="B137">
        <v>0.52686999999999995</v>
      </c>
      <c r="C137">
        <f t="shared" si="25"/>
        <v>3.6704843755149996</v>
      </c>
      <c r="D137">
        <v>1.4500000000000001E-2</v>
      </c>
      <c r="E137">
        <v>1.089E-2</v>
      </c>
      <c r="F137">
        <f t="shared" si="26"/>
        <v>1393.3169</v>
      </c>
      <c r="G137">
        <f t="shared" si="27"/>
        <v>-0.52686999999999995</v>
      </c>
      <c r="H137">
        <f t="shared" si="28"/>
        <v>-734.09687510299989</v>
      </c>
      <c r="I137">
        <v>1</v>
      </c>
      <c r="J137">
        <f t="shared" si="29"/>
        <v>0.33168716354062927</v>
      </c>
      <c r="K137">
        <f t="shared" si="30"/>
        <v>-0.69485515177521751</v>
      </c>
      <c r="L137">
        <v>1</v>
      </c>
      <c r="M137">
        <f t="shared" si="31"/>
        <v>0.50713995483333285</v>
      </c>
      <c r="N137">
        <f t="shared" si="32"/>
        <v>0.10101547525</v>
      </c>
      <c r="O137">
        <f t="shared" si="33"/>
        <v>7.5866105205000006E-2</v>
      </c>
      <c r="P137">
        <f t="shared" si="34"/>
        <v>1.0833616486884648E-2</v>
      </c>
      <c r="V137">
        <v>7.3</v>
      </c>
      <c r="W137">
        <f t="shared" si="35"/>
        <v>-0.86008499999999999</v>
      </c>
    </row>
    <row r="138" spans="1:23" x14ac:dyDescent="0.3">
      <c r="A138">
        <v>7.0180126999999999</v>
      </c>
      <c r="B138">
        <v>0.52447999999999995</v>
      </c>
      <c r="C138">
        <f t="shared" si="25"/>
        <v>3.6808073008959994</v>
      </c>
      <c r="D138">
        <v>1.4500000000000001E-2</v>
      </c>
      <c r="E138">
        <v>1.089E-2</v>
      </c>
      <c r="F138">
        <f t="shared" si="26"/>
        <v>1403.6025399999999</v>
      </c>
      <c r="G138">
        <f t="shared" si="27"/>
        <v>-0.52447999999999995</v>
      </c>
      <c r="H138">
        <f t="shared" si="28"/>
        <v>-736.16146017919982</v>
      </c>
      <c r="I138">
        <v>1</v>
      </c>
      <c r="J138">
        <f t="shared" si="29"/>
        <v>0.33904217435765938</v>
      </c>
      <c r="K138">
        <f t="shared" si="30"/>
        <v>-0.69724515177521751</v>
      </c>
      <c r="L138">
        <v>1</v>
      </c>
      <c r="M138">
        <f t="shared" si="31"/>
        <v>0.50751248613121547</v>
      </c>
      <c r="N138">
        <f t="shared" si="32"/>
        <v>0.10176118415</v>
      </c>
      <c r="O138">
        <f t="shared" si="33"/>
        <v>7.6426158303000008E-2</v>
      </c>
      <c r="P138">
        <f t="shared" si="34"/>
        <v>1.154532319100203E-2</v>
      </c>
      <c r="V138">
        <v>7.4</v>
      </c>
      <c r="W138">
        <f t="shared" si="35"/>
        <v>-0.86515000000000009</v>
      </c>
    </row>
    <row r="139" spans="1:23" x14ac:dyDescent="0.3">
      <c r="A139">
        <v>7.0694398999999999</v>
      </c>
      <c r="B139">
        <v>0.52185000000000004</v>
      </c>
      <c r="C139">
        <f t="shared" si="25"/>
        <v>3.6891872118150002</v>
      </c>
      <c r="D139">
        <v>1.4500000000000001E-2</v>
      </c>
      <c r="E139">
        <v>1.089E-2</v>
      </c>
      <c r="F139">
        <f t="shared" si="26"/>
        <v>1413.88798</v>
      </c>
      <c r="G139">
        <f t="shared" si="27"/>
        <v>-0.52185000000000004</v>
      </c>
      <c r="H139">
        <f t="shared" si="28"/>
        <v>-737.83744236300004</v>
      </c>
      <c r="I139">
        <v>1</v>
      </c>
      <c r="J139">
        <f t="shared" si="29"/>
        <v>0.34634334227108377</v>
      </c>
      <c r="K139">
        <f t="shared" si="30"/>
        <v>-0.69987515177521742</v>
      </c>
      <c r="L139">
        <v>1</v>
      </c>
      <c r="M139">
        <f t="shared" si="31"/>
        <v>0.50788229028603038</v>
      </c>
      <c r="N139">
        <f t="shared" si="32"/>
        <v>0.10250687855</v>
      </c>
      <c r="O139">
        <f t="shared" si="33"/>
        <v>7.6986200510999997E-2</v>
      </c>
      <c r="P139">
        <f t="shared" si="34"/>
        <v>1.2499782428187042E-2</v>
      </c>
      <c r="V139">
        <v>7.5</v>
      </c>
      <c r="W139">
        <f t="shared" si="35"/>
        <v>-0.87021499999999996</v>
      </c>
    </row>
    <row r="140" spans="1:23" x14ac:dyDescent="0.3">
      <c r="A140">
        <v>7.1208676999999998</v>
      </c>
      <c r="B140">
        <v>0.51956000000000002</v>
      </c>
      <c r="C140">
        <f t="shared" si="25"/>
        <v>3.6997180222120001</v>
      </c>
      <c r="D140">
        <v>1.4500000000000001E-2</v>
      </c>
      <c r="E140">
        <v>1.089E-2</v>
      </c>
      <c r="F140">
        <f t="shared" si="26"/>
        <v>1424.17354</v>
      </c>
      <c r="G140">
        <f t="shared" si="27"/>
        <v>-0.51956000000000002</v>
      </c>
      <c r="H140">
        <f t="shared" si="28"/>
        <v>-739.94360444239999</v>
      </c>
      <c r="I140">
        <v>1</v>
      </c>
      <c r="J140">
        <f t="shared" si="29"/>
        <v>0.35359167354201337</v>
      </c>
      <c r="K140">
        <f t="shared" si="30"/>
        <v>-0.70216515177521743</v>
      </c>
      <c r="L140">
        <v>1</v>
      </c>
      <c r="M140">
        <f t="shared" si="31"/>
        <v>0.508249418264903</v>
      </c>
      <c r="N140">
        <f t="shared" si="32"/>
        <v>0.10325258165000001</v>
      </c>
      <c r="O140">
        <f t="shared" si="33"/>
        <v>7.7546249252999994E-2</v>
      </c>
      <c r="P140">
        <f t="shared" si="34"/>
        <v>1.3116902607314435E-2</v>
      </c>
    </row>
    <row r="141" spans="1:23" x14ac:dyDescent="0.3">
      <c r="A141">
        <v>7.1722948999999998</v>
      </c>
      <c r="B141">
        <v>0.51705999999999996</v>
      </c>
      <c r="C141">
        <f t="shared" si="25"/>
        <v>3.7085068009939994</v>
      </c>
      <c r="D141">
        <v>1.4500000000000001E-2</v>
      </c>
      <c r="E141">
        <v>1.089E-2</v>
      </c>
      <c r="F141">
        <f t="shared" si="26"/>
        <v>1434.4589799999999</v>
      </c>
      <c r="G141">
        <f t="shared" si="27"/>
        <v>-0.51705999999999996</v>
      </c>
      <c r="H141">
        <f t="shared" si="28"/>
        <v>-741.70136019879988</v>
      </c>
      <c r="I141">
        <v>1</v>
      </c>
      <c r="J141">
        <f t="shared" si="29"/>
        <v>0.36078776070104501</v>
      </c>
      <c r="K141">
        <f t="shared" si="30"/>
        <v>-0.70466515177521749</v>
      </c>
      <c r="L141">
        <v>1</v>
      </c>
      <c r="M141">
        <f t="shared" si="31"/>
        <v>0.50861390007950791</v>
      </c>
      <c r="N141">
        <f t="shared" si="32"/>
        <v>0.10399827605</v>
      </c>
      <c r="O141">
        <f t="shared" si="33"/>
        <v>7.8106291460999996E-2</v>
      </c>
      <c r="P141">
        <f t="shared" si="34"/>
        <v>1.3946684184709582E-2</v>
      </c>
    </row>
    <row r="142" spans="1:23" x14ac:dyDescent="0.3">
      <c r="A142">
        <v>7.2242324</v>
      </c>
      <c r="B142">
        <v>0.51485999999999998</v>
      </c>
      <c r="C142">
        <f t="shared" si="25"/>
        <v>3.7194682934639998</v>
      </c>
      <c r="D142">
        <v>1.4500000000000001E-2</v>
      </c>
      <c r="E142">
        <v>1.089E-2</v>
      </c>
      <c r="F142">
        <f t="shared" si="26"/>
        <v>1444.8464799999999</v>
      </c>
      <c r="G142">
        <f t="shared" si="27"/>
        <v>-0.51485999999999998</v>
      </c>
      <c r="H142">
        <f t="shared" si="28"/>
        <v>-743.89365869279993</v>
      </c>
      <c r="I142">
        <v>1</v>
      </c>
      <c r="J142">
        <f t="shared" si="29"/>
        <v>0.36800307370575863</v>
      </c>
      <c r="K142">
        <f t="shared" si="30"/>
        <v>-0.70686515177521747</v>
      </c>
      <c r="L142">
        <v>1</v>
      </c>
      <c r="M142">
        <f t="shared" si="31"/>
        <v>0.50897935568319663</v>
      </c>
      <c r="N142">
        <f t="shared" si="32"/>
        <v>0.10475136980000001</v>
      </c>
      <c r="O142">
        <f t="shared" si="33"/>
        <v>7.8671890836E-2</v>
      </c>
      <c r="P142">
        <f t="shared" si="34"/>
        <v>1.4462535456020831E-2</v>
      </c>
    </row>
    <row r="143" spans="1:23" x14ac:dyDescent="0.3">
      <c r="A143">
        <v>7.2776962999999997</v>
      </c>
      <c r="B143">
        <v>0.51204000000000005</v>
      </c>
      <c r="C143">
        <f t="shared" si="25"/>
        <v>3.7264716134520004</v>
      </c>
      <c r="D143">
        <v>1.4500000000000001E-2</v>
      </c>
      <c r="E143">
        <v>1.089E-2</v>
      </c>
      <c r="F143">
        <f t="shared" si="26"/>
        <v>1455.53926</v>
      </c>
      <c r="G143">
        <f t="shared" si="27"/>
        <v>-0.51204000000000005</v>
      </c>
      <c r="H143">
        <f t="shared" si="28"/>
        <v>-745.29432269040012</v>
      </c>
      <c r="I143">
        <v>1</v>
      </c>
      <c r="J143">
        <f t="shared" si="29"/>
        <v>0.37537645738837006</v>
      </c>
      <c r="K143">
        <f t="shared" si="30"/>
        <v>-0.7096851517752174</v>
      </c>
      <c r="L143">
        <v>1</v>
      </c>
      <c r="M143">
        <f t="shared" si="31"/>
        <v>0.50935281756672091</v>
      </c>
      <c r="N143">
        <f t="shared" si="32"/>
        <v>0.10552659635</v>
      </c>
      <c r="O143">
        <f t="shared" si="33"/>
        <v>7.9254112707000002E-2</v>
      </c>
      <c r="P143">
        <f t="shared" si="34"/>
        <v>1.5551625151496495E-2</v>
      </c>
    </row>
    <row r="144" spans="1:23" x14ac:dyDescent="0.3">
      <c r="A144">
        <v>7.3281049999999999</v>
      </c>
      <c r="B144">
        <v>0.50939999999999996</v>
      </c>
      <c r="C144">
        <f t="shared" si="25"/>
        <v>3.7329366869999996</v>
      </c>
      <c r="D144">
        <v>1.4500000000000001E-2</v>
      </c>
      <c r="E144">
        <v>1.089E-2</v>
      </c>
      <c r="F144">
        <f t="shared" si="26"/>
        <v>1465.6209999999999</v>
      </c>
      <c r="G144">
        <f t="shared" si="27"/>
        <v>-0.50939999999999996</v>
      </c>
      <c r="H144">
        <f t="shared" si="28"/>
        <v>-746.58733739999991</v>
      </c>
      <c r="I144">
        <v>1</v>
      </c>
      <c r="J144">
        <f t="shared" si="29"/>
        <v>0.38227904343769531</v>
      </c>
      <c r="K144">
        <f t="shared" si="30"/>
        <v>-0.71232515177521749</v>
      </c>
      <c r="L144">
        <v>1</v>
      </c>
      <c r="M144">
        <f t="shared" si="31"/>
        <v>0.50970243355011924</v>
      </c>
      <c r="N144">
        <f t="shared" si="32"/>
        <v>0.10625752250000001</v>
      </c>
      <c r="O144">
        <f t="shared" si="33"/>
        <v>7.9803063450000003E-2</v>
      </c>
      <c r="P144">
        <f t="shared" si="34"/>
        <v>1.6562132275098243E-2</v>
      </c>
    </row>
    <row r="145" spans="1:16" x14ac:dyDescent="0.3">
      <c r="A145">
        <v>7.3790228999999998</v>
      </c>
      <c r="B145">
        <v>0.50705</v>
      </c>
      <c r="C145">
        <f t="shared" si="25"/>
        <v>3.7415335614449998</v>
      </c>
      <c r="D145">
        <v>1.4500000000000001E-2</v>
      </c>
      <c r="E145">
        <v>1.089E-2</v>
      </c>
      <c r="F145">
        <f t="shared" si="26"/>
        <v>1475.80458</v>
      </c>
      <c r="G145">
        <f t="shared" si="27"/>
        <v>-0.50705</v>
      </c>
      <c r="H145">
        <f t="shared" si="28"/>
        <v>-748.30671228899996</v>
      </c>
      <c r="I145">
        <v>1</v>
      </c>
      <c r="J145">
        <f t="shared" si="29"/>
        <v>0.38920331903885858</v>
      </c>
      <c r="K145">
        <f t="shared" si="30"/>
        <v>-0.71467515177521745</v>
      </c>
      <c r="L145">
        <v>1</v>
      </c>
      <c r="M145">
        <f t="shared" si="31"/>
        <v>0.51005314810931823</v>
      </c>
      <c r="N145">
        <f t="shared" si="32"/>
        <v>0.10699583205</v>
      </c>
      <c r="O145">
        <f t="shared" si="33"/>
        <v>8.0357559381000004E-2</v>
      </c>
      <c r="P145">
        <f t="shared" si="34"/>
        <v>1.7268612234899214E-2</v>
      </c>
    </row>
    <row r="146" spans="1:16" x14ac:dyDescent="0.3">
      <c r="A146">
        <v>7.4314692000000004</v>
      </c>
      <c r="B146">
        <v>0.50463000000000002</v>
      </c>
      <c r="C146">
        <f t="shared" si="25"/>
        <v>3.7501423023960005</v>
      </c>
      <c r="D146">
        <v>1.4500000000000001E-2</v>
      </c>
      <c r="E146">
        <v>1.089E-2</v>
      </c>
      <c r="F146">
        <f t="shared" si="26"/>
        <v>1486.29384</v>
      </c>
      <c r="G146">
        <f t="shared" si="27"/>
        <v>-0.50463000000000002</v>
      </c>
      <c r="H146">
        <f t="shared" si="28"/>
        <v>-750.02846047920013</v>
      </c>
      <c r="I146">
        <v>1</v>
      </c>
      <c r="J146">
        <f t="shared" si="29"/>
        <v>0.39628566564417483</v>
      </c>
      <c r="K146">
        <f t="shared" si="30"/>
        <v>-0.71709515177521743</v>
      </c>
      <c r="L146">
        <v>1</v>
      </c>
      <c r="M146">
        <f t="shared" si="31"/>
        <v>0.51041186896487745</v>
      </c>
      <c r="N146">
        <f t="shared" si="32"/>
        <v>0.10775630340000002</v>
      </c>
      <c r="O146">
        <f t="shared" si="33"/>
        <v>8.0928699588000003E-2</v>
      </c>
      <c r="P146">
        <f t="shared" si="34"/>
        <v>1.7998279822339966E-2</v>
      </c>
    </row>
    <row r="147" spans="1:16" x14ac:dyDescent="0.3">
      <c r="A147">
        <v>7.4844242999999997</v>
      </c>
      <c r="B147">
        <v>0.50214999999999999</v>
      </c>
      <c r="C147">
        <f t="shared" si="25"/>
        <v>3.7583036622449999</v>
      </c>
      <c r="D147">
        <v>1.4500000000000001E-2</v>
      </c>
      <c r="E147">
        <v>1.089E-2</v>
      </c>
      <c r="F147">
        <f t="shared" si="26"/>
        <v>1496.8848599999999</v>
      </c>
      <c r="G147">
        <f t="shared" si="27"/>
        <v>-0.50214999999999999</v>
      </c>
      <c r="H147">
        <f t="shared" si="28"/>
        <v>-751.66073244899997</v>
      </c>
      <c r="I147">
        <v>1</v>
      </c>
      <c r="J147">
        <f t="shared" si="29"/>
        <v>0.40338618865181586</v>
      </c>
      <c r="K147">
        <f t="shared" si="30"/>
        <v>-0.71957515177521747</v>
      </c>
      <c r="L147">
        <v>1</v>
      </c>
      <c r="M147">
        <f t="shared" si="31"/>
        <v>0.51077151045521452</v>
      </c>
      <c r="N147">
        <f t="shared" si="32"/>
        <v>0.10852415235</v>
      </c>
      <c r="O147">
        <f t="shared" si="33"/>
        <v>8.1505380626999996E-2</v>
      </c>
      <c r="P147">
        <f t="shared" si="34"/>
        <v>1.8774108343002957E-2</v>
      </c>
    </row>
    <row r="148" spans="1:16" x14ac:dyDescent="0.3">
      <c r="A148">
        <v>7.5348329999999999</v>
      </c>
      <c r="B148">
        <v>0.49931999999999999</v>
      </c>
      <c r="C148">
        <f t="shared" si="25"/>
        <v>3.7622928135599998</v>
      </c>
      <c r="D148">
        <v>1.4500000000000001E-2</v>
      </c>
      <c r="E148">
        <v>1.089E-2</v>
      </c>
      <c r="F148">
        <f t="shared" si="26"/>
        <v>1506.9666</v>
      </c>
      <c r="G148">
        <f t="shared" si="27"/>
        <v>-0.49931999999999999</v>
      </c>
      <c r="H148">
        <f t="shared" si="28"/>
        <v>-752.458562712</v>
      </c>
      <c r="I148">
        <v>1</v>
      </c>
      <c r="J148">
        <f t="shared" si="29"/>
        <v>0.41009875616052854</v>
      </c>
      <c r="K148">
        <f t="shared" si="30"/>
        <v>-0.72240515177521747</v>
      </c>
      <c r="L148">
        <v>1</v>
      </c>
      <c r="M148">
        <f t="shared" si="31"/>
        <v>0.51111150199953082</v>
      </c>
      <c r="N148">
        <f t="shared" si="32"/>
        <v>0.10925507850000001</v>
      </c>
      <c r="O148">
        <f t="shared" si="33"/>
        <v>8.2054331369999997E-2</v>
      </c>
      <c r="P148">
        <f t="shared" si="34"/>
        <v>1.9984239905686652E-2</v>
      </c>
    </row>
    <row r="149" spans="1:16" x14ac:dyDescent="0.3">
      <c r="A149">
        <v>7.5888071000000004</v>
      </c>
      <c r="B149">
        <v>0.49686000000000002</v>
      </c>
      <c r="C149">
        <f t="shared" si="25"/>
        <v>3.7705746957060002</v>
      </c>
      <c r="D149">
        <v>1.4500000000000001E-2</v>
      </c>
      <c r="E149">
        <v>1.089E-2</v>
      </c>
      <c r="F149">
        <f t="shared" si="26"/>
        <v>1517.76142</v>
      </c>
      <c r="G149">
        <f t="shared" si="27"/>
        <v>-0.49686000000000002</v>
      </c>
      <c r="H149">
        <f t="shared" si="28"/>
        <v>-754.11493914120001</v>
      </c>
      <c r="I149">
        <v>1</v>
      </c>
      <c r="J149">
        <f t="shared" si="29"/>
        <v>0.41723649929593165</v>
      </c>
      <c r="K149">
        <f t="shared" si="30"/>
        <v>-0.72486515177521738</v>
      </c>
      <c r="L149">
        <v>1</v>
      </c>
      <c r="M149">
        <f t="shared" si="31"/>
        <v>0.51147302868933897</v>
      </c>
      <c r="N149">
        <f t="shared" si="32"/>
        <v>0.11003770295000001</v>
      </c>
      <c r="O149">
        <f t="shared" si="33"/>
        <v>8.2642109319000012E-2</v>
      </c>
      <c r="P149">
        <f t="shared" si="34"/>
        <v>2.0712310816878382E-2</v>
      </c>
    </row>
    <row r="150" spans="1:16" x14ac:dyDescent="0.3">
      <c r="A150">
        <v>7.6427807999999997</v>
      </c>
      <c r="B150">
        <v>0.49407000000000001</v>
      </c>
      <c r="C150">
        <f t="shared" si="25"/>
        <v>3.7760687098559997</v>
      </c>
      <c r="D150">
        <v>1.4500000000000001E-2</v>
      </c>
      <c r="E150">
        <v>1.089E-2</v>
      </c>
      <c r="F150">
        <f t="shared" si="26"/>
        <v>1528.5561599999999</v>
      </c>
      <c r="G150">
        <f t="shared" si="27"/>
        <v>-0.49407000000000001</v>
      </c>
      <c r="H150">
        <f t="shared" si="28"/>
        <v>-755.21374197119997</v>
      </c>
      <c r="I150">
        <v>1</v>
      </c>
      <c r="J150">
        <f t="shared" si="29"/>
        <v>0.42432360357761217</v>
      </c>
      <c r="K150">
        <f t="shared" si="30"/>
        <v>-0.72765515177521745</v>
      </c>
      <c r="L150">
        <v>1</v>
      </c>
      <c r="M150">
        <f t="shared" si="31"/>
        <v>0.51183199052120609</v>
      </c>
      <c r="N150">
        <f t="shared" si="32"/>
        <v>0.11082032160000001</v>
      </c>
      <c r="O150">
        <f t="shared" si="33"/>
        <v>8.3229882911999994E-2</v>
      </c>
      <c r="P150">
        <f t="shared" si="34"/>
        <v>2.1772956742011351E-2</v>
      </c>
    </row>
    <row r="151" spans="1:16" x14ac:dyDescent="0.3">
      <c r="A151">
        <v>7.6942085000000002</v>
      </c>
      <c r="B151">
        <v>0.49151</v>
      </c>
      <c r="C151">
        <f t="shared" si="25"/>
        <v>3.781780419835</v>
      </c>
      <c r="D151">
        <v>1.4500000000000001E-2</v>
      </c>
      <c r="E151">
        <v>1.089E-2</v>
      </c>
      <c r="F151">
        <f t="shared" si="26"/>
        <v>1538.8416999999999</v>
      </c>
      <c r="G151">
        <f t="shared" si="27"/>
        <v>-0.49151</v>
      </c>
      <c r="H151">
        <f t="shared" si="28"/>
        <v>-756.35608396700002</v>
      </c>
      <c r="I151">
        <v>1</v>
      </c>
      <c r="J151">
        <f t="shared" si="29"/>
        <v>0.43102999056704222</v>
      </c>
      <c r="K151">
        <f t="shared" si="30"/>
        <v>-0.73021515177521745</v>
      </c>
      <c r="L151">
        <v>1</v>
      </c>
      <c r="M151">
        <f t="shared" si="31"/>
        <v>0.51217166902222067</v>
      </c>
      <c r="N151">
        <f t="shared" si="32"/>
        <v>0.11156602325000001</v>
      </c>
      <c r="O151">
        <f t="shared" si="33"/>
        <v>8.3789930565000004E-2</v>
      </c>
      <c r="P151">
        <f t="shared" si="34"/>
        <v>2.2687528937996776E-2</v>
      </c>
    </row>
    <row r="152" spans="1:16" x14ac:dyDescent="0.3">
      <c r="A152">
        <v>7.7446172000000004</v>
      </c>
      <c r="B152">
        <v>0.48925999999999997</v>
      </c>
      <c r="C152">
        <f t="shared" si="25"/>
        <v>3.7891314112719998</v>
      </c>
      <c r="D152">
        <v>1.4500000000000001E-2</v>
      </c>
      <c r="E152">
        <v>1.089E-2</v>
      </c>
      <c r="F152">
        <f t="shared" si="26"/>
        <v>1548.92344</v>
      </c>
      <c r="G152">
        <f t="shared" si="27"/>
        <v>-0.48925999999999997</v>
      </c>
      <c r="H152">
        <f t="shared" si="28"/>
        <v>-757.82628225439998</v>
      </c>
      <c r="I152">
        <v>1</v>
      </c>
      <c r="J152">
        <f t="shared" si="29"/>
        <v>0.43756013477748951</v>
      </c>
      <c r="K152">
        <f t="shared" si="30"/>
        <v>-0.73246515177521743</v>
      </c>
      <c r="L152">
        <v>1</v>
      </c>
      <c r="M152">
        <f t="shared" si="31"/>
        <v>0.5125024208264799</v>
      </c>
      <c r="N152">
        <f t="shared" si="32"/>
        <v>0.11229694940000001</v>
      </c>
      <c r="O152">
        <f t="shared" si="33"/>
        <v>8.4338881308000005E-2</v>
      </c>
      <c r="P152">
        <f t="shared" si="34"/>
        <v>2.3326900240737511E-2</v>
      </c>
    </row>
    <row r="153" spans="1:16" x14ac:dyDescent="0.3">
      <c r="A153">
        <v>7.7985908000000004</v>
      </c>
      <c r="B153">
        <v>0.48674000000000001</v>
      </c>
      <c r="C153">
        <f t="shared" si="25"/>
        <v>3.7958860859920001</v>
      </c>
      <c r="D153">
        <v>1.4500000000000001E-2</v>
      </c>
      <c r="E153">
        <v>1.089E-2</v>
      </c>
      <c r="F153">
        <f t="shared" si="26"/>
        <v>1559.7181600000001</v>
      </c>
      <c r="G153">
        <f t="shared" si="27"/>
        <v>-0.48674000000000001</v>
      </c>
      <c r="H153">
        <f t="shared" si="28"/>
        <v>-759.17721719840006</v>
      </c>
      <c r="I153">
        <v>1</v>
      </c>
      <c r="J153">
        <f t="shared" si="29"/>
        <v>0.44450513827259092</v>
      </c>
      <c r="K153">
        <f t="shared" si="30"/>
        <v>-0.7349851517752175</v>
      </c>
      <c r="L153">
        <v>1</v>
      </c>
      <c r="M153">
        <f t="shared" si="31"/>
        <v>0.51285418525350668</v>
      </c>
      <c r="N153">
        <f t="shared" si="32"/>
        <v>0.11307956660000001</v>
      </c>
      <c r="O153">
        <f t="shared" si="33"/>
        <v>8.4926653812000014E-2</v>
      </c>
      <c r="P153">
        <f t="shared" si="34"/>
        <v>2.4124746109710798E-2</v>
      </c>
    </row>
    <row r="154" spans="1:16" x14ac:dyDescent="0.3">
      <c r="A154">
        <v>7.8489994999999997</v>
      </c>
      <c r="B154">
        <v>0.48403000000000002</v>
      </c>
      <c r="C154">
        <f t="shared" si="25"/>
        <v>3.7991512279849999</v>
      </c>
      <c r="D154">
        <v>1.4500000000000001E-2</v>
      </c>
      <c r="E154">
        <v>1.089E-2</v>
      </c>
      <c r="F154">
        <f t="shared" si="26"/>
        <v>1569.7999</v>
      </c>
      <c r="G154">
        <f t="shared" si="27"/>
        <v>-0.48403000000000002</v>
      </c>
      <c r="H154">
        <f t="shared" si="28"/>
        <v>-759.83024559699993</v>
      </c>
      <c r="I154">
        <v>1</v>
      </c>
      <c r="J154">
        <f t="shared" si="29"/>
        <v>0.4509481590081918</v>
      </c>
      <c r="K154">
        <f t="shared" si="30"/>
        <v>-0.73769515177521749</v>
      </c>
      <c r="L154">
        <v>1</v>
      </c>
      <c r="M154">
        <f t="shared" si="31"/>
        <v>0.51318052425376492</v>
      </c>
      <c r="N154">
        <f t="shared" si="32"/>
        <v>0.11381049275000001</v>
      </c>
      <c r="O154">
        <f t="shared" si="33"/>
        <v>8.5475604555000001E-2</v>
      </c>
      <c r="P154">
        <f t="shared" si="34"/>
        <v>2.5228530216452563E-2</v>
      </c>
    </row>
    <row r="155" spans="1:16" x14ac:dyDescent="0.3">
      <c r="A155">
        <v>7.9045005000000002</v>
      </c>
      <c r="B155">
        <v>0.48107</v>
      </c>
      <c r="C155">
        <f t="shared" si="25"/>
        <v>3.802618055535</v>
      </c>
      <c r="D155">
        <v>1.4500000000000001E-2</v>
      </c>
      <c r="E155">
        <v>1.089E-2</v>
      </c>
      <c r="F155">
        <f t="shared" si="26"/>
        <v>1580.9001000000001</v>
      </c>
      <c r="G155">
        <f t="shared" si="27"/>
        <v>-0.48107</v>
      </c>
      <c r="H155">
        <f t="shared" si="28"/>
        <v>-760.52361110699997</v>
      </c>
      <c r="I155">
        <v>1</v>
      </c>
      <c r="J155">
        <f t="shared" si="29"/>
        <v>0.45799436837511087</v>
      </c>
      <c r="K155">
        <f t="shared" si="30"/>
        <v>-0.74065515177521746</v>
      </c>
      <c r="L155">
        <v>1</v>
      </c>
      <c r="M155">
        <f t="shared" si="31"/>
        <v>0.51353741475819936</v>
      </c>
      <c r="N155">
        <f t="shared" si="32"/>
        <v>0.11461525725</v>
      </c>
      <c r="O155">
        <f t="shared" si="33"/>
        <v>8.6080010445000008E-2</v>
      </c>
      <c r="P155">
        <f t="shared" si="34"/>
        <v>2.6422469322018083E-2</v>
      </c>
    </row>
    <row r="156" spans="1:16" x14ac:dyDescent="0.3">
      <c r="A156">
        <v>7.9549097</v>
      </c>
      <c r="B156">
        <v>0.47843000000000002</v>
      </c>
      <c r="C156">
        <f t="shared" si="25"/>
        <v>3.8058674477709999</v>
      </c>
      <c r="D156">
        <v>1.4500000000000001E-2</v>
      </c>
      <c r="E156">
        <v>1.089E-2</v>
      </c>
      <c r="F156">
        <f t="shared" si="26"/>
        <v>1590.9819399999999</v>
      </c>
      <c r="G156">
        <f t="shared" si="27"/>
        <v>-0.47843000000000002</v>
      </c>
      <c r="H156">
        <f t="shared" si="28"/>
        <v>-761.17348955419993</v>
      </c>
      <c r="I156">
        <v>1</v>
      </c>
      <c r="J156">
        <f t="shared" si="29"/>
        <v>0.46435139793987129</v>
      </c>
      <c r="K156">
        <f t="shared" si="30"/>
        <v>-0.74329515177521743</v>
      </c>
      <c r="L156">
        <v>1</v>
      </c>
      <c r="M156">
        <f t="shared" si="31"/>
        <v>0.51385939830565452</v>
      </c>
      <c r="N156">
        <f t="shared" si="32"/>
        <v>0.11534619065</v>
      </c>
      <c r="O156">
        <f t="shared" si="33"/>
        <v>8.6628966633000001E-2</v>
      </c>
      <c r="P156">
        <f t="shared" si="34"/>
        <v>2.7460596186562908E-2</v>
      </c>
    </row>
    <row r="157" spans="1:16" x14ac:dyDescent="0.3">
      <c r="A157">
        <v>8.0063373999999996</v>
      </c>
      <c r="B157">
        <v>0.47566000000000003</v>
      </c>
      <c r="C157">
        <f t="shared" si="25"/>
        <v>3.8082944476840002</v>
      </c>
      <c r="D157">
        <v>1.4500000000000001E-2</v>
      </c>
      <c r="E157">
        <v>1.089E-2</v>
      </c>
      <c r="F157">
        <f t="shared" si="26"/>
        <v>1601.26748</v>
      </c>
      <c r="G157">
        <f t="shared" si="27"/>
        <v>-0.47566000000000003</v>
      </c>
      <c r="H157">
        <f t="shared" si="28"/>
        <v>-761.65888953680007</v>
      </c>
      <c r="I157">
        <v>1</v>
      </c>
      <c r="J157">
        <f t="shared" si="29"/>
        <v>0.47079549064072934</v>
      </c>
      <c r="K157">
        <f t="shared" si="30"/>
        <v>-0.74606515177521748</v>
      </c>
      <c r="L157">
        <v>1</v>
      </c>
      <c r="M157">
        <f t="shared" si="31"/>
        <v>0.5141857916009529</v>
      </c>
      <c r="N157">
        <f t="shared" si="32"/>
        <v>0.1160918923</v>
      </c>
      <c r="O157">
        <f t="shared" si="33"/>
        <v>8.7189014285999997E-2</v>
      </c>
      <c r="P157">
        <f t="shared" si="34"/>
        <v>2.8598453588264586E-2</v>
      </c>
    </row>
    <row r="158" spans="1:16" x14ac:dyDescent="0.3">
      <c r="A158">
        <v>8.0613296000000005</v>
      </c>
      <c r="B158">
        <v>0.47326000000000001</v>
      </c>
      <c r="C158">
        <f t="shared" si="25"/>
        <v>3.8151048464960002</v>
      </c>
      <c r="D158">
        <v>1.4500000000000001E-2</v>
      </c>
      <c r="E158">
        <v>1.089E-2</v>
      </c>
      <c r="F158">
        <f t="shared" si="26"/>
        <v>1612.2659200000001</v>
      </c>
      <c r="G158">
        <f t="shared" si="27"/>
        <v>-0.47326000000000001</v>
      </c>
      <c r="H158">
        <f t="shared" si="28"/>
        <v>-763.02096929920003</v>
      </c>
      <c r="I158">
        <v>1</v>
      </c>
      <c r="J158">
        <f t="shared" si="29"/>
        <v>0.47764059325872982</v>
      </c>
      <c r="K158">
        <f t="shared" si="30"/>
        <v>-0.74846515177521744</v>
      </c>
      <c r="L158">
        <v>1</v>
      </c>
      <c r="M158">
        <f t="shared" si="31"/>
        <v>0.51453249604855467</v>
      </c>
      <c r="N158">
        <f t="shared" si="32"/>
        <v>0.11688927920000002</v>
      </c>
      <c r="O158">
        <f t="shared" si="33"/>
        <v>8.7787879344000008E-2</v>
      </c>
      <c r="P158">
        <f t="shared" si="34"/>
        <v>2.9255497182662751E-2</v>
      </c>
    </row>
    <row r="159" spans="1:16" x14ac:dyDescent="0.3">
      <c r="A159">
        <v>8.1127567999999997</v>
      </c>
      <c r="B159">
        <v>0.47038000000000002</v>
      </c>
      <c r="C159">
        <f t="shared" si="25"/>
        <v>3.8160785435840001</v>
      </c>
      <c r="D159">
        <v>1.4500000000000001E-2</v>
      </c>
      <c r="E159">
        <v>1.089E-2</v>
      </c>
      <c r="F159">
        <f t="shared" si="26"/>
        <v>1622.5513599999999</v>
      </c>
      <c r="G159">
        <f t="shared" si="27"/>
        <v>-0.47038000000000002</v>
      </c>
      <c r="H159">
        <f t="shared" si="28"/>
        <v>-763.21570871680001</v>
      </c>
      <c r="I159">
        <v>1</v>
      </c>
      <c r="J159">
        <f t="shared" si="29"/>
        <v>0.48399982394872459</v>
      </c>
      <c r="K159">
        <f t="shared" si="30"/>
        <v>-0.75134515177521743</v>
      </c>
      <c r="L159">
        <v>1</v>
      </c>
      <c r="M159">
        <f t="shared" si="31"/>
        <v>0.51485459108300291</v>
      </c>
      <c r="N159">
        <f t="shared" si="32"/>
        <v>0.1176349736</v>
      </c>
      <c r="O159">
        <f t="shared" si="33"/>
        <v>8.8347921551999997E-2</v>
      </c>
      <c r="P159">
        <f t="shared" si="34"/>
        <v>3.0507665540214529E-2</v>
      </c>
    </row>
    <row r="160" spans="1:16" x14ac:dyDescent="0.3">
      <c r="A160">
        <v>8.1636752999999995</v>
      </c>
      <c r="B160">
        <v>0.46786</v>
      </c>
      <c r="C160">
        <f t="shared" si="25"/>
        <v>3.8194571258579999</v>
      </c>
      <c r="D160">
        <v>1.4500000000000001E-2</v>
      </c>
      <c r="E160">
        <v>1.089E-2</v>
      </c>
      <c r="F160">
        <f t="shared" si="26"/>
        <v>1632.73506</v>
      </c>
      <c r="G160">
        <f t="shared" si="27"/>
        <v>-0.46786</v>
      </c>
      <c r="H160">
        <f t="shared" si="28"/>
        <v>-763.89142517159996</v>
      </c>
      <c r="I160">
        <v>1</v>
      </c>
      <c r="J160">
        <f t="shared" si="29"/>
        <v>0.49025655955205955</v>
      </c>
      <c r="K160">
        <f t="shared" si="30"/>
        <v>-0.75386515177521751</v>
      </c>
      <c r="L160">
        <v>1</v>
      </c>
      <c r="M160">
        <f t="shared" si="31"/>
        <v>0.51517149474131185</v>
      </c>
      <c r="N160">
        <f t="shared" si="32"/>
        <v>0.11837329184999999</v>
      </c>
      <c r="O160">
        <f t="shared" si="33"/>
        <v>8.8902424016999992E-2</v>
      </c>
      <c r="P160">
        <f t="shared" si="34"/>
        <v>3.1417941166905675E-2</v>
      </c>
    </row>
    <row r="161" spans="1:16" x14ac:dyDescent="0.3">
      <c r="A161">
        <v>8.2171395999999994</v>
      </c>
      <c r="B161">
        <v>0.46528000000000003</v>
      </c>
      <c r="C161">
        <f t="shared" si="25"/>
        <v>3.8232707130880002</v>
      </c>
      <c r="D161">
        <v>1.4500000000000001E-2</v>
      </c>
      <c r="E161">
        <v>1.089E-2</v>
      </c>
      <c r="F161">
        <f t="shared" si="26"/>
        <v>1643.4279199999999</v>
      </c>
      <c r="G161">
        <f t="shared" si="27"/>
        <v>-0.46528000000000003</v>
      </c>
      <c r="H161">
        <f t="shared" si="28"/>
        <v>-764.65414261759997</v>
      </c>
      <c r="I161">
        <v>1</v>
      </c>
      <c r="J161">
        <f t="shared" si="29"/>
        <v>0.49678425553943251</v>
      </c>
      <c r="K161">
        <f t="shared" si="30"/>
        <v>-0.75644515177521743</v>
      </c>
      <c r="L161">
        <v>1</v>
      </c>
      <c r="M161">
        <f t="shared" si="31"/>
        <v>0.51550212254307226</v>
      </c>
      <c r="N161">
        <f t="shared" si="32"/>
        <v>0.11914852419999999</v>
      </c>
      <c r="O161">
        <f t="shared" si="33"/>
        <v>8.9484650244E-2</v>
      </c>
      <c r="P161">
        <f t="shared" si="34"/>
        <v>3.2309854788145173E-2</v>
      </c>
    </row>
    <row r="162" spans="1:16" x14ac:dyDescent="0.3">
      <c r="A162">
        <v>8.2675488000000001</v>
      </c>
      <c r="B162">
        <v>0.46238000000000001</v>
      </c>
      <c r="C162">
        <f t="shared" si="25"/>
        <v>3.8227492141440003</v>
      </c>
      <c r="D162">
        <v>1.4500000000000001E-2</v>
      </c>
      <c r="E162">
        <v>1.089E-2</v>
      </c>
      <c r="F162">
        <f t="shared" si="26"/>
        <v>1653.5097599999999</v>
      </c>
      <c r="G162">
        <f t="shared" si="27"/>
        <v>-0.46238000000000001</v>
      </c>
      <c r="H162">
        <f t="shared" si="28"/>
        <v>-764.54984282880002</v>
      </c>
      <c r="I162">
        <v>1</v>
      </c>
      <c r="J162">
        <f t="shared" si="29"/>
        <v>0.50290015605307314</v>
      </c>
      <c r="K162">
        <f t="shared" si="30"/>
        <v>-0.75934515177521744</v>
      </c>
      <c r="L162">
        <v>1</v>
      </c>
      <c r="M162">
        <f t="shared" si="31"/>
        <v>0.51581189290408813</v>
      </c>
      <c r="N162">
        <f t="shared" si="32"/>
        <v>0.1198794576</v>
      </c>
      <c r="O162">
        <f t="shared" si="33"/>
        <v>9.0033606432000007E-2</v>
      </c>
      <c r="P162">
        <f t="shared" si="34"/>
        <v>3.36201948391293E-2</v>
      </c>
    </row>
    <row r="163" spans="1:16" x14ac:dyDescent="0.3">
      <c r="A163">
        <v>8.3179580000000009</v>
      </c>
      <c r="B163">
        <v>0.45993000000000001</v>
      </c>
      <c r="C163">
        <f t="shared" si="25"/>
        <v>3.8256784229400003</v>
      </c>
      <c r="D163">
        <v>1.4500000000000001E-2</v>
      </c>
      <c r="E163">
        <v>1.089E-2</v>
      </c>
      <c r="F163">
        <f t="shared" si="26"/>
        <v>1663.5916000000002</v>
      </c>
      <c r="G163">
        <f t="shared" si="27"/>
        <v>-0.45993000000000001</v>
      </c>
      <c r="H163">
        <f t="shared" si="28"/>
        <v>-765.135684588</v>
      </c>
      <c r="I163">
        <v>1</v>
      </c>
      <c r="J163">
        <f t="shared" si="29"/>
        <v>0.50897887958317711</v>
      </c>
      <c r="K163">
        <f t="shared" si="30"/>
        <v>-0.76179515177521751</v>
      </c>
      <c r="L163">
        <v>1</v>
      </c>
      <c r="M163">
        <f t="shared" si="31"/>
        <v>0.51611978025088789</v>
      </c>
      <c r="N163">
        <f t="shared" si="32"/>
        <v>0.12061039100000003</v>
      </c>
      <c r="O163">
        <f t="shared" si="33"/>
        <v>9.0582562620000015E-2</v>
      </c>
      <c r="P163">
        <f t="shared" si="34"/>
        <v>3.4482417904329557E-2</v>
      </c>
    </row>
    <row r="164" spans="1:16" x14ac:dyDescent="0.3">
      <c r="A164">
        <v>8.3704043000000006</v>
      </c>
      <c r="B164">
        <v>0.45705000000000001</v>
      </c>
      <c r="C164">
        <f t="shared" si="25"/>
        <v>3.8256932853150003</v>
      </c>
      <c r="D164">
        <v>1.4500000000000001E-2</v>
      </c>
      <c r="E164">
        <v>1.089E-2</v>
      </c>
      <c r="F164">
        <f t="shared" si="26"/>
        <v>1674.08086</v>
      </c>
      <c r="G164">
        <f t="shared" si="27"/>
        <v>-0.45705000000000001</v>
      </c>
      <c r="H164">
        <f t="shared" si="28"/>
        <v>-765.1386570630001</v>
      </c>
      <c r="I164">
        <v>1</v>
      </c>
      <c r="J164">
        <f t="shared" si="29"/>
        <v>0.51526427436546396</v>
      </c>
      <c r="K164">
        <f t="shared" si="30"/>
        <v>-0.7646751517752175</v>
      </c>
      <c r="L164">
        <v>1</v>
      </c>
      <c r="M164">
        <f t="shared" si="31"/>
        <v>0.51643813549661077</v>
      </c>
      <c r="N164">
        <f t="shared" si="32"/>
        <v>0.12137086235000001</v>
      </c>
      <c r="O164">
        <f t="shared" si="33"/>
        <v>9.1153702827000013E-2</v>
      </c>
      <c r="P164">
        <f t="shared" si="34"/>
        <v>3.5712451101606715E-2</v>
      </c>
    </row>
    <row r="165" spans="1:16" x14ac:dyDescent="0.3">
      <c r="A165">
        <v>8.4213222999999999</v>
      </c>
      <c r="B165">
        <v>0.45445000000000002</v>
      </c>
      <c r="C165">
        <f t="shared" si="25"/>
        <v>3.827069919235</v>
      </c>
      <c r="D165">
        <v>1.4500000000000001E-2</v>
      </c>
      <c r="E165">
        <v>1.089E-2</v>
      </c>
      <c r="F165">
        <f t="shared" si="26"/>
        <v>1684.2644599999999</v>
      </c>
      <c r="G165">
        <f t="shared" si="27"/>
        <v>-0.45445000000000002</v>
      </c>
      <c r="H165">
        <f t="shared" si="28"/>
        <v>-765.41398384699994</v>
      </c>
      <c r="I165">
        <v>1</v>
      </c>
      <c r="J165">
        <f t="shared" si="29"/>
        <v>0.5213289462455567</v>
      </c>
      <c r="K165">
        <f t="shared" si="30"/>
        <v>-0.76727515177521743</v>
      </c>
      <c r="L165">
        <v>1</v>
      </c>
      <c r="M165">
        <f t="shared" si="31"/>
        <v>0.51674531112733746</v>
      </c>
      <c r="N165">
        <f t="shared" si="32"/>
        <v>0.12210917335</v>
      </c>
      <c r="O165">
        <f t="shared" si="33"/>
        <v>9.1708199847000002E-2</v>
      </c>
      <c r="P165">
        <f t="shared" si="34"/>
        <v>3.6712467450879985E-2</v>
      </c>
    </row>
    <row r="166" spans="1:16" x14ac:dyDescent="0.3">
      <c r="A166">
        <v>8.4727499999999996</v>
      </c>
      <c r="B166">
        <v>0.45178000000000001</v>
      </c>
      <c r="C166">
        <f t="shared" si="25"/>
        <v>3.8278189949999999</v>
      </c>
      <c r="D166">
        <v>1.4500000000000001E-2</v>
      </c>
      <c r="E166">
        <v>1.089E-2</v>
      </c>
      <c r="F166">
        <f t="shared" si="26"/>
        <v>1694.55</v>
      </c>
      <c r="G166">
        <f t="shared" si="27"/>
        <v>-0.45178000000000001</v>
      </c>
      <c r="H166">
        <f t="shared" si="28"/>
        <v>-765.56379900000002</v>
      </c>
      <c r="I166">
        <v>1</v>
      </c>
      <c r="J166">
        <f t="shared" si="29"/>
        <v>0.52741721885891046</v>
      </c>
      <c r="K166">
        <f t="shared" si="30"/>
        <v>-0.76994515177521738</v>
      </c>
      <c r="L166">
        <v>1</v>
      </c>
      <c r="M166">
        <f t="shared" si="31"/>
        <v>0.51705368213520386</v>
      </c>
      <c r="N166">
        <f t="shared" si="32"/>
        <v>0.122854875</v>
      </c>
      <c r="O166">
        <f t="shared" si="33"/>
        <v>9.2268247499999997E-2</v>
      </c>
      <c r="P166">
        <f t="shared" si="34"/>
        <v>3.7768347140013522E-2</v>
      </c>
    </row>
    <row r="167" spans="1:16" x14ac:dyDescent="0.3">
      <c r="A167">
        <v>8.5241776999999992</v>
      </c>
      <c r="B167">
        <v>0.44925999999999999</v>
      </c>
      <c r="C167">
        <f t="shared" si="25"/>
        <v>3.8295720735019998</v>
      </c>
      <c r="D167">
        <v>1.4500000000000001E-2</v>
      </c>
      <c r="E167">
        <v>1.089E-2</v>
      </c>
      <c r="F167">
        <f t="shared" si="26"/>
        <v>1704.8355399999998</v>
      </c>
      <c r="G167">
        <f t="shared" si="27"/>
        <v>-0.44925999999999999</v>
      </c>
      <c r="H167">
        <f t="shared" si="28"/>
        <v>-765.9144147003999</v>
      </c>
      <c r="I167">
        <v>1</v>
      </c>
      <c r="J167">
        <f t="shared" si="29"/>
        <v>0.53346864860515242</v>
      </c>
      <c r="K167">
        <f t="shared" si="30"/>
        <v>-0.77246515177521746</v>
      </c>
      <c r="L167">
        <v>1</v>
      </c>
      <c r="M167">
        <f t="shared" si="31"/>
        <v>0.51736018705185094</v>
      </c>
      <c r="N167">
        <f t="shared" si="32"/>
        <v>0.12360057664999999</v>
      </c>
      <c r="O167">
        <f t="shared" si="33"/>
        <v>9.2828295152999993E-2</v>
      </c>
      <c r="P167">
        <f t="shared" si="34"/>
        <v>3.8676092920366542E-2</v>
      </c>
    </row>
    <row r="168" spans="1:16" x14ac:dyDescent="0.3">
      <c r="A168">
        <v>8.5766240000000007</v>
      </c>
      <c r="B168">
        <v>0.44629999999999997</v>
      </c>
      <c r="C168">
        <f t="shared" si="25"/>
        <v>3.8277472912000001</v>
      </c>
      <c r="D168">
        <v>1.4500000000000001E-2</v>
      </c>
      <c r="E168">
        <v>1.089E-2</v>
      </c>
      <c r="F168">
        <f t="shared" si="26"/>
        <v>1715.3248000000001</v>
      </c>
      <c r="G168">
        <f t="shared" si="27"/>
        <v>-0.44629999999999997</v>
      </c>
      <c r="H168">
        <f t="shared" si="28"/>
        <v>-765.54945824000004</v>
      </c>
      <c r="I168">
        <v>1</v>
      </c>
      <c r="J168">
        <f t="shared" si="29"/>
        <v>0.53960245044140842</v>
      </c>
      <c r="K168">
        <f t="shared" si="30"/>
        <v>-0.77542515177521754</v>
      </c>
      <c r="L168">
        <v>1</v>
      </c>
      <c r="M168">
        <f t="shared" si="31"/>
        <v>0.5176708641148573</v>
      </c>
      <c r="N168">
        <f t="shared" si="32"/>
        <v>0.12436104800000002</v>
      </c>
      <c r="O168">
        <f t="shared" si="33"/>
        <v>9.3399435360000005E-2</v>
      </c>
      <c r="P168">
        <f t="shared" si="34"/>
        <v>3.9993804300360203E-2</v>
      </c>
    </row>
    <row r="169" spans="1:16" x14ac:dyDescent="0.3">
      <c r="A169">
        <v>8.6280508000000005</v>
      </c>
      <c r="B169">
        <v>0.44372</v>
      </c>
      <c r="C169">
        <f t="shared" si="25"/>
        <v>3.8284387009760001</v>
      </c>
      <c r="D169">
        <v>1.4500000000000001E-2</v>
      </c>
      <c r="E169">
        <v>1.089E-2</v>
      </c>
      <c r="F169">
        <f t="shared" si="26"/>
        <v>1725.6101600000002</v>
      </c>
      <c r="G169">
        <f t="shared" si="27"/>
        <v>-0.44372</v>
      </c>
      <c r="H169">
        <f t="shared" si="28"/>
        <v>-765.68774019520004</v>
      </c>
      <c r="I169">
        <v>1</v>
      </c>
      <c r="J169">
        <f t="shared" si="29"/>
        <v>0.54558070388261615</v>
      </c>
      <c r="K169">
        <f t="shared" si="30"/>
        <v>-0.77800515177521745</v>
      </c>
      <c r="L169">
        <v>1</v>
      </c>
      <c r="M169">
        <f t="shared" si="31"/>
        <v>0.51797366265165445</v>
      </c>
      <c r="N169">
        <f t="shared" si="32"/>
        <v>0.12510673660000002</v>
      </c>
      <c r="O169">
        <f t="shared" si="33"/>
        <v>9.3959473212000003E-2</v>
      </c>
      <c r="P169">
        <f t="shared" si="34"/>
        <v>4.0965279311562977E-2</v>
      </c>
    </row>
    <row r="170" spans="1:16" x14ac:dyDescent="0.3">
      <c r="A170">
        <v>8.6789687999999998</v>
      </c>
      <c r="B170">
        <v>0.44095000000000001</v>
      </c>
      <c r="C170">
        <f t="shared" si="25"/>
        <v>3.8269912923599998</v>
      </c>
      <c r="D170">
        <v>1.4500000000000001E-2</v>
      </c>
      <c r="E170">
        <v>1.089E-2</v>
      </c>
      <c r="F170">
        <f t="shared" si="26"/>
        <v>1735.79376</v>
      </c>
      <c r="G170">
        <f t="shared" si="27"/>
        <v>-0.44095000000000001</v>
      </c>
      <c r="H170">
        <f t="shared" si="28"/>
        <v>-765.39825847199995</v>
      </c>
      <c r="I170">
        <v>1</v>
      </c>
      <c r="J170">
        <f t="shared" si="29"/>
        <v>0.55146480733734249</v>
      </c>
      <c r="K170">
        <f t="shared" si="30"/>
        <v>-0.7807751517752175</v>
      </c>
      <c r="L170">
        <v>1</v>
      </c>
      <c r="M170">
        <f t="shared" si="31"/>
        <v>0.5182716924916364</v>
      </c>
      <c r="N170">
        <f t="shared" si="32"/>
        <v>0.12584504760000001</v>
      </c>
      <c r="O170">
        <f t="shared" si="33"/>
        <v>9.4513970232000005E-2</v>
      </c>
      <c r="P170">
        <f t="shared" si="34"/>
        <v>4.2144441451581083E-2</v>
      </c>
    </row>
    <row r="171" spans="1:16" x14ac:dyDescent="0.3">
      <c r="A171">
        <v>8.7314150000000001</v>
      </c>
      <c r="B171">
        <v>0.43807000000000001</v>
      </c>
      <c r="C171">
        <f t="shared" si="25"/>
        <v>3.8249709690500002</v>
      </c>
      <c r="D171">
        <v>1.4500000000000001E-2</v>
      </c>
      <c r="E171">
        <v>1.089E-2</v>
      </c>
      <c r="F171">
        <f t="shared" si="26"/>
        <v>1746.2830000000001</v>
      </c>
      <c r="G171">
        <f t="shared" si="27"/>
        <v>-0.43807000000000001</v>
      </c>
      <c r="H171">
        <f t="shared" si="28"/>
        <v>-764.99419381000007</v>
      </c>
      <c r="I171">
        <v>1</v>
      </c>
      <c r="J171">
        <f t="shared" si="29"/>
        <v>0.55748952904827176</v>
      </c>
      <c r="K171">
        <f t="shared" si="30"/>
        <v>-0.7836551517752175</v>
      </c>
      <c r="L171">
        <v>1</v>
      </c>
      <c r="M171">
        <f t="shared" si="31"/>
        <v>0.51857684464629494</v>
      </c>
      <c r="N171">
        <f t="shared" si="32"/>
        <v>0.12660551750000001</v>
      </c>
      <c r="O171">
        <f t="shared" si="33"/>
        <v>9.5085109350000002E-2</v>
      </c>
      <c r="P171">
        <f t="shared" si="34"/>
        <v>4.3387680278922536E-2</v>
      </c>
    </row>
    <row r="172" spans="1:16" x14ac:dyDescent="0.3">
      <c r="A172">
        <v>8.7823329999999995</v>
      </c>
      <c r="B172">
        <v>0.43541999999999997</v>
      </c>
      <c r="C172">
        <f t="shared" si="25"/>
        <v>3.8240034348599994</v>
      </c>
      <c r="D172">
        <v>1.4500000000000001E-2</v>
      </c>
      <c r="E172">
        <v>1.089E-2</v>
      </c>
      <c r="F172">
        <f t="shared" si="26"/>
        <v>1756.4666</v>
      </c>
      <c r="G172">
        <f t="shared" si="27"/>
        <v>-0.43541999999999997</v>
      </c>
      <c r="H172">
        <f t="shared" si="28"/>
        <v>-764.80068697199988</v>
      </c>
      <c r="I172">
        <v>1</v>
      </c>
      <c r="J172">
        <f t="shared" si="29"/>
        <v>0.56330417745613526</v>
      </c>
      <c r="K172">
        <f t="shared" si="30"/>
        <v>-0.78630515177521754</v>
      </c>
      <c r="L172">
        <v>1</v>
      </c>
      <c r="M172">
        <f t="shared" si="31"/>
        <v>0.5188713565881532</v>
      </c>
      <c r="N172">
        <f t="shared" si="32"/>
        <v>0.12734382850000001</v>
      </c>
      <c r="O172">
        <f t="shared" si="33"/>
        <v>9.5639606369999991E-2</v>
      </c>
      <c r="P172">
        <f t="shared" si="34"/>
        <v>4.4450360317064341E-2</v>
      </c>
    </row>
    <row r="173" spans="1:16" x14ac:dyDescent="0.3">
      <c r="A173">
        <v>8.8327422000000002</v>
      </c>
      <c r="B173">
        <v>0.43251000000000001</v>
      </c>
      <c r="C173">
        <f t="shared" si="25"/>
        <v>3.8202493289220003</v>
      </c>
      <c r="D173">
        <v>1.4500000000000001E-2</v>
      </c>
      <c r="E173">
        <v>1.089E-2</v>
      </c>
      <c r="F173">
        <f t="shared" si="26"/>
        <v>1766.54844</v>
      </c>
      <c r="G173">
        <f t="shared" si="27"/>
        <v>-0.43251000000000001</v>
      </c>
      <c r="H173">
        <f t="shared" si="28"/>
        <v>-764.04986578440003</v>
      </c>
      <c r="I173">
        <v>1</v>
      </c>
      <c r="J173">
        <f t="shared" si="29"/>
        <v>0.56902760889595583</v>
      </c>
      <c r="K173">
        <f t="shared" si="30"/>
        <v>-0.7892151517752175</v>
      </c>
      <c r="L173">
        <v>1</v>
      </c>
      <c r="M173">
        <f t="shared" si="31"/>
        <v>0.5191612483905802</v>
      </c>
      <c r="N173">
        <f t="shared" si="32"/>
        <v>0.1280747619</v>
      </c>
      <c r="O173">
        <f t="shared" si="33"/>
        <v>9.6188562557999999E-2</v>
      </c>
      <c r="P173">
        <f t="shared" si="34"/>
        <v>4.5790578926637307E-2</v>
      </c>
    </row>
    <row r="174" spans="1:16" x14ac:dyDescent="0.3">
      <c r="A174">
        <v>8.8831513999999991</v>
      </c>
      <c r="B174">
        <v>0.43020000000000003</v>
      </c>
      <c r="C174">
        <f t="shared" si="25"/>
        <v>3.82153173228</v>
      </c>
      <c r="D174">
        <v>1.4500000000000001E-2</v>
      </c>
      <c r="E174">
        <v>1.089E-2</v>
      </c>
      <c r="F174">
        <f t="shared" si="26"/>
        <v>1776.6302799999999</v>
      </c>
      <c r="G174">
        <f t="shared" si="27"/>
        <v>-0.43020000000000003</v>
      </c>
      <c r="H174">
        <f t="shared" si="28"/>
        <v>-764.30634645600003</v>
      </c>
      <c r="I174">
        <v>1</v>
      </c>
      <c r="J174">
        <f t="shared" si="29"/>
        <v>0.57471846899973156</v>
      </c>
      <c r="K174">
        <f t="shared" si="30"/>
        <v>-0.79152515177521743</v>
      </c>
      <c r="L174">
        <v>1</v>
      </c>
      <c r="M174">
        <f t="shared" si="31"/>
        <v>0.51944949045483635</v>
      </c>
      <c r="N174">
        <f t="shared" si="32"/>
        <v>0.12880569529999999</v>
      </c>
      <c r="O174">
        <f t="shared" si="33"/>
        <v>9.6737518745999992E-2</v>
      </c>
      <c r="P174">
        <f t="shared" si="34"/>
        <v>4.6532447274381092E-2</v>
      </c>
    </row>
    <row r="175" spans="1:16" x14ac:dyDescent="0.3">
      <c r="A175">
        <v>8.9335605000000005</v>
      </c>
      <c r="B175">
        <v>0.42727999999999999</v>
      </c>
      <c r="C175">
        <f t="shared" si="25"/>
        <v>3.8171317304400003</v>
      </c>
      <c r="D175">
        <v>1.4500000000000001E-2</v>
      </c>
      <c r="E175">
        <v>1.089E-2</v>
      </c>
      <c r="F175">
        <f t="shared" si="26"/>
        <v>1786.7121000000002</v>
      </c>
      <c r="G175">
        <f t="shared" si="27"/>
        <v>-0.42727999999999999</v>
      </c>
      <c r="H175">
        <f t="shared" si="28"/>
        <v>-763.42634608800006</v>
      </c>
      <c r="I175">
        <v>1</v>
      </c>
      <c r="J175">
        <f t="shared" si="29"/>
        <v>0.5803771151957644</v>
      </c>
      <c r="K175">
        <f t="shared" si="30"/>
        <v>-0.79444515177521746</v>
      </c>
      <c r="L175">
        <v>1</v>
      </c>
      <c r="M175">
        <f t="shared" si="31"/>
        <v>0.51973610088466549</v>
      </c>
      <c r="N175">
        <f t="shared" si="32"/>
        <v>0.12953662725000001</v>
      </c>
      <c r="O175">
        <f t="shared" si="33"/>
        <v>9.7286473845000013E-2</v>
      </c>
      <c r="P175">
        <f t="shared" si="34"/>
        <v>4.7885949795551955E-2</v>
      </c>
    </row>
    <row r="176" spans="1:16" x14ac:dyDescent="0.3">
      <c r="A176">
        <v>8.9839696999999994</v>
      </c>
      <c r="B176">
        <v>0.42454999999999998</v>
      </c>
      <c r="C176">
        <f t="shared" si="25"/>
        <v>3.8141443361349996</v>
      </c>
      <c r="D176">
        <v>1.4500000000000001E-2</v>
      </c>
      <c r="E176">
        <v>1.089E-2</v>
      </c>
      <c r="F176">
        <f t="shared" si="26"/>
        <v>1796.7939399999998</v>
      </c>
      <c r="G176">
        <f t="shared" si="27"/>
        <v>-0.42454999999999998</v>
      </c>
      <c r="H176">
        <f t="shared" si="28"/>
        <v>-762.82886722699993</v>
      </c>
      <c r="I176">
        <v>1</v>
      </c>
      <c r="J176">
        <f t="shared" si="29"/>
        <v>0.58600393233384296</v>
      </c>
      <c r="K176">
        <f t="shared" si="30"/>
        <v>-0.79717515177521747</v>
      </c>
      <c r="L176">
        <v>1</v>
      </c>
      <c r="M176">
        <f t="shared" si="31"/>
        <v>0.52002109917270911</v>
      </c>
      <c r="N176">
        <f t="shared" si="32"/>
        <v>0.13026756065</v>
      </c>
      <c r="O176">
        <f t="shared" si="33"/>
        <v>9.7835430032999993E-2</v>
      </c>
      <c r="P176">
        <f t="shared" si="34"/>
        <v>4.9051061919508365E-2</v>
      </c>
    </row>
    <row r="177" spans="1:16" x14ac:dyDescent="0.3">
      <c r="A177">
        <v>9.0369247999999995</v>
      </c>
      <c r="B177">
        <v>0.42175000000000001</v>
      </c>
      <c r="C177">
        <f t="shared" si="25"/>
        <v>3.8113230344</v>
      </c>
      <c r="D177">
        <v>1.4500000000000001E-2</v>
      </c>
      <c r="E177">
        <v>1.089E-2</v>
      </c>
      <c r="F177">
        <f t="shared" si="26"/>
        <v>1807.3849599999999</v>
      </c>
      <c r="G177">
        <f t="shared" si="27"/>
        <v>-0.42175000000000001</v>
      </c>
      <c r="H177">
        <f t="shared" si="28"/>
        <v>-762.26460687999997</v>
      </c>
      <c r="I177">
        <v>1</v>
      </c>
      <c r="J177">
        <f t="shared" si="29"/>
        <v>0.59188102710551638</v>
      </c>
      <c r="K177">
        <f t="shared" si="30"/>
        <v>-0.79997515177521739</v>
      </c>
      <c r="L177">
        <v>1</v>
      </c>
      <c r="M177">
        <f t="shared" si="31"/>
        <v>0.52031877402289439</v>
      </c>
      <c r="N177">
        <f t="shared" si="32"/>
        <v>0.13103540960000001</v>
      </c>
      <c r="O177">
        <f t="shared" si="33"/>
        <v>9.8412111072E-2</v>
      </c>
      <c r="P177">
        <f t="shared" si="34"/>
        <v>5.020885708032298E-2</v>
      </c>
    </row>
    <row r="178" spans="1:16" x14ac:dyDescent="0.3">
      <c r="A178">
        <v>9.0873340000000002</v>
      </c>
      <c r="B178">
        <v>0.41881000000000002</v>
      </c>
      <c r="C178">
        <f t="shared" si="25"/>
        <v>3.8058663525400003</v>
      </c>
      <c r="D178">
        <v>1.4500000000000001E-2</v>
      </c>
      <c r="E178">
        <v>1.089E-2</v>
      </c>
      <c r="F178">
        <f t="shared" si="26"/>
        <v>1817.4668000000001</v>
      </c>
      <c r="G178">
        <f t="shared" si="27"/>
        <v>-0.41881000000000002</v>
      </c>
      <c r="H178">
        <f t="shared" si="28"/>
        <v>-761.17327050800009</v>
      </c>
      <c r="I178">
        <v>1</v>
      </c>
      <c r="J178">
        <f t="shared" si="29"/>
        <v>0.59744366340862765</v>
      </c>
      <c r="K178">
        <f t="shared" si="30"/>
        <v>-0.80291515177521744</v>
      </c>
      <c r="L178">
        <v>1</v>
      </c>
      <c r="M178">
        <f t="shared" si="31"/>
        <v>0.52060052155164693</v>
      </c>
      <c r="N178">
        <f t="shared" si="32"/>
        <v>0.13176634300000001</v>
      </c>
      <c r="O178">
        <f t="shared" si="33"/>
        <v>9.8961067260000007E-2</v>
      </c>
      <c r="P178">
        <f t="shared" si="34"/>
        <v>5.1587219963570491E-2</v>
      </c>
    </row>
    <row r="179" spans="1:16" x14ac:dyDescent="0.3">
      <c r="A179">
        <v>9.1418174000000008</v>
      </c>
      <c r="B179">
        <v>0.41581000000000001</v>
      </c>
      <c r="C179">
        <f t="shared" si="25"/>
        <v>3.8012590930940005</v>
      </c>
      <c r="D179">
        <v>1.4500000000000001E-2</v>
      </c>
      <c r="E179">
        <v>1.089E-2</v>
      </c>
      <c r="F179">
        <f t="shared" si="26"/>
        <v>1828.3634800000002</v>
      </c>
      <c r="G179">
        <f t="shared" si="27"/>
        <v>-0.41581000000000001</v>
      </c>
      <c r="H179">
        <f t="shared" si="28"/>
        <v>-760.25181861880014</v>
      </c>
      <c r="I179">
        <v>1</v>
      </c>
      <c r="J179">
        <f t="shared" si="29"/>
        <v>0.60342129352843554</v>
      </c>
      <c r="K179">
        <f t="shared" si="30"/>
        <v>-0.80591515177521744</v>
      </c>
      <c r="L179">
        <v>1</v>
      </c>
      <c r="M179">
        <f t="shared" si="31"/>
        <v>0.52090328851721523</v>
      </c>
      <c r="N179">
        <f t="shared" si="32"/>
        <v>0.13255635230000001</v>
      </c>
      <c r="O179">
        <f t="shared" si="33"/>
        <v>9.955439148600001E-2</v>
      </c>
      <c r="P179">
        <f t="shared" si="34"/>
        <v>5.2901119472002184E-2</v>
      </c>
    </row>
    <row r="180" spans="1:16" x14ac:dyDescent="0.3">
      <c r="A180">
        <v>9.1927344000000009</v>
      </c>
      <c r="B180">
        <v>0.41284999999999999</v>
      </c>
      <c r="C180">
        <f t="shared" si="25"/>
        <v>3.7952203970400005</v>
      </c>
      <c r="D180">
        <v>1.4500000000000001E-2</v>
      </c>
      <c r="E180">
        <v>1.089E-2</v>
      </c>
      <c r="F180">
        <f t="shared" si="26"/>
        <v>1838.5468800000001</v>
      </c>
      <c r="G180">
        <f t="shared" si="27"/>
        <v>-0.41284999999999999</v>
      </c>
      <c r="H180">
        <f t="shared" si="28"/>
        <v>-759.04407940800013</v>
      </c>
      <c r="I180">
        <v>1</v>
      </c>
      <c r="J180">
        <f t="shared" si="29"/>
        <v>0.60897552048223147</v>
      </c>
      <c r="K180">
        <f t="shared" si="30"/>
        <v>-0.80887515177521752</v>
      </c>
      <c r="L180">
        <v>1</v>
      </c>
      <c r="M180">
        <f t="shared" si="31"/>
        <v>0.52118461011242501</v>
      </c>
      <c r="N180">
        <f t="shared" si="32"/>
        <v>0.13329464880000003</v>
      </c>
      <c r="O180">
        <f t="shared" si="33"/>
        <v>0.10010887761600001</v>
      </c>
      <c r="P180">
        <f t="shared" si="34"/>
        <v>5.4287015246792469E-2</v>
      </c>
    </row>
    <row r="181" spans="1:16" x14ac:dyDescent="0.3">
      <c r="A181">
        <v>9.2451807000000006</v>
      </c>
      <c r="B181">
        <v>0.41031000000000001</v>
      </c>
      <c r="C181">
        <f t="shared" si="25"/>
        <v>3.7933900930170004</v>
      </c>
      <c r="D181">
        <v>1.4500000000000001E-2</v>
      </c>
      <c r="E181">
        <v>1.089E-2</v>
      </c>
      <c r="F181">
        <f t="shared" si="26"/>
        <v>1849.0361400000002</v>
      </c>
      <c r="G181">
        <f t="shared" si="27"/>
        <v>-0.41031000000000001</v>
      </c>
      <c r="H181">
        <f t="shared" si="28"/>
        <v>-758.67801860340012</v>
      </c>
      <c r="I181">
        <v>1</v>
      </c>
      <c r="J181">
        <f t="shared" si="29"/>
        <v>0.61466449791435174</v>
      </c>
      <c r="K181">
        <f t="shared" si="30"/>
        <v>-0.8114151517752175</v>
      </c>
      <c r="L181">
        <v>1</v>
      </c>
      <c r="M181">
        <f t="shared" si="31"/>
        <v>0.52147275681936189</v>
      </c>
      <c r="N181">
        <f t="shared" si="32"/>
        <v>0.13405512015000001</v>
      </c>
      <c r="O181">
        <f t="shared" si="33"/>
        <v>0.10068001782300001</v>
      </c>
      <c r="P181">
        <f t="shared" si="34"/>
        <v>5.5207256982855585E-2</v>
      </c>
    </row>
    <row r="182" spans="1:16" x14ac:dyDescent="0.3">
      <c r="A182">
        <v>9.2955898000000001</v>
      </c>
      <c r="B182">
        <v>0.40745999999999999</v>
      </c>
      <c r="C182">
        <f t="shared" si="25"/>
        <v>3.787581019908</v>
      </c>
      <c r="D182">
        <v>1.4500000000000001E-2</v>
      </c>
      <c r="E182">
        <v>1.089E-2</v>
      </c>
      <c r="F182">
        <f t="shared" si="26"/>
        <v>1859.11796</v>
      </c>
      <c r="G182">
        <f t="shared" si="27"/>
        <v>-0.40745999999999999</v>
      </c>
      <c r="H182">
        <f t="shared" si="28"/>
        <v>-757.51620398160003</v>
      </c>
      <c r="I182">
        <v>1</v>
      </c>
      <c r="J182">
        <f t="shared" si="29"/>
        <v>0.62010216019582809</v>
      </c>
      <c r="K182">
        <f t="shared" si="30"/>
        <v>-0.81426515177521752</v>
      </c>
      <c r="L182">
        <v>1</v>
      </c>
      <c r="M182">
        <f t="shared" si="31"/>
        <v>0.52174817441391874</v>
      </c>
      <c r="N182">
        <f t="shared" si="32"/>
        <v>0.1347860521</v>
      </c>
      <c r="O182">
        <f t="shared" si="33"/>
        <v>0.101228972922</v>
      </c>
      <c r="P182">
        <f t="shared" si="34"/>
        <v>5.6501952339298778E-2</v>
      </c>
    </row>
    <row r="183" spans="1:16" x14ac:dyDescent="0.3">
      <c r="A183">
        <v>9.3505819999999993</v>
      </c>
      <c r="B183">
        <v>0.40416000000000002</v>
      </c>
      <c r="C183">
        <f t="shared" si="25"/>
        <v>3.7791312211200001</v>
      </c>
      <c r="D183">
        <v>1.4500000000000001E-2</v>
      </c>
      <c r="E183">
        <v>1.089E-2</v>
      </c>
      <c r="F183">
        <f t="shared" si="26"/>
        <v>1870.1163999999999</v>
      </c>
      <c r="G183">
        <f t="shared" si="27"/>
        <v>-0.40416000000000002</v>
      </c>
      <c r="H183">
        <f t="shared" si="28"/>
        <v>-755.82624422399999</v>
      </c>
      <c r="I183">
        <v>1</v>
      </c>
      <c r="J183">
        <f t="shared" si="29"/>
        <v>0.62600067491859879</v>
      </c>
      <c r="K183">
        <f t="shared" si="30"/>
        <v>-0.81756515177521738</v>
      </c>
      <c r="L183">
        <v>1</v>
      </c>
      <c r="M183">
        <f t="shared" si="31"/>
        <v>0.522046934184627</v>
      </c>
      <c r="N183">
        <f t="shared" si="32"/>
        <v>0.135583439</v>
      </c>
      <c r="O183">
        <f t="shared" si="33"/>
        <v>0.10182783798</v>
      </c>
      <c r="P183">
        <f t="shared" si="34"/>
        <v>5.810694061059038E-2</v>
      </c>
    </row>
    <row r="184" spans="1:16" x14ac:dyDescent="0.3">
      <c r="A184">
        <v>9.4030272999999998</v>
      </c>
      <c r="B184">
        <v>0.40157999999999999</v>
      </c>
      <c r="C184">
        <f t="shared" si="25"/>
        <v>3.7760677031339998</v>
      </c>
      <c r="D184">
        <v>1.4500000000000001E-2</v>
      </c>
      <c r="E184">
        <v>1.089E-2</v>
      </c>
      <c r="F184">
        <f t="shared" si="26"/>
        <v>1880.60546</v>
      </c>
      <c r="G184">
        <f t="shared" si="27"/>
        <v>-0.40157999999999999</v>
      </c>
      <c r="H184">
        <f t="shared" si="28"/>
        <v>-755.21354062679995</v>
      </c>
      <c r="I184">
        <v>1</v>
      </c>
      <c r="J184">
        <f t="shared" si="29"/>
        <v>0.63159377818534967</v>
      </c>
      <c r="K184">
        <f t="shared" si="30"/>
        <v>-0.82014515177521741</v>
      </c>
      <c r="L184">
        <v>1</v>
      </c>
      <c r="M184">
        <f t="shared" si="31"/>
        <v>0.52233022486508796</v>
      </c>
      <c r="N184">
        <f t="shared" si="32"/>
        <v>0.13634389585000001</v>
      </c>
      <c r="O184">
        <f t="shared" si="33"/>
        <v>0.102398967297</v>
      </c>
      <c r="P184">
        <f t="shared" si="34"/>
        <v>5.9072063763129443E-2</v>
      </c>
    </row>
    <row r="185" spans="1:16" x14ac:dyDescent="0.3">
      <c r="A185">
        <v>9.4549648000000008</v>
      </c>
      <c r="B185">
        <v>0.39843000000000001</v>
      </c>
      <c r="C185">
        <f t="shared" si="25"/>
        <v>3.7671416252640002</v>
      </c>
      <c r="D185">
        <v>1.4500000000000001E-2</v>
      </c>
      <c r="E185">
        <v>1.089E-2</v>
      </c>
      <c r="F185">
        <f t="shared" si="26"/>
        <v>1890.9929600000003</v>
      </c>
      <c r="G185">
        <f t="shared" si="27"/>
        <v>-0.39843000000000001</v>
      </c>
      <c r="H185">
        <f t="shared" si="28"/>
        <v>-753.42832505280001</v>
      </c>
      <c r="I185">
        <v>1</v>
      </c>
      <c r="J185">
        <f t="shared" si="29"/>
        <v>0.63710206677145298</v>
      </c>
      <c r="K185">
        <f t="shared" si="30"/>
        <v>-0.82329515177521739</v>
      </c>
      <c r="L185">
        <v>1</v>
      </c>
      <c r="M185">
        <f t="shared" si="31"/>
        <v>0.52260921968197405</v>
      </c>
      <c r="N185">
        <f t="shared" si="32"/>
        <v>0.13709698960000002</v>
      </c>
      <c r="O185">
        <f t="shared" si="33"/>
        <v>0.10296456667200002</v>
      </c>
      <c r="P185">
        <f t="shared" si="34"/>
        <v>6.0624375821243304E-2</v>
      </c>
    </row>
    <row r="186" spans="1:16" x14ac:dyDescent="0.3">
      <c r="A186">
        <v>9.5053739999999998</v>
      </c>
      <c r="B186">
        <v>0.39549000000000001</v>
      </c>
      <c r="C186">
        <f t="shared" si="25"/>
        <v>3.7592803632599998</v>
      </c>
      <c r="D186">
        <v>1.4500000000000001E-2</v>
      </c>
      <c r="E186">
        <v>1.089E-2</v>
      </c>
      <c r="F186">
        <f t="shared" si="26"/>
        <v>1901.0747999999999</v>
      </c>
      <c r="G186">
        <f t="shared" si="27"/>
        <v>-0.39549000000000001</v>
      </c>
      <c r="H186">
        <f t="shared" si="28"/>
        <v>-751.85607265199997</v>
      </c>
      <c r="I186">
        <v>1</v>
      </c>
      <c r="J186">
        <f t="shared" si="29"/>
        <v>0.64241941044392181</v>
      </c>
      <c r="K186">
        <f t="shared" si="30"/>
        <v>-0.82623515177521745</v>
      </c>
      <c r="L186">
        <v>1</v>
      </c>
      <c r="M186">
        <f t="shared" si="31"/>
        <v>0.52287854313898463</v>
      </c>
      <c r="N186">
        <f t="shared" si="32"/>
        <v>0.13782792299999999</v>
      </c>
      <c r="O186">
        <f t="shared" si="33"/>
        <v>0.10351352286</v>
      </c>
      <c r="P186">
        <f t="shared" si="34"/>
        <v>6.2015162776232827E-2</v>
      </c>
    </row>
    <row r="187" spans="1:16" x14ac:dyDescent="0.3">
      <c r="A187">
        <v>9.5557832000000005</v>
      </c>
      <c r="B187">
        <v>0.39276</v>
      </c>
      <c r="C187">
        <f t="shared" si="25"/>
        <v>3.7531294096320003</v>
      </c>
      <c r="D187">
        <v>1.4500000000000001E-2</v>
      </c>
      <c r="E187">
        <v>1.089E-2</v>
      </c>
      <c r="F187">
        <f t="shared" si="26"/>
        <v>1911.1566400000002</v>
      </c>
      <c r="G187">
        <f t="shared" si="27"/>
        <v>-0.39276</v>
      </c>
      <c r="H187">
        <f t="shared" si="28"/>
        <v>-750.6258819264001</v>
      </c>
      <c r="I187">
        <v>1</v>
      </c>
      <c r="J187">
        <f t="shared" si="29"/>
        <v>0.64770862945523278</v>
      </c>
      <c r="K187">
        <f t="shared" si="30"/>
        <v>-0.82896515177521746</v>
      </c>
      <c r="L187">
        <v>1</v>
      </c>
      <c r="M187">
        <f t="shared" si="31"/>
        <v>0.52314644208190753</v>
      </c>
      <c r="N187">
        <f t="shared" si="32"/>
        <v>0.13855885640000001</v>
      </c>
      <c r="O187">
        <f t="shared" si="33"/>
        <v>0.10406247904800001</v>
      </c>
      <c r="P187">
        <f t="shared" si="34"/>
        <v>6.3197374245309912E-2</v>
      </c>
    </row>
    <row r="188" spans="1:16" x14ac:dyDescent="0.3">
      <c r="A188">
        <v>9.6087372999999996</v>
      </c>
      <c r="B188">
        <v>0.38985999999999998</v>
      </c>
      <c r="C188">
        <f t="shared" si="25"/>
        <v>3.7460623237779997</v>
      </c>
      <c r="D188">
        <v>1.4500000000000001E-2</v>
      </c>
      <c r="E188">
        <v>1.089E-2</v>
      </c>
      <c r="F188">
        <f t="shared" si="26"/>
        <v>1921.7474599999998</v>
      </c>
      <c r="G188">
        <f t="shared" si="27"/>
        <v>-0.38985999999999998</v>
      </c>
      <c r="H188">
        <f t="shared" si="28"/>
        <v>-749.21246475559997</v>
      </c>
      <c r="I188">
        <v>1</v>
      </c>
      <c r="J188">
        <f t="shared" si="29"/>
        <v>0.6532349075342494</v>
      </c>
      <c r="K188">
        <f t="shared" si="30"/>
        <v>-0.83186515177521747</v>
      </c>
      <c r="L188">
        <v>1</v>
      </c>
      <c r="M188">
        <f t="shared" si="31"/>
        <v>0.5234263480666097</v>
      </c>
      <c r="N188">
        <f t="shared" si="32"/>
        <v>0.13932669084999999</v>
      </c>
      <c r="O188">
        <f t="shared" si="33"/>
        <v>0.104639149197</v>
      </c>
      <c r="P188">
        <f t="shared" si="34"/>
        <v>6.4472963661607777E-2</v>
      </c>
    </row>
    <row r="189" spans="1:16" x14ac:dyDescent="0.3">
      <c r="A189">
        <v>9.6596563</v>
      </c>
      <c r="B189">
        <v>0.38707000000000003</v>
      </c>
      <c r="C189">
        <f t="shared" si="25"/>
        <v>3.7389631640410004</v>
      </c>
      <c r="D189">
        <v>1.4500000000000001E-2</v>
      </c>
      <c r="E189">
        <v>1.089E-2</v>
      </c>
      <c r="F189">
        <f t="shared" si="26"/>
        <v>1931.9312600000001</v>
      </c>
      <c r="G189">
        <f t="shared" si="27"/>
        <v>-0.38707000000000003</v>
      </c>
      <c r="H189">
        <f t="shared" si="28"/>
        <v>-747.7926328082001</v>
      </c>
      <c r="I189">
        <v>1</v>
      </c>
      <c r="J189">
        <f t="shared" si="29"/>
        <v>0.65852015544720843</v>
      </c>
      <c r="K189">
        <f t="shared" si="30"/>
        <v>-0.83465515177521743</v>
      </c>
      <c r="L189">
        <v>1</v>
      </c>
      <c r="M189">
        <f t="shared" si="31"/>
        <v>0.52369404587340107</v>
      </c>
      <c r="N189">
        <f t="shared" si="32"/>
        <v>0.14006501635000002</v>
      </c>
      <c r="O189">
        <f t="shared" si="33"/>
        <v>0.105193657107</v>
      </c>
      <c r="P189">
        <f t="shared" si="34"/>
        <v>6.5702432444816342E-2</v>
      </c>
    </row>
    <row r="190" spans="1:16" x14ac:dyDescent="0.3">
      <c r="A190">
        <v>9.7121016000000004</v>
      </c>
      <c r="B190">
        <v>0.38388</v>
      </c>
      <c r="C190">
        <f t="shared" si="25"/>
        <v>3.7282815622080001</v>
      </c>
      <c r="D190">
        <v>1.4500000000000001E-2</v>
      </c>
      <c r="E190">
        <v>1.089E-2</v>
      </c>
      <c r="F190">
        <f t="shared" si="26"/>
        <v>1942.4203200000002</v>
      </c>
      <c r="G190">
        <f t="shared" si="27"/>
        <v>-0.38388</v>
      </c>
      <c r="H190">
        <f t="shared" si="28"/>
        <v>-745.65631244159999</v>
      </c>
      <c r="I190">
        <v>1</v>
      </c>
      <c r="J190">
        <f t="shared" si="29"/>
        <v>0.66393478311333154</v>
      </c>
      <c r="K190">
        <f t="shared" si="30"/>
        <v>-0.83784515177521746</v>
      </c>
      <c r="L190">
        <v>1</v>
      </c>
      <c r="M190">
        <f t="shared" si="31"/>
        <v>0.52396829676469026</v>
      </c>
      <c r="N190">
        <f t="shared" si="32"/>
        <v>0.14082547320000002</v>
      </c>
      <c r="O190">
        <f t="shared" si="33"/>
        <v>0.10576478642400002</v>
      </c>
      <c r="P190">
        <f t="shared" si="34"/>
        <v>6.7286595386527162E-2</v>
      </c>
    </row>
    <row r="191" spans="1:16" x14ac:dyDescent="0.3">
      <c r="A191">
        <v>9.7635302999999993</v>
      </c>
      <c r="B191">
        <v>0.38107999999999997</v>
      </c>
      <c r="C191">
        <f t="shared" si="25"/>
        <v>3.7206861267239995</v>
      </c>
      <c r="D191">
        <v>1.4500000000000001E-2</v>
      </c>
      <c r="E191">
        <v>1.089E-2</v>
      </c>
      <c r="F191">
        <f t="shared" si="26"/>
        <v>1952.70606</v>
      </c>
      <c r="G191">
        <f t="shared" si="27"/>
        <v>-0.38107999999999997</v>
      </c>
      <c r="H191">
        <f t="shared" si="28"/>
        <v>-744.13722534479984</v>
      </c>
      <c r="I191">
        <v>1</v>
      </c>
      <c r="J191">
        <f t="shared" si="29"/>
        <v>0.66921613365479748</v>
      </c>
      <c r="K191">
        <f t="shared" si="30"/>
        <v>-0.84064515177521748</v>
      </c>
      <c r="L191">
        <v>1</v>
      </c>
      <c r="M191">
        <f t="shared" si="31"/>
        <v>0.52423579716961544</v>
      </c>
      <c r="N191">
        <f t="shared" si="32"/>
        <v>0.14157118934999999</v>
      </c>
      <c r="O191">
        <f t="shared" si="33"/>
        <v>0.106324844967</v>
      </c>
      <c r="P191">
        <f t="shared" si="34"/>
        <v>6.8513320288602061E-2</v>
      </c>
    </row>
    <row r="192" spans="1:16" x14ac:dyDescent="0.3">
      <c r="A192">
        <v>9.8144472999999994</v>
      </c>
      <c r="B192">
        <v>0.37827</v>
      </c>
      <c r="C192">
        <f t="shared" si="25"/>
        <v>3.7125109801709999</v>
      </c>
      <c r="D192">
        <v>1.4500000000000001E-2</v>
      </c>
      <c r="E192">
        <v>1.089E-2</v>
      </c>
      <c r="F192">
        <f t="shared" si="26"/>
        <v>1962.8894599999999</v>
      </c>
      <c r="G192">
        <f t="shared" si="27"/>
        <v>-0.37827</v>
      </c>
      <c r="H192">
        <f t="shared" si="28"/>
        <v>-742.50219603419998</v>
      </c>
      <c r="I192">
        <v>1</v>
      </c>
      <c r="J192">
        <f t="shared" si="29"/>
        <v>0.67441760194105438</v>
      </c>
      <c r="K192">
        <f t="shared" si="30"/>
        <v>-0.84345515177521746</v>
      </c>
      <c r="L192">
        <v>1</v>
      </c>
      <c r="M192">
        <f t="shared" si="31"/>
        <v>0.52449925153831445</v>
      </c>
      <c r="N192">
        <f t="shared" si="32"/>
        <v>0.14230948585</v>
      </c>
      <c r="O192">
        <f t="shared" si="33"/>
        <v>0.106879331097</v>
      </c>
      <c r="P192">
        <f t="shared" si="34"/>
        <v>6.9767083289903012E-2</v>
      </c>
    </row>
    <row r="193" spans="1:16" x14ac:dyDescent="0.3">
      <c r="A193">
        <v>9.8653662000000004</v>
      </c>
      <c r="B193">
        <v>0.37509999999999999</v>
      </c>
      <c r="C193">
        <f t="shared" si="25"/>
        <v>3.7004988616199999</v>
      </c>
      <c r="D193">
        <v>1.4500000000000001E-2</v>
      </c>
      <c r="E193">
        <v>1.089E-2</v>
      </c>
      <c r="F193">
        <f t="shared" si="26"/>
        <v>1973.0732400000002</v>
      </c>
      <c r="G193">
        <f t="shared" si="27"/>
        <v>-0.37509999999999999</v>
      </c>
      <c r="H193">
        <f t="shared" si="28"/>
        <v>-740.09977232400001</v>
      </c>
      <c r="I193">
        <v>1</v>
      </c>
      <c r="J193">
        <f t="shared" si="29"/>
        <v>0.67959234748683295</v>
      </c>
      <c r="K193">
        <f t="shared" si="30"/>
        <v>-0.84662515177521747</v>
      </c>
      <c r="L193">
        <v>1</v>
      </c>
      <c r="M193">
        <f t="shared" si="31"/>
        <v>0.52476135240020805</v>
      </c>
      <c r="N193">
        <f t="shared" si="32"/>
        <v>0.14304780990000002</v>
      </c>
      <c r="O193">
        <f t="shared" si="33"/>
        <v>0.10743383791800001</v>
      </c>
      <c r="P193">
        <f t="shared" si="34"/>
        <v>7.1382151557009388E-2</v>
      </c>
    </row>
    <row r="194" spans="1:16" x14ac:dyDescent="0.3">
      <c r="A194">
        <v>9.9162841999999998</v>
      </c>
      <c r="B194">
        <v>0.37195</v>
      </c>
      <c r="C194">
        <f t="shared" si="25"/>
        <v>3.6883619081900001</v>
      </c>
      <c r="D194">
        <v>1.4500000000000001E-2</v>
      </c>
      <c r="E194">
        <v>1.089E-2</v>
      </c>
      <c r="F194">
        <f t="shared" si="26"/>
        <v>1983.25684</v>
      </c>
      <c r="G194">
        <f t="shared" si="27"/>
        <v>-0.37195</v>
      </c>
      <c r="H194">
        <f t="shared" si="28"/>
        <v>-737.67238163800005</v>
      </c>
      <c r="I194">
        <v>1</v>
      </c>
      <c r="J194">
        <f t="shared" si="29"/>
        <v>0.68474036207843469</v>
      </c>
      <c r="K194">
        <f t="shared" si="30"/>
        <v>-0.84977515177521745</v>
      </c>
      <c r="L194">
        <v>1</v>
      </c>
      <c r="M194">
        <f t="shared" si="31"/>
        <v>0.52502209933927269</v>
      </c>
      <c r="N194">
        <f t="shared" si="32"/>
        <v>0.14378612090000001</v>
      </c>
      <c r="O194">
        <f t="shared" si="33"/>
        <v>0.107988334938</v>
      </c>
      <c r="P194">
        <f t="shared" si="34"/>
        <v>7.2978596597944756E-2</v>
      </c>
    </row>
    <row r="195" spans="1:16" x14ac:dyDescent="0.3">
      <c r="A195">
        <v>9.9682217000000009</v>
      </c>
      <c r="B195">
        <v>0.36913000000000001</v>
      </c>
      <c r="C195">
        <f t="shared" si="25"/>
        <v>3.6795696761210004</v>
      </c>
      <c r="D195">
        <v>1.4500000000000001E-2</v>
      </c>
      <c r="E195">
        <v>1.089E-2</v>
      </c>
      <c r="F195">
        <f t="shared" si="26"/>
        <v>1993.6443400000003</v>
      </c>
      <c r="G195">
        <f t="shared" si="27"/>
        <v>-0.36913000000000001</v>
      </c>
      <c r="H195">
        <f t="shared" si="28"/>
        <v>-735.91393522420003</v>
      </c>
      <c r="I195">
        <v>1</v>
      </c>
      <c r="J195">
        <f t="shared" si="29"/>
        <v>0.68996429053541553</v>
      </c>
      <c r="K195">
        <f t="shared" si="30"/>
        <v>-0.8525951517752175</v>
      </c>
      <c r="L195">
        <v>1</v>
      </c>
      <c r="M195">
        <f t="shared" si="31"/>
        <v>0.52528669131561878</v>
      </c>
      <c r="N195">
        <f t="shared" si="32"/>
        <v>0.14453921465000003</v>
      </c>
      <c r="O195">
        <f t="shared" si="33"/>
        <v>0.10855393431300002</v>
      </c>
      <c r="P195">
        <f t="shared" si="34"/>
        <v>7.4215311496598671E-2</v>
      </c>
    </row>
    <row r="196" spans="1:16" x14ac:dyDescent="0.3">
      <c r="A196">
        <v>10.021176000000001</v>
      </c>
      <c r="B196">
        <v>0.36598000000000003</v>
      </c>
      <c r="C196">
        <f t="shared" ref="C196:C259" si="36">A196*B196</f>
        <v>3.6675499924800006</v>
      </c>
      <c r="D196">
        <v>1.4500000000000001E-2</v>
      </c>
      <c r="E196">
        <v>1.089E-2</v>
      </c>
      <c r="F196">
        <f t="shared" ref="F196:F259" si="37">A196*200</f>
        <v>2004.2352000000001</v>
      </c>
      <c r="G196">
        <f t="shared" ref="G196:G259" si="38">-B196</f>
        <v>-0.36598000000000003</v>
      </c>
      <c r="H196">
        <f t="shared" ref="H196:H259" si="39">-C196*200</f>
        <v>-733.50999849600009</v>
      </c>
      <c r="I196">
        <v>1</v>
      </c>
      <c r="J196">
        <f t="shared" ref="J196:J259" si="40">LN(F196/1000)</f>
        <v>0.69526254160531509</v>
      </c>
      <c r="K196">
        <f t="shared" ref="K196:K259" si="41">((-G196)-$N$2)</f>
        <v>-0.85574515177521748</v>
      </c>
      <c r="L196">
        <v>1</v>
      </c>
      <c r="M196">
        <f t="shared" ref="M196:M259" si="42">-1*($S$4+($S$5*J196))</f>
        <v>0.52555504773230921</v>
      </c>
      <c r="N196">
        <f t="shared" ref="N196:N259" si="43">D196*A196</f>
        <v>0.14530705200000002</v>
      </c>
      <c r="O196">
        <f t="shared" ref="O196:O259" si="44">E196*A196</f>
        <v>0.10913060664000002</v>
      </c>
      <c r="P196">
        <f t="shared" ref="P196:P259" si="45">-K196-M196-N196-O196</f>
        <v>7.5752445402908236E-2</v>
      </c>
    </row>
    <row r="197" spans="1:16" x14ac:dyDescent="0.3">
      <c r="A197">
        <v>10.072094999999999</v>
      </c>
      <c r="B197">
        <v>0.36342000000000002</v>
      </c>
      <c r="C197">
        <f t="shared" si="36"/>
        <v>3.6604007648999999</v>
      </c>
      <c r="D197">
        <v>1.4500000000000001E-2</v>
      </c>
      <c r="E197">
        <v>1.089E-2</v>
      </c>
      <c r="F197">
        <f t="shared" si="37"/>
        <v>2014.4189999999999</v>
      </c>
      <c r="G197">
        <f t="shared" si="38"/>
        <v>-0.36342000000000002</v>
      </c>
      <c r="H197">
        <f t="shared" si="39"/>
        <v>-732.08015297999998</v>
      </c>
      <c r="I197">
        <v>1</v>
      </c>
      <c r="J197">
        <f t="shared" si="40"/>
        <v>0.70033081635242311</v>
      </c>
      <c r="K197">
        <f t="shared" si="41"/>
        <v>-0.85830515177521738</v>
      </c>
      <c r="L197">
        <v>1</v>
      </c>
      <c r="M197">
        <f t="shared" si="42"/>
        <v>0.52581175584825024</v>
      </c>
      <c r="N197">
        <f t="shared" si="43"/>
        <v>0.14604537749999999</v>
      </c>
      <c r="O197">
        <f t="shared" si="44"/>
        <v>0.10968511454999999</v>
      </c>
      <c r="P197">
        <f t="shared" si="45"/>
        <v>7.6762903876967159E-2</v>
      </c>
    </row>
    <row r="198" spans="1:16" x14ac:dyDescent="0.3">
      <c r="A198">
        <v>10.123013</v>
      </c>
      <c r="B198">
        <v>0.36008000000000001</v>
      </c>
      <c r="C198">
        <f t="shared" si="36"/>
        <v>3.6450945210400003</v>
      </c>
      <c r="D198">
        <v>1.4500000000000001E-2</v>
      </c>
      <c r="E198">
        <v>1.089E-2</v>
      </c>
      <c r="F198">
        <f t="shared" si="37"/>
        <v>2024.6026000000002</v>
      </c>
      <c r="G198">
        <f t="shared" si="38"/>
        <v>-0.36008000000000001</v>
      </c>
      <c r="H198">
        <f t="shared" si="39"/>
        <v>-729.01890420800009</v>
      </c>
      <c r="I198">
        <v>1</v>
      </c>
      <c r="J198">
        <f t="shared" si="40"/>
        <v>0.70537343438597699</v>
      </c>
      <c r="K198">
        <f t="shared" si="41"/>
        <v>-0.8616451517752175</v>
      </c>
      <c r="L198">
        <v>1</v>
      </c>
      <c r="M198">
        <f t="shared" si="42"/>
        <v>0.52606716445164969</v>
      </c>
      <c r="N198">
        <f t="shared" si="43"/>
        <v>0.14678368850000001</v>
      </c>
      <c r="O198">
        <f t="shared" si="44"/>
        <v>0.11023961157000001</v>
      </c>
      <c r="P198">
        <f t="shared" si="45"/>
        <v>7.855468725356779E-2</v>
      </c>
    </row>
    <row r="199" spans="1:16" x14ac:dyDescent="0.3">
      <c r="A199">
        <v>10.175459</v>
      </c>
      <c r="B199">
        <v>0.35711999999999999</v>
      </c>
      <c r="C199">
        <f t="shared" si="36"/>
        <v>3.6338599180799998</v>
      </c>
      <c r="D199">
        <v>1.4500000000000001E-2</v>
      </c>
      <c r="E199">
        <v>1.089E-2</v>
      </c>
      <c r="F199">
        <f t="shared" si="37"/>
        <v>2035.0917999999999</v>
      </c>
      <c r="G199">
        <f t="shared" si="38"/>
        <v>-0.35711999999999999</v>
      </c>
      <c r="H199">
        <f t="shared" si="39"/>
        <v>-726.77198361599994</v>
      </c>
      <c r="I199">
        <v>1</v>
      </c>
      <c r="J199">
        <f t="shared" si="40"/>
        <v>0.71054092844221795</v>
      </c>
      <c r="K199">
        <f t="shared" si="41"/>
        <v>-0.86460515177521746</v>
      </c>
      <c r="L199">
        <v>1</v>
      </c>
      <c r="M199">
        <f t="shared" si="42"/>
        <v>0.52632889802559835</v>
      </c>
      <c r="N199">
        <f t="shared" si="43"/>
        <v>0.1475441555</v>
      </c>
      <c r="O199">
        <f t="shared" si="44"/>
        <v>0.11081074851</v>
      </c>
      <c r="P199">
        <f t="shared" si="45"/>
        <v>7.9921349739619119E-2</v>
      </c>
    </row>
    <row r="200" spans="1:16" x14ac:dyDescent="0.3">
      <c r="A200">
        <v>10.225866999999999</v>
      </c>
      <c r="B200">
        <v>0.35432999999999998</v>
      </c>
      <c r="C200">
        <f t="shared" si="36"/>
        <v>3.6233314541099997</v>
      </c>
      <c r="D200">
        <v>1.4500000000000001E-2</v>
      </c>
      <c r="E200">
        <v>1.089E-2</v>
      </c>
      <c r="F200">
        <f t="shared" si="37"/>
        <v>2045.1733999999999</v>
      </c>
      <c r="G200">
        <f t="shared" si="38"/>
        <v>-0.35432999999999998</v>
      </c>
      <c r="H200">
        <f t="shared" si="39"/>
        <v>-724.66629082199995</v>
      </c>
      <c r="I200">
        <v>1</v>
      </c>
      <c r="J200">
        <f t="shared" si="40"/>
        <v>0.71548257807615079</v>
      </c>
      <c r="K200">
        <f t="shared" si="41"/>
        <v>-0.86739515177521742</v>
      </c>
      <c r="L200">
        <v>1</v>
      </c>
      <c r="M200">
        <f t="shared" si="42"/>
        <v>0.52657919257955699</v>
      </c>
      <c r="N200">
        <f t="shared" si="43"/>
        <v>0.14827507149999999</v>
      </c>
      <c r="O200">
        <f t="shared" si="44"/>
        <v>0.11135969162999999</v>
      </c>
      <c r="P200">
        <f t="shared" si="45"/>
        <v>8.1181196065660446E-2</v>
      </c>
    </row>
    <row r="201" spans="1:16" x14ac:dyDescent="0.3">
      <c r="A201">
        <v>10.28035</v>
      </c>
      <c r="B201">
        <v>0.35141</v>
      </c>
      <c r="C201">
        <f t="shared" si="36"/>
        <v>3.6126177935000001</v>
      </c>
      <c r="D201">
        <v>1.4500000000000001E-2</v>
      </c>
      <c r="E201">
        <v>1.089E-2</v>
      </c>
      <c r="F201">
        <f t="shared" si="37"/>
        <v>2056.0700000000002</v>
      </c>
      <c r="G201">
        <f t="shared" si="38"/>
        <v>-0.35141</v>
      </c>
      <c r="H201">
        <f t="shared" si="39"/>
        <v>-722.52355869999997</v>
      </c>
      <c r="I201">
        <v>1</v>
      </c>
      <c r="J201">
        <f t="shared" si="40"/>
        <v>0.72079639370595028</v>
      </c>
      <c r="K201">
        <f t="shared" si="41"/>
        <v>-0.87031515177521745</v>
      </c>
      <c r="L201">
        <v>1</v>
      </c>
      <c r="M201">
        <f t="shared" si="42"/>
        <v>0.5268483373412064</v>
      </c>
      <c r="N201">
        <f t="shared" si="43"/>
        <v>0.14906507500000002</v>
      </c>
      <c r="O201">
        <f t="shared" si="44"/>
        <v>0.1119530115</v>
      </c>
      <c r="P201">
        <f t="shared" si="45"/>
        <v>8.2448727934011035E-2</v>
      </c>
    </row>
    <row r="202" spans="1:16" x14ac:dyDescent="0.3">
      <c r="A202">
        <v>10.330759</v>
      </c>
      <c r="B202">
        <v>0.34841</v>
      </c>
      <c r="C202">
        <f t="shared" si="36"/>
        <v>3.5993397431900003</v>
      </c>
      <c r="D202">
        <v>1.4500000000000001E-2</v>
      </c>
      <c r="E202">
        <v>1.089E-2</v>
      </c>
      <c r="F202">
        <f t="shared" si="37"/>
        <v>2066.1518000000001</v>
      </c>
      <c r="G202">
        <f t="shared" si="38"/>
        <v>-0.34841</v>
      </c>
      <c r="H202">
        <f t="shared" si="39"/>
        <v>-719.86794863800003</v>
      </c>
      <c r="I202">
        <v>1</v>
      </c>
      <c r="J202">
        <f t="shared" si="40"/>
        <v>0.72568784331288572</v>
      </c>
      <c r="K202">
        <f t="shared" si="41"/>
        <v>-0.87331515177521746</v>
      </c>
      <c r="L202">
        <v>1</v>
      </c>
      <c r="M202">
        <f t="shared" si="42"/>
        <v>0.5270960892637977</v>
      </c>
      <c r="N202">
        <f t="shared" si="43"/>
        <v>0.14979600550000002</v>
      </c>
      <c r="O202">
        <f t="shared" si="44"/>
        <v>0.11250196551000001</v>
      </c>
      <c r="P202">
        <f t="shared" si="45"/>
        <v>8.3921091501419728E-2</v>
      </c>
    </row>
    <row r="203" spans="1:16" x14ac:dyDescent="0.3">
      <c r="A203">
        <v>10.381169</v>
      </c>
      <c r="B203">
        <v>0.34533999999999998</v>
      </c>
      <c r="C203">
        <f t="shared" si="36"/>
        <v>3.5850329024599996</v>
      </c>
      <c r="D203">
        <v>1.4500000000000001E-2</v>
      </c>
      <c r="E203">
        <v>1.089E-2</v>
      </c>
      <c r="F203">
        <f t="shared" si="37"/>
        <v>2076.2338</v>
      </c>
      <c r="G203">
        <f t="shared" si="38"/>
        <v>-0.34533999999999998</v>
      </c>
      <c r="H203">
        <f t="shared" si="39"/>
        <v>-717.0065804919999</v>
      </c>
      <c r="I203">
        <v>1</v>
      </c>
      <c r="J203">
        <f t="shared" si="40"/>
        <v>0.73055557938633031</v>
      </c>
      <c r="K203">
        <f t="shared" si="41"/>
        <v>-0.87638515177521747</v>
      </c>
      <c r="L203">
        <v>1</v>
      </c>
      <c r="M203">
        <f t="shared" si="42"/>
        <v>0.52734264009591758</v>
      </c>
      <c r="N203">
        <f t="shared" si="43"/>
        <v>0.15052695050000001</v>
      </c>
      <c r="O203">
        <f t="shared" si="44"/>
        <v>0.11305093041</v>
      </c>
      <c r="P203">
        <f t="shared" si="45"/>
        <v>8.5464630769299887E-2</v>
      </c>
    </row>
    <row r="204" spans="1:16" x14ac:dyDescent="0.3">
      <c r="A204">
        <v>10.432596999999999</v>
      </c>
      <c r="B204">
        <v>0.34233999999999998</v>
      </c>
      <c r="C204">
        <f t="shared" si="36"/>
        <v>3.5714952569799996</v>
      </c>
      <c r="D204">
        <v>1.4500000000000001E-2</v>
      </c>
      <c r="E204">
        <v>1.089E-2</v>
      </c>
      <c r="F204">
        <f t="shared" si="37"/>
        <v>2086.5193999999997</v>
      </c>
      <c r="G204">
        <f t="shared" si="38"/>
        <v>-0.34233999999999998</v>
      </c>
      <c r="H204">
        <f t="shared" si="39"/>
        <v>-714.29905139599987</v>
      </c>
      <c r="I204">
        <v>1</v>
      </c>
      <c r="J204">
        <f t="shared" si="40"/>
        <v>0.73549731887348702</v>
      </c>
      <c r="K204">
        <f t="shared" si="41"/>
        <v>-0.87938515177521748</v>
      </c>
      <c r="L204">
        <v>1</v>
      </c>
      <c r="M204">
        <f t="shared" si="42"/>
        <v>0.52759293920094208</v>
      </c>
      <c r="N204">
        <f t="shared" si="43"/>
        <v>0.15127265649999999</v>
      </c>
      <c r="O204">
        <f t="shared" si="44"/>
        <v>0.11361098133</v>
      </c>
      <c r="P204">
        <f t="shared" si="45"/>
        <v>8.6908574744275408E-2</v>
      </c>
    </row>
    <row r="205" spans="1:16" x14ac:dyDescent="0.3">
      <c r="A205">
        <v>10.485550999999999</v>
      </c>
      <c r="B205">
        <v>0.33925</v>
      </c>
      <c r="C205">
        <f t="shared" si="36"/>
        <v>3.5572231767499995</v>
      </c>
      <c r="D205">
        <v>1.4500000000000001E-2</v>
      </c>
      <c r="E205">
        <v>1.089E-2</v>
      </c>
      <c r="F205">
        <f t="shared" si="37"/>
        <v>2097.1101999999996</v>
      </c>
      <c r="G205">
        <f t="shared" si="38"/>
        <v>-0.33925</v>
      </c>
      <c r="H205">
        <f t="shared" si="39"/>
        <v>-711.44463534999988</v>
      </c>
      <c r="I205">
        <v>1</v>
      </c>
      <c r="J205">
        <f t="shared" si="40"/>
        <v>0.74056030180272348</v>
      </c>
      <c r="K205">
        <f t="shared" si="41"/>
        <v>-0.8824751517752174</v>
      </c>
      <c r="L205">
        <v>1</v>
      </c>
      <c r="M205">
        <f t="shared" si="42"/>
        <v>0.52784937928630793</v>
      </c>
      <c r="N205">
        <f t="shared" si="43"/>
        <v>0.15204048949999999</v>
      </c>
      <c r="O205">
        <f t="shared" si="44"/>
        <v>0.11418765038999999</v>
      </c>
      <c r="P205">
        <f t="shared" si="45"/>
        <v>8.8397632598909495E-2</v>
      </c>
    </row>
    <row r="206" spans="1:16" x14ac:dyDescent="0.3">
      <c r="A206">
        <v>10.53647</v>
      </c>
      <c r="B206">
        <v>0.33635999999999999</v>
      </c>
      <c r="C206">
        <f t="shared" si="36"/>
        <v>3.5440470491999996</v>
      </c>
      <c r="D206">
        <v>1.4500000000000001E-2</v>
      </c>
      <c r="E206">
        <v>1.089E-2</v>
      </c>
      <c r="F206">
        <f t="shared" si="37"/>
        <v>2107.2939999999999</v>
      </c>
      <c r="G206">
        <f t="shared" si="38"/>
        <v>-0.33635999999999999</v>
      </c>
      <c r="H206">
        <f t="shared" si="39"/>
        <v>-708.80940983999994</v>
      </c>
      <c r="I206">
        <v>1</v>
      </c>
      <c r="J206">
        <f t="shared" si="40"/>
        <v>0.74540465997168648</v>
      </c>
      <c r="K206">
        <f t="shared" si="41"/>
        <v>-0.88536515177521746</v>
      </c>
      <c r="L206">
        <v>1</v>
      </c>
      <c r="M206">
        <f t="shared" si="42"/>
        <v>0.5280947460275659</v>
      </c>
      <c r="N206">
        <f t="shared" si="43"/>
        <v>0.15277881500000001</v>
      </c>
      <c r="O206">
        <f t="shared" si="44"/>
        <v>0.11474215829999999</v>
      </c>
      <c r="P206">
        <f t="shared" si="45"/>
        <v>8.9749432447651559E-2</v>
      </c>
    </row>
    <row r="207" spans="1:16" x14ac:dyDescent="0.3">
      <c r="A207">
        <v>10.587388000000001</v>
      </c>
      <c r="B207">
        <v>0.33318999999999999</v>
      </c>
      <c r="C207">
        <f t="shared" si="36"/>
        <v>3.52761180772</v>
      </c>
      <c r="D207">
        <v>1.4500000000000001E-2</v>
      </c>
      <c r="E207">
        <v>1.089E-2</v>
      </c>
      <c r="F207">
        <f t="shared" si="37"/>
        <v>2117.4776000000002</v>
      </c>
      <c r="G207">
        <f t="shared" si="38"/>
        <v>-0.33318999999999999</v>
      </c>
      <c r="H207">
        <f t="shared" si="39"/>
        <v>-705.52236154399998</v>
      </c>
      <c r="I207">
        <v>1</v>
      </c>
      <c r="J207">
        <f t="shared" si="40"/>
        <v>0.75022556897572279</v>
      </c>
      <c r="K207">
        <f t="shared" si="41"/>
        <v>-0.88853515177521747</v>
      </c>
      <c r="L207">
        <v>1</v>
      </c>
      <c r="M207">
        <f t="shared" si="42"/>
        <v>0.52833892506862035</v>
      </c>
      <c r="N207">
        <f t="shared" si="43"/>
        <v>0.15351712600000003</v>
      </c>
      <c r="O207">
        <f t="shared" si="44"/>
        <v>0.11529665532000001</v>
      </c>
      <c r="P207">
        <f t="shared" si="45"/>
        <v>9.138244538659708E-2</v>
      </c>
    </row>
    <row r="208" spans="1:16" x14ac:dyDescent="0.3">
      <c r="A208">
        <v>10.638306999999999</v>
      </c>
      <c r="B208">
        <v>0.33024999999999999</v>
      </c>
      <c r="C208">
        <f t="shared" si="36"/>
        <v>3.5133008867499997</v>
      </c>
      <c r="D208">
        <v>1.4500000000000001E-2</v>
      </c>
      <c r="E208">
        <v>1.089E-2</v>
      </c>
      <c r="F208">
        <f t="shared" si="37"/>
        <v>2127.6614</v>
      </c>
      <c r="G208">
        <f t="shared" si="38"/>
        <v>-0.33024999999999999</v>
      </c>
      <c r="H208">
        <f t="shared" si="39"/>
        <v>-702.66017734999991</v>
      </c>
      <c r="I208">
        <v>1</v>
      </c>
      <c r="J208">
        <f t="shared" si="40"/>
        <v>0.75502344227766471</v>
      </c>
      <c r="K208">
        <f t="shared" si="41"/>
        <v>-0.89147515177521752</v>
      </c>
      <c r="L208">
        <v>1</v>
      </c>
      <c r="M208">
        <f t="shared" si="42"/>
        <v>0.52858193735136372</v>
      </c>
      <c r="N208">
        <f t="shared" si="43"/>
        <v>0.1542554515</v>
      </c>
      <c r="O208">
        <f t="shared" si="44"/>
        <v>0.11585116323</v>
      </c>
      <c r="P208">
        <f t="shared" si="45"/>
        <v>9.2786599693853805E-2</v>
      </c>
    </row>
    <row r="209" spans="1:16" x14ac:dyDescent="0.3">
      <c r="A209">
        <v>10.693298</v>
      </c>
      <c r="B209">
        <v>0.32726</v>
      </c>
      <c r="C209">
        <f t="shared" si="36"/>
        <v>3.49948870348</v>
      </c>
      <c r="D209">
        <v>1.4500000000000001E-2</v>
      </c>
      <c r="E209">
        <v>1.089E-2</v>
      </c>
      <c r="F209">
        <f t="shared" si="37"/>
        <v>2138.6596</v>
      </c>
      <c r="G209">
        <f t="shared" si="38"/>
        <v>-0.32726</v>
      </c>
      <c r="H209">
        <f t="shared" si="39"/>
        <v>-699.89774069600003</v>
      </c>
      <c r="I209">
        <v>1</v>
      </c>
      <c r="J209">
        <f t="shared" si="40"/>
        <v>0.76017927765124316</v>
      </c>
      <c r="K209">
        <f t="shared" si="41"/>
        <v>-0.89446515177521746</v>
      </c>
      <c r="L209">
        <v>1</v>
      </c>
      <c r="M209">
        <f t="shared" si="42"/>
        <v>0.52884308041303552</v>
      </c>
      <c r="N209">
        <f t="shared" si="43"/>
        <v>0.15505282100000001</v>
      </c>
      <c r="O209">
        <f t="shared" si="44"/>
        <v>0.11645001522000001</v>
      </c>
      <c r="P209">
        <f t="shared" si="45"/>
        <v>9.4119235142181928E-2</v>
      </c>
    </row>
    <row r="210" spans="1:16" x14ac:dyDescent="0.3">
      <c r="A210">
        <v>10.746762</v>
      </c>
      <c r="B210">
        <v>0.32401000000000002</v>
      </c>
      <c r="C210">
        <f t="shared" si="36"/>
        <v>3.4820583556200004</v>
      </c>
      <c r="D210">
        <v>1.4500000000000001E-2</v>
      </c>
      <c r="E210">
        <v>1.089E-2</v>
      </c>
      <c r="F210">
        <f t="shared" si="37"/>
        <v>2149.3524000000002</v>
      </c>
      <c r="G210">
        <f t="shared" si="38"/>
        <v>-0.32401000000000002</v>
      </c>
      <c r="H210">
        <f t="shared" si="39"/>
        <v>-696.41167112400012</v>
      </c>
      <c r="I210">
        <v>1</v>
      </c>
      <c r="J210">
        <f t="shared" si="40"/>
        <v>0.76516658746461264</v>
      </c>
      <c r="K210">
        <f t="shared" si="41"/>
        <v>-0.89771515177521743</v>
      </c>
      <c r="L210">
        <v>1</v>
      </c>
      <c r="M210">
        <f t="shared" si="42"/>
        <v>0.52909568765508264</v>
      </c>
      <c r="N210">
        <f t="shared" si="43"/>
        <v>0.15582804900000002</v>
      </c>
      <c r="O210">
        <f t="shared" si="44"/>
        <v>0.11703223818000001</v>
      </c>
      <c r="P210">
        <f t="shared" si="45"/>
        <v>9.5759176940134763E-2</v>
      </c>
    </row>
    <row r="211" spans="1:16" x14ac:dyDescent="0.3">
      <c r="A211">
        <v>10.797171000000001</v>
      </c>
      <c r="B211">
        <v>0.32101000000000002</v>
      </c>
      <c r="C211">
        <f t="shared" si="36"/>
        <v>3.4659998627100004</v>
      </c>
      <c r="D211">
        <v>1.4500000000000001E-2</v>
      </c>
      <c r="E211">
        <v>1.089E-2</v>
      </c>
      <c r="F211">
        <f t="shared" si="37"/>
        <v>2159.4342000000001</v>
      </c>
      <c r="G211">
        <f t="shared" si="38"/>
        <v>-0.32101000000000002</v>
      </c>
      <c r="H211">
        <f t="shared" si="39"/>
        <v>-693.19997254200007</v>
      </c>
      <c r="I211">
        <v>1</v>
      </c>
      <c r="J211">
        <f t="shared" si="40"/>
        <v>0.76984624293819104</v>
      </c>
      <c r="K211">
        <f t="shared" si="41"/>
        <v>-0.90071515177521744</v>
      </c>
      <c r="L211">
        <v>1</v>
      </c>
      <c r="M211">
        <f t="shared" si="42"/>
        <v>0.52933271220481937</v>
      </c>
      <c r="N211">
        <f t="shared" si="43"/>
        <v>0.15655897950000003</v>
      </c>
      <c r="O211">
        <f t="shared" si="44"/>
        <v>0.11758119219</v>
      </c>
      <c r="P211">
        <f t="shared" si="45"/>
        <v>9.7242267880398039E-2</v>
      </c>
    </row>
    <row r="212" spans="1:16" x14ac:dyDescent="0.3">
      <c r="A212">
        <v>10.850125999999999</v>
      </c>
      <c r="B212">
        <v>0.31794</v>
      </c>
      <c r="C212">
        <f t="shared" si="36"/>
        <v>3.4496890604399999</v>
      </c>
      <c r="D212">
        <v>1.4500000000000001E-2</v>
      </c>
      <c r="E212">
        <v>1.089E-2</v>
      </c>
      <c r="F212">
        <f t="shared" si="37"/>
        <v>2170.0252</v>
      </c>
      <c r="G212">
        <f t="shared" si="38"/>
        <v>-0.31794</v>
      </c>
      <c r="H212">
        <f t="shared" si="39"/>
        <v>-689.93781208799999</v>
      </c>
      <c r="I212">
        <v>1</v>
      </c>
      <c r="J212">
        <f t="shared" si="40"/>
        <v>0.77473878038816479</v>
      </c>
      <c r="K212">
        <f t="shared" si="41"/>
        <v>-0.90378515177521745</v>
      </c>
      <c r="L212">
        <v>1</v>
      </c>
      <c r="M212">
        <f t="shared" si="42"/>
        <v>0.5295805192266605</v>
      </c>
      <c r="N212">
        <f t="shared" si="43"/>
        <v>0.157326827</v>
      </c>
      <c r="O212">
        <f t="shared" si="44"/>
        <v>0.11815787213999999</v>
      </c>
      <c r="P212">
        <f t="shared" si="45"/>
        <v>9.8719933408556962E-2</v>
      </c>
    </row>
    <row r="213" spans="1:16" x14ac:dyDescent="0.3">
      <c r="A213">
        <v>10.900535</v>
      </c>
      <c r="B213">
        <v>0.31496000000000002</v>
      </c>
      <c r="C213">
        <f t="shared" si="36"/>
        <v>3.4332325036000002</v>
      </c>
      <c r="D213">
        <v>1.4500000000000001E-2</v>
      </c>
      <c r="E213">
        <v>1.089E-2</v>
      </c>
      <c r="F213">
        <f t="shared" si="37"/>
        <v>2180.107</v>
      </c>
      <c r="G213">
        <f t="shared" si="38"/>
        <v>-0.31496000000000002</v>
      </c>
      <c r="H213">
        <f t="shared" si="39"/>
        <v>-686.64650072000006</v>
      </c>
      <c r="I213">
        <v>1</v>
      </c>
      <c r="J213">
        <f t="shared" si="40"/>
        <v>0.77937395816529509</v>
      </c>
      <c r="K213">
        <f t="shared" si="41"/>
        <v>-0.90676515177521744</v>
      </c>
      <c r="L213">
        <v>1</v>
      </c>
      <c r="M213">
        <f t="shared" si="42"/>
        <v>0.52981529098107216</v>
      </c>
      <c r="N213">
        <f t="shared" si="43"/>
        <v>0.15805775750000001</v>
      </c>
      <c r="O213">
        <f t="shared" si="44"/>
        <v>0.11870682615</v>
      </c>
      <c r="P213">
        <f t="shared" si="45"/>
        <v>0.10018527714414527</v>
      </c>
    </row>
    <row r="214" spans="1:16" x14ac:dyDescent="0.3">
      <c r="A214">
        <v>10.953491</v>
      </c>
      <c r="B214">
        <v>0.31176999999999999</v>
      </c>
      <c r="C214">
        <f t="shared" si="36"/>
        <v>3.41496988907</v>
      </c>
      <c r="D214">
        <v>1.4500000000000001E-2</v>
      </c>
      <c r="E214">
        <v>1.089E-2</v>
      </c>
      <c r="F214">
        <f t="shared" si="37"/>
        <v>2190.6981999999998</v>
      </c>
      <c r="G214">
        <f t="shared" si="38"/>
        <v>-0.31176999999999999</v>
      </c>
      <c r="H214">
        <f t="shared" si="39"/>
        <v>-682.993977814</v>
      </c>
      <c r="I214">
        <v>1</v>
      </c>
      <c r="J214">
        <f t="shared" si="40"/>
        <v>0.78422030580380042</v>
      </c>
      <c r="K214">
        <f t="shared" si="41"/>
        <v>-0.90995515177521746</v>
      </c>
      <c r="L214">
        <v>1</v>
      </c>
      <c r="M214">
        <f t="shared" si="42"/>
        <v>0.5300607584889625</v>
      </c>
      <c r="N214">
        <f t="shared" si="43"/>
        <v>0.15882561950000001</v>
      </c>
      <c r="O214">
        <f t="shared" si="44"/>
        <v>0.11928351699</v>
      </c>
      <c r="P214">
        <f t="shared" si="45"/>
        <v>0.10178525679625494</v>
      </c>
    </row>
    <row r="215" spans="1:16" x14ac:dyDescent="0.3">
      <c r="A215">
        <v>11.0039</v>
      </c>
      <c r="B215">
        <v>0.30876999999999999</v>
      </c>
      <c r="C215">
        <f t="shared" si="36"/>
        <v>3.3976742029999998</v>
      </c>
      <c r="D215">
        <v>1.4500000000000001E-2</v>
      </c>
      <c r="E215">
        <v>1.089E-2</v>
      </c>
      <c r="F215">
        <f t="shared" si="37"/>
        <v>2200.7799999999997</v>
      </c>
      <c r="G215">
        <f t="shared" si="38"/>
        <v>-0.30876999999999999</v>
      </c>
      <c r="H215">
        <f t="shared" si="39"/>
        <v>-679.53484059999994</v>
      </c>
      <c r="I215">
        <v>1</v>
      </c>
      <c r="J215">
        <f t="shared" si="40"/>
        <v>0.78881184298242768</v>
      </c>
      <c r="K215">
        <f t="shared" si="41"/>
        <v>-0.91295515177521747</v>
      </c>
      <c r="L215">
        <v>1</v>
      </c>
      <c r="M215">
        <f t="shared" si="42"/>
        <v>0.53029331984705996</v>
      </c>
      <c r="N215">
        <f t="shared" si="43"/>
        <v>0.15955654999999999</v>
      </c>
      <c r="O215">
        <f t="shared" si="44"/>
        <v>0.119832471</v>
      </c>
      <c r="P215">
        <f t="shared" si="45"/>
        <v>0.10327281092815752</v>
      </c>
    </row>
    <row r="216" spans="1:16" x14ac:dyDescent="0.3">
      <c r="A216">
        <v>11.055327</v>
      </c>
      <c r="B216">
        <v>0.30564000000000002</v>
      </c>
      <c r="C216">
        <f t="shared" si="36"/>
        <v>3.3789501442800005</v>
      </c>
      <c r="D216">
        <v>1.4500000000000001E-2</v>
      </c>
      <c r="E216">
        <v>1.089E-2</v>
      </c>
      <c r="F216">
        <f t="shared" si="37"/>
        <v>2211.0654</v>
      </c>
      <c r="G216">
        <f t="shared" si="38"/>
        <v>-0.30564000000000002</v>
      </c>
      <c r="H216">
        <f t="shared" si="39"/>
        <v>-675.79002885600005</v>
      </c>
      <c r="I216">
        <v>1</v>
      </c>
      <c r="J216">
        <f t="shared" si="40"/>
        <v>0.79347448081369609</v>
      </c>
      <c r="K216">
        <f t="shared" si="41"/>
        <v>-0.91608515177521743</v>
      </c>
      <c r="L216">
        <v>1</v>
      </c>
      <c r="M216">
        <f t="shared" si="42"/>
        <v>0.53052948245321374</v>
      </c>
      <c r="N216">
        <f t="shared" si="43"/>
        <v>0.1603022415</v>
      </c>
      <c r="O216">
        <f t="shared" si="44"/>
        <v>0.12039251103000001</v>
      </c>
      <c r="P216">
        <f t="shared" si="45"/>
        <v>0.10486091679200368</v>
      </c>
    </row>
    <row r="217" spans="1:16" x14ac:dyDescent="0.3">
      <c r="A217">
        <v>11.105734999999999</v>
      </c>
      <c r="B217">
        <v>0.30265999999999998</v>
      </c>
      <c r="C217">
        <f t="shared" si="36"/>
        <v>3.3612617550999997</v>
      </c>
      <c r="D217">
        <v>1.4500000000000001E-2</v>
      </c>
      <c r="E217">
        <v>1.089E-2</v>
      </c>
      <c r="F217">
        <f t="shared" si="37"/>
        <v>2221.1469999999999</v>
      </c>
      <c r="G217">
        <f t="shared" si="38"/>
        <v>-0.30265999999999998</v>
      </c>
      <c r="H217">
        <f t="shared" si="39"/>
        <v>-672.25235101999999</v>
      </c>
      <c r="I217">
        <v>1</v>
      </c>
      <c r="J217">
        <f t="shared" si="40"/>
        <v>0.79802372912458841</v>
      </c>
      <c r="K217">
        <f t="shared" si="41"/>
        <v>-0.91906515177521753</v>
      </c>
      <c r="L217">
        <v>1</v>
      </c>
      <c r="M217">
        <f t="shared" si="42"/>
        <v>0.53075990188016042</v>
      </c>
      <c r="N217">
        <f t="shared" si="43"/>
        <v>0.1610331575</v>
      </c>
      <c r="O217">
        <f t="shared" si="44"/>
        <v>0.12094145415</v>
      </c>
      <c r="P217">
        <f t="shared" si="45"/>
        <v>0.1063306382450571</v>
      </c>
    </row>
    <row r="218" spans="1:16" x14ac:dyDescent="0.3">
      <c r="A218">
        <v>11.158182</v>
      </c>
      <c r="B218">
        <v>0.29977999999999999</v>
      </c>
      <c r="C218">
        <f t="shared" si="36"/>
        <v>3.3449997999600001</v>
      </c>
      <c r="D218">
        <v>1.4500000000000001E-2</v>
      </c>
      <c r="E218">
        <v>1.089E-2</v>
      </c>
      <c r="F218">
        <f t="shared" si="37"/>
        <v>2231.6363999999999</v>
      </c>
      <c r="G218">
        <f t="shared" si="38"/>
        <v>-0.29977999999999999</v>
      </c>
      <c r="H218">
        <f t="shared" si="39"/>
        <v>-668.99995999199996</v>
      </c>
      <c r="I218">
        <v>1</v>
      </c>
      <c r="J218">
        <f t="shared" si="40"/>
        <v>0.80273512802308622</v>
      </c>
      <c r="K218">
        <f t="shared" si="41"/>
        <v>-0.92194515177521752</v>
      </c>
      <c r="L218">
        <v>1</v>
      </c>
      <c r="M218">
        <f t="shared" si="42"/>
        <v>0.53099853423436927</v>
      </c>
      <c r="N218">
        <f t="shared" si="43"/>
        <v>0.16179363900000002</v>
      </c>
      <c r="O218">
        <f t="shared" si="44"/>
        <v>0.12151260198000001</v>
      </c>
      <c r="P218">
        <f t="shared" si="45"/>
        <v>0.10764037656084822</v>
      </c>
    </row>
    <row r="219" spans="1:16" x14ac:dyDescent="0.3">
      <c r="A219">
        <v>11.209099999999999</v>
      </c>
      <c r="B219">
        <v>0.29687999999999998</v>
      </c>
      <c r="C219">
        <f t="shared" si="36"/>
        <v>3.3277576079999998</v>
      </c>
      <c r="D219">
        <v>1.4500000000000001E-2</v>
      </c>
      <c r="E219">
        <v>1.089E-2</v>
      </c>
      <c r="F219">
        <f t="shared" si="37"/>
        <v>2241.8199999999997</v>
      </c>
      <c r="G219">
        <f t="shared" si="38"/>
        <v>-0.29687999999999998</v>
      </c>
      <c r="H219">
        <f t="shared" si="39"/>
        <v>-665.5515216</v>
      </c>
      <c r="I219">
        <v>1</v>
      </c>
      <c r="J219">
        <f t="shared" si="40"/>
        <v>0.80728803596750676</v>
      </c>
      <c r="K219">
        <f t="shared" si="41"/>
        <v>-0.92484515177521742</v>
      </c>
      <c r="L219">
        <v>1</v>
      </c>
      <c r="M219">
        <f t="shared" si="42"/>
        <v>0.53122913902175417</v>
      </c>
      <c r="N219">
        <f t="shared" si="43"/>
        <v>0.16253195000000001</v>
      </c>
      <c r="O219">
        <f t="shared" si="44"/>
        <v>0.122067099</v>
      </c>
      <c r="P219">
        <f t="shared" si="45"/>
        <v>0.10901696375346324</v>
      </c>
    </row>
    <row r="220" spans="1:16" x14ac:dyDescent="0.3">
      <c r="A220">
        <v>11.261545999999999</v>
      </c>
      <c r="B220">
        <v>0.29379</v>
      </c>
      <c r="C220">
        <f t="shared" si="36"/>
        <v>3.3085295993399999</v>
      </c>
      <c r="D220">
        <v>1.4500000000000001E-2</v>
      </c>
      <c r="E220">
        <v>1.089E-2</v>
      </c>
      <c r="F220">
        <f t="shared" si="37"/>
        <v>2252.3091999999997</v>
      </c>
      <c r="G220">
        <f t="shared" si="38"/>
        <v>-0.29379</v>
      </c>
      <c r="H220">
        <f t="shared" si="39"/>
        <v>-661.70591986800002</v>
      </c>
      <c r="I220">
        <v>1</v>
      </c>
      <c r="J220">
        <f t="shared" si="40"/>
        <v>0.81195600103025689</v>
      </c>
      <c r="K220">
        <f t="shared" si="41"/>
        <v>-0.92793515177521746</v>
      </c>
      <c r="L220">
        <v>1</v>
      </c>
      <c r="M220">
        <f t="shared" si="42"/>
        <v>0.53146557145218254</v>
      </c>
      <c r="N220">
        <f t="shared" si="43"/>
        <v>0.163292417</v>
      </c>
      <c r="O220">
        <f t="shared" si="44"/>
        <v>0.12263823593999999</v>
      </c>
      <c r="P220">
        <f t="shared" si="45"/>
        <v>0.11053892738303493</v>
      </c>
    </row>
    <row r="221" spans="1:16" x14ac:dyDescent="0.3">
      <c r="A221">
        <v>11.312465</v>
      </c>
      <c r="B221">
        <v>0.29072999999999999</v>
      </c>
      <c r="C221">
        <f t="shared" si="36"/>
        <v>3.2888729494499995</v>
      </c>
      <c r="D221">
        <v>1.4500000000000001E-2</v>
      </c>
      <c r="E221">
        <v>1.089E-2</v>
      </c>
      <c r="F221">
        <f t="shared" si="37"/>
        <v>2262.4929999999999</v>
      </c>
      <c r="G221">
        <f t="shared" si="38"/>
        <v>-0.29072999999999999</v>
      </c>
      <c r="H221">
        <f t="shared" si="39"/>
        <v>-657.7745898899999</v>
      </c>
      <c r="I221">
        <v>1</v>
      </c>
      <c r="J221">
        <f t="shared" si="40"/>
        <v>0.81646730266450607</v>
      </c>
      <c r="K221">
        <f t="shared" si="41"/>
        <v>-0.93099515177521752</v>
      </c>
      <c r="L221">
        <v>1</v>
      </c>
      <c r="M221">
        <f t="shared" si="42"/>
        <v>0.53169406887995718</v>
      </c>
      <c r="N221">
        <f t="shared" si="43"/>
        <v>0.16403074249999999</v>
      </c>
      <c r="O221">
        <f t="shared" si="44"/>
        <v>0.12319274384999999</v>
      </c>
      <c r="P221">
        <f t="shared" si="45"/>
        <v>0.11207759654526035</v>
      </c>
    </row>
    <row r="222" spans="1:16" x14ac:dyDescent="0.3">
      <c r="A222">
        <v>11.36491</v>
      </c>
      <c r="B222">
        <v>0.28754000000000002</v>
      </c>
      <c r="C222">
        <f t="shared" si="36"/>
        <v>3.2678662214000003</v>
      </c>
      <c r="D222">
        <v>1.4500000000000001E-2</v>
      </c>
      <c r="E222">
        <v>1.089E-2</v>
      </c>
      <c r="F222">
        <f t="shared" si="37"/>
        <v>2272.982</v>
      </c>
      <c r="G222">
        <f t="shared" si="38"/>
        <v>-0.28754000000000002</v>
      </c>
      <c r="H222">
        <f t="shared" si="39"/>
        <v>-653.57324428000004</v>
      </c>
      <c r="I222">
        <v>1</v>
      </c>
      <c r="J222">
        <f t="shared" si="40"/>
        <v>0.82109262578933617</v>
      </c>
      <c r="K222">
        <f t="shared" si="41"/>
        <v>-0.93418515177521744</v>
      </c>
      <c r="L222">
        <v>1</v>
      </c>
      <c r="M222">
        <f t="shared" si="42"/>
        <v>0.53192834149622992</v>
      </c>
      <c r="N222">
        <f t="shared" si="43"/>
        <v>0.164791195</v>
      </c>
      <c r="O222">
        <f t="shared" si="44"/>
        <v>0.1237638699</v>
      </c>
      <c r="P222">
        <f t="shared" si="45"/>
        <v>0.11370174537898751</v>
      </c>
    </row>
    <row r="223" spans="1:16" x14ac:dyDescent="0.3">
      <c r="A223">
        <v>11.415829</v>
      </c>
      <c r="B223">
        <v>0.28443000000000002</v>
      </c>
      <c r="C223">
        <f t="shared" si="36"/>
        <v>3.2470042424700005</v>
      </c>
      <c r="D223">
        <v>1.4500000000000001E-2</v>
      </c>
      <c r="E223">
        <v>1.089E-2</v>
      </c>
      <c r="F223">
        <f t="shared" si="37"/>
        <v>2283.1658000000002</v>
      </c>
      <c r="G223">
        <f t="shared" si="38"/>
        <v>-0.28443000000000002</v>
      </c>
      <c r="H223">
        <f t="shared" si="39"/>
        <v>-649.40084849400012</v>
      </c>
      <c r="I223">
        <v>1</v>
      </c>
      <c r="J223">
        <f t="shared" si="40"/>
        <v>0.82556298865137456</v>
      </c>
      <c r="K223">
        <f t="shared" si="41"/>
        <v>-0.93729515177521749</v>
      </c>
      <c r="L223">
        <v>1</v>
      </c>
      <c r="M223">
        <f t="shared" si="42"/>
        <v>0.53215476537519213</v>
      </c>
      <c r="N223">
        <f t="shared" si="43"/>
        <v>0.16552952050000003</v>
      </c>
      <c r="O223">
        <f t="shared" si="44"/>
        <v>0.12431837781000001</v>
      </c>
      <c r="P223">
        <f t="shared" si="45"/>
        <v>0.11529248809002533</v>
      </c>
    </row>
    <row r="224" spans="1:16" x14ac:dyDescent="0.3">
      <c r="A224">
        <v>11.467256000000001</v>
      </c>
      <c r="B224">
        <v>0.28143000000000001</v>
      </c>
      <c r="C224">
        <f t="shared" si="36"/>
        <v>3.2272298560800006</v>
      </c>
      <c r="D224">
        <v>1.4500000000000001E-2</v>
      </c>
      <c r="E224">
        <v>1.089E-2</v>
      </c>
      <c r="F224">
        <f t="shared" si="37"/>
        <v>2293.4512</v>
      </c>
      <c r="G224">
        <f t="shared" si="38"/>
        <v>-0.28143000000000001</v>
      </c>
      <c r="H224">
        <f t="shared" si="39"/>
        <v>-645.44597121600009</v>
      </c>
      <c r="I224">
        <v>1</v>
      </c>
      <c r="J224">
        <f t="shared" si="40"/>
        <v>0.83005775730528408</v>
      </c>
      <c r="K224">
        <f t="shared" si="41"/>
        <v>-0.94029515177521739</v>
      </c>
      <c r="L224">
        <v>1</v>
      </c>
      <c r="M224">
        <f t="shared" si="42"/>
        <v>0.53238242540751268</v>
      </c>
      <c r="N224">
        <f t="shared" si="43"/>
        <v>0.16627521200000003</v>
      </c>
      <c r="O224">
        <f t="shared" si="44"/>
        <v>0.12487841784000002</v>
      </c>
      <c r="P224">
        <f t="shared" si="45"/>
        <v>0.11675909652770465</v>
      </c>
    </row>
    <row r="225" spans="1:18" x14ac:dyDescent="0.3">
      <c r="A225">
        <v>11.517666</v>
      </c>
      <c r="B225">
        <v>0.27811000000000002</v>
      </c>
      <c r="C225">
        <f t="shared" si="36"/>
        <v>3.2031780912600003</v>
      </c>
      <c r="D225">
        <v>1.4500000000000001E-2</v>
      </c>
      <c r="E225">
        <v>1.089E-2</v>
      </c>
      <c r="F225">
        <f t="shared" si="37"/>
        <v>2303.5331999999999</v>
      </c>
      <c r="G225">
        <f t="shared" si="38"/>
        <v>-0.27811000000000002</v>
      </c>
      <c r="H225">
        <f t="shared" si="39"/>
        <v>-640.63561825200009</v>
      </c>
      <c r="I225">
        <v>1</v>
      </c>
      <c r="J225">
        <f t="shared" si="40"/>
        <v>0.83444411813998132</v>
      </c>
      <c r="K225">
        <f t="shared" si="41"/>
        <v>-0.94361515177521738</v>
      </c>
      <c r="L225">
        <v>1</v>
      </c>
      <c r="M225">
        <f t="shared" si="42"/>
        <v>0.53260459458379006</v>
      </c>
      <c r="N225">
        <f t="shared" si="43"/>
        <v>0.16700615700000002</v>
      </c>
      <c r="O225">
        <f t="shared" si="44"/>
        <v>0.12542738274000001</v>
      </c>
      <c r="P225">
        <f t="shared" si="45"/>
        <v>0.11857701745142729</v>
      </c>
      <c r="R225">
        <f>O225+N225+M225</f>
        <v>0.82503813432379003</v>
      </c>
    </row>
    <row r="226" spans="1:18" x14ac:dyDescent="0.3">
      <c r="A226">
        <v>11.570620999999999</v>
      </c>
      <c r="B226">
        <v>0.27511000000000002</v>
      </c>
      <c r="C226">
        <f t="shared" si="36"/>
        <v>3.1831935433099998</v>
      </c>
      <c r="D226">
        <v>1.4500000000000001E-2</v>
      </c>
      <c r="E226">
        <v>1.089E-2</v>
      </c>
      <c r="F226">
        <f t="shared" si="37"/>
        <v>2314.1241999999997</v>
      </c>
      <c r="G226">
        <f t="shared" si="38"/>
        <v>-0.27511000000000002</v>
      </c>
      <c r="H226">
        <f t="shared" si="39"/>
        <v>-636.638708662</v>
      </c>
      <c r="I226">
        <v>1</v>
      </c>
      <c r="J226">
        <f t="shared" si="40"/>
        <v>0.83903130062412423</v>
      </c>
      <c r="K226">
        <f t="shared" si="41"/>
        <v>-0.94661515177521749</v>
      </c>
      <c r="L226">
        <v>1</v>
      </c>
      <c r="M226">
        <f t="shared" si="42"/>
        <v>0.53283693537661192</v>
      </c>
      <c r="N226">
        <f t="shared" si="43"/>
        <v>0.16777400449999999</v>
      </c>
      <c r="O226">
        <f t="shared" si="44"/>
        <v>0.12600406269</v>
      </c>
      <c r="P226">
        <f t="shared" si="45"/>
        <v>0.12000014920860558</v>
      </c>
    </row>
    <row r="227" spans="1:18" x14ac:dyDescent="0.3">
      <c r="A227">
        <v>11.627141</v>
      </c>
      <c r="B227">
        <v>0.27228999999999998</v>
      </c>
      <c r="C227">
        <f t="shared" si="36"/>
        <v>3.1659542228899995</v>
      </c>
      <c r="D227">
        <v>1.4500000000000001E-2</v>
      </c>
      <c r="E227">
        <v>1.089E-2</v>
      </c>
      <c r="F227">
        <f t="shared" si="37"/>
        <v>2325.4281999999998</v>
      </c>
      <c r="G227">
        <f t="shared" si="38"/>
        <v>-0.27228999999999998</v>
      </c>
      <c r="H227">
        <f t="shared" si="39"/>
        <v>-633.19084457799988</v>
      </c>
      <c r="I227">
        <v>1</v>
      </c>
      <c r="J227">
        <f t="shared" si="40"/>
        <v>0.8439041941247416</v>
      </c>
      <c r="K227">
        <f t="shared" si="41"/>
        <v>-0.94943515177521753</v>
      </c>
      <c r="L227">
        <v>1</v>
      </c>
      <c r="M227">
        <f t="shared" si="42"/>
        <v>0.53308374743241815</v>
      </c>
      <c r="N227">
        <f t="shared" si="43"/>
        <v>0.1685935445</v>
      </c>
      <c r="O227">
        <f t="shared" si="44"/>
        <v>0.12661956549</v>
      </c>
      <c r="P227">
        <f t="shared" si="45"/>
        <v>0.12113829435279938</v>
      </c>
    </row>
    <row r="228" spans="1:18" x14ac:dyDescent="0.3">
      <c r="A228">
        <v>11.679076</v>
      </c>
      <c r="B228">
        <v>0.26907999999999999</v>
      </c>
      <c r="C228">
        <f t="shared" si="36"/>
        <v>3.1426057700799999</v>
      </c>
      <c r="D228">
        <v>1.4500000000000001E-2</v>
      </c>
      <c r="E228">
        <v>1.089E-2</v>
      </c>
      <c r="F228">
        <f t="shared" si="37"/>
        <v>2335.8152</v>
      </c>
      <c r="G228">
        <f t="shared" si="38"/>
        <v>-0.26907999999999999</v>
      </c>
      <c r="H228">
        <f t="shared" si="39"/>
        <v>-628.52115401599997</v>
      </c>
      <c r="I228">
        <v>1</v>
      </c>
      <c r="J228">
        <f t="shared" si="40"/>
        <v>0.84836095224761088</v>
      </c>
      <c r="K228">
        <f t="shared" si="41"/>
        <v>-0.95264515177521747</v>
      </c>
      <c r="L228">
        <v>1</v>
      </c>
      <c r="M228">
        <f t="shared" si="42"/>
        <v>0.53330948223134145</v>
      </c>
      <c r="N228">
        <f t="shared" si="43"/>
        <v>0.16934660200000001</v>
      </c>
      <c r="O228">
        <f t="shared" si="44"/>
        <v>0.12718513764</v>
      </c>
      <c r="P228">
        <f t="shared" si="45"/>
        <v>0.12280392990387601</v>
      </c>
    </row>
    <row r="229" spans="1:18" x14ac:dyDescent="0.3">
      <c r="A229">
        <v>11.729994</v>
      </c>
      <c r="B229">
        <v>0.26607999999999998</v>
      </c>
      <c r="C229">
        <f t="shared" si="36"/>
        <v>3.1211168035199996</v>
      </c>
      <c r="D229">
        <v>1.4500000000000001E-2</v>
      </c>
      <c r="E229">
        <v>1.089E-2</v>
      </c>
      <c r="F229">
        <f t="shared" si="37"/>
        <v>2345.9987999999998</v>
      </c>
      <c r="G229">
        <f t="shared" si="38"/>
        <v>-0.26607999999999998</v>
      </c>
      <c r="H229">
        <f t="shared" si="39"/>
        <v>-624.2233607039999</v>
      </c>
      <c r="I229">
        <v>1</v>
      </c>
      <c r="J229">
        <f t="shared" si="40"/>
        <v>0.85271123872220145</v>
      </c>
      <c r="K229">
        <f t="shared" si="41"/>
        <v>-0.95564515177521747</v>
      </c>
      <c r="L229">
        <v>1</v>
      </c>
      <c r="M229">
        <f t="shared" si="42"/>
        <v>0.53352982424127948</v>
      </c>
      <c r="N229">
        <f t="shared" si="43"/>
        <v>0.170084913</v>
      </c>
      <c r="O229">
        <f t="shared" si="44"/>
        <v>0.12773963465999999</v>
      </c>
      <c r="P229">
        <f t="shared" si="45"/>
        <v>0.124290779873938</v>
      </c>
    </row>
    <row r="230" spans="1:18" x14ac:dyDescent="0.3">
      <c r="A230">
        <v>11.783969000000001</v>
      </c>
      <c r="B230">
        <v>0.26285999999999998</v>
      </c>
      <c r="C230">
        <f t="shared" si="36"/>
        <v>3.09753409134</v>
      </c>
      <c r="D230">
        <v>1.4500000000000001E-2</v>
      </c>
      <c r="E230">
        <v>1.089E-2</v>
      </c>
      <c r="F230">
        <f t="shared" si="37"/>
        <v>2356.7938000000004</v>
      </c>
      <c r="G230">
        <f t="shared" si="38"/>
        <v>-0.26285999999999998</v>
      </c>
      <c r="H230">
        <f t="shared" si="39"/>
        <v>-619.50681826799996</v>
      </c>
      <c r="I230">
        <v>1</v>
      </c>
      <c r="J230">
        <f t="shared" si="40"/>
        <v>0.85730213603709304</v>
      </c>
      <c r="K230">
        <f t="shared" si="41"/>
        <v>-0.95886515177521747</v>
      </c>
      <c r="L230">
        <v>1</v>
      </c>
      <c r="M230">
        <f t="shared" si="42"/>
        <v>0.53376235319027876</v>
      </c>
      <c r="N230">
        <f t="shared" si="43"/>
        <v>0.17086755050000002</v>
      </c>
      <c r="O230">
        <f t="shared" si="44"/>
        <v>0.12832742241</v>
      </c>
      <c r="P230">
        <f t="shared" si="45"/>
        <v>0.12590782567493869</v>
      </c>
    </row>
    <row r="231" spans="1:18" x14ac:dyDescent="0.3">
      <c r="A231">
        <v>11.834377999999999</v>
      </c>
      <c r="B231">
        <v>0.25995000000000001</v>
      </c>
      <c r="C231">
        <f t="shared" si="36"/>
        <v>3.0763465610999998</v>
      </c>
      <c r="D231">
        <v>1.4500000000000001E-2</v>
      </c>
      <c r="E231">
        <v>1.089E-2</v>
      </c>
      <c r="F231">
        <f t="shared" si="37"/>
        <v>2366.8755999999998</v>
      </c>
      <c r="G231">
        <f t="shared" si="38"/>
        <v>-0.25995000000000001</v>
      </c>
      <c r="H231">
        <f t="shared" si="39"/>
        <v>-615.26931221999996</v>
      </c>
      <c r="I231">
        <v>1</v>
      </c>
      <c r="J231">
        <f t="shared" si="40"/>
        <v>0.8615707731727017</v>
      </c>
      <c r="K231">
        <f t="shared" si="41"/>
        <v>-0.96177515177521744</v>
      </c>
      <c r="L231">
        <v>1</v>
      </c>
      <c r="M231">
        <f t="shared" si="42"/>
        <v>0.53397855966119734</v>
      </c>
      <c r="N231">
        <f t="shared" si="43"/>
        <v>0.171598481</v>
      </c>
      <c r="O231">
        <f t="shared" si="44"/>
        <v>0.12887637641999999</v>
      </c>
      <c r="P231">
        <f t="shared" si="45"/>
        <v>0.12732173469402014</v>
      </c>
    </row>
    <row r="232" spans="1:18" x14ac:dyDescent="0.3">
      <c r="A232">
        <v>11.885297</v>
      </c>
      <c r="B232">
        <v>0.25670999999999999</v>
      </c>
      <c r="C232">
        <f t="shared" si="36"/>
        <v>3.0510745928699996</v>
      </c>
      <c r="D232">
        <v>1.4500000000000001E-2</v>
      </c>
      <c r="E232">
        <v>1.089E-2</v>
      </c>
      <c r="F232">
        <f t="shared" si="37"/>
        <v>2377.0594000000001</v>
      </c>
      <c r="G232">
        <f t="shared" si="38"/>
        <v>-0.25670999999999999</v>
      </c>
      <c r="H232">
        <f t="shared" si="39"/>
        <v>-610.21491857399997</v>
      </c>
      <c r="I232">
        <v>1</v>
      </c>
      <c r="J232">
        <f t="shared" si="40"/>
        <v>0.86586417754836609</v>
      </c>
      <c r="K232">
        <f t="shared" si="41"/>
        <v>-0.96501515177521746</v>
      </c>
      <c r="L232">
        <v>1</v>
      </c>
      <c r="M232">
        <f t="shared" si="42"/>
        <v>0.53419602059282478</v>
      </c>
      <c r="N232">
        <f t="shared" si="43"/>
        <v>0.17233680649999999</v>
      </c>
      <c r="O232">
        <f t="shared" si="44"/>
        <v>0.12943088433</v>
      </c>
      <c r="P232">
        <f t="shared" si="45"/>
        <v>0.12905144035239269</v>
      </c>
    </row>
    <row r="233" spans="1:18" x14ac:dyDescent="0.3">
      <c r="A233">
        <v>11.935705</v>
      </c>
      <c r="B233">
        <v>0.25384000000000001</v>
      </c>
      <c r="C233">
        <f t="shared" si="36"/>
        <v>3.0297593572000001</v>
      </c>
      <c r="D233">
        <v>1.4500000000000001E-2</v>
      </c>
      <c r="E233">
        <v>1.089E-2</v>
      </c>
      <c r="F233">
        <f t="shared" si="37"/>
        <v>2387.1410000000001</v>
      </c>
      <c r="G233">
        <f t="shared" si="38"/>
        <v>-0.25384000000000001</v>
      </c>
      <c r="H233">
        <f t="shared" si="39"/>
        <v>-605.95187143999999</v>
      </c>
      <c r="I233">
        <v>1</v>
      </c>
      <c r="J233">
        <f t="shared" si="40"/>
        <v>0.87009641557442741</v>
      </c>
      <c r="K233">
        <f t="shared" si="41"/>
        <v>-0.96788515177521739</v>
      </c>
      <c r="L233">
        <v>1</v>
      </c>
      <c r="M233">
        <f t="shared" si="42"/>
        <v>0.53441038344884473</v>
      </c>
      <c r="N233">
        <f t="shared" si="43"/>
        <v>0.17306772250000002</v>
      </c>
      <c r="O233">
        <f t="shared" si="44"/>
        <v>0.12997982745</v>
      </c>
      <c r="P233">
        <f t="shared" si="45"/>
        <v>0.13042721837637264</v>
      </c>
    </row>
    <row r="234" spans="1:18" x14ac:dyDescent="0.3">
      <c r="A234">
        <v>11.970330000000001</v>
      </c>
      <c r="B234">
        <v>0.25151000000000001</v>
      </c>
      <c r="C234">
        <f t="shared" si="36"/>
        <v>3.0106576983000002</v>
      </c>
      <c r="D234">
        <v>1.4500000000000001E-2</v>
      </c>
      <c r="E234">
        <v>1.089E-2</v>
      </c>
      <c r="F234">
        <f t="shared" si="37"/>
        <v>2394.0660000000003</v>
      </c>
      <c r="G234">
        <f t="shared" si="38"/>
        <v>-0.25151000000000001</v>
      </c>
      <c r="H234">
        <f t="shared" si="39"/>
        <v>-602.13153966000004</v>
      </c>
      <c r="I234">
        <v>1</v>
      </c>
      <c r="J234">
        <f t="shared" si="40"/>
        <v>0.87299317567807166</v>
      </c>
      <c r="K234">
        <f t="shared" si="41"/>
        <v>-0.97021515177521744</v>
      </c>
      <c r="L234">
        <v>1</v>
      </c>
      <c r="M234">
        <f t="shared" si="42"/>
        <v>0.53455710434809434</v>
      </c>
      <c r="N234">
        <f t="shared" si="43"/>
        <v>0.173569785</v>
      </c>
      <c r="O234">
        <f t="shared" si="44"/>
        <v>0.1303568937</v>
      </c>
      <c r="P234">
        <f t="shared" si="45"/>
        <v>0.13173136872712313</v>
      </c>
    </row>
    <row r="235" spans="1:18" x14ac:dyDescent="0.3">
      <c r="C235">
        <f t="shared" si="36"/>
        <v>0</v>
      </c>
      <c r="D235">
        <v>1.4999999999999999E-2</v>
      </c>
      <c r="E235">
        <v>9.9000000000000008E-3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1:18" x14ac:dyDescent="0.3">
      <c r="C236">
        <f t="shared" si="36"/>
        <v>0</v>
      </c>
      <c r="D236">
        <v>1.4999999999999999E-2</v>
      </c>
      <c r="E236">
        <v>9.9000000000000008E-3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1:18" x14ac:dyDescent="0.3">
      <c r="C237">
        <f t="shared" si="36"/>
        <v>0</v>
      </c>
      <c r="D237">
        <v>1.4999999999999999E-2</v>
      </c>
      <c r="E237">
        <v>9.9000000000000008E-3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1:18" x14ac:dyDescent="0.3">
      <c r="C238">
        <f t="shared" si="36"/>
        <v>0</v>
      </c>
      <c r="D238">
        <v>1.4999999999999999E-2</v>
      </c>
      <c r="E238">
        <v>9.9000000000000008E-3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1:18" x14ac:dyDescent="0.3">
      <c r="C239">
        <f t="shared" si="36"/>
        <v>0</v>
      </c>
      <c r="D239">
        <v>1.4999999999999999E-2</v>
      </c>
      <c r="E239">
        <v>9.9000000000000008E-3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1:18" x14ac:dyDescent="0.3">
      <c r="C240">
        <f t="shared" si="36"/>
        <v>0</v>
      </c>
      <c r="D240">
        <v>1.4999999999999999E-2</v>
      </c>
      <c r="E240">
        <v>9.9000000000000008E-3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1.4999999999999999E-2</v>
      </c>
      <c r="E241">
        <v>9.9000000000000008E-3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1.4999999999999999E-2</v>
      </c>
      <c r="E242">
        <v>9.9000000000000008E-3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1.4999999999999999E-2</v>
      </c>
      <c r="E243">
        <v>9.9000000000000008E-3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1.4999999999999999E-2</v>
      </c>
      <c r="E244">
        <v>9.9000000000000008E-3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1.4999999999999999E-2</v>
      </c>
      <c r="E245">
        <v>9.9000000000000008E-3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1.4999999999999999E-2</v>
      </c>
      <c r="E246">
        <v>9.9000000000000008E-3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1.4999999999999999E-2</v>
      </c>
      <c r="E247">
        <v>9.9000000000000008E-3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1.4999999999999999E-2</v>
      </c>
      <c r="E248">
        <v>9.9000000000000008E-3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1.4999999999999999E-2</v>
      </c>
      <c r="E249">
        <v>9.9000000000000008E-3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1.4999999999999999E-2</v>
      </c>
      <c r="E250">
        <v>9.9000000000000008E-3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1.4999999999999999E-2</v>
      </c>
      <c r="E251">
        <v>9.9000000000000008E-3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1.4999999999999999E-2</v>
      </c>
      <c r="E252">
        <v>9.9000000000000008E-3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1.4999999999999999E-2</v>
      </c>
      <c r="E253">
        <v>9.9000000000000008E-3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1.4999999999999999E-2</v>
      </c>
      <c r="E254">
        <v>9.9000000000000008E-3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1.4999999999999999E-2</v>
      </c>
      <c r="E255">
        <v>9.9000000000000008E-3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1.4999999999999999E-2</v>
      </c>
      <c r="E256">
        <v>9.9000000000000008E-3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1.4999999999999999E-2</v>
      </c>
      <c r="E257">
        <v>9.9000000000000008E-3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1.4999999999999999E-2</v>
      </c>
      <c r="E258">
        <v>9.9000000000000008E-3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1.4999999999999999E-2</v>
      </c>
      <c r="E259">
        <v>9.9000000000000008E-3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1.4999999999999999E-2</v>
      </c>
      <c r="E260">
        <v>9.9000000000000008E-3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1.4999999999999999E-2</v>
      </c>
      <c r="E261">
        <v>9.9000000000000008E-3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1.4999999999999999E-2</v>
      </c>
      <c r="E262">
        <v>9.9000000000000008E-3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1.4999999999999999E-2</v>
      </c>
      <c r="E263">
        <v>9.9000000000000008E-3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1.4999999999999999E-2</v>
      </c>
      <c r="E264">
        <v>9.9000000000000008E-3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1.4999999999999999E-2</v>
      </c>
      <c r="E265">
        <v>9.9000000000000008E-3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1.4999999999999999E-2</v>
      </c>
      <c r="E266">
        <v>9.9000000000000008E-3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1.4999999999999999E-2</v>
      </c>
      <c r="E267">
        <v>9.9000000000000008E-3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1.4999999999999999E-2</v>
      </c>
      <c r="E268">
        <v>9.9000000000000008E-3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1.4999999999999999E-2</v>
      </c>
      <c r="E269">
        <v>9.9000000000000008E-3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1.4999999999999999E-2</v>
      </c>
      <c r="E270">
        <v>9.9000000000000008E-3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1.4999999999999999E-2</v>
      </c>
      <c r="E271">
        <v>9.9000000000000008E-3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1.4999999999999999E-2</v>
      </c>
      <c r="E272">
        <v>9.9000000000000008E-3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1.4999999999999999E-2</v>
      </c>
      <c r="E273">
        <v>9.9000000000000008E-3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1.4999999999999999E-2</v>
      </c>
      <c r="E274">
        <v>9.9000000000000008E-3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1.4999999999999999E-2</v>
      </c>
      <c r="E275">
        <v>9.9000000000000008E-3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1.4999999999999999E-2</v>
      </c>
      <c r="E276">
        <v>9.9000000000000008E-3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1.4999999999999999E-2</v>
      </c>
      <c r="E277">
        <v>9.9000000000000008E-3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1.4999999999999999E-2</v>
      </c>
      <c r="E278">
        <v>9.9000000000000008E-3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1.4999999999999999E-2</v>
      </c>
      <c r="E279">
        <v>9.9000000000000008E-3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1.4999999999999999E-2</v>
      </c>
      <c r="E280">
        <v>9.9000000000000008E-3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1.4999999999999999E-2</v>
      </c>
      <c r="E281">
        <v>9.9000000000000008E-3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1.4999999999999999E-2</v>
      </c>
      <c r="E282">
        <v>9.9000000000000008E-3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1.4999999999999999E-2</v>
      </c>
      <c r="E283">
        <v>9.9000000000000008E-3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1.4999999999999999E-2</v>
      </c>
      <c r="E284">
        <v>9.9000000000000008E-3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1.4999999999999999E-2</v>
      </c>
      <c r="E285">
        <v>9.9000000000000008E-3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1.4999999999999999E-2</v>
      </c>
      <c r="E286">
        <v>9.9000000000000008E-3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1.4999999999999999E-2</v>
      </c>
      <c r="E287">
        <v>9.9000000000000008E-3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1.4999999999999999E-2</v>
      </c>
      <c r="E288">
        <v>9.9000000000000008E-3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1.4999999999999999E-2</v>
      </c>
      <c r="E289">
        <v>9.9000000000000008E-3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1.4999999999999999E-2</v>
      </c>
      <c r="E290">
        <v>9.9000000000000008E-3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1.4999999999999999E-2</v>
      </c>
      <c r="E291">
        <v>9.9000000000000008E-3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1.4999999999999999E-2</v>
      </c>
      <c r="E292">
        <v>9.9000000000000008E-3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1.4999999999999999E-2</v>
      </c>
      <c r="E293">
        <v>9.9000000000000008E-3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1.4999999999999999E-2</v>
      </c>
      <c r="E294">
        <v>9.9000000000000008E-3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1.4999999999999999E-2</v>
      </c>
      <c r="E295">
        <v>9.9000000000000008E-3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1.4999999999999999E-2</v>
      </c>
      <c r="E296">
        <v>9.9000000000000008E-3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1.4999999999999999E-2</v>
      </c>
      <c r="E297">
        <v>9.9000000000000008E-3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1.4999999999999999E-2</v>
      </c>
      <c r="E298">
        <v>9.9000000000000008E-3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1.4999999999999999E-2</v>
      </c>
      <c r="E299">
        <v>9.9000000000000008E-3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1.4999999999999999E-2</v>
      </c>
      <c r="E300">
        <v>9.9000000000000008E-3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1.4999999999999999E-2</v>
      </c>
      <c r="E301">
        <v>9.9000000000000008E-3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1.4999999999999999E-2</v>
      </c>
      <c r="E302">
        <v>9.9000000000000008E-3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1.4999999999999999E-2</v>
      </c>
      <c r="E303">
        <v>9.9000000000000008E-3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2026-06-15T05:29:39Z</dcterms:modified>
</cp:coreProperties>
</file>